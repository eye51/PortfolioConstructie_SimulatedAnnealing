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3.xml" ContentType="application/vnd.openxmlformats-officedocument.spreadsheetml.worksheet+xml"/>
  <Override PartName="/xl/chartsheets/sheet6.xml" ContentType="application/vnd.openxmlformats-officedocument.spreadsheetml.chartsheet+xml"/>
  <Override PartName="/xl/chartsheets/sheet8.xml" ContentType="application/vnd.openxmlformats-officedocument.spreadsheetml.chartsheet+xml"/>
  <Override PartName="/xl/drawings/drawing13.xml" ContentType="application/vnd.openxmlformats-officedocument.drawing+xml"/>
  <Override PartName="/xl/worksheets/sheet1.xml" ContentType="application/vnd.openxmlformats-officedocument.spreadsheetml.work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heets/sheet9.xml" ContentType="application/vnd.openxmlformats-officedocument.spreadsheetml.chart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hartsheets/sheet7.xml" ContentType="application/vnd.openxmlformats-officedocument.spreadsheetml.chartsheet+xml"/>
  <Override PartName="/xl/drawings/drawing1.xml" ContentType="application/vnd.openxmlformats-officedocument.drawing+xml"/>
  <Override PartName="/xl/drawings/drawing1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-15" windowWidth="17880" windowHeight="6015" tabRatio="925" firstSheet="19" activeTab="30"/>
  </bookViews>
  <sheets>
    <sheet name="Parameters" sheetId="5" r:id="rId1"/>
    <sheet name="Economische visies" sheetId="45" r:id="rId2"/>
    <sheet name="Vertaling visies absoluut" sheetId="46" r:id="rId3"/>
    <sheet name="Vertaling visies absoluut (2)" sheetId="67" r:id="rId4"/>
    <sheet name="BL Visie 1" sheetId="60" r:id="rId5"/>
    <sheet name="BL Visie 2" sheetId="64" r:id="rId6"/>
    <sheet name="BL Visie 3" sheetId="65" r:id="rId7"/>
    <sheet name="BL Visie 4" sheetId="66" r:id="rId8"/>
    <sheet name="BL vertaling absoluut" sheetId="62" r:id="rId9"/>
    <sheet name="Historie rendementen" sheetId="4" r:id="rId10"/>
    <sheet name="Historie factoren" sheetId="44" r:id="rId11"/>
    <sheet name="Verplichtingen Nominaal" sheetId="40" r:id="rId12"/>
    <sheet name="Verplichtingen Reeel" sheetId="41" r:id="rId13"/>
    <sheet name="Scenario 1 Mixen" sheetId="48" r:id="rId14"/>
    <sheet name="Scenario 2 Mixen" sheetId="49" r:id="rId15"/>
    <sheet name="Scenario 3 Mixen" sheetId="50" r:id="rId16"/>
    <sheet name="Scenario 4 Mixen" sheetId="51" r:id="rId17"/>
    <sheet name="Scenario 5 Mixen" sheetId="52" r:id="rId18"/>
    <sheet name="Scenario 6 Mixen" sheetId="53" r:id="rId19"/>
    <sheet name="Samenvatting mixen" sheetId="54" r:id="rId20"/>
    <sheet name="Samenvatting mixen - return" sheetId="55" r:id="rId21"/>
    <sheet name="Grafieken - matching &amp; return" sheetId="70" r:id="rId22"/>
    <sheet name="Grafieken - Returnportefeuille" sheetId="71" r:id="rId23"/>
    <sheet name="Basisanalyse" sheetId="72" r:id="rId24"/>
    <sheet name="Basisanalyse - returnport" sheetId="73" r:id="rId25"/>
    <sheet name="Groei Recessie" sheetId="74" r:id="rId26"/>
    <sheet name="Inflatie" sheetId="75" r:id="rId27"/>
    <sheet name="Vermogenseffect" sheetId="76" r:id="rId28"/>
    <sheet name="Deflatie" sheetId="77" r:id="rId29"/>
    <sheet name="Kansgewogen" sheetId="78" r:id="rId30"/>
    <sheet name="Derivatenanalyse" sheetId="79" r:id="rId31"/>
  </sheets>
  <functionGroups/>
  <externalReferences>
    <externalReference r:id="rId32"/>
  </externalReferences>
  <definedNames>
    <definedName name="Sample">'Historie rendementen'!$A$2:$A$41</definedName>
    <definedName name="Sample2">'[1]Historische reeksen'!$A$3:$A$41</definedName>
    <definedName name="Views">#REF!</definedName>
  </definedNames>
  <calcPr calcId="125725" concurrentCalc="0"/>
</workbook>
</file>

<file path=xl/calcChain.xml><?xml version="1.0" encoding="utf-8"?>
<calcChain xmlns="http://schemas.openxmlformats.org/spreadsheetml/2006/main">
  <c r="G3" i="79"/>
  <c r="A12"/>
  <c r="A99" i="5" a="1"/>
  <c r="A101"/>
  <c r="A52"/>
  <c r="A13" i="79"/>
  <c r="A102" i="5"/>
  <c r="A53"/>
  <c r="A14" i="79"/>
  <c r="A103" i="5"/>
  <c r="A54"/>
  <c r="A15" i="79"/>
  <c r="A104" i="5"/>
  <c r="A55"/>
  <c r="A16" i="79"/>
  <c r="A105" i="5"/>
  <c r="A56"/>
  <c r="A17" i="79"/>
  <c r="A106" i="5"/>
  <c r="A57"/>
  <c r="A18" i="79"/>
  <c r="A107" i="5"/>
  <c r="A58"/>
  <c r="A19" i="79"/>
  <c r="A108" i="5"/>
  <c r="A59"/>
  <c r="A20" i="79"/>
  <c r="A11"/>
  <c r="H3"/>
  <c r="AA3"/>
  <c r="G4"/>
  <c r="H4"/>
  <c r="AA4"/>
  <c r="G5"/>
  <c r="H5"/>
  <c r="AA5"/>
  <c r="G6"/>
  <c r="H6"/>
  <c r="AA6"/>
  <c r="G7"/>
  <c r="H7"/>
  <c r="AA7"/>
  <c r="A21"/>
  <c r="A22"/>
  <c r="A23"/>
  <c r="A24"/>
  <c r="A25"/>
  <c r="A68" i="55"/>
  <c r="A55"/>
  <c r="A43" i="5"/>
  <c r="A42" i="55"/>
  <c r="A42" i="5"/>
  <c r="A29" i="55"/>
  <c r="A41" i="5"/>
  <c r="A16" i="55"/>
  <c r="A40" i="5"/>
  <c r="A3" i="55"/>
  <c r="A68" i="54"/>
  <c r="A55"/>
  <c r="A42"/>
  <c r="A29"/>
  <c r="A16"/>
  <c r="A3"/>
  <c r="A5"/>
  <c r="A6"/>
  <c r="A7"/>
  <c r="A8"/>
  <c r="A9"/>
  <c r="A10"/>
  <c r="A11"/>
  <c r="A12"/>
  <c r="A13"/>
  <c r="A4"/>
  <c r="A26"/>
  <c r="A52"/>
  <c r="A65"/>
  <c r="A78"/>
  <c r="A25"/>
  <c r="A51"/>
  <c r="A64"/>
  <c r="A77"/>
  <c r="AB24"/>
  <c r="AB37"/>
  <c r="AB50"/>
  <c r="AB63"/>
  <c r="AG76"/>
  <c r="AC24"/>
  <c r="AC37"/>
  <c r="AC50"/>
  <c r="AC63"/>
  <c r="AH76"/>
  <c r="AK76"/>
  <c r="AD24"/>
  <c r="AD37"/>
  <c r="AD50"/>
  <c r="AD63"/>
  <c r="AI76"/>
  <c r="AF76"/>
  <c r="AD76"/>
  <c r="AC76"/>
  <c r="AB76"/>
  <c r="A24"/>
  <c r="A50"/>
  <c r="A63"/>
  <c r="A76"/>
  <c r="AB23"/>
  <c r="AB36"/>
  <c r="AB49"/>
  <c r="AB62"/>
  <c r="AG75"/>
  <c r="AC23"/>
  <c r="AC36"/>
  <c r="AC49"/>
  <c r="AC62"/>
  <c r="AH75"/>
  <c r="AK75"/>
  <c r="AD23"/>
  <c r="AD36"/>
  <c r="AD49"/>
  <c r="AD62"/>
  <c r="AI75"/>
  <c r="AF75"/>
  <c r="AD75"/>
  <c r="AC75"/>
  <c r="AB75"/>
  <c r="A23"/>
  <c r="A49"/>
  <c r="A62"/>
  <c r="A75"/>
  <c r="AB22"/>
  <c r="AB35"/>
  <c r="AB48"/>
  <c r="AG74"/>
  <c r="AC22"/>
  <c r="AC35"/>
  <c r="AC48"/>
  <c r="AH74"/>
  <c r="AK74"/>
  <c r="AD22"/>
  <c r="AD35"/>
  <c r="AD48"/>
  <c r="AI74"/>
  <c r="AF74"/>
  <c r="AD74"/>
  <c r="AC74"/>
  <c r="AB74"/>
  <c r="A22"/>
  <c r="A48"/>
  <c r="A61"/>
  <c r="A74"/>
  <c r="AB21"/>
  <c r="AB34"/>
  <c r="AB47"/>
  <c r="AB60"/>
  <c r="AG73"/>
  <c r="AC21"/>
  <c r="AC34"/>
  <c r="AC47"/>
  <c r="AC60"/>
  <c r="AH73"/>
  <c r="AK73"/>
  <c r="AD21"/>
  <c r="AD34"/>
  <c r="AD47"/>
  <c r="AD60"/>
  <c r="AI73"/>
  <c r="AF73"/>
  <c r="AD73"/>
  <c r="AC73"/>
  <c r="AB73"/>
  <c r="A21"/>
  <c r="A47"/>
  <c r="A60"/>
  <c r="A73"/>
  <c r="AB20"/>
  <c r="AB33"/>
  <c r="AB46"/>
  <c r="AB59"/>
  <c r="AG72"/>
  <c r="AC20"/>
  <c r="AC33"/>
  <c r="AC46"/>
  <c r="AC59"/>
  <c r="AH72"/>
  <c r="AK72"/>
  <c r="AD20"/>
  <c r="AD33"/>
  <c r="AD46"/>
  <c r="AD59"/>
  <c r="AI72"/>
  <c r="AF72"/>
  <c r="AD72"/>
  <c r="AC72"/>
  <c r="AB72"/>
  <c r="A20"/>
  <c r="A46"/>
  <c r="A59"/>
  <c r="A72"/>
  <c r="AB19"/>
  <c r="AB32"/>
  <c r="AB45"/>
  <c r="AB58"/>
  <c r="AG71"/>
  <c r="AC19"/>
  <c r="AC32"/>
  <c r="AC45"/>
  <c r="AC58"/>
  <c r="AH71"/>
  <c r="AK71"/>
  <c r="AD19"/>
  <c r="AD32"/>
  <c r="AD45"/>
  <c r="AD58"/>
  <c r="AI71"/>
  <c r="AF71"/>
  <c r="AD71"/>
  <c r="AC71"/>
  <c r="AB71"/>
  <c r="A19"/>
  <c r="A45"/>
  <c r="A58"/>
  <c r="A71"/>
  <c r="AB18"/>
  <c r="AB31"/>
  <c r="AB44"/>
  <c r="AB57"/>
  <c r="AG70"/>
  <c r="AC18"/>
  <c r="AC31"/>
  <c r="AC44"/>
  <c r="AC57"/>
  <c r="AH70"/>
  <c r="AK70"/>
  <c r="AD18"/>
  <c r="AD31"/>
  <c r="AD44"/>
  <c r="AD57"/>
  <c r="AI70"/>
  <c r="AF70"/>
  <c r="AD70"/>
  <c r="AC70"/>
  <c r="AB70"/>
  <c r="A18"/>
  <c r="A44"/>
  <c r="A57"/>
  <c r="A70"/>
  <c r="AB17"/>
  <c r="AB30"/>
  <c r="AB43"/>
  <c r="AB56"/>
  <c r="AG69"/>
  <c r="AC17"/>
  <c r="AC30"/>
  <c r="AC43"/>
  <c r="AC56"/>
  <c r="AH69"/>
  <c r="AK69"/>
  <c r="AD17"/>
  <c r="AD30"/>
  <c r="AD43"/>
  <c r="AD56"/>
  <c r="AI69"/>
  <c r="AA69"/>
  <c r="AF69"/>
  <c r="AD69"/>
  <c r="AC69"/>
  <c r="AB69"/>
  <c r="A17"/>
  <c r="A43"/>
  <c r="A56"/>
  <c r="A69"/>
  <c r="AB16"/>
  <c r="AB29"/>
  <c r="AB42"/>
  <c r="AG68"/>
  <c r="AC16"/>
  <c r="AC29"/>
  <c r="AC42"/>
  <c r="AH68"/>
  <c r="AK68"/>
  <c r="AD16"/>
  <c r="AD29"/>
  <c r="AD42"/>
  <c r="AI68"/>
  <c r="AA68"/>
  <c r="AF68"/>
  <c r="AD68"/>
  <c r="AC68"/>
  <c r="AB68"/>
  <c r="AA56"/>
  <c r="AA55"/>
  <c r="AA43"/>
  <c r="AA42"/>
  <c r="A39"/>
  <c r="A38"/>
  <c r="A37"/>
  <c r="A36"/>
  <c r="A35"/>
  <c r="A34"/>
  <c r="A33"/>
  <c r="A32"/>
  <c r="A31"/>
  <c r="AA30"/>
  <c r="A30"/>
  <c r="AA29"/>
  <c r="AA17"/>
  <c r="AA16"/>
  <c r="AD11"/>
  <c r="AC11"/>
  <c r="AB11"/>
  <c r="AD10"/>
  <c r="AC10"/>
  <c r="AB10"/>
  <c r="AD9"/>
  <c r="AC9"/>
  <c r="AB9"/>
  <c r="AD8"/>
  <c r="AC8"/>
  <c r="AB8"/>
  <c r="T3"/>
  <c r="U3"/>
  <c r="V3"/>
  <c r="T4"/>
  <c r="U4"/>
  <c r="V4"/>
  <c r="T5"/>
  <c r="U5"/>
  <c r="V5"/>
  <c r="T6"/>
  <c r="U6"/>
  <c r="V6"/>
  <c r="V8"/>
  <c r="U7"/>
  <c r="U8"/>
  <c r="T7"/>
  <c r="T8"/>
  <c r="S8"/>
  <c r="AD7"/>
  <c r="AC7"/>
  <c r="AB7"/>
  <c r="S7"/>
  <c r="AD6"/>
  <c r="AC6"/>
  <c r="AB6"/>
  <c r="S6"/>
  <c r="AD5"/>
  <c r="AC5"/>
  <c r="AB5"/>
  <c r="S5"/>
  <c r="AD4"/>
  <c r="AC4"/>
  <c r="AB4"/>
  <c r="AA4"/>
  <c r="S4"/>
  <c r="AD3"/>
  <c r="AC3"/>
  <c r="AB3"/>
  <c r="AA3"/>
  <c r="S3"/>
  <c r="T24" i="55"/>
  <c r="S24"/>
  <c r="X24"/>
  <c r="T37"/>
  <c r="S37"/>
  <c r="X37"/>
  <c r="T50"/>
  <c r="S50"/>
  <c r="X50"/>
  <c r="T63"/>
  <c r="S63"/>
  <c r="X63"/>
  <c r="AB76"/>
  <c r="R24"/>
  <c r="W24"/>
  <c r="R37"/>
  <c r="W37"/>
  <c r="R50"/>
  <c r="W50"/>
  <c r="R63"/>
  <c r="W63"/>
  <c r="AA76"/>
  <c r="V24"/>
  <c r="V37"/>
  <c r="V50"/>
  <c r="V63"/>
  <c r="Z76"/>
  <c r="T76"/>
  <c r="S76"/>
  <c r="X76"/>
  <c r="R76"/>
  <c r="W76"/>
  <c r="V76"/>
  <c r="T23"/>
  <c r="S23"/>
  <c r="X23"/>
  <c r="T36"/>
  <c r="S36"/>
  <c r="X36"/>
  <c r="T49"/>
  <c r="S49"/>
  <c r="X49"/>
  <c r="T62"/>
  <c r="S62"/>
  <c r="X62"/>
  <c r="AB75"/>
  <c r="R23"/>
  <c r="W23"/>
  <c r="R36"/>
  <c r="W36"/>
  <c r="R49"/>
  <c r="W49"/>
  <c r="R62"/>
  <c r="W62"/>
  <c r="AA75"/>
  <c r="V23"/>
  <c r="V36"/>
  <c r="V49"/>
  <c r="V62"/>
  <c r="Z75"/>
  <c r="T75"/>
  <c r="S75"/>
  <c r="X75"/>
  <c r="R75"/>
  <c r="W75"/>
  <c r="V75"/>
  <c r="T22"/>
  <c r="S22"/>
  <c r="X22"/>
  <c r="T35"/>
  <c r="S35"/>
  <c r="X35"/>
  <c r="T48"/>
  <c r="S48"/>
  <c r="X48"/>
  <c r="T61"/>
  <c r="S61"/>
  <c r="X61"/>
  <c r="AB74"/>
  <c r="R22"/>
  <c r="W22"/>
  <c r="R35"/>
  <c r="W35"/>
  <c r="R48"/>
  <c r="W48"/>
  <c r="R61"/>
  <c r="W61"/>
  <c r="AA74"/>
  <c r="V22"/>
  <c r="V35"/>
  <c r="V48"/>
  <c r="V61"/>
  <c r="Z74"/>
  <c r="T74"/>
  <c r="S74"/>
  <c r="X74"/>
  <c r="R74"/>
  <c r="W74"/>
  <c r="V74"/>
  <c r="T21"/>
  <c r="S21"/>
  <c r="X21"/>
  <c r="T34"/>
  <c r="S34"/>
  <c r="X34"/>
  <c r="T47"/>
  <c r="S47"/>
  <c r="X47"/>
  <c r="T60"/>
  <c r="S60"/>
  <c r="X60"/>
  <c r="AB73"/>
  <c r="R21"/>
  <c r="W21"/>
  <c r="R34"/>
  <c r="W34"/>
  <c r="R47"/>
  <c r="W47"/>
  <c r="R60"/>
  <c r="W60"/>
  <c r="AA73"/>
  <c r="V21"/>
  <c r="V34"/>
  <c r="V47"/>
  <c r="V60"/>
  <c r="Z73"/>
  <c r="T73"/>
  <c r="S73"/>
  <c r="X73"/>
  <c r="R73"/>
  <c r="W73"/>
  <c r="V73"/>
  <c r="T20"/>
  <c r="S20"/>
  <c r="X20"/>
  <c r="T33"/>
  <c r="S33"/>
  <c r="X33"/>
  <c r="T46"/>
  <c r="S46"/>
  <c r="X46"/>
  <c r="T59"/>
  <c r="S59"/>
  <c r="X59"/>
  <c r="AB72"/>
  <c r="R20"/>
  <c r="W20"/>
  <c r="R33"/>
  <c r="W33"/>
  <c r="R46"/>
  <c r="W46"/>
  <c r="R59"/>
  <c r="W59"/>
  <c r="AA72"/>
  <c r="V20"/>
  <c r="V33"/>
  <c r="V46"/>
  <c r="V59"/>
  <c r="Z72"/>
  <c r="T72"/>
  <c r="S72"/>
  <c r="X72"/>
  <c r="R72"/>
  <c r="W72"/>
  <c r="V72"/>
  <c r="T19"/>
  <c r="S19"/>
  <c r="X19"/>
  <c r="T32"/>
  <c r="S32"/>
  <c r="X32"/>
  <c r="T45"/>
  <c r="S45"/>
  <c r="X45"/>
  <c r="T58"/>
  <c r="S58"/>
  <c r="X58"/>
  <c r="AB71"/>
  <c r="R19"/>
  <c r="W19"/>
  <c r="R32"/>
  <c r="W32"/>
  <c r="R45"/>
  <c r="W45"/>
  <c r="R58"/>
  <c r="W58"/>
  <c r="AA71"/>
  <c r="V19"/>
  <c r="V32"/>
  <c r="V45"/>
  <c r="V58"/>
  <c r="Z71"/>
  <c r="T71"/>
  <c r="S71"/>
  <c r="X71"/>
  <c r="R71"/>
  <c r="W71"/>
  <c r="V71"/>
  <c r="T18"/>
  <c r="S18"/>
  <c r="X18"/>
  <c r="T31"/>
  <c r="S31"/>
  <c r="X31"/>
  <c r="T44"/>
  <c r="S44"/>
  <c r="X44"/>
  <c r="T57"/>
  <c r="S57"/>
  <c r="X57"/>
  <c r="AB70"/>
  <c r="R18"/>
  <c r="W18"/>
  <c r="R31"/>
  <c r="W31"/>
  <c r="R44"/>
  <c r="W44"/>
  <c r="R57"/>
  <c r="W57"/>
  <c r="AA70"/>
  <c r="V18"/>
  <c r="V31"/>
  <c r="V44"/>
  <c r="V57"/>
  <c r="Z70"/>
  <c r="T70"/>
  <c r="S70"/>
  <c r="X70"/>
  <c r="R70"/>
  <c r="W70"/>
  <c r="V70"/>
  <c r="T11"/>
  <c r="S11"/>
  <c r="X11"/>
  <c r="R11"/>
  <c r="W11"/>
  <c r="V11"/>
  <c r="T10"/>
  <c r="S10"/>
  <c r="X10"/>
  <c r="R10"/>
  <c r="W10"/>
  <c r="V10"/>
  <c r="T9"/>
  <c r="S9"/>
  <c r="X9"/>
  <c r="R9"/>
  <c r="W9"/>
  <c r="V9"/>
  <c r="T8"/>
  <c r="S8"/>
  <c r="X8"/>
  <c r="R8"/>
  <c r="W8"/>
  <c r="V8"/>
  <c r="T7"/>
  <c r="S7"/>
  <c r="X7"/>
  <c r="R7"/>
  <c r="W7"/>
  <c r="V7"/>
  <c r="T6"/>
  <c r="S6"/>
  <c r="X6"/>
  <c r="R6"/>
  <c r="W6"/>
  <c r="V6"/>
  <c r="T5"/>
  <c r="S5"/>
  <c r="X5"/>
  <c r="R5"/>
  <c r="W5"/>
  <c r="V5"/>
  <c r="A3" i="67"/>
  <c r="A99" i="5"/>
  <c r="A4" i="67"/>
  <c r="O4"/>
  <c r="A100" i="5"/>
  <c r="A5" i="67"/>
  <c r="O5"/>
  <c r="A6"/>
  <c r="O6"/>
  <c r="A7"/>
  <c r="O7"/>
  <c r="A8"/>
  <c r="O8"/>
  <c r="A9"/>
  <c r="O9"/>
  <c r="A10"/>
  <c r="O10"/>
  <c r="A11"/>
  <c r="O11"/>
  <c r="A12"/>
  <c r="O12"/>
  <c r="A13"/>
  <c r="O13"/>
  <c r="A16"/>
  <c r="A17"/>
  <c r="O17"/>
  <c r="A18"/>
  <c r="O18"/>
  <c r="A19"/>
  <c r="O19"/>
  <c r="A20"/>
  <c r="O20"/>
  <c r="A21"/>
  <c r="O21"/>
  <c r="A22"/>
  <c r="O22"/>
  <c r="A23"/>
  <c r="O23"/>
  <c r="A24"/>
  <c r="O24"/>
  <c r="A25"/>
  <c r="O25"/>
  <c r="A26"/>
  <c r="O26"/>
  <c r="A29"/>
  <c r="A30"/>
  <c r="O30"/>
  <c r="A31"/>
  <c r="O31"/>
  <c r="A32"/>
  <c r="O32"/>
  <c r="A33"/>
  <c r="O33"/>
  <c r="A34"/>
  <c r="O34"/>
  <c r="A35"/>
  <c r="O35"/>
  <c r="A36"/>
  <c r="O36"/>
  <c r="A37"/>
  <c r="O37"/>
  <c r="A38"/>
  <c r="O38"/>
  <c r="A39"/>
  <c r="O39"/>
  <c r="A42"/>
  <c r="A43"/>
  <c r="O43"/>
  <c r="A44"/>
  <c r="O44"/>
  <c r="A45"/>
  <c r="O45"/>
  <c r="A46"/>
  <c r="O46"/>
  <c r="A47"/>
  <c r="O47"/>
  <c r="A48"/>
  <c r="O48"/>
  <c r="A49"/>
  <c r="O49"/>
  <c r="A50"/>
  <c r="O50"/>
  <c r="A51"/>
  <c r="O51"/>
  <c r="A52"/>
  <c r="O52"/>
  <c r="A55"/>
  <c r="A56"/>
  <c r="O56"/>
  <c r="A57"/>
  <c r="O57"/>
  <c r="A58"/>
  <c r="O58"/>
  <c r="A59"/>
  <c r="O59"/>
  <c r="A60"/>
  <c r="O60"/>
  <c r="A61"/>
  <c r="O61"/>
  <c r="A62"/>
  <c r="O62"/>
  <c r="A63"/>
  <c r="O63"/>
  <c r="A64"/>
  <c r="O64"/>
  <c r="A65"/>
  <c r="O65"/>
  <c r="A61" i="66"/>
  <c r="A73"/>
  <c r="A86"/>
  <c r="A97"/>
  <c r="A139"/>
  <c r="A60"/>
  <c r="A72"/>
  <c r="A85"/>
  <c r="A96"/>
  <c r="A138"/>
  <c r="A59"/>
  <c r="A71"/>
  <c r="A84"/>
  <c r="A95"/>
  <c r="A137"/>
  <c r="A58"/>
  <c r="A70"/>
  <c r="A83"/>
  <c r="A94"/>
  <c r="A136"/>
  <c r="A57"/>
  <c r="A69"/>
  <c r="A82"/>
  <c r="A93"/>
  <c r="A135"/>
  <c r="A56"/>
  <c r="A68"/>
  <c r="A81"/>
  <c r="A92"/>
  <c r="A134"/>
  <c r="A55"/>
  <c r="A67"/>
  <c r="A80"/>
  <c r="A91"/>
  <c r="A133"/>
  <c r="A54"/>
  <c r="A66"/>
  <c r="A79"/>
  <c r="A90"/>
  <c r="A132"/>
  <c r="A53"/>
  <c r="A65"/>
  <c r="A78"/>
  <c r="A89"/>
  <c r="A131"/>
  <c r="A52"/>
  <c r="A64"/>
  <c r="A77"/>
  <c r="A88"/>
  <c r="A130"/>
  <c r="K129"/>
  <c r="J129"/>
  <c r="I129"/>
  <c r="H129"/>
  <c r="G129"/>
  <c r="F129"/>
  <c r="E129"/>
  <c r="D129"/>
  <c r="C129"/>
  <c r="B129"/>
  <c r="A47"/>
  <c r="A126"/>
  <c r="A46"/>
  <c r="A125"/>
  <c r="A45"/>
  <c r="A124"/>
  <c r="A44"/>
  <c r="A123"/>
  <c r="A43"/>
  <c r="A122"/>
  <c r="A42"/>
  <c r="A121"/>
  <c r="A41"/>
  <c r="A120"/>
  <c r="A40"/>
  <c r="A119"/>
  <c r="A39"/>
  <c r="A118"/>
  <c r="A38"/>
  <c r="A117"/>
  <c r="A61" i="65"/>
  <c r="A73"/>
  <c r="A86"/>
  <c r="A97"/>
  <c r="A139"/>
  <c r="A60"/>
  <c r="A72"/>
  <c r="A85"/>
  <c r="A96"/>
  <c r="A138"/>
  <c r="A59"/>
  <c r="A71"/>
  <c r="A84"/>
  <c r="A95"/>
  <c r="A137"/>
  <c r="A58"/>
  <c r="A70"/>
  <c r="A83"/>
  <c r="A94"/>
  <c r="A136"/>
  <c r="A57"/>
  <c r="A69"/>
  <c r="A82"/>
  <c r="A93"/>
  <c r="A135"/>
  <c r="A56"/>
  <c r="A68"/>
  <c r="A81"/>
  <c r="A92"/>
  <c r="A134"/>
  <c r="A55"/>
  <c r="A67"/>
  <c r="A80"/>
  <c r="A91"/>
  <c r="A133"/>
  <c r="A54"/>
  <c r="A66"/>
  <c r="A79"/>
  <c r="A90"/>
  <c r="A132"/>
  <c r="A53"/>
  <c r="A65"/>
  <c r="A78"/>
  <c r="A89"/>
  <c r="A131"/>
  <c r="A52"/>
  <c r="A64"/>
  <c r="A77"/>
  <c r="A88"/>
  <c r="A130"/>
  <c r="K129"/>
  <c r="J129"/>
  <c r="I129"/>
  <c r="H129"/>
  <c r="G129"/>
  <c r="F129"/>
  <c r="E129"/>
  <c r="D129"/>
  <c r="C129"/>
  <c r="B129"/>
  <c r="A47"/>
  <c r="A126"/>
  <c r="A46"/>
  <c r="A125"/>
  <c r="A45"/>
  <c r="A124"/>
  <c r="A44"/>
  <c r="A123"/>
  <c r="A43"/>
  <c r="A122"/>
  <c r="A42"/>
  <c r="A121"/>
  <c r="A41"/>
  <c r="A120"/>
  <c r="A40"/>
  <c r="A119"/>
  <c r="A39"/>
  <c r="A118"/>
  <c r="A38"/>
  <c r="A117"/>
  <c r="A61" i="64"/>
  <c r="A73"/>
  <c r="A86"/>
  <c r="A97"/>
  <c r="A139"/>
  <c r="A60"/>
  <c r="A72"/>
  <c r="A85"/>
  <c r="A96"/>
  <c r="A138"/>
  <c r="A59"/>
  <c r="A71"/>
  <c r="A84"/>
  <c r="A95"/>
  <c r="A137"/>
  <c r="A58"/>
  <c r="A70"/>
  <c r="A83"/>
  <c r="A94"/>
  <c r="A136"/>
  <c r="A57"/>
  <c r="A69"/>
  <c r="A82"/>
  <c r="A93"/>
  <c r="A135"/>
  <c r="A56"/>
  <c r="A68"/>
  <c r="A81"/>
  <c r="A92"/>
  <c r="A134"/>
  <c r="A55"/>
  <c r="A67"/>
  <c r="A80"/>
  <c r="A91"/>
  <c r="A133"/>
  <c r="A54"/>
  <c r="A66"/>
  <c r="A79"/>
  <c r="A90"/>
  <c r="A132"/>
  <c r="A53"/>
  <c r="A65"/>
  <c r="A78"/>
  <c r="A89"/>
  <c r="A131"/>
  <c r="A52"/>
  <c r="A64"/>
  <c r="A77"/>
  <c r="A88"/>
  <c r="A130"/>
  <c r="K129"/>
  <c r="J129"/>
  <c r="I129"/>
  <c r="H129"/>
  <c r="G129"/>
  <c r="F129"/>
  <c r="E129"/>
  <c r="D129"/>
  <c r="C129"/>
  <c r="B129"/>
  <c r="A47"/>
  <c r="A126"/>
  <c r="A46"/>
  <c r="A125"/>
  <c r="A45"/>
  <c r="A124"/>
  <c r="A44"/>
  <c r="A123"/>
  <c r="A43"/>
  <c r="A122"/>
  <c r="A42"/>
  <c r="A121"/>
  <c r="A41"/>
  <c r="A120"/>
  <c r="A40"/>
  <c r="A119"/>
  <c r="A39"/>
  <c r="A118"/>
  <c r="A38"/>
  <c r="A117"/>
  <c r="F99" i="60"/>
  <c r="E99"/>
  <c r="D99"/>
  <c r="C99"/>
  <c r="A53"/>
  <c r="A65"/>
  <c r="A78"/>
  <c r="A89"/>
  <c r="A131"/>
  <c r="A54"/>
  <c r="A66"/>
  <c r="A79"/>
  <c r="A90"/>
  <c r="A132"/>
  <c r="A55"/>
  <c r="A67"/>
  <c r="A80"/>
  <c r="A91"/>
  <c r="A133"/>
  <c r="A56"/>
  <c r="A68"/>
  <c r="A81"/>
  <c r="A92"/>
  <c r="A134"/>
  <c r="A57"/>
  <c r="A69"/>
  <c r="A82"/>
  <c r="A93"/>
  <c r="A135"/>
  <c r="A58"/>
  <c r="A70"/>
  <c r="A83"/>
  <c r="A94"/>
  <c r="A136"/>
  <c r="A59"/>
  <c r="A71"/>
  <c r="A84"/>
  <c r="A95"/>
  <c r="A137"/>
  <c r="A60"/>
  <c r="A72"/>
  <c r="A85"/>
  <c r="A96"/>
  <c r="A138"/>
  <c r="A61"/>
  <c r="A73"/>
  <c r="A86"/>
  <c r="A97"/>
  <c r="A139"/>
  <c r="A52"/>
  <c r="A64"/>
  <c r="A77"/>
  <c r="A88"/>
  <c r="A130"/>
  <c r="K129"/>
  <c r="J129"/>
  <c r="I129"/>
  <c r="H129"/>
  <c r="G129"/>
  <c r="F129"/>
  <c r="E129"/>
  <c r="D129"/>
  <c r="C129"/>
  <c r="B129"/>
  <c r="A39"/>
  <c r="A118"/>
  <c r="A40"/>
  <c r="A119"/>
  <c r="A41"/>
  <c r="A120"/>
  <c r="A42"/>
  <c r="A121"/>
  <c r="A43"/>
  <c r="A122"/>
  <c r="A44"/>
  <c r="A123"/>
  <c r="A45"/>
  <c r="A124"/>
  <c r="A46"/>
  <c r="A125"/>
  <c r="A47"/>
  <c r="A126"/>
  <c r="A38"/>
  <c r="A117"/>
  <c r="J40"/>
  <c r="J41"/>
  <c r="J42"/>
  <c r="J43"/>
  <c r="J44"/>
  <c r="J45"/>
  <c r="J46"/>
  <c r="J47"/>
  <c r="J39"/>
  <c r="O12" i="46"/>
  <c r="B12" i="62"/>
  <c r="B4"/>
  <c r="C12"/>
  <c r="O12"/>
  <c r="B6"/>
  <c r="N6"/>
  <c r="B7"/>
  <c r="N7"/>
  <c r="B8"/>
  <c r="N8"/>
  <c r="B9"/>
  <c r="N9"/>
  <c r="B10"/>
  <c r="N10"/>
  <c r="B11"/>
  <c r="N11"/>
  <c r="N12"/>
  <c r="B13"/>
  <c r="N13"/>
  <c r="B5"/>
  <c r="N5"/>
  <c r="N19"/>
  <c r="N20"/>
  <c r="N21"/>
  <c r="N22"/>
  <c r="N23"/>
  <c r="N24"/>
  <c r="N25"/>
  <c r="N26"/>
  <c r="N18"/>
  <c r="O26"/>
  <c r="A45" i="5"/>
  <c r="B2" i="53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44" i="5"/>
  <c r="A57" i="53"/>
  <c r="A61"/>
  <c r="B2" i="52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51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50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49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2" i="48"/>
  <c r="A4"/>
  <c r="A5"/>
  <c r="A6"/>
  <c r="A7"/>
  <c r="A8"/>
  <c r="A9"/>
  <c r="A10"/>
  <c r="A11"/>
  <c r="A12"/>
  <c r="A13"/>
  <c r="A28"/>
  <c r="A29"/>
  <c r="A30"/>
  <c r="A31"/>
  <c r="A32"/>
  <c r="A33"/>
  <c r="A34"/>
  <c r="A35"/>
  <c r="A36"/>
  <c r="A37"/>
  <c r="A41"/>
  <c r="A45"/>
  <c r="A49"/>
  <c r="A53"/>
  <c r="A57"/>
  <c r="A61"/>
  <c r="B3" i="4"/>
  <c r="C3"/>
  <c r="B4"/>
  <c r="C4"/>
  <c r="B5"/>
  <c r="C5"/>
  <c r="B6"/>
  <c r="C6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B32"/>
  <c r="C32"/>
  <c r="B33"/>
  <c r="C33"/>
  <c r="B34"/>
  <c r="C34"/>
  <c r="B35"/>
  <c r="C35"/>
  <c r="B36"/>
  <c r="C36"/>
  <c r="B37"/>
  <c r="C37"/>
  <c r="B38"/>
  <c r="C38"/>
  <c r="B39"/>
  <c r="C39"/>
  <c r="B40"/>
  <c r="C40"/>
  <c r="B41"/>
  <c r="C41"/>
  <c r="A3" i="62"/>
  <c r="A4"/>
  <c r="C4"/>
  <c r="D4"/>
  <c r="E4"/>
  <c r="F4"/>
  <c r="G4"/>
  <c r="H4"/>
  <c r="I4"/>
  <c r="J4"/>
  <c r="K4"/>
  <c r="L4"/>
  <c r="M4"/>
  <c r="O4"/>
  <c r="A5"/>
  <c r="C5"/>
  <c r="D5"/>
  <c r="E5"/>
  <c r="F5"/>
  <c r="G5"/>
  <c r="H5"/>
  <c r="I5"/>
  <c r="J5"/>
  <c r="K5"/>
  <c r="L5"/>
  <c r="M5"/>
  <c r="O5"/>
  <c r="A6"/>
  <c r="C6"/>
  <c r="D6"/>
  <c r="E6"/>
  <c r="F6"/>
  <c r="G6"/>
  <c r="H6"/>
  <c r="I6"/>
  <c r="J6"/>
  <c r="K6"/>
  <c r="L6"/>
  <c r="M6"/>
  <c r="O6"/>
  <c r="A7"/>
  <c r="C7"/>
  <c r="D7"/>
  <c r="E7"/>
  <c r="F7"/>
  <c r="G7"/>
  <c r="H7"/>
  <c r="I7"/>
  <c r="J7"/>
  <c r="K7"/>
  <c r="L7"/>
  <c r="M7"/>
  <c r="O7"/>
  <c r="A8"/>
  <c r="C8"/>
  <c r="D8"/>
  <c r="E8"/>
  <c r="F8"/>
  <c r="G8"/>
  <c r="H8"/>
  <c r="I8"/>
  <c r="J8"/>
  <c r="K8"/>
  <c r="L8"/>
  <c r="M8"/>
  <c r="O8"/>
  <c r="A9"/>
  <c r="C9"/>
  <c r="D9"/>
  <c r="E9"/>
  <c r="F9"/>
  <c r="G9"/>
  <c r="H9"/>
  <c r="I9"/>
  <c r="J9"/>
  <c r="K9"/>
  <c r="L9"/>
  <c r="M9"/>
  <c r="O9"/>
  <c r="A10"/>
  <c r="C10"/>
  <c r="D10"/>
  <c r="E10"/>
  <c r="F10"/>
  <c r="G10"/>
  <c r="H10"/>
  <c r="I10"/>
  <c r="J10"/>
  <c r="K10"/>
  <c r="L10"/>
  <c r="M10"/>
  <c r="O10"/>
  <c r="A11"/>
  <c r="C11"/>
  <c r="D11"/>
  <c r="E11"/>
  <c r="F11"/>
  <c r="G11"/>
  <c r="H11"/>
  <c r="I11"/>
  <c r="J11"/>
  <c r="K11"/>
  <c r="L11"/>
  <c r="M11"/>
  <c r="O11"/>
  <c r="A12"/>
  <c r="D12"/>
  <c r="E12"/>
  <c r="F12"/>
  <c r="G12"/>
  <c r="H12"/>
  <c r="I12"/>
  <c r="J12"/>
  <c r="K12"/>
  <c r="L12"/>
  <c r="M12"/>
  <c r="A13"/>
  <c r="C13"/>
  <c r="D13"/>
  <c r="E13"/>
  <c r="F13"/>
  <c r="G13"/>
  <c r="H13"/>
  <c r="I13"/>
  <c r="J13"/>
  <c r="K13"/>
  <c r="L13"/>
  <c r="M13"/>
  <c r="O13"/>
  <c r="A16"/>
  <c r="A17"/>
  <c r="O17"/>
  <c r="A18"/>
  <c r="O18"/>
  <c r="A19"/>
  <c r="O19"/>
  <c r="A20"/>
  <c r="O20"/>
  <c r="A21"/>
  <c r="O21"/>
  <c r="A22"/>
  <c r="O22"/>
  <c r="A23"/>
  <c r="O23"/>
  <c r="A24"/>
  <c r="O24"/>
  <c r="A25"/>
  <c r="O25"/>
  <c r="A26"/>
  <c r="A29"/>
  <c r="A30"/>
  <c r="O30"/>
  <c r="A31"/>
  <c r="O31"/>
  <c r="A32"/>
  <c r="O32"/>
  <c r="A33"/>
  <c r="O33"/>
  <c r="A34"/>
  <c r="O34"/>
  <c r="A35"/>
  <c r="O35"/>
  <c r="A36"/>
  <c r="O36"/>
  <c r="A37"/>
  <c r="O37"/>
  <c r="A38"/>
  <c r="O38"/>
  <c r="A39"/>
  <c r="O39"/>
  <c r="A42"/>
  <c r="A43"/>
  <c r="O43"/>
  <c r="A44"/>
  <c r="O44"/>
  <c r="A45"/>
  <c r="O45"/>
  <c r="A46"/>
  <c r="O46"/>
  <c r="A47"/>
  <c r="O47"/>
  <c r="A48"/>
  <c r="O48"/>
  <c r="A49"/>
  <c r="O49"/>
  <c r="A50"/>
  <c r="O50"/>
  <c r="A51"/>
  <c r="O51"/>
  <c r="A52"/>
  <c r="O52"/>
  <c r="A55"/>
  <c r="A56"/>
  <c r="O56"/>
  <c r="A57"/>
  <c r="O57"/>
  <c r="A58"/>
  <c r="O58"/>
  <c r="A59"/>
  <c r="O59"/>
  <c r="A60"/>
  <c r="O60"/>
  <c r="A61"/>
  <c r="O61"/>
  <c r="A62"/>
  <c r="O62"/>
  <c r="A63"/>
  <c r="O63"/>
  <c r="A64"/>
  <c r="O64"/>
  <c r="A65"/>
  <c r="O65"/>
  <c r="B1" i="66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B1" i="65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B1" i="64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B1" i="60"/>
  <c r="B51"/>
  <c r="C51"/>
  <c r="D51"/>
  <c r="E51"/>
  <c r="F51"/>
  <c r="G51"/>
  <c r="H51"/>
  <c r="I51"/>
  <c r="J51"/>
  <c r="K51"/>
  <c r="A62"/>
  <c r="B63"/>
  <c r="C63"/>
  <c r="D63"/>
  <c r="E63"/>
  <c r="F63"/>
  <c r="G63"/>
  <c r="H63"/>
  <c r="I63"/>
  <c r="J63"/>
  <c r="K63"/>
  <c r="B76"/>
  <c r="C76"/>
  <c r="D76"/>
  <c r="E76"/>
  <c r="F76"/>
  <c r="G76"/>
  <c r="H76"/>
  <c r="I76"/>
  <c r="J76"/>
  <c r="K76"/>
  <c r="B87"/>
  <c r="C87"/>
  <c r="D87"/>
  <c r="E87"/>
  <c r="F87"/>
  <c r="G87"/>
  <c r="H87"/>
  <c r="I87"/>
  <c r="J87"/>
  <c r="K87"/>
  <c r="A99"/>
  <c r="B98"/>
  <c r="A100"/>
  <c r="C98"/>
  <c r="A101"/>
  <c r="D98"/>
  <c r="A102"/>
  <c r="E98"/>
  <c r="A103"/>
  <c r="F98"/>
  <c r="A104"/>
  <c r="G98"/>
  <c r="A105"/>
  <c r="H98"/>
  <c r="A106"/>
  <c r="I98"/>
  <c r="A107"/>
  <c r="J98"/>
  <c r="A108"/>
  <c r="K98"/>
  <c r="A3" i="46"/>
  <c r="A4"/>
  <c r="O4"/>
  <c r="A5"/>
  <c r="O5"/>
  <c r="A6"/>
  <c r="O6"/>
  <c r="A7"/>
  <c r="O7"/>
  <c r="A8"/>
  <c r="O8"/>
  <c r="A9"/>
  <c r="O9"/>
  <c r="A10"/>
  <c r="O10"/>
  <c r="A11"/>
  <c r="O11"/>
  <c r="A12"/>
  <c r="A13"/>
  <c r="O13"/>
  <c r="A16"/>
  <c r="A17"/>
  <c r="O17"/>
  <c r="A18"/>
  <c r="O18"/>
  <c r="A19"/>
  <c r="O19"/>
  <c r="A20"/>
  <c r="O20"/>
  <c r="A21"/>
  <c r="O21"/>
  <c r="A22"/>
  <c r="O22"/>
  <c r="A23"/>
  <c r="O23"/>
  <c r="A24"/>
  <c r="O24"/>
  <c r="A25"/>
  <c r="O25"/>
  <c r="A26"/>
  <c r="O26"/>
  <c r="A29"/>
  <c r="A30"/>
  <c r="O30"/>
  <c r="A31"/>
  <c r="O31"/>
  <c r="A32"/>
  <c r="O32"/>
  <c r="A33"/>
  <c r="O33"/>
  <c r="A34"/>
  <c r="O34"/>
  <c r="A35"/>
  <c r="O35"/>
  <c r="A36"/>
  <c r="O36"/>
  <c r="A37"/>
  <c r="O37"/>
  <c r="A38"/>
  <c r="O38"/>
  <c r="A39"/>
  <c r="O39"/>
  <c r="A42"/>
  <c r="A43"/>
  <c r="O43"/>
  <c r="A44"/>
  <c r="O44"/>
  <c r="A45"/>
  <c r="O45"/>
  <c r="A46"/>
  <c r="O46"/>
  <c r="A47"/>
  <c r="O47"/>
  <c r="A48"/>
  <c r="O48"/>
  <c r="A49"/>
  <c r="O49"/>
  <c r="A50"/>
  <c r="O50"/>
  <c r="A51"/>
  <c r="O51"/>
  <c r="A52"/>
  <c r="O52"/>
  <c r="A55"/>
  <c r="A56"/>
  <c r="O56"/>
  <c r="A57"/>
  <c r="O57"/>
  <c r="A58"/>
  <c r="O58"/>
  <c r="A59"/>
  <c r="O59"/>
  <c r="A60"/>
  <c r="O60"/>
  <c r="A61"/>
  <c r="O61"/>
  <c r="A62"/>
  <c r="O62"/>
  <c r="A63"/>
  <c r="O63"/>
  <c r="A64"/>
  <c r="O64"/>
  <c r="A65"/>
  <c r="O65"/>
  <c r="A3" i="45"/>
  <c r="A4"/>
  <c r="A5"/>
  <c r="B5"/>
  <c r="C5"/>
  <c r="D5"/>
  <c r="E5"/>
  <c r="G5"/>
  <c r="H5"/>
  <c r="I5"/>
  <c r="J5"/>
  <c r="A6"/>
  <c r="A7"/>
  <c r="A8"/>
  <c r="A9"/>
  <c r="A10"/>
  <c r="A11"/>
  <c r="A12"/>
  <c r="B15"/>
  <c r="C15"/>
  <c r="D15"/>
  <c r="E15"/>
  <c r="A16"/>
  <c r="A17"/>
  <c r="B20"/>
  <c r="C20"/>
  <c r="D20"/>
  <c r="E20"/>
  <c r="A21"/>
  <c r="A22"/>
  <c r="A23"/>
  <c r="A24"/>
  <c r="A25"/>
  <c r="A26"/>
  <c r="A27"/>
  <c r="A28"/>
  <c r="A29"/>
  <c r="A30"/>
  <c r="C22" i="5"/>
  <c r="D22"/>
  <c r="E22"/>
  <c r="F22"/>
  <c r="E100"/>
  <c r="E101"/>
  <c r="E103"/>
  <c r="E106"/>
  <c r="E107"/>
  <c r="E108"/>
  <c r="A109"/>
  <c r="D111"/>
  <c r="E111"/>
  <c r="D112"/>
  <c r="E112"/>
  <c r="D113"/>
  <c r="E113"/>
  <c r="D114"/>
  <c r="E114"/>
  <c r="D115"/>
  <c r="E115"/>
  <c r="D116"/>
  <c r="E116"/>
  <c r="D117"/>
  <c r="E117"/>
  <c r="D118"/>
  <c r="E118"/>
  <c r="D119"/>
  <c r="E119"/>
  <c r="D120"/>
  <c r="E120"/>
  <c r="A133" a="1"/>
  <c r="A133"/>
  <c r="A134"/>
  <c r="A135"/>
  <c r="A136"/>
  <c r="E136"/>
  <c r="A137"/>
  <c r="E137"/>
  <c r="A138"/>
  <c r="E138"/>
  <c r="A139"/>
  <c r="E139"/>
  <c r="A140"/>
  <c r="E140"/>
  <c r="A141"/>
  <c r="E141"/>
  <c r="A142"/>
  <c r="A143"/>
  <c r="E143"/>
  <c r="A144"/>
  <c r="E144"/>
  <c r="A145"/>
  <c r="E145"/>
  <c r="A146"/>
  <c r="E146"/>
  <c r="A147"/>
  <c r="E147"/>
  <c r="A148"/>
  <c r="E148"/>
  <c r="A149"/>
  <c r="A150"/>
  <c r="A151"/>
  <c r="A152"/>
  <c r="A153"/>
</calcChain>
</file>

<file path=xl/sharedStrings.xml><?xml version="1.0" encoding="utf-8"?>
<sst xmlns="http://schemas.openxmlformats.org/spreadsheetml/2006/main" count="1659" uniqueCount="203">
  <si>
    <t>EMD</t>
  </si>
  <si>
    <t>OG</t>
  </si>
  <si>
    <t>Nominale matching</t>
  </si>
  <si>
    <t>Reele matching</t>
  </si>
  <si>
    <t>High Yield</t>
  </si>
  <si>
    <t>Hedge funds</t>
  </si>
  <si>
    <t>Commodities</t>
  </si>
  <si>
    <t>Correlaties</t>
  </si>
  <si>
    <t>Jaar\categorie</t>
  </si>
  <si>
    <t>Stap 1: schatten gemiddelden en covariantiematrix</t>
  </si>
  <si>
    <t>Steekproef</t>
  </si>
  <si>
    <t>Eerste jaar</t>
  </si>
  <si>
    <t>Laatste jaar</t>
  </si>
  <si>
    <t>Bepaal verwachte rendementen op basis van IR analyse</t>
  </si>
  <si>
    <t>Benchmark reeks</t>
  </si>
  <si>
    <t>Geen</t>
  </si>
  <si>
    <t>Informatie ratio (inverse)</t>
  </si>
  <si>
    <t>Rendement benchmark</t>
  </si>
  <si>
    <t xml:space="preserve">      </t>
  </si>
  <si>
    <t xml:space="preserve">Laatst </t>
  </si>
  <si>
    <t>gebruikt</t>
  </si>
  <si>
    <t>Groei recessie</t>
  </si>
  <si>
    <t>Scenario 1</t>
  </si>
  <si>
    <t>Scenario 2</t>
  </si>
  <si>
    <t>Scenario 3</t>
  </si>
  <si>
    <t>Scenario 4</t>
  </si>
  <si>
    <t>Minimaal rendement</t>
  </si>
  <si>
    <t>Stap 3: optimalisatie per scenario</t>
  </si>
  <si>
    <t>Niet</t>
  </si>
  <si>
    <t>Rendement</t>
  </si>
  <si>
    <t>Tracking error</t>
  </si>
  <si>
    <t>Sorteer berekende portefeuilles op</t>
  </si>
  <si>
    <t>Aantal iteraties in optimalisatie</t>
  </si>
  <si>
    <t>Naar matlab</t>
  </si>
  <si>
    <t>Aantal portefeuilles (max 250)</t>
  </si>
  <si>
    <t>Benchmark rendement geldt ook voor</t>
  </si>
  <si>
    <t>Basis</t>
  </si>
  <si>
    <t>Schuld deflatie</t>
  </si>
  <si>
    <t>Kansgewogen</t>
  </si>
  <si>
    <t>Restricties op portefeuillegewichten</t>
  </si>
  <si>
    <t>Maximale TE</t>
  </si>
  <si>
    <t>Minimaal</t>
  </si>
  <si>
    <t>Maximaal</t>
  </si>
  <si>
    <t>Totaal portefeuille</t>
  </si>
  <si>
    <t>Binnen matching/return portefeuille</t>
  </si>
  <si>
    <t>Categorie valt in</t>
  </si>
  <si>
    <t>Matching portefeuille</t>
  </si>
  <si>
    <t>Return portefeuille</t>
  </si>
  <si>
    <t>Naar Matlab</t>
  </si>
  <si>
    <t>Benchmark IR</t>
  </si>
  <si>
    <t>Benchmark IR - 2</t>
  </si>
  <si>
    <t>Sorteren mixen</t>
  </si>
  <si>
    <t>TE - 1</t>
  </si>
  <si>
    <t>TE - 2</t>
  </si>
  <si>
    <t>Benchmarks optimalisatie</t>
  </si>
  <si>
    <t>Indeling categorieën</t>
  </si>
  <si>
    <t>Tracking error - 2</t>
  </si>
  <si>
    <t xml:space="preserve">Maximale TE - 2 </t>
  </si>
  <si>
    <t>Unisys</t>
  </si>
  <si>
    <t>MITT</t>
  </si>
  <si>
    <t>B&amp;W</t>
  </si>
  <si>
    <t>Campagne</t>
  </si>
  <si>
    <t>Cargill</t>
  </si>
  <si>
    <t>Forbo</t>
  </si>
  <si>
    <t>Koopvaardij</t>
  </si>
  <si>
    <t>Nutreco</t>
  </si>
  <si>
    <t>OPF</t>
  </si>
  <si>
    <t>PME</t>
  </si>
  <si>
    <t>PMT</t>
  </si>
  <si>
    <t>Productschappen</t>
  </si>
  <si>
    <t>SCA Anker</t>
  </si>
  <si>
    <t>SCA Hygiene</t>
  </si>
  <si>
    <t>Klant</t>
  </si>
  <si>
    <t>Credits</t>
  </si>
  <si>
    <t>Doorrekenen</t>
  </si>
  <si>
    <t>Ja</t>
  </si>
  <si>
    <t>Nee</t>
  </si>
  <si>
    <t>Nominale VPV</t>
  </si>
  <si>
    <t>Reele VPV</t>
  </si>
  <si>
    <t>Klanten</t>
  </si>
  <si>
    <t>Definieer matching portefeuilles</t>
  </si>
  <si>
    <t>Excess return</t>
  </si>
  <si>
    <t>Aandelen ontw</t>
  </si>
  <si>
    <t>Aandelen opk</t>
  </si>
  <si>
    <t>Reële matching</t>
  </si>
  <si>
    <t>Reeks</t>
  </si>
  <si>
    <t>Huidige allocatie</t>
  </si>
  <si>
    <t>Max afwijking</t>
  </si>
  <si>
    <t>Maximale turnover</t>
  </si>
  <si>
    <t>Benchmarks</t>
  </si>
  <si>
    <t>Scenario 5</t>
  </si>
  <si>
    <t>Scenario 6</t>
  </si>
  <si>
    <t>Basis (IR)</t>
  </si>
  <si>
    <t>Doelstelling</t>
  </si>
  <si>
    <t>Max rendement</t>
  </si>
  <si>
    <t>Min tracking error 1</t>
  </si>
  <si>
    <t>Min tracking error 2</t>
  </si>
  <si>
    <t>Input matlab:</t>
  </si>
  <si>
    <t>Scenario \ Benchmark reeks</t>
  </si>
  <si>
    <t>Reële groei (VS)</t>
  </si>
  <si>
    <t>Inflatie (VS)</t>
  </si>
  <si>
    <t>Visies op rendementen</t>
  </si>
  <si>
    <t>Inflatie is een fiscaal verschijnsel</t>
  </si>
  <si>
    <t>Visies op factoren (gebruikt voor schatting covariantiematrix)</t>
  </si>
  <si>
    <t>Vermogenseffect &amp; innovatie</t>
  </si>
  <si>
    <t>Inflatie is fiscaal</t>
  </si>
  <si>
    <t xml:space="preserve">Vermogenseffect </t>
  </si>
  <si>
    <t>Scenarios</t>
  </si>
  <si>
    <t>Stap 2: verwerk visies</t>
  </si>
  <si>
    <t>Kans per visie</t>
  </si>
  <si>
    <t>Parameters voor Lower Partial Moments</t>
  </si>
  <si>
    <t>Orde</t>
  </si>
  <si>
    <t>Orde LPM</t>
  </si>
  <si>
    <t>Restricties voor optimalisatie</t>
  </si>
  <si>
    <t>LPM</t>
  </si>
  <si>
    <t>Risico- en rendementsdoelstellingen</t>
  </si>
  <si>
    <t>Gemiddelde</t>
  </si>
  <si>
    <t>Stdev</t>
  </si>
  <si>
    <t>Nom</t>
  </si>
  <si>
    <t>Reeel</t>
  </si>
  <si>
    <t>HY</t>
  </si>
  <si>
    <t>A ontw</t>
  </si>
  <si>
    <t>A opk</t>
  </si>
  <si>
    <t>HF</t>
  </si>
  <si>
    <t>Comm</t>
  </si>
  <si>
    <t>Aanpassingen o.b.v. visies</t>
  </si>
  <si>
    <t>Doelrendement (tov benchmark)</t>
  </si>
  <si>
    <t>Mixen die voldoen aan risico en rendement doelstelling</t>
  </si>
  <si>
    <t>Naam scenario</t>
  </si>
  <si>
    <t>Nummer</t>
  </si>
  <si>
    <t>Categorie\Mix</t>
  </si>
  <si>
    <t>Implied returns</t>
  </si>
  <si>
    <t>Risico aversie parameter</t>
  </si>
  <si>
    <t>Evaluatie mixen per scenario</t>
  </si>
  <si>
    <t>Stap 1: basis IR analyse</t>
  </si>
  <si>
    <t>Gemiddelde mix</t>
  </si>
  <si>
    <t>Percentielen</t>
  </si>
  <si>
    <t>Principale componenten</t>
  </si>
  <si>
    <t>Plot rendementsverdeling</t>
  </si>
  <si>
    <t>Visies: EXTRA schalingsfactor op (absolute) volatiliteit</t>
  </si>
  <si>
    <t>Categorie\Gewichten binnen return portefeuille</t>
  </si>
  <si>
    <t>NaN</t>
  </si>
  <si>
    <t>Voor Grafiek:</t>
  </si>
  <si>
    <t>Return</t>
  </si>
  <si>
    <t>Naam</t>
  </si>
  <si>
    <t>View</t>
  </si>
  <si>
    <t>Scoring</t>
  </si>
  <si>
    <t>No change</t>
  </si>
  <si>
    <t>Very bearish</t>
  </si>
  <si>
    <t>Bearish</t>
  </si>
  <si>
    <t>No opinion</t>
  </si>
  <si>
    <t>Bullish</t>
  </si>
  <si>
    <t>Very bullish</t>
  </si>
  <si>
    <t>Corr</t>
  </si>
  <si>
    <t>Strong increase</t>
  </si>
  <si>
    <t>Decrease</t>
  </si>
  <si>
    <t>Increase</t>
  </si>
  <si>
    <t>Strong decrease</t>
  </si>
  <si>
    <t>Standaarddeviaties en correlaties</t>
  </si>
  <si>
    <t>Gewichten: verwachte rendementen</t>
  </si>
  <si>
    <t>Gewichten: verwachte standaarddeviaties en correlaties</t>
  </si>
  <si>
    <t>Rendementen</t>
  </si>
  <si>
    <t>Economische visie</t>
  </si>
  <si>
    <t>Meenemen?</t>
  </si>
  <si>
    <t>Verschuiving t.o.v. basis</t>
  </si>
  <si>
    <t>Meenemen verschuiving</t>
  </si>
  <si>
    <t>Aangepaste verschuiving</t>
  </si>
  <si>
    <t>Opletten op symmetrie!!</t>
  </si>
  <si>
    <t>delta</t>
  </si>
  <si>
    <t>Kans</t>
  </si>
  <si>
    <t>Opgeslagen verschuivingen</t>
  </si>
  <si>
    <t>Verschuivingen</t>
  </si>
  <si>
    <t>Covariantiematrix</t>
  </si>
  <si>
    <t>Maximale omvang matching portefeuille</t>
  </si>
  <si>
    <t>Nominaal</t>
  </si>
  <si>
    <t>Emerging market debt</t>
  </si>
  <si>
    <t>Aandelen ontwikkeld</t>
  </si>
  <si>
    <t>Aandelen opkomend</t>
  </si>
  <si>
    <t>Onroerend goed</t>
  </si>
  <si>
    <t>Modellering derivaten</t>
  </si>
  <si>
    <t>Derivaat 1</t>
  </si>
  <si>
    <t>Derivaat 2</t>
  </si>
  <si>
    <t>Derivaat 3</t>
  </si>
  <si>
    <t>Derivaat 4</t>
  </si>
  <si>
    <t>Onderliggende</t>
  </si>
  <si>
    <t>Type</t>
  </si>
  <si>
    <t>Relatieve strike</t>
  </si>
  <si>
    <t>Implied vol</t>
  </si>
  <si>
    <t>Risicovrije rente</t>
  </si>
  <si>
    <t>Relatieve prijs</t>
  </si>
  <si>
    <t>Derivaat 5</t>
  </si>
  <si>
    <t>Te analyseren portefeuilles</t>
  </si>
  <si>
    <t>Put</t>
  </si>
  <si>
    <t>Call</t>
  </si>
  <si>
    <t>S/P</t>
  </si>
  <si>
    <t>Aantal scenario's</t>
  </si>
  <si>
    <t>Naam:</t>
  </si>
  <si>
    <t>Zonder derivaten</t>
  </si>
  <si>
    <t>Met derivaten</t>
  </si>
  <si>
    <t>IDF</t>
  </si>
  <si>
    <t>Huidig dekkingsniveau</t>
  </si>
  <si>
    <t>Voor grafiek: ondergrens</t>
  </si>
  <si>
    <t>bovengrens</t>
  </si>
</sst>
</file>

<file path=xl/styles.xml><?xml version="1.0" encoding="utf-8"?>
<styleSheet xmlns="http://schemas.openxmlformats.org/spreadsheetml/2006/main">
  <numFmts count="1">
    <numFmt numFmtId="180" formatCode="0.0%"/>
  </numFmts>
  <fonts count="14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Helv"/>
    </font>
    <font>
      <sz val="10"/>
      <color indexed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2"/>
      <color indexed="8"/>
      <name val="Arial"/>
      <family val="2"/>
    </font>
    <font>
      <sz val="14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 style="thick">
        <color indexed="10"/>
      </right>
      <top/>
      <bottom/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/>
      <bottom/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ck">
        <color indexed="10"/>
      </left>
      <right/>
      <top/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/>
      <right style="thick">
        <color indexed="10"/>
      </right>
      <top style="thin">
        <color indexed="64"/>
      </top>
      <bottom/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 style="thin">
        <color indexed="64"/>
      </right>
      <top/>
      <bottom style="thick">
        <color indexed="10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5" fillId="0" borderId="1"/>
    <xf numFmtId="9" fontId="1" fillId="0" borderId="0" applyFont="0" applyFill="0" applyBorder="0" applyAlignment="0" applyProtection="0"/>
  </cellStyleXfs>
  <cellXfs count="26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5" xfId="0" applyFont="1" applyBorder="1"/>
    <xf numFmtId="0" fontId="3" fillId="0" borderId="6" xfId="0" applyFont="1" applyBorder="1" applyAlignment="1">
      <alignment horizontal="center"/>
    </xf>
    <xf numFmtId="0" fontId="3" fillId="0" borderId="7" xfId="0" applyFont="1" applyBorder="1"/>
    <xf numFmtId="0" fontId="3" fillId="0" borderId="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" xfId="0" applyBorder="1"/>
    <xf numFmtId="0" fontId="0" fillId="0" borderId="7" xfId="0" applyBorder="1"/>
    <xf numFmtId="180" fontId="0" fillId="0" borderId="1" xfId="2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9" fontId="0" fillId="2" borderId="0" xfId="2" applyFont="1" applyFill="1" applyAlignment="1">
      <alignment horizontal="center"/>
    </xf>
    <xf numFmtId="9" fontId="0" fillId="0" borderId="0" xfId="0" applyNumberFormat="1"/>
    <xf numFmtId="0" fontId="0" fillId="0" borderId="0" xfId="0" applyBorder="1"/>
    <xf numFmtId="180" fontId="0" fillId="0" borderId="0" xfId="2" applyNumberFormat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180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180" fontId="0" fillId="0" borderId="0" xfId="0" applyNumberFormat="1"/>
    <xf numFmtId="9" fontId="0" fillId="0" borderId="1" xfId="0" applyNumberForma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0" fillId="3" borderId="0" xfId="0" applyFill="1" applyBorder="1" applyAlignment="1">
      <alignment horizontal="center"/>
    </xf>
    <xf numFmtId="180" fontId="0" fillId="0" borderId="3" xfId="0" applyNumberFormat="1" applyBorder="1" applyAlignment="1">
      <alignment horizontal="center"/>
    </xf>
    <xf numFmtId="180" fontId="0" fillId="0" borderId="4" xfId="0" applyNumberFormat="1" applyBorder="1" applyAlignment="1">
      <alignment horizontal="center"/>
    </xf>
    <xf numFmtId="0" fontId="4" fillId="0" borderId="8" xfId="0" applyFont="1" applyBorder="1"/>
    <xf numFmtId="9" fontId="0" fillId="0" borderId="1" xfId="0" applyNumberFormat="1" applyBorder="1"/>
    <xf numFmtId="180" fontId="4" fillId="0" borderId="1" xfId="0" applyNumberFormat="1" applyFont="1" applyBorder="1" applyAlignment="1">
      <alignment horizontal="center"/>
    </xf>
    <xf numFmtId="180" fontId="0" fillId="0" borderId="1" xfId="0" applyNumberFormat="1" applyBorder="1" applyAlignment="1">
      <alignment horizontal="center"/>
    </xf>
    <xf numFmtId="180" fontId="0" fillId="0" borderId="7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Fill="1" applyBorder="1"/>
    <xf numFmtId="10" fontId="0" fillId="0" borderId="1" xfId="0" applyNumberFormat="1" applyBorder="1" applyAlignment="1">
      <alignment horizontal="center"/>
    </xf>
    <xf numFmtId="10" fontId="1" fillId="0" borderId="0" xfId="2" applyNumberFormat="1"/>
    <xf numFmtId="10" fontId="0" fillId="0" borderId="0" xfId="0" applyNumberFormat="1"/>
    <xf numFmtId="0" fontId="0" fillId="3" borderId="0" xfId="0" applyFill="1"/>
    <xf numFmtId="0" fontId="0" fillId="3" borderId="0" xfId="0" applyFill="1" applyBorder="1"/>
    <xf numFmtId="180" fontId="0" fillId="3" borderId="0" xfId="2" applyNumberFormat="1" applyFont="1" applyFill="1" applyBorder="1"/>
    <xf numFmtId="180" fontId="0" fillId="3" borderId="0" xfId="2" applyNumberFormat="1" applyFont="1" applyFill="1"/>
    <xf numFmtId="0" fontId="0" fillId="0" borderId="9" xfId="0" applyBorder="1"/>
    <xf numFmtId="0" fontId="0" fillId="0" borderId="10" xfId="0" applyBorder="1"/>
    <xf numFmtId="180" fontId="0" fillId="0" borderId="11" xfId="2" applyNumberFormat="1" applyFont="1" applyBorder="1"/>
    <xf numFmtId="180" fontId="6" fillId="0" borderId="0" xfId="2" applyNumberFormat="1" applyFont="1" applyBorder="1"/>
    <xf numFmtId="10" fontId="6" fillId="0" borderId="0" xfId="0" applyNumberFormat="1" applyFont="1"/>
    <xf numFmtId="10" fontId="6" fillId="0" borderId="0" xfId="2" applyNumberFormat="1" applyFont="1" applyFill="1" applyBorder="1"/>
    <xf numFmtId="0" fontId="3" fillId="0" borderId="8" xfId="0" applyFont="1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3" borderId="0" xfId="0" applyFill="1" applyAlignment="1">
      <alignment horizontal="center"/>
    </xf>
    <xf numFmtId="9" fontId="0" fillId="0" borderId="5" xfId="0" applyNumberFormat="1" applyBorder="1" applyAlignment="1">
      <alignment horizontal="center"/>
    </xf>
    <xf numFmtId="0" fontId="0" fillId="0" borderId="1" xfId="0" applyFill="1" applyBorder="1"/>
    <xf numFmtId="9" fontId="0" fillId="0" borderId="0" xfId="2" applyFont="1" applyBorder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3" xfId="0" applyBorder="1"/>
    <xf numFmtId="9" fontId="0" fillId="0" borderId="14" xfId="0" applyNumberFormat="1" applyBorder="1" applyAlignment="1">
      <alignment horizontal="center"/>
    </xf>
    <xf numFmtId="9" fontId="0" fillId="0" borderId="10" xfId="2" applyFont="1" applyBorder="1" applyAlignment="1">
      <alignment horizontal="center"/>
    </xf>
    <xf numFmtId="9" fontId="0" fillId="0" borderId="2" xfId="2" applyFont="1" applyBorder="1" applyAlignment="1">
      <alignment horizontal="center"/>
    </xf>
    <xf numFmtId="9" fontId="0" fillId="0" borderId="8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0" fontId="3" fillId="0" borderId="12" xfId="0" applyFont="1" applyBorder="1"/>
    <xf numFmtId="9" fontId="4" fillId="0" borderId="1" xfId="0" applyNumberFormat="1" applyFont="1" applyBorder="1"/>
    <xf numFmtId="9" fontId="4" fillId="0" borderId="7" xfId="0" applyNumberFormat="1" applyFont="1" applyBorder="1"/>
    <xf numFmtId="0" fontId="4" fillId="0" borderId="1" xfId="0" applyFont="1" applyBorder="1"/>
    <xf numFmtId="0" fontId="4" fillId="0" borderId="7" xfId="0" applyFont="1" applyBorder="1"/>
    <xf numFmtId="180" fontId="0" fillId="0" borderId="11" xfId="2" applyNumberFormat="1" applyFont="1" applyBorder="1" applyAlignment="1">
      <alignment horizontal="center"/>
    </xf>
    <xf numFmtId="0" fontId="0" fillId="0" borderId="9" xfId="0" applyBorder="1" applyAlignment="1">
      <alignment horizontal="right"/>
    </xf>
    <xf numFmtId="0" fontId="0" fillId="0" borderId="11" xfId="0" applyBorder="1" applyAlignment="1">
      <alignment horizontal="right"/>
    </xf>
    <xf numFmtId="0" fontId="8" fillId="0" borderId="0" xfId="0" applyFont="1"/>
    <xf numFmtId="0" fontId="0" fillId="0" borderId="8" xfId="0" applyBorder="1" applyAlignment="1">
      <alignment horizontal="right"/>
    </xf>
    <xf numFmtId="0" fontId="0" fillId="0" borderId="7" xfId="0" applyBorder="1" applyAlignment="1">
      <alignment horizontal="right"/>
    </xf>
    <xf numFmtId="9" fontId="3" fillId="0" borderId="0" xfId="0" applyNumberFormat="1" applyFont="1" applyAlignment="1">
      <alignment horizontal="center"/>
    </xf>
    <xf numFmtId="0" fontId="7" fillId="0" borderId="7" xfId="0" applyFont="1" applyBorder="1" applyAlignment="1">
      <alignment horizontal="center"/>
    </xf>
    <xf numFmtId="9" fontId="3" fillId="0" borderId="8" xfId="0" applyNumberFormat="1" applyFont="1" applyBorder="1" applyAlignment="1">
      <alignment horizontal="center"/>
    </xf>
    <xf numFmtId="9" fontId="3" fillId="0" borderId="10" xfId="0" applyNumberFormat="1" applyFont="1" applyBorder="1" applyAlignment="1">
      <alignment horizontal="center"/>
    </xf>
    <xf numFmtId="9" fontId="3" fillId="0" borderId="2" xfId="0" applyNumberFormat="1" applyFont="1" applyBorder="1" applyAlignment="1">
      <alignment horizontal="center"/>
    </xf>
    <xf numFmtId="180" fontId="0" fillId="0" borderId="0" xfId="2" applyNumberFormat="1" applyFont="1" applyAlignment="1">
      <alignment horizontal="center"/>
    </xf>
    <xf numFmtId="180" fontId="6" fillId="0" borderId="0" xfId="2" applyNumberFormat="1" applyFont="1" applyAlignment="1">
      <alignment horizontal="center"/>
    </xf>
    <xf numFmtId="0" fontId="4" fillId="0" borderId="0" xfId="0" applyFont="1" applyAlignment="1">
      <alignment horizontal="right"/>
    </xf>
    <xf numFmtId="9" fontId="4" fillId="0" borderId="0" xfId="0" applyNumberFormat="1" applyFont="1" applyBorder="1"/>
    <xf numFmtId="18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180" fontId="0" fillId="0" borderId="7" xfId="2" applyNumberFormat="1" applyFont="1" applyBorder="1" applyAlignment="1">
      <alignment horizontal="center"/>
    </xf>
    <xf numFmtId="180" fontId="0" fillId="0" borderId="0" xfId="2" applyNumberFormat="1" applyFont="1" applyBorder="1" applyAlignment="1">
      <alignment horizontal="center"/>
    </xf>
    <xf numFmtId="9" fontId="3" fillId="0" borderId="0" xfId="0" applyNumberFormat="1" applyFont="1"/>
    <xf numFmtId="2" fontId="0" fillId="0" borderId="0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80" fontId="0" fillId="0" borderId="14" xfId="2" applyNumberFormat="1" applyFon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9" fontId="3" fillId="0" borderId="5" xfId="0" applyNumberFormat="1" applyFont="1" applyBorder="1"/>
    <xf numFmtId="0" fontId="3" fillId="0" borderId="15" xfId="0" applyFont="1" applyBorder="1" applyAlignment="1">
      <alignment horizontal="center"/>
    </xf>
    <xf numFmtId="0" fontId="3" fillId="0" borderId="15" xfId="0" applyFont="1" applyFill="1" applyBorder="1" applyAlignment="1">
      <alignment horizontal="center"/>
    </xf>
    <xf numFmtId="2" fontId="0" fillId="0" borderId="0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2" fontId="0" fillId="0" borderId="14" xfId="0" applyNumberFormat="1" applyBorder="1" applyAlignment="1">
      <alignment horizontal="right"/>
    </xf>
    <xf numFmtId="0" fontId="0" fillId="0" borderId="15" xfId="0" applyBorder="1"/>
    <xf numFmtId="180" fontId="1" fillId="0" borderId="0" xfId="2" applyNumberFormat="1" applyBorder="1"/>
    <xf numFmtId="180" fontId="1" fillId="0" borderId="14" xfId="2" applyNumberFormat="1" applyBorder="1"/>
    <xf numFmtId="180" fontId="1" fillId="0" borderId="0" xfId="2" applyNumberFormat="1" applyBorder="1" applyAlignment="1">
      <alignment horizontal="right"/>
    </xf>
    <xf numFmtId="180" fontId="1" fillId="0" borderId="14" xfId="2" applyNumberFormat="1" applyBorder="1" applyAlignment="1">
      <alignment horizontal="right"/>
    </xf>
    <xf numFmtId="2" fontId="1" fillId="0" borderId="6" xfId="2" applyNumberFormat="1" applyBorder="1"/>
    <xf numFmtId="2" fontId="1" fillId="0" borderId="15" xfId="2" applyNumberFormat="1" applyBorder="1" applyAlignment="1">
      <alignment horizontal="right"/>
    </xf>
    <xf numFmtId="2" fontId="1" fillId="0" borderId="15" xfId="2" applyNumberFormat="1" applyBorder="1"/>
    <xf numFmtId="0" fontId="0" fillId="0" borderId="8" xfId="0" applyBorder="1"/>
    <xf numFmtId="180" fontId="0" fillId="0" borderId="10" xfId="2" applyNumberFormat="1" applyFont="1" applyBorder="1" applyAlignment="1">
      <alignment horizontal="right"/>
    </xf>
    <xf numFmtId="180" fontId="0" fillId="0" borderId="10" xfId="2" applyNumberFormat="1" applyFont="1" applyBorder="1"/>
    <xf numFmtId="180" fontId="0" fillId="0" borderId="0" xfId="2" applyNumberFormat="1" applyFont="1" applyBorder="1" applyAlignment="1">
      <alignment horizontal="right"/>
    </xf>
    <xf numFmtId="180" fontId="0" fillId="0" borderId="14" xfId="2" applyNumberFormat="1" applyFont="1" applyBorder="1"/>
    <xf numFmtId="180" fontId="0" fillId="0" borderId="14" xfId="2" applyNumberFormat="1" applyFont="1" applyBorder="1" applyAlignment="1">
      <alignment horizontal="right"/>
    </xf>
    <xf numFmtId="9" fontId="3" fillId="0" borderId="12" xfId="0" applyNumberFormat="1" applyFont="1" applyBorder="1"/>
    <xf numFmtId="180" fontId="0" fillId="0" borderId="7" xfId="2" applyNumberFormat="1" applyFont="1" applyBorder="1"/>
    <xf numFmtId="0" fontId="0" fillId="0" borderId="0" xfId="0" applyFill="1" applyBorder="1"/>
    <xf numFmtId="180" fontId="1" fillId="0" borderId="10" xfId="2" applyNumberFormat="1" applyBorder="1"/>
    <xf numFmtId="0" fontId="0" fillId="0" borderId="0" xfId="0" applyAlignment="1">
      <alignment horizontal="right"/>
    </xf>
    <xf numFmtId="9" fontId="3" fillId="0" borderId="15" xfId="0" applyNumberFormat="1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9" fontId="3" fillId="0" borderId="6" xfId="0" applyNumberFormat="1" applyFont="1" applyBorder="1" applyAlignment="1">
      <alignment horizontal="center"/>
    </xf>
    <xf numFmtId="180" fontId="0" fillId="0" borderId="13" xfId="2" applyNumberFormat="1" applyFont="1" applyBorder="1" applyAlignment="1">
      <alignment horizontal="center"/>
    </xf>
    <xf numFmtId="180" fontId="3" fillId="0" borderId="15" xfId="2" applyNumberFormat="1" applyFont="1" applyBorder="1" applyAlignment="1">
      <alignment horizontal="center"/>
    </xf>
    <xf numFmtId="180" fontId="3" fillId="0" borderId="15" xfId="2" applyNumberFormat="1" applyFont="1" applyFill="1" applyBorder="1" applyAlignment="1">
      <alignment horizontal="center"/>
    </xf>
    <xf numFmtId="180" fontId="3" fillId="0" borderId="6" xfId="2" applyNumberFormat="1" applyFont="1" applyBorder="1" applyAlignment="1">
      <alignment horizontal="center"/>
    </xf>
    <xf numFmtId="180" fontId="0" fillId="0" borderId="3" xfId="2" applyNumberFormat="1" applyFont="1" applyBorder="1" applyAlignment="1">
      <alignment horizontal="center"/>
    </xf>
    <xf numFmtId="180" fontId="0" fillId="0" borderId="4" xfId="2" applyNumberFormat="1" applyFont="1" applyBorder="1" applyAlignment="1">
      <alignment horizontal="center"/>
    </xf>
    <xf numFmtId="180" fontId="6" fillId="3" borderId="0" xfId="0" applyNumberFormat="1" applyFont="1" applyFill="1"/>
    <xf numFmtId="180" fontId="6" fillId="3" borderId="0" xfId="2" applyNumberFormat="1" applyFont="1" applyFill="1"/>
    <xf numFmtId="0" fontId="3" fillId="0" borderId="14" xfId="0" applyFont="1" applyBorder="1" applyAlignment="1">
      <alignment horizontal="center"/>
    </xf>
    <xf numFmtId="0" fontId="0" fillId="0" borderId="14" xfId="0" applyBorder="1"/>
    <xf numFmtId="180" fontId="0" fillId="0" borderId="0" xfId="2" applyNumberFormat="1" applyFont="1"/>
    <xf numFmtId="2" fontId="0" fillId="0" borderId="4" xfId="0" applyNumberFormat="1" applyBorder="1" applyAlignment="1">
      <alignment horizontal="right"/>
    </xf>
    <xf numFmtId="180" fontId="3" fillId="0" borderId="15" xfId="2" applyNumberFormat="1" applyFont="1" applyBorder="1" applyAlignment="1">
      <alignment horizontal="right"/>
    </xf>
    <xf numFmtId="180" fontId="3" fillId="0" borderId="15" xfId="2" applyNumberFormat="1" applyFont="1" applyFill="1" applyBorder="1" applyAlignment="1">
      <alignment horizontal="right"/>
    </xf>
    <xf numFmtId="180" fontId="3" fillId="0" borderId="6" xfId="2" applyNumberFormat="1" applyFont="1" applyBorder="1" applyAlignment="1">
      <alignment horizontal="right"/>
    </xf>
    <xf numFmtId="180" fontId="1" fillId="0" borderId="0" xfId="2" applyNumberFormat="1" applyBorder="1" applyAlignment="1">
      <alignment horizontal="center"/>
    </xf>
    <xf numFmtId="180" fontId="1" fillId="0" borderId="1" xfId="2" applyNumberFormat="1" applyBorder="1" applyAlignment="1">
      <alignment horizontal="center"/>
    </xf>
    <xf numFmtId="180" fontId="1" fillId="0" borderId="11" xfId="2" applyNumberFormat="1" applyBorder="1" applyAlignment="1">
      <alignment horizontal="center"/>
    </xf>
    <xf numFmtId="180" fontId="1" fillId="0" borderId="3" xfId="2" applyNumberFormat="1" applyBorder="1" applyAlignment="1">
      <alignment horizontal="center"/>
    </xf>
    <xf numFmtId="180" fontId="1" fillId="0" borderId="14" xfId="2" applyNumberFormat="1" applyBorder="1" applyAlignment="1">
      <alignment horizontal="center"/>
    </xf>
    <xf numFmtId="180" fontId="1" fillId="0" borderId="7" xfId="2" applyNumberFormat="1" applyBorder="1" applyAlignment="1">
      <alignment horizontal="center"/>
    </xf>
    <xf numFmtId="180" fontId="1" fillId="0" borderId="13" xfId="2" applyNumberFormat="1" applyBorder="1" applyAlignment="1">
      <alignment horizontal="center"/>
    </xf>
    <xf numFmtId="180" fontId="1" fillId="0" borderId="4" xfId="2" applyNumberFormat="1" applyBorder="1" applyAlignment="1">
      <alignment horizontal="center"/>
    </xf>
    <xf numFmtId="2" fontId="0" fillId="0" borderId="0" xfId="0" applyNumberFormat="1"/>
    <xf numFmtId="0" fontId="0" fillId="0" borderId="13" xfId="0" applyBorder="1" applyAlignment="1">
      <alignment horizontal="center"/>
    </xf>
    <xf numFmtId="0" fontId="0" fillId="0" borderId="2" xfId="0" applyBorder="1"/>
    <xf numFmtId="0" fontId="7" fillId="0" borderId="13" xfId="0" applyFont="1" applyBorder="1" applyAlignment="1">
      <alignment horizontal="center"/>
    </xf>
    <xf numFmtId="0" fontId="10" fillId="0" borderId="0" xfId="0" applyFont="1"/>
    <xf numFmtId="2" fontId="0" fillId="0" borderId="0" xfId="0" applyNumberFormat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3" fillId="0" borderId="8" xfId="0" applyFont="1" applyBorder="1"/>
    <xf numFmtId="0" fontId="0" fillId="0" borderId="11" xfId="0" applyBorder="1" applyAlignment="1">
      <alignment horizontal="center"/>
    </xf>
    <xf numFmtId="9" fontId="3" fillId="0" borderId="8" xfId="0" applyNumberFormat="1" applyFont="1" applyBorder="1"/>
    <xf numFmtId="2" fontId="0" fillId="0" borderId="2" xfId="0" applyNumberFormat="1" applyBorder="1" applyAlignment="1">
      <alignment horizontal="center"/>
    </xf>
    <xf numFmtId="180" fontId="0" fillId="2" borderId="0" xfId="2" applyNumberFormat="1" applyFont="1" applyFill="1" applyBorder="1" applyAlignment="1">
      <alignment horizontal="center"/>
    </xf>
    <xf numFmtId="180" fontId="0" fillId="2" borderId="4" xfId="2" applyNumberFormat="1" applyFont="1" applyFill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0" fillId="0" borderId="23" xfId="0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2" borderId="24" xfId="0" applyNumberForma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180" fontId="0" fillId="0" borderId="11" xfId="0" applyNumberFormat="1" applyFill="1" applyBorder="1" applyAlignment="1">
      <alignment horizontal="center"/>
    </xf>
    <xf numFmtId="180" fontId="0" fillId="0" borderId="13" xfId="0" applyNumberForma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80" fontId="0" fillId="0" borderId="17" xfId="2" applyNumberFormat="1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80" fontId="0" fillId="0" borderId="9" xfId="0" applyNumberFormat="1" applyFill="1" applyBorder="1" applyAlignment="1">
      <alignment horizontal="center"/>
    </xf>
    <xf numFmtId="180" fontId="0" fillId="0" borderId="16" xfId="2" applyNumberFormat="1" applyFont="1" applyBorder="1" applyAlignment="1">
      <alignment horizontal="center"/>
    </xf>
    <xf numFmtId="180" fontId="1" fillId="0" borderId="16" xfId="2" applyNumberFormat="1" applyBorder="1" applyAlignment="1">
      <alignment horizontal="center"/>
    </xf>
    <xf numFmtId="180" fontId="1" fillId="0" borderId="17" xfId="2" applyNumberFormat="1" applyBorder="1" applyAlignment="1">
      <alignment horizontal="center"/>
    </xf>
    <xf numFmtId="180" fontId="1" fillId="0" borderId="18" xfId="2" applyNumberFormat="1" applyBorder="1" applyAlignment="1">
      <alignment horizontal="center"/>
    </xf>
    <xf numFmtId="180" fontId="1" fillId="2" borderId="0" xfId="2" applyNumberFormat="1" applyFill="1" applyBorder="1" applyAlignment="1">
      <alignment horizontal="center"/>
    </xf>
    <xf numFmtId="180" fontId="1" fillId="2" borderId="4" xfId="2" applyNumberForma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9" fontId="0" fillId="0" borderId="0" xfId="2" applyFont="1"/>
    <xf numFmtId="180" fontId="0" fillId="0" borderId="17" xfId="0" applyNumberFormat="1" applyFill="1" applyBorder="1" applyAlignment="1">
      <alignment horizontal="center"/>
    </xf>
    <xf numFmtId="180" fontId="0" fillId="0" borderId="18" xfId="0" applyNumberFormat="1" applyFill="1" applyBorder="1" applyAlignment="1">
      <alignment horizontal="center"/>
    </xf>
    <xf numFmtId="180" fontId="0" fillId="0" borderId="18" xfId="2" applyNumberFormat="1" applyFont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0" fontId="0" fillId="0" borderId="5" xfId="0" applyNumberFormat="1" applyBorder="1" applyAlignment="1">
      <alignment horizontal="center"/>
    </xf>
    <xf numFmtId="0" fontId="9" fillId="2" borderId="0" xfId="0" applyFont="1" applyFill="1" applyAlignment="1">
      <alignment horizontal="center"/>
    </xf>
    <xf numFmtId="10" fontId="0" fillId="0" borderId="0" xfId="0" applyNumberFormat="1" applyAlignment="1">
      <alignment horizontal="center"/>
    </xf>
    <xf numFmtId="10" fontId="6" fillId="2" borderId="0" xfId="2" applyNumberFormat="1" applyFont="1" applyFill="1" applyAlignment="1">
      <alignment horizontal="center"/>
    </xf>
    <xf numFmtId="180" fontId="1" fillId="0" borderId="0" xfId="2" applyNumberFormat="1" applyAlignment="1">
      <alignment horizontal="center"/>
    </xf>
    <xf numFmtId="10" fontId="6" fillId="0" borderId="0" xfId="2" applyNumberFormat="1" applyFont="1" applyFill="1" applyAlignment="1">
      <alignment horizontal="center"/>
    </xf>
    <xf numFmtId="180" fontId="1" fillId="0" borderId="32" xfId="2" applyNumberFormat="1" applyBorder="1"/>
    <xf numFmtId="180" fontId="0" fillId="0" borderId="32" xfId="0" applyNumberFormat="1" applyBorder="1"/>
    <xf numFmtId="0" fontId="0" fillId="0" borderId="32" xfId="0" applyBorder="1"/>
    <xf numFmtId="9" fontId="0" fillId="0" borderId="0" xfId="0" applyNumberFormat="1" applyBorder="1"/>
    <xf numFmtId="180" fontId="1" fillId="0" borderId="33" xfId="2" applyNumberFormat="1" applyBorder="1"/>
    <xf numFmtId="9" fontId="0" fillId="0" borderId="33" xfId="0" applyNumberFormat="1" applyBorder="1"/>
    <xf numFmtId="0" fontId="0" fillId="0" borderId="33" xfId="0" applyBorder="1"/>
    <xf numFmtId="0" fontId="0" fillId="0" borderId="34" xfId="0" applyBorder="1"/>
    <xf numFmtId="9" fontId="0" fillId="0" borderId="34" xfId="0" applyNumberFormat="1" applyBorder="1"/>
    <xf numFmtId="9" fontId="0" fillId="0" borderId="0" xfId="0" applyNumberFormat="1" applyBorder="1" applyAlignment="1">
      <alignment horizontal="center"/>
    </xf>
    <xf numFmtId="180" fontId="1" fillId="0" borderId="10" xfId="2" applyNumberFormat="1" applyBorder="1" applyAlignment="1">
      <alignment horizontal="right"/>
    </xf>
    <xf numFmtId="180" fontId="1" fillId="0" borderId="7" xfId="2" applyNumberFormat="1" applyFont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10" fontId="0" fillId="0" borderId="0" xfId="2" applyNumberFormat="1" applyFont="1"/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4" xfId="0" applyBorder="1" applyAlignment="1">
      <alignment horizontal="left"/>
    </xf>
    <xf numFmtId="0" fontId="3" fillId="0" borderId="15" xfId="0" applyFont="1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</cellXfs>
  <cellStyles count="3">
    <cellStyle name="Normal" xfId="0" builtinId="0"/>
    <cellStyle name="Notes" xfId="1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693997071742314"/>
          <c:y val="1.2722677924911351E-2"/>
          <c:w val="0.739385065885798"/>
          <c:h val="0.84224127862913145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return'!$A$70:$A$76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return'!$V$70:$V$76</c:f>
              <c:numCache>
                <c:formatCode>0.0%</c:formatCode>
                <c:ptCount val="7"/>
                <c:pt idx="0">
                  <c:v>2.1261429655377207E-5</c:v>
                </c:pt>
                <c:pt idx="1">
                  <c:v>0.38537573257025437</c:v>
                </c:pt>
                <c:pt idx="2">
                  <c:v>9.4859208220461643E-4</c:v>
                </c:pt>
                <c:pt idx="3">
                  <c:v>0.49290186993109647</c:v>
                </c:pt>
                <c:pt idx="4">
                  <c:v>2.6821882648243169E-6</c:v>
                </c:pt>
                <c:pt idx="5">
                  <c:v>3.9653309406301349E-6</c:v>
                </c:pt>
                <c:pt idx="6">
                  <c:v>5.5780259285972275E-5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return'!$A$70:$A$76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return'!$W$70:$W$76</c:f>
              <c:numCache>
                <c:formatCode>0.0%</c:formatCode>
                <c:ptCount val="7"/>
                <c:pt idx="0">
                  <c:v>1.0823391179805788E-2</c:v>
                </c:pt>
                <c:pt idx="1">
                  <c:v>4.4491048542489475E-2</c:v>
                </c:pt>
                <c:pt idx="2">
                  <c:v>5.287871558078127E-2</c:v>
                </c:pt>
                <c:pt idx="3">
                  <c:v>2.9795516611673123E-3</c:v>
                </c:pt>
                <c:pt idx="4">
                  <c:v>3.3227062487280173E-3</c:v>
                </c:pt>
                <c:pt idx="5">
                  <c:v>4.4952126539342966E-3</c:v>
                </c:pt>
                <c:pt idx="6">
                  <c:v>1.6994903413911748E-3</c:v>
                </c:pt>
              </c:numCache>
            </c:numRef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return'!$A$70:$A$76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return'!$X$70:$X$76</c:f>
              <c:numCache>
                <c:formatCode>0.0%</c:formatCode>
                <c:ptCount val="7"/>
                <c:pt idx="0">
                  <c:v>1.5067830753462463E-2</c:v>
                </c:pt>
                <c:pt idx="1">
                  <c:v>3.7163911247889592E-2</c:v>
                </c:pt>
                <c:pt idx="2">
                  <c:v>5.1403850057113058E-2</c:v>
                </c:pt>
                <c:pt idx="3">
                  <c:v>3.3703441086446739E-3</c:v>
                </c:pt>
                <c:pt idx="4">
                  <c:v>1.3221524636763161E-3</c:v>
                </c:pt>
                <c:pt idx="5">
                  <c:v>2.8482390183401287E-3</c:v>
                </c:pt>
                <c:pt idx="6">
                  <c:v>1.0150635007558704E-3</c:v>
                </c:pt>
              </c:numCache>
            </c:numRef>
          </c:val>
        </c:ser>
        <c:gapWidth val="40"/>
        <c:overlap val="100"/>
        <c:axId val="292656640"/>
        <c:axId val="292658176"/>
      </c:barChart>
      <c:catAx>
        <c:axId val="29265664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658176"/>
        <c:crosses val="autoZero"/>
        <c:auto val="1"/>
        <c:lblAlgn val="ctr"/>
        <c:lblOffset val="100"/>
        <c:tickLblSkip val="1"/>
        <c:tickMarkSkip val="1"/>
      </c:catAx>
      <c:valAx>
        <c:axId val="292658176"/>
        <c:scaling>
          <c:orientation val="minMax"/>
          <c:max val="1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6566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4.3523316062176166E-2"/>
          <c:y val="1.1904761904761904E-2"/>
          <c:w val="0.19170984455958548"/>
          <c:h val="0.31462585034013607"/>
        </c:manualLayout>
      </c:layout>
      <c:pieChart>
        <c:varyColors val="1"/>
        <c:ser>
          <c:idx val="0"/>
          <c:order val="0"/>
          <c:spPr>
            <a:solidFill>
              <a:srgbClr val="FFCC00"/>
            </a:solidFill>
            <a:ln w="12700"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00CC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mixen'!$T$4:$V$4</c:f>
              <c:numCache>
                <c:formatCode>0.0%</c:formatCode>
                <c:ptCount val="3"/>
                <c:pt idx="0" formatCode="0%">
                  <c:v>0.58606388234551088</c:v>
                </c:pt>
                <c:pt idx="1">
                  <c:v>7.3071607137562286E-3</c:v>
                </c:pt>
                <c:pt idx="2" formatCode="0%">
                  <c:v>0.40662895694073287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9520580587443459"/>
          <c:y val="4.8275862068965517E-2"/>
          <c:w val="0.61301472371094368"/>
          <c:h val="0.61724137931034484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00CC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mixen'!$T$5:$V$5</c:f>
              <c:numCache>
                <c:formatCode>0%</c:formatCode>
                <c:ptCount val="3"/>
                <c:pt idx="0">
                  <c:v>0.37382261054515575</c:v>
                </c:pt>
                <c:pt idx="1">
                  <c:v>0.38268738606757879</c:v>
                </c:pt>
                <c:pt idx="2">
                  <c:v>0.24349000338726545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7313432835820897"/>
          <c:y val="0.12203410029478995"/>
          <c:w val="0.60298507462686568"/>
          <c:h val="0.6847468960985435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CCFFCC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mixen'!$T$8:$V$8</c:f>
              <c:numCache>
                <c:formatCode>0%</c:formatCode>
                <c:ptCount val="3"/>
                <c:pt idx="0">
                  <c:v>0.60846085340145051</c:v>
                </c:pt>
                <c:pt idx="1">
                  <c:v>4.4377175287159024E-2</c:v>
                </c:pt>
                <c:pt idx="2">
                  <c:v>0.34716196404891858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0689655172413793"/>
          <c:y val="0.26262712616768652"/>
          <c:w val="0.59310344827586203"/>
          <c:h val="0.57912648334412931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CCFFCC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mixen'!$T$6:$V$6</c:f>
              <c:numCache>
                <c:formatCode>0%</c:formatCode>
                <c:ptCount val="3"/>
                <c:pt idx="0">
                  <c:v>0.56293516182923486</c:v>
                </c:pt>
                <c:pt idx="1">
                  <c:v>1.1494241199083169E-2</c:v>
                </c:pt>
                <c:pt idx="2">
                  <c:v>0.42557059697168198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9881334444162713"/>
          <c:y val="0.22408026755852842"/>
          <c:w val="0.60830948672438145"/>
          <c:h val="0.68561872909698995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9999FF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CCFFCC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99CC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  <c:showVal val="1"/>
            <c:showLeaderLines val="1"/>
          </c:dLbls>
          <c:val>
            <c:numRef>
              <c:f>'Samenvatting mixen'!$T$7:$V$7</c:f>
              <c:numCache>
                <c:formatCode>0%</c:formatCode>
                <c:ptCount val="3"/>
                <c:pt idx="0">
                  <c:v>0.89999992443495458</c:v>
                </c:pt>
                <c:pt idx="1">
                  <c:v>2.7148566153486209E-8</c:v>
                </c:pt>
                <c:pt idx="2">
                  <c:v>0.1</c:v>
                </c:pt>
              </c:numCache>
            </c:numRef>
          </c:val>
        </c:ser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12331606217616581"/>
          <c:y val="1.3605442176870748E-2"/>
          <c:w val="0.33886010362694302"/>
          <c:h val="0.39625850340136054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return'!$A$18:$A$24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return'!$V$18:$V$24</c:f>
              <c:numCache>
                <c:formatCode>0.0%</c:formatCode>
                <c:ptCount val="7"/>
                <c:pt idx="0">
                  <c:v>0.2240022740260918</c:v>
                </c:pt>
                <c:pt idx="1">
                  <c:v>5.3090694530873207E-2</c:v>
                </c:pt>
                <c:pt idx="2">
                  <c:v>2.8931620997162389E-2</c:v>
                </c:pt>
                <c:pt idx="3">
                  <c:v>2.5057623125759512E-3</c:v>
                </c:pt>
                <c:pt idx="4">
                  <c:v>8.049906303856439E-3</c:v>
                </c:pt>
                <c:pt idx="5">
                  <c:v>4.9107785833458573E-4</c:v>
                </c:pt>
                <c:pt idx="6">
                  <c:v>9.3637131890558552E-6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return'!$A$18:$A$24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8.0130371402207579E-2</c:v>
              </c:pt>
              <c:pt idx="1">
                <c:v>0.14755788330463329</c:v>
              </c:pt>
              <c:pt idx="2">
                <c:v>0.13916393539516081</c:v>
              </c:pt>
              <c:pt idx="3">
                <c:v>8.5895260118368247E-2</c:v>
              </c:pt>
              <c:pt idx="4">
                <c:v>0.15457969469554511</c:v>
              </c:pt>
              <c:pt idx="5">
                <c:v>6.8798314916736561E-2</c:v>
              </c:pt>
              <c:pt idx="6">
                <c:v>6.7938404252643738E-3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return'!$A$18:$A$24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0.11842361076597724</c:v>
              </c:pt>
              <c:pt idx="1">
                <c:v>0.14283813318299948</c:v>
              </c:pt>
              <c:pt idx="2">
                <c:v>0.11543610409975785</c:v>
              </c:pt>
              <c:pt idx="3">
                <c:v>5.7406817898925294E-2</c:v>
              </c:pt>
              <c:pt idx="4">
                <c:v>0.12682624648955265</c:v>
              </c:pt>
              <c:pt idx="5">
                <c:v>4.0063207834855147E-2</c:v>
              </c:pt>
              <c:pt idx="6">
                <c:v>1.289752109902639E-3</c:v>
              </c:pt>
            </c:numLit>
          </c:val>
        </c:ser>
        <c:gapWidth val="40"/>
        <c:overlap val="100"/>
        <c:axId val="290264576"/>
        <c:axId val="290266112"/>
      </c:barChart>
      <c:catAx>
        <c:axId val="29026457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266112"/>
        <c:crosses val="autoZero"/>
        <c:auto val="1"/>
        <c:lblAlgn val="ctr"/>
        <c:lblOffset val="100"/>
        <c:tickLblSkip val="1"/>
        <c:tickMarkSkip val="1"/>
      </c:catAx>
      <c:valAx>
        <c:axId val="290266112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20725388601036268"/>
              <c:y val="0.45408163265306123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264576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5352112676056338"/>
          <c:y val="2.422149421073173E-2"/>
          <c:w val="0.70221327967806846"/>
          <c:h val="0.81315016278885099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return'!$A$31:$A$37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return'!$V$31:$V$37</c:f>
              <c:numCache>
                <c:formatCode>0.0%</c:formatCode>
                <c:ptCount val="7"/>
                <c:pt idx="0">
                  <c:v>2.2426394088036041E-3</c:v>
                </c:pt>
                <c:pt idx="1">
                  <c:v>4.1719582170407984E-2</c:v>
                </c:pt>
                <c:pt idx="2">
                  <c:v>0.11626823026444835</c:v>
                </c:pt>
                <c:pt idx="3">
                  <c:v>1.9448725186428137E-2</c:v>
                </c:pt>
                <c:pt idx="4">
                  <c:v>7.2758087120193844E-3</c:v>
                </c:pt>
                <c:pt idx="5">
                  <c:v>7.9842484799504138E-3</c:v>
                </c:pt>
                <c:pt idx="6">
                  <c:v>1.6747253085510099E-2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return'!$A$31:$A$37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4.4114794796506755E-2</c:v>
              </c:pt>
              <c:pt idx="1">
                <c:v>0.16900500884299208</c:v>
              </c:pt>
              <c:pt idx="2">
                <c:v>0.11323001969199659</c:v>
              </c:pt>
              <c:pt idx="3">
                <c:v>0.12523288083554546</c:v>
              </c:pt>
              <c:pt idx="4">
                <c:v>0.10676042487291819</c:v>
              </c:pt>
              <c:pt idx="5">
                <c:v>0.10921610989265088</c:v>
              </c:pt>
              <c:pt idx="6">
                <c:v>0.12075427375982149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return'!$A$31:$A$37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2.3695103652108911E-2</c:v>
              </c:pt>
              <c:pt idx="1">
                <c:v>0.13356122840389889</c:v>
              </c:pt>
              <c:pt idx="2">
                <c:v>0.14550257425231775</c:v>
              </c:pt>
              <c:pt idx="3">
                <c:v>0.10414570019044961</c:v>
              </c:pt>
              <c:pt idx="4">
                <c:v>8.4938396401429597E-2</c:v>
              </c:pt>
              <c:pt idx="5">
                <c:v>5.9297146727735617E-2</c:v>
              </c:pt>
              <c:pt idx="6">
                <c:v>8.9982141915766367E-2</c:v>
              </c:pt>
            </c:numLit>
          </c:val>
        </c:ser>
        <c:gapWidth val="40"/>
        <c:overlap val="100"/>
        <c:axId val="290304000"/>
        <c:axId val="290305536"/>
      </c:barChart>
      <c:catAx>
        <c:axId val="29030400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05536"/>
        <c:crosses val="autoZero"/>
        <c:auto val="1"/>
        <c:lblAlgn val="ctr"/>
        <c:lblOffset val="100"/>
        <c:tickLblSkip val="1"/>
        <c:tickMarkSkip val="1"/>
      </c:catAx>
      <c:valAx>
        <c:axId val="290305536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2253521126760563"/>
              <c:y val="0.90311571271442592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04000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5820596515783684"/>
          <c:y val="1.6722408026755852E-2"/>
          <c:w val="0.70678412496594312"/>
          <c:h val="0.84280936454849498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return'!$A$44:$A$50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return'!$V$44:$V$50</c:f>
              <c:numCache>
                <c:formatCode>0.0%</c:formatCode>
                <c:ptCount val="7"/>
                <c:pt idx="0">
                  <c:v>6.7296640790565937E-2</c:v>
                </c:pt>
                <c:pt idx="1">
                  <c:v>1.0438917824368918E-4</c:v>
                </c:pt>
                <c:pt idx="2">
                  <c:v>0.17873276960562406</c:v>
                </c:pt>
                <c:pt idx="3">
                  <c:v>6.6775520481088563E-2</c:v>
                </c:pt>
                <c:pt idx="4">
                  <c:v>3.6763440576946279E-3</c:v>
                </c:pt>
                <c:pt idx="5">
                  <c:v>0.17333008713057071</c:v>
                </c:pt>
                <c:pt idx="6">
                  <c:v>2.5895182579532081E-3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return'!$A$44:$A$50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0.11492271442488922</c:v>
              </c:pt>
              <c:pt idx="1">
                <c:v>1.0413568241246231E-2</c:v>
              </c:pt>
              <c:pt idx="2">
                <c:v>0.10778751622240379</c:v>
              </c:pt>
              <c:pt idx="3">
                <c:v>8.4485332857449691E-2</c:v>
              </c:pt>
              <c:pt idx="4">
                <c:v>5.544016579014735E-2</c:v>
              </c:pt>
              <c:pt idx="5">
                <c:v>7.577965169905504E-2</c:v>
              </c:pt>
              <c:pt idx="6">
                <c:v>5.8665781263067762E-2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return'!$A$44:$A$50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8.298270686000811E-2</c:v>
              </c:pt>
              <c:pt idx="1">
                <c:v>3.4975130977681727E-3</c:v>
              </c:pt>
              <c:pt idx="2">
                <c:v>0.13639683771250205</c:v>
              </c:pt>
              <c:pt idx="3">
                <c:v>5.9577941727944034E-2</c:v>
              </c:pt>
              <c:pt idx="4">
                <c:v>3.4405719104132454E-2</c:v>
              </c:pt>
              <c:pt idx="5">
                <c:v>7.5233524531864021E-2</c:v>
              </c:pt>
              <c:pt idx="6">
                <c:v>4.2068141372075978E-2</c:v>
              </c:pt>
            </c:numLit>
          </c:val>
        </c:ser>
        <c:gapWidth val="40"/>
        <c:overlap val="100"/>
        <c:axId val="290339072"/>
        <c:axId val="290353152"/>
      </c:barChart>
      <c:catAx>
        <c:axId val="290339072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53152"/>
        <c:crosses val="autoZero"/>
        <c:auto val="1"/>
        <c:lblAlgn val="ctr"/>
        <c:lblOffset val="100"/>
        <c:tickLblSkip val="1"/>
        <c:tickMarkSkip val="1"/>
      </c:catAx>
      <c:valAx>
        <c:axId val="290353152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3107267064486315"/>
              <c:y val="0.91638795986622068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39072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5150905432595572"/>
          <c:y val="7.0287649585116296E-2"/>
          <c:w val="0.71026156941649898"/>
          <c:h val="0.77955393176219889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return'!$A$57:$A$63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return'!$Z$70:$Z$76</c:f>
              <c:numCache>
                <c:formatCode>0.00%</c:formatCode>
                <c:ptCount val="7"/>
                <c:pt idx="0">
                  <c:v>0.14474160852159282</c:v>
                </c:pt>
                <c:pt idx="1">
                  <c:v>3.6043001553031334E-2</c:v>
                </c:pt>
                <c:pt idx="2">
                  <c:v>5.5800821491697863E-2</c:v>
                </c:pt>
                <c:pt idx="3">
                  <c:v>1.3464894525235065E-2</c:v>
                </c:pt>
                <c:pt idx="4">
                  <c:v>6.1160875724100665E-3</c:v>
                </c:pt>
                <c:pt idx="5">
                  <c:v>2.7095130506908986E-2</c:v>
                </c:pt>
                <c:pt idx="6">
                  <c:v>2.0691268980272915E-3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66CC"/>
                </a:gs>
                <a:gs pos="100000">
                  <a:srgbClr val="0066CC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return'!$A$57:$A$63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0.10140813873975321</c:v>
              </c:pt>
              <c:pt idx="1">
                <c:v>0.12366201262154024</c:v>
              </c:pt>
              <c:pt idx="2">
                <c:v>0.12785052486545975</c:v>
              </c:pt>
              <c:pt idx="3">
                <c:v>9.9705630484681729E-2</c:v>
              </c:pt>
              <c:pt idx="4">
                <c:v>0.13457774511463308</c:v>
              </c:pt>
              <c:pt idx="5">
                <c:v>8.2605234160314733E-2</c:v>
              </c:pt>
              <c:pt idx="6">
                <c:v>4.4860029736599014E-2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return'!$A$57:$A$63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0.10547933670624825</c:v>
              </c:pt>
              <c:pt idx="1">
                <c:v>9.091002497204663E-2</c:v>
              </c:pt>
              <c:pt idx="2">
                <c:v>0.1041945443546624</c:v>
              </c:pt>
              <c:pt idx="3">
                <c:v>6.6415442622888496E-2</c:v>
              </c:pt>
              <c:pt idx="4">
                <c:v>9.5154595184472557E-2</c:v>
              </c:pt>
              <c:pt idx="5">
                <c:v>5.1764297657217351E-2</c:v>
              </c:pt>
              <c:pt idx="6">
                <c:v>2.1185206442352535E-2</c:v>
              </c:pt>
            </c:numLit>
          </c:val>
        </c:ser>
        <c:gapWidth val="40"/>
        <c:overlap val="100"/>
        <c:axId val="290386688"/>
        <c:axId val="290388224"/>
      </c:barChart>
      <c:catAx>
        <c:axId val="290386688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88224"/>
        <c:crosses val="autoZero"/>
        <c:auto val="1"/>
        <c:lblAlgn val="ctr"/>
        <c:lblOffset val="100"/>
        <c:tickLblSkip val="1"/>
        <c:tickMarkSkip val="1"/>
      </c:catAx>
      <c:valAx>
        <c:axId val="290388224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4064386317907445"/>
              <c:y val="0.92012923093243149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386688"/>
        <c:crosses val="autoZero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noFill/>
    <a:ln w="25400">
      <a:solidFill>
        <a:srgbClr val="C0C0C0"/>
      </a:solidFill>
      <a:prstDash val="sysDash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4404145077720207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mixen'!$AA$3:$AA$11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mixen'!$AB$3:$AB$11</c:f>
              <c:numCache>
                <c:formatCode>0.0%</c:formatCode>
                <c:ptCount val="9"/>
                <c:pt idx="0">
                  <c:v>0.55848299942109558</c:v>
                </c:pt>
                <c:pt idx="1">
                  <c:v>8.0024247076160331E-5</c:v>
                </c:pt>
                <c:pt idx="2">
                  <c:v>2.1135217939597731E-3</c:v>
                </c:pt>
                <c:pt idx="3">
                  <c:v>2.3653538284595048E-4</c:v>
                </c:pt>
                <c:pt idx="4">
                  <c:v>4.4641897398864433E-3</c:v>
                </c:pt>
                <c:pt idx="5">
                  <c:v>5.3327894633419415E-5</c:v>
                </c:pt>
                <c:pt idx="6">
                  <c:v>9.0274039837379041E-4</c:v>
                </c:pt>
                <c:pt idx="7">
                  <c:v>6.0455365436094463E-3</c:v>
                </c:pt>
                <c:pt idx="8">
                  <c:v>1.4443846303467217E-4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mixen'!$AA$3:$AA$11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5.9998151858792315E-2</c:v>
              </c:pt>
              <c:pt idx="1">
                <c:v>1.8881546660538807E-2</c:v>
              </c:pt>
              <c:pt idx="2">
                <c:v>5.1501065090195711E-2</c:v>
              </c:pt>
              <c:pt idx="3">
                <c:v>4.6999792766710083E-2</c:v>
              </c:pt>
              <c:pt idx="4">
                <c:v>5.1370400645508574E-2</c:v>
              </c:pt>
              <c:pt idx="5">
                <c:v>2.0527573635552899E-2</c:v>
              </c:pt>
              <c:pt idx="6">
                <c:v>5.6950575724903744E-2</c:v>
              </c:pt>
              <c:pt idx="7">
                <c:v>6.9964651897153757E-2</c:v>
              </c:pt>
              <c:pt idx="8">
                <c:v>4.2652659098576927E-2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mixen'!$AA$3:$AA$11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6.3991070464693878E-2</c:v>
              </c:pt>
              <c:pt idx="1">
                <c:v>4.626442875830826E-3</c:v>
              </c:pt>
              <c:pt idx="2">
                <c:v>4.1957196572790199E-2</c:v>
              </c:pt>
              <c:pt idx="3">
                <c:v>2.2315918952605499E-2</c:v>
              </c:pt>
              <c:pt idx="4">
                <c:v>4.0778291596024974E-2</c:v>
              </c:pt>
              <c:pt idx="5">
                <c:v>1.6536725602109215E-2</c:v>
              </c:pt>
              <c:pt idx="6">
                <c:v>4.5909839670318288E-2</c:v>
              </c:pt>
              <c:pt idx="7">
                <c:v>6.8360235075514697E-2</c:v>
              </c:pt>
              <c:pt idx="8">
                <c:v>4.1818261337302223E-2</c:v>
              </c:pt>
            </c:numLit>
          </c:val>
        </c:ser>
        <c:gapWidth val="40"/>
        <c:overlap val="100"/>
        <c:axId val="281348736"/>
        <c:axId val="281379200"/>
      </c:barChart>
      <c:catAx>
        <c:axId val="28134873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81379200"/>
        <c:crosses val="autoZero"/>
        <c:auto val="1"/>
        <c:lblAlgn val="ctr"/>
        <c:lblOffset val="100"/>
        <c:tickLblSkip val="1"/>
        <c:tickMarkSkip val="1"/>
      </c:catAx>
      <c:valAx>
        <c:axId val="281379200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3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813487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4404145077720207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 - return'!$A$5:$A$11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Ref>
              <c:f>'Samenvatting mixen - return'!$V$5:$V$11</c:f>
              <c:numCache>
                <c:formatCode>0.0%</c:formatCode>
                <c:ptCount val="7"/>
                <c:pt idx="0">
                  <c:v>7.6131305370676951E-3</c:v>
                </c:pt>
                <c:pt idx="1">
                  <c:v>6.8246620746205845E-4</c:v>
                </c:pt>
                <c:pt idx="2">
                  <c:v>1.4274886287567522E-2</c:v>
                </c:pt>
                <c:pt idx="3">
                  <c:v>1.8440651680535204E-4</c:v>
                </c:pt>
                <c:pt idx="4">
                  <c:v>2.7011188228225477E-3</c:v>
                </c:pt>
                <c:pt idx="5">
                  <c:v>1.6927671653624896E-2</c:v>
                </c:pt>
                <c:pt idx="6">
                  <c:v>3.6970441712472061E-4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3366FF"/>
                </a:gs>
                <a:gs pos="100000">
                  <a:srgbClr val="3366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return'!$A$5:$A$11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0.14394923054289829</c:v>
              </c:pt>
              <c:pt idx="1">
                <c:v>0.12362498416947089</c:v>
              </c:pt>
              <c:pt idx="2">
                <c:v>0.15257907522382613</c:v>
              </c:pt>
              <c:pt idx="3">
                <c:v>6.8818050864610278E-2</c:v>
              </c:pt>
              <c:pt idx="4">
                <c:v>0.15552091906847848</c:v>
              </c:pt>
              <c:pt idx="5">
                <c:v>0.17539566656229161</c:v>
              </c:pt>
              <c:pt idx="6">
                <c:v>0.14323017234046792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3366FF">
                    <a:gamma/>
                    <a:shade val="46275"/>
                    <a:invGamma/>
                  </a:srgbClr>
                </a:gs>
                <a:gs pos="100000">
                  <a:srgbClr val="3366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 - return'!$A$5:$A$11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Hedge funds</c:v>
                </c:pt>
                <c:pt idx="5">
                  <c:v>Onroerend goed</c:v>
                </c:pt>
                <c:pt idx="6">
                  <c:v>Commodities</c:v>
                </c:pt>
              </c:strCache>
            </c:strRef>
          </c:cat>
          <c:val>
            <c:numLit>
              <c:formatCode>General</c:formatCode>
              <c:ptCount val="7"/>
              <c:pt idx="0">
                <c:v>0.13735621751285434</c:v>
              </c:pt>
              <c:pt idx="1">
                <c:v>8.943682688214008E-2</c:v>
              </c:pt>
              <c:pt idx="2">
                <c:v>0.13079218972561882</c:v>
              </c:pt>
              <c:pt idx="3">
                <c:v>4.0601241056093265E-2</c:v>
              </c:pt>
              <c:pt idx="4">
                <c:v>0.12343001471024298</c:v>
              </c:pt>
              <c:pt idx="5">
                <c:v>0.1582797483657731</c:v>
              </c:pt>
              <c:pt idx="6">
                <c:v>0.12717877670557837</c:v>
              </c:pt>
            </c:numLit>
          </c:val>
        </c:ser>
        <c:gapWidth val="40"/>
        <c:overlap val="100"/>
        <c:axId val="168167296"/>
        <c:axId val="168168832"/>
      </c:barChart>
      <c:catAx>
        <c:axId val="16816729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168832"/>
        <c:crosses val="autoZero"/>
        <c:auto val="1"/>
        <c:lblAlgn val="ctr"/>
        <c:lblOffset val="100"/>
        <c:tickLblSkip val="1"/>
        <c:tickMarkSkip val="1"/>
      </c:catAx>
      <c:valAx>
        <c:axId val="168168832"/>
        <c:scaling>
          <c:orientation val="minMax"/>
          <c:max val="0.5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returnportefeuille</a:t>
                </a:r>
              </a:p>
            </c:rich>
          </c:tx>
          <c:layout>
            <c:manualLayout>
              <c:xMode val="edge"/>
              <c:yMode val="edge"/>
              <c:x val="0.47046632124352333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167296"/>
        <c:crosses val="autoZero"/>
        <c:crossBetween val="between"/>
        <c:majorUnit val="0.05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4404145077720207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mixen'!$AA$16:$AA$24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mixen'!$AB$16:$AB$24</c:f>
              <c:numCache>
                <c:formatCode>0.0%</c:formatCode>
                <c:ptCount val="9"/>
                <c:pt idx="0">
                  <c:v>0.55398701725883681</c:v>
                </c:pt>
                <c:pt idx="1">
                  <c:v>2.0290457584072688E-6</c:v>
                </c:pt>
                <c:pt idx="2">
                  <c:v>8.8505167186769179E-2</c:v>
                </c:pt>
                <c:pt idx="3">
                  <c:v>2.1402862372486925E-2</c:v>
                </c:pt>
                <c:pt idx="4">
                  <c:v>1.1921021265089796E-2</c:v>
                </c:pt>
                <c:pt idx="5">
                  <c:v>1.112083791621238E-3</c:v>
                </c:pt>
                <c:pt idx="6">
                  <c:v>3.2417651086306632E-3</c:v>
                </c:pt>
                <c:pt idx="7">
                  <c:v>1.8569307052658293E-4</c:v>
                </c:pt>
                <c:pt idx="8">
                  <c:v>2.970638248788513E-6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mixen'!$AA$16:$AA$24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3.2076865086674067E-2</c:v>
              </c:pt>
              <c:pt idx="1">
                <c:v>7.3051316679978214E-3</c:v>
              </c:pt>
              <c:pt idx="2">
                <c:v>3.7211928217914969E-2</c:v>
              </c:pt>
              <c:pt idx="3">
                <c:v>5.9211338608296846E-2</c:v>
              </c:pt>
              <c:pt idx="4">
                <c:v>5.6673476199518992E-2</c:v>
              </c:pt>
              <c:pt idx="5">
                <c:v>3.0562946109826513E-2</c:v>
              </c:pt>
              <c:pt idx="6">
                <c:v>6.2111197434249955E-2</c:v>
              </c:pt>
              <c:pt idx="7">
                <c:v>3.1739367023141632E-2</c:v>
              </c:pt>
              <c:pt idx="8">
                <c:v>2.7471399144104376E-3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mixen'!$AA$16:$AA$24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3.5802619648605094E-2</c:v>
              </c:pt>
              <c:pt idx="1">
                <c:v>2.0079594912041894E-3</c:v>
              </c:pt>
              <c:pt idx="2">
                <c:v>4.8586670495145062E-2</c:v>
              </c:pt>
              <c:pt idx="3">
                <c:v>5.5326226762231021E-2</c:v>
              </c:pt>
              <c:pt idx="4">
                <c:v>5.0847694957484382E-2</c:v>
              </c:pt>
              <c:pt idx="5">
                <c:v>2.27594869101568E-2</c:v>
              </c:pt>
              <c:pt idx="6">
                <c:v>5.4836858676184513E-2</c:v>
              </c:pt>
              <c:pt idx="7">
                <c:v>1.511564249998866E-2</c:v>
              </c:pt>
              <c:pt idx="8">
                <c:v>5.2590919872611865E-4</c:v>
              </c:pt>
            </c:numLit>
          </c:val>
        </c:ser>
        <c:gapWidth val="40"/>
        <c:overlap val="100"/>
        <c:axId val="292536320"/>
        <c:axId val="292537856"/>
      </c:barChart>
      <c:catAx>
        <c:axId val="29253632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537856"/>
        <c:crosses val="autoZero"/>
        <c:auto val="1"/>
        <c:lblAlgn val="ctr"/>
        <c:lblOffset val="100"/>
        <c:tickLblSkip val="1"/>
        <c:tickMarkSkip val="1"/>
      </c:catAx>
      <c:valAx>
        <c:axId val="292537856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3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5363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4404145077720207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mixen'!$AA$29:$AA$37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mixen'!$AB$29:$AB$37</c:f>
              <c:numCache>
                <c:formatCode>0.0%</c:formatCode>
                <c:ptCount val="9"/>
                <c:pt idx="0">
                  <c:v>0.35457858776240603</c:v>
                </c:pt>
                <c:pt idx="1">
                  <c:v>0.35773911609828568</c:v>
                </c:pt>
                <c:pt idx="2">
                  <c:v>4.6749922071730068E-4</c:v>
                </c:pt>
                <c:pt idx="3">
                  <c:v>9.6667685053465555E-3</c:v>
                </c:pt>
                <c:pt idx="4">
                  <c:v>2.602676678932252E-2</c:v>
                </c:pt>
                <c:pt idx="5">
                  <c:v>4.980792060500519E-3</c:v>
                </c:pt>
                <c:pt idx="6">
                  <c:v>1.6072498567565796E-3</c:v>
                </c:pt>
                <c:pt idx="7">
                  <c:v>1.9056173724036861E-3</c:v>
                </c:pt>
                <c:pt idx="8">
                  <c:v>4.2516281415953226E-3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mixen'!$AA$29:$AA$37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1.9244022782749726E-2</c:v>
              </c:pt>
              <c:pt idx="1">
                <c:v>2.4948269969293113E-2</c:v>
              </c:pt>
              <c:pt idx="2">
                <c:v>1.1316193056247701E-2</c:v>
              </c:pt>
              <c:pt idx="3">
                <c:v>4.039010252998488E-2</c:v>
              </c:pt>
              <c:pt idx="4">
                <c:v>3.093983462110653E-2</c:v>
              </c:pt>
              <c:pt idx="5">
                <c:v>2.9039049811614086E-2</c:v>
              </c:pt>
              <c:pt idx="6">
                <c:v>2.6773389829035255E-2</c:v>
              </c:pt>
              <c:pt idx="7">
                <c:v>2.7098918094414091E-2</c:v>
              </c:pt>
              <c:pt idx="8">
                <c:v>2.9026193498220405E-2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mixen'!$AA$29:$AA$37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1.6327765468648225E-2</c:v>
              </c:pt>
              <c:pt idx="1">
                <c:v>3.3611735332753911E-2</c:v>
              </c:pt>
              <c:pt idx="2">
                <c:v>6.7325734949920078E-3</c:v>
              </c:pt>
              <c:pt idx="3">
                <c:v>2.6372700265371904E-2</c:v>
              </c:pt>
              <c:pt idx="4">
                <c:v>3.5312942197144238E-2</c:v>
              </c:pt>
              <c:pt idx="5">
                <c:v>2.3909276054164465E-2</c:v>
              </c:pt>
              <c:pt idx="6">
                <c:v>1.8185279355208379E-2</c:v>
              </c:pt>
              <c:pt idx="7">
                <c:v>1.2330656641091869E-2</c:v>
              </c:pt>
              <c:pt idx="8">
                <c:v>2.3144389180984687E-2</c:v>
              </c:pt>
            </c:numLit>
          </c:val>
        </c:ser>
        <c:gapWidth val="40"/>
        <c:overlap val="100"/>
        <c:axId val="292568064"/>
        <c:axId val="292590336"/>
      </c:barChart>
      <c:catAx>
        <c:axId val="29256806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590336"/>
        <c:crosses val="autoZero"/>
        <c:auto val="1"/>
        <c:lblAlgn val="ctr"/>
        <c:lblOffset val="100"/>
        <c:tickLblSkip val="1"/>
        <c:tickMarkSkip val="1"/>
      </c:catAx>
      <c:valAx>
        <c:axId val="292590336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3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5680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4404145077720207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mixen'!$AA$42:$AA$50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mixen'!$AB$42:$AB$50</c:f>
              <c:numCache>
                <c:formatCode>0.0%</c:formatCode>
                <c:ptCount val="9"/>
                <c:pt idx="0">
                  <c:v>0.52651026117844957</c:v>
                </c:pt>
                <c:pt idx="1">
                  <c:v>4.6299043860635947E-5</c:v>
                </c:pt>
                <c:pt idx="2">
                  <c:v>2.8128585474379401E-2</c:v>
                </c:pt>
                <c:pt idx="3">
                  <c:v>4.1869041614141293E-5</c:v>
                </c:pt>
                <c:pt idx="4">
                  <c:v>8.0209016296813623E-2</c:v>
                </c:pt>
                <c:pt idx="5">
                  <c:v>3.3304782234175011E-2</c:v>
                </c:pt>
                <c:pt idx="6">
                  <c:v>1.4211222028611933E-3</c:v>
                </c:pt>
                <c:pt idx="7">
                  <c:v>7.1461737977746881E-2</c:v>
                </c:pt>
                <c:pt idx="8">
                  <c:v>1.172996448312143E-3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mixen'!$AA$42:$AA$50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3.6424900650785297E-2</c:v>
              </c:pt>
              <c:pt idx="1">
                <c:v>1.1447942155222534E-2</c:v>
              </c:pt>
              <c:pt idx="2">
                <c:v>5.3986068862648069E-2</c:v>
              </c:pt>
              <c:pt idx="3">
                <c:v>4.3927806847634393E-3</c:v>
              </c:pt>
              <c:pt idx="4">
                <c:v>4.0344343643134634E-2</c:v>
              </c:pt>
              <c:pt idx="5">
                <c:v>2.7991915289427668E-2</c:v>
              </c:pt>
              <c:pt idx="6">
                <c:v>2.3353189903811803E-2</c:v>
              </c:pt>
              <c:pt idx="7">
                <c:v>3.7073267626661299E-2</c:v>
              </c:pt>
              <c:pt idx="8">
                <c:v>2.2688921285332602E-2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mixen'!$AA$42:$AA$50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3.649782201883911E-2</c:v>
              </c:pt>
              <c:pt idx="1">
                <c:v>5.5184517717953643E-3</c:v>
              </c:pt>
              <c:pt idx="2">
                <c:v>4.3642312015643031E-2</c:v>
              </c:pt>
              <c:pt idx="3">
                <c:v>8.3515007403598025E-4</c:v>
              </c:pt>
              <c:pt idx="4">
                <c:v>5.0268080707468188E-2</c:v>
              </c:pt>
              <c:pt idx="5">
                <c:v>2.4416493550313494E-2</c:v>
              </c:pt>
              <c:pt idx="6">
                <c:v>1.5994041115461405E-2</c:v>
              </c:pt>
              <c:pt idx="7">
                <c:v>3.5471590987806445E-2</c:v>
              </c:pt>
              <c:pt idx="8">
                <c:v>1.9058822984261169E-2</c:v>
              </c:pt>
            </c:numLit>
          </c:val>
        </c:ser>
        <c:gapWidth val="40"/>
        <c:overlap val="100"/>
        <c:axId val="292782464"/>
        <c:axId val="292784000"/>
      </c:barChart>
      <c:catAx>
        <c:axId val="29278246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784000"/>
        <c:crosses val="autoZero"/>
        <c:auto val="1"/>
        <c:lblAlgn val="ctr"/>
        <c:lblOffset val="100"/>
        <c:tickLblSkip val="1"/>
        <c:tickMarkSkip val="1"/>
      </c:catAx>
      <c:valAx>
        <c:axId val="292784000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943005181347153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7824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3782383419689124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mixen'!$AA$55:$AA$63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mixen'!$AB$55:$AB$63</c:f>
              <c:numCache>
                <c:formatCode>0.0%</c:formatCode>
                <c:ptCount val="9"/>
                <c:pt idx="0">
                  <c:v>0.9</c:v>
                </c:pt>
                <c:pt idx="1">
                  <c:v>2.8944635004635319E-12</c:v>
                </c:pt>
                <c:pt idx="2">
                  <c:v>5.069990152295259E-12</c:v>
                </c:pt>
                <c:pt idx="3">
                  <c:v>2.2101979235463595E-13</c:v>
                </c:pt>
                <c:pt idx="4">
                  <c:v>1.1010761425523883E-12</c:v>
                </c:pt>
                <c:pt idx="5">
                  <c:v>7.4494370688242267E-14</c:v>
                </c:pt>
                <c:pt idx="6">
                  <c:v>0</c:v>
                </c:pt>
                <c:pt idx="7">
                  <c:v>4.4933225283438228E-13</c:v>
                </c:pt>
                <c:pt idx="8">
                  <c:v>1.4216807710692625E-13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mixen'!$AA$55:$AA$63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0.05</c:v>
              </c:pt>
              <c:pt idx="1">
                <c:v>8.0791515069932345E-10</c:v>
              </c:pt>
              <c:pt idx="2">
                <c:v>7.3621326129715944E-10</c:v>
              </c:pt>
              <c:pt idx="3">
                <c:v>6.6883175331239316E-11</c:v>
              </c:pt>
              <c:pt idx="4">
                <c:v>1.6934568049493339E-10</c:v>
              </c:pt>
              <c:pt idx="5">
                <c:v>1.6361099963627142E-10</c:v>
              </c:pt>
              <c:pt idx="6">
                <c:v>0.05</c:v>
              </c:pt>
              <c:pt idx="7">
                <c:v>1.5861740931227799E-10</c:v>
              </c:pt>
              <c:pt idx="8">
                <c:v>6.2075086838010139E-11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mixen'!$AA$55:$AA$63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0.05</c:v>
              </c:pt>
              <c:pt idx="1">
                <c:v>8.1998768748804962E-9</c:v>
              </c:pt>
              <c:pt idx="2">
                <c:v>1.514410440910125E-8</c:v>
              </c:pt>
              <c:pt idx="3">
                <c:v>2.5125427639360699E-9</c:v>
              </c:pt>
              <c:pt idx="4">
                <c:v>5.3167925493199581E-9</c:v>
              </c:pt>
              <c:pt idx="5">
                <c:v>3.4817518206832302E-9</c:v>
              </c:pt>
              <c:pt idx="6">
                <c:v>0.05</c:v>
              </c:pt>
              <c:pt idx="7">
                <c:v>7.137516990885788E-9</c:v>
              </c:pt>
              <c:pt idx="8">
                <c:v>2.5407324117580706E-9</c:v>
              </c:pt>
            </c:numLit>
          </c:val>
        </c:ser>
        <c:gapWidth val="40"/>
        <c:overlap val="100"/>
        <c:axId val="168217216"/>
        <c:axId val="290066816"/>
      </c:barChart>
      <c:catAx>
        <c:axId val="16821721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0066816"/>
        <c:crosses val="autoZero"/>
        <c:auto val="1"/>
        <c:lblAlgn val="ctr"/>
        <c:lblOffset val="100"/>
        <c:tickLblSkip val="1"/>
        <c:tickMarkSkip val="1"/>
      </c:catAx>
      <c:valAx>
        <c:axId val="290066816"/>
        <c:scaling>
          <c:orientation val="minMax"/>
          <c:max val="1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632124352331605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2172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0.22279792746113988"/>
          <c:y val="1.7006802721088437E-2"/>
          <c:w val="0.73782383419689124"/>
          <c:h val="0.83503401360544216"/>
        </c:manualLayout>
      </c:layout>
      <c:barChart>
        <c:barDir val="bar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strRef>
              <c:f>'Samenvatting mixen'!$AF$68:$AF$76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Ref>
              <c:f>'Samenvatting mixen'!$AG$68:$AG$76</c:f>
              <c:numCache>
                <c:formatCode>0.0%</c:formatCode>
                <c:ptCount val="9"/>
                <c:pt idx="0">
                  <c:v>0.58182660830831012</c:v>
                </c:pt>
                <c:pt idx="1">
                  <c:v>3.578207389429687E-2</c:v>
                </c:pt>
                <c:pt idx="2">
                  <c:v>5.7369138056050643E-2</c:v>
                </c:pt>
                <c:pt idx="3">
                  <c:v>1.3814674630302086E-2</c:v>
                </c:pt>
                <c:pt idx="4">
                  <c:v>2.1786641882673336E-2</c:v>
                </c:pt>
                <c:pt idx="5">
                  <c:v>6.16104681616022E-3</c:v>
                </c:pt>
                <c:pt idx="6">
                  <c:v>2.3189523812832346E-3</c:v>
                </c:pt>
                <c:pt idx="7">
                  <c:v>1.1021238276285749E-2</c:v>
                </c:pt>
                <c:pt idx="8">
                  <c:v>6.0289466437695209E-4</c:v>
                </c:pt>
              </c:numCache>
            </c:numRef>
          </c:val>
        </c:ser>
        <c:ser>
          <c:idx val="1"/>
          <c:order val="1"/>
          <c:spPr>
            <a:gradFill rotWithShape="0">
              <a:gsLst>
                <a:gs pos="0">
                  <a:srgbClr val="0000FF"/>
                </a:gs>
                <a:gs pos="100000">
                  <a:srgbClr val="0000FF">
                    <a:gamma/>
                    <a:shade val="46275"/>
                    <a:invGamma/>
                  </a:srgbClr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mixen'!$AF$68:$AF$76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3.4134256427897205E-2</c:v>
              </c:pt>
              <c:pt idx="1">
                <c:v>8.5950974421986556E-3</c:v>
              </c:pt>
              <c:pt idx="2">
                <c:v>3.1556686676202948E-2</c:v>
              </c:pt>
              <c:pt idx="3">
                <c:v>4.0224730530723576E-2</c:v>
              </c:pt>
              <c:pt idx="4">
                <c:v>4.3149720753694089E-2</c:v>
              </c:pt>
              <c:pt idx="5">
                <c:v>2.5440459965013113E-2</c:v>
              </c:pt>
              <c:pt idx="6">
                <c:v>5.0947035929025261E-2</c:v>
              </c:pt>
              <c:pt idx="7">
                <c:v>2.7314502191118192E-2</c:v>
              </c:pt>
              <c:pt idx="8">
                <c:v>7.9542415005794571E-3</c:v>
              </c:pt>
            </c:numLit>
          </c:val>
        </c:ser>
        <c:ser>
          <c:idx val="2"/>
          <c:order val="2"/>
          <c:spPr>
            <a:gradFill rotWithShape="0">
              <a:gsLst>
                <a:gs pos="0">
                  <a:srgbClr val="0000FF">
                    <a:gamma/>
                    <a:shade val="46275"/>
                    <a:invGamma/>
                  </a:srgbClr>
                </a:gs>
                <a:gs pos="100000">
                  <a:srgbClr val="0000FF"/>
                </a:gs>
              </a:gsLst>
              <a:lin ang="0" scaled="1"/>
            </a:gradFill>
            <a:ln w="12700">
              <a:solidFill>
                <a:srgbClr val="FFFFFF"/>
              </a:solidFill>
              <a:prstDash val="solid"/>
            </a:ln>
          </c:spPr>
          <c:cat>
            <c:strRef>
              <c:f>'Samenvatting mixen'!$AF$68:$AF$76</c:f>
              <c:strCache>
                <c:ptCount val="9"/>
                <c:pt idx="0">
                  <c:v>Nominale matching</c:v>
                </c:pt>
                <c:pt idx="1">
                  <c:v>Reele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Commodities</c:v>
                </c:pt>
              </c:strCache>
            </c:strRef>
          </c:cat>
          <c:val>
            <c:numLit>
              <c:formatCode>General</c:formatCode>
              <c:ptCount val="9"/>
              <c:pt idx="0">
                <c:v>3.6089021638853747E-2</c:v>
              </c:pt>
              <c:pt idx="1">
                <c:v>5.3937182237487414E-3</c:v>
              </c:pt>
              <c:pt idx="2">
                <c:v>3.637160872054835E-2</c:v>
              </c:pt>
              <c:pt idx="3">
                <c:v>3.5958278971862614E-2</c:v>
              </c:pt>
              <c:pt idx="4">
                <c:v>4.1580124097844166E-2</c:v>
              </c:pt>
              <c:pt idx="5">
                <c:v>1.9709094306320323E-2</c:v>
              </c:pt>
              <c:pt idx="6">
                <c:v>4.4619749308550755E-2</c:v>
              </c:pt>
              <c:pt idx="7">
                <c:v>1.5623190882900897E-2</c:v>
              </c:pt>
              <c:pt idx="8">
                <c:v>5.4888082660831767E-3</c:v>
              </c:pt>
            </c:numLit>
          </c:val>
        </c:ser>
        <c:gapWidth val="40"/>
        <c:overlap val="100"/>
        <c:axId val="292616448"/>
        <c:axId val="292630528"/>
      </c:barChart>
      <c:catAx>
        <c:axId val="292616448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630528"/>
        <c:crosses val="autoZero"/>
        <c:auto val="1"/>
        <c:lblAlgn val="ctr"/>
        <c:lblOffset val="100"/>
        <c:tickLblSkip val="1"/>
        <c:tickMarkSkip val="1"/>
      </c:catAx>
      <c:valAx>
        <c:axId val="292630528"/>
        <c:scaling>
          <c:orientation val="minMax"/>
          <c:max val="1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Gewicht in totale portefeuille</a:t>
                </a:r>
              </a:p>
            </c:rich>
          </c:tx>
          <c:layout>
            <c:manualLayout>
              <c:xMode val="edge"/>
              <c:yMode val="edge"/>
              <c:x val="0.46632124352331605"/>
              <c:y val="0.9268707482993197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926164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8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7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2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3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4">
    <tabColor indexed="10"/>
  </sheetPr>
  <sheetViews>
    <sheetView zoomScale="13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5">
    <tabColor indexed="10"/>
  </sheetPr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6">
    <tabColor indexed="10"/>
  </sheetPr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7">
    <tabColor indexed="10"/>
  </sheetPr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13</xdr:row>
      <xdr:rowOff>133350</xdr:rowOff>
    </xdr:from>
    <xdr:to>
      <xdr:col>36</xdr:col>
      <xdr:colOff>409575</xdr:colOff>
      <xdr:row>36</xdr:row>
      <xdr:rowOff>152400</xdr:rowOff>
    </xdr:to>
    <xdr:graphicFrame macro="">
      <xdr:nvGraphicFramePr>
        <xdr:cNvPr id="2064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0.67725</cdr:x>
      <cdr:y>0.0025</cdr:y>
    </cdr:from>
    <cdr:to>
      <cdr:x>0.98</cdr:x>
      <cdr:y>0.495</cdr:y>
    </cdr:to>
    <cdr:graphicFrame macro="">
      <cdr:nvGraphicFramePr>
        <cdr:cNvPr id="30721" name="Chart 1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0.31925</cdr:x>
      <cdr:y>0.25475</cdr:y>
    </cdr:from>
    <cdr:to>
      <cdr:x>0.6665</cdr:x>
      <cdr:y>0.7575</cdr:y>
    </cdr:to>
    <cdr:graphicFrame macro="">
      <cdr:nvGraphicFramePr>
        <cdr:cNvPr id="30722" name="Chart 2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0.001</cdr:x>
      <cdr:y>0.476</cdr:y>
    </cdr:from>
    <cdr:to>
      <cdr:x>0.30175</cdr:x>
      <cdr:y>0.98125</cdr:y>
    </cdr:to>
    <cdr:graphicFrame macro="">
      <cdr:nvGraphicFramePr>
        <cdr:cNvPr id="30723" name="Chart 3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0.65125</cdr:x>
      <cdr:y>0.49075</cdr:y>
    </cdr:from>
    <cdr:to>
      <cdr:x>1</cdr:x>
      <cdr:y>1</cdr:y>
    </cdr:to>
    <cdr:graphicFrame macro="">
      <cdr:nvGraphicFramePr>
        <cdr:cNvPr id="30724" name="Chart 4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0.064</cdr:x>
      <cdr:y>0.34875</cdr:y>
    </cdr:from>
    <cdr:to>
      <cdr:x>0.224</cdr:x>
      <cdr:y>0.40325</cdr:y>
    </cdr:to>
    <cdr:sp macro="" textlink="">
      <cdr:nvSpPr>
        <cdr:cNvPr id="30725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8264" y="1953244"/>
          <a:ext cx="1470660" cy="30523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Groei recessie</a:t>
          </a:r>
        </a:p>
      </cdr:txBody>
    </cdr:sp>
  </cdr:relSizeAnchor>
  <cdr:relSizeAnchor xmlns:cdr="http://schemas.openxmlformats.org/drawingml/2006/chartDrawing">
    <cdr:from>
      <cdr:x>0.493</cdr:x>
      <cdr:y>0.38975</cdr:y>
    </cdr:from>
    <cdr:to>
      <cdr:x>0.6705</cdr:x>
      <cdr:y>0.47675</cdr:y>
    </cdr:to>
    <cdr:sp macro="" textlink="">
      <cdr:nvSpPr>
        <cdr:cNvPr id="30726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31471" y="2182873"/>
          <a:ext cx="1631514" cy="48726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nl-NL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Nominale Matchingportefeuille</a:t>
          </a:r>
        </a:p>
      </cdr:txBody>
    </cdr:sp>
  </cdr:relSizeAnchor>
  <cdr:relSizeAnchor xmlns:cdr="http://schemas.openxmlformats.org/drawingml/2006/chartDrawing">
    <cdr:from>
      <cdr:x>0.31925</cdr:x>
      <cdr:y>0.4175</cdr:y>
    </cdr:from>
    <cdr:to>
      <cdr:x>0.49675</cdr:x>
      <cdr:y>0.46325</cdr:y>
    </cdr:to>
    <cdr:sp macro="" textlink="">
      <cdr:nvSpPr>
        <cdr:cNvPr id="30727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34426" y="2338292"/>
          <a:ext cx="1631514" cy="2562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nl-NL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Returnportefeuille</a:t>
          </a:r>
        </a:p>
      </cdr:txBody>
    </cdr:sp>
  </cdr:relSizeAnchor>
  <cdr:relSizeAnchor xmlns:cdr="http://schemas.openxmlformats.org/drawingml/2006/chartDrawing">
    <cdr:from>
      <cdr:x>0.282</cdr:x>
      <cdr:y>0.5305</cdr:y>
    </cdr:from>
    <cdr:to>
      <cdr:x>0.45925</cdr:x>
      <cdr:y>0.616</cdr:y>
    </cdr:to>
    <cdr:sp macro="" textlink="">
      <cdr:nvSpPr>
        <cdr:cNvPr id="30728" name="Text Box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2038" y="2971171"/>
          <a:ext cx="1629216" cy="478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nl-NL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Reele Matchingportefeuille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0.316</cdr:x>
      <cdr:y>0.74769</cdr:y>
    </cdr:from>
    <cdr:to>
      <cdr:x>0.64222</cdr:x>
      <cdr:y>0.85294</cdr:y>
    </cdr:to>
    <cdr:sp macro="" textlink="">
      <cdr:nvSpPr>
        <cdr:cNvPr id="31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5080" y="2075591"/>
          <a:ext cx="910431" cy="291741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Inflatie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0.2213</cdr:x>
      <cdr:y>0.84059</cdr:y>
    </cdr:from>
    <cdr:to>
      <cdr:x>0.72461</cdr:x>
      <cdr:y>0.94663</cdr:y>
    </cdr:to>
    <cdr:sp macro="" textlink="">
      <cdr:nvSpPr>
        <cdr:cNvPr id="32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11421" y="2373138"/>
          <a:ext cx="1610796" cy="298975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Kansgewogen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0.21152</cdr:x>
      <cdr:y>0.10956</cdr:y>
    </cdr:from>
    <cdr:to>
      <cdr:x>0.76579</cdr:x>
      <cdr:y>0.22021</cdr:y>
    </cdr:to>
    <cdr:sp macro="" textlink="">
      <cdr:nvSpPr>
        <cdr:cNvPr id="33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9451" y="314147"/>
          <a:ext cx="1536325" cy="314097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Vermogenseffect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0.34813</cdr:x>
      <cdr:y>0.01667</cdr:y>
    </cdr:from>
    <cdr:to>
      <cdr:x>0.65066</cdr:x>
      <cdr:y>0.12373</cdr:y>
    </cdr:to>
    <cdr:sp macro="" textlink="">
      <cdr:nvSpPr>
        <cdr:cNvPr id="348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23963" y="50800"/>
          <a:ext cx="973969" cy="3059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50" b="1" i="0" u="none" strike="noStrike" baseline="0">
              <a:solidFill>
                <a:srgbClr val="FFFFFF"/>
              </a:solidFill>
              <a:latin typeface="Arial"/>
              <a:cs typeface="Arial"/>
            </a:rPr>
            <a:t>Deflatie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0.48525</cdr:x>
      <cdr:y>0</cdr:y>
    </cdr:from>
    <cdr:to>
      <cdr:x>1</cdr:x>
      <cdr:y>0.49125</cdr:y>
    </cdr:to>
    <cdr:graphicFrame macro="">
      <cdr:nvGraphicFramePr>
        <cdr:cNvPr id="35841" name="Chart 1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0.0055</cdr:x>
      <cdr:y>0.49175</cdr:y>
    </cdr:from>
    <cdr:to>
      <cdr:x>0.47875</cdr:x>
      <cdr:y>1</cdr:y>
    </cdr:to>
    <cdr:graphicFrame macro="">
      <cdr:nvGraphicFramePr>
        <cdr:cNvPr id="35842" name="Chart 2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0.4845</cdr:x>
      <cdr:y>0.46825</cdr:y>
    </cdr:from>
    <cdr:to>
      <cdr:x>1</cdr:x>
      <cdr:y>0.9995</cdr:y>
    </cdr:to>
    <cdr:graphicFrame macro="">
      <cdr:nvGraphicFramePr>
        <cdr:cNvPr id="35843" name="Chart 3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0.297</cdr:x>
      <cdr:y>0</cdr:y>
    </cdr:from>
    <cdr:to>
      <cdr:x>0.455</cdr:x>
      <cdr:y>0.0515</cdr:y>
    </cdr:to>
    <cdr:sp macro="" textlink="">
      <cdr:nvSpPr>
        <cdr:cNvPr id="35844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29913" y="0"/>
          <a:ext cx="1452276" cy="288436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Groei recessie</a:t>
          </a:r>
        </a:p>
      </cdr:txBody>
    </cdr:sp>
  </cdr:relSizeAnchor>
  <cdr:relSizeAnchor xmlns:cdr="http://schemas.openxmlformats.org/drawingml/2006/chartDrawing">
    <cdr:from>
      <cdr:x>0.8725</cdr:x>
      <cdr:y>0</cdr:y>
    </cdr:from>
    <cdr:to>
      <cdr:x>0.97575</cdr:x>
      <cdr:y>0.0515</cdr:y>
    </cdr:to>
    <cdr:sp macro="" textlink="">
      <cdr:nvSpPr>
        <cdr:cNvPr id="35845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19693" y="0"/>
          <a:ext cx="949035" cy="288436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Inflatie</a:t>
          </a:r>
        </a:p>
      </cdr:txBody>
    </cdr:sp>
  </cdr:relSizeAnchor>
  <cdr:relSizeAnchor xmlns:cdr="http://schemas.openxmlformats.org/drawingml/2006/chartDrawing">
    <cdr:from>
      <cdr:x>0.2775</cdr:x>
      <cdr:y>0.50475</cdr:y>
    </cdr:from>
    <cdr:to>
      <cdr:x>0.46</cdr:x>
      <cdr:y>0.5585</cdr:y>
    </cdr:to>
    <cdr:sp macro="" textlink="">
      <cdr:nvSpPr>
        <cdr:cNvPr id="35846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50676" y="2826953"/>
          <a:ext cx="1677472" cy="30103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Vermogenseffect</a:t>
          </a:r>
        </a:p>
      </cdr:txBody>
    </cdr:sp>
  </cdr:relSizeAnchor>
  <cdr:relSizeAnchor xmlns:cdr="http://schemas.openxmlformats.org/drawingml/2006/chartDrawing">
    <cdr:from>
      <cdr:x>0.80675</cdr:x>
      <cdr:y>0.50475</cdr:y>
    </cdr:from>
    <cdr:to>
      <cdr:x>0.98075</cdr:x>
      <cdr:y>0.5585</cdr:y>
    </cdr:to>
    <cdr:sp macro="" textlink="">
      <cdr:nvSpPr>
        <cdr:cNvPr id="35847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415343" y="2826953"/>
          <a:ext cx="1599343" cy="30103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36576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400" b="1" i="0" u="none" strike="noStrike" baseline="0">
              <a:solidFill>
                <a:srgbClr val="FFFFFF"/>
              </a:solidFill>
              <a:latin typeface="Arial"/>
              <a:cs typeface="Arial"/>
            </a:rPr>
            <a:t>Kans gewogen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191625" cy="56007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0\VBfm\06%20Beleid\BP%202010\BP2010\BP2010\BP_interface_v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"/>
      <sheetName val="Historische reeksen"/>
      <sheetName val="Visie 1"/>
      <sheetName val="Visie 1 (2)"/>
      <sheetName val="Vertaling visies"/>
      <sheetName val="IR Mixen"/>
      <sheetName val="Visie 1 Mixen"/>
      <sheetName val="IR Mixen TEMP"/>
      <sheetName val="Visie 1 TEMP"/>
      <sheetName val="IR Mixen - Grafiek Totaal"/>
      <sheetName val="IR Mixen - Grafiek"/>
      <sheetName val="Visie 1 Mixen - Grafiek"/>
      <sheetName val="IR Mixen - Grafiek Return"/>
      <sheetName val="Visie 1 Mixen - Grafiek Return"/>
    </sheetNames>
    <sheetDataSet>
      <sheetData sheetId="0" refreshError="1"/>
      <sheetData sheetId="1">
        <row r="3">
          <cell r="A3">
            <v>1970</v>
          </cell>
        </row>
        <row r="4">
          <cell r="A4">
            <v>1971</v>
          </cell>
        </row>
        <row r="5">
          <cell r="A5">
            <v>1972</v>
          </cell>
        </row>
        <row r="6">
          <cell r="A6">
            <v>1973</v>
          </cell>
        </row>
        <row r="7">
          <cell r="A7">
            <v>1974</v>
          </cell>
        </row>
        <row r="8">
          <cell r="A8">
            <v>1975</v>
          </cell>
        </row>
        <row r="9">
          <cell r="A9">
            <v>1976</v>
          </cell>
        </row>
        <row r="10">
          <cell r="A10">
            <v>1977</v>
          </cell>
        </row>
        <row r="11">
          <cell r="A11">
            <v>1978</v>
          </cell>
        </row>
        <row r="12">
          <cell r="A12">
            <v>1979</v>
          </cell>
        </row>
        <row r="13">
          <cell r="A13">
            <v>1980</v>
          </cell>
        </row>
        <row r="14">
          <cell r="A14">
            <v>1981</v>
          </cell>
        </row>
        <row r="15">
          <cell r="A15">
            <v>1982</v>
          </cell>
        </row>
        <row r="16">
          <cell r="A16">
            <v>1983</v>
          </cell>
        </row>
        <row r="17">
          <cell r="A17">
            <v>1984</v>
          </cell>
        </row>
        <row r="18">
          <cell r="A18">
            <v>1985</v>
          </cell>
        </row>
        <row r="19">
          <cell r="A19">
            <v>1986</v>
          </cell>
        </row>
        <row r="20">
          <cell r="A20">
            <v>1987</v>
          </cell>
        </row>
        <row r="21">
          <cell r="A21">
            <v>1988</v>
          </cell>
        </row>
        <row r="22">
          <cell r="A22">
            <v>1989</v>
          </cell>
        </row>
        <row r="23">
          <cell r="A23">
            <v>1990</v>
          </cell>
        </row>
        <row r="24">
          <cell r="A24">
            <v>1991</v>
          </cell>
        </row>
        <row r="25">
          <cell r="A25">
            <v>1992</v>
          </cell>
        </row>
        <row r="26">
          <cell r="A26">
            <v>1993</v>
          </cell>
        </row>
        <row r="27">
          <cell r="A27">
            <v>1994</v>
          </cell>
        </row>
        <row r="28">
          <cell r="A28">
            <v>1995</v>
          </cell>
        </row>
        <row r="29">
          <cell r="A29">
            <v>1996</v>
          </cell>
        </row>
        <row r="30">
          <cell r="A30">
            <v>1997</v>
          </cell>
        </row>
        <row r="31">
          <cell r="A31">
            <v>1998</v>
          </cell>
        </row>
        <row r="32">
          <cell r="A32">
            <v>1999</v>
          </cell>
        </row>
        <row r="33">
          <cell r="A33">
            <v>2000</v>
          </cell>
        </row>
        <row r="34">
          <cell r="A34">
            <v>2001</v>
          </cell>
        </row>
        <row r="35">
          <cell r="A35">
            <v>2002</v>
          </cell>
        </row>
        <row r="36">
          <cell r="A36">
            <v>2003</v>
          </cell>
        </row>
        <row r="37">
          <cell r="A37">
            <v>2004</v>
          </cell>
        </row>
        <row r="38">
          <cell r="A38">
            <v>2005</v>
          </cell>
        </row>
        <row r="39">
          <cell r="A39">
            <v>2006</v>
          </cell>
        </row>
        <row r="40">
          <cell r="A40">
            <v>2007</v>
          </cell>
        </row>
        <row r="41">
          <cell r="A41">
            <v>2008</v>
          </cell>
        </row>
      </sheetData>
      <sheetData sheetId="2" refreshError="1"/>
      <sheetData sheetId="3" refreshError="1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 enableFormatConditionsCalculation="0">
    <tabColor indexed="15"/>
  </sheetPr>
  <dimension ref="A1:J157"/>
  <sheetViews>
    <sheetView zoomScale="75" workbookViewId="0">
      <selection activeCell="I29" sqref="I29"/>
    </sheetView>
  </sheetViews>
  <sheetFormatPr defaultRowHeight="12.75"/>
  <cols>
    <col min="1" max="1" width="36.85546875" customWidth="1"/>
    <col min="2" max="4" width="24.7109375" customWidth="1"/>
    <col min="5" max="5" width="26.42578125" customWidth="1"/>
    <col min="6" max="7" width="24.7109375" customWidth="1"/>
    <col min="8" max="8" width="19.140625" customWidth="1"/>
    <col min="9" max="9" width="14.28515625" customWidth="1"/>
    <col min="10" max="10" width="20.5703125" bestFit="1" customWidth="1"/>
    <col min="21" max="21" width="30.28515625" customWidth="1"/>
    <col min="24" max="24" width="18.140625" customWidth="1"/>
  </cols>
  <sheetData>
    <row r="1" spans="1:10">
      <c r="A1" s="2" t="s">
        <v>9</v>
      </c>
      <c r="E1" s="3"/>
    </row>
    <row r="2" spans="1:10">
      <c r="C2" s="3" t="s">
        <v>19</v>
      </c>
      <c r="E2" s="3" t="s">
        <v>72</v>
      </c>
      <c r="F2" s="1" t="s">
        <v>61</v>
      </c>
    </row>
    <row r="3" spans="1:10">
      <c r="A3" s="2" t="s">
        <v>10</v>
      </c>
      <c r="C3" s="3" t="s">
        <v>20</v>
      </c>
    </row>
    <row r="4" spans="1:10">
      <c r="A4" t="s">
        <v>11</v>
      </c>
      <c r="B4" s="1">
        <v>1971</v>
      </c>
      <c r="C4" s="19">
        <v>1971</v>
      </c>
      <c r="E4" s="2" t="s">
        <v>138</v>
      </c>
      <c r="F4" s="1" t="s">
        <v>76</v>
      </c>
    </row>
    <row r="5" spans="1:10">
      <c r="A5" t="s">
        <v>12</v>
      </c>
      <c r="B5" s="1">
        <v>2009</v>
      </c>
      <c r="C5" s="19">
        <v>2009</v>
      </c>
      <c r="E5" s="2"/>
    </row>
    <row r="6" spans="1:10">
      <c r="F6" s="3"/>
      <c r="G6" s="3"/>
    </row>
    <row r="7" spans="1:10">
      <c r="A7" s="2" t="s">
        <v>13</v>
      </c>
      <c r="F7" s="1"/>
      <c r="G7" s="1"/>
    </row>
    <row r="8" spans="1:10">
      <c r="A8" t="s">
        <v>14</v>
      </c>
      <c r="B8" s="1" t="s">
        <v>77</v>
      </c>
      <c r="C8" s="19" t="s">
        <v>77</v>
      </c>
      <c r="F8" s="1"/>
      <c r="G8" s="1"/>
    </row>
    <row r="9" spans="1:10">
      <c r="A9" t="s">
        <v>17</v>
      </c>
      <c r="B9" s="13">
        <v>0.03</v>
      </c>
      <c r="C9" s="20">
        <v>0.03</v>
      </c>
      <c r="F9" s="1"/>
      <c r="G9" s="1"/>
    </row>
    <row r="10" spans="1:10">
      <c r="A10" t="s">
        <v>16</v>
      </c>
      <c r="B10" s="1">
        <v>6</v>
      </c>
      <c r="C10" s="19">
        <v>6</v>
      </c>
      <c r="F10" s="1"/>
      <c r="G10" s="1"/>
    </row>
    <row r="11" spans="1:10">
      <c r="A11" t="s">
        <v>35</v>
      </c>
      <c r="B11" s="1" t="s">
        <v>78</v>
      </c>
      <c r="C11" s="19" t="s">
        <v>78</v>
      </c>
      <c r="F11" s="1"/>
      <c r="G11" s="1"/>
    </row>
    <row r="12" spans="1:10">
      <c r="B12" t="s">
        <v>18</v>
      </c>
      <c r="C12" s="1"/>
    </row>
    <row r="13" spans="1:10">
      <c r="A13" s="2" t="s">
        <v>80</v>
      </c>
      <c r="E13" s="2"/>
    </row>
    <row r="14" spans="1:10">
      <c r="A14" s="84" t="s">
        <v>2</v>
      </c>
      <c r="D14" s="84" t="s">
        <v>3</v>
      </c>
    </row>
    <row r="15" spans="1:10">
      <c r="A15" s="82" t="s">
        <v>14</v>
      </c>
      <c r="B15" s="40" t="s">
        <v>77</v>
      </c>
      <c r="D15" s="82" t="s">
        <v>14</v>
      </c>
      <c r="E15" s="40" t="s">
        <v>78</v>
      </c>
      <c r="H15" s="27"/>
      <c r="I15" s="45"/>
      <c r="J15" s="21"/>
    </row>
    <row r="16" spans="1:10">
      <c r="A16" s="85" t="s">
        <v>81</v>
      </c>
      <c r="B16" s="29">
        <v>0</v>
      </c>
      <c r="D16" s="85" t="s">
        <v>81</v>
      </c>
      <c r="E16" s="29">
        <v>0</v>
      </c>
      <c r="H16" s="27"/>
      <c r="I16" s="45"/>
      <c r="J16" s="21"/>
    </row>
    <row r="17" spans="1:10">
      <c r="A17" s="86" t="s">
        <v>30</v>
      </c>
      <c r="B17" s="29">
        <v>0.03</v>
      </c>
      <c r="D17" s="86" t="s">
        <v>30</v>
      </c>
      <c r="E17" s="29">
        <v>0.03</v>
      </c>
      <c r="H17" s="27"/>
      <c r="I17" s="45"/>
      <c r="J17" s="21"/>
    </row>
    <row r="18" spans="1:10">
      <c r="A18" s="83" t="s">
        <v>7</v>
      </c>
      <c r="B18" s="63">
        <v>0</v>
      </c>
      <c r="C18" s="64" t="s">
        <v>15</v>
      </c>
      <c r="D18" s="83" t="s">
        <v>7</v>
      </c>
      <c r="E18" s="63">
        <v>0</v>
      </c>
      <c r="F18" s="64" t="s">
        <v>15</v>
      </c>
      <c r="H18" s="27"/>
      <c r="I18" s="45"/>
      <c r="J18" s="21"/>
    </row>
    <row r="19" spans="1:10">
      <c r="A19" s="70"/>
      <c r="B19" s="12">
        <v>0</v>
      </c>
      <c r="C19" s="6" t="s">
        <v>15</v>
      </c>
      <c r="D19" s="70"/>
      <c r="E19" s="12">
        <v>0</v>
      </c>
      <c r="F19" s="6" t="s">
        <v>15</v>
      </c>
    </row>
    <row r="21" spans="1:10">
      <c r="A21" s="18" t="s">
        <v>108</v>
      </c>
      <c r="B21" s="246" t="s">
        <v>109</v>
      </c>
      <c r="C21" s="246"/>
      <c r="D21" s="246"/>
      <c r="E21" s="246"/>
      <c r="F21" s="246"/>
    </row>
    <row r="22" spans="1:10">
      <c r="A22" s="76" t="s">
        <v>107</v>
      </c>
      <c r="B22" s="17" t="s">
        <v>92</v>
      </c>
      <c r="C22" s="89" t="str">
        <f>'Economische visies'!B2</f>
        <v>Groei recessie</v>
      </c>
      <c r="D22" s="90" t="str">
        <f>'Economische visies'!C2</f>
        <v>Inflatie is fiscaal</v>
      </c>
      <c r="E22" s="89" t="str">
        <f>'Economische visies'!D2</f>
        <v xml:space="preserve">Vermogenseffect </v>
      </c>
      <c r="F22" s="91" t="str">
        <f>'Economische visies'!E2</f>
        <v>Schuld deflatie</v>
      </c>
    </row>
    <row r="23" spans="1:10">
      <c r="A23" s="36" t="s">
        <v>36</v>
      </c>
      <c r="B23" s="29">
        <v>1</v>
      </c>
      <c r="C23" s="74">
        <v>0</v>
      </c>
      <c r="D23" s="72">
        <v>0</v>
      </c>
      <c r="E23" s="74">
        <v>0</v>
      </c>
      <c r="F23" s="73">
        <v>0</v>
      </c>
      <c r="I23" s="99"/>
    </row>
    <row r="24" spans="1:10">
      <c r="A24" s="36" t="s">
        <v>21</v>
      </c>
      <c r="B24" s="29">
        <v>0</v>
      </c>
      <c r="C24" s="75">
        <v>1</v>
      </c>
      <c r="D24" s="68">
        <v>0</v>
      </c>
      <c r="E24" s="75">
        <v>0</v>
      </c>
      <c r="F24" s="69">
        <v>0</v>
      </c>
      <c r="I24" s="98"/>
    </row>
    <row r="25" spans="1:10">
      <c r="A25" s="36" t="s">
        <v>102</v>
      </c>
      <c r="B25" s="29">
        <v>0</v>
      </c>
      <c r="C25" s="75">
        <v>0</v>
      </c>
      <c r="D25" s="68">
        <v>1</v>
      </c>
      <c r="E25" s="75">
        <v>0</v>
      </c>
      <c r="F25" s="69">
        <v>0</v>
      </c>
      <c r="I25" s="95"/>
    </row>
    <row r="26" spans="1:10">
      <c r="A26" s="36" t="s">
        <v>104</v>
      </c>
      <c r="B26" s="29">
        <v>0</v>
      </c>
      <c r="C26" s="75">
        <v>0</v>
      </c>
      <c r="D26" s="68">
        <v>0</v>
      </c>
      <c r="E26" s="75">
        <v>1</v>
      </c>
      <c r="F26" s="69">
        <v>0</v>
      </c>
      <c r="I26" s="95"/>
    </row>
    <row r="27" spans="1:10">
      <c r="A27" s="36" t="s">
        <v>37</v>
      </c>
      <c r="B27" s="29">
        <v>0</v>
      </c>
      <c r="C27" s="75">
        <v>0</v>
      </c>
      <c r="D27" s="68">
        <v>0</v>
      </c>
      <c r="E27" s="75">
        <v>0</v>
      </c>
      <c r="F27" s="69">
        <v>1</v>
      </c>
      <c r="I27" s="95"/>
    </row>
    <row r="28" spans="1:10">
      <c r="A28" s="15" t="s">
        <v>38</v>
      </c>
      <c r="B28" s="30">
        <v>0</v>
      </c>
      <c r="C28" s="30">
        <v>0.6</v>
      </c>
      <c r="D28" s="71">
        <v>0.1</v>
      </c>
      <c r="E28" s="30">
        <v>0.15</v>
      </c>
      <c r="F28" s="31">
        <v>0.15</v>
      </c>
      <c r="I28" s="95"/>
    </row>
    <row r="29" spans="1:10">
      <c r="I29" s="95"/>
    </row>
    <row r="30" spans="1:10">
      <c r="A30" s="2" t="s">
        <v>27</v>
      </c>
      <c r="I30" s="95"/>
    </row>
    <row r="31" spans="1:10">
      <c r="A31" s="24" t="s">
        <v>32</v>
      </c>
      <c r="B31" s="1">
        <v>2500</v>
      </c>
    </row>
    <row r="32" spans="1:10">
      <c r="A32" s="24" t="s">
        <v>34</v>
      </c>
      <c r="B32" s="25">
        <v>100</v>
      </c>
    </row>
    <row r="33" spans="1:7">
      <c r="A33" s="24" t="s">
        <v>31</v>
      </c>
      <c r="B33" s="25" t="s">
        <v>29</v>
      </c>
    </row>
    <row r="34" spans="1:7">
      <c r="A34" s="24" t="s">
        <v>110</v>
      </c>
    </row>
    <row r="35" spans="1:7">
      <c r="A35" s="94" t="s">
        <v>126</v>
      </c>
      <c r="B35" s="26">
        <v>0.01</v>
      </c>
    </row>
    <row r="36" spans="1:7">
      <c r="A36" s="94" t="s">
        <v>111</v>
      </c>
      <c r="B36" s="1">
        <v>0</v>
      </c>
    </row>
    <row r="37" spans="1:7">
      <c r="A37" s="24"/>
      <c r="B37" s="246" t="s">
        <v>115</v>
      </c>
      <c r="C37" s="246"/>
      <c r="D37" s="246"/>
      <c r="E37" s="246"/>
      <c r="F37" s="246"/>
    </row>
    <row r="38" spans="1:7">
      <c r="A38" s="35"/>
      <c r="B38" s="10" t="s">
        <v>26</v>
      </c>
      <c r="C38" s="10" t="s">
        <v>40</v>
      </c>
      <c r="D38" s="4" t="s">
        <v>57</v>
      </c>
      <c r="E38" s="56" t="s">
        <v>93</v>
      </c>
      <c r="F38" s="56" t="s">
        <v>74</v>
      </c>
    </row>
    <row r="39" spans="1:7">
      <c r="A39" s="9" t="s">
        <v>98</v>
      </c>
      <c r="B39" s="40" t="s">
        <v>77</v>
      </c>
      <c r="C39" s="40" t="s">
        <v>77</v>
      </c>
      <c r="D39" s="41" t="s">
        <v>78</v>
      </c>
      <c r="E39" s="15"/>
      <c r="F39" s="15"/>
    </row>
    <row r="40" spans="1:7">
      <c r="A40" s="77" t="str">
        <f t="shared" ref="A40:A45" si="0">A23</f>
        <v>Basis</v>
      </c>
      <c r="B40" s="37">
        <v>0.01</v>
      </c>
      <c r="C40" s="37">
        <v>0.06</v>
      </c>
      <c r="D40" s="33">
        <v>1</v>
      </c>
      <c r="E40" s="63" t="s">
        <v>15</v>
      </c>
      <c r="F40" s="11" t="s">
        <v>75</v>
      </c>
    </row>
    <row r="41" spans="1:7">
      <c r="A41" s="77" t="str">
        <f t="shared" si="0"/>
        <v>Groei recessie</v>
      </c>
      <c r="B41" s="43">
        <v>0.01</v>
      </c>
      <c r="C41" s="38">
        <v>0.06</v>
      </c>
      <c r="D41" s="33">
        <v>1</v>
      </c>
      <c r="E41" s="11" t="s">
        <v>15</v>
      </c>
      <c r="F41" s="11" t="s">
        <v>75</v>
      </c>
    </row>
    <row r="42" spans="1:7">
      <c r="A42" s="77" t="str">
        <f t="shared" si="0"/>
        <v>Inflatie is een fiscaal verschijnsel</v>
      </c>
      <c r="B42" s="38">
        <v>0.06</v>
      </c>
      <c r="C42" s="38">
        <v>0.06</v>
      </c>
      <c r="D42" s="33">
        <v>0.08</v>
      </c>
      <c r="E42" s="11" t="s">
        <v>15</v>
      </c>
      <c r="F42" s="11" t="s">
        <v>75</v>
      </c>
    </row>
    <row r="43" spans="1:7">
      <c r="A43" s="77" t="str">
        <f t="shared" si="0"/>
        <v>Vermogenseffect &amp; innovatie</v>
      </c>
      <c r="B43" s="38">
        <v>0.09</v>
      </c>
      <c r="C43" s="38">
        <v>0.06</v>
      </c>
      <c r="D43" s="33">
        <v>1</v>
      </c>
      <c r="E43" s="11" t="s">
        <v>15</v>
      </c>
      <c r="F43" s="11" t="s">
        <v>75</v>
      </c>
    </row>
    <row r="44" spans="1:7">
      <c r="A44" s="77" t="str">
        <f t="shared" si="0"/>
        <v>Schuld deflatie</v>
      </c>
      <c r="B44" s="38">
        <v>0</v>
      </c>
      <c r="C44" s="38">
        <v>0.06</v>
      </c>
      <c r="D44" s="33">
        <v>1</v>
      </c>
      <c r="E44" s="11" t="s">
        <v>15</v>
      </c>
      <c r="F44" s="11" t="s">
        <v>75</v>
      </c>
    </row>
    <row r="45" spans="1:7">
      <c r="A45" s="78" t="str">
        <f t="shared" si="0"/>
        <v>Kansgewogen</v>
      </c>
      <c r="B45" s="39">
        <v>0.01</v>
      </c>
      <c r="C45" s="39">
        <v>0.08</v>
      </c>
      <c r="D45" s="34">
        <v>1</v>
      </c>
      <c r="E45" s="12" t="s">
        <v>15</v>
      </c>
      <c r="F45" s="12" t="s">
        <v>75</v>
      </c>
    </row>
    <row r="46" spans="1:7">
      <c r="A46" s="95"/>
      <c r="B46" s="95"/>
      <c r="C46" s="96"/>
      <c r="D46" s="96"/>
      <c r="E46" s="96"/>
      <c r="F46" s="97"/>
      <c r="G46" s="97"/>
    </row>
    <row r="47" spans="1:7">
      <c r="A47" s="2" t="s">
        <v>113</v>
      </c>
      <c r="C47" s="26"/>
      <c r="D47" s="26"/>
    </row>
    <row r="48" spans="1:7">
      <c r="C48" s="247" t="s">
        <v>43</v>
      </c>
      <c r="D48" s="248"/>
      <c r="E48" s="247" t="s">
        <v>44</v>
      </c>
      <c r="F48" s="248"/>
    </row>
    <row r="49" spans="1:9">
      <c r="A49" s="7" t="s">
        <v>39</v>
      </c>
      <c r="B49" s="17" t="s">
        <v>45</v>
      </c>
      <c r="C49" s="57" t="s">
        <v>41</v>
      </c>
      <c r="D49" s="17" t="s">
        <v>42</v>
      </c>
      <c r="E49" s="17" t="s">
        <v>41</v>
      </c>
      <c r="F49" s="8" t="s">
        <v>42</v>
      </c>
      <c r="H49" s="17" t="s">
        <v>86</v>
      </c>
      <c r="I49" s="17" t="s">
        <v>87</v>
      </c>
    </row>
    <row r="50" spans="1:9">
      <c r="A50" s="14" t="s">
        <v>2</v>
      </c>
      <c r="B50" s="14" t="s">
        <v>46</v>
      </c>
      <c r="C50" s="58">
        <v>0</v>
      </c>
      <c r="D50" s="29">
        <v>1</v>
      </c>
      <c r="E50" s="29">
        <v>0</v>
      </c>
      <c r="F50" s="60">
        <v>1</v>
      </c>
      <c r="H50" s="29">
        <v>1</v>
      </c>
      <c r="I50" s="29">
        <v>0.99</v>
      </c>
    </row>
    <row r="51" spans="1:9">
      <c r="A51" s="14" t="s">
        <v>3</v>
      </c>
      <c r="B51" s="14" t="s">
        <v>46</v>
      </c>
      <c r="C51" s="58">
        <v>0</v>
      </c>
      <c r="D51" s="29">
        <v>1</v>
      </c>
      <c r="E51" s="29">
        <v>0</v>
      </c>
      <c r="F51" s="29">
        <v>1</v>
      </c>
      <c r="H51" s="29">
        <v>0</v>
      </c>
      <c r="I51" s="29">
        <v>0.99</v>
      </c>
    </row>
    <row r="52" spans="1:9">
      <c r="A52" s="67" t="str">
        <f>A101</f>
        <v>Credits</v>
      </c>
      <c r="B52" s="14" t="s">
        <v>47</v>
      </c>
      <c r="C52" s="13">
        <v>0</v>
      </c>
      <c r="D52" s="29">
        <v>0</v>
      </c>
      <c r="E52" s="29">
        <v>0</v>
      </c>
      <c r="F52" s="29">
        <v>0.5</v>
      </c>
      <c r="H52" s="29">
        <v>0</v>
      </c>
      <c r="I52" s="29">
        <v>0.99</v>
      </c>
    </row>
    <row r="53" spans="1:9">
      <c r="A53" s="67" t="str">
        <f t="shared" ref="A53:A59" si="1">A102</f>
        <v>High Yield</v>
      </c>
      <c r="B53" s="14" t="s">
        <v>47</v>
      </c>
      <c r="C53" s="58">
        <v>0</v>
      </c>
      <c r="D53" s="29">
        <v>1</v>
      </c>
      <c r="E53" s="29">
        <v>0</v>
      </c>
      <c r="F53" s="29">
        <v>0.5</v>
      </c>
      <c r="H53" s="29">
        <v>0</v>
      </c>
      <c r="I53" s="29">
        <v>0.99</v>
      </c>
    </row>
    <row r="54" spans="1:9">
      <c r="A54" s="67" t="str">
        <f t="shared" si="1"/>
        <v>Emerging market debt</v>
      </c>
      <c r="B54" s="14" t="s">
        <v>47</v>
      </c>
      <c r="C54" s="58">
        <v>0</v>
      </c>
      <c r="D54" s="29">
        <v>1</v>
      </c>
      <c r="E54" s="29">
        <v>0</v>
      </c>
      <c r="F54" s="29">
        <v>0.5</v>
      </c>
      <c r="H54" s="29">
        <v>0</v>
      </c>
      <c r="I54" s="29">
        <v>0.99</v>
      </c>
    </row>
    <row r="55" spans="1:9">
      <c r="A55" s="67" t="str">
        <f t="shared" si="1"/>
        <v>Aandelen ontwikkeld</v>
      </c>
      <c r="B55" s="14" t="s">
        <v>47</v>
      </c>
      <c r="C55" s="58">
        <v>0</v>
      </c>
      <c r="D55" s="29">
        <v>1</v>
      </c>
      <c r="E55" s="29">
        <v>0</v>
      </c>
      <c r="F55" s="29">
        <v>0.5</v>
      </c>
      <c r="H55" s="29">
        <v>0</v>
      </c>
      <c r="I55" s="29">
        <v>0.99</v>
      </c>
    </row>
    <row r="56" spans="1:9">
      <c r="A56" s="67" t="str">
        <f t="shared" si="1"/>
        <v>Aandelen opkomend</v>
      </c>
      <c r="B56" s="14" t="s">
        <v>47</v>
      </c>
      <c r="C56" s="58">
        <v>0</v>
      </c>
      <c r="D56" s="29">
        <v>1</v>
      </c>
      <c r="E56" s="29">
        <v>0</v>
      </c>
      <c r="F56" s="29">
        <v>0.5</v>
      </c>
      <c r="H56" s="29">
        <v>0</v>
      </c>
      <c r="I56" s="29">
        <v>0.99</v>
      </c>
    </row>
    <row r="57" spans="1:9">
      <c r="A57" s="67" t="str">
        <f t="shared" si="1"/>
        <v>Hedge funds</v>
      </c>
      <c r="B57" s="14" t="s">
        <v>47</v>
      </c>
      <c r="C57" s="58">
        <v>0</v>
      </c>
      <c r="D57" s="29">
        <v>1</v>
      </c>
      <c r="E57" s="29">
        <v>0</v>
      </c>
      <c r="F57" s="29">
        <v>0.5</v>
      </c>
      <c r="H57" s="29">
        <v>0</v>
      </c>
      <c r="I57" s="29">
        <v>0.99</v>
      </c>
    </row>
    <row r="58" spans="1:9">
      <c r="A58" s="67" t="str">
        <f t="shared" si="1"/>
        <v>Onroerend goed</v>
      </c>
      <c r="B58" s="14" t="s">
        <v>47</v>
      </c>
      <c r="C58" s="58">
        <v>0</v>
      </c>
      <c r="D58" s="29">
        <v>1</v>
      </c>
      <c r="E58" s="29">
        <v>0</v>
      </c>
      <c r="F58" s="29">
        <v>0.5</v>
      </c>
      <c r="H58" s="29">
        <v>0</v>
      </c>
      <c r="I58" s="29">
        <v>0.99</v>
      </c>
    </row>
    <row r="59" spans="1:9">
      <c r="A59" s="42" t="str">
        <f t="shared" si="1"/>
        <v>Commodities</v>
      </c>
      <c r="B59" s="15" t="s">
        <v>47</v>
      </c>
      <c r="C59" s="59">
        <v>0</v>
      </c>
      <c r="D59" s="30">
        <v>1</v>
      </c>
      <c r="E59" s="30">
        <v>0</v>
      </c>
      <c r="F59" s="30">
        <v>0.5</v>
      </c>
      <c r="H59" s="30">
        <v>0</v>
      </c>
      <c r="I59" s="30">
        <v>0.99</v>
      </c>
    </row>
    <row r="60" spans="1:9">
      <c r="H60" s="17" t="s">
        <v>88</v>
      </c>
      <c r="I60" s="66">
        <v>0.99</v>
      </c>
    </row>
    <row r="61" spans="1:9">
      <c r="A61" s="222" t="s">
        <v>173</v>
      </c>
      <c r="B61" s="223">
        <v>1</v>
      </c>
    </row>
    <row r="70" spans="7:7">
      <c r="G70" s="98"/>
    </row>
    <row r="71" spans="7:7">
      <c r="G71" s="22"/>
    </row>
    <row r="72" spans="7:7">
      <c r="G72" s="22"/>
    </row>
    <row r="73" spans="7:7">
      <c r="G73" s="22"/>
    </row>
    <row r="74" spans="7:7">
      <c r="G74" s="22"/>
    </row>
    <row r="75" spans="7:7">
      <c r="G75" s="22"/>
    </row>
    <row r="76" spans="7:7">
      <c r="G76" s="22"/>
    </row>
    <row r="77" spans="7:7">
      <c r="G77" s="22"/>
    </row>
    <row r="78" spans="7:7">
      <c r="G78" s="22"/>
    </row>
    <row r="79" spans="7:7">
      <c r="G79" s="22"/>
    </row>
    <row r="80" spans="7:7">
      <c r="G80" s="22"/>
    </row>
    <row r="97" spans="1:5">
      <c r="A97" t="s">
        <v>97</v>
      </c>
    </row>
    <row r="98" spans="1:5">
      <c r="A98" t="s">
        <v>15</v>
      </c>
      <c r="B98">
        <v>0</v>
      </c>
      <c r="D98" t="s">
        <v>48</v>
      </c>
    </row>
    <row r="99" spans="1:5">
      <c r="A99" t="str">
        <f t="array" ref="A99:A109">TRANSPOSE('Historie rendementen'!B1:K1)</f>
        <v>Nominale VPV</v>
      </c>
      <c r="B99">
        <v>1</v>
      </c>
    </row>
    <row r="100" spans="1:5">
      <c r="A100" t="str">
        <v>Reele VPV</v>
      </c>
      <c r="B100">
        <v>2</v>
      </c>
      <c r="D100" t="s">
        <v>49</v>
      </c>
      <c r="E100">
        <f>VLOOKUP(B8,$A$98:$B$107,2,0)</f>
        <v>1</v>
      </c>
    </row>
    <row r="101" spans="1:5">
      <c r="A101" t="str">
        <v>Credits</v>
      </c>
      <c r="B101">
        <v>3</v>
      </c>
      <c r="D101" t="s">
        <v>50</v>
      </c>
      <c r="E101">
        <f>VLOOKUP(B11,$A$98:$B$107,2,0)</f>
        <v>2</v>
      </c>
    </row>
    <row r="102" spans="1:5">
      <c r="A102" t="str">
        <v>High Yield</v>
      </c>
      <c r="B102">
        <v>4</v>
      </c>
    </row>
    <row r="103" spans="1:5">
      <c r="A103" t="str">
        <v>Emerging market debt</v>
      </c>
      <c r="B103">
        <v>5</v>
      </c>
      <c r="D103" t="s">
        <v>51</v>
      </c>
      <c r="E103">
        <f>VLOOKUP(B33,$A$121:$B$124,2,0)</f>
        <v>1</v>
      </c>
    </row>
    <row r="104" spans="1:5">
      <c r="A104" t="str">
        <v>Aandelen ontwikkeld</v>
      </c>
      <c r="B104">
        <v>6</v>
      </c>
    </row>
    <row r="105" spans="1:5">
      <c r="A105" t="str">
        <v>Aandelen opkomend</v>
      </c>
      <c r="B105">
        <v>7</v>
      </c>
      <c r="D105" s="2" t="s">
        <v>54</v>
      </c>
    </row>
    <row r="106" spans="1:5">
      <c r="A106" t="str">
        <v>Hedge funds</v>
      </c>
      <c r="B106">
        <v>8</v>
      </c>
      <c r="D106" t="s">
        <v>29</v>
      </c>
      <c r="E106">
        <f>VLOOKUP(B39,$A$98:$B$107,2,0)</f>
        <v>1</v>
      </c>
    </row>
    <row r="107" spans="1:5">
      <c r="A107" t="str">
        <v>Onroerend goed</v>
      </c>
      <c r="B107">
        <v>9</v>
      </c>
      <c r="D107" t="s">
        <v>52</v>
      </c>
      <c r="E107">
        <f>VLOOKUP(C39,$A$98:$B$107,2,0)</f>
        <v>1</v>
      </c>
    </row>
    <row r="108" spans="1:5">
      <c r="A108" t="str">
        <v>Commodities</v>
      </c>
      <c r="B108">
        <v>10</v>
      </c>
      <c r="D108" t="s">
        <v>53</v>
      </c>
      <c r="E108">
        <f>VLOOKUP(D39,$A$98:$B$107,2,0)</f>
        <v>2</v>
      </c>
    </row>
    <row r="109" spans="1:5">
      <c r="A109" t="e">
        <v>#N/A</v>
      </c>
    </row>
    <row r="110" spans="1:5">
      <c r="D110" s="2" t="s">
        <v>55</v>
      </c>
    </row>
    <row r="111" spans="1:5">
      <c r="D111" s="22" t="str">
        <f>A50</f>
        <v>Nominale matching</v>
      </c>
      <c r="E111">
        <f>VLOOKUP(B50,$A$128:$B$129,2,0)</f>
        <v>1</v>
      </c>
    </row>
    <row r="112" spans="1:5">
      <c r="D112" s="22" t="str">
        <f t="shared" ref="D112:D120" si="2">A51</f>
        <v>Reele matching</v>
      </c>
      <c r="E112">
        <f t="shared" ref="E112:E120" si="3">VLOOKUP(B51,$A$128:$B$129,2,0)</f>
        <v>1</v>
      </c>
    </row>
    <row r="113" spans="1:5">
      <c r="D113" s="22" t="str">
        <f t="shared" si="2"/>
        <v>Credits</v>
      </c>
      <c r="E113">
        <f t="shared" si="3"/>
        <v>2</v>
      </c>
    </row>
    <row r="114" spans="1:5">
      <c r="D114" s="22" t="str">
        <f t="shared" si="2"/>
        <v>High Yield</v>
      </c>
      <c r="E114">
        <f t="shared" si="3"/>
        <v>2</v>
      </c>
    </row>
    <row r="115" spans="1:5">
      <c r="D115" s="22" t="str">
        <f t="shared" si="2"/>
        <v>Emerging market debt</v>
      </c>
      <c r="E115">
        <f t="shared" si="3"/>
        <v>2</v>
      </c>
    </row>
    <row r="116" spans="1:5">
      <c r="D116" s="22" t="str">
        <f t="shared" si="2"/>
        <v>Aandelen ontwikkeld</v>
      </c>
      <c r="E116">
        <f t="shared" si="3"/>
        <v>2</v>
      </c>
    </row>
    <row r="117" spans="1:5">
      <c r="D117" s="22" t="str">
        <f t="shared" si="2"/>
        <v>Aandelen opkomend</v>
      </c>
      <c r="E117">
        <f t="shared" si="3"/>
        <v>2</v>
      </c>
    </row>
    <row r="118" spans="1:5">
      <c r="D118" s="22" t="str">
        <f t="shared" si="2"/>
        <v>Hedge funds</v>
      </c>
      <c r="E118">
        <f t="shared" si="3"/>
        <v>2</v>
      </c>
    </row>
    <row r="119" spans="1:5">
      <c r="D119" s="22" t="str">
        <f t="shared" si="2"/>
        <v>Onroerend goed</v>
      </c>
      <c r="E119">
        <f t="shared" si="3"/>
        <v>2</v>
      </c>
    </row>
    <row r="120" spans="1:5">
      <c r="D120" s="22" t="str">
        <f t="shared" si="2"/>
        <v>Commodities</v>
      </c>
      <c r="E120">
        <f t="shared" si="3"/>
        <v>2</v>
      </c>
    </row>
    <row r="121" spans="1:5">
      <c r="A121" t="s">
        <v>28</v>
      </c>
      <c r="B121">
        <v>0</v>
      </c>
    </row>
    <row r="122" spans="1:5">
      <c r="A122" t="s">
        <v>29</v>
      </c>
      <c r="B122">
        <v>1</v>
      </c>
      <c r="D122" t="s">
        <v>15</v>
      </c>
      <c r="E122">
        <v>0</v>
      </c>
    </row>
    <row r="123" spans="1:5">
      <c r="A123" t="s">
        <v>30</v>
      </c>
      <c r="B123">
        <v>2</v>
      </c>
      <c r="D123" t="s">
        <v>94</v>
      </c>
      <c r="E123">
        <v>1</v>
      </c>
    </row>
    <row r="124" spans="1:5">
      <c r="A124" t="s">
        <v>56</v>
      </c>
      <c r="B124">
        <v>3</v>
      </c>
      <c r="D124" t="s">
        <v>114</v>
      </c>
      <c r="E124">
        <v>2</v>
      </c>
    </row>
    <row r="125" spans="1:5">
      <c r="D125" t="s">
        <v>95</v>
      </c>
      <c r="E125">
        <v>3</v>
      </c>
    </row>
    <row r="126" spans="1:5">
      <c r="A126" t="s">
        <v>33</v>
      </c>
      <c r="D126" t="s">
        <v>96</v>
      </c>
      <c r="E126">
        <v>4</v>
      </c>
    </row>
    <row r="128" spans="1:5">
      <c r="A128" t="s">
        <v>46</v>
      </c>
      <c r="B128">
        <v>1</v>
      </c>
    </row>
    <row r="129" spans="1:5">
      <c r="A129" t="s">
        <v>47</v>
      </c>
      <c r="B129">
        <v>2</v>
      </c>
    </row>
    <row r="132" spans="1:5">
      <c r="A132" t="s">
        <v>79</v>
      </c>
      <c r="D132" t="s">
        <v>75</v>
      </c>
    </row>
    <row r="133" spans="1:5">
      <c r="A133" t="str">
        <f t="array" ref="A133:A153">TRANSPOSE('Verplichtingen Nominaal'!B1:S1)</f>
        <v>B&amp;W</v>
      </c>
      <c r="D133" t="s">
        <v>76</v>
      </c>
    </row>
    <row r="134" spans="1:5">
      <c r="A134" t="str">
        <v>Campagne</v>
      </c>
    </row>
    <row r="135" spans="1:5">
      <c r="A135" t="str">
        <v>Cargill</v>
      </c>
      <c r="D135" t="s">
        <v>7</v>
      </c>
      <c r="E135" t="s">
        <v>85</v>
      </c>
    </row>
    <row r="136" spans="1:5">
      <c r="A136" t="str">
        <v>Forbo</v>
      </c>
      <c r="D136" t="s">
        <v>2</v>
      </c>
      <c r="E136" s="1">
        <f>VLOOKUP(C18,$A$98:$B$107,2,0)</f>
        <v>0</v>
      </c>
    </row>
    <row r="137" spans="1:5">
      <c r="A137" t="str">
        <v>Koopvaardij</v>
      </c>
      <c r="E137" s="1">
        <f>VLOOKUP(C19,$A$98:$B$107,2,0)</f>
        <v>0</v>
      </c>
    </row>
    <row r="138" spans="1:5">
      <c r="A138" t="str">
        <v>MITT</v>
      </c>
      <c r="D138" t="s">
        <v>84</v>
      </c>
      <c r="E138" s="1">
        <f>VLOOKUP(F18,$A$98:$B$107,2,0)</f>
        <v>0</v>
      </c>
    </row>
    <row r="139" spans="1:5">
      <c r="A139" t="str">
        <v>Nutreco</v>
      </c>
      <c r="E139" s="1">
        <f>VLOOKUP(F19,$A$98:$B$107,2,0)</f>
        <v>0</v>
      </c>
    </row>
    <row r="140" spans="1:5">
      <c r="A140" t="str">
        <v>OPF</v>
      </c>
      <c r="D140" t="s">
        <v>89</v>
      </c>
      <c r="E140" s="1">
        <f>VLOOKUP(B15,$A$98:$B$107,2,0)</f>
        <v>1</v>
      </c>
    </row>
    <row r="141" spans="1:5">
      <c r="A141" t="str">
        <v>PME</v>
      </c>
      <c r="E141" s="1">
        <f>VLOOKUP(E15,$A$98:$B$107,2,0)</f>
        <v>2</v>
      </c>
    </row>
    <row r="142" spans="1:5">
      <c r="A142" t="str">
        <v>PMT</v>
      </c>
      <c r="D142" s="2" t="s">
        <v>93</v>
      </c>
    </row>
    <row r="143" spans="1:5">
      <c r="A143" t="str">
        <v>Productschappen</v>
      </c>
      <c r="D143" s="35" t="s">
        <v>22</v>
      </c>
      <c r="E143" s="64">
        <f t="shared" ref="E143:E148" si="4">VLOOKUP(E40,$D$122:$E$126,2,0)</f>
        <v>0</v>
      </c>
    </row>
    <row r="144" spans="1:5">
      <c r="A144" t="str">
        <v>SCA Anker</v>
      </c>
      <c r="D144" s="79" t="s">
        <v>23</v>
      </c>
      <c r="E144" s="5">
        <f t="shared" si="4"/>
        <v>0</v>
      </c>
    </row>
    <row r="145" spans="1:5">
      <c r="A145" t="str">
        <v>SCA Hygiene</v>
      </c>
      <c r="D145" s="79" t="s">
        <v>24</v>
      </c>
      <c r="E145" s="5">
        <f t="shared" si="4"/>
        <v>0</v>
      </c>
    </row>
    <row r="146" spans="1:5">
      <c r="A146" t="str">
        <v>Unisys</v>
      </c>
      <c r="D146" s="79" t="s">
        <v>25</v>
      </c>
      <c r="E146" s="5">
        <f t="shared" si="4"/>
        <v>0</v>
      </c>
    </row>
    <row r="147" spans="1:5">
      <c r="A147">
        <v>0</v>
      </c>
      <c r="D147" s="79" t="s">
        <v>90</v>
      </c>
      <c r="E147" s="5">
        <f t="shared" si="4"/>
        <v>0</v>
      </c>
    </row>
    <row r="148" spans="1:5">
      <c r="A148">
        <v>0</v>
      </c>
      <c r="D148" s="80" t="s">
        <v>91</v>
      </c>
      <c r="E148" s="6">
        <f t="shared" si="4"/>
        <v>0</v>
      </c>
    </row>
    <row r="149" spans="1:5">
      <c r="A149">
        <v>0</v>
      </c>
    </row>
    <row r="150" spans="1:5">
      <c r="A150">
        <v>0</v>
      </c>
    </row>
    <row r="151" spans="1:5">
      <c r="A151" t="e">
        <v>#N/A</v>
      </c>
    </row>
    <row r="152" spans="1:5">
      <c r="A152" t="e">
        <v>#N/A</v>
      </c>
    </row>
    <row r="153" spans="1:5">
      <c r="A153" t="e">
        <v>#N/A</v>
      </c>
    </row>
    <row r="155" spans="1:5">
      <c r="A155" t="s">
        <v>112</v>
      </c>
      <c r="B155">
        <v>0</v>
      </c>
    </row>
    <row r="156" spans="1:5">
      <c r="B156">
        <v>1</v>
      </c>
    </row>
    <row r="157" spans="1:5">
      <c r="B157">
        <v>2</v>
      </c>
    </row>
  </sheetData>
  <mergeCells count="4">
    <mergeCell ref="B21:F21"/>
    <mergeCell ref="C48:D48"/>
    <mergeCell ref="E48:F48"/>
    <mergeCell ref="B37:F37"/>
  </mergeCells>
  <phoneticPr fontId="2" type="noConversion"/>
  <dataValidations count="9">
    <dataValidation type="list" allowBlank="1" showInputMessage="1" showErrorMessage="1" sqref="B4:B5">
      <formula1>Sample</formula1>
    </dataValidation>
    <dataValidation type="list" allowBlank="1" showInputMessage="1" showErrorMessage="1" sqref="B39:D39">
      <formula1>$A$98:$A$107</formula1>
    </dataValidation>
    <dataValidation type="list" allowBlank="1" showInputMessage="1" showErrorMessage="1" sqref="B50:B59">
      <formula1>$A$128:$A$129</formula1>
    </dataValidation>
    <dataValidation type="list" allowBlank="1" showInputMessage="1" showErrorMessage="1" sqref="G46 F4 F40:F45">
      <formula1>$D$132:$D$133</formula1>
    </dataValidation>
    <dataValidation type="list" allowBlank="1" showInputMessage="1" showErrorMessage="1" sqref="E15 C18:C19 B8 B11 B15 F18:F19">
      <formula1>$A$98:$A$108</formula1>
    </dataValidation>
    <dataValidation type="list" allowBlank="1" showInputMessage="1" showErrorMessage="1" sqref="F46 E40:E45">
      <formula1>$D$122:$D$126</formula1>
    </dataValidation>
    <dataValidation type="list" allowBlank="1" showInputMessage="1" showErrorMessage="1" sqref="B33">
      <formula1>$A$121:$A$124</formula1>
    </dataValidation>
    <dataValidation type="list" allowBlank="1" showInputMessage="1" showErrorMessage="1" sqref="F2">
      <formula1>$A$133:$A$146</formula1>
    </dataValidation>
    <dataValidation type="list" allowBlank="1" showInputMessage="1" showErrorMessage="1" sqref="B36">
      <formula1>$B$155:$B$157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15"/>
  </sheetPr>
  <dimension ref="A1:J47"/>
  <sheetViews>
    <sheetView zoomScale="75" workbookViewId="0">
      <selection activeCell="B7" sqref="B7"/>
    </sheetView>
  </sheetViews>
  <sheetFormatPr defaultRowHeight="12.75"/>
  <cols>
    <col min="1" max="1" width="19.28515625" customWidth="1"/>
    <col min="2" max="5" width="36.7109375" customWidth="1"/>
  </cols>
  <sheetData>
    <row r="1" spans="1:10">
      <c r="A1" s="2" t="s">
        <v>101</v>
      </c>
    </row>
    <row r="2" spans="1:10">
      <c r="B2" s="87" t="s">
        <v>21</v>
      </c>
      <c r="C2" s="87" t="s">
        <v>105</v>
      </c>
      <c r="D2" s="87" t="s">
        <v>106</v>
      </c>
      <c r="E2" s="87" t="s">
        <v>37</v>
      </c>
    </row>
    <row r="3" spans="1:10">
      <c r="A3" t="str">
        <f>Parameters!A99</f>
        <v>Nominale VPV</v>
      </c>
      <c r="B3" s="92">
        <v>2.5000000000000001E-2</v>
      </c>
      <c r="C3" s="92">
        <v>-0.1</v>
      </c>
      <c r="D3" s="92">
        <v>-0.05</v>
      </c>
      <c r="E3" s="92">
        <v>0.1</v>
      </c>
      <c r="G3" s="92">
        <v>2.5000000000000001E-2</v>
      </c>
      <c r="H3" s="92">
        <v>-0.1</v>
      </c>
      <c r="I3" s="92">
        <v>-0.05</v>
      </c>
      <c r="J3" s="92">
        <v>0.1</v>
      </c>
    </row>
    <row r="4" spans="1:10">
      <c r="A4" t="str">
        <f>Parameters!A100</f>
        <v>Reele VPV</v>
      </c>
      <c r="B4" s="93">
        <v>0.01</v>
      </c>
      <c r="C4" s="93">
        <v>0</v>
      </c>
      <c r="D4" s="93">
        <v>-0.05</v>
      </c>
      <c r="E4" s="93">
        <v>0</v>
      </c>
      <c r="G4" s="93">
        <v>0.01</v>
      </c>
      <c r="H4" s="93">
        <v>0</v>
      </c>
      <c r="I4" s="93">
        <v>-0.05</v>
      </c>
      <c r="J4" s="93">
        <v>0</v>
      </c>
    </row>
    <row r="5" spans="1:10">
      <c r="A5" t="str">
        <f>Parameters!A101</f>
        <v>Credits</v>
      </c>
      <c r="B5" s="93">
        <f>(B3+B6)/2</f>
        <v>0.04</v>
      </c>
      <c r="C5" s="93">
        <f>(C3+C6)/2</f>
        <v>-6.25E-2</v>
      </c>
      <c r="D5" s="93">
        <f>(D3+D6)/2</f>
        <v>1.4999999999999999E-2</v>
      </c>
      <c r="E5" s="93">
        <f>(E3+E6)/2</f>
        <v>0</v>
      </c>
      <c r="G5" s="93">
        <f>(G3+G6)/2</f>
        <v>0.04</v>
      </c>
      <c r="H5" s="93">
        <f>(H3+H6)/2</f>
        <v>-6.25E-2</v>
      </c>
      <c r="I5" s="93">
        <f>(I3+I6)/2</f>
        <v>1.4999999999999999E-2</v>
      </c>
      <c r="J5" s="93">
        <f>(J3+J6)/2</f>
        <v>0</v>
      </c>
    </row>
    <row r="6" spans="1:10">
      <c r="A6" t="str">
        <f>Parameters!A102</f>
        <v>High Yield</v>
      </c>
      <c r="B6" s="92">
        <v>5.5E-2</v>
      </c>
      <c r="C6" s="92">
        <v>-2.5000000000000001E-2</v>
      </c>
      <c r="D6" s="92">
        <v>0.08</v>
      </c>
      <c r="E6" s="92">
        <v>-0.1</v>
      </c>
      <c r="G6" s="92">
        <v>5.5E-2</v>
      </c>
      <c r="H6" s="92">
        <v>-2.5000000000000001E-2</v>
      </c>
      <c r="I6" s="92">
        <v>0.08</v>
      </c>
      <c r="J6" s="92">
        <v>-0.1</v>
      </c>
    </row>
    <row r="7" spans="1:10">
      <c r="A7" t="str">
        <f>Parameters!A103</f>
        <v>Emerging market debt</v>
      </c>
      <c r="B7" s="92">
        <v>0.05</v>
      </c>
      <c r="C7" s="92">
        <v>-0.05</v>
      </c>
      <c r="D7" s="92">
        <v>0.05</v>
      </c>
      <c r="E7" s="92">
        <v>-0.08</v>
      </c>
      <c r="G7" s="92">
        <v>0.05</v>
      </c>
      <c r="H7" s="92">
        <v>-0.05</v>
      </c>
      <c r="I7" s="92">
        <v>0.05</v>
      </c>
      <c r="J7" s="92">
        <v>-0.08</v>
      </c>
    </row>
    <row r="8" spans="1:10">
      <c r="A8" t="str">
        <f>Parameters!A104</f>
        <v>Aandelen ontwikkeld</v>
      </c>
      <c r="B8" s="92">
        <v>0.05</v>
      </c>
      <c r="C8" s="92">
        <v>0</v>
      </c>
      <c r="D8" s="92">
        <v>0.2</v>
      </c>
      <c r="E8" s="92">
        <v>-0.2</v>
      </c>
      <c r="G8" s="92">
        <v>0.05</v>
      </c>
      <c r="H8" s="92">
        <v>0</v>
      </c>
      <c r="I8" s="92">
        <v>0.2</v>
      </c>
      <c r="J8" s="92">
        <v>-0.2</v>
      </c>
    </row>
    <row r="9" spans="1:10">
      <c r="A9" t="str">
        <f>Parameters!A105</f>
        <v>Aandelen opkomend</v>
      </c>
      <c r="B9" s="92">
        <v>0.04</v>
      </c>
      <c r="C9" s="92">
        <v>-0.03</v>
      </c>
      <c r="D9" s="92">
        <v>0.25</v>
      </c>
      <c r="E9" s="92">
        <v>-0.22</v>
      </c>
      <c r="G9" s="92">
        <v>0.04</v>
      </c>
      <c r="H9" s="92">
        <v>-0.03</v>
      </c>
      <c r="I9" s="92">
        <v>0.25</v>
      </c>
      <c r="J9" s="92">
        <v>-0.22</v>
      </c>
    </row>
    <row r="10" spans="1:10">
      <c r="A10" t="str">
        <f>Parameters!A106</f>
        <v>Hedge funds</v>
      </c>
      <c r="B10" s="92">
        <v>0.06</v>
      </c>
      <c r="C10" s="92">
        <v>-0.04</v>
      </c>
      <c r="D10" s="92">
        <v>0.06</v>
      </c>
      <c r="E10" s="92">
        <v>-0.12</v>
      </c>
      <c r="G10" s="92">
        <v>0.06</v>
      </c>
      <c r="H10" s="92">
        <v>-0.04</v>
      </c>
      <c r="I10" s="92">
        <v>0.06</v>
      </c>
      <c r="J10" s="92">
        <v>-0.12</v>
      </c>
    </row>
    <row r="11" spans="1:10">
      <c r="A11" t="str">
        <f>Parameters!A107</f>
        <v>Onroerend goed</v>
      </c>
      <c r="B11" s="92">
        <v>2.5000000000000001E-2</v>
      </c>
      <c r="C11" s="92">
        <v>0</v>
      </c>
      <c r="D11" s="92">
        <v>0.1</v>
      </c>
      <c r="E11" s="92">
        <v>-0.1</v>
      </c>
      <c r="G11" s="92">
        <v>2.5000000000000001E-2</v>
      </c>
      <c r="H11" s="92">
        <v>0</v>
      </c>
      <c r="I11" s="92">
        <v>0.1</v>
      </c>
      <c r="J11" s="92">
        <v>-0.1</v>
      </c>
    </row>
    <row r="12" spans="1:10">
      <c r="A12" t="str">
        <f>Parameters!A108</f>
        <v>Commodities</v>
      </c>
      <c r="B12" s="92">
        <v>0</v>
      </c>
      <c r="C12" s="92">
        <v>0.05</v>
      </c>
      <c r="D12" s="92">
        <v>0.3</v>
      </c>
      <c r="E12" s="92">
        <v>-0.25</v>
      </c>
      <c r="G12" s="92">
        <v>0</v>
      </c>
      <c r="H12" s="92">
        <v>0.05</v>
      </c>
      <c r="I12" s="92">
        <v>0.3</v>
      </c>
      <c r="J12" s="92">
        <v>-0.25</v>
      </c>
    </row>
    <row r="14" spans="1:10">
      <c r="A14" s="2" t="s">
        <v>103</v>
      </c>
    </row>
    <row r="15" spans="1:10">
      <c r="A15" s="2"/>
      <c r="B15" s="87" t="str">
        <f>B2</f>
        <v>Groei recessie</v>
      </c>
      <c r="C15" s="87" t="str">
        <f>C2</f>
        <v>Inflatie is fiscaal</v>
      </c>
      <c r="D15" s="87" t="str">
        <f>D2</f>
        <v xml:space="preserve">Vermogenseffect </v>
      </c>
      <c r="E15" s="87" t="str">
        <f>E2</f>
        <v>Schuld deflatie</v>
      </c>
    </row>
    <row r="16" spans="1:10">
      <c r="A16" t="str">
        <f>'Historie factoren'!B1</f>
        <v>Inflatie (VS)</v>
      </c>
      <c r="B16" s="26">
        <v>1.4999999999999999E-2</v>
      </c>
      <c r="C16" s="26">
        <v>0.05</v>
      </c>
      <c r="D16" s="26">
        <v>2.5000000000000001E-2</v>
      </c>
      <c r="E16" s="26">
        <v>-0.04</v>
      </c>
    </row>
    <row r="17" spans="1:5">
      <c r="A17" t="str">
        <f>'Historie factoren'!C1</f>
        <v>Reële groei (VS)</v>
      </c>
      <c r="B17" s="26">
        <v>2.5000000000000001E-2</v>
      </c>
      <c r="C17" s="26">
        <v>3.5000000000000003E-2</v>
      </c>
      <c r="D17" s="26">
        <v>5.5E-2</v>
      </c>
      <c r="E17" s="26">
        <v>-0.03</v>
      </c>
    </row>
    <row r="19" spans="1:5">
      <c r="A19" s="2" t="s">
        <v>139</v>
      </c>
    </row>
    <row r="20" spans="1:5">
      <c r="B20" s="87" t="str">
        <f>B2</f>
        <v>Groei recessie</v>
      </c>
      <c r="C20" s="87" t="str">
        <f>C2</f>
        <v>Inflatie is fiscaal</v>
      </c>
      <c r="D20" s="87" t="str">
        <f>D2</f>
        <v xml:space="preserve">Vermogenseffect </v>
      </c>
      <c r="E20" s="87" t="str">
        <f>E2</f>
        <v>Schuld deflatie</v>
      </c>
    </row>
    <row r="21" spans="1:5">
      <c r="A21" t="str">
        <f>A3</f>
        <v>Nominale VPV</v>
      </c>
      <c r="B21" s="1">
        <v>1</v>
      </c>
      <c r="C21" s="1">
        <v>1</v>
      </c>
      <c r="D21" s="1">
        <v>1</v>
      </c>
      <c r="E21" s="1">
        <v>1</v>
      </c>
    </row>
    <row r="22" spans="1:5">
      <c r="A22" t="str">
        <f t="shared" ref="A22:A30" si="0">A4</f>
        <v>Reele VPV</v>
      </c>
      <c r="B22" s="1">
        <v>1</v>
      </c>
      <c r="C22" s="1">
        <v>1</v>
      </c>
      <c r="D22" s="1">
        <v>1</v>
      </c>
      <c r="E22" s="1">
        <v>1</v>
      </c>
    </row>
    <row r="23" spans="1:5">
      <c r="A23" t="str">
        <f t="shared" si="0"/>
        <v>Credits</v>
      </c>
      <c r="B23" s="1">
        <v>1</v>
      </c>
      <c r="C23" s="1">
        <v>1</v>
      </c>
      <c r="D23" s="1">
        <v>1</v>
      </c>
      <c r="E23" s="1">
        <v>1</v>
      </c>
    </row>
    <row r="24" spans="1:5">
      <c r="A24" t="str">
        <f t="shared" si="0"/>
        <v>High Yield</v>
      </c>
      <c r="B24" s="1">
        <v>1</v>
      </c>
      <c r="C24" s="1">
        <v>1</v>
      </c>
      <c r="D24" s="1">
        <v>1</v>
      </c>
      <c r="E24" s="1">
        <v>1</v>
      </c>
    </row>
    <row r="25" spans="1:5">
      <c r="A25" t="str">
        <f t="shared" si="0"/>
        <v>Emerging market debt</v>
      </c>
      <c r="B25" s="1">
        <v>1</v>
      </c>
      <c r="C25" s="1">
        <v>1</v>
      </c>
      <c r="D25" s="1">
        <v>1</v>
      </c>
      <c r="E25" s="1">
        <v>1</v>
      </c>
    </row>
    <row r="26" spans="1:5">
      <c r="A26" t="str">
        <f t="shared" si="0"/>
        <v>Aandelen ontwikkeld</v>
      </c>
      <c r="B26" s="1">
        <v>1</v>
      </c>
      <c r="C26" s="1">
        <v>1</v>
      </c>
      <c r="D26" s="1">
        <v>1</v>
      </c>
      <c r="E26" s="1">
        <v>1</v>
      </c>
    </row>
    <row r="27" spans="1:5">
      <c r="A27" t="str">
        <f t="shared" si="0"/>
        <v>Aandelen opkomend</v>
      </c>
      <c r="B27" s="1">
        <v>1</v>
      </c>
      <c r="C27" s="1">
        <v>1</v>
      </c>
      <c r="D27" s="1">
        <v>1</v>
      </c>
      <c r="E27" s="1">
        <v>1</v>
      </c>
    </row>
    <row r="28" spans="1:5">
      <c r="A28" t="str">
        <f t="shared" si="0"/>
        <v>Hedge funds</v>
      </c>
      <c r="B28" s="1">
        <v>1</v>
      </c>
      <c r="C28" s="1">
        <v>1</v>
      </c>
      <c r="D28" s="1">
        <v>1</v>
      </c>
      <c r="E28" s="1">
        <v>1</v>
      </c>
    </row>
    <row r="29" spans="1:5">
      <c r="A29" t="str">
        <f t="shared" si="0"/>
        <v>Onroerend goed</v>
      </c>
      <c r="B29" s="1">
        <v>1</v>
      </c>
      <c r="C29" s="1">
        <v>1</v>
      </c>
      <c r="D29" s="1">
        <v>1</v>
      </c>
      <c r="E29" s="1">
        <v>1</v>
      </c>
    </row>
    <row r="30" spans="1:5">
      <c r="A30" t="str">
        <f t="shared" si="0"/>
        <v>Commodities</v>
      </c>
      <c r="B30" s="1">
        <v>1</v>
      </c>
      <c r="C30" s="1">
        <v>1</v>
      </c>
      <c r="D30" s="1">
        <v>1</v>
      </c>
      <c r="E30" s="1">
        <v>1</v>
      </c>
    </row>
    <row r="31" spans="1:5">
      <c r="B31" s="1"/>
      <c r="C31" s="1"/>
      <c r="D31" s="1"/>
      <c r="E31" s="1"/>
    </row>
    <row r="32" spans="1:5">
      <c r="B32" s="1"/>
      <c r="C32" s="1"/>
      <c r="D32" s="1"/>
      <c r="E32" s="1"/>
    </row>
    <row r="33" spans="2:5">
      <c r="B33" s="1"/>
      <c r="C33" s="1"/>
      <c r="D33" s="1"/>
      <c r="E33" s="1"/>
    </row>
    <row r="34" spans="2:5">
      <c r="B34" s="1"/>
      <c r="C34" s="1"/>
      <c r="D34" s="1"/>
      <c r="E34" s="1"/>
    </row>
    <row r="35" spans="2:5">
      <c r="B35" s="1"/>
      <c r="C35" s="1"/>
      <c r="D35" s="1"/>
      <c r="E35" s="1"/>
    </row>
    <row r="36" spans="2:5">
      <c r="B36" s="1"/>
      <c r="C36" s="1"/>
      <c r="D36" s="1"/>
      <c r="E36" s="1"/>
    </row>
    <row r="37" spans="2:5">
      <c r="B37" s="1"/>
    </row>
    <row r="38" spans="2:5">
      <c r="B38" s="1"/>
      <c r="C38" s="1"/>
      <c r="D38" s="1"/>
      <c r="E38" s="1"/>
    </row>
    <row r="39" spans="2:5">
      <c r="B39" s="1"/>
      <c r="C39" s="1"/>
      <c r="D39" s="1"/>
      <c r="E39" s="1"/>
    </row>
    <row r="40" spans="2:5">
      <c r="B40" s="1"/>
      <c r="C40" s="1"/>
      <c r="D40" s="1"/>
      <c r="E40" s="1"/>
    </row>
    <row r="41" spans="2:5">
      <c r="B41" s="1"/>
      <c r="C41" s="1"/>
      <c r="D41" s="1"/>
      <c r="E41" s="1"/>
    </row>
    <row r="42" spans="2:5">
      <c r="B42" s="1"/>
      <c r="C42" s="1"/>
      <c r="D42" s="1"/>
      <c r="E42" s="1"/>
    </row>
    <row r="43" spans="2:5">
      <c r="B43" s="1"/>
      <c r="C43" s="1"/>
      <c r="D43" s="1"/>
      <c r="E43" s="1"/>
    </row>
    <row r="44" spans="2:5">
      <c r="B44" s="164"/>
      <c r="C44" s="164"/>
      <c r="D44" s="164"/>
      <c r="E44" s="1"/>
    </row>
    <row r="45" spans="2:5">
      <c r="B45" s="1"/>
      <c r="C45" s="1"/>
      <c r="D45" s="1"/>
      <c r="E45" s="1"/>
    </row>
    <row r="46" spans="2:5">
      <c r="B46" s="1"/>
      <c r="C46" s="1"/>
      <c r="D46" s="1"/>
      <c r="E46" s="1"/>
    </row>
    <row r="47" spans="2:5">
      <c r="B47" s="1"/>
      <c r="C47" s="1"/>
      <c r="D47" s="1"/>
      <c r="E47" s="1"/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indexed="13"/>
  </sheetPr>
  <dimension ref="A1:O65"/>
  <sheetViews>
    <sheetView zoomScale="75" workbookViewId="0">
      <selection activeCell="B68" sqref="B68"/>
    </sheetView>
  </sheetViews>
  <sheetFormatPr defaultRowHeight="12.75"/>
  <cols>
    <col min="1" max="1" width="32.28515625" customWidth="1"/>
    <col min="2" max="3" width="12.140625" customWidth="1"/>
  </cols>
  <sheetData>
    <row r="1" spans="1:15">
      <c r="A1" s="2" t="s">
        <v>134</v>
      </c>
    </row>
    <row r="2" spans="1:15">
      <c r="A2" s="102"/>
      <c r="D2" s="249" t="s">
        <v>7</v>
      </c>
      <c r="E2" s="249"/>
      <c r="F2" s="249"/>
      <c r="G2" s="249"/>
      <c r="H2" s="249"/>
      <c r="I2" s="249"/>
      <c r="J2" s="249"/>
      <c r="K2" s="249"/>
      <c r="L2" s="249"/>
      <c r="M2" s="249"/>
    </row>
    <row r="3" spans="1:15">
      <c r="A3" s="108" t="str">
        <f>Parameters!A40</f>
        <v>Basis</v>
      </c>
      <c r="B3" s="109" t="s">
        <v>116</v>
      </c>
      <c r="C3" s="17" t="s">
        <v>117</v>
      </c>
      <c r="D3" s="109" t="s">
        <v>118</v>
      </c>
      <c r="E3" s="109" t="s">
        <v>119</v>
      </c>
      <c r="F3" s="110" t="s">
        <v>73</v>
      </c>
      <c r="G3" s="109" t="s">
        <v>120</v>
      </c>
      <c r="H3" s="109" t="s">
        <v>0</v>
      </c>
      <c r="I3" s="109" t="s">
        <v>121</v>
      </c>
      <c r="J3" s="109" t="s">
        <v>122</v>
      </c>
      <c r="K3" s="109" t="s">
        <v>123</v>
      </c>
      <c r="L3" s="109" t="s">
        <v>1</v>
      </c>
      <c r="M3" s="8" t="s">
        <v>124</v>
      </c>
    </row>
    <row r="4" spans="1:15">
      <c r="A4" s="122" t="str">
        <f>Parameters!A99</f>
        <v>Nominale VPV</v>
      </c>
      <c r="B4" s="101">
        <v>0.03</v>
      </c>
      <c r="C4" s="16">
        <v>9.0861385371085554E-2</v>
      </c>
      <c r="D4" s="103">
        <v>1</v>
      </c>
      <c r="E4" s="103">
        <v>0.40971662366390715</v>
      </c>
      <c r="F4" s="103">
        <v>0.21430474377395495</v>
      </c>
      <c r="G4" s="103">
        <v>0.22151712082055552</v>
      </c>
      <c r="H4" s="103">
        <v>7.4002355689611707E-2</v>
      </c>
      <c r="I4" s="103">
        <v>9.1634717779999042E-2</v>
      </c>
      <c r="J4" s="103">
        <v>-0.17471282183767084</v>
      </c>
      <c r="K4" s="103">
        <v>-0.19467168407321445</v>
      </c>
      <c r="L4" s="103">
        <v>-4.8441147957524987E-2</v>
      </c>
      <c r="M4" s="104">
        <v>-0.46979603223907895</v>
      </c>
      <c r="O4" s="159">
        <f>(B4-$B$4)/C4</f>
        <v>0</v>
      </c>
    </row>
    <row r="5" spans="1:15">
      <c r="A5" s="14" t="str">
        <f>Parameters!A100</f>
        <v>Reele VPV</v>
      </c>
      <c r="B5" s="101">
        <v>0.03</v>
      </c>
      <c r="C5" s="16">
        <v>0.10522937451834077</v>
      </c>
      <c r="D5" s="103">
        <v>0.40971662366390715</v>
      </c>
      <c r="E5" s="103">
        <v>1</v>
      </c>
      <c r="F5" s="103">
        <v>0.15471392791247904</v>
      </c>
      <c r="G5" s="103">
        <v>0.25342358427652267</v>
      </c>
      <c r="H5" s="103">
        <v>-4.9491207038102572E-2</v>
      </c>
      <c r="I5" s="103">
        <v>0.12602559041577072</v>
      </c>
      <c r="J5" s="103">
        <v>5.7716896337474434E-2</v>
      </c>
      <c r="K5" s="103">
        <v>-0.14489467422899699</v>
      </c>
      <c r="L5" s="103">
        <v>-0.12202509544491509</v>
      </c>
      <c r="M5" s="104">
        <v>-8.924403706068651E-2</v>
      </c>
      <c r="O5" s="159">
        <f t="shared" ref="O5:O13" si="0">(B5-$B$4)/C5</f>
        <v>0</v>
      </c>
    </row>
    <row r="6" spans="1:15">
      <c r="A6" s="14" t="str">
        <f>Parameters!A101</f>
        <v>Credits</v>
      </c>
      <c r="B6" s="101">
        <v>5.5641316288239581E-2</v>
      </c>
      <c r="C6" s="16">
        <v>0.14514041524285748</v>
      </c>
      <c r="D6" s="103">
        <v>0.21430474377395495</v>
      </c>
      <c r="E6" s="103">
        <v>0.15471392791247904</v>
      </c>
      <c r="F6" s="103">
        <v>1</v>
      </c>
      <c r="G6" s="103">
        <v>0.27817222657699903</v>
      </c>
      <c r="H6" s="103">
        <v>-3.703647667664333E-2</v>
      </c>
      <c r="I6" s="103">
        <v>-2.0652245548069024E-2</v>
      </c>
      <c r="J6" s="103">
        <v>-4.7238096976143977E-4</v>
      </c>
      <c r="K6" s="103">
        <v>3.529134629850865E-2</v>
      </c>
      <c r="L6" s="103">
        <v>-0.14714896334501704</v>
      </c>
      <c r="M6" s="104">
        <v>3.8849793092206202E-2</v>
      </c>
      <c r="O6" s="159">
        <f t="shared" si="0"/>
        <v>0.1766655844640862</v>
      </c>
    </row>
    <row r="7" spans="1:15">
      <c r="A7" s="14" t="str">
        <f>Parameters!A102</f>
        <v>High Yield</v>
      </c>
      <c r="B7" s="101">
        <v>5.6496387380050681E-2</v>
      </c>
      <c r="C7" s="16">
        <v>0.15212518033194117</v>
      </c>
      <c r="D7" s="103">
        <v>0.22151712082055552</v>
      </c>
      <c r="E7" s="103">
        <v>0.25342358427652267</v>
      </c>
      <c r="F7" s="103">
        <v>0.27817222657699903</v>
      </c>
      <c r="G7" s="103">
        <v>1</v>
      </c>
      <c r="H7" s="103">
        <v>0.54947077664382227</v>
      </c>
      <c r="I7" s="103">
        <v>0.65128571710691485</v>
      </c>
      <c r="J7" s="103">
        <v>0.6608535188910849</v>
      </c>
      <c r="K7" s="103">
        <v>0.42475163042146619</v>
      </c>
      <c r="L7" s="103">
        <v>-0.32361654199607615</v>
      </c>
      <c r="M7" s="104">
        <v>-2.2300336358686947E-3</v>
      </c>
      <c r="O7" s="159">
        <f t="shared" si="0"/>
        <v>0.17417489545277687</v>
      </c>
    </row>
    <row r="8" spans="1:15">
      <c r="A8" s="14" t="str">
        <f>Parameters!A103</f>
        <v>Emerging market debt</v>
      </c>
      <c r="B8" s="101">
        <v>5.6528262962781142E-2</v>
      </c>
      <c r="C8" s="16">
        <v>0.13758409078549255</v>
      </c>
      <c r="D8" s="103">
        <v>7.4002355689611707E-2</v>
      </c>
      <c r="E8" s="103">
        <v>-4.9491207038102572E-2</v>
      </c>
      <c r="F8" s="103">
        <v>-3.703647667664333E-2</v>
      </c>
      <c r="G8" s="103">
        <v>0.54947077664382227</v>
      </c>
      <c r="H8" s="103">
        <v>1</v>
      </c>
      <c r="I8" s="103">
        <v>0.43704301175382859</v>
      </c>
      <c r="J8" s="103">
        <v>0.47448318291761793</v>
      </c>
      <c r="K8" s="103">
        <v>0.75975680806732371</v>
      </c>
      <c r="L8" s="103">
        <v>0.22497345871183977</v>
      </c>
      <c r="M8" s="104">
        <v>0.50014707286156324</v>
      </c>
      <c r="O8" s="159">
        <f t="shared" si="0"/>
        <v>0.19281490186348199</v>
      </c>
    </row>
    <row r="9" spans="1:15">
      <c r="A9" s="14" t="str">
        <f>Parameters!A104</f>
        <v>Aandelen ontwikkeld</v>
      </c>
      <c r="B9" s="101">
        <v>6.4356314621335148E-2</v>
      </c>
      <c r="C9" s="16">
        <v>0.19354582049076965</v>
      </c>
      <c r="D9" s="103">
        <v>9.1634717779999042E-2</v>
      </c>
      <c r="E9" s="103">
        <v>0.12602559041577072</v>
      </c>
      <c r="F9" s="103">
        <v>-2.0652245548069024E-2</v>
      </c>
      <c r="G9" s="103">
        <v>0.65128571710691485</v>
      </c>
      <c r="H9" s="103">
        <v>0.43704301175382859</v>
      </c>
      <c r="I9" s="103">
        <v>1</v>
      </c>
      <c r="J9" s="103">
        <v>0.7527031239848575</v>
      </c>
      <c r="K9" s="103">
        <v>0.57172393447966663</v>
      </c>
      <c r="L9" s="103">
        <v>-3.5193060592074984E-2</v>
      </c>
      <c r="M9" s="104">
        <v>0.10395609042534411</v>
      </c>
      <c r="O9" s="159">
        <f t="shared" si="0"/>
        <v>0.17750997946749064</v>
      </c>
    </row>
    <row r="10" spans="1:15">
      <c r="A10" s="14" t="str">
        <f>Parameters!A105</f>
        <v>Aandelen opkomend</v>
      </c>
      <c r="B10" s="101">
        <v>9.1561672924114379E-2</v>
      </c>
      <c r="C10" s="16">
        <v>0.34249727755342524</v>
      </c>
      <c r="D10" s="103">
        <v>-0.17471282183767084</v>
      </c>
      <c r="E10" s="103">
        <v>5.7716896337474434E-2</v>
      </c>
      <c r="F10" s="103">
        <v>-4.7238096976143977E-4</v>
      </c>
      <c r="G10" s="103">
        <v>0.6608535188910849</v>
      </c>
      <c r="H10" s="103">
        <v>0.47448318291761793</v>
      </c>
      <c r="I10" s="103">
        <v>0.7527031239848575</v>
      </c>
      <c r="J10" s="103">
        <v>1</v>
      </c>
      <c r="K10" s="103">
        <v>0.4330844511959292</v>
      </c>
      <c r="L10" s="103">
        <v>-0.33706927145387583</v>
      </c>
      <c r="M10" s="104">
        <v>0.21126029655546039</v>
      </c>
      <c r="O10" s="159">
        <f t="shared" si="0"/>
        <v>0.17974353946364299</v>
      </c>
    </row>
    <row r="11" spans="1:15">
      <c r="A11" s="14" t="str">
        <f>Parameters!A106</f>
        <v>Hedge funds</v>
      </c>
      <c r="B11" s="101">
        <v>5.1135067781966595E-2</v>
      </c>
      <c r="C11" s="16">
        <v>7.2522493236444635E-2</v>
      </c>
      <c r="D11" s="103">
        <v>-0.19467168407321445</v>
      </c>
      <c r="E11" s="103">
        <v>-0.14489467422899699</v>
      </c>
      <c r="F11" s="103">
        <v>3.529134629850865E-2</v>
      </c>
      <c r="G11" s="103">
        <v>0.42475163042146619</v>
      </c>
      <c r="H11" s="103">
        <v>0.75975680806732371</v>
      </c>
      <c r="I11" s="103">
        <v>0.57172393447966663</v>
      </c>
      <c r="J11" s="103">
        <v>0.4330844511959292</v>
      </c>
      <c r="K11" s="103">
        <v>1</v>
      </c>
      <c r="L11" s="103">
        <v>0.53144909307162114</v>
      </c>
      <c r="M11" s="104">
        <v>0.50768184408405959</v>
      </c>
      <c r="O11" s="159">
        <f t="shared" si="0"/>
        <v>0.29142776039235258</v>
      </c>
    </row>
    <row r="12" spans="1:15">
      <c r="A12" s="14" t="str">
        <f>Parameters!A107</f>
        <v>Onroerend goed</v>
      </c>
      <c r="B12" s="101">
        <v>4.7615162118704334E-2</v>
      </c>
      <c r="C12" s="16">
        <v>4.976648454377966E-2</v>
      </c>
      <c r="D12" s="103">
        <v>-4.8441147957524987E-2</v>
      </c>
      <c r="E12" s="103">
        <v>-0.12202509544491509</v>
      </c>
      <c r="F12" s="103">
        <v>-0.14714896334501704</v>
      </c>
      <c r="G12" s="103">
        <v>-0.32361654199607615</v>
      </c>
      <c r="H12" s="103">
        <v>0.22497345871183977</v>
      </c>
      <c r="I12" s="103">
        <v>-3.5193060592074984E-2</v>
      </c>
      <c r="J12" s="103">
        <v>-0.33706927145387583</v>
      </c>
      <c r="K12" s="103">
        <v>0.53144909307162114</v>
      </c>
      <c r="L12" s="103">
        <v>1</v>
      </c>
      <c r="M12" s="104">
        <v>0.24828282028996493</v>
      </c>
      <c r="O12" s="159">
        <f>(B12-$B$4)/C12</f>
        <v>0.35395632784164704</v>
      </c>
    </row>
    <row r="13" spans="1:15">
      <c r="A13" s="15" t="str">
        <f>Parameters!A108</f>
        <v>Commodities</v>
      </c>
      <c r="B13" s="105">
        <v>8.0977052013787992E-2</v>
      </c>
      <c r="C13" s="100">
        <v>0.25247140962754983</v>
      </c>
      <c r="D13" s="106">
        <v>-0.46979603223907895</v>
      </c>
      <c r="E13" s="106">
        <v>-8.924403706068651E-2</v>
      </c>
      <c r="F13" s="106">
        <v>3.8849793092206202E-2</v>
      </c>
      <c r="G13" s="106">
        <v>-2.2300336358686947E-3</v>
      </c>
      <c r="H13" s="106">
        <v>0.50014707286156324</v>
      </c>
      <c r="I13" s="106">
        <v>0.10395609042534411</v>
      </c>
      <c r="J13" s="106">
        <v>0.21126029655546039</v>
      </c>
      <c r="K13" s="106">
        <v>0.50768184408405959</v>
      </c>
      <c r="L13" s="106">
        <v>0.24828282028996493</v>
      </c>
      <c r="M13" s="107">
        <v>1</v>
      </c>
      <c r="O13" s="159">
        <f t="shared" si="0"/>
        <v>0.20191217725995281</v>
      </c>
    </row>
    <row r="15" spans="1:15">
      <c r="A15" s="2" t="s">
        <v>125</v>
      </c>
    </row>
    <row r="16" spans="1:15">
      <c r="A16" s="108" t="str">
        <f>Parameters!A41</f>
        <v>Groei recessie</v>
      </c>
      <c r="B16" s="109" t="s">
        <v>116</v>
      </c>
      <c r="C16" s="17" t="s">
        <v>117</v>
      </c>
      <c r="D16" s="109" t="s">
        <v>118</v>
      </c>
      <c r="E16" s="109" t="s">
        <v>119</v>
      </c>
      <c r="F16" s="110" t="s">
        <v>73</v>
      </c>
      <c r="G16" s="109" t="s">
        <v>120</v>
      </c>
      <c r="H16" s="109" t="s">
        <v>0</v>
      </c>
      <c r="I16" s="109" t="s">
        <v>121</v>
      </c>
      <c r="J16" s="109" t="s">
        <v>122</v>
      </c>
      <c r="K16" s="109" t="s">
        <v>123</v>
      </c>
      <c r="L16" s="109" t="s">
        <v>1</v>
      </c>
      <c r="M16" s="8" t="s">
        <v>124</v>
      </c>
    </row>
    <row r="17" spans="1:15">
      <c r="A17" s="14" t="str">
        <f>A4</f>
        <v>Nominale VPV</v>
      </c>
      <c r="B17" s="101">
        <v>2.5000000000000001E-2</v>
      </c>
      <c r="C17" s="16">
        <v>8.6217106115555289E-2</v>
      </c>
      <c r="D17" s="103">
        <v>1</v>
      </c>
      <c r="E17" s="103">
        <v>0.44303512028178804</v>
      </c>
      <c r="F17" s="103">
        <v>0.15101164257427119</v>
      </c>
      <c r="G17" s="103">
        <v>0.27888678381727522</v>
      </c>
      <c r="H17" s="103">
        <v>0.19381131918519884</v>
      </c>
      <c r="I17" s="103">
        <v>0.22252204748728788</v>
      </c>
      <c r="J17" s="103">
        <v>-0.11521066282241929</v>
      </c>
      <c r="K17" s="103">
        <v>1.4453414125905344E-3</v>
      </c>
      <c r="L17" s="103">
        <v>6.6327570678875944E-2</v>
      </c>
      <c r="M17" s="104">
        <v>-0.34886550419129259</v>
      </c>
      <c r="O17" s="159">
        <f>(B17-$B$17)/C17</f>
        <v>0</v>
      </c>
    </row>
    <row r="18" spans="1:15">
      <c r="A18" s="14" t="str">
        <f t="shared" ref="A18:A26" si="1">A5</f>
        <v>Reele VPV</v>
      </c>
      <c r="B18" s="101">
        <v>0.01</v>
      </c>
      <c r="C18" s="16">
        <v>9.6773557549927641E-2</v>
      </c>
      <c r="D18" s="103">
        <v>0.4430351202817881</v>
      </c>
      <c r="E18" s="103">
        <v>1</v>
      </c>
      <c r="F18" s="103">
        <v>8.0633836892778241E-2</v>
      </c>
      <c r="G18" s="103">
        <v>0.27892897773178549</v>
      </c>
      <c r="H18" s="103">
        <v>4.5819285466350348E-2</v>
      </c>
      <c r="I18" s="103">
        <v>0.23308875045430005</v>
      </c>
      <c r="J18" s="103">
        <v>8.7704047002307578E-2</v>
      </c>
      <c r="K18" s="103">
        <v>-7.744157236818093E-2</v>
      </c>
      <c r="L18" s="103">
        <v>-9.3311268084930413E-2</v>
      </c>
      <c r="M18" s="104">
        <v>3.6634492571541874E-2</v>
      </c>
      <c r="O18" s="159">
        <f t="shared" ref="O18:O26" si="2">(B18-$B$17)/C18</f>
        <v>-0.15500101866422722</v>
      </c>
    </row>
    <row r="19" spans="1:15">
      <c r="A19" s="14" t="str">
        <f t="shared" si="1"/>
        <v>Credits</v>
      </c>
      <c r="B19" s="101">
        <v>0.04</v>
      </c>
      <c r="C19" s="16">
        <v>0.14224053302489278</v>
      </c>
      <c r="D19" s="103">
        <v>0.15101164257427122</v>
      </c>
      <c r="E19" s="103">
        <v>8.0633836892778255E-2</v>
      </c>
      <c r="F19" s="103">
        <v>1</v>
      </c>
      <c r="G19" s="103">
        <v>0.18669343749411124</v>
      </c>
      <c r="H19" s="103">
        <v>-0.17522208116055948</v>
      </c>
      <c r="I19" s="103">
        <v>-5.4077737687662837E-2</v>
      </c>
      <c r="J19" s="103">
        <v>-2.6877653344973178E-3</v>
      </c>
      <c r="K19" s="103">
        <v>-0.13478383156594886</v>
      </c>
      <c r="L19" s="103">
        <v>-0.29962990255367367</v>
      </c>
      <c r="M19" s="104">
        <v>-8.0435621257419196E-2</v>
      </c>
      <c r="O19" s="159">
        <f t="shared" si="2"/>
        <v>0.10545517287519533</v>
      </c>
    </row>
    <row r="20" spans="1:15">
      <c r="A20" s="14" t="str">
        <f t="shared" si="1"/>
        <v>High Yield</v>
      </c>
      <c r="B20" s="101">
        <v>5.5E-2</v>
      </c>
      <c r="C20" s="16">
        <v>0.13368602314988628</v>
      </c>
      <c r="D20" s="103">
        <v>0.27888678381727522</v>
      </c>
      <c r="E20" s="103">
        <v>0.27892897773178543</v>
      </c>
      <c r="F20" s="103">
        <v>0.18669343749411124</v>
      </c>
      <c r="G20" s="103">
        <v>1</v>
      </c>
      <c r="H20" s="103">
        <v>0.52704292127849584</v>
      </c>
      <c r="I20" s="103">
        <v>0.54091023912174052</v>
      </c>
      <c r="J20" s="103">
        <v>0.55509078669399536</v>
      </c>
      <c r="K20" s="103">
        <v>0.36380299606050459</v>
      </c>
      <c r="L20" s="103">
        <v>-0.37481949355281846</v>
      </c>
      <c r="M20" s="104">
        <v>-0.18375618398764981</v>
      </c>
      <c r="O20" s="159">
        <f t="shared" si="2"/>
        <v>0.22440640609351178</v>
      </c>
    </row>
    <row r="21" spans="1:15">
      <c r="A21" s="14" t="str">
        <f t="shared" si="1"/>
        <v>Emerging market debt</v>
      </c>
      <c r="B21" s="101">
        <v>0.05</v>
      </c>
      <c r="C21" s="16">
        <v>0.13653080990823191</v>
      </c>
      <c r="D21" s="103">
        <v>0.19381131918519881</v>
      </c>
      <c r="E21" s="103">
        <v>4.5819285466350335E-2</v>
      </c>
      <c r="F21" s="103">
        <v>-0.17522208116055946</v>
      </c>
      <c r="G21" s="103">
        <v>0.52704292127849584</v>
      </c>
      <c r="H21" s="103">
        <v>1</v>
      </c>
      <c r="I21" s="103">
        <v>0.35539921822470721</v>
      </c>
      <c r="J21" s="103">
        <v>0.43201992854195931</v>
      </c>
      <c r="K21" s="103">
        <v>0.77636003904535578</v>
      </c>
      <c r="L21" s="103">
        <v>0.20159820846054224</v>
      </c>
      <c r="M21" s="104">
        <v>0.3677851202240886</v>
      </c>
      <c r="O21" s="159">
        <f t="shared" si="2"/>
        <v>0.18310885298932564</v>
      </c>
    </row>
    <row r="22" spans="1:15">
      <c r="A22" s="14" t="str">
        <f t="shared" si="1"/>
        <v>Aandelen ontwikkeld</v>
      </c>
      <c r="B22" s="101">
        <v>0.05</v>
      </c>
      <c r="C22" s="16">
        <v>0.16085885491508947</v>
      </c>
      <c r="D22" s="103">
        <v>0.22252204748728785</v>
      </c>
      <c r="E22" s="103">
        <v>0.23308875045430005</v>
      </c>
      <c r="F22" s="103">
        <v>-5.4077737687662851E-2</v>
      </c>
      <c r="G22" s="103">
        <v>0.54091023912174052</v>
      </c>
      <c r="H22" s="103">
        <v>0.35539921822470716</v>
      </c>
      <c r="I22" s="103">
        <v>1</v>
      </c>
      <c r="J22" s="103">
        <v>0.64455329625282065</v>
      </c>
      <c r="K22" s="103">
        <v>0.47646967296019105</v>
      </c>
      <c r="L22" s="103">
        <v>-9.1710869904335635E-2</v>
      </c>
      <c r="M22" s="104">
        <v>-4.7456167292779745E-2</v>
      </c>
      <c r="O22" s="159">
        <f t="shared" si="2"/>
        <v>0.155415752606199</v>
      </c>
    </row>
    <row r="23" spans="1:15">
      <c r="A23" s="14" t="str">
        <f t="shared" si="1"/>
        <v>Aandelen opkomend</v>
      </c>
      <c r="B23" s="101">
        <v>0.04</v>
      </c>
      <c r="C23" s="16">
        <v>0.31710957318458627</v>
      </c>
      <c r="D23" s="103">
        <v>-0.11521066282241929</v>
      </c>
      <c r="E23" s="103">
        <v>8.7704047002307564E-2</v>
      </c>
      <c r="F23" s="103">
        <v>-2.6877653344973369E-3</v>
      </c>
      <c r="G23" s="103">
        <v>0.55509078669399536</v>
      </c>
      <c r="H23" s="103">
        <v>0.4320199285419592</v>
      </c>
      <c r="I23" s="103">
        <v>0.64455329625282043</v>
      </c>
      <c r="J23" s="103">
        <v>1</v>
      </c>
      <c r="K23" s="103">
        <v>0.35680765361344619</v>
      </c>
      <c r="L23" s="103">
        <v>-0.38859412589445069</v>
      </c>
      <c r="M23" s="104">
        <v>7.6917717727618767E-2</v>
      </c>
      <c r="O23" s="159">
        <f t="shared" si="2"/>
        <v>4.7302261642125358E-2</v>
      </c>
    </row>
    <row r="24" spans="1:15">
      <c r="A24" s="14" t="str">
        <f t="shared" si="1"/>
        <v>Hedge funds</v>
      </c>
      <c r="B24" s="101">
        <v>0.06</v>
      </c>
      <c r="C24" s="16">
        <v>5.5616649636491135E-2</v>
      </c>
      <c r="D24" s="103">
        <v>1.4453414125906023E-3</v>
      </c>
      <c r="E24" s="103">
        <v>-7.744157236818093E-2</v>
      </c>
      <c r="F24" s="103">
        <v>-0.13478383156594884</v>
      </c>
      <c r="G24" s="103">
        <v>0.36380299606050459</v>
      </c>
      <c r="H24" s="103">
        <v>0.77636003904535578</v>
      </c>
      <c r="I24" s="103">
        <v>0.47646967296019105</v>
      </c>
      <c r="J24" s="103">
        <v>0.35680765361344624</v>
      </c>
      <c r="K24" s="103">
        <v>1</v>
      </c>
      <c r="L24" s="103">
        <v>0.45143779640760101</v>
      </c>
      <c r="M24" s="104">
        <v>0.26392464809322824</v>
      </c>
      <c r="O24" s="159">
        <f>(B24-$B$17)/C24</f>
        <v>0.62930795416047203</v>
      </c>
    </row>
    <row r="25" spans="1:15">
      <c r="A25" s="14" t="str">
        <f t="shared" si="1"/>
        <v>Onroerend goed</v>
      </c>
      <c r="B25" s="101">
        <v>2.5000000000000001E-2</v>
      </c>
      <c r="C25" s="16">
        <v>4.2235211656279963E-2</v>
      </c>
      <c r="D25" s="103">
        <v>6.632757067887593E-2</v>
      </c>
      <c r="E25" s="103">
        <v>-9.3311268084930385E-2</v>
      </c>
      <c r="F25" s="103">
        <v>-0.29962990255367367</v>
      </c>
      <c r="G25" s="103">
        <v>-0.37481949355281846</v>
      </c>
      <c r="H25" s="103">
        <v>0.20159820846054224</v>
      </c>
      <c r="I25" s="103">
        <v>-9.1710869904335593E-2</v>
      </c>
      <c r="J25" s="103">
        <v>-0.38859412589445064</v>
      </c>
      <c r="K25" s="103">
        <v>0.45143779640760101</v>
      </c>
      <c r="L25" s="103">
        <v>1</v>
      </c>
      <c r="M25" s="104">
        <v>0.14272540259316219</v>
      </c>
      <c r="O25" s="159">
        <f t="shared" si="2"/>
        <v>0</v>
      </c>
    </row>
    <row r="26" spans="1:15">
      <c r="A26" s="15" t="str">
        <f t="shared" si="1"/>
        <v>Commodities</v>
      </c>
      <c r="B26" s="105">
        <v>0</v>
      </c>
      <c r="C26" s="100">
        <v>0.23419671707333165</v>
      </c>
      <c r="D26" s="106">
        <v>-0.34886550419129259</v>
      </c>
      <c r="E26" s="106">
        <v>3.6634492571541874E-2</v>
      </c>
      <c r="F26" s="106">
        <v>-8.043562125741921E-2</v>
      </c>
      <c r="G26" s="106">
        <v>-0.18375618398764973</v>
      </c>
      <c r="H26" s="106">
        <v>0.3677851202240886</v>
      </c>
      <c r="I26" s="106">
        <v>-4.7456167292779759E-2</v>
      </c>
      <c r="J26" s="106">
        <v>7.6917717727618795E-2</v>
      </c>
      <c r="K26" s="106">
        <v>0.26392464809322824</v>
      </c>
      <c r="L26" s="106">
        <v>0.14272540259316219</v>
      </c>
      <c r="M26" s="107">
        <v>1</v>
      </c>
      <c r="O26" s="159">
        <f t="shared" si="2"/>
        <v>-0.1067478669744632</v>
      </c>
    </row>
    <row r="27" spans="1:15">
      <c r="A27" s="22"/>
      <c r="B27" s="101"/>
      <c r="C27" s="101"/>
      <c r="D27" s="103"/>
      <c r="E27" s="103"/>
      <c r="F27" s="103"/>
      <c r="G27" s="103"/>
      <c r="H27" s="103"/>
      <c r="I27" s="103"/>
      <c r="J27" s="103"/>
      <c r="K27" s="103"/>
      <c r="L27" s="103"/>
      <c r="M27" s="103"/>
    </row>
    <row r="29" spans="1:15">
      <c r="A29" s="108" t="str">
        <f>Parameters!A42</f>
        <v>Inflatie is een fiscaal verschijnsel</v>
      </c>
      <c r="B29" s="109" t="s">
        <v>116</v>
      </c>
      <c r="C29" s="17" t="s">
        <v>117</v>
      </c>
      <c r="D29" s="109" t="s">
        <v>118</v>
      </c>
      <c r="E29" s="109" t="s">
        <v>119</v>
      </c>
      <c r="F29" s="110" t="s">
        <v>73</v>
      </c>
      <c r="G29" s="109" t="s">
        <v>120</v>
      </c>
      <c r="H29" s="109" t="s">
        <v>0</v>
      </c>
      <c r="I29" s="109" t="s">
        <v>121</v>
      </c>
      <c r="J29" s="109" t="s">
        <v>122</v>
      </c>
      <c r="K29" s="109" t="s">
        <v>123</v>
      </c>
      <c r="L29" s="109" t="s">
        <v>1</v>
      </c>
      <c r="M29" s="8" t="s">
        <v>124</v>
      </c>
    </row>
    <row r="30" spans="1:15">
      <c r="A30" s="14" t="str">
        <f>A17</f>
        <v>Nominale VPV</v>
      </c>
      <c r="B30" s="101">
        <v>-0.1</v>
      </c>
      <c r="C30" s="16">
        <v>8.4712589556498311E-2</v>
      </c>
      <c r="D30" s="103">
        <v>1</v>
      </c>
      <c r="E30" s="103">
        <v>0.46513684332248667</v>
      </c>
      <c r="F30" s="103">
        <v>0.12857839924451253</v>
      </c>
      <c r="G30" s="103">
        <v>0.39947213441279333</v>
      </c>
      <c r="H30" s="103">
        <v>0.1517829648693336</v>
      </c>
      <c r="I30" s="103">
        <v>0.31863904860454695</v>
      </c>
      <c r="J30" s="103">
        <v>-5.473968872431207E-2</v>
      </c>
      <c r="K30" s="103">
        <v>-4.3732591745985108E-2</v>
      </c>
      <c r="L30" s="103">
        <v>2.0352840528006205E-2</v>
      </c>
      <c r="M30" s="104">
        <v>-0.44005782167284541</v>
      </c>
      <c r="O30" s="159">
        <f>(B30-$B$30)/C30</f>
        <v>0</v>
      </c>
    </row>
    <row r="31" spans="1:15">
      <c r="A31" s="14" t="str">
        <f t="shared" ref="A31:A39" si="3">A18</f>
        <v>Reele VPV</v>
      </c>
      <c r="B31" s="101">
        <v>0</v>
      </c>
      <c r="C31" s="16">
        <v>0.10720025032650563</v>
      </c>
      <c r="D31" s="103">
        <v>0.46513684332248667</v>
      </c>
      <c r="E31" s="103">
        <v>1</v>
      </c>
      <c r="F31" s="103">
        <v>8.6116284303424287E-2</v>
      </c>
      <c r="G31" s="103">
        <v>0.31222494787339378</v>
      </c>
      <c r="H31" s="103">
        <v>-1.3577307571858939E-2</v>
      </c>
      <c r="I31" s="103">
        <v>0.307539405248273</v>
      </c>
      <c r="J31" s="103">
        <v>0.15030057850184217</v>
      </c>
      <c r="K31" s="103">
        <v>-0.13341235545776789</v>
      </c>
      <c r="L31" s="103">
        <v>-0.1298466684369538</v>
      </c>
      <c r="M31" s="104">
        <v>-1.9915441237640497E-2</v>
      </c>
      <c r="O31" s="159">
        <f t="shared" ref="O31:O39" si="4">(B31-$B$30)/C31</f>
        <v>0.93283364260274182</v>
      </c>
    </row>
    <row r="32" spans="1:15">
      <c r="A32" s="14" t="str">
        <f t="shared" si="3"/>
        <v>Credits</v>
      </c>
      <c r="B32" s="101">
        <v>-6.25E-2</v>
      </c>
      <c r="C32" s="16">
        <v>0.13951327312899137</v>
      </c>
      <c r="D32" s="103">
        <v>0.12857839924451256</v>
      </c>
      <c r="E32" s="103">
        <v>8.6116284303424329E-2</v>
      </c>
      <c r="F32" s="103">
        <v>1</v>
      </c>
      <c r="G32" s="103">
        <v>0.17966711579058822</v>
      </c>
      <c r="H32" s="103">
        <v>-0.25159496874874338</v>
      </c>
      <c r="I32" s="103">
        <v>-8.0358366910203302E-2</v>
      </c>
      <c r="J32" s="103">
        <v>-1.1541847071026077E-2</v>
      </c>
      <c r="K32" s="103">
        <v>-0.17318529739523472</v>
      </c>
      <c r="L32" s="103">
        <v>-0.28704783291004976</v>
      </c>
      <c r="M32" s="104">
        <v>-0.11612203144367524</v>
      </c>
      <c r="O32" s="159">
        <f t="shared" si="4"/>
        <v>0.26879162934789874</v>
      </c>
    </row>
    <row r="33" spans="1:15">
      <c r="A33" s="14" t="str">
        <f t="shared" si="3"/>
        <v>High Yield</v>
      </c>
      <c r="B33" s="101">
        <v>-2.5000000000000001E-2</v>
      </c>
      <c r="C33" s="16">
        <v>0.12018455441554071</v>
      </c>
      <c r="D33" s="103">
        <v>0.39947213441279344</v>
      </c>
      <c r="E33" s="103">
        <v>0.31222494787339378</v>
      </c>
      <c r="F33" s="103">
        <v>0.17966711579058822</v>
      </c>
      <c r="G33" s="103">
        <v>1</v>
      </c>
      <c r="H33" s="103">
        <v>0.46385245920880513</v>
      </c>
      <c r="I33" s="103">
        <v>0.59018139563499949</v>
      </c>
      <c r="J33" s="103">
        <v>0.53897756904538641</v>
      </c>
      <c r="K33" s="103">
        <v>0.24426279622393146</v>
      </c>
      <c r="L33" s="103">
        <v>-0.36973652025483256</v>
      </c>
      <c r="M33" s="104">
        <v>-0.24551414985587902</v>
      </c>
      <c r="O33" s="159">
        <f t="shared" si="4"/>
        <v>0.62404025512867389</v>
      </c>
    </row>
    <row r="34" spans="1:15">
      <c r="A34" s="14" t="str">
        <f t="shared" si="3"/>
        <v>Emerging market debt</v>
      </c>
      <c r="B34" s="101">
        <v>-0.05</v>
      </c>
      <c r="C34" s="16">
        <v>0.13384729851368751</v>
      </c>
      <c r="D34" s="103">
        <v>0.15178296486933357</v>
      </c>
      <c r="E34" s="103">
        <v>-1.3577307571858968E-2</v>
      </c>
      <c r="F34" s="103">
        <v>-0.25159496874874332</v>
      </c>
      <c r="G34" s="103">
        <v>0.46385245920880513</v>
      </c>
      <c r="H34" s="103">
        <v>1</v>
      </c>
      <c r="I34" s="103">
        <v>0.34657949003637378</v>
      </c>
      <c r="J34" s="103">
        <v>0.35513823718178233</v>
      </c>
      <c r="K34" s="103">
        <v>0.78992506238550264</v>
      </c>
      <c r="L34" s="103">
        <v>0.30472106367309537</v>
      </c>
      <c r="M34" s="104">
        <v>0.39447172168584094</v>
      </c>
      <c r="O34" s="159">
        <f t="shared" si="4"/>
        <v>0.37356002366298707</v>
      </c>
    </row>
    <row r="35" spans="1:15">
      <c r="A35" s="14" t="str">
        <f t="shared" si="3"/>
        <v>Aandelen ontwikkeld</v>
      </c>
      <c r="B35" s="101">
        <v>0</v>
      </c>
      <c r="C35" s="16">
        <v>0.15958177311922389</v>
      </c>
      <c r="D35" s="103">
        <v>0.31863904860454695</v>
      </c>
      <c r="E35" s="103">
        <v>0.307539405248273</v>
      </c>
      <c r="F35" s="103">
        <v>-8.0358366910203288E-2</v>
      </c>
      <c r="G35" s="103">
        <v>0.59018139563499949</v>
      </c>
      <c r="H35" s="103">
        <v>0.34657949003637378</v>
      </c>
      <c r="I35" s="103">
        <v>1</v>
      </c>
      <c r="J35" s="103">
        <v>0.68389699938296011</v>
      </c>
      <c r="K35" s="103">
        <v>0.38570165526008005</v>
      </c>
      <c r="L35" s="103">
        <v>-0.10458653034123572</v>
      </c>
      <c r="M35" s="104">
        <v>-9.0971524545242169E-2</v>
      </c>
      <c r="O35" s="159">
        <f t="shared" si="4"/>
        <v>0.62663798029922746</v>
      </c>
    </row>
    <row r="36" spans="1:15">
      <c r="A36" s="14" t="str">
        <f t="shared" si="3"/>
        <v>Aandelen opkomend</v>
      </c>
      <c r="B36" s="101">
        <v>-0.03</v>
      </c>
      <c r="C36" s="16">
        <v>0.31118073904830035</v>
      </c>
      <c r="D36" s="103">
        <v>-5.4739688724312091E-2</v>
      </c>
      <c r="E36" s="103">
        <v>0.15030057850184209</v>
      </c>
      <c r="F36" s="103">
        <v>-1.1541847071026092E-2</v>
      </c>
      <c r="G36" s="103">
        <v>0.53897756904538641</v>
      </c>
      <c r="H36" s="103">
        <v>0.35513823718178233</v>
      </c>
      <c r="I36" s="103">
        <v>0.68389699938296011</v>
      </c>
      <c r="J36" s="103">
        <v>1</v>
      </c>
      <c r="K36" s="103">
        <v>0.24097370338591903</v>
      </c>
      <c r="L36" s="103">
        <v>-0.41228726383960712</v>
      </c>
      <c r="M36" s="104">
        <v>7.9752808600912509E-2</v>
      </c>
      <c r="O36" s="159">
        <f t="shared" si="4"/>
        <v>0.22494965534847855</v>
      </c>
    </row>
    <row r="37" spans="1:15">
      <c r="A37" s="14" t="str">
        <f t="shared" si="3"/>
        <v>Hedge funds</v>
      </c>
      <c r="B37" s="101">
        <v>-0.04</v>
      </c>
      <c r="C37" s="16">
        <v>5.768066267558869E-2</v>
      </c>
      <c r="D37" s="103">
        <v>-4.3732591745985108E-2</v>
      </c>
      <c r="E37" s="103">
        <v>-0.13341235545776792</v>
      </c>
      <c r="F37" s="103">
        <v>-0.17318529739523472</v>
      </c>
      <c r="G37" s="103">
        <v>0.24426279622393146</v>
      </c>
      <c r="H37" s="103">
        <v>0.78992506238550264</v>
      </c>
      <c r="I37" s="103">
        <v>0.38570165526008005</v>
      </c>
      <c r="J37" s="103">
        <v>0.24097370338591903</v>
      </c>
      <c r="K37" s="103">
        <v>1</v>
      </c>
      <c r="L37" s="103">
        <v>0.58331167200135103</v>
      </c>
      <c r="M37" s="104">
        <v>0.34121752613194173</v>
      </c>
      <c r="O37" s="159">
        <f t="shared" si="4"/>
        <v>1.0402099632151574</v>
      </c>
    </row>
    <row r="38" spans="1:15">
      <c r="A38" s="14" t="str">
        <f t="shared" si="3"/>
        <v>Onroerend goed</v>
      </c>
      <c r="B38" s="101">
        <v>0</v>
      </c>
      <c r="C38" s="16">
        <v>4.8236421768480642E-2</v>
      </c>
      <c r="D38" s="103">
        <v>2.0352840528006191E-2</v>
      </c>
      <c r="E38" s="103">
        <v>-0.12984666843695383</v>
      </c>
      <c r="F38" s="103">
        <v>-0.28704783291004976</v>
      </c>
      <c r="G38" s="103">
        <v>-0.36973652025483261</v>
      </c>
      <c r="H38" s="103">
        <v>0.30472106367309526</v>
      </c>
      <c r="I38" s="103">
        <v>-0.10458653034123572</v>
      </c>
      <c r="J38" s="103">
        <v>-0.41228726383960712</v>
      </c>
      <c r="K38" s="103">
        <v>0.58331167200135103</v>
      </c>
      <c r="L38" s="103">
        <v>1</v>
      </c>
      <c r="M38" s="104">
        <v>0.2182589788054802</v>
      </c>
      <c r="O38" s="159">
        <f t="shared" si="4"/>
        <v>2.0731222659916182</v>
      </c>
    </row>
    <row r="39" spans="1:15">
      <c r="A39" s="15" t="str">
        <f t="shared" si="3"/>
        <v>Commodities</v>
      </c>
      <c r="B39" s="105">
        <v>0.05</v>
      </c>
      <c r="C39" s="100">
        <v>0.23401517270143096</v>
      </c>
      <c r="D39" s="106">
        <v>-0.44005782167284541</v>
      </c>
      <c r="E39" s="106">
        <v>-1.9915441237640507E-2</v>
      </c>
      <c r="F39" s="106">
        <v>-0.11612203144367522</v>
      </c>
      <c r="G39" s="106">
        <v>-0.24551414985587905</v>
      </c>
      <c r="H39" s="106">
        <v>0.39447172168584088</v>
      </c>
      <c r="I39" s="106">
        <v>-9.0971524545242127E-2</v>
      </c>
      <c r="J39" s="106">
        <v>7.9752808600912509E-2</v>
      </c>
      <c r="K39" s="106">
        <v>0.34121752613194167</v>
      </c>
      <c r="L39" s="106">
        <v>0.2182589788054802</v>
      </c>
      <c r="M39" s="107">
        <v>1</v>
      </c>
      <c r="O39" s="159">
        <f t="shared" si="4"/>
        <v>0.64098407923052936</v>
      </c>
    </row>
    <row r="40" spans="1:15">
      <c r="A40" s="22"/>
      <c r="B40" s="101"/>
      <c r="C40" s="101"/>
      <c r="D40" s="103"/>
      <c r="E40" s="103"/>
      <c r="F40" s="103"/>
      <c r="G40" s="103"/>
      <c r="H40" s="103"/>
      <c r="I40" s="103"/>
      <c r="J40" s="103"/>
      <c r="K40" s="103"/>
      <c r="L40" s="103"/>
      <c r="M40" s="103"/>
    </row>
    <row r="42" spans="1:15">
      <c r="A42" s="108" t="str">
        <f>Parameters!A43</f>
        <v>Vermogenseffect &amp; innovatie</v>
      </c>
      <c r="B42" s="109" t="s">
        <v>116</v>
      </c>
      <c r="C42" s="17" t="s">
        <v>117</v>
      </c>
      <c r="D42" s="109" t="s">
        <v>118</v>
      </c>
      <c r="E42" s="109" t="s">
        <v>119</v>
      </c>
      <c r="F42" s="110" t="s">
        <v>73</v>
      </c>
      <c r="G42" s="109" t="s">
        <v>120</v>
      </c>
      <c r="H42" s="109" t="s">
        <v>0</v>
      </c>
      <c r="I42" s="109" t="s">
        <v>121</v>
      </c>
      <c r="J42" s="109" t="s">
        <v>122</v>
      </c>
      <c r="K42" s="109" t="s">
        <v>123</v>
      </c>
      <c r="L42" s="109" t="s">
        <v>1</v>
      </c>
      <c r="M42" s="8" t="s">
        <v>124</v>
      </c>
    </row>
    <row r="43" spans="1:15">
      <c r="A43" s="14" t="str">
        <f>A17</f>
        <v>Nominale VPV</v>
      </c>
      <c r="B43" s="101">
        <v>-0.05</v>
      </c>
      <c r="C43" s="16">
        <v>8.3778581346021688E-2</v>
      </c>
      <c r="D43" s="103">
        <v>1</v>
      </c>
      <c r="E43" s="103">
        <v>0.41800094682242805</v>
      </c>
      <c r="F43" s="103">
        <v>0.18416672728198769</v>
      </c>
      <c r="G43" s="103">
        <v>0.30484132003581882</v>
      </c>
      <c r="H43" s="103">
        <v>1.5553449481399603E-2</v>
      </c>
      <c r="I43" s="103">
        <v>0.16973967736118437</v>
      </c>
      <c r="J43" s="103">
        <v>-0.20880091879485976</v>
      </c>
      <c r="K43" s="103">
        <v>-0.15749718066790255</v>
      </c>
      <c r="L43" s="103">
        <v>3.5144771029890005E-2</v>
      </c>
      <c r="M43" s="104">
        <v>-0.48843982191472468</v>
      </c>
      <c r="O43" s="159">
        <f>(B43-$B$43)/C43</f>
        <v>0</v>
      </c>
    </row>
    <row r="44" spans="1:15">
      <c r="A44" s="14" t="str">
        <f t="shared" ref="A44:A52" si="5">A18</f>
        <v>Reele VPV</v>
      </c>
      <c r="B44" s="101">
        <v>-0.05</v>
      </c>
      <c r="C44" s="16">
        <v>0.10354684338425194</v>
      </c>
      <c r="D44" s="103">
        <v>0.41800094682242805</v>
      </c>
      <c r="E44" s="103">
        <v>1</v>
      </c>
      <c r="F44" s="103">
        <v>0.10571444404125241</v>
      </c>
      <c r="G44" s="103">
        <v>0.2343507590789235</v>
      </c>
      <c r="H44" s="103">
        <v>-7.4693531889513817E-2</v>
      </c>
      <c r="I44" s="103">
        <v>0.15913733423262699</v>
      </c>
      <c r="J44" s="103">
        <v>7.4194839802111234E-3</v>
      </c>
      <c r="K44" s="103">
        <v>-0.15949079325952689</v>
      </c>
      <c r="L44" s="103">
        <v>-8.5006964623055833E-2</v>
      </c>
      <c r="M44" s="104">
        <v>-5.8125700472471536E-2</v>
      </c>
      <c r="O44" s="159">
        <f t="shared" ref="O44:O52" si="6">(B44-$B$43)/C44</f>
        <v>0</v>
      </c>
    </row>
    <row r="45" spans="1:15">
      <c r="A45" s="14" t="str">
        <f t="shared" si="5"/>
        <v>Credits</v>
      </c>
      <c r="B45" s="101">
        <v>1.4999999999999999E-2</v>
      </c>
      <c r="C45" s="16">
        <v>0.1433737375959464</v>
      </c>
      <c r="D45" s="103">
        <v>0.18416672728198777</v>
      </c>
      <c r="E45" s="103">
        <v>0.1057144440412524</v>
      </c>
      <c r="F45" s="103">
        <v>1</v>
      </c>
      <c r="G45" s="103">
        <v>0.1555420438944983</v>
      </c>
      <c r="H45" s="103">
        <v>-0.30099229162191365</v>
      </c>
      <c r="I45" s="103">
        <v>-0.15231455134589883</v>
      </c>
      <c r="J45" s="103">
        <v>-7.8781712797493492E-2</v>
      </c>
      <c r="K45" s="103">
        <v>-0.2688828669585841</v>
      </c>
      <c r="L45" s="103">
        <v>-0.30048998165990959</v>
      </c>
      <c r="M45" s="104">
        <v>-0.17992083990172406</v>
      </c>
      <c r="O45" s="159">
        <f t="shared" si="6"/>
        <v>0.45336057418815412</v>
      </c>
    </row>
    <row r="46" spans="1:15">
      <c r="A46" s="14" t="str">
        <f t="shared" si="5"/>
        <v>High Yield</v>
      </c>
      <c r="B46" s="101">
        <v>0.08</v>
      </c>
      <c r="C46" s="16">
        <v>0.11030506906029099</v>
      </c>
      <c r="D46" s="103">
        <v>0.30484132003581882</v>
      </c>
      <c r="E46" s="103">
        <v>0.2343507590789235</v>
      </c>
      <c r="F46" s="103">
        <v>0.15554204389449833</v>
      </c>
      <c r="G46" s="103">
        <v>1</v>
      </c>
      <c r="H46" s="103">
        <v>0.48154794808701368</v>
      </c>
      <c r="I46" s="103">
        <v>0.53407671172058668</v>
      </c>
      <c r="J46" s="103">
        <v>0.4920954033611642</v>
      </c>
      <c r="K46" s="103">
        <v>0.27865783111135994</v>
      </c>
      <c r="L46" s="103">
        <v>-0.33622412218701941</v>
      </c>
      <c r="M46" s="104">
        <v>-0.15314569832726857</v>
      </c>
      <c r="O46" s="159">
        <f t="shared" si="6"/>
        <v>1.1785496451567796</v>
      </c>
    </row>
    <row r="47" spans="1:15">
      <c r="A47" s="14" t="str">
        <f t="shared" si="5"/>
        <v>Emerging market debt</v>
      </c>
      <c r="B47" s="101">
        <v>0.05</v>
      </c>
      <c r="C47" s="16">
        <v>0.14439758197688773</v>
      </c>
      <c r="D47" s="103">
        <v>1.5553449481399605E-2</v>
      </c>
      <c r="E47" s="103">
        <v>-7.4693531889513817E-2</v>
      </c>
      <c r="F47" s="103">
        <v>-0.30099229162191365</v>
      </c>
      <c r="G47" s="103">
        <v>0.48154794808701368</v>
      </c>
      <c r="H47" s="103">
        <v>1</v>
      </c>
      <c r="I47" s="103">
        <v>0.36749076034386052</v>
      </c>
      <c r="J47" s="103">
        <v>0.44089728268122547</v>
      </c>
      <c r="K47" s="103">
        <v>0.80579661115362755</v>
      </c>
      <c r="L47" s="103">
        <v>0.27278415220407121</v>
      </c>
      <c r="M47" s="104">
        <v>0.49928707516023418</v>
      </c>
      <c r="O47" s="159">
        <f t="shared" si="6"/>
        <v>0.69253237229419806</v>
      </c>
    </row>
    <row r="48" spans="1:15">
      <c r="A48" s="14" t="str">
        <f t="shared" si="5"/>
        <v>Aandelen ontwikkeld</v>
      </c>
      <c r="B48" s="101">
        <v>0.2</v>
      </c>
      <c r="C48" s="16">
        <v>0.15133364875677829</v>
      </c>
      <c r="D48" s="103">
        <v>0.16973967736118437</v>
      </c>
      <c r="E48" s="103">
        <v>0.15913733423262699</v>
      </c>
      <c r="F48" s="103">
        <v>-0.15231455134589883</v>
      </c>
      <c r="G48" s="103">
        <v>0.53407671172058668</v>
      </c>
      <c r="H48" s="103">
        <v>0.36749076034386052</v>
      </c>
      <c r="I48" s="103">
        <v>1</v>
      </c>
      <c r="J48" s="103">
        <v>0.64812280915894172</v>
      </c>
      <c r="K48" s="103">
        <v>0.455323245048319</v>
      </c>
      <c r="L48" s="103">
        <v>-1.2466394413840096E-2</v>
      </c>
      <c r="M48" s="104">
        <v>1.8724740736615442E-2</v>
      </c>
      <c r="O48" s="159">
        <f t="shared" si="6"/>
        <v>1.6519789356417167</v>
      </c>
    </row>
    <row r="49" spans="1:15">
      <c r="A49" s="14" t="str">
        <f t="shared" si="5"/>
        <v>Aandelen opkomend</v>
      </c>
      <c r="B49" s="101">
        <v>0.25</v>
      </c>
      <c r="C49" s="16">
        <v>0.31615325086008939</v>
      </c>
      <c r="D49" s="103">
        <v>-0.20880091879485976</v>
      </c>
      <c r="E49" s="103">
        <v>7.4194839802111502E-3</v>
      </c>
      <c r="F49" s="103">
        <v>-7.8781712797493492E-2</v>
      </c>
      <c r="G49" s="103">
        <v>0.4920954033611642</v>
      </c>
      <c r="H49" s="103">
        <v>0.44089728268122547</v>
      </c>
      <c r="I49" s="103">
        <v>0.64812280915894149</v>
      </c>
      <c r="J49" s="103">
        <v>1</v>
      </c>
      <c r="K49" s="103">
        <v>0.33904591533305378</v>
      </c>
      <c r="L49" s="103">
        <v>-0.33869301639088273</v>
      </c>
      <c r="M49" s="104">
        <v>0.24736991344635553</v>
      </c>
      <c r="O49" s="159">
        <f t="shared" si="6"/>
        <v>0.94890689620889623</v>
      </c>
    </row>
    <row r="50" spans="1:15">
      <c r="A50" s="14" t="str">
        <f t="shared" si="5"/>
        <v>Hedge funds</v>
      </c>
      <c r="B50" s="101">
        <v>0.06</v>
      </c>
      <c r="C50" s="16">
        <v>6.0913718867955977E-2</v>
      </c>
      <c r="D50" s="103">
        <v>-0.15749718066790255</v>
      </c>
      <c r="E50" s="103">
        <v>-0.15949079325952689</v>
      </c>
      <c r="F50" s="103">
        <v>-0.2688828669585841</v>
      </c>
      <c r="G50" s="103">
        <v>0.27865783111136</v>
      </c>
      <c r="H50" s="103">
        <v>0.80579661115362755</v>
      </c>
      <c r="I50" s="103">
        <v>0.45532324504831889</v>
      </c>
      <c r="J50" s="103">
        <v>0.33904591533305378</v>
      </c>
      <c r="K50" s="103">
        <v>1</v>
      </c>
      <c r="L50" s="103">
        <v>0.55216851980499637</v>
      </c>
      <c r="M50" s="104">
        <v>0.43320142596967764</v>
      </c>
      <c r="O50" s="159">
        <f t="shared" si="6"/>
        <v>1.8058329395131736</v>
      </c>
    </row>
    <row r="51" spans="1:15">
      <c r="A51" s="14" t="str">
        <f t="shared" si="5"/>
        <v>Onroerend goed</v>
      </c>
      <c r="B51" s="101">
        <v>0.1</v>
      </c>
      <c r="C51" s="16">
        <v>4.6813231120188134E-2</v>
      </c>
      <c r="D51" s="103">
        <v>3.5144771029889992E-2</v>
      </c>
      <c r="E51" s="103">
        <v>-8.5006964623055847E-2</v>
      </c>
      <c r="F51" s="103">
        <v>-0.30048998165990959</v>
      </c>
      <c r="G51" s="103">
        <v>-0.33622412218701941</v>
      </c>
      <c r="H51" s="103">
        <v>0.27278415220407121</v>
      </c>
      <c r="I51" s="103">
        <v>-1.2466394413840096E-2</v>
      </c>
      <c r="J51" s="103">
        <v>-0.33869301639088278</v>
      </c>
      <c r="K51" s="103">
        <v>0.55216851980499637</v>
      </c>
      <c r="L51" s="103">
        <v>1</v>
      </c>
      <c r="M51" s="104">
        <v>0.18743671275589541</v>
      </c>
      <c r="O51" s="159">
        <f t="shared" si="6"/>
        <v>3.204222319431242</v>
      </c>
    </row>
    <row r="52" spans="1:15">
      <c r="A52" s="15" t="str">
        <f t="shared" si="5"/>
        <v>Commodities</v>
      </c>
      <c r="B52" s="105">
        <v>0.3</v>
      </c>
      <c r="C52" s="100">
        <v>0.23545533840003544</v>
      </c>
      <c r="D52" s="106">
        <v>-0.48843982191472468</v>
      </c>
      <c r="E52" s="106">
        <v>-5.8125700472471509E-2</v>
      </c>
      <c r="F52" s="106">
        <v>-0.17992083990172411</v>
      </c>
      <c r="G52" s="106">
        <v>-0.15314569832726857</v>
      </c>
      <c r="H52" s="106">
        <v>0.49928707516023429</v>
      </c>
      <c r="I52" s="106">
        <v>1.8724740736615474E-2</v>
      </c>
      <c r="J52" s="106">
        <v>0.24736991344635553</v>
      </c>
      <c r="K52" s="106">
        <v>0.43320142596967776</v>
      </c>
      <c r="L52" s="106">
        <v>0.18743671275589541</v>
      </c>
      <c r="M52" s="107">
        <v>1</v>
      </c>
      <c r="O52" s="159">
        <f t="shared" si="6"/>
        <v>1.4864814804298669</v>
      </c>
    </row>
    <row r="53" spans="1:15">
      <c r="A53" s="22"/>
      <c r="B53" s="101"/>
      <c r="C53" s="101"/>
      <c r="D53" s="103"/>
      <c r="E53" s="103"/>
      <c r="F53" s="103"/>
      <c r="G53" s="103"/>
      <c r="H53" s="103"/>
      <c r="I53" s="103"/>
      <c r="J53" s="103"/>
      <c r="K53" s="103"/>
      <c r="L53" s="103"/>
      <c r="M53" s="103"/>
    </row>
    <row r="55" spans="1:15">
      <c r="A55" s="108" t="str">
        <f>Parameters!A27</f>
        <v>Schuld deflatie</v>
      </c>
      <c r="B55" s="109" t="s">
        <v>116</v>
      </c>
      <c r="C55" s="17" t="s">
        <v>117</v>
      </c>
      <c r="D55" s="109" t="s">
        <v>118</v>
      </c>
      <c r="E55" s="109" t="s">
        <v>119</v>
      </c>
      <c r="F55" s="110" t="s">
        <v>73</v>
      </c>
      <c r="G55" s="109" t="s">
        <v>120</v>
      </c>
      <c r="H55" s="109" t="s">
        <v>0</v>
      </c>
      <c r="I55" s="109" t="s">
        <v>121</v>
      </c>
      <c r="J55" s="109" t="s">
        <v>122</v>
      </c>
      <c r="K55" s="109" t="s">
        <v>123</v>
      </c>
      <c r="L55" s="109" t="s">
        <v>1</v>
      </c>
      <c r="M55" s="8" t="s">
        <v>124</v>
      </c>
    </row>
    <row r="56" spans="1:15">
      <c r="A56" s="14" t="str">
        <f>A43</f>
        <v>Nominale VPV</v>
      </c>
      <c r="B56" s="101">
        <v>0.1</v>
      </c>
      <c r="C56" s="16">
        <v>8.9882724857715146E-2</v>
      </c>
      <c r="D56" s="103">
        <v>1</v>
      </c>
      <c r="E56" s="103">
        <v>0.41066473263732639</v>
      </c>
      <c r="F56" s="103">
        <v>9.437891241189296E-2</v>
      </c>
      <c r="G56" s="103">
        <v>0.12508070367226998</v>
      </c>
      <c r="H56" s="103">
        <v>0.12498583486747387</v>
      </c>
      <c r="I56" s="103">
        <v>6.6335831133075826E-2</v>
      </c>
      <c r="J56" s="103">
        <v>-0.18050505853644272</v>
      </c>
      <c r="K56" s="103">
        <v>-0.1748981196039075</v>
      </c>
      <c r="L56" s="103">
        <v>-1.9969190643949617E-2</v>
      </c>
      <c r="M56" s="104">
        <v>-0.42914585795418619</v>
      </c>
      <c r="O56" s="159">
        <f>(B56-$B$56)/C56</f>
        <v>0</v>
      </c>
    </row>
    <row r="57" spans="1:15">
      <c r="A57" s="14" t="str">
        <f t="shared" ref="A57:A65" si="7">A44</f>
        <v>Reele VPV</v>
      </c>
      <c r="B57" s="101">
        <v>0</v>
      </c>
      <c r="C57" s="16">
        <v>0.10079784357591209</v>
      </c>
      <c r="D57" s="103">
        <v>0.41066473263732639</v>
      </c>
      <c r="E57" s="103">
        <v>1</v>
      </c>
      <c r="F57" s="103">
        <v>5.2071371733237712E-2</v>
      </c>
      <c r="G57" s="103">
        <v>0.21274741215730592</v>
      </c>
      <c r="H57" s="103">
        <v>-9.3792538656321811E-3</v>
      </c>
      <c r="I57" s="103">
        <v>0.15863175444041452</v>
      </c>
      <c r="J57" s="103">
        <v>8.6732250085806359E-2</v>
      </c>
      <c r="K57" s="103">
        <v>-0.1335780099510506</v>
      </c>
      <c r="L57" s="103">
        <v>-0.1193070426212947</v>
      </c>
      <c r="M57" s="104">
        <v>-4.3132107779299385E-2</v>
      </c>
      <c r="O57" s="159">
        <f t="shared" ref="O57:O65" si="8">(B57-$B$56)/C57</f>
        <v>-0.99208471582716728</v>
      </c>
    </row>
    <row r="58" spans="1:15">
      <c r="A58" s="14" t="str">
        <f t="shared" si="7"/>
        <v>Credits</v>
      </c>
      <c r="B58" s="101">
        <v>0</v>
      </c>
      <c r="C58" s="16">
        <v>0.13733234127259944</v>
      </c>
      <c r="D58" s="103">
        <v>9.437891241189296E-2</v>
      </c>
      <c r="E58" s="103">
        <v>5.2071371733237705E-2</v>
      </c>
      <c r="F58" s="103">
        <v>1</v>
      </c>
      <c r="G58" s="103">
        <v>0.27761737541136416</v>
      </c>
      <c r="H58" s="103">
        <v>-2.1298659101678056E-2</v>
      </c>
      <c r="I58" s="103">
        <v>9.7160365646010771E-2</v>
      </c>
      <c r="J58" s="103">
        <v>0.10744085132638953</v>
      </c>
      <c r="K58" s="103">
        <v>0.1132002227789112</v>
      </c>
      <c r="L58" s="103">
        <v>-0.18403591471041736</v>
      </c>
      <c r="M58" s="104">
        <v>6.7051112271874796E-2</v>
      </c>
      <c r="O58" s="159">
        <f t="shared" si="8"/>
        <v>-0.72816059985101278</v>
      </c>
    </row>
    <row r="59" spans="1:15">
      <c r="A59" s="14" t="str">
        <f t="shared" si="7"/>
        <v>High Yield</v>
      </c>
      <c r="B59" s="101">
        <v>-0.1</v>
      </c>
      <c r="C59" s="16">
        <v>0.16295032495206094</v>
      </c>
      <c r="D59" s="103">
        <v>0.12508070367227</v>
      </c>
      <c r="E59" s="103">
        <v>0.21274741215730589</v>
      </c>
      <c r="F59" s="103">
        <v>0.27761737541136416</v>
      </c>
      <c r="G59" s="103">
        <v>1</v>
      </c>
      <c r="H59" s="103">
        <v>0.59465059828280964</v>
      </c>
      <c r="I59" s="103">
        <v>0.6597061996232978</v>
      </c>
      <c r="J59" s="103">
        <v>0.68820162444607313</v>
      </c>
      <c r="K59" s="103">
        <v>0.50141917505604872</v>
      </c>
      <c r="L59" s="103">
        <v>-0.30256376010663422</v>
      </c>
      <c r="M59" s="104">
        <v>4.6163675609240694E-2</v>
      </c>
      <c r="O59" s="159">
        <f t="shared" si="8"/>
        <v>-1.2273679114100502</v>
      </c>
    </row>
    <row r="60" spans="1:15">
      <c r="A60" s="14" t="str">
        <f t="shared" si="7"/>
        <v>Emerging market debt</v>
      </c>
      <c r="B60" s="101">
        <v>-0.08</v>
      </c>
      <c r="C60" s="16">
        <v>0.13761213457844312</v>
      </c>
      <c r="D60" s="103">
        <v>0.12498583486747387</v>
      </c>
      <c r="E60" s="103">
        <v>-9.3792538656321655E-3</v>
      </c>
      <c r="F60" s="103">
        <v>-2.129865910167807E-2</v>
      </c>
      <c r="G60" s="103">
        <v>0.59465059828280964</v>
      </c>
      <c r="H60" s="103">
        <v>1</v>
      </c>
      <c r="I60" s="103">
        <v>0.49125194852546639</v>
      </c>
      <c r="J60" s="103">
        <v>0.49872885012808976</v>
      </c>
      <c r="K60" s="103">
        <v>0.75254305276167477</v>
      </c>
      <c r="L60" s="103">
        <v>0.20944700107200398</v>
      </c>
      <c r="M60" s="104">
        <v>0.44835384996737276</v>
      </c>
      <c r="O60" s="159">
        <f t="shared" si="8"/>
        <v>-1.3080241837059396</v>
      </c>
    </row>
    <row r="61" spans="1:15">
      <c r="A61" s="14" t="str">
        <f t="shared" si="7"/>
        <v>Aandelen ontwikkeld</v>
      </c>
      <c r="B61" s="101">
        <v>-0.2</v>
      </c>
      <c r="C61" s="16">
        <v>0.19095959711116356</v>
      </c>
      <c r="D61" s="103">
        <v>6.6335831133075909E-2</v>
      </c>
      <c r="E61" s="103">
        <v>0.15863175444041452</v>
      </c>
      <c r="F61" s="103">
        <v>9.7160365646010743E-2</v>
      </c>
      <c r="G61" s="103">
        <v>0.6597061996232978</v>
      </c>
      <c r="H61" s="103">
        <v>0.49125194852546633</v>
      </c>
      <c r="I61" s="103">
        <v>1</v>
      </c>
      <c r="J61" s="103">
        <v>0.75264043180985696</v>
      </c>
      <c r="K61" s="103">
        <v>0.62981687617660853</v>
      </c>
      <c r="L61" s="103">
        <v>-3.0443013347033667E-2</v>
      </c>
      <c r="M61" s="104">
        <v>0.2056690432994841</v>
      </c>
      <c r="O61" s="159">
        <f t="shared" si="8"/>
        <v>-1.5710129500606385</v>
      </c>
    </row>
    <row r="62" spans="1:15">
      <c r="A62" s="14" t="str">
        <f t="shared" si="7"/>
        <v>Aandelen opkomend</v>
      </c>
      <c r="B62" s="101">
        <v>-0.22</v>
      </c>
      <c r="C62" s="16">
        <v>0.34692489997347542</v>
      </c>
      <c r="D62" s="103">
        <v>-0.18050505853644266</v>
      </c>
      <c r="E62" s="103">
        <v>8.6732250085806303E-2</v>
      </c>
      <c r="F62" s="103">
        <v>0.10744085132638952</v>
      </c>
      <c r="G62" s="103">
        <v>0.68820162444607313</v>
      </c>
      <c r="H62" s="103">
        <v>0.49872885012808976</v>
      </c>
      <c r="I62" s="103">
        <v>0.75264043180985696</v>
      </c>
      <c r="J62" s="103">
        <v>1</v>
      </c>
      <c r="K62" s="103">
        <v>0.48887988618883998</v>
      </c>
      <c r="L62" s="103">
        <v>-0.3170150651887681</v>
      </c>
      <c r="M62" s="104">
        <v>0.22538510532713416</v>
      </c>
      <c r="O62" s="159">
        <f t="shared" si="8"/>
        <v>-0.92238983141442432</v>
      </c>
    </row>
    <row r="63" spans="1:15">
      <c r="A63" s="14" t="str">
        <f t="shared" si="7"/>
        <v>Hedge funds</v>
      </c>
      <c r="B63" s="101">
        <v>-0.12</v>
      </c>
      <c r="C63" s="16">
        <v>7.3720181107761185E-2</v>
      </c>
      <c r="D63" s="103">
        <v>-0.17489811960390753</v>
      </c>
      <c r="E63" s="103">
        <v>-0.13357800995105057</v>
      </c>
      <c r="F63" s="103">
        <v>0.1132002227789112</v>
      </c>
      <c r="G63" s="103">
        <v>0.50141917505604883</v>
      </c>
      <c r="H63" s="103">
        <v>0.75254305276167477</v>
      </c>
      <c r="I63" s="103">
        <v>0.62981687617660864</v>
      </c>
      <c r="J63" s="103">
        <v>0.48887988618883998</v>
      </c>
      <c r="K63" s="103">
        <v>1</v>
      </c>
      <c r="L63" s="103">
        <v>0.48537374413916623</v>
      </c>
      <c r="M63" s="104">
        <v>0.47960715961315409</v>
      </c>
      <c r="O63" s="159">
        <f t="shared" si="8"/>
        <v>-2.9842574542568321</v>
      </c>
    </row>
    <row r="64" spans="1:15">
      <c r="A64" s="14" t="str">
        <f t="shared" si="7"/>
        <v>Onroerend goed</v>
      </c>
      <c r="B64" s="101">
        <v>-0.1</v>
      </c>
      <c r="C64" s="16">
        <v>4.7260697104048836E-2</v>
      </c>
      <c r="D64" s="103">
        <v>-1.9969190643949579E-2</v>
      </c>
      <c r="E64" s="103">
        <v>-0.11930704262129468</v>
      </c>
      <c r="F64" s="103">
        <v>-0.18403591471041739</v>
      </c>
      <c r="G64" s="103">
        <v>-0.30256376010663422</v>
      </c>
      <c r="H64" s="103">
        <v>0.20944700107200404</v>
      </c>
      <c r="I64" s="103">
        <v>-3.0443013347033678E-2</v>
      </c>
      <c r="J64" s="103">
        <v>-0.3170150651887681</v>
      </c>
      <c r="K64" s="103">
        <v>0.48537374413916623</v>
      </c>
      <c r="L64" s="103">
        <v>1</v>
      </c>
      <c r="M64" s="104">
        <v>0.21396996402201787</v>
      </c>
      <c r="O64" s="159">
        <f t="shared" si="8"/>
        <v>-4.2318461693377341</v>
      </c>
    </row>
    <row r="65" spans="1:15">
      <c r="A65" s="15" t="str">
        <f t="shared" si="7"/>
        <v>Commodities</v>
      </c>
      <c r="B65" s="105">
        <v>-0.25</v>
      </c>
      <c r="C65" s="100">
        <v>0.25657882597960341</v>
      </c>
      <c r="D65" s="106">
        <v>-0.42914585795418625</v>
      </c>
      <c r="E65" s="106">
        <v>-4.3132107779299385E-2</v>
      </c>
      <c r="F65" s="106">
        <v>6.705111227187481E-2</v>
      </c>
      <c r="G65" s="106">
        <v>4.6163675609240735E-2</v>
      </c>
      <c r="H65" s="106">
        <v>0.44835384996737276</v>
      </c>
      <c r="I65" s="106">
        <v>0.20566904329948418</v>
      </c>
      <c r="J65" s="106">
        <v>0.22538510532713416</v>
      </c>
      <c r="K65" s="106">
        <v>0.47960715961315409</v>
      </c>
      <c r="L65" s="106">
        <v>0.21396996402201784</v>
      </c>
      <c r="M65" s="107">
        <v>1</v>
      </c>
      <c r="O65" s="159">
        <f t="shared" si="8"/>
        <v>-1.3641032094667978</v>
      </c>
    </row>
  </sheetData>
  <mergeCells count="1">
    <mergeCell ref="D2:M2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indexed="13"/>
  </sheetPr>
  <dimension ref="A1:O65"/>
  <sheetViews>
    <sheetView topLeftCell="A19" zoomScale="75" workbookViewId="0">
      <selection sqref="A1:IV65536"/>
    </sheetView>
  </sheetViews>
  <sheetFormatPr defaultRowHeight="12.75"/>
  <cols>
    <col min="1" max="1" width="32.28515625" customWidth="1"/>
    <col min="2" max="3" width="12.140625" customWidth="1"/>
  </cols>
  <sheetData>
    <row r="1" spans="1:15">
      <c r="A1" s="2" t="s">
        <v>134</v>
      </c>
    </row>
    <row r="2" spans="1:15">
      <c r="A2" s="102"/>
      <c r="D2" s="249" t="s">
        <v>7</v>
      </c>
      <c r="E2" s="249"/>
      <c r="F2" s="249"/>
      <c r="G2" s="249"/>
      <c r="H2" s="249"/>
      <c r="I2" s="249"/>
      <c r="J2" s="249"/>
      <c r="K2" s="249"/>
      <c r="L2" s="249"/>
      <c r="M2" s="249"/>
    </row>
    <row r="3" spans="1:15">
      <c r="A3" s="108" t="str">
        <f>Parameters!A40</f>
        <v>Basis</v>
      </c>
      <c r="B3" s="109" t="s">
        <v>116</v>
      </c>
      <c r="C3" s="17" t="s">
        <v>117</v>
      </c>
      <c r="D3" s="109" t="s">
        <v>118</v>
      </c>
      <c r="E3" s="109" t="s">
        <v>119</v>
      </c>
      <c r="F3" s="110" t="s">
        <v>73</v>
      </c>
      <c r="G3" s="109" t="s">
        <v>120</v>
      </c>
      <c r="H3" s="109" t="s">
        <v>0</v>
      </c>
      <c r="I3" s="109" t="s">
        <v>121</v>
      </c>
      <c r="J3" s="109" t="s">
        <v>122</v>
      </c>
      <c r="K3" s="109" t="s">
        <v>123</v>
      </c>
      <c r="L3" s="109" t="s">
        <v>1</v>
      </c>
      <c r="M3" s="8" t="s">
        <v>124</v>
      </c>
    </row>
    <row r="4" spans="1:15">
      <c r="A4" s="122" t="str">
        <f>Parameters!A99</f>
        <v>Nominale VPV</v>
      </c>
      <c r="B4" s="151">
        <v>0.03</v>
      </c>
      <c r="C4" s="152">
        <v>9.3036505477973097E-2</v>
      </c>
      <c r="D4" s="103">
        <v>1</v>
      </c>
      <c r="E4" s="103">
        <v>0.39310073358981634</v>
      </c>
      <c r="F4" s="103">
        <v>0.20929446791729706</v>
      </c>
      <c r="G4" s="103">
        <v>0.21633822527798038</v>
      </c>
      <c r="H4" s="103">
        <v>7.2272238989822338E-2</v>
      </c>
      <c r="I4" s="103">
        <v>8.9492370363700224E-2</v>
      </c>
      <c r="J4" s="103">
        <v>-0.17062817388407636</v>
      </c>
      <c r="K4" s="103">
        <v>-0.19012041366495921</v>
      </c>
      <c r="L4" s="103">
        <v>-4.7308632130733691E-2</v>
      </c>
      <c r="M4" s="104">
        <v>-0.45881257160059641</v>
      </c>
      <c r="O4" s="159">
        <f t="shared" ref="O4:O13" si="0">(B4-$B$4)/C4</f>
        <v>0</v>
      </c>
    </row>
    <row r="5" spans="1:15">
      <c r="A5" s="14" t="str">
        <f>Parameters!A100</f>
        <v>Reele VPV</v>
      </c>
      <c r="B5" s="151">
        <v>0.03</v>
      </c>
      <c r="C5" s="152">
        <v>0.107113123666156</v>
      </c>
      <c r="D5" s="103">
        <v>0.39310073358981634</v>
      </c>
      <c r="E5" s="103">
        <v>1</v>
      </c>
      <c r="F5" s="103">
        <v>0.15199304535500063</v>
      </c>
      <c r="G5" s="103">
        <v>0.24896674047832401</v>
      </c>
      <c r="H5" s="103">
        <v>-4.8620827985643912E-2</v>
      </c>
      <c r="I5" s="103">
        <v>0.12380923643016063</v>
      </c>
      <c r="J5" s="103">
        <v>5.6701855877734457E-2</v>
      </c>
      <c r="K5" s="103">
        <v>-0.14234647836130293</v>
      </c>
      <c r="L5" s="103">
        <v>-0.11987909632091487</v>
      </c>
      <c r="M5" s="104">
        <v>-8.7674543304863753E-2</v>
      </c>
      <c r="O5" s="159">
        <f t="shared" si="0"/>
        <v>0</v>
      </c>
    </row>
    <row r="6" spans="1:15">
      <c r="A6" s="14" t="str">
        <f>Parameters!A101</f>
        <v>Credits</v>
      </c>
      <c r="B6" s="151">
        <v>5.5641316288239581E-2</v>
      </c>
      <c r="C6" s="152">
        <v>0.14514041524285745</v>
      </c>
      <c r="D6" s="103">
        <v>0.20929446791729706</v>
      </c>
      <c r="E6" s="103">
        <v>0.15199304535500063</v>
      </c>
      <c r="F6" s="103">
        <v>1</v>
      </c>
      <c r="G6" s="103">
        <v>0.27817222657699892</v>
      </c>
      <c r="H6" s="103">
        <v>-3.7036476676643094E-2</v>
      </c>
      <c r="I6" s="103">
        <v>-2.0652245548069121E-2</v>
      </c>
      <c r="J6" s="103">
        <v>-4.7238096976150878E-4</v>
      </c>
      <c r="K6" s="103">
        <v>3.5291346298508892E-2</v>
      </c>
      <c r="L6" s="103">
        <v>-0.1471489633450169</v>
      </c>
      <c r="M6" s="104">
        <v>3.884979309220634E-2</v>
      </c>
      <c r="O6" s="159">
        <f t="shared" si="0"/>
        <v>0.17666558446408623</v>
      </c>
    </row>
    <row r="7" spans="1:15">
      <c r="A7" s="14" t="str">
        <f>Parameters!A102</f>
        <v>High Yield</v>
      </c>
      <c r="B7" s="151">
        <v>5.6496387380050681E-2</v>
      </c>
      <c r="C7" s="152">
        <v>0.15212518033194122</v>
      </c>
      <c r="D7" s="103">
        <v>0.21633822527798038</v>
      </c>
      <c r="E7" s="103">
        <v>0.24896674047832401</v>
      </c>
      <c r="F7" s="103">
        <v>0.27817222657699892</v>
      </c>
      <c r="G7" s="103">
        <v>1</v>
      </c>
      <c r="H7" s="103">
        <v>0.54947077664382238</v>
      </c>
      <c r="I7" s="103">
        <v>0.6512857171069153</v>
      </c>
      <c r="J7" s="103">
        <v>0.66085351889108523</v>
      </c>
      <c r="K7" s="103">
        <v>0.4247516304214663</v>
      </c>
      <c r="L7" s="103">
        <v>-0.32361654199607631</v>
      </c>
      <c r="M7" s="104">
        <v>-2.2300336358685715E-3</v>
      </c>
      <c r="O7" s="159">
        <f t="shared" si="0"/>
        <v>0.17417489545277681</v>
      </c>
    </row>
    <row r="8" spans="1:15">
      <c r="A8" s="14" t="str">
        <f>Parameters!A103</f>
        <v>Emerging market debt</v>
      </c>
      <c r="B8" s="151">
        <v>5.6528262962781142E-2</v>
      </c>
      <c r="C8" s="152">
        <v>0.13758409078549244</v>
      </c>
      <c r="D8" s="103">
        <v>7.2272238989822338E-2</v>
      </c>
      <c r="E8" s="103">
        <v>-4.8620827985643912E-2</v>
      </c>
      <c r="F8" s="103">
        <v>-3.7036476676643094E-2</v>
      </c>
      <c r="G8" s="103">
        <v>0.54947077664382238</v>
      </c>
      <c r="H8" s="103">
        <v>1</v>
      </c>
      <c r="I8" s="103">
        <v>0.43704301175382931</v>
      </c>
      <c r="J8" s="103">
        <v>0.47448318291761821</v>
      </c>
      <c r="K8" s="103">
        <v>0.75975680806732404</v>
      </c>
      <c r="L8" s="103">
        <v>0.22497345871183994</v>
      </c>
      <c r="M8" s="104">
        <v>0.50014707286156279</v>
      </c>
      <c r="O8" s="159">
        <f t="shared" si="0"/>
        <v>0.19281490186348216</v>
      </c>
    </row>
    <row r="9" spans="1:15">
      <c r="A9" s="14" t="str">
        <f>Parameters!A104</f>
        <v>Aandelen ontwikkeld</v>
      </c>
      <c r="B9" s="151">
        <v>6.4356314621335148E-2</v>
      </c>
      <c r="C9" s="152">
        <v>0.19354582049076965</v>
      </c>
      <c r="D9" s="103">
        <v>8.9492370363700224E-2</v>
      </c>
      <c r="E9" s="103">
        <v>0.12380923643016063</v>
      </c>
      <c r="F9" s="103">
        <v>-2.0652245548069121E-2</v>
      </c>
      <c r="G9" s="103">
        <v>0.6512857171069153</v>
      </c>
      <c r="H9" s="103">
        <v>0.43704301175382931</v>
      </c>
      <c r="I9" s="103">
        <v>1</v>
      </c>
      <c r="J9" s="103">
        <v>0.75270312398485784</v>
      </c>
      <c r="K9" s="103">
        <v>0.57172393447966652</v>
      </c>
      <c r="L9" s="103">
        <v>-3.5193060592075505E-2</v>
      </c>
      <c r="M9" s="104">
        <v>0.10395609042534409</v>
      </c>
      <c r="O9" s="159">
        <f t="shared" si="0"/>
        <v>0.17750997946749064</v>
      </c>
    </row>
    <row r="10" spans="1:15">
      <c r="A10" s="14" t="str">
        <f>Parameters!A105</f>
        <v>Aandelen opkomend</v>
      </c>
      <c r="B10" s="151">
        <v>9.1561672924114379E-2</v>
      </c>
      <c r="C10" s="152">
        <v>0.34249727755342518</v>
      </c>
      <c r="D10" s="103">
        <v>-0.17062817388407636</v>
      </c>
      <c r="E10" s="103">
        <v>5.6701855877734457E-2</v>
      </c>
      <c r="F10" s="103">
        <v>-4.7238096976150878E-4</v>
      </c>
      <c r="G10" s="103">
        <v>0.66085351889108523</v>
      </c>
      <c r="H10" s="103">
        <v>0.47448318291761821</v>
      </c>
      <c r="I10" s="103">
        <v>0.75270312398485784</v>
      </c>
      <c r="J10" s="103">
        <v>1</v>
      </c>
      <c r="K10" s="103">
        <v>0.43308445119592942</v>
      </c>
      <c r="L10" s="103">
        <v>-0.33706927145387583</v>
      </c>
      <c r="M10" s="104">
        <v>0.21126029655546014</v>
      </c>
      <c r="O10" s="159">
        <f t="shared" si="0"/>
        <v>0.17974353946364302</v>
      </c>
    </row>
    <row r="11" spans="1:15">
      <c r="A11" s="14" t="str">
        <f>Parameters!A106</f>
        <v>Hedge funds</v>
      </c>
      <c r="B11" s="151">
        <v>5.1135067781966595E-2</v>
      </c>
      <c r="C11" s="152">
        <v>7.2522493236444635E-2</v>
      </c>
      <c r="D11" s="103">
        <v>-0.19012041366495921</v>
      </c>
      <c r="E11" s="103">
        <v>-0.14234647836130293</v>
      </c>
      <c r="F11" s="103">
        <v>3.5291346298508892E-2</v>
      </c>
      <c r="G11" s="103">
        <v>0.4247516304214663</v>
      </c>
      <c r="H11" s="103">
        <v>0.75975680806732404</v>
      </c>
      <c r="I11" s="103">
        <v>0.57172393447966652</v>
      </c>
      <c r="J11" s="103">
        <v>0.43308445119592942</v>
      </c>
      <c r="K11" s="103">
        <v>1</v>
      </c>
      <c r="L11" s="103">
        <v>0.53144909307162114</v>
      </c>
      <c r="M11" s="104">
        <v>0.50768184408405903</v>
      </c>
      <c r="O11" s="159">
        <f t="shared" si="0"/>
        <v>0.29142776039235258</v>
      </c>
    </row>
    <row r="12" spans="1:15">
      <c r="A12" s="14" t="str">
        <f>Parameters!A107</f>
        <v>Onroerend goed</v>
      </c>
      <c r="B12" s="151">
        <v>4.7615162118704334E-2</v>
      </c>
      <c r="C12" s="152">
        <v>4.9766484543779667E-2</v>
      </c>
      <c r="D12" s="103">
        <v>-4.7308632130733691E-2</v>
      </c>
      <c r="E12" s="103">
        <v>-0.11987909632091487</v>
      </c>
      <c r="F12" s="103">
        <v>-0.1471489633450169</v>
      </c>
      <c r="G12" s="103">
        <v>-0.32361654199607631</v>
      </c>
      <c r="H12" s="103">
        <v>0.22497345871183994</v>
      </c>
      <c r="I12" s="103">
        <v>-3.5193060592075505E-2</v>
      </c>
      <c r="J12" s="103">
        <v>-0.33706927145387583</v>
      </c>
      <c r="K12" s="103">
        <v>0.53144909307162114</v>
      </c>
      <c r="L12" s="103">
        <v>1</v>
      </c>
      <c r="M12" s="104">
        <v>0.24828282028996468</v>
      </c>
      <c r="O12" s="159">
        <f t="shared" si="0"/>
        <v>0.35395632784164699</v>
      </c>
    </row>
    <row r="13" spans="1:15">
      <c r="A13" s="15" t="str">
        <f>Parameters!A108</f>
        <v>Commodities</v>
      </c>
      <c r="B13" s="155">
        <v>8.0977052013787992E-2</v>
      </c>
      <c r="C13" s="156">
        <v>0.25247140962754983</v>
      </c>
      <c r="D13" s="106">
        <v>-0.45881257160059641</v>
      </c>
      <c r="E13" s="106">
        <v>-8.7674543304863753E-2</v>
      </c>
      <c r="F13" s="106">
        <v>3.884979309220634E-2</v>
      </c>
      <c r="G13" s="106">
        <v>-2.2300336358685715E-3</v>
      </c>
      <c r="H13" s="106">
        <v>0.50014707286156279</v>
      </c>
      <c r="I13" s="106">
        <v>0.10395609042534409</v>
      </c>
      <c r="J13" s="106">
        <v>0.21126029655546014</v>
      </c>
      <c r="K13" s="106">
        <v>0.50768184408405903</v>
      </c>
      <c r="L13" s="106">
        <v>0.24828282028996468</v>
      </c>
      <c r="M13" s="107">
        <v>1</v>
      </c>
      <c r="O13" s="159">
        <f t="shared" si="0"/>
        <v>0.20191217725995281</v>
      </c>
    </row>
    <row r="15" spans="1:15">
      <c r="A15" s="2" t="s">
        <v>125</v>
      </c>
    </row>
    <row r="16" spans="1:15">
      <c r="A16" s="108" t="str">
        <f>Parameters!A41</f>
        <v>Groei recessie</v>
      </c>
      <c r="B16" s="109" t="s">
        <v>116</v>
      </c>
      <c r="C16" s="17" t="s">
        <v>117</v>
      </c>
      <c r="D16" s="109" t="s">
        <v>118</v>
      </c>
      <c r="E16" s="109" t="s">
        <v>119</v>
      </c>
      <c r="F16" s="110" t="s">
        <v>73</v>
      </c>
      <c r="G16" s="109" t="s">
        <v>120</v>
      </c>
      <c r="H16" s="109" t="s">
        <v>0</v>
      </c>
      <c r="I16" s="109" t="s">
        <v>121</v>
      </c>
      <c r="J16" s="109" t="s">
        <v>122</v>
      </c>
      <c r="K16" s="109" t="s">
        <v>123</v>
      </c>
      <c r="L16" s="109" t="s">
        <v>1</v>
      </c>
      <c r="M16" s="8" t="s">
        <v>124</v>
      </c>
    </row>
    <row r="17" spans="1:15">
      <c r="A17" s="14" t="str">
        <f t="shared" ref="A17:A26" si="1">A4</f>
        <v>Nominale VPV</v>
      </c>
      <c r="B17" s="151">
        <v>2.5000000000000001E-2</v>
      </c>
      <c r="C17" s="152">
        <v>8.8591242014319421E-2</v>
      </c>
      <c r="D17" s="103">
        <v>1</v>
      </c>
      <c r="E17" s="103">
        <v>0.40184493187990666</v>
      </c>
      <c r="F17" s="103">
        <v>0.15995491314897739</v>
      </c>
      <c r="G17" s="103">
        <v>0.22929517705453259</v>
      </c>
      <c r="H17" s="103">
        <v>0.19507786729221233</v>
      </c>
      <c r="I17" s="103">
        <v>0.16837381667341061</v>
      </c>
      <c r="J17" s="103">
        <v>-0.15009143517827533</v>
      </c>
      <c r="K17" s="103">
        <v>1.594568878094979E-2</v>
      </c>
      <c r="L17" s="103">
        <v>9.2804132198836861E-2</v>
      </c>
      <c r="M17" s="104">
        <v>-0.308333008412082</v>
      </c>
      <c r="O17" s="159">
        <f t="shared" ref="O17:O26" si="2">(B17-$B$17)/C17</f>
        <v>0</v>
      </c>
    </row>
    <row r="18" spans="1:15">
      <c r="A18" s="14" t="str">
        <f t="shared" si="1"/>
        <v>Reele VPV</v>
      </c>
      <c r="B18" s="151">
        <v>0.01</v>
      </c>
      <c r="C18" s="152">
        <v>9.4624013099432344E-2</v>
      </c>
      <c r="D18" s="103">
        <v>0.40184493187990666</v>
      </c>
      <c r="E18" s="103">
        <v>1</v>
      </c>
      <c r="F18" s="103">
        <v>7.3024739776951592E-2</v>
      </c>
      <c r="G18" s="103">
        <v>0.24957100429948684</v>
      </c>
      <c r="H18" s="103">
        <v>5.6302424381776899E-2</v>
      </c>
      <c r="I18" s="103">
        <v>0.18010007650590723</v>
      </c>
      <c r="J18" s="103">
        <v>4.1123402230865011E-2</v>
      </c>
      <c r="K18" s="103">
        <v>-5.8456513256369011E-2</v>
      </c>
      <c r="L18" s="103">
        <v>-6.3554935599409113E-2</v>
      </c>
      <c r="M18" s="104">
        <v>6.4440977839142322E-2</v>
      </c>
      <c r="O18" s="159">
        <f t="shared" si="2"/>
        <v>-0.15852212888326533</v>
      </c>
    </row>
    <row r="19" spans="1:15">
      <c r="A19" s="14" t="str">
        <f t="shared" si="1"/>
        <v>Credits</v>
      </c>
      <c r="B19" s="151">
        <v>0.04</v>
      </c>
      <c r="C19" s="152">
        <v>0.14243405169975157</v>
      </c>
      <c r="D19" s="103">
        <v>0.15995491314897739</v>
      </c>
      <c r="E19" s="103">
        <v>7.3024739776951592E-2</v>
      </c>
      <c r="F19" s="103">
        <v>1</v>
      </c>
      <c r="G19" s="103">
        <v>0.17194053611607119</v>
      </c>
      <c r="H19" s="103">
        <v>-0.17859422647025461</v>
      </c>
      <c r="I19" s="103">
        <v>-7.1320265582970346E-2</v>
      </c>
      <c r="J19" s="103">
        <v>-1.4259094177622124E-2</v>
      </c>
      <c r="K19" s="103">
        <v>-0.1766513125413037</v>
      </c>
      <c r="L19" s="103">
        <v>-0.33668810515977632</v>
      </c>
      <c r="M19" s="104">
        <v>-9.8135968127318798E-2</v>
      </c>
      <c r="O19" s="159">
        <f t="shared" si="2"/>
        <v>0.10531189572293942</v>
      </c>
    </row>
    <row r="20" spans="1:15">
      <c r="A20" s="14" t="str">
        <f t="shared" si="1"/>
        <v>High Yield</v>
      </c>
      <c r="B20" s="151">
        <v>5.5E-2</v>
      </c>
      <c r="C20" s="152">
        <v>0.13468309234470341</v>
      </c>
      <c r="D20" s="103">
        <v>0.22929517705453259</v>
      </c>
      <c r="E20" s="103">
        <v>0.24957100429948684</v>
      </c>
      <c r="F20" s="103">
        <v>0.17194053611607119</v>
      </c>
      <c r="G20" s="103">
        <v>1</v>
      </c>
      <c r="H20" s="103">
        <v>0.54288138044111167</v>
      </c>
      <c r="I20" s="103">
        <v>0.5078087733991733</v>
      </c>
      <c r="J20" s="103">
        <v>0.5465051373612908</v>
      </c>
      <c r="K20" s="103">
        <v>0.39030841210385248</v>
      </c>
      <c r="L20" s="103">
        <v>-0.3914696516863625</v>
      </c>
      <c r="M20" s="104">
        <v>-0.17500430525050642</v>
      </c>
      <c r="O20" s="159">
        <f t="shared" si="2"/>
        <v>0.22274510837053696</v>
      </c>
    </row>
    <row r="21" spans="1:15">
      <c r="A21" s="14" t="str">
        <f t="shared" si="1"/>
        <v>Emerging market debt</v>
      </c>
      <c r="B21" s="151">
        <v>0.05</v>
      </c>
      <c r="C21" s="152">
        <v>0.1385692923441946</v>
      </c>
      <c r="D21" s="103">
        <v>0.19507786729221233</v>
      </c>
      <c r="E21" s="103">
        <v>5.6302424381776899E-2</v>
      </c>
      <c r="F21" s="103">
        <v>-0.17859422647025461</v>
      </c>
      <c r="G21" s="103">
        <v>0.54288138044111167</v>
      </c>
      <c r="H21" s="103">
        <v>1</v>
      </c>
      <c r="I21" s="103">
        <v>0.3510898885613386</v>
      </c>
      <c r="J21" s="103">
        <v>0.4594817725283748</v>
      </c>
      <c r="K21" s="103">
        <v>0.77810700823304912</v>
      </c>
      <c r="L21" s="103">
        <v>0.15682167520299556</v>
      </c>
      <c r="M21" s="104">
        <v>0.35743556383193953</v>
      </c>
      <c r="O21" s="159">
        <f t="shared" si="2"/>
        <v>0.18041515242714873</v>
      </c>
    </row>
    <row r="22" spans="1:15">
      <c r="A22" s="14" t="str">
        <f t="shared" si="1"/>
        <v>Aandelen ontwikkeld</v>
      </c>
      <c r="B22" s="151">
        <v>0.05</v>
      </c>
      <c r="C22" s="152">
        <v>0.15673968020583798</v>
      </c>
      <c r="D22" s="103">
        <v>0.16837381667341061</v>
      </c>
      <c r="E22" s="103">
        <v>0.18010007650590723</v>
      </c>
      <c r="F22" s="103">
        <v>-7.1320265582970346E-2</v>
      </c>
      <c r="G22" s="103">
        <v>0.5078087733991733</v>
      </c>
      <c r="H22" s="103">
        <v>0.3510898885613386</v>
      </c>
      <c r="I22" s="103">
        <v>1</v>
      </c>
      <c r="J22" s="103">
        <v>0.61858982897877646</v>
      </c>
      <c r="K22" s="103">
        <v>0.50777142759053995</v>
      </c>
      <c r="L22" s="103">
        <v>-7.8578760166313544E-2</v>
      </c>
      <c r="M22" s="104">
        <v>-4.0376254375290452E-2</v>
      </c>
      <c r="O22" s="159">
        <f t="shared" si="2"/>
        <v>0.15950013402584984</v>
      </c>
    </row>
    <row r="23" spans="1:15">
      <c r="A23" s="14" t="str">
        <f t="shared" si="1"/>
        <v>Aandelen opkomend</v>
      </c>
      <c r="B23" s="151">
        <v>0.04</v>
      </c>
      <c r="C23" s="152">
        <v>0.31847276366102961</v>
      </c>
      <c r="D23" s="103">
        <v>-0.15009143517827533</v>
      </c>
      <c r="E23" s="103">
        <v>4.1123402230865011E-2</v>
      </c>
      <c r="F23" s="103">
        <v>-1.4259094177622124E-2</v>
      </c>
      <c r="G23" s="103">
        <v>0.5465051373612908</v>
      </c>
      <c r="H23" s="103">
        <v>0.4594817725283748</v>
      </c>
      <c r="I23" s="103">
        <v>0.61858982897877646</v>
      </c>
      <c r="J23" s="103">
        <v>1</v>
      </c>
      <c r="K23" s="103">
        <v>0.40064289085686372</v>
      </c>
      <c r="L23" s="103">
        <v>-0.37740016820046274</v>
      </c>
      <c r="M23" s="104">
        <v>8.3149177388175191E-2</v>
      </c>
      <c r="O23" s="159">
        <f t="shared" si="2"/>
        <v>4.7099789092060106E-2</v>
      </c>
    </row>
    <row r="24" spans="1:15">
      <c r="A24" s="14" t="str">
        <f t="shared" si="1"/>
        <v>Hedge funds</v>
      </c>
      <c r="B24" s="151">
        <v>0.06</v>
      </c>
      <c r="C24" s="152">
        <v>5.37595108930254E-2</v>
      </c>
      <c r="D24" s="103">
        <v>1.594568878094979E-2</v>
      </c>
      <c r="E24" s="103">
        <v>-5.8456513256369011E-2</v>
      </c>
      <c r="F24" s="103">
        <v>-0.1766513125413037</v>
      </c>
      <c r="G24" s="103">
        <v>0.39030841210385248</v>
      </c>
      <c r="H24" s="103">
        <v>0.77810700823304912</v>
      </c>
      <c r="I24" s="103">
        <v>0.50777142759053995</v>
      </c>
      <c r="J24" s="103">
        <v>0.40064289085686372</v>
      </c>
      <c r="K24" s="103">
        <v>1</v>
      </c>
      <c r="L24" s="103">
        <v>0.38529743993952209</v>
      </c>
      <c r="M24" s="104">
        <v>0.21824090572982063</v>
      </c>
      <c r="O24" s="159">
        <f t="shared" si="2"/>
        <v>0.65104758987940858</v>
      </c>
    </row>
    <row r="25" spans="1:15">
      <c r="A25" s="14" t="str">
        <f t="shared" si="1"/>
        <v>Onroerend goed</v>
      </c>
      <c r="B25" s="151">
        <v>2.5000000000000001E-2</v>
      </c>
      <c r="C25" s="152">
        <v>3.967265770589553E-2</v>
      </c>
      <c r="D25" s="103">
        <v>9.2804132198836861E-2</v>
      </c>
      <c r="E25" s="103">
        <v>-6.3554935599409113E-2</v>
      </c>
      <c r="F25" s="103">
        <v>-0.33668810515977632</v>
      </c>
      <c r="G25" s="103">
        <v>-0.3914696516863625</v>
      </c>
      <c r="H25" s="103">
        <v>0.15682167520299556</v>
      </c>
      <c r="I25" s="103">
        <v>-7.8578760166313544E-2</v>
      </c>
      <c r="J25" s="103">
        <v>-0.37740016820046274</v>
      </c>
      <c r="K25" s="103">
        <v>0.38529743993952209</v>
      </c>
      <c r="L25" s="103">
        <v>1</v>
      </c>
      <c r="M25" s="104">
        <v>9.7062485763145523E-2</v>
      </c>
      <c r="O25" s="159">
        <f t="shared" si="2"/>
        <v>0</v>
      </c>
    </row>
    <row r="26" spans="1:15">
      <c r="A26" s="15" t="str">
        <f t="shared" si="1"/>
        <v>Commodities</v>
      </c>
      <c r="B26" s="155">
        <v>0</v>
      </c>
      <c r="C26" s="156">
        <v>0.23090107803263141</v>
      </c>
      <c r="D26" s="106">
        <v>-0.308333008412082</v>
      </c>
      <c r="E26" s="106">
        <v>6.4440977839142322E-2</v>
      </c>
      <c r="F26" s="106">
        <v>-9.8135968127318798E-2</v>
      </c>
      <c r="G26" s="106">
        <v>-0.17500430525050642</v>
      </c>
      <c r="H26" s="106">
        <v>0.35743556383193953</v>
      </c>
      <c r="I26" s="106">
        <v>-4.0376254375290452E-2</v>
      </c>
      <c r="J26" s="106">
        <v>8.3149177388175191E-2</v>
      </c>
      <c r="K26" s="106">
        <v>0.21824090572982063</v>
      </c>
      <c r="L26" s="106">
        <v>9.7062485763145523E-2</v>
      </c>
      <c r="M26" s="107">
        <v>1</v>
      </c>
      <c r="O26" s="159">
        <f t="shared" si="2"/>
        <v>-0.10827147371077649</v>
      </c>
    </row>
    <row r="27" spans="1:15">
      <c r="A27" s="22"/>
      <c r="B27" s="151"/>
      <c r="C27" s="151"/>
      <c r="D27" s="103"/>
      <c r="E27" s="103"/>
      <c r="F27" s="103"/>
      <c r="G27" s="103"/>
      <c r="H27" s="103"/>
      <c r="I27" s="103"/>
      <c r="J27" s="103"/>
      <c r="K27" s="103"/>
      <c r="L27" s="103"/>
      <c r="M27" s="103"/>
    </row>
    <row r="29" spans="1:15">
      <c r="A29" s="108" t="str">
        <f>Parameters!A42</f>
        <v>Inflatie is een fiscaal verschijnsel</v>
      </c>
      <c r="B29" s="109" t="s">
        <v>116</v>
      </c>
      <c r="C29" s="17" t="s">
        <v>117</v>
      </c>
      <c r="D29" s="109" t="s">
        <v>118</v>
      </c>
      <c r="E29" s="109" t="s">
        <v>119</v>
      </c>
      <c r="F29" s="110" t="s">
        <v>73</v>
      </c>
      <c r="G29" s="109" t="s">
        <v>120</v>
      </c>
      <c r="H29" s="109" t="s">
        <v>0</v>
      </c>
      <c r="I29" s="109" t="s">
        <v>121</v>
      </c>
      <c r="J29" s="109" t="s">
        <v>122</v>
      </c>
      <c r="K29" s="109" t="s">
        <v>123</v>
      </c>
      <c r="L29" s="109" t="s">
        <v>1</v>
      </c>
      <c r="M29" s="8" t="s">
        <v>124</v>
      </c>
    </row>
    <row r="30" spans="1:15">
      <c r="A30" s="14" t="str">
        <f t="shared" ref="A30:A39" si="3">A17</f>
        <v>Nominale VPV</v>
      </c>
      <c r="B30" s="151">
        <v>-0.1</v>
      </c>
      <c r="C30" s="152">
        <v>8.6979477341329908E-2</v>
      </c>
      <c r="D30" s="103">
        <v>1</v>
      </c>
      <c r="E30" s="103">
        <v>0.44647787881945766</v>
      </c>
      <c r="F30" s="103">
        <v>0.12476371362076351</v>
      </c>
      <c r="G30" s="103">
        <v>0.39473896463521979</v>
      </c>
      <c r="H30" s="103">
        <v>0.14329164688661464</v>
      </c>
      <c r="I30" s="103">
        <v>0.31280893869431281</v>
      </c>
      <c r="J30" s="103">
        <v>-5.3639971431398835E-2</v>
      </c>
      <c r="K30" s="103">
        <v>-4.5375987461387553E-2</v>
      </c>
      <c r="L30" s="103">
        <v>1.8874630580668541E-2</v>
      </c>
      <c r="M30" s="104">
        <v>-0.43049903922919336</v>
      </c>
      <c r="O30" s="159">
        <f t="shared" ref="O30:O39" si="4">(B30-$B$30)/C30</f>
        <v>0</v>
      </c>
    </row>
    <row r="31" spans="1:15">
      <c r="A31" s="14" t="str">
        <f t="shared" si="3"/>
        <v>Reele VPV</v>
      </c>
      <c r="B31" s="151">
        <v>0</v>
      </c>
      <c r="C31" s="152">
        <v>0.10896841546298597</v>
      </c>
      <c r="D31" s="103">
        <v>0.44647787881945766</v>
      </c>
      <c r="E31" s="103">
        <v>1</v>
      </c>
      <c r="F31" s="103">
        <v>8.4321923207799868E-2</v>
      </c>
      <c r="G31" s="103">
        <v>0.30748879816953062</v>
      </c>
      <c r="H31" s="103">
        <v>-1.3783474196812102E-2</v>
      </c>
      <c r="I31" s="103">
        <v>0.30597926550447924</v>
      </c>
      <c r="J31" s="103">
        <v>0.14739566742264482</v>
      </c>
      <c r="K31" s="103">
        <v>-0.1294232882487544</v>
      </c>
      <c r="L31" s="103">
        <v>-0.12641717828044782</v>
      </c>
      <c r="M31" s="104">
        <v>-1.9526899117772813E-2</v>
      </c>
      <c r="O31" s="159">
        <f t="shared" si="4"/>
        <v>0.91769711044360069</v>
      </c>
    </row>
    <row r="32" spans="1:15">
      <c r="A32" s="14" t="str">
        <f t="shared" si="3"/>
        <v>Credits</v>
      </c>
      <c r="B32" s="151">
        <v>-6.25E-2</v>
      </c>
      <c r="C32" s="152">
        <v>0.13990559436256109</v>
      </c>
      <c r="D32" s="103">
        <v>0.12476371362076351</v>
      </c>
      <c r="E32" s="103">
        <v>8.4321923207799868E-2</v>
      </c>
      <c r="F32" s="103">
        <v>1</v>
      </c>
      <c r="G32" s="103">
        <v>0.18030730071459058</v>
      </c>
      <c r="H32" s="103">
        <v>-0.25418969179515066</v>
      </c>
      <c r="I32" s="103">
        <v>-7.9795858053289384E-2</v>
      </c>
      <c r="J32" s="103">
        <v>-1.1299149052951599E-2</v>
      </c>
      <c r="K32" s="103">
        <v>-0.17485249114463275</v>
      </c>
      <c r="L32" s="103">
        <v>-0.28831149244548265</v>
      </c>
      <c r="M32" s="104">
        <v>-0.11650578645633478</v>
      </c>
      <c r="O32" s="159">
        <f t="shared" si="4"/>
        <v>0.26803788776894721</v>
      </c>
    </row>
    <row r="33" spans="1:15">
      <c r="A33" s="14" t="str">
        <f t="shared" si="3"/>
        <v>High Yield</v>
      </c>
      <c r="B33" s="151">
        <v>-2.5000000000000001E-2</v>
      </c>
      <c r="C33" s="152">
        <v>0.11885134697059349</v>
      </c>
      <c r="D33" s="103">
        <v>0.39473896463521979</v>
      </c>
      <c r="E33" s="103">
        <v>0.30748879816953062</v>
      </c>
      <c r="F33" s="103">
        <v>0.18030730071459058</v>
      </c>
      <c r="G33" s="103">
        <v>1</v>
      </c>
      <c r="H33" s="103">
        <v>0.46323608157717838</v>
      </c>
      <c r="I33" s="103">
        <v>0.59241684043745912</v>
      </c>
      <c r="J33" s="103">
        <v>0.53403538944587015</v>
      </c>
      <c r="K33" s="103">
        <v>0.24598097465652494</v>
      </c>
      <c r="L33" s="103">
        <v>-0.36278809960119057</v>
      </c>
      <c r="M33" s="104">
        <v>-0.24556869352982991</v>
      </c>
      <c r="O33" s="159">
        <f t="shared" si="4"/>
        <v>0.63104038710269483</v>
      </c>
    </row>
    <row r="34" spans="1:15">
      <c r="A34" s="14" t="str">
        <f t="shared" si="3"/>
        <v>Emerging market debt</v>
      </c>
      <c r="B34" s="151">
        <v>-0.05</v>
      </c>
      <c r="C34" s="152">
        <v>0.13434300064166035</v>
      </c>
      <c r="D34" s="103">
        <v>0.14329164688661464</v>
      </c>
      <c r="E34" s="103">
        <v>-1.3783474196812102E-2</v>
      </c>
      <c r="F34" s="103">
        <v>-0.25418969179515066</v>
      </c>
      <c r="G34" s="103">
        <v>0.46323608157717838</v>
      </c>
      <c r="H34" s="103">
        <v>1</v>
      </c>
      <c r="I34" s="103">
        <v>0.34598071876438846</v>
      </c>
      <c r="J34" s="103">
        <v>0.35502532656296076</v>
      </c>
      <c r="K34" s="103">
        <v>0.79192802286367414</v>
      </c>
      <c r="L34" s="103">
        <v>0.31095692213611359</v>
      </c>
      <c r="M34" s="104">
        <v>0.39954142389203895</v>
      </c>
      <c r="O34" s="159">
        <f t="shared" si="4"/>
        <v>0.37218165264424491</v>
      </c>
    </row>
    <row r="35" spans="1:15">
      <c r="A35" s="14" t="str">
        <f t="shared" si="3"/>
        <v>Aandelen ontwikkeld</v>
      </c>
      <c r="B35" s="151">
        <v>0</v>
      </c>
      <c r="C35" s="152">
        <v>0.15931815029652449</v>
      </c>
      <c r="D35" s="103">
        <v>0.31280893869431281</v>
      </c>
      <c r="E35" s="103">
        <v>0.30597926550447924</v>
      </c>
      <c r="F35" s="103">
        <v>-7.9795858053289384E-2</v>
      </c>
      <c r="G35" s="103">
        <v>0.59241684043745912</v>
      </c>
      <c r="H35" s="103">
        <v>0.34598071876438846</v>
      </c>
      <c r="I35" s="103">
        <v>1</v>
      </c>
      <c r="J35" s="103">
        <v>0.68294735384272309</v>
      </c>
      <c r="K35" s="103">
        <v>0.38647228003265582</v>
      </c>
      <c r="L35" s="103">
        <v>-9.8153053151787725E-2</v>
      </c>
      <c r="M35" s="104">
        <v>-9.0759698221048582E-2</v>
      </c>
      <c r="O35" s="159">
        <f t="shared" si="4"/>
        <v>0.62767487454429416</v>
      </c>
    </row>
    <row r="36" spans="1:15">
      <c r="A36" s="14" t="str">
        <f t="shared" si="3"/>
        <v>Aandelen opkomend</v>
      </c>
      <c r="B36" s="151">
        <v>-0.03</v>
      </c>
      <c r="C36" s="152">
        <v>0.31065953297505222</v>
      </c>
      <c r="D36" s="103">
        <v>-5.3639971431398835E-2</v>
      </c>
      <c r="E36" s="103">
        <v>0.14739566742264482</v>
      </c>
      <c r="F36" s="103">
        <v>-1.1299149052951599E-2</v>
      </c>
      <c r="G36" s="103">
        <v>0.53403538944587015</v>
      </c>
      <c r="H36" s="103">
        <v>0.35502532656296076</v>
      </c>
      <c r="I36" s="103">
        <v>0.68294735384272309</v>
      </c>
      <c r="J36" s="103">
        <v>1</v>
      </c>
      <c r="K36" s="103">
        <v>0.24318658795406575</v>
      </c>
      <c r="L36" s="103">
        <v>-0.40601872314925519</v>
      </c>
      <c r="M36" s="104">
        <v>8.4588658823458854E-2</v>
      </c>
      <c r="O36" s="159">
        <f t="shared" si="4"/>
        <v>0.22532706249069592</v>
      </c>
    </row>
    <row r="37" spans="1:15">
      <c r="A37" s="14" t="str">
        <f t="shared" si="3"/>
        <v>Hedge funds</v>
      </c>
      <c r="B37" s="151">
        <v>-0.04</v>
      </c>
      <c r="C37" s="152">
        <v>5.7887490060103547E-2</v>
      </c>
      <c r="D37" s="103">
        <v>-4.5375987461387553E-2</v>
      </c>
      <c r="E37" s="103">
        <v>-0.1294232882487544</v>
      </c>
      <c r="F37" s="103">
        <v>-0.17485249114463275</v>
      </c>
      <c r="G37" s="103">
        <v>0.24598097465652494</v>
      </c>
      <c r="H37" s="103">
        <v>0.79192802286367414</v>
      </c>
      <c r="I37" s="103">
        <v>0.38647228003265582</v>
      </c>
      <c r="J37" s="103">
        <v>0.24318658795406575</v>
      </c>
      <c r="K37" s="103">
        <v>1</v>
      </c>
      <c r="L37" s="103">
        <v>0.58642803030365875</v>
      </c>
      <c r="M37" s="104">
        <v>0.34742936858442752</v>
      </c>
      <c r="O37" s="159">
        <f t="shared" si="4"/>
        <v>1.0364933759902715</v>
      </c>
    </row>
    <row r="38" spans="1:15">
      <c r="A38" s="14" t="str">
        <f t="shared" si="3"/>
        <v>Onroerend goed</v>
      </c>
      <c r="B38" s="151">
        <v>0</v>
      </c>
      <c r="C38" s="152">
        <v>4.8110922059050987E-2</v>
      </c>
      <c r="D38" s="103">
        <v>1.8874630580668541E-2</v>
      </c>
      <c r="E38" s="103">
        <v>-0.12641717828044782</v>
      </c>
      <c r="F38" s="103">
        <v>-0.28831149244548265</v>
      </c>
      <c r="G38" s="103">
        <v>-0.36278809960119057</v>
      </c>
      <c r="H38" s="103">
        <v>0.31095692213611359</v>
      </c>
      <c r="I38" s="103">
        <v>-9.8153053151787725E-2</v>
      </c>
      <c r="J38" s="103">
        <v>-0.40601872314925519</v>
      </c>
      <c r="K38" s="103">
        <v>0.58642803030365875</v>
      </c>
      <c r="L38" s="103">
        <v>1</v>
      </c>
      <c r="M38" s="104">
        <v>0.22312540192773261</v>
      </c>
      <c r="O38" s="159">
        <f t="shared" si="4"/>
        <v>2.0785301075140641</v>
      </c>
    </row>
    <row r="39" spans="1:15">
      <c r="A39" s="15" t="str">
        <f t="shared" si="3"/>
        <v>Commodities</v>
      </c>
      <c r="B39" s="155">
        <v>0.05</v>
      </c>
      <c r="C39" s="156">
        <v>0.23436776994521502</v>
      </c>
      <c r="D39" s="106">
        <v>-0.43049903922919336</v>
      </c>
      <c r="E39" s="106">
        <v>-1.9526899117772813E-2</v>
      </c>
      <c r="F39" s="106">
        <v>-0.11650578645633478</v>
      </c>
      <c r="G39" s="106">
        <v>-0.24556869352982991</v>
      </c>
      <c r="H39" s="106">
        <v>0.39954142389203895</v>
      </c>
      <c r="I39" s="106">
        <v>-9.0759698221048582E-2</v>
      </c>
      <c r="J39" s="106">
        <v>8.4588658823458854E-2</v>
      </c>
      <c r="K39" s="106">
        <v>0.34742936858442752</v>
      </c>
      <c r="L39" s="106">
        <v>0.22312540192773261</v>
      </c>
      <c r="M39" s="107">
        <v>1</v>
      </c>
      <c r="O39" s="159">
        <f t="shared" si="4"/>
        <v>0.64001974347865109</v>
      </c>
    </row>
    <row r="40" spans="1:15">
      <c r="A40" s="22"/>
      <c r="B40" s="151"/>
      <c r="C40" s="151"/>
      <c r="D40" s="103"/>
      <c r="E40" s="103"/>
      <c r="F40" s="103"/>
      <c r="G40" s="103"/>
      <c r="H40" s="103"/>
      <c r="I40" s="103"/>
      <c r="J40" s="103"/>
      <c r="K40" s="103"/>
      <c r="L40" s="103"/>
      <c r="M40" s="103"/>
    </row>
    <row r="42" spans="1:15">
      <c r="A42" s="108" t="str">
        <f>Parameters!A43</f>
        <v>Vermogenseffect &amp; innovatie</v>
      </c>
      <c r="B42" s="109" t="s">
        <v>116</v>
      </c>
      <c r="C42" s="17" t="s">
        <v>117</v>
      </c>
      <c r="D42" s="109" t="s">
        <v>118</v>
      </c>
      <c r="E42" s="109" t="s">
        <v>119</v>
      </c>
      <c r="F42" s="110" t="s">
        <v>73</v>
      </c>
      <c r="G42" s="109" t="s">
        <v>120</v>
      </c>
      <c r="H42" s="109" t="s">
        <v>0</v>
      </c>
      <c r="I42" s="109" t="s">
        <v>121</v>
      </c>
      <c r="J42" s="109" t="s">
        <v>122</v>
      </c>
      <c r="K42" s="109" t="s">
        <v>123</v>
      </c>
      <c r="L42" s="109" t="s">
        <v>1</v>
      </c>
      <c r="M42" s="8" t="s">
        <v>124</v>
      </c>
    </row>
    <row r="43" spans="1:15">
      <c r="A43" s="14" t="str">
        <f t="shared" ref="A43:A52" si="5">A17</f>
        <v>Nominale VPV</v>
      </c>
      <c r="B43" s="151">
        <v>-0.05</v>
      </c>
      <c r="C43" s="152">
        <v>8.3779626926755432E-2</v>
      </c>
      <c r="D43" s="103">
        <v>1</v>
      </c>
      <c r="E43" s="103">
        <v>0.36356395941164671</v>
      </c>
      <c r="F43" s="103">
        <v>0.19770591590777722</v>
      </c>
      <c r="G43" s="103">
        <v>0.23990617585831378</v>
      </c>
      <c r="H43" s="103">
        <v>-7.3357889322124503E-2</v>
      </c>
      <c r="I43" s="103">
        <v>7.7794040108081552E-2</v>
      </c>
      <c r="J43" s="103">
        <v>-0.29684548966761942</v>
      </c>
      <c r="K43" s="103">
        <v>-0.21164487982924918</v>
      </c>
      <c r="L43" s="103">
        <v>4.8029633528850771E-2</v>
      </c>
      <c r="M43" s="104">
        <v>-0.52530619108730725</v>
      </c>
      <c r="O43" s="159">
        <f t="shared" ref="O43:O52" si="6">(B43-$B$43)/C43</f>
        <v>0</v>
      </c>
    </row>
    <row r="44" spans="1:15">
      <c r="A44" s="14" t="str">
        <f t="shared" si="5"/>
        <v>Reele VPV</v>
      </c>
      <c r="B44" s="151">
        <v>-0.05</v>
      </c>
      <c r="C44" s="152">
        <v>0.10342970304098825</v>
      </c>
      <c r="D44" s="103">
        <v>0.36356395941164671</v>
      </c>
      <c r="E44" s="103">
        <v>1</v>
      </c>
      <c r="F44" s="103">
        <v>9.5405718569428061E-2</v>
      </c>
      <c r="G44" s="103">
        <v>0.19061940988948001</v>
      </c>
      <c r="H44" s="103">
        <v>-0.11050815584965402</v>
      </c>
      <c r="I44" s="103">
        <v>9.8469115672903812E-2</v>
      </c>
      <c r="J44" s="103">
        <v>-5.9291804287521774E-2</v>
      </c>
      <c r="K44" s="103">
        <v>-0.17290430292907685</v>
      </c>
      <c r="L44" s="103">
        <v>-7.6193016480044728E-2</v>
      </c>
      <c r="M44" s="104">
        <v>-7.231060997995413E-2</v>
      </c>
      <c r="O44" s="159">
        <f t="shared" si="6"/>
        <v>0</v>
      </c>
    </row>
    <row r="45" spans="1:15">
      <c r="A45" s="14" t="str">
        <f t="shared" si="5"/>
        <v>Credits</v>
      </c>
      <c r="B45" s="151">
        <v>1.4999999999999999E-2</v>
      </c>
      <c r="C45" s="152">
        <v>0.14464718023748876</v>
      </c>
      <c r="D45" s="103">
        <v>0.19770591590777722</v>
      </c>
      <c r="E45" s="103">
        <v>9.5405718569428061E-2</v>
      </c>
      <c r="F45" s="103">
        <v>1</v>
      </c>
      <c r="G45" s="103">
        <v>0.1479964056276101</v>
      </c>
      <c r="H45" s="103">
        <v>-0.36557661407257697</v>
      </c>
      <c r="I45" s="103">
        <v>-0.17045076253006095</v>
      </c>
      <c r="J45" s="103">
        <v>-8.7743919276774857E-2</v>
      </c>
      <c r="K45" s="103">
        <v>-0.36495490011390636</v>
      </c>
      <c r="L45" s="103">
        <v>-0.35360460641933389</v>
      </c>
      <c r="M45" s="104">
        <v>-0.24298972993039863</v>
      </c>
      <c r="O45" s="159">
        <f t="shared" si="6"/>
        <v>0.44936928527248055</v>
      </c>
    </row>
    <row r="46" spans="1:15">
      <c r="A46" s="14" t="str">
        <f t="shared" si="5"/>
        <v>High Yield</v>
      </c>
      <c r="B46" s="151">
        <v>0.08</v>
      </c>
      <c r="C46" s="152">
        <v>9.6868617082165279E-2</v>
      </c>
      <c r="D46" s="103">
        <v>0.23990617585831378</v>
      </c>
      <c r="E46" s="103">
        <v>0.19061940988948001</v>
      </c>
      <c r="F46" s="103">
        <v>0.1479964056276101</v>
      </c>
      <c r="G46" s="103">
        <v>1</v>
      </c>
      <c r="H46" s="103">
        <v>0.47688188083944766</v>
      </c>
      <c r="I46" s="103">
        <v>0.51169443296997497</v>
      </c>
      <c r="J46" s="103">
        <v>0.45867964598849736</v>
      </c>
      <c r="K46" s="103">
        <v>0.27365985894328215</v>
      </c>
      <c r="L46" s="103">
        <v>-0.32590742577961268</v>
      </c>
      <c r="M46" s="104">
        <v>-9.8347371833026831E-2</v>
      </c>
      <c r="O46" s="159">
        <f t="shared" si="6"/>
        <v>1.3420239073892448</v>
      </c>
    </row>
    <row r="47" spans="1:15">
      <c r="A47" s="14" t="str">
        <f t="shared" si="5"/>
        <v>Emerging market debt</v>
      </c>
      <c r="B47" s="151">
        <v>0.05</v>
      </c>
      <c r="C47" s="152">
        <v>0.15026895203342447</v>
      </c>
      <c r="D47" s="103">
        <v>-7.3357889322124503E-2</v>
      </c>
      <c r="E47" s="103">
        <v>-0.11050815584965402</v>
      </c>
      <c r="F47" s="103">
        <v>-0.36557661407257697</v>
      </c>
      <c r="G47" s="103">
        <v>0.47688188083944766</v>
      </c>
      <c r="H47" s="103">
        <v>1</v>
      </c>
      <c r="I47" s="103">
        <v>0.37643358006730171</v>
      </c>
      <c r="J47" s="103">
        <v>0.46379705839414215</v>
      </c>
      <c r="K47" s="103">
        <v>0.81593638957185965</v>
      </c>
      <c r="L47" s="103">
        <v>0.28291144717511929</v>
      </c>
      <c r="M47" s="104">
        <v>0.56233375311892753</v>
      </c>
      <c r="O47" s="159">
        <f t="shared" si="6"/>
        <v>0.66547346372494109</v>
      </c>
    </row>
    <row r="48" spans="1:15">
      <c r="A48" s="14" t="str">
        <f t="shared" si="5"/>
        <v>Aandelen ontwikkeld</v>
      </c>
      <c r="B48" s="151">
        <v>0.2</v>
      </c>
      <c r="C48" s="152">
        <v>0.14251402915289357</v>
      </c>
      <c r="D48" s="103">
        <v>7.7794040108081552E-2</v>
      </c>
      <c r="E48" s="103">
        <v>9.8469115672903812E-2</v>
      </c>
      <c r="F48" s="103">
        <v>-0.17045076253006095</v>
      </c>
      <c r="G48" s="103">
        <v>0.51169443296997497</v>
      </c>
      <c r="H48" s="103">
        <v>0.37643358006730171</v>
      </c>
      <c r="I48" s="103">
        <v>1</v>
      </c>
      <c r="J48" s="103">
        <v>0.62822954207202264</v>
      </c>
      <c r="K48" s="103">
        <v>0.49908101780768988</v>
      </c>
      <c r="L48" s="103">
        <v>5.3578754416141378E-2</v>
      </c>
      <c r="M48" s="104">
        <v>8.3702336951742631E-2</v>
      </c>
      <c r="O48" s="159">
        <f t="shared" si="6"/>
        <v>1.7542132622732325</v>
      </c>
    </row>
    <row r="49" spans="1:15">
      <c r="A49" s="14" t="str">
        <f t="shared" si="5"/>
        <v>Aandelen opkomend</v>
      </c>
      <c r="B49" s="151">
        <v>0.25</v>
      </c>
      <c r="C49" s="152">
        <v>0.31714550492849808</v>
      </c>
      <c r="D49" s="103">
        <v>-0.29684548966761942</v>
      </c>
      <c r="E49" s="103">
        <v>-5.9291804287521774E-2</v>
      </c>
      <c r="F49" s="103">
        <v>-8.7743919276774857E-2</v>
      </c>
      <c r="G49" s="103">
        <v>0.45867964598849736</v>
      </c>
      <c r="H49" s="103">
        <v>0.46379705839414215</v>
      </c>
      <c r="I49" s="103">
        <v>0.62822954207202264</v>
      </c>
      <c r="J49" s="103">
        <v>1</v>
      </c>
      <c r="K49" s="103">
        <v>0.36516938170439023</v>
      </c>
      <c r="L49" s="103">
        <v>-0.30245086529985321</v>
      </c>
      <c r="M49" s="104">
        <v>0.35454741481854263</v>
      </c>
      <c r="O49" s="159">
        <f t="shared" si="6"/>
        <v>0.94593804842870588</v>
      </c>
    </row>
    <row r="50" spans="1:15">
      <c r="A50" s="14" t="str">
        <f t="shared" si="5"/>
        <v>Hedge funds</v>
      </c>
      <c r="B50" s="151">
        <v>0.06</v>
      </c>
      <c r="C50" s="152">
        <v>6.2837843277635516E-2</v>
      </c>
      <c r="D50" s="103">
        <v>-0.21164487982924918</v>
      </c>
      <c r="E50" s="103">
        <v>-0.17290430292907685</v>
      </c>
      <c r="F50" s="103">
        <v>-0.36495490011390636</v>
      </c>
      <c r="G50" s="103">
        <v>0.27365985894328215</v>
      </c>
      <c r="H50" s="103">
        <v>0.81593638957185965</v>
      </c>
      <c r="I50" s="103">
        <v>0.49908101780768988</v>
      </c>
      <c r="J50" s="103">
        <v>0.36516938170439023</v>
      </c>
      <c r="K50" s="103">
        <v>1</v>
      </c>
      <c r="L50" s="103">
        <v>0.56468307579523147</v>
      </c>
      <c r="M50" s="104">
        <v>0.47753191031129466</v>
      </c>
      <c r="O50" s="159">
        <f t="shared" si="6"/>
        <v>1.7505374828666322</v>
      </c>
    </row>
    <row r="51" spans="1:15">
      <c r="A51" s="14" t="str">
        <f t="shared" si="5"/>
        <v>Onroerend goed</v>
      </c>
      <c r="B51" s="151">
        <v>0.1</v>
      </c>
      <c r="C51" s="152">
        <v>4.7931229247423261E-2</v>
      </c>
      <c r="D51" s="103">
        <v>4.8029633528850771E-2</v>
      </c>
      <c r="E51" s="103">
        <v>-7.6193016480044728E-2</v>
      </c>
      <c r="F51" s="103">
        <v>-0.35360460641933389</v>
      </c>
      <c r="G51" s="103">
        <v>-0.32590742577961268</v>
      </c>
      <c r="H51" s="103">
        <v>0.28291144717511929</v>
      </c>
      <c r="I51" s="103">
        <v>5.3578754416141378E-2</v>
      </c>
      <c r="J51" s="103">
        <v>-0.30245086529985321</v>
      </c>
      <c r="K51" s="103">
        <v>0.56468307579523147</v>
      </c>
      <c r="L51" s="103">
        <v>1</v>
      </c>
      <c r="M51" s="104">
        <v>0.16211672067234237</v>
      </c>
      <c r="O51" s="159">
        <f t="shared" si="6"/>
        <v>3.1294836864227489</v>
      </c>
    </row>
    <row r="52" spans="1:15">
      <c r="A52" s="15" t="str">
        <f t="shared" si="5"/>
        <v>Commodities</v>
      </c>
      <c r="B52" s="155">
        <v>0.3</v>
      </c>
      <c r="C52" s="156">
        <v>0.2364114899348054</v>
      </c>
      <c r="D52" s="106">
        <v>-0.52530619108730725</v>
      </c>
      <c r="E52" s="106">
        <v>-7.231060997995413E-2</v>
      </c>
      <c r="F52" s="106">
        <v>-0.24298972993039863</v>
      </c>
      <c r="G52" s="106">
        <v>-9.8347371833026831E-2</v>
      </c>
      <c r="H52" s="106">
        <v>0.56233375311892753</v>
      </c>
      <c r="I52" s="106">
        <v>8.3702336951742631E-2</v>
      </c>
      <c r="J52" s="106">
        <v>0.35454741481854263</v>
      </c>
      <c r="K52" s="106">
        <v>0.47753191031129466</v>
      </c>
      <c r="L52" s="106">
        <v>0.16211672067234237</v>
      </c>
      <c r="M52" s="107">
        <v>1</v>
      </c>
      <c r="O52" s="159">
        <f t="shared" si="6"/>
        <v>1.4804694987393319</v>
      </c>
    </row>
    <row r="53" spans="1:15">
      <c r="A53" s="22"/>
      <c r="B53" s="151"/>
      <c r="C53" s="151"/>
      <c r="D53" s="103"/>
      <c r="E53" s="103"/>
      <c r="F53" s="103"/>
      <c r="G53" s="103"/>
      <c r="H53" s="103"/>
      <c r="I53" s="103"/>
      <c r="J53" s="103"/>
      <c r="K53" s="103"/>
      <c r="L53" s="103"/>
      <c r="M53" s="103"/>
    </row>
    <row r="55" spans="1:15">
      <c r="A55" s="108" t="str">
        <f>Parameters!A27</f>
        <v>Schuld deflatie</v>
      </c>
      <c r="B55" s="109" t="s">
        <v>116</v>
      </c>
      <c r="C55" s="17" t="s">
        <v>117</v>
      </c>
      <c r="D55" s="109" t="s">
        <v>118</v>
      </c>
      <c r="E55" s="109" t="s">
        <v>119</v>
      </c>
      <c r="F55" s="110" t="s">
        <v>73</v>
      </c>
      <c r="G55" s="109" t="s">
        <v>120</v>
      </c>
      <c r="H55" s="109" t="s">
        <v>0</v>
      </c>
      <c r="I55" s="109" t="s">
        <v>121</v>
      </c>
      <c r="J55" s="109" t="s">
        <v>122</v>
      </c>
      <c r="K55" s="109" t="s">
        <v>123</v>
      </c>
      <c r="L55" s="109" t="s">
        <v>1</v>
      </c>
      <c r="M55" s="8" t="s">
        <v>124</v>
      </c>
    </row>
    <row r="56" spans="1:15">
      <c r="A56" s="14" t="str">
        <f t="shared" ref="A56:A65" si="7">A43</f>
        <v>Nominale VPV</v>
      </c>
      <c r="B56" s="151">
        <v>0.1</v>
      </c>
      <c r="C56" s="152">
        <v>6.278198487999638E-2</v>
      </c>
      <c r="D56" s="103">
        <v>1</v>
      </c>
      <c r="E56" s="103">
        <v>9.9877491908342983E-2</v>
      </c>
      <c r="F56" s="103">
        <v>-0.3510021823850632</v>
      </c>
      <c r="G56" s="103">
        <v>-0.56332882643715232</v>
      </c>
      <c r="H56" s="103">
        <v>-0.30712689971531354</v>
      </c>
      <c r="I56" s="103">
        <v>-0.51444293528865737</v>
      </c>
      <c r="J56" s="103">
        <v>-0.62106428918392464</v>
      </c>
      <c r="K56" s="103">
        <v>-0.56947078770384896</v>
      </c>
      <c r="L56" s="103">
        <v>-0.31725862660871451</v>
      </c>
      <c r="M56" s="104">
        <v>-0.49058561691839803</v>
      </c>
      <c r="O56" s="159">
        <f t="shared" ref="O56:O65" si="8">(B56-$B$56)/C56</f>
        <v>0</v>
      </c>
    </row>
    <row r="57" spans="1:15">
      <c r="A57" s="14" t="str">
        <f t="shared" si="7"/>
        <v>Reele VPV</v>
      </c>
      <c r="B57" s="151">
        <v>0</v>
      </c>
      <c r="C57" s="152">
        <v>4.7617637708429375E-2</v>
      </c>
      <c r="D57" s="103">
        <v>9.9877491908342983E-2</v>
      </c>
      <c r="E57" s="103">
        <v>1</v>
      </c>
      <c r="F57" s="103">
        <v>-0.50763892868524696</v>
      </c>
      <c r="G57" s="103">
        <v>-0.38157631581869506</v>
      </c>
      <c r="H57" s="103">
        <v>-0.46484244214113157</v>
      </c>
      <c r="I57" s="103">
        <v>-0.43378053187871835</v>
      </c>
      <c r="J57" s="103">
        <v>-0.36679003495309848</v>
      </c>
      <c r="K57" s="103">
        <v>-0.45878156897895211</v>
      </c>
      <c r="L57" s="103">
        <v>-0.25453357613757527</v>
      </c>
      <c r="M57" s="104">
        <v>-0.4316186755007369</v>
      </c>
      <c r="O57" s="159">
        <f t="shared" si="8"/>
        <v>-2.1000621788992651</v>
      </c>
    </row>
    <row r="58" spans="1:15">
      <c r="A58" s="14" t="str">
        <f t="shared" si="7"/>
        <v>Credits</v>
      </c>
      <c r="B58" s="151">
        <v>0</v>
      </c>
      <c r="C58" s="152">
        <v>0.10041038567587704</v>
      </c>
      <c r="D58" s="103">
        <v>-0.3510021823850632</v>
      </c>
      <c r="E58" s="103">
        <v>-0.50763892868524696</v>
      </c>
      <c r="F58" s="103">
        <v>1</v>
      </c>
      <c r="G58" s="103">
        <v>0.83457817860033645</v>
      </c>
      <c r="H58" s="103">
        <v>0.87409116616389027</v>
      </c>
      <c r="I58" s="103">
        <v>0.88606607622819966</v>
      </c>
      <c r="J58" s="103">
        <v>0.82459036474353009</v>
      </c>
      <c r="K58" s="103">
        <v>0.89744839036297208</v>
      </c>
      <c r="L58" s="103">
        <v>0.50108032792987411</v>
      </c>
      <c r="M58" s="104">
        <v>0.89585653852424796</v>
      </c>
      <c r="O58" s="159">
        <f t="shared" si="8"/>
        <v>-0.99591291604832843</v>
      </c>
    </row>
    <row r="59" spans="1:15">
      <c r="A59" s="14" t="str">
        <f t="shared" si="7"/>
        <v>High Yield</v>
      </c>
      <c r="B59" s="151">
        <v>-0.1</v>
      </c>
      <c r="C59" s="152">
        <v>0.2218667877383276</v>
      </c>
      <c r="D59" s="103">
        <v>-0.56332882643715232</v>
      </c>
      <c r="E59" s="103">
        <v>-0.38157631581869506</v>
      </c>
      <c r="F59" s="103">
        <v>0.83457817860033645</v>
      </c>
      <c r="G59" s="103">
        <v>1</v>
      </c>
      <c r="H59" s="103">
        <v>0.92695587256775092</v>
      </c>
      <c r="I59" s="103">
        <v>0.96689549184976964</v>
      </c>
      <c r="J59" s="103">
        <v>0.98237398848218072</v>
      </c>
      <c r="K59" s="103">
        <v>0.94010403720414804</v>
      </c>
      <c r="L59" s="103">
        <v>0.33591710963927707</v>
      </c>
      <c r="M59" s="104">
        <v>0.89134689877896989</v>
      </c>
      <c r="O59" s="159">
        <f t="shared" si="8"/>
        <v>-0.90144181577948679</v>
      </c>
    </row>
    <row r="60" spans="1:15">
      <c r="A60" s="14" t="str">
        <f t="shared" si="7"/>
        <v>Emerging market debt</v>
      </c>
      <c r="B60" s="151">
        <v>-0.08</v>
      </c>
      <c r="C60" s="152">
        <v>0.12821530287470745</v>
      </c>
      <c r="D60" s="103">
        <v>-0.30712689971531354</v>
      </c>
      <c r="E60" s="103">
        <v>-0.46484244214113157</v>
      </c>
      <c r="F60" s="103">
        <v>0.87409116616389027</v>
      </c>
      <c r="G60" s="103">
        <v>0.92695587256775092</v>
      </c>
      <c r="H60" s="103">
        <v>1</v>
      </c>
      <c r="I60" s="103">
        <v>0.93245105038052445</v>
      </c>
      <c r="J60" s="103">
        <v>0.90175992585785503</v>
      </c>
      <c r="K60" s="103">
        <v>0.8874434496041671</v>
      </c>
      <c r="L60" s="103">
        <v>0.29879289715154606</v>
      </c>
      <c r="M60" s="104">
        <v>0.91686795609968563</v>
      </c>
      <c r="O60" s="159">
        <f t="shared" si="8"/>
        <v>-1.4038885840007473</v>
      </c>
    </row>
    <row r="61" spans="1:15">
      <c r="A61" s="14" t="str">
        <f t="shared" si="7"/>
        <v>Aandelen ontwikkeld</v>
      </c>
      <c r="B61" s="151">
        <v>-0.2</v>
      </c>
      <c r="C61" s="152">
        <v>0.20792869523558111</v>
      </c>
      <c r="D61" s="103">
        <v>-0.51444293528865737</v>
      </c>
      <c r="E61" s="103">
        <v>-0.43378053187871835</v>
      </c>
      <c r="F61" s="103">
        <v>0.88606607622819966</v>
      </c>
      <c r="G61" s="103">
        <v>0.96689549184976964</v>
      </c>
      <c r="H61" s="103">
        <v>0.93245105038052445</v>
      </c>
      <c r="I61" s="103">
        <v>1</v>
      </c>
      <c r="J61" s="103">
        <v>0.96934497766265126</v>
      </c>
      <c r="K61" s="103">
        <v>0.95514653766346602</v>
      </c>
      <c r="L61" s="103">
        <v>0.40131975108808021</v>
      </c>
      <c r="M61" s="104">
        <v>0.9162478906330811</v>
      </c>
      <c r="O61" s="159">
        <f t="shared" si="8"/>
        <v>-1.4428023013374998</v>
      </c>
    </row>
    <row r="62" spans="1:15">
      <c r="A62" s="14" t="str">
        <f t="shared" si="7"/>
        <v>Aandelen opkomend</v>
      </c>
      <c r="B62" s="151">
        <v>-0.22</v>
      </c>
      <c r="C62" s="152">
        <v>0.36408897808337332</v>
      </c>
      <c r="D62" s="103">
        <v>-0.62106428918392464</v>
      </c>
      <c r="E62" s="103">
        <v>-0.36679003495309848</v>
      </c>
      <c r="F62" s="103">
        <v>0.82459036474353009</v>
      </c>
      <c r="G62" s="103">
        <v>0.98237398848218072</v>
      </c>
      <c r="H62" s="103">
        <v>0.90175992585785503</v>
      </c>
      <c r="I62" s="103">
        <v>0.96934497766265126</v>
      </c>
      <c r="J62" s="103">
        <v>1</v>
      </c>
      <c r="K62" s="103">
        <v>0.94422005350754179</v>
      </c>
      <c r="L62" s="103">
        <v>0.37232862721771021</v>
      </c>
      <c r="M62" s="104">
        <v>0.88647127334626363</v>
      </c>
      <c r="O62" s="159">
        <f t="shared" si="8"/>
        <v>-0.87890603468562756</v>
      </c>
    </row>
    <row r="63" spans="1:15">
      <c r="A63" s="14" t="str">
        <f t="shared" si="7"/>
        <v>Hedge funds</v>
      </c>
      <c r="B63" s="151">
        <v>-0.12</v>
      </c>
      <c r="C63" s="152">
        <v>0.10933142096896906</v>
      </c>
      <c r="D63" s="103">
        <v>-0.56947078770384896</v>
      </c>
      <c r="E63" s="103">
        <v>-0.45878156897895211</v>
      </c>
      <c r="F63" s="103">
        <v>0.89744839036297208</v>
      </c>
      <c r="G63" s="103">
        <v>0.94010403720414804</v>
      </c>
      <c r="H63" s="103">
        <v>0.8874434496041671</v>
      </c>
      <c r="I63" s="103">
        <v>0.95514653766346602</v>
      </c>
      <c r="J63" s="103">
        <v>0.94422005350754179</v>
      </c>
      <c r="K63" s="103">
        <v>1</v>
      </c>
      <c r="L63" s="103">
        <v>0.61352650945037235</v>
      </c>
      <c r="M63" s="104">
        <v>0.88910144077657316</v>
      </c>
      <c r="O63" s="159">
        <f t="shared" si="8"/>
        <v>-2.0122303181483518</v>
      </c>
    </row>
    <row r="64" spans="1:15">
      <c r="A64" s="14" t="str">
        <f t="shared" si="7"/>
        <v>Onroerend goed</v>
      </c>
      <c r="B64" s="151">
        <v>-0.1</v>
      </c>
      <c r="C64" s="152">
        <v>2.7406396901153356E-2</v>
      </c>
      <c r="D64" s="103">
        <v>-0.31725862660871451</v>
      </c>
      <c r="E64" s="103">
        <v>-0.25453357613757527</v>
      </c>
      <c r="F64" s="103">
        <v>0.50108032792987411</v>
      </c>
      <c r="G64" s="103">
        <v>0.33591710963927707</v>
      </c>
      <c r="H64" s="103">
        <v>0.29879289715154606</v>
      </c>
      <c r="I64" s="103">
        <v>0.40131975108808021</v>
      </c>
      <c r="J64" s="103">
        <v>0.37232862721771021</v>
      </c>
      <c r="K64" s="103">
        <v>0.61352650945037235</v>
      </c>
      <c r="L64" s="103">
        <v>1</v>
      </c>
      <c r="M64" s="104">
        <v>0.33246211687806798</v>
      </c>
      <c r="O64" s="159">
        <f t="shared" si="8"/>
        <v>-7.2975663572756373</v>
      </c>
    </row>
    <row r="65" spans="1:15">
      <c r="A65" s="15" t="str">
        <f t="shared" si="7"/>
        <v>Commodities</v>
      </c>
      <c r="B65" s="155">
        <v>-0.25</v>
      </c>
      <c r="C65" s="156">
        <v>0.2040065170048318</v>
      </c>
      <c r="D65" s="106">
        <v>-0.49058561691839803</v>
      </c>
      <c r="E65" s="106">
        <v>-0.4316186755007369</v>
      </c>
      <c r="F65" s="106">
        <v>0.89585653852424796</v>
      </c>
      <c r="G65" s="106">
        <v>0.89134689877896989</v>
      </c>
      <c r="H65" s="106">
        <v>0.91686795609968563</v>
      </c>
      <c r="I65" s="106">
        <v>0.9162478906330811</v>
      </c>
      <c r="J65" s="106">
        <v>0.88647127334626363</v>
      </c>
      <c r="K65" s="106">
        <v>0.88910144077657316</v>
      </c>
      <c r="L65" s="106">
        <v>0.33246211687806798</v>
      </c>
      <c r="M65" s="107">
        <v>1</v>
      </c>
      <c r="O65" s="159">
        <f t="shared" si="8"/>
        <v>-1.7156314667717718</v>
      </c>
    </row>
  </sheetData>
  <mergeCells count="1">
    <mergeCell ref="D2:M2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 enableFormatConditionsCalculation="0">
    <tabColor indexed="15"/>
  </sheetPr>
  <dimension ref="A1:Z190"/>
  <sheetViews>
    <sheetView zoomScale="75" workbookViewId="0">
      <selection activeCell="H33" sqref="H33"/>
    </sheetView>
  </sheetViews>
  <sheetFormatPr defaultRowHeight="12.75"/>
  <cols>
    <col min="1" max="1" width="37.57031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visies'!B2</f>
        <v>Groei recessie</v>
      </c>
      <c r="C1" s="3" t="s">
        <v>129</v>
      </c>
      <c r="D1" s="25">
        <v>1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22"/>
      <c r="B5" s="165"/>
      <c r="C5" s="166"/>
      <c r="D5" s="166"/>
      <c r="E5" s="166"/>
      <c r="F5" s="166"/>
      <c r="G5" s="166"/>
      <c r="H5" s="166"/>
      <c r="I5" s="166"/>
      <c r="J5" s="166"/>
      <c r="K5" s="161"/>
      <c r="M5" s="3"/>
    </row>
    <row r="6" spans="1:25">
      <c r="A6" s="9" t="s">
        <v>145</v>
      </c>
      <c r="B6" s="162" t="s">
        <v>77</v>
      </c>
      <c r="C6" s="61" t="s">
        <v>78</v>
      </c>
      <c r="D6" s="61" t="s">
        <v>73</v>
      </c>
      <c r="E6" s="61" t="s">
        <v>4</v>
      </c>
      <c r="F6" s="61" t="s">
        <v>0</v>
      </c>
      <c r="G6" s="61" t="s">
        <v>82</v>
      </c>
      <c r="H6" s="61" t="s">
        <v>83</v>
      </c>
      <c r="I6" s="61" t="s">
        <v>5</v>
      </c>
      <c r="J6" s="61" t="s">
        <v>1</v>
      </c>
      <c r="K6" s="62" t="s">
        <v>6</v>
      </c>
      <c r="M6" s="3"/>
      <c r="X6" s="3" t="s">
        <v>146</v>
      </c>
    </row>
    <row r="7" spans="1:25">
      <c r="A7" s="168" t="s">
        <v>77</v>
      </c>
      <c r="B7" s="171">
        <v>1</v>
      </c>
      <c r="C7" s="97">
        <v>0</v>
      </c>
      <c r="D7" s="97">
        <v>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</v>
      </c>
      <c r="K7" s="104">
        <v>0</v>
      </c>
      <c r="X7" t="s">
        <v>148</v>
      </c>
      <c r="Y7">
        <v>-20</v>
      </c>
    </row>
    <row r="8" spans="1:25">
      <c r="A8" s="168" t="s">
        <v>78</v>
      </c>
      <c r="B8" s="171">
        <v>0</v>
      </c>
      <c r="C8" s="97">
        <v>1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1</v>
      </c>
      <c r="K8" s="5">
        <v>0</v>
      </c>
      <c r="X8" t="s">
        <v>149</v>
      </c>
      <c r="Y8">
        <v>-10</v>
      </c>
    </row>
    <row r="9" spans="1:25">
      <c r="A9" s="168" t="s">
        <v>73</v>
      </c>
      <c r="B9" s="171">
        <v>0</v>
      </c>
      <c r="C9" s="97">
        <v>0</v>
      </c>
      <c r="D9" s="97">
        <v>1</v>
      </c>
      <c r="E9" s="97">
        <v>0</v>
      </c>
      <c r="F9" s="97">
        <v>0</v>
      </c>
      <c r="G9" s="97">
        <v>0</v>
      </c>
      <c r="H9" s="97">
        <v>1</v>
      </c>
      <c r="I9" s="97">
        <v>0</v>
      </c>
      <c r="J9" s="97">
        <v>0</v>
      </c>
      <c r="K9" s="5">
        <v>0</v>
      </c>
      <c r="X9" t="s">
        <v>147</v>
      </c>
      <c r="Y9">
        <v>0</v>
      </c>
    </row>
    <row r="10" spans="1:25">
      <c r="A10" s="168" t="s">
        <v>4</v>
      </c>
      <c r="B10" s="171">
        <v>0</v>
      </c>
      <c r="C10" s="97">
        <v>0</v>
      </c>
      <c r="D10" s="97">
        <v>0</v>
      </c>
      <c r="E10" s="97">
        <v>1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5">
        <v>0</v>
      </c>
      <c r="X10" t="s">
        <v>151</v>
      </c>
      <c r="Y10">
        <v>10</v>
      </c>
    </row>
    <row r="11" spans="1:25">
      <c r="A11" s="168" t="s">
        <v>0</v>
      </c>
      <c r="B11" s="171">
        <v>0</v>
      </c>
      <c r="C11" s="97">
        <v>0</v>
      </c>
      <c r="D11" s="97">
        <v>0</v>
      </c>
      <c r="E11" s="97">
        <v>0</v>
      </c>
      <c r="F11" s="97">
        <v>1</v>
      </c>
      <c r="G11" s="97">
        <v>0</v>
      </c>
      <c r="H11" s="97">
        <v>0</v>
      </c>
      <c r="I11" s="97">
        <v>0</v>
      </c>
      <c r="J11" s="97">
        <v>0</v>
      </c>
      <c r="K11" s="5">
        <v>0</v>
      </c>
      <c r="X11" t="s">
        <v>152</v>
      </c>
      <c r="Y11">
        <v>20</v>
      </c>
    </row>
    <row r="12" spans="1:25">
      <c r="A12" s="168" t="s">
        <v>82</v>
      </c>
      <c r="B12" s="171">
        <v>0</v>
      </c>
      <c r="C12" s="97">
        <v>0</v>
      </c>
      <c r="D12" s="97">
        <v>0</v>
      </c>
      <c r="E12" s="97">
        <v>0</v>
      </c>
      <c r="F12" s="97">
        <v>0</v>
      </c>
      <c r="G12" s="97">
        <v>1</v>
      </c>
      <c r="H12" s="97">
        <v>0</v>
      </c>
      <c r="I12" s="97">
        <v>0</v>
      </c>
      <c r="J12" s="97">
        <v>0</v>
      </c>
      <c r="K12" s="5">
        <v>0</v>
      </c>
      <c r="X12" t="s">
        <v>150</v>
      </c>
      <c r="Y12">
        <v>-99</v>
      </c>
    </row>
    <row r="13" spans="1:25">
      <c r="A13" s="168" t="s">
        <v>83</v>
      </c>
      <c r="B13" s="171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1</v>
      </c>
      <c r="I13" s="97">
        <v>0</v>
      </c>
      <c r="J13" s="97">
        <v>0</v>
      </c>
      <c r="K13" s="5">
        <v>0</v>
      </c>
    </row>
    <row r="14" spans="1:25">
      <c r="A14" s="168" t="s">
        <v>5</v>
      </c>
      <c r="B14" s="171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1</v>
      </c>
      <c r="J14" s="97">
        <v>0</v>
      </c>
      <c r="K14" s="5">
        <v>0</v>
      </c>
    </row>
    <row r="15" spans="1:25">
      <c r="A15" s="168" t="s">
        <v>1</v>
      </c>
      <c r="B15" s="171"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1</v>
      </c>
      <c r="K15" s="5">
        <v>0</v>
      </c>
    </row>
    <row r="16" spans="1:25">
      <c r="A16" s="167" t="s">
        <v>6</v>
      </c>
      <c r="B16" s="160">
        <v>0</v>
      </c>
      <c r="C16" s="169">
        <v>0</v>
      </c>
      <c r="D16" s="169">
        <v>0</v>
      </c>
      <c r="E16" s="169">
        <v>0</v>
      </c>
      <c r="F16" s="169">
        <v>0</v>
      </c>
      <c r="G16" s="169">
        <v>0</v>
      </c>
      <c r="H16" s="169">
        <v>0</v>
      </c>
      <c r="I16" s="169">
        <v>0</v>
      </c>
      <c r="J16" s="169">
        <v>0</v>
      </c>
      <c r="K16" s="6">
        <v>1</v>
      </c>
    </row>
    <row r="18" spans="1:26">
      <c r="A18" s="2" t="s">
        <v>160</v>
      </c>
    </row>
    <row r="19" spans="1:26">
      <c r="A19" s="170"/>
      <c r="B19" s="166"/>
      <c r="C19" s="166"/>
      <c r="D19" s="166"/>
      <c r="E19" s="166"/>
      <c r="F19" s="166"/>
      <c r="G19" s="166"/>
      <c r="H19" s="166"/>
      <c r="I19" s="166"/>
      <c r="J19" s="166"/>
      <c r="K19" s="4"/>
    </row>
    <row r="20" spans="1:26">
      <c r="A20" s="167" t="s">
        <v>145</v>
      </c>
      <c r="B20" s="61" t="s">
        <v>77</v>
      </c>
      <c r="C20" s="61" t="s">
        <v>78</v>
      </c>
      <c r="D20" s="61" t="s">
        <v>73</v>
      </c>
      <c r="E20" s="61" t="s">
        <v>4</v>
      </c>
      <c r="F20" s="61" t="s">
        <v>0</v>
      </c>
      <c r="G20" s="61" t="s">
        <v>82</v>
      </c>
      <c r="H20" s="61" t="s">
        <v>83</v>
      </c>
      <c r="I20" s="61" t="s">
        <v>5</v>
      </c>
      <c r="J20" s="61" t="s">
        <v>1</v>
      </c>
      <c r="K20" s="62" t="s">
        <v>6</v>
      </c>
    </row>
    <row r="21" spans="1:26">
      <c r="A21" s="168" t="s">
        <v>77</v>
      </c>
      <c r="B21" s="97">
        <v>1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64">
        <v>0</v>
      </c>
    </row>
    <row r="22" spans="1:26">
      <c r="A22" s="168" t="s">
        <v>78</v>
      </c>
      <c r="B22" s="97">
        <v>0</v>
      </c>
      <c r="C22" s="97">
        <v>1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5">
        <v>0</v>
      </c>
    </row>
    <row r="23" spans="1:26">
      <c r="A23" s="168" t="s">
        <v>73</v>
      </c>
      <c r="B23" s="97">
        <v>0</v>
      </c>
      <c r="C23" s="97">
        <v>0</v>
      </c>
      <c r="D23" s="97">
        <v>1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5">
        <v>0</v>
      </c>
    </row>
    <row r="24" spans="1:26">
      <c r="A24" s="168" t="s">
        <v>4</v>
      </c>
      <c r="B24" s="97">
        <v>0</v>
      </c>
      <c r="C24" s="97">
        <v>0</v>
      </c>
      <c r="D24" s="97">
        <v>0</v>
      </c>
      <c r="E24" s="97">
        <v>1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5">
        <v>0</v>
      </c>
    </row>
    <row r="25" spans="1:26">
      <c r="A25" s="168" t="s">
        <v>0</v>
      </c>
      <c r="B25" s="97">
        <v>0</v>
      </c>
      <c r="C25" s="97">
        <v>0</v>
      </c>
      <c r="D25" s="97">
        <v>0</v>
      </c>
      <c r="E25" s="97">
        <v>0</v>
      </c>
      <c r="F25" s="97">
        <v>1</v>
      </c>
      <c r="G25" s="97">
        <v>0</v>
      </c>
      <c r="H25" s="97">
        <v>0</v>
      </c>
      <c r="I25" s="97">
        <v>0</v>
      </c>
      <c r="J25" s="97">
        <v>0</v>
      </c>
      <c r="K25" s="5">
        <v>0</v>
      </c>
    </row>
    <row r="26" spans="1:26">
      <c r="A26" s="168" t="s">
        <v>82</v>
      </c>
      <c r="B26" s="97">
        <v>0</v>
      </c>
      <c r="C26" s="97">
        <v>0</v>
      </c>
      <c r="D26" s="97">
        <v>0</v>
      </c>
      <c r="E26" s="97">
        <v>0</v>
      </c>
      <c r="F26" s="97">
        <v>0</v>
      </c>
      <c r="G26" s="97">
        <v>1</v>
      </c>
      <c r="H26" s="97">
        <v>0</v>
      </c>
      <c r="I26" s="97">
        <v>0</v>
      </c>
      <c r="J26" s="97">
        <v>0</v>
      </c>
      <c r="K26" s="5">
        <v>0</v>
      </c>
    </row>
    <row r="27" spans="1:26">
      <c r="A27" s="168" t="s">
        <v>83</v>
      </c>
      <c r="B27" s="97">
        <v>0</v>
      </c>
      <c r="C27" s="97">
        <v>0</v>
      </c>
      <c r="D27" s="97">
        <v>0</v>
      </c>
      <c r="E27" s="97">
        <v>0</v>
      </c>
      <c r="F27" s="97">
        <v>0</v>
      </c>
      <c r="G27" s="97">
        <v>0</v>
      </c>
      <c r="H27" s="97">
        <v>1</v>
      </c>
      <c r="I27" s="97">
        <v>0</v>
      </c>
      <c r="J27" s="97">
        <v>0</v>
      </c>
      <c r="K27" s="5">
        <v>0</v>
      </c>
    </row>
    <row r="28" spans="1:26">
      <c r="A28" s="168" t="s">
        <v>5</v>
      </c>
      <c r="B28" s="97">
        <v>0</v>
      </c>
      <c r="C28" s="97">
        <v>0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1</v>
      </c>
      <c r="J28" s="97">
        <v>0</v>
      </c>
      <c r="K28" s="5">
        <v>0</v>
      </c>
    </row>
    <row r="29" spans="1:26">
      <c r="A29" s="168" t="s">
        <v>1</v>
      </c>
      <c r="B29" s="97">
        <v>0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1</v>
      </c>
      <c r="K29" s="5">
        <v>0</v>
      </c>
    </row>
    <row r="30" spans="1:26">
      <c r="A30" s="167" t="s">
        <v>6</v>
      </c>
      <c r="B30" s="169">
        <v>0</v>
      </c>
      <c r="C30" s="169">
        <v>0</v>
      </c>
      <c r="D30" s="169">
        <v>0</v>
      </c>
      <c r="E30" s="169">
        <v>0</v>
      </c>
      <c r="F30" s="169">
        <v>0</v>
      </c>
      <c r="G30" s="169">
        <v>0</v>
      </c>
      <c r="H30" s="169">
        <v>0</v>
      </c>
      <c r="I30" s="169">
        <v>0</v>
      </c>
      <c r="J30" s="169">
        <v>0</v>
      </c>
      <c r="K30" s="6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109" t="s">
        <v>36</v>
      </c>
      <c r="C37" s="57" t="s">
        <v>162</v>
      </c>
      <c r="D37" s="196" t="s">
        <v>164</v>
      </c>
      <c r="E37" s="199" t="s">
        <v>166</v>
      </c>
      <c r="F37" s="181" t="s">
        <v>163</v>
      </c>
      <c r="I37" s="215" t="s">
        <v>168</v>
      </c>
      <c r="J37" s="21">
        <v>0</v>
      </c>
      <c r="X37" t="s">
        <v>157</v>
      </c>
      <c r="Y37">
        <v>-4</v>
      </c>
      <c r="Z37">
        <v>-2</v>
      </c>
    </row>
    <row r="38" spans="1:26" ht="13.5" thickTop="1">
      <c r="A38" s="11" t="str">
        <f>A7</f>
        <v>Nominale VPV</v>
      </c>
      <c r="B38" s="101">
        <v>0.03</v>
      </c>
      <c r="C38" s="81">
        <v>2.5000000000000001E-2</v>
      </c>
      <c r="D38" s="208">
        <v>-5.0000000000000001E-3</v>
      </c>
      <c r="E38" s="209">
        <v>-5.0000000000000001E-3</v>
      </c>
      <c r="F38" s="186" t="s">
        <v>75</v>
      </c>
      <c r="J38" s="159"/>
    </row>
    <row r="39" spans="1:26">
      <c r="A39" s="11" t="str">
        <f t="shared" ref="A39:A47" si="0">A8</f>
        <v>Reele VPV</v>
      </c>
      <c r="B39" s="101">
        <v>7.7615162118704339E-2</v>
      </c>
      <c r="C39" s="81">
        <v>3.5000000000000003E-2</v>
      </c>
      <c r="D39" s="197">
        <v>-4.2615162118704336E-2</v>
      </c>
      <c r="E39" s="203">
        <v>-4.2615162118704336E-2</v>
      </c>
      <c r="F39" s="186" t="s">
        <v>75</v>
      </c>
      <c r="I39" s="159">
        <v>-4.2615162118704336E-2</v>
      </c>
      <c r="J39" s="159">
        <f>I39/SUM($I$39:$I$47)</f>
        <v>0.20169508292378435</v>
      </c>
    </row>
    <row r="40" spans="1:26">
      <c r="A40" s="11" t="str">
        <f t="shared" si="0"/>
        <v>Credits</v>
      </c>
      <c r="B40" s="101">
        <v>0.14720298921235397</v>
      </c>
      <c r="C40" s="81">
        <v>0.08</v>
      </c>
      <c r="D40" s="197">
        <v>-6.7202989212353972E-2</v>
      </c>
      <c r="E40" s="203">
        <v>-6.7202989212353972E-2</v>
      </c>
      <c r="F40" s="186" t="s">
        <v>75</v>
      </c>
      <c r="I40" s="159">
        <v>0</v>
      </c>
      <c r="J40" s="159">
        <f t="shared" ref="J40:J47" si="1">I40/SUM($I$39:$I$47)</f>
        <v>0</v>
      </c>
    </row>
    <row r="41" spans="1:26">
      <c r="A41" s="11" t="str">
        <f t="shared" si="0"/>
        <v>High Yield</v>
      </c>
      <c r="B41" s="101">
        <v>5.6496387380050681E-2</v>
      </c>
      <c r="C41" s="81">
        <v>5.5E-2</v>
      </c>
      <c r="D41" s="197">
        <v>-1.4963873800506802E-3</v>
      </c>
      <c r="E41" s="203">
        <v>-1.4963873800506802E-3</v>
      </c>
      <c r="F41" s="186" t="s">
        <v>75</v>
      </c>
      <c r="I41" s="159">
        <v>-1.4963873800506802E-3</v>
      </c>
      <c r="J41" s="159">
        <f t="shared" si="1"/>
        <v>7.0823144087713407E-3</v>
      </c>
    </row>
    <row r="42" spans="1:26">
      <c r="A42" s="11" t="str">
        <f t="shared" si="0"/>
        <v>EMD</v>
      </c>
      <c r="B42" s="101">
        <v>5.6528262962781142E-2</v>
      </c>
      <c r="C42" s="81">
        <v>0.05</v>
      </c>
      <c r="D42" s="197">
        <v>-6.5282629627811395E-3</v>
      </c>
      <c r="E42" s="203">
        <v>-6.5282629627811395E-3</v>
      </c>
      <c r="F42" s="186" t="s">
        <v>75</v>
      </c>
      <c r="I42" s="159">
        <v>-6.5282629627811395E-3</v>
      </c>
      <c r="J42" s="159">
        <f t="shared" si="1"/>
        <v>3.0897888783309062E-2</v>
      </c>
    </row>
    <row r="43" spans="1:26">
      <c r="A43" s="11" t="str">
        <f t="shared" si="0"/>
        <v>Aandelen ontw</v>
      </c>
      <c r="B43" s="101">
        <v>6.4356314621335148E-2</v>
      </c>
      <c r="C43" s="81">
        <v>0.05</v>
      </c>
      <c r="D43" s="197">
        <v>-1.4356314621335145E-2</v>
      </c>
      <c r="E43" s="203">
        <v>-1.4356314621335145E-2</v>
      </c>
      <c r="F43" s="186" t="s">
        <v>75</v>
      </c>
      <c r="I43" s="159">
        <v>-1.4356314621335145E-2</v>
      </c>
      <c r="J43" s="159">
        <f t="shared" si="1"/>
        <v>6.794760184097047E-2</v>
      </c>
    </row>
    <row r="44" spans="1:26">
      <c r="A44" s="11" t="str">
        <f t="shared" si="0"/>
        <v>Aandelen opk</v>
      </c>
      <c r="B44" s="101">
        <v>9.1561672924114379E-2</v>
      </c>
      <c r="C44" s="81">
        <v>0.04</v>
      </c>
      <c r="D44" s="197">
        <v>-5.1561672924114378E-2</v>
      </c>
      <c r="E44" s="203">
        <v>-1.4999999999999999E-2</v>
      </c>
      <c r="F44" s="186" t="s">
        <v>75</v>
      </c>
      <c r="I44" s="159">
        <v>-5.1561672924114378E-2</v>
      </c>
      <c r="J44" s="159">
        <f t="shared" si="1"/>
        <v>0.24403839805067218</v>
      </c>
    </row>
    <row r="45" spans="1:26">
      <c r="A45" s="11" t="str">
        <f t="shared" si="0"/>
        <v>Hedge funds</v>
      </c>
      <c r="B45" s="101">
        <v>5.1135067781966595E-2</v>
      </c>
      <c r="C45" s="81">
        <v>0.06</v>
      </c>
      <c r="D45" s="197">
        <v>8.8649322180334028E-3</v>
      </c>
      <c r="E45" s="203">
        <v>-2.5000000000000001E-3</v>
      </c>
      <c r="F45" s="186" t="s">
        <v>75</v>
      </c>
      <c r="I45" s="159">
        <v>8.8649322180334028E-3</v>
      </c>
      <c r="J45" s="159">
        <f t="shared" si="1"/>
        <v>-4.1957208419141336E-2</v>
      </c>
    </row>
    <row r="46" spans="1:26">
      <c r="A46" s="11" t="str">
        <f t="shared" si="0"/>
        <v>OG</v>
      </c>
      <c r="B46" s="101">
        <v>4.7615162118704334E-2</v>
      </c>
      <c r="C46" s="81">
        <v>2.5000000000000001E-2</v>
      </c>
      <c r="D46" s="197">
        <v>-2.2615162118704332E-2</v>
      </c>
      <c r="E46" s="203">
        <v>-2.2615162118704332E-2</v>
      </c>
      <c r="F46" s="186" t="s">
        <v>75</v>
      </c>
      <c r="I46" s="159">
        <v>-2.2615162118704332E-2</v>
      </c>
      <c r="J46" s="159">
        <f t="shared" si="1"/>
        <v>0.10703624653969941</v>
      </c>
    </row>
    <row r="47" spans="1:26" ht="13.5" thickBot="1">
      <c r="A47" s="12" t="str">
        <f t="shared" si="0"/>
        <v>Commodities</v>
      </c>
      <c r="B47" s="105">
        <v>8.0977052013787992E-2</v>
      </c>
      <c r="C47" s="136">
        <v>0</v>
      </c>
      <c r="D47" s="198">
        <v>-8.0977052013787992E-2</v>
      </c>
      <c r="E47" s="219">
        <v>-7.0000000000000007E-2</v>
      </c>
      <c r="F47" s="187" t="s">
        <v>75</v>
      </c>
      <c r="I47" s="159">
        <v>-8.0977052013787992E-2</v>
      </c>
      <c r="J47" s="159">
        <f t="shared" si="1"/>
        <v>0.38325967587193455</v>
      </c>
    </row>
    <row r="48" spans="1:26" ht="13.5" thickTop="1">
      <c r="I48" s="159"/>
    </row>
    <row r="49" spans="1:11">
      <c r="A49" s="2" t="s">
        <v>158</v>
      </c>
    </row>
    <row r="50" spans="1:11">
      <c r="A50" s="170" t="s">
        <v>36</v>
      </c>
      <c r="B50" s="166"/>
      <c r="C50" s="166"/>
      <c r="D50" s="166"/>
      <c r="E50" s="166"/>
      <c r="F50" s="166"/>
      <c r="G50" s="166"/>
      <c r="H50" s="166"/>
      <c r="I50" s="166"/>
      <c r="J50" s="166"/>
      <c r="K50" s="4"/>
    </row>
    <row r="51" spans="1:11">
      <c r="A51" s="167" t="s">
        <v>145</v>
      </c>
      <c r="B51" s="61" t="str">
        <f>A52</f>
        <v>Nominale VPV</v>
      </c>
      <c r="C51" s="61" t="str">
        <f>A53</f>
        <v>Reele VPV</v>
      </c>
      <c r="D51" s="61" t="str">
        <f>A54</f>
        <v>Credits</v>
      </c>
      <c r="E51" s="61" t="str">
        <f>A55</f>
        <v>High Yield</v>
      </c>
      <c r="F51" s="61" t="str">
        <f>A56</f>
        <v>EMD</v>
      </c>
      <c r="G51" s="61" t="str">
        <f>A57</f>
        <v>Aandelen ontw</v>
      </c>
      <c r="H51" s="61" t="str">
        <f>A58</f>
        <v>Aandelen opk</v>
      </c>
      <c r="I51" s="61" t="str">
        <f>A59</f>
        <v>Hedge funds</v>
      </c>
      <c r="J51" s="61" t="str">
        <f>A60</f>
        <v>OG</v>
      </c>
      <c r="K51" s="62" t="str">
        <f>A61</f>
        <v>Commodities</v>
      </c>
    </row>
    <row r="52" spans="1:11">
      <c r="A52" s="10" t="str">
        <f>A21</f>
        <v>Nominale VPV</v>
      </c>
      <c r="B52" s="174">
        <v>9.3036505477973097E-2</v>
      </c>
      <c r="C52" s="103">
        <v>0.39310073358981634</v>
      </c>
      <c r="D52" s="103">
        <v>0.20929446791729706</v>
      </c>
      <c r="E52" s="103">
        <v>0.21633822527798038</v>
      </c>
      <c r="F52" s="103">
        <v>7.2272238989822338E-2</v>
      </c>
      <c r="G52" s="103">
        <v>8.9492370363700224E-2</v>
      </c>
      <c r="H52" s="103">
        <v>-0.17062817388407636</v>
      </c>
      <c r="I52" s="103">
        <v>-0.19012041366495921</v>
      </c>
      <c r="J52" s="103">
        <v>-4.7308632130733691E-2</v>
      </c>
      <c r="K52" s="173">
        <v>-0.45881257160059641</v>
      </c>
    </row>
    <row r="53" spans="1:11">
      <c r="A53" s="168" t="str">
        <f t="shared" ref="A53:A61" si="2">A22</f>
        <v>Reele VPV</v>
      </c>
      <c r="B53" s="103">
        <v>0.39310073358981634</v>
      </c>
      <c r="C53" s="174">
        <v>0.107113123666156</v>
      </c>
      <c r="D53" s="103">
        <v>0.15199304535500063</v>
      </c>
      <c r="E53" s="103">
        <v>0.24896674047832401</v>
      </c>
      <c r="F53" s="103">
        <v>-4.8620827985643912E-2</v>
      </c>
      <c r="G53" s="103">
        <v>0.12380923643016063</v>
      </c>
      <c r="H53" s="103">
        <v>5.6701855877734457E-2</v>
      </c>
      <c r="I53" s="103">
        <v>-0.14234647836130293</v>
      </c>
      <c r="J53" s="103">
        <v>-0.11987909632091487</v>
      </c>
      <c r="K53" s="104">
        <v>-8.7674543304863753E-2</v>
      </c>
    </row>
    <row r="54" spans="1:11">
      <c r="A54" s="168" t="str">
        <f t="shared" si="2"/>
        <v>Credits</v>
      </c>
      <c r="B54" s="103">
        <v>0.20929446791729706</v>
      </c>
      <c r="C54" s="103">
        <v>0.15199304535500063</v>
      </c>
      <c r="D54" s="174">
        <v>0.14514041524285745</v>
      </c>
      <c r="E54" s="103">
        <v>0.27817222657699892</v>
      </c>
      <c r="F54" s="103">
        <v>-3.7036476676643094E-2</v>
      </c>
      <c r="G54" s="103">
        <v>-2.0652245548069121E-2</v>
      </c>
      <c r="H54" s="103">
        <v>-4.7238096976150878E-4</v>
      </c>
      <c r="I54" s="103">
        <v>3.5291346298508892E-2</v>
      </c>
      <c r="J54" s="103">
        <v>-0.1471489633450169</v>
      </c>
      <c r="K54" s="104">
        <v>3.884979309220634E-2</v>
      </c>
    </row>
    <row r="55" spans="1:11">
      <c r="A55" s="168" t="str">
        <f t="shared" si="2"/>
        <v>High Yield</v>
      </c>
      <c r="B55" s="103">
        <v>0.21633822527798038</v>
      </c>
      <c r="C55" s="103">
        <v>0.24896674047832401</v>
      </c>
      <c r="D55" s="103">
        <v>0.27817222657699892</v>
      </c>
      <c r="E55" s="174">
        <v>0.15212518033194122</v>
      </c>
      <c r="F55" s="103">
        <v>0.54947077664382238</v>
      </c>
      <c r="G55" s="103">
        <v>0.6512857171069153</v>
      </c>
      <c r="H55" s="103">
        <v>0.66085351889108523</v>
      </c>
      <c r="I55" s="103">
        <v>0.4247516304214663</v>
      </c>
      <c r="J55" s="103">
        <v>-0.32361654199607631</v>
      </c>
      <c r="K55" s="104">
        <v>-2.2300336358685715E-3</v>
      </c>
    </row>
    <row r="56" spans="1:11">
      <c r="A56" s="168" t="str">
        <f t="shared" si="2"/>
        <v>EMD</v>
      </c>
      <c r="B56" s="103">
        <v>7.2272238989822338E-2</v>
      </c>
      <c r="C56" s="103">
        <v>-4.8620827985643912E-2</v>
      </c>
      <c r="D56" s="103">
        <v>-3.7036476676643094E-2</v>
      </c>
      <c r="E56" s="103">
        <v>0.54947077664382238</v>
      </c>
      <c r="F56" s="174">
        <v>0.13758409078549244</v>
      </c>
      <c r="G56" s="103">
        <v>0.43704301175382931</v>
      </c>
      <c r="H56" s="103">
        <v>0.47448318291761821</v>
      </c>
      <c r="I56" s="103">
        <v>0.75975680806732404</v>
      </c>
      <c r="J56" s="103">
        <v>0.22497345871183994</v>
      </c>
      <c r="K56" s="104">
        <v>0.50014707286156279</v>
      </c>
    </row>
    <row r="57" spans="1:11">
      <c r="A57" s="168" t="str">
        <f t="shared" si="2"/>
        <v>Aandelen ontw</v>
      </c>
      <c r="B57" s="103">
        <v>8.9492370363700224E-2</v>
      </c>
      <c r="C57" s="103">
        <v>0.12380923643016063</v>
      </c>
      <c r="D57" s="103">
        <v>-2.0652245548069121E-2</v>
      </c>
      <c r="E57" s="103">
        <v>0.6512857171069153</v>
      </c>
      <c r="F57" s="103">
        <v>0.43704301175382931</v>
      </c>
      <c r="G57" s="174">
        <v>0.19354582049076965</v>
      </c>
      <c r="H57" s="103">
        <v>0.75270312398485784</v>
      </c>
      <c r="I57" s="103">
        <v>0.57172393447966652</v>
      </c>
      <c r="J57" s="103">
        <v>-3.5193060592075505E-2</v>
      </c>
      <c r="K57" s="104">
        <v>0.10395609042534409</v>
      </c>
    </row>
    <row r="58" spans="1:11">
      <c r="A58" s="168" t="str">
        <f t="shared" si="2"/>
        <v>Aandelen opk</v>
      </c>
      <c r="B58" s="103">
        <v>-0.17062817388407636</v>
      </c>
      <c r="C58" s="103">
        <v>5.6701855877734457E-2</v>
      </c>
      <c r="D58" s="103">
        <v>-4.7238096976150878E-4</v>
      </c>
      <c r="E58" s="103">
        <v>0.66085351889108523</v>
      </c>
      <c r="F58" s="103">
        <v>0.47448318291761821</v>
      </c>
      <c r="G58" s="103">
        <v>0.75270312398485784</v>
      </c>
      <c r="H58" s="174">
        <v>0.34249727755342518</v>
      </c>
      <c r="I58" s="103">
        <v>0.43308445119592942</v>
      </c>
      <c r="J58" s="103">
        <v>-0.33706927145387583</v>
      </c>
      <c r="K58" s="104">
        <v>0.21126029655546014</v>
      </c>
    </row>
    <row r="59" spans="1:11">
      <c r="A59" s="168" t="str">
        <f t="shared" si="2"/>
        <v>Hedge funds</v>
      </c>
      <c r="B59" s="103">
        <v>-0.19012041366495921</v>
      </c>
      <c r="C59" s="103">
        <v>-0.14234647836130293</v>
      </c>
      <c r="D59" s="103">
        <v>3.5291346298508892E-2</v>
      </c>
      <c r="E59" s="103">
        <v>0.4247516304214663</v>
      </c>
      <c r="F59" s="103">
        <v>0.75975680806732404</v>
      </c>
      <c r="G59" s="103">
        <v>0.57172393447966652</v>
      </c>
      <c r="H59" s="103">
        <v>0.43308445119592942</v>
      </c>
      <c r="I59" s="174">
        <v>7.2522493236444635E-2</v>
      </c>
      <c r="J59" s="103">
        <v>0.53144909307162114</v>
      </c>
      <c r="K59" s="104">
        <v>0.50768184408405903</v>
      </c>
    </row>
    <row r="60" spans="1:11">
      <c r="A60" s="168" t="str">
        <f t="shared" si="2"/>
        <v>OG</v>
      </c>
      <c r="B60" s="103">
        <v>-4.7308632130733691E-2</v>
      </c>
      <c r="C60" s="103">
        <v>-0.11987909632091487</v>
      </c>
      <c r="D60" s="103">
        <v>-0.1471489633450169</v>
      </c>
      <c r="E60" s="103">
        <v>-0.32361654199607631</v>
      </c>
      <c r="F60" s="103">
        <v>0.22497345871183994</v>
      </c>
      <c r="G60" s="103">
        <v>-3.5193060592075505E-2</v>
      </c>
      <c r="H60" s="103">
        <v>-0.33706927145387583</v>
      </c>
      <c r="I60" s="103">
        <v>0.53144909307162114</v>
      </c>
      <c r="J60" s="174">
        <v>4.9766484543779667E-2</v>
      </c>
      <c r="K60" s="104">
        <v>0.24828282028996468</v>
      </c>
    </row>
    <row r="61" spans="1:11">
      <c r="A61" s="167" t="str">
        <f t="shared" si="2"/>
        <v>Commodities</v>
      </c>
      <c r="B61" s="106">
        <v>-0.45881257160059641</v>
      </c>
      <c r="C61" s="106">
        <v>-8.7674543304863753E-2</v>
      </c>
      <c r="D61" s="106">
        <v>3.884979309220634E-2</v>
      </c>
      <c r="E61" s="106">
        <v>-2.2300336358685715E-3</v>
      </c>
      <c r="F61" s="106">
        <v>0.50014707286156279</v>
      </c>
      <c r="G61" s="106">
        <v>0.10395609042534409</v>
      </c>
      <c r="H61" s="106">
        <v>0.21126029655546014</v>
      </c>
      <c r="I61" s="106">
        <v>0.50768184408405903</v>
      </c>
      <c r="J61" s="106">
        <v>0.24828282028996468</v>
      </c>
      <c r="K61" s="175">
        <v>0.25247140962754983</v>
      </c>
    </row>
    <row r="62" spans="1:11">
      <c r="A62" s="172" t="str">
        <f>B1</f>
        <v>Groei recessie</v>
      </c>
      <c r="B62" s="166"/>
      <c r="C62" s="166"/>
      <c r="D62" s="166"/>
      <c r="E62" s="166"/>
      <c r="F62" s="166"/>
      <c r="G62" s="166"/>
      <c r="H62" s="166"/>
      <c r="I62" s="166"/>
      <c r="J62" s="166"/>
      <c r="K62" s="4"/>
    </row>
    <row r="63" spans="1:11">
      <c r="A63" s="167" t="s">
        <v>145</v>
      </c>
      <c r="B63" s="61" t="str">
        <f>A64</f>
        <v>Nominale VPV</v>
      </c>
      <c r="C63" s="61" t="str">
        <f>A65</f>
        <v>Reele VPV</v>
      </c>
      <c r="D63" s="61" t="str">
        <f>A66</f>
        <v>Credits</v>
      </c>
      <c r="E63" s="61" t="str">
        <f>A67</f>
        <v>High Yield</v>
      </c>
      <c r="F63" s="61" t="str">
        <f>A68</f>
        <v>EMD</v>
      </c>
      <c r="G63" s="61" t="str">
        <f>A69</f>
        <v>Aandelen ontw</v>
      </c>
      <c r="H63" s="61" t="str">
        <f>A70</f>
        <v>Aandelen opk</v>
      </c>
      <c r="I63" s="61" t="str">
        <f>A71</f>
        <v>Hedge funds</v>
      </c>
      <c r="J63" s="61" t="str">
        <f>A72</f>
        <v>OG</v>
      </c>
      <c r="K63" s="62" t="str">
        <f>A73</f>
        <v>Commodities</v>
      </c>
    </row>
    <row r="64" spans="1:11">
      <c r="A64" s="10" t="str">
        <f>A52</f>
        <v>Nominale VPV</v>
      </c>
      <c r="B64" s="174">
        <v>8.8591242014319421E-2</v>
      </c>
      <c r="C64" s="103">
        <v>0.40184493187990666</v>
      </c>
      <c r="D64" s="103">
        <v>0.15995491314897739</v>
      </c>
      <c r="E64" s="103">
        <v>0.22929517705453259</v>
      </c>
      <c r="F64" s="103">
        <v>0.19507786729221233</v>
      </c>
      <c r="G64" s="103">
        <v>0.16837381667341061</v>
      </c>
      <c r="H64" s="103">
        <v>-0.15009143517827533</v>
      </c>
      <c r="I64" s="103">
        <v>1.594568878094979E-2</v>
      </c>
      <c r="J64" s="103">
        <v>9.2804132198836861E-2</v>
      </c>
      <c r="K64" s="173">
        <v>-0.308333008412082</v>
      </c>
    </row>
    <row r="65" spans="1:11">
      <c r="A65" s="168" t="str">
        <f t="shared" ref="A65:A73" si="3">A53</f>
        <v>Reele VPV</v>
      </c>
      <c r="B65" s="103">
        <v>0.40184493187990666</v>
      </c>
      <c r="C65" s="174">
        <v>9.4624013099432344E-2</v>
      </c>
      <c r="D65" s="103">
        <v>7.3024739776951592E-2</v>
      </c>
      <c r="E65" s="103">
        <v>0.24957100429948684</v>
      </c>
      <c r="F65" s="103">
        <v>5.6302424381776899E-2</v>
      </c>
      <c r="G65" s="103">
        <v>0.18010007650590723</v>
      </c>
      <c r="H65" s="103">
        <v>4.1123402230865011E-2</v>
      </c>
      <c r="I65" s="103">
        <v>-5.8456513256369011E-2</v>
      </c>
      <c r="J65" s="103">
        <v>-6.3554935599409113E-2</v>
      </c>
      <c r="K65" s="104">
        <v>6.4440977839142322E-2</v>
      </c>
    </row>
    <row r="66" spans="1:11">
      <c r="A66" s="168" t="str">
        <f t="shared" si="3"/>
        <v>Credits</v>
      </c>
      <c r="B66" s="103">
        <v>0.15995491314897739</v>
      </c>
      <c r="C66" s="103">
        <v>7.3024739776951592E-2</v>
      </c>
      <c r="D66" s="174">
        <v>0.14243405169975157</v>
      </c>
      <c r="E66" s="103">
        <v>0.17194053611607119</v>
      </c>
      <c r="F66" s="103">
        <v>-0.17859422647025461</v>
      </c>
      <c r="G66" s="103">
        <v>-7.1320265582970346E-2</v>
      </c>
      <c r="H66" s="103">
        <v>-1.4259094177622124E-2</v>
      </c>
      <c r="I66" s="103">
        <v>-0.1766513125413037</v>
      </c>
      <c r="J66" s="103">
        <v>-0.33668810515977632</v>
      </c>
      <c r="K66" s="104">
        <v>-9.8135968127318798E-2</v>
      </c>
    </row>
    <row r="67" spans="1:11">
      <c r="A67" s="168" t="str">
        <f t="shared" si="3"/>
        <v>High Yield</v>
      </c>
      <c r="B67" s="103">
        <v>0.22929517705453259</v>
      </c>
      <c r="C67" s="103">
        <v>0.24957100429948684</v>
      </c>
      <c r="D67" s="103">
        <v>0.17194053611607119</v>
      </c>
      <c r="E67" s="174">
        <v>0.13468309234470341</v>
      </c>
      <c r="F67" s="103">
        <v>0.54288138044111167</v>
      </c>
      <c r="G67" s="103">
        <v>0.5078087733991733</v>
      </c>
      <c r="H67" s="103">
        <v>0.5465051373612908</v>
      </c>
      <c r="I67" s="103">
        <v>0.39030841210385248</v>
      </c>
      <c r="J67" s="103">
        <v>-0.3914696516863625</v>
      </c>
      <c r="K67" s="104">
        <v>-0.17500430525050642</v>
      </c>
    </row>
    <row r="68" spans="1:11">
      <c r="A68" s="168" t="str">
        <f t="shared" si="3"/>
        <v>EMD</v>
      </c>
      <c r="B68" s="103">
        <v>0.19507786729221233</v>
      </c>
      <c r="C68" s="103">
        <v>5.6302424381776899E-2</v>
      </c>
      <c r="D68" s="103">
        <v>-0.17859422647025461</v>
      </c>
      <c r="E68" s="103">
        <v>0.54288138044111167</v>
      </c>
      <c r="F68" s="174">
        <v>0.1385692923441946</v>
      </c>
      <c r="G68" s="103">
        <v>0.3510898885613386</v>
      </c>
      <c r="H68" s="103">
        <v>0.4594817725283748</v>
      </c>
      <c r="I68" s="103">
        <v>0.77810700823304912</v>
      </c>
      <c r="J68" s="103">
        <v>0.15682167520299556</v>
      </c>
      <c r="K68" s="104">
        <v>0.35743556383193953</v>
      </c>
    </row>
    <row r="69" spans="1:11">
      <c r="A69" s="168" t="str">
        <f t="shared" si="3"/>
        <v>Aandelen ontw</v>
      </c>
      <c r="B69" s="103">
        <v>0.16837381667341061</v>
      </c>
      <c r="C69" s="103">
        <v>0.18010007650590723</v>
      </c>
      <c r="D69" s="103">
        <v>-7.1320265582970346E-2</v>
      </c>
      <c r="E69" s="103">
        <v>0.5078087733991733</v>
      </c>
      <c r="F69" s="103">
        <v>0.3510898885613386</v>
      </c>
      <c r="G69" s="174">
        <v>0.15673968020583798</v>
      </c>
      <c r="H69" s="103">
        <v>0.61858982897877646</v>
      </c>
      <c r="I69" s="103">
        <v>0.50777142759053995</v>
      </c>
      <c r="J69" s="103">
        <v>-7.8578760166313544E-2</v>
      </c>
      <c r="K69" s="104">
        <v>-4.0376254375290452E-2</v>
      </c>
    </row>
    <row r="70" spans="1:11">
      <c r="A70" s="168" t="str">
        <f t="shared" si="3"/>
        <v>Aandelen opk</v>
      </c>
      <c r="B70" s="103">
        <v>-0.15009143517827533</v>
      </c>
      <c r="C70" s="103">
        <v>4.1123402230865011E-2</v>
      </c>
      <c r="D70" s="103">
        <v>-1.4259094177622124E-2</v>
      </c>
      <c r="E70" s="103">
        <v>0.5465051373612908</v>
      </c>
      <c r="F70" s="103">
        <v>0.4594817725283748</v>
      </c>
      <c r="G70" s="103">
        <v>0.61858982897877646</v>
      </c>
      <c r="H70" s="174">
        <v>0.31847276366102961</v>
      </c>
      <c r="I70" s="103">
        <v>0.40064289085686372</v>
      </c>
      <c r="J70" s="103">
        <v>-0.37740016820046274</v>
      </c>
      <c r="K70" s="104">
        <v>8.3149177388175191E-2</v>
      </c>
    </row>
    <row r="71" spans="1:11">
      <c r="A71" s="168" t="str">
        <f t="shared" si="3"/>
        <v>Hedge funds</v>
      </c>
      <c r="B71" s="103">
        <v>1.594568878094979E-2</v>
      </c>
      <c r="C71" s="103">
        <v>-5.8456513256369011E-2</v>
      </c>
      <c r="D71" s="103">
        <v>-0.1766513125413037</v>
      </c>
      <c r="E71" s="103">
        <v>0.39030841210385248</v>
      </c>
      <c r="F71" s="103">
        <v>0.77810700823304912</v>
      </c>
      <c r="G71" s="103">
        <v>0.50777142759053995</v>
      </c>
      <c r="H71" s="103">
        <v>0.40064289085686372</v>
      </c>
      <c r="I71" s="174">
        <v>5.37595108930254E-2</v>
      </c>
      <c r="J71" s="103">
        <v>0.38529743993952209</v>
      </c>
      <c r="K71" s="104">
        <v>0.21824090572982063</v>
      </c>
    </row>
    <row r="72" spans="1:11">
      <c r="A72" s="168" t="str">
        <f t="shared" si="3"/>
        <v>OG</v>
      </c>
      <c r="B72" s="103">
        <v>9.2804132198836861E-2</v>
      </c>
      <c r="C72" s="103">
        <v>-6.3554935599409113E-2</v>
      </c>
      <c r="D72" s="103">
        <v>-0.33668810515977632</v>
      </c>
      <c r="E72" s="103">
        <v>-0.3914696516863625</v>
      </c>
      <c r="F72" s="103">
        <v>0.15682167520299556</v>
      </c>
      <c r="G72" s="103">
        <v>-7.8578760166313544E-2</v>
      </c>
      <c r="H72" s="103">
        <v>-0.37740016820046274</v>
      </c>
      <c r="I72" s="103">
        <v>0.38529743993952209</v>
      </c>
      <c r="J72" s="174">
        <v>3.967265770589553E-2</v>
      </c>
      <c r="K72" s="104">
        <v>9.7062485763145523E-2</v>
      </c>
    </row>
    <row r="73" spans="1:11">
      <c r="A73" s="167" t="str">
        <f t="shared" si="3"/>
        <v>Commodities</v>
      </c>
      <c r="B73" s="106">
        <v>-0.308333008412082</v>
      </c>
      <c r="C73" s="106">
        <v>6.4440977839142322E-2</v>
      </c>
      <c r="D73" s="106">
        <v>-9.8135968127318798E-2</v>
      </c>
      <c r="E73" s="106">
        <v>-0.17500430525050642</v>
      </c>
      <c r="F73" s="106">
        <v>0.35743556383193953</v>
      </c>
      <c r="G73" s="106">
        <v>-4.0376254375290452E-2</v>
      </c>
      <c r="H73" s="106">
        <v>8.3149177388175191E-2</v>
      </c>
      <c r="I73" s="106">
        <v>0.21824090572982063</v>
      </c>
      <c r="J73" s="106">
        <v>9.7062485763145523E-2</v>
      </c>
      <c r="K73" s="175">
        <v>0.23090107803263141</v>
      </c>
    </row>
    <row r="75" spans="1:11">
      <c r="A75" s="2"/>
    </row>
    <row r="76" spans="1:11">
      <c r="A76" s="17" t="s">
        <v>164</v>
      </c>
      <c r="B76" s="176" t="str">
        <f>A77</f>
        <v>Nominale VPV</v>
      </c>
      <c r="C76" s="176" t="str">
        <f>A78</f>
        <v>Reele VPV</v>
      </c>
      <c r="D76" s="176" t="str">
        <f>A79</f>
        <v>Credits</v>
      </c>
      <c r="E76" s="176" t="str">
        <f>A80</f>
        <v>High Yield</v>
      </c>
      <c r="F76" s="176" t="str">
        <f>A81</f>
        <v>EMD</v>
      </c>
      <c r="G76" s="176" t="str">
        <f>A82</f>
        <v>Aandelen ontw</v>
      </c>
      <c r="H76" s="176" t="str">
        <f>A83</f>
        <v>Aandelen opk</v>
      </c>
      <c r="I76" s="176" t="str">
        <f>A84</f>
        <v>Hedge funds</v>
      </c>
      <c r="J76" s="176" t="str">
        <f>A85</f>
        <v>OG</v>
      </c>
      <c r="K76" s="177" t="str">
        <f>A86</f>
        <v>Commodities</v>
      </c>
    </row>
    <row r="77" spans="1:11">
      <c r="A77" s="168" t="str">
        <f>A64</f>
        <v>Nominale VPV</v>
      </c>
      <c r="B77" s="174">
        <v>-4.4452634636536759E-3</v>
      </c>
      <c r="C77" s="103">
        <v>8.7441982900903215E-3</v>
      </c>
      <c r="D77" s="103">
        <v>-4.9339554768319666E-2</v>
      </c>
      <c r="E77" s="103">
        <v>1.2956951776552206E-2</v>
      </c>
      <c r="F77" s="103">
        <v>0.12280562830238999</v>
      </c>
      <c r="G77" s="103">
        <v>7.888144630971039E-2</v>
      </c>
      <c r="H77" s="103">
        <v>2.0536738705801028E-2</v>
      </c>
      <c r="I77" s="103">
        <v>0.20606610244590901</v>
      </c>
      <c r="J77" s="103">
        <v>0.14011276432957054</v>
      </c>
      <c r="K77" s="104">
        <v>0.15047956318851441</v>
      </c>
    </row>
    <row r="78" spans="1:11">
      <c r="A78" s="168" t="str">
        <f t="shared" ref="A78:A86" si="4">A65</f>
        <v>Reele VPV</v>
      </c>
      <c r="B78" s="103">
        <v>8.7441982900903215E-3</v>
      </c>
      <c r="C78" s="174">
        <v>-1.2489110566723652E-2</v>
      </c>
      <c r="D78" s="103">
        <v>-7.8968305578049042E-2</v>
      </c>
      <c r="E78" s="103">
        <v>6.0426382116282595E-4</v>
      </c>
      <c r="F78" s="103">
        <v>0.10492325236742081</v>
      </c>
      <c r="G78" s="103">
        <v>5.6290840075746598E-2</v>
      </c>
      <c r="H78" s="103">
        <v>-1.5578453646869446E-2</v>
      </c>
      <c r="I78" s="103">
        <v>8.388996510493392E-2</v>
      </c>
      <c r="J78" s="103">
        <v>5.6324160721505756E-2</v>
      </c>
      <c r="K78" s="104">
        <v>0.15211552114400606</v>
      </c>
    </row>
    <row r="79" spans="1:11">
      <c r="A79" s="168" t="str">
        <f t="shared" si="4"/>
        <v>Credits</v>
      </c>
      <c r="B79" s="103">
        <v>-4.9339554768319666E-2</v>
      </c>
      <c r="C79" s="103">
        <v>-7.8968305578049042E-2</v>
      </c>
      <c r="D79" s="174">
        <v>-2.706363543105883E-3</v>
      </c>
      <c r="E79" s="103">
        <v>-0.10623169046092773</v>
      </c>
      <c r="F79" s="103">
        <v>-0.14155774979361152</v>
      </c>
      <c r="G79" s="103">
        <v>-5.0668020034901229E-2</v>
      </c>
      <c r="H79" s="103">
        <v>-1.3786713207860615E-2</v>
      </c>
      <c r="I79" s="103">
        <v>-0.21194265883981259</v>
      </c>
      <c r="J79" s="103">
        <v>-0.18953914181475942</v>
      </c>
      <c r="K79" s="104">
        <v>-0.13698576121952513</v>
      </c>
    </row>
    <row r="80" spans="1:11">
      <c r="A80" s="168" t="str">
        <f t="shared" si="4"/>
        <v>High Yield</v>
      </c>
      <c r="B80" s="103">
        <v>1.2956951776552206E-2</v>
      </c>
      <c r="C80" s="103">
        <v>6.0426382116282595E-4</v>
      </c>
      <c r="D80" s="103">
        <v>-0.10623169046092773</v>
      </c>
      <c r="E80" s="174">
        <v>-1.7442087987237814E-2</v>
      </c>
      <c r="F80" s="103">
        <v>-6.5893962027107067E-3</v>
      </c>
      <c r="G80" s="103">
        <v>-0.143476943707742</v>
      </c>
      <c r="H80" s="103">
        <v>-0.11434838152979443</v>
      </c>
      <c r="I80" s="103">
        <v>-3.4443218317613822E-2</v>
      </c>
      <c r="J80" s="103">
        <v>-6.7853109690286184E-2</v>
      </c>
      <c r="K80" s="104">
        <v>-0.17277427161463785</v>
      </c>
    </row>
    <row r="81" spans="1:12">
      <c r="A81" s="168" t="str">
        <f t="shared" si="4"/>
        <v>EMD</v>
      </c>
      <c r="B81" s="103">
        <v>0.12280562830238999</v>
      </c>
      <c r="C81" s="103">
        <v>0.10492325236742081</v>
      </c>
      <c r="D81" s="103">
        <v>-0.14155774979361152</v>
      </c>
      <c r="E81" s="103">
        <v>-6.5893962027107067E-3</v>
      </c>
      <c r="F81" s="174">
        <v>9.8520155870215897E-4</v>
      </c>
      <c r="G81" s="103">
        <v>-8.595312319249071E-2</v>
      </c>
      <c r="H81" s="103">
        <v>-1.5001410389243408E-2</v>
      </c>
      <c r="I81" s="103">
        <v>1.8350200165725084E-2</v>
      </c>
      <c r="J81" s="103">
        <v>-6.8151783508844377E-2</v>
      </c>
      <c r="K81" s="104">
        <v>-0.14271150902962326</v>
      </c>
    </row>
    <row r="82" spans="1:12">
      <c r="A82" s="168" t="str">
        <f t="shared" si="4"/>
        <v>Aandelen ontw</v>
      </c>
      <c r="B82" s="103">
        <v>7.888144630971039E-2</v>
      </c>
      <c r="C82" s="103">
        <v>5.6290840075746598E-2</v>
      </c>
      <c r="D82" s="103">
        <v>-5.0668020034901229E-2</v>
      </c>
      <c r="E82" s="103">
        <v>-0.143476943707742</v>
      </c>
      <c r="F82" s="103">
        <v>-8.595312319249071E-2</v>
      </c>
      <c r="G82" s="174">
        <v>-3.6806140284931677E-2</v>
      </c>
      <c r="H82" s="103">
        <v>-0.13411329500608138</v>
      </c>
      <c r="I82" s="103">
        <v>-6.395250688912657E-2</v>
      </c>
      <c r="J82" s="103">
        <v>-4.3385699574238039E-2</v>
      </c>
      <c r="K82" s="104">
        <v>-0.14433234480063456</v>
      </c>
    </row>
    <row r="83" spans="1:12">
      <c r="A83" s="168" t="str">
        <f t="shared" si="4"/>
        <v>Aandelen opk</v>
      </c>
      <c r="B83" s="103">
        <v>2.0536738705801028E-2</v>
      </c>
      <c r="C83" s="103">
        <v>-1.5578453646869446E-2</v>
      </c>
      <c r="D83" s="103">
        <v>-1.3786713207860615E-2</v>
      </c>
      <c r="E83" s="103">
        <v>-0.11434838152979443</v>
      </c>
      <c r="F83" s="103">
        <v>-1.5001410389243408E-2</v>
      </c>
      <c r="G83" s="103">
        <v>-0.13411329500608138</v>
      </c>
      <c r="H83" s="174">
        <v>-2.4024513892395571E-2</v>
      </c>
      <c r="I83" s="103">
        <v>-3.24415603390657E-2</v>
      </c>
      <c r="J83" s="103">
        <v>-4.0330896746586908E-2</v>
      </c>
      <c r="K83" s="104">
        <v>-0.12811111916728496</v>
      </c>
    </row>
    <row r="84" spans="1:12">
      <c r="A84" s="168" t="str">
        <f t="shared" si="4"/>
        <v>Hedge funds</v>
      </c>
      <c r="B84" s="103">
        <v>0.20606610244590901</v>
      </c>
      <c r="C84" s="103">
        <v>8.388996510493392E-2</v>
      </c>
      <c r="D84" s="103">
        <v>-0.21194265883981259</v>
      </c>
      <c r="E84" s="103">
        <v>-3.4443218317613822E-2</v>
      </c>
      <c r="F84" s="103">
        <v>1.8350200165725084E-2</v>
      </c>
      <c r="G84" s="103">
        <v>-6.395250688912657E-2</v>
      </c>
      <c r="H84" s="103">
        <v>-3.24415603390657E-2</v>
      </c>
      <c r="I84" s="194">
        <v>-1.8762982343419235E-2</v>
      </c>
      <c r="J84" s="103">
        <v>-0.14615165313209905</v>
      </c>
      <c r="K84" s="104">
        <v>-0.2894409383542384</v>
      </c>
    </row>
    <row r="85" spans="1:12">
      <c r="A85" s="168" t="str">
        <f t="shared" si="4"/>
        <v>OG</v>
      </c>
      <c r="B85" s="103">
        <v>0.14011276432957054</v>
      </c>
      <c r="C85" s="103">
        <v>5.6324160721505756E-2</v>
      </c>
      <c r="D85" s="103">
        <v>-0.18953914181475942</v>
      </c>
      <c r="E85" s="103">
        <v>-6.7853109690286184E-2</v>
      </c>
      <c r="F85" s="103">
        <v>-6.8151783508844377E-2</v>
      </c>
      <c r="G85" s="103">
        <v>-4.3385699574238039E-2</v>
      </c>
      <c r="H85" s="103">
        <v>-4.0330896746586908E-2</v>
      </c>
      <c r="I85" s="103">
        <v>-0.14615165313209905</v>
      </c>
      <c r="J85" s="194">
        <v>-1.0093826837884137E-2</v>
      </c>
      <c r="K85" s="104">
        <v>-0.15122033452681916</v>
      </c>
    </row>
    <row r="86" spans="1:12" ht="13.5" thickBot="1">
      <c r="A86" s="204" t="str">
        <f t="shared" si="4"/>
        <v>Commodities</v>
      </c>
      <c r="B86" s="185">
        <v>0.15047956318851441</v>
      </c>
      <c r="C86" s="185">
        <v>0.15211552114400606</v>
      </c>
      <c r="D86" s="185">
        <v>-0.13698576121952513</v>
      </c>
      <c r="E86" s="185">
        <v>-0.17277427161463785</v>
      </c>
      <c r="F86" s="185">
        <v>-0.14271150902962326</v>
      </c>
      <c r="G86" s="185">
        <v>-0.14433234480063456</v>
      </c>
      <c r="H86" s="185">
        <v>-0.12811111916728496</v>
      </c>
      <c r="I86" s="185">
        <v>-0.2894409383542384</v>
      </c>
      <c r="J86" s="185">
        <v>-0.15122033452681916</v>
      </c>
      <c r="K86" s="205">
        <v>-2.1570331594918418E-2</v>
      </c>
    </row>
    <row r="87" spans="1:12" ht="14.25" thickTop="1" thickBot="1">
      <c r="A87" s="181" t="s">
        <v>166</v>
      </c>
      <c r="B87" s="182" t="str">
        <f>A88</f>
        <v>Nominale VPV</v>
      </c>
      <c r="C87" s="182" t="str">
        <f>A89</f>
        <v>Reele VPV</v>
      </c>
      <c r="D87" s="182" t="str">
        <f>A90</f>
        <v>Credits</v>
      </c>
      <c r="E87" s="182" t="str">
        <f>A91</f>
        <v>High Yield</v>
      </c>
      <c r="F87" s="182" t="str">
        <f>A92</f>
        <v>EMD</v>
      </c>
      <c r="G87" s="182" t="str">
        <f>A93</f>
        <v>Aandelen ontw</v>
      </c>
      <c r="H87" s="182" t="str">
        <f>A94</f>
        <v>Aandelen opk</v>
      </c>
      <c r="I87" s="182" t="str">
        <f>A95</f>
        <v>Hedge funds</v>
      </c>
      <c r="J87" s="182" t="str">
        <f>A96</f>
        <v>OG</v>
      </c>
      <c r="K87" s="183" t="str">
        <f>A97</f>
        <v>Commodities</v>
      </c>
    </row>
    <row r="88" spans="1:12" ht="13.5" thickTop="1">
      <c r="A88" s="179" t="str">
        <f>A77</f>
        <v>Nominale VPV</v>
      </c>
      <c r="B88" s="174">
        <v>-4.4452634636536759E-3</v>
      </c>
      <c r="C88" s="103">
        <v>8.7441982900903215E-3</v>
      </c>
      <c r="D88" s="103">
        <v>-4.9339554768319666E-2</v>
      </c>
      <c r="E88" s="103">
        <v>1.2956951776552206E-2</v>
      </c>
      <c r="F88" s="103">
        <v>0.12280562830238999</v>
      </c>
      <c r="G88" s="103">
        <v>7.888144630971039E-2</v>
      </c>
      <c r="H88" s="103">
        <v>2.0536738705801028E-2</v>
      </c>
      <c r="I88" s="103">
        <v>0.20606610244590901</v>
      </c>
      <c r="J88" s="103">
        <v>0.14011276432957054</v>
      </c>
      <c r="K88" s="193">
        <v>0.15047956318851441</v>
      </c>
      <c r="L88" t="s">
        <v>167</v>
      </c>
    </row>
    <row r="89" spans="1:12">
      <c r="A89" s="179" t="str">
        <f t="shared" ref="A89:A97" si="5">A78</f>
        <v>Reele VPV</v>
      </c>
      <c r="B89" s="103">
        <v>8.7441982900903215E-3</v>
      </c>
      <c r="C89" s="174">
        <v>-1.2489110566723652E-2</v>
      </c>
      <c r="D89" s="103">
        <v>-7.8968305578049042E-2</v>
      </c>
      <c r="E89" s="103">
        <v>6.0426382116282595E-4</v>
      </c>
      <c r="F89" s="103">
        <v>0.10492325236742081</v>
      </c>
      <c r="G89" s="103">
        <v>5.6290840075746598E-2</v>
      </c>
      <c r="H89" s="103">
        <v>-1.5578453646869446E-2</v>
      </c>
      <c r="I89" s="103">
        <v>8.388996510493392E-2</v>
      </c>
      <c r="J89" s="103">
        <v>5.6324160721505756E-2</v>
      </c>
      <c r="K89" s="184">
        <v>0.15211552114400606</v>
      </c>
    </row>
    <row r="90" spans="1:12">
      <c r="A90" s="179" t="str">
        <f t="shared" si="5"/>
        <v>Credits</v>
      </c>
      <c r="B90" s="103">
        <v>-4.9339554768319666E-2</v>
      </c>
      <c r="C90" s="103">
        <v>-7.8968305578049042E-2</v>
      </c>
      <c r="D90" s="174">
        <v>-2.706363543105883E-3</v>
      </c>
      <c r="E90" s="103">
        <v>-0.10623169046092773</v>
      </c>
      <c r="F90" s="103">
        <v>-0.14155774979361152</v>
      </c>
      <c r="G90" s="103">
        <v>-5.0668020034901229E-2</v>
      </c>
      <c r="H90" s="103">
        <v>-1.3786713207860615E-2</v>
      </c>
      <c r="I90" s="103">
        <v>-0.21194265883981259</v>
      </c>
      <c r="J90" s="103">
        <v>-0.18953914181475942</v>
      </c>
      <c r="K90" s="184">
        <v>-0.13698576121952513</v>
      </c>
    </row>
    <row r="91" spans="1:12">
      <c r="A91" s="179" t="str">
        <f t="shared" si="5"/>
        <v>High Yield</v>
      </c>
      <c r="B91" s="103">
        <v>1.2956951776552206E-2</v>
      </c>
      <c r="C91" s="103">
        <v>6.0426382116282595E-4</v>
      </c>
      <c r="D91" s="103">
        <v>-0.10623169046092773</v>
      </c>
      <c r="E91" s="174">
        <v>-1.7442087987237814E-2</v>
      </c>
      <c r="F91" s="103">
        <v>-6.5893962027107067E-3</v>
      </c>
      <c r="G91" s="103">
        <v>-0.143476943707742</v>
      </c>
      <c r="H91" s="103">
        <v>-0.11434838152979443</v>
      </c>
      <c r="I91" s="103">
        <v>-3.4443218317613822E-2</v>
      </c>
      <c r="J91" s="103">
        <v>-6.7853109690286184E-2</v>
      </c>
      <c r="K91" s="184">
        <v>-0.17277427161463785</v>
      </c>
    </row>
    <row r="92" spans="1:12">
      <c r="A92" s="179" t="str">
        <f t="shared" si="5"/>
        <v>EMD</v>
      </c>
      <c r="B92" s="103">
        <v>0.12280562830238999</v>
      </c>
      <c r="C92" s="103">
        <v>0.10492325236742081</v>
      </c>
      <c r="D92" s="103">
        <v>-0.14155774979361152</v>
      </c>
      <c r="E92" s="103">
        <v>-6.5893962027107067E-3</v>
      </c>
      <c r="F92" s="174">
        <v>9.8520155870215897E-4</v>
      </c>
      <c r="G92" s="103">
        <v>-8.595312319249071E-2</v>
      </c>
      <c r="H92" s="103">
        <v>-1.5001410389243408E-2</v>
      </c>
      <c r="I92" s="103">
        <v>1.8350200165725084E-2</v>
      </c>
      <c r="J92" s="103">
        <v>-6.8151783508844377E-2</v>
      </c>
      <c r="K92" s="184">
        <v>-0.14271150902962326</v>
      </c>
    </row>
    <row r="93" spans="1:12">
      <c r="A93" s="179" t="str">
        <f t="shared" si="5"/>
        <v>Aandelen ontw</v>
      </c>
      <c r="B93" s="103">
        <v>7.888144630971039E-2</v>
      </c>
      <c r="C93" s="103">
        <v>5.6290840075746598E-2</v>
      </c>
      <c r="D93" s="103">
        <v>-5.0668020034901229E-2</v>
      </c>
      <c r="E93" s="103">
        <v>-0.143476943707742</v>
      </c>
      <c r="F93" s="103">
        <v>-8.595312319249071E-2</v>
      </c>
      <c r="G93" s="174">
        <v>-3.6806140284931677E-2</v>
      </c>
      <c r="H93" s="103">
        <v>-0.13411329500608138</v>
      </c>
      <c r="I93" s="103">
        <v>-6.395250688912657E-2</v>
      </c>
      <c r="J93" s="103">
        <v>-4.3385699574238039E-2</v>
      </c>
      <c r="K93" s="184">
        <v>-0.14433234480063456</v>
      </c>
    </row>
    <row r="94" spans="1:12">
      <c r="A94" s="179" t="str">
        <f t="shared" si="5"/>
        <v>Aandelen opk</v>
      </c>
      <c r="B94" s="103">
        <v>2.0536738705801028E-2</v>
      </c>
      <c r="C94" s="103">
        <v>-1.5578453646869446E-2</v>
      </c>
      <c r="D94" s="103">
        <v>-1.3786713207860615E-2</v>
      </c>
      <c r="E94" s="103">
        <v>-0.11434838152979443</v>
      </c>
      <c r="F94" s="103">
        <v>-1.5001410389243408E-2</v>
      </c>
      <c r="G94" s="103">
        <v>-0.13411329500608138</v>
      </c>
      <c r="H94" s="174">
        <v>-0.05</v>
      </c>
      <c r="I94" s="103">
        <v>-3.24415603390657E-2</v>
      </c>
      <c r="J94" s="103">
        <v>-4.0330896746586908E-2</v>
      </c>
      <c r="K94" s="184">
        <v>-0.12811111916728496</v>
      </c>
    </row>
    <row r="95" spans="1:12">
      <c r="A95" s="179" t="str">
        <f t="shared" si="5"/>
        <v>Hedge funds</v>
      </c>
      <c r="B95" s="103">
        <v>0.20606610244590901</v>
      </c>
      <c r="C95" s="103">
        <v>8.388996510493392E-2</v>
      </c>
      <c r="D95" s="103">
        <v>-0.21194265883981259</v>
      </c>
      <c r="E95" s="103">
        <v>-3.4443218317613822E-2</v>
      </c>
      <c r="F95" s="103">
        <v>1.8350200165725084E-2</v>
      </c>
      <c r="G95" s="103">
        <v>-6.395250688912657E-2</v>
      </c>
      <c r="H95" s="103">
        <v>-3.24415603390657E-2</v>
      </c>
      <c r="I95" s="194">
        <v>0.05</v>
      </c>
      <c r="J95" s="103">
        <v>-0.14615165313209905</v>
      </c>
      <c r="K95" s="184">
        <v>-0.2894409383542384</v>
      </c>
    </row>
    <row r="96" spans="1:12">
      <c r="A96" s="179" t="str">
        <f t="shared" si="5"/>
        <v>OG</v>
      </c>
      <c r="B96" s="103">
        <v>0.14011276432957054</v>
      </c>
      <c r="C96" s="103">
        <v>5.6324160721505756E-2</v>
      </c>
      <c r="D96" s="103">
        <v>-0.18953914181475942</v>
      </c>
      <c r="E96" s="103">
        <v>-6.7853109690286184E-2</v>
      </c>
      <c r="F96" s="103">
        <v>-6.8151783508844377E-2</v>
      </c>
      <c r="G96" s="103">
        <v>-4.3385699574238039E-2</v>
      </c>
      <c r="H96" s="103">
        <v>-4.0330896746586908E-2</v>
      </c>
      <c r="I96" s="103">
        <v>-0.14615165313209905</v>
      </c>
      <c r="J96" s="194">
        <v>-1.0093826837884137E-2</v>
      </c>
      <c r="K96" s="184">
        <v>-0.15122033452681916</v>
      </c>
    </row>
    <row r="97" spans="1:11" ht="13.5" thickBot="1">
      <c r="A97" s="179" t="str">
        <f t="shared" si="5"/>
        <v>Commodities</v>
      </c>
      <c r="B97" s="185">
        <v>0.15047956318851441</v>
      </c>
      <c r="C97" s="185">
        <v>0.15211552114400606</v>
      </c>
      <c r="D97" s="185">
        <v>-0.13698576121952513</v>
      </c>
      <c r="E97" s="185">
        <v>-0.17277427161463785</v>
      </c>
      <c r="F97" s="185">
        <v>-0.14271150902962326</v>
      </c>
      <c r="G97" s="185">
        <v>-0.14433234480063456</v>
      </c>
      <c r="H97" s="185">
        <v>-0.12811111916728496</v>
      </c>
      <c r="I97" s="185">
        <v>-0.2894409383542384</v>
      </c>
      <c r="J97" s="185">
        <v>-0.15122033452681916</v>
      </c>
      <c r="K97" s="195">
        <v>-2.1570331594918418E-2</v>
      </c>
    </row>
    <row r="98" spans="1:11" ht="14.25" thickTop="1" thickBot="1">
      <c r="A98" s="181" t="s">
        <v>165</v>
      </c>
      <c r="B98" s="190" t="str">
        <f>A99</f>
        <v>Nominale VPV</v>
      </c>
      <c r="C98" s="190" t="str">
        <f>A100</f>
        <v>Reele VPV</v>
      </c>
      <c r="D98" s="190" t="str">
        <f>A101</f>
        <v>Credits</v>
      </c>
      <c r="E98" s="190" t="str">
        <f>A102</f>
        <v>High Yield</v>
      </c>
      <c r="F98" s="190" t="str">
        <f>A103</f>
        <v>EMD</v>
      </c>
      <c r="G98" s="190" t="str">
        <f>A104</f>
        <v>Aandelen ontw</v>
      </c>
      <c r="H98" s="190" t="str">
        <f>A105</f>
        <v>Aandelen opk</v>
      </c>
      <c r="I98" s="190" t="str">
        <f>A106</f>
        <v>Hedge funds</v>
      </c>
      <c r="J98" s="190" t="str">
        <f>A107</f>
        <v>OG</v>
      </c>
      <c r="K98" s="191" t="str">
        <f>A108</f>
        <v>Commodities</v>
      </c>
    </row>
    <row r="99" spans="1:11" ht="13.5" thickTop="1">
      <c r="A99" s="178" t="str">
        <f t="shared" ref="A99:A108" si="6">A77</f>
        <v>Nominale VPV</v>
      </c>
      <c r="B99" s="200" t="s">
        <v>75</v>
      </c>
      <c r="C99" s="206" t="str">
        <f>B100</f>
        <v>Ja</v>
      </c>
      <c r="D99" s="206" t="str">
        <f>B101</f>
        <v>Ja</v>
      </c>
      <c r="E99" s="206" t="str">
        <f>B102</f>
        <v>Ja</v>
      </c>
      <c r="F99" s="206" t="str">
        <f>B103</f>
        <v>Ja</v>
      </c>
      <c r="G99" s="206" t="s">
        <v>75</v>
      </c>
      <c r="H99" s="206" t="s">
        <v>75</v>
      </c>
      <c r="I99" s="206" t="s">
        <v>75</v>
      </c>
      <c r="J99" s="206" t="s">
        <v>75</v>
      </c>
      <c r="K99" s="206" t="s">
        <v>75</v>
      </c>
    </row>
    <row r="100" spans="1:11">
      <c r="A100" s="179" t="str">
        <f t="shared" si="6"/>
        <v>Reele VPV</v>
      </c>
      <c r="B100" s="188" t="s">
        <v>75</v>
      </c>
      <c r="C100" s="201" t="s">
        <v>75</v>
      </c>
      <c r="D100" s="207" t="s">
        <v>75</v>
      </c>
      <c r="E100" s="207" t="s">
        <v>75</v>
      </c>
      <c r="F100" s="207" t="s">
        <v>75</v>
      </c>
      <c r="G100" s="207" t="s">
        <v>75</v>
      </c>
      <c r="H100" s="207" t="s">
        <v>75</v>
      </c>
      <c r="I100" s="207" t="s">
        <v>75</v>
      </c>
      <c r="J100" s="207" t="s">
        <v>75</v>
      </c>
      <c r="K100" s="207" t="s">
        <v>75</v>
      </c>
    </row>
    <row r="101" spans="1:11">
      <c r="A101" s="179" t="str">
        <f t="shared" si="6"/>
        <v>Credits</v>
      </c>
      <c r="B101" s="188" t="s">
        <v>75</v>
      </c>
      <c r="C101" s="97" t="s">
        <v>75</v>
      </c>
      <c r="D101" s="201" t="s">
        <v>75</v>
      </c>
      <c r="E101" s="207" t="s">
        <v>75</v>
      </c>
      <c r="F101" s="207" t="s">
        <v>75</v>
      </c>
      <c r="G101" s="207" t="s">
        <v>75</v>
      </c>
      <c r="H101" s="207" t="s">
        <v>75</v>
      </c>
      <c r="I101" s="207" t="s">
        <v>75</v>
      </c>
      <c r="J101" s="207" t="s">
        <v>75</v>
      </c>
      <c r="K101" s="207" t="s">
        <v>75</v>
      </c>
    </row>
    <row r="102" spans="1:11">
      <c r="A102" s="179" t="str">
        <f t="shared" si="6"/>
        <v>High Yield</v>
      </c>
      <c r="B102" s="188" t="s">
        <v>75</v>
      </c>
      <c r="C102" s="97" t="s">
        <v>75</v>
      </c>
      <c r="D102" s="97" t="s">
        <v>75</v>
      </c>
      <c r="E102" s="201" t="s">
        <v>75</v>
      </c>
      <c r="F102" s="207" t="s">
        <v>75</v>
      </c>
      <c r="G102" s="207" t="s">
        <v>75</v>
      </c>
      <c r="H102" s="207" t="s">
        <v>75</v>
      </c>
      <c r="I102" s="207" t="s">
        <v>75</v>
      </c>
      <c r="J102" s="207" t="s">
        <v>75</v>
      </c>
      <c r="K102" s="207" t="s">
        <v>75</v>
      </c>
    </row>
    <row r="103" spans="1:11">
      <c r="A103" s="179" t="str">
        <f t="shared" si="6"/>
        <v>EMD</v>
      </c>
      <c r="B103" s="188" t="s">
        <v>75</v>
      </c>
      <c r="C103" s="97" t="s">
        <v>75</v>
      </c>
      <c r="D103" s="97" t="s">
        <v>75</v>
      </c>
      <c r="E103" s="97" t="s">
        <v>75</v>
      </c>
      <c r="F103" s="201" t="s">
        <v>75</v>
      </c>
      <c r="G103" s="207" t="s">
        <v>75</v>
      </c>
      <c r="H103" s="207" t="s">
        <v>75</v>
      </c>
      <c r="I103" s="207" t="s">
        <v>75</v>
      </c>
      <c r="J103" s="207" t="s">
        <v>75</v>
      </c>
      <c r="K103" s="207" t="s">
        <v>75</v>
      </c>
    </row>
    <row r="104" spans="1:11">
      <c r="A104" s="179" t="str">
        <f t="shared" si="6"/>
        <v>Aandelen ontw</v>
      </c>
      <c r="B104" s="188" t="s">
        <v>75</v>
      </c>
      <c r="C104" s="97" t="s">
        <v>75</v>
      </c>
      <c r="D104" s="97" t="s">
        <v>75</v>
      </c>
      <c r="E104" s="97" t="s">
        <v>75</v>
      </c>
      <c r="F104" s="97" t="s">
        <v>75</v>
      </c>
      <c r="G104" s="201" t="s">
        <v>75</v>
      </c>
      <c r="H104" s="207" t="s">
        <v>75</v>
      </c>
      <c r="I104" s="207" t="s">
        <v>75</v>
      </c>
      <c r="J104" s="207" t="s">
        <v>75</v>
      </c>
      <c r="K104" s="207" t="s">
        <v>75</v>
      </c>
    </row>
    <row r="105" spans="1:11">
      <c r="A105" s="179" t="str">
        <f t="shared" si="6"/>
        <v>Aandelen opk</v>
      </c>
      <c r="B105" s="188" t="s">
        <v>75</v>
      </c>
      <c r="C105" s="97" t="s">
        <v>75</v>
      </c>
      <c r="D105" s="97" t="s">
        <v>75</v>
      </c>
      <c r="E105" s="97" t="s">
        <v>75</v>
      </c>
      <c r="F105" s="97" t="s">
        <v>75</v>
      </c>
      <c r="G105" s="97" t="s">
        <v>75</v>
      </c>
      <c r="H105" s="201" t="s">
        <v>75</v>
      </c>
      <c r="I105" s="207" t="s">
        <v>75</v>
      </c>
      <c r="J105" s="207" t="s">
        <v>75</v>
      </c>
      <c r="K105" s="207" t="s">
        <v>75</v>
      </c>
    </row>
    <row r="106" spans="1:11">
      <c r="A106" s="179" t="str">
        <f t="shared" si="6"/>
        <v>Hedge funds</v>
      </c>
      <c r="B106" s="188" t="s">
        <v>75</v>
      </c>
      <c r="C106" s="97" t="s">
        <v>75</v>
      </c>
      <c r="D106" s="97" t="s">
        <v>75</v>
      </c>
      <c r="E106" s="97" t="s">
        <v>75</v>
      </c>
      <c r="F106" s="97" t="s">
        <v>75</v>
      </c>
      <c r="G106" s="97" t="s">
        <v>75</v>
      </c>
      <c r="H106" s="97" t="s">
        <v>75</v>
      </c>
      <c r="I106" s="201" t="s">
        <v>75</v>
      </c>
      <c r="J106" s="207" t="s">
        <v>75</v>
      </c>
      <c r="K106" s="207" t="s">
        <v>75</v>
      </c>
    </row>
    <row r="107" spans="1:11">
      <c r="A107" s="179" t="str">
        <f t="shared" si="6"/>
        <v>OG</v>
      </c>
      <c r="B107" s="188" t="s">
        <v>75</v>
      </c>
      <c r="C107" s="97" t="s">
        <v>75</v>
      </c>
      <c r="D107" s="97" t="s">
        <v>75</v>
      </c>
      <c r="E107" s="97" t="s">
        <v>75</v>
      </c>
      <c r="F107" s="97" t="s">
        <v>75</v>
      </c>
      <c r="G107" s="97" t="s">
        <v>75</v>
      </c>
      <c r="H107" s="97" t="s">
        <v>75</v>
      </c>
      <c r="I107" s="97" t="s">
        <v>75</v>
      </c>
      <c r="J107" s="201" t="s">
        <v>75</v>
      </c>
      <c r="K107" s="207" t="s">
        <v>75</v>
      </c>
    </row>
    <row r="108" spans="1:11" ht="13.5" thickBot="1">
      <c r="A108" s="180" t="str">
        <f t="shared" si="6"/>
        <v>Commodities</v>
      </c>
      <c r="B108" s="189" t="s">
        <v>75</v>
      </c>
      <c r="C108" s="192" t="s">
        <v>75</v>
      </c>
      <c r="D108" s="192" t="s">
        <v>75</v>
      </c>
      <c r="E108" s="192" t="s">
        <v>75</v>
      </c>
      <c r="F108" s="192" t="s">
        <v>75</v>
      </c>
      <c r="G108" s="192" t="s">
        <v>75</v>
      </c>
      <c r="H108" s="192" t="s">
        <v>75</v>
      </c>
      <c r="I108" s="192" t="s">
        <v>75</v>
      </c>
      <c r="J108" s="192" t="s">
        <v>75</v>
      </c>
      <c r="K108" s="202" t="s">
        <v>75</v>
      </c>
    </row>
    <row r="109" spans="1:11" ht="13.5" thickTop="1"/>
    <row r="115" spans="1:2">
      <c r="A115" s="2" t="s">
        <v>170</v>
      </c>
    </row>
    <row r="116" spans="1:2">
      <c r="A116" s="76" t="s">
        <v>161</v>
      </c>
      <c r="B116" s="7" t="s">
        <v>171</v>
      </c>
    </row>
    <row r="117" spans="1:2">
      <c r="A117" s="221" t="str">
        <f>A38</f>
        <v>Nominale VPV</v>
      </c>
      <c r="B117" s="16">
        <v>-5.0000000000000001E-3</v>
      </c>
    </row>
    <row r="118" spans="1:2">
      <c r="A118" s="221" t="str">
        <f t="shared" ref="A118:A126" si="7">A39</f>
        <v>Reele VPV</v>
      </c>
      <c r="B118" s="16">
        <v>-4.2615162118704336E-2</v>
      </c>
    </row>
    <row r="119" spans="1:2">
      <c r="A119" s="221" t="str">
        <f t="shared" si="7"/>
        <v>Credits</v>
      </c>
      <c r="B119" s="16">
        <v>-6.7202989212353972E-2</v>
      </c>
    </row>
    <row r="120" spans="1:2">
      <c r="A120" s="221" t="str">
        <f t="shared" si="7"/>
        <v>High Yield</v>
      </c>
      <c r="B120" s="16">
        <v>-1.4963873800506802E-3</v>
      </c>
    </row>
    <row r="121" spans="1:2">
      <c r="A121" s="221" t="str">
        <f t="shared" si="7"/>
        <v>EMD</v>
      </c>
      <c r="B121" s="16">
        <v>-6.5282629627811395E-3</v>
      </c>
    </row>
    <row r="122" spans="1:2">
      <c r="A122" s="221" t="str">
        <f t="shared" si="7"/>
        <v>Aandelen ontw</v>
      </c>
      <c r="B122" s="16">
        <v>-1.4356314621335145E-2</v>
      </c>
    </row>
    <row r="123" spans="1:2">
      <c r="A123" s="221" t="str">
        <f t="shared" si="7"/>
        <v>Aandelen opk</v>
      </c>
      <c r="B123" s="16">
        <v>-0.03</v>
      </c>
    </row>
    <row r="124" spans="1:2">
      <c r="A124" s="221" t="str">
        <f t="shared" si="7"/>
        <v>Hedge funds</v>
      </c>
      <c r="B124" s="16">
        <v>0</v>
      </c>
    </row>
    <row r="125" spans="1:2">
      <c r="A125" s="221" t="str">
        <f t="shared" si="7"/>
        <v>OG</v>
      </c>
      <c r="B125" s="16">
        <v>-2.2615162118704332E-2</v>
      </c>
    </row>
    <row r="126" spans="1:2">
      <c r="A126" s="70" t="str">
        <f t="shared" si="7"/>
        <v>Commodities</v>
      </c>
      <c r="B126" s="10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76" t="str">
        <f>A130</f>
        <v>Nominale VPV</v>
      </c>
      <c r="C129" s="176" t="str">
        <f>A131</f>
        <v>Reele VPV</v>
      </c>
      <c r="D129" s="176" t="str">
        <f>A132</f>
        <v>Credits</v>
      </c>
      <c r="E129" s="176" t="str">
        <f>A133</f>
        <v>High Yield</v>
      </c>
      <c r="F129" s="176" t="str">
        <f>A134</f>
        <v>EMD</v>
      </c>
      <c r="G129" s="176" t="str">
        <f>A135</f>
        <v>Aandelen ontw</v>
      </c>
      <c r="H129" s="176" t="str">
        <f>A136</f>
        <v>Aandelen opk</v>
      </c>
      <c r="I129" s="176" t="str">
        <f>A137</f>
        <v>Hedge funds</v>
      </c>
      <c r="J129" s="176" t="str">
        <f>A138</f>
        <v>OG</v>
      </c>
      <c r="K129" s="177" t="str">
        <f>A139</f>
        <v>Commodities</v>
      </c>
    </row>
    <row r="130" spans="1:11">
      <c r="A130" s="10" t="str">
        <f>A88</f>
        <v>Nominale VPV</v>
      </c>
      <c r="B130" s="174">
        <v>-4.4452634636536759E-3</v>
      </c>
      <c r="C130" s="103">
        <v>8.7441982900903215E-3</v>
      </c>
      <c r="D130" s="103">
        <v>-4.9339554768319666E-2</v>
      </c>
      <c r="E130" s="103">
        <v>1.2956951776552206E-2</v>
      </c>
      <c r="F130" s="103">
        <v>0.12280562830238999</v>
      </c>
      <c r="G130" s="103">
        <v>7.888144630971039E-2</v>
      </c>
      <c r="H130" s="103">
        <v>2.0536738705801028E-2</v>
      </c>
      <c r="I130" s="103">
        <v>0.20606610244590901</v>
      </c>
      <c r="J130" s="103">
        <v>0.14011276432957054</v>
      </c>
      <c r="K130" s="104">
        <v>0.15047956318851441</v>
      </c>
    </row>
    <row r="131" spans="1:11">
      <c r="A131" s="168" t="str">
        <f t="shared" ref="A131:A139" si="8">A89</f>
        <v>Reele VPV</v>
      </c>
      <c r="B131" s="103">
        <v>8.7441982900903215E-3</v>
      </c>
      <c r="C131" s="174">
        <v>-1.2489110566723652E-2</v>
      </c>
      <c r="D131" s="103">
        <v>-7.8968305578049042E-2</v>
      </c>
      <c r="E131" s="103">
        <v>6.0426382116282595E-4</v>
      </c>
      <c r="F131" s="103">
        <v>0.10492325236742081</v>
      </c>
      <c r="G131" s="103">
        <v>5.6290840075746598E-2</v>
      </c>
      <c r="H131" s="103">
        <v>-1.5578453646869446E-2</v>
      </c>
      <c r="I131" s="103">
        <v>8.388996510493392E-2</v>
      </c>
      <c r="J131" s="103">
        <v>5.6324160721505756E-2</v>
      </c>
      <c r="K131" s="104">
        <v>0.15211552114400606</v>
      </c>
    </row>
    <row r="132" spans="1:11">
      <c r="A132" s="168" t="str">
        <f t="shared" si="8"/>
        <v>Credits</v>
      </c>
      <c r="B132" s="103">
        <v>-4.9339554768319666E-2</v>
      </c>
      <c r="C132" s="103">
        <v>-7.8968305578049042E-2</v>
      </c>
      <c r="D132" s="174">
        <v>-2.706363543105883E-3</v>
      </c>
      <c r="E132" s="103">
        <v>-0.10623169046092773</v>
      </c>
      <c r="F132" s="103">
        <v>-0.14155774979361152</v>
      </c>
      <c r="G132" s="103">
        <v>-5.0668020034901229E-2</v>
      </c>
      <c r="H132" s="103">
        <v>-1.3786713207860615E-2</v>
      </c>
      <c r="I132" s="103">
        <v>-0.21194265883981259</v>
      </c>
      <c r="J132" s="103">
        <v>-0.18953914181475942</v>
      </c>
      <c r="K132" s="104">
        <v>-0.13698576121952513</v>
      </c>
    </row>
    <row r="133" spans="1:11">
      <c r="A133" s="168" t="str">
        <f t="shared" si="8"/>
        <v>High Yield</v>
      </c>
      <c r="B133" s="103">
        <v>1.2956951776552206E-2</v>
      </c>
      <c r="C133" s="103">
        <v>6.0426382116282595E-4</v>
      </c>
      <c r="D133" s="103">
        <v>-0.10623169046092773</v>
      </c>
      <c r="E133" s="174">
        <v>-1.7442087987237814E-2</v>
      </c>
      <c r="F133" s="103">
        <v>-6.5893962027107067E-3</v>
      </c>
      <c r="G133" s="103">
        <v>-0.143476943707742</v>
      </c>
      <c r="H133" s="103">
        <v>-0.11434838152979443</v>
      </c>
      <c r="I133" s="103">
        <v>-3.4443218317613822E-2</v>
      </c>
      <c r="J133" s="103">
        <v>-6.7853109690286184E-2</v>
      </c>
      <c r="K133" s="104">
        <v>-0.17277427161463785</v>
      </c>
    </row>
    <row r="134" spans="1:11">
      <c r="A134" s="168" t="str">
        <f t="shared" si="8"/>
        <v>EMD</v>
      </c>
      <c r="B134" s="103">
        <v>0.12280562830238999</v>
      </c>
      <c r="C134" s="103">
        <v>0.10492325236742081</v>
      </c>
      <c r="D134" s="103">
        <v>-0.14155774979361152</v>
      </c>
      <c r="E134" s="103">
        <v>-6.5893962027107067E-3</v>
      </c>
      <c r="F134" s="174">
        <v>9.8520155870215897E-4</v>
      </c>
      <c r="G134" s="103">
        <v>-8.595312319249071E-2</v>
      </c>
      <c r="H134" s="103">
        <v>-1.5001410389243408E-2</v>
      </c>
      <c r="I134" s="103">
        <v>1.8350200165725084E-2</v>
      </c>
      <c r="J134" s="103">
        <v>-6.8151783508844377E-2</v>
      </c>
      <c r="K134" s="104">
        <v>-0.14271150902962326</v>
      </c>
    </row>
    <row r="135" spans="1:11">
      <c r="A135" s="168" t="str">
        <f t="shared" si="8"/>
        <v>Aandelen ontw</v>
      </c>
      <c r="B135" s="103">
        <v>7.888144630971039E-2</v>
      </c>
      <c r="C135" s="103">
        <v>5.6290840075746598E-2</v>
      </c>
      <c r="D135" s="103">
        <v>-5.0668020034901229E-2</v>
      </c>
      <c r="E135" s="103">
        <v>-0.143476943707742</v>
      </c>
      <c r="F135" s="103">
        <v>-8.595312319249071E-2</v>
      </c>
      <c r="G135" s="174">
        <v>-3.6806140284931677E-2</v>
      </c>
      <c r="H135" s="103">
        <v>-0.13411329500608138</v>
      </c>
      <c r="I135" s="103">
        <v>-6.395250688912657E-2</v>
      </c>
      <c r="J135" s="103">
        <v>-4.3385699574238039E-2</v>
      </c>
      <c r="K135" s="104">
        <v>-0.14433234480063456</v>
      </c>
    </row>
    <row r="136" spans="1:11">
      <c r="A136" s="168" t="str">
        <f t="shared" si="8"/>
        <v>Aandelen opk</v>
      </c>
      <c r="B136" s="103">
        <v>2.0536738705801028E-2</v>
      </c>
      <c r="C136" s="103">
        <v>-1.5578453646869446E-2</v>
      </c>
      <c r="D136" s="103">
        <v>-1.3786713207860615E-2</v>
      </c>
      <c r="E136" s="103">
        <v>-0.11434838152979443</v>
      </c>
      <c r="F136" s="103">
        <v>-1.5001410389243408E-2</v>
      </c>
      <c r="G136" s="103">
        <v>-0.13411329500608138</v>
      </c>
      <c r="H136" s="174">
        <v>-2.4024513892395571E-2</v>
      </c>
      <c r="I136" s="103">
        <v>-3.24415603390657E-2</v>
      </c>
      <c r="J136" s="103">
        <v>-4.0330896746586908E-2</v>
      </c>
      <c r="K136" s="104">
        <v>-0.12811111916728496</v>
      </c>
    </row>
    <row r="137" spans="1:11">
      <c r="A137" s="168" t="str">
        <f t="shared" si="8"/>
        <v>Hedge funds</v>
      </c>
      <c r="B137" s="103">
        <v>0.20606610244590901</v>
      </c>
      <c r="C137" s="103">
        <v>8.388996510493392E-2</v>
      </c>
      <c r="D137" s="103">
        <v>-0.21194265883981259</v>
      </c>
      <c r="E137" s="103">
        <v>-3.4443218317613822E-2</v>
      </c>
      <c r="F137" s="103">
        <v>1.8350200165725084E-2</v>
      </c>
      <c r="G137" s="103">
        <v>-6.395250688912657E-2</v>
      </c>
      <c r="H137" s="103">
        <v>-3.24415603390657E-2</v>
      </c>
      <c r="I137" s="194">
        <v>0.05</v>
      </c>
      <c r="J137" s="103">
        <v>-0.14615165313209905</v>
      </c>
      <c r="K137" s="104">
        <v>-0.2894409383542384</v>
      </c>
    </row>
    <row r="138" spans="1:11">
      <c r="A138" s="168" t="str">
        <f t="shared" si="8"/>
        <v>OG</v>
      </c>
      <c r="B138" s="103">
        <v>0.14011276432957054</v>
      </c>
      <c r="C138" s="103">
        <v>5.6324160721505756E-2</v>
      </c>
      <c r="D138" s="103">
        <v>-0.18953914181475942</v>
      </c>
      <c r="E138" s="103">
        <v>-6.7853109690286184E-2</v>
      </c>
      <c r="F138" s="103">
        <v>-6.8151783508844377E-2</v>
      </c>
      <c r="G138" s="103">
        <v>-4.3385699574238039E-2</v>
      </c>
      <c r="H138" s="103">
        <v>-4.0330896746586908E-2</v>
      </c>
      <c r="I138" s="103">
        <v>-0.14615165313209905</v>
      </c>
      <c r="J138" s="194">
        <v>-1.0093826837884137E-2</v>
      </c>
      <c r="K138" s="104">
        <v>-0.15122033452681916</v>
      </c>
    </row>
    <row r="139" spans="1:11">
      <c r="A139" s="167" t="str">
        <f t="shared" si="8"/>
        <v>Commodities</v>
      </c>
      <c r="B139" s="106">
        <v>0.15047956318851441</v>
      </c>
      <c r="C139" s="106">
        <v>0.15211552114400606</v>
      </c>
      <c r="D139" s="106">
        <v>-0.13698576121952513</v>
      </c>
      <c r="E139" s="106">
        <v>-0.17277427161463785</v>
      </c>
      <c r="F139" s="106">
        <v>-0.14271150902962326</v>
      </c>
      <c r="G139" s="106">
        <v>-0.14433234480063456</v>
      </c>
      <c r="H139" s="106">
        <v>-0.12811111916728496</v>
      </c>
      <c r="I139" s="106">
        <v>-0.2894409383542384</v>
      </c>
      <c r="J139" s="106">
        <v>-0.15122033452681916</v>
      </c>
      <c r="K139" s="220">
        <v>-2.1570331594918418E-2</v>
      </c>
    </row>
    <row r="189" spans="2:2">
      <c r="B189" t="s">
        <v>75</v>
      </c>
    </row>
    <row r="190" spans="2:2">
      <c r="B190" t="s">
        <v>76</v>
      </c>
    </row>
  </sheetData>
  <phoneticPr fontId="2" type="noConversion"/>
  <dataValidations count="1">
    <dataValidation type="list" allowBlank="1" showInputMessage="1" showErrorMessage="1" sqref="F38:F47 B99:K108">
      <formula1>$B$189:$B$190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8" enableFormatConditionsCalculation="0">
    <tabColor indexed="15"/>
  </sheetPr>
  <dimension ref="A1:Z157"/>
  <sheetViews>
    <sheetView topLeftCell="A85" zoomScale="75" workbookViewId="0">
      <selection activeCell="B91" sqref="B91"/>
    </sheetView>
  </sheetViews>
  <sheetFormatPr defaultRowHeight="12.75"/>
  <cols>
    <col min="1" max="1" width="34.1406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visies'!C2</f>
        <v>Inflatie is fiscaal</v>
      </c>
      <c r="C1" s="3" t="s">
        <v>129</v>
      </c>
      <c r="D1" s="25">
        <v>2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22"/>
      <c r="B5" s="165"/>
      <c r="C5" s="166"/>
      <c r="D5" s="166"/>
      <c r="E5" s="166"/>
      <c r="F5" s="166"/>
      <c r="G5" s="166"/>
      <c r="H5" s="166"/>
      <c r="I5" s="166"/>
      <c r="J5" s="166"/>
      <c r="K5" s="161"/>
      <c r="M5" s="3"/>
    </row>
    <row r="6" spans="1:25">
      <c r="A6" s="9" t="s">
        <v>145</v>
      </c>
      <c r="B6" s="162" t="s">
        <v>77</v>
      </c>
      <c r="C6" s="61" t="s">
        <v>78</v>
      </c>
      <c r="D6" s="61" t="s">
        <v>73</v>
      </c>
      <c r="E6" s="61" t="s">
        <v>4</v>
      </c>
      <c r="F6" s="61" t="s">
        <v>0</v>
      </c>
      <c r="G6" s="61" t="s">
        <v>82</v>
      </c>
      <c r="H6" s="61" t="s">
        <v>83</v>
      </c>
      <c r="I6" s="61" t="s">
        <v>5</v>
      </c>
      <c r="J6" s="61" t="s">
        <v>1</v>
      </c>
      <c r="K6" s="62" t="s">
        <v>6</v>
      </c>
      <c r="M6" s="3"/>
      <c r="X6" s="3" t="s">
        <v>146</v>
      </c>
    </row>
    <row r="7" spans="1:25">
      <c r="A7" s="168" t="s">
        <v>77</v>
      </c>
      <c r="B7" s="171">
        <v>1</v>
      </c>
      <c r="C7" s="97">
        <v>0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0</v>
      </c>
      <c r="J7" s="97">
        <v>0</v>
      </c>
      <c r="K7" s="5">
        <v>0</v>
      </c>
      <c r="X7" t="s">
        <v>148</v>
      </c>
      <c r="Y7">
        <v>-20</v>
      </c>
    </row>
    <row r="8" spans="1:25">
      <c r="A8" s="168" t="s">
        <v>78</v>
      </c>
      <c r="B8" s="171">
        <v>0</v>
      </c>
      <c r="C8" s="97">
        <v>1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5">
        <v>0</v>
      </c>
      <c r="X8" t="s">
        <v>149</v>
      </c>
      <c r="Y8">
        <v>-10</v>
      </c>
    </row>
    <row r="9" spans="1:25">
      <c r="A9" s="168" t="s">
        <v>73</v>
      </c>
      <c r="B9" s="171">
        <v>0</v>
      </c>
      <c r="C9" s="97">
        <v>0</v>
      </c>
      <c r="D9" s="97">
        <v>1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5">
        <v>0</v>
      </c>
      <c r="X9" t="s">
        <v>147</v>
      </c>
      <c r="Y9">
        <v>0</v>
      </c>
    </row>
    <row r="10" spans="1:25">
      <c r="A10" s="168" t="s">
        <v>4</v>
      </c>
      <c r="B10" s="171">
        <v>0</v>
      </c>
      <c r="C10" s="97">
        <v>0</v>
      </c>
      <c r="D10" s="97">
        <v>0</v>
      </c>
      <c r="E10" s="97">
        <v>1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5">
        <v>0</v>
      </c>
      <c r="X10" t="s">
        <v>151</v>
      </c>
      <c r="Y10">
        <v>10</v>
      </c>
    </row>
    <row r="11" spans="1:25">
      <c r="A11" s="168" t="s">
        <v>0</v>
      </c>
      <c r="B11" s="171">
        <v>0</v>
      </c>
      <c r="C11" s="97">
        <v>0</v>
      </c>
      <c r="D11" s="97">
        <v>0</v>
      </c>
      <c r="E11" s="97">
        <v>0</v>
      </c>
      <c r="F11" s="97">
        <v>1</v>
      </c>
      <c r="G11" s="97">
        <v>0</v>
      </c>
      <c r="H11" s="97">
        <v>0</v>
      </c>
      <c r="I11" s="97">
        <v>0</v>
      </c>
      <c r="J11" s="97">
        <v>0</v>
      </c>
      <c r="K11" s="5">
        <v>0</v>
      </c>
      <c r="X11" t="s">
        <v>152</v>
      </c>
      <c r="Y11">
        <v>20</v>
      </c>
    </row>
    <row r="12" spans="1:25">
      <c r="A12" s="168" t="s">
        <v>82</v>
      </c>
      <c r="B12" s="171">
        <v>0</v>
      </c>
      <c r="C12" s="97">
        <v>0</v>
      </c>
      <c r="D12" s="97">
        <v>0</v>
      </c>
      <c r="E12" s="97">
        <v>0</v>
      </c>
      <c r="F12" s="97">
        <v>0</v>
      </c>
      <c r="G12" s="97">
        <v>1</v>
      </c>
      <c r="H12" s="97">
        <v>0</v>
      </c>
      <c r="I12" s="97">
        <v>0</v>
      </c>
      <c r="J12" s="97">
        <v>0</v>
      </c>
      <c r="K12" s="5">
        <v>0</v>
      </c>
      <c r="X12" t="s">
        <v>150</v>
      </c>
      <c r="Y12">
        <v>-99</v>
      </c>
    </row>
    <row r="13" spans="1:25">
      <c r="A13" s="168" t="s">
        <v>83</v>
      </c>
      <c r="B13" s="171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1</v>
      </c>
      <c r="I13" s="97">
        <v>0</v>
      </c>
      <c r="J13" s="97">
        <v>0</v>
      </c>
      <c r="K13" s="5">
        <v>0</v>
      </c>
    </row>
    <row r="14" spans="1:25">
      <c r="A14" s="168" t="s">
        <v>5</v>
      </c>
      <c r="B14" s="171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1</v>
      </c>
      <c r="J14" s="97">
        <v>0</v>
      </c>
      <c r="K14" s="5">
        <v>0</v>
      </c>
    </row>
    <row r="15" spans="1:25">
      <c r="A15" s="168" t="s">
        <v>1</v>
      </c>
      <c r="B15" s="171"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1</v>
      </c>
      <c r="K15" s="5">
        <v>0</v>
      </c>
    </row>
    <row r="16" spans="1:25">
      <c r="A16" s="167" t="s">
        <v>6</v>
      </c>
      <c r="B16" s="160">
        <v>0</v>
      </c>
      <c r="C16" s="169">
        <v>0</v>
      </c>
      <c r="D16" s="169">
        <v>0</v>
      </c>
      <c r="E16" s="169">
        <v>0</v>
      </c>
      <c r="F16" s="169">
        <v>0</v>
      </c>
      <c r="G16" s="169">
        <v>0</v>
      </c>
      <c r="H16" s="169">
        <v>0</v>
      </c>
      <c r="I16" s="169">
        <v>0</v>
      </c>
      <c r="J16" s="169">
        <v>0</v>
      </c>
      <c r="K16" s="6">
        <v>1</v>
      </c>
    </row>
    <row r="18" spans="1:26">
      <c r="A18" s="2" t="s">
        <v>160</v>
      </c>
    </row>
    <row r="19" spans="1:26">
      <c r="A19" s="170"/>
      <c r="B19" s="166"/>
      <c r="C19" s="166"/>
      <c r="D19" s="166"/>
      <c r="E19" s="166"/>
      <c r="F19" s="166"/>
      <c r="G19" s="166"/>
      <c r="H19" s="166"/>
      <c r="I19" s="166"/>
      <c r="J19" s="166"/>
      <c r="K19" s="4"/>
    </row>
    <row r="20" spans="1:26">
      <c r="A20" s="167" t="s">
        <v>145</v>
      </c>
      <c r="B20" s="61" t="s">
        <v>77</v>
      </c>
      <c r="C20" s="61" t="s">
        <v>78</v>
      </c>
      <c r="D20" s="61" t="s">
        <v>73</v>
      </c>
      <c r="E20" s="61" t="s">
        <v>4</v>
      </c>
      <c r="F20" s="61" t="s">
        <v>0</v>
      </c>
      <c r="G20" s="61" t="s">
        <v>82</v>
      </c>
      <c r="H20" s="61" t="s">
        <v>83</v>
      </c>
      <c r="I20" s="61" t="s">
        <v>5</v>
      </c>
      <c r="J20" s="61" t="s">
        <v>1</v>
      </c>
      <c r="K20" s="62" t="s">
        <v>6</v>
      </c>
    </row>
    <row r="21" spans="1:26">
      <c r="A21" s="168" t="s">
        <v>77</v>
      </c>
      <c r="B21" s="97">
        <v>1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64">
        <v>0</v>
      </c>
    </row>
    <row r="22" spans="1:26">
      <c r="A22" s="168" t="s">
        <v>78</v>
      </c>
      <c r="B22" s="97">
        <v>0</v>
      </c>
      <c r="C22" s="97">
        <v>1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5">
        <v>0</v>
      </c>
    </row>
    <row r="23" spans="1:26">
      <c r="A23" s="168" t="s">
        <v>73</v>
      </c>
      <c r="B23" s="97">
        <v>0</v>
      </c>
      <c r="C23" s="97">
        <v>0</v>
      </c>
      <c r="D23" s="97">
        <v>1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5">
        <v>0</v>
      </c>
    </row>
    <row r="24" spans="1:26">
      <c r="A24" s="168" t="s">
        <v>4</v>
      </c>
      <c r="B24" s="97">
        <v>0</v>
      </c>
      <c r="C24" s="97">
        <v>0</v>
      </c>
      <c r="D24" s="97">
        <v>0</v>
      </c>
      <c r="E24" s="97">
        <v>1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5">
        <v>0</v>
      </c>
    </row>
    <row r="25" spans="1:26">
      <c r="A25" s="168" t="s">
        <v>0</v>
      </c>
      <c r="B25" s="97">
        <v>0</v>
      </c>
      <c r="C25" s="97">
        <v>0</v>
      </c>
      <c r="D25" s="97">
        <v>0</v>
      </c>
      <c r="E25" s="97">
        <v>0</v>
      </c>
      <c r="F25" s="97">
        <v>1</v>
      </c>
      <c r="G25" s="97">
        <v>0</v>
      </c>
      <c r="H25" s="97">
        <v>0</v>
      </c>
      <c r="I25" s="97">
        <v>0</v>
      </c>
      <c r="J25" s="97">
        <v>0</v>
      </c>
      <c r="K25" s="5">
        <v>0</v>
      </c>
    </row>
    <row r="26" spans="1:26">
      <c r="A26" s="168" t="s">
        <v>82</v>
      </c>
      <c r="B26" s="97">
        <v>0</v>
      </c>
      <c r="C26" s="97">
        <v>0</v>
      </c>
      <c r="D26" s="97">
        <v>0</v>
      </c>
      <c r="E26" s="97">
        <v>0</v>
      </c>
      <c r="F26" s="97">
        <v>0</v>
      </c>
      <c r="G26" s="97">
        <v>1</v>
      </c>
      <c r="H26" s="97">
        <v>0</v>
      </c>
      <c r="I26" s="97">
        <v>0</v>
      </c>
      <c r="J26" s="97">
        <v>0</v>
      </c>
      <c r="K26" s="5">
        <v>0</v>
      </c>
    </row>
    <row r="27" spans="1:26">
      <c r="A27" s="168" t="s">
        <v>83</v>
      </c>
      <c r="B27" s="97">
        <v>0</v>
      </c>
      <c r="C27" s="97">
        <v>0</v>
      </c>
      <c r="D27" s="97">
        <v>0</v>
      </c>
      <c r="E27" s="97">
        <v>0</v>
      </c>
      <c r="F27" s="97">
        <v>0</v>
      </c>
      <c r="G27" s="97">
        <v>0</v>
      </c>
      <c r="H27" s="97">
        <v>1</v>
      </c>
      <c r="I27" s="97">
        <v>0</v>
      </c>
      <c r="J27" s="97">
        <v>0</v>
      </c>
      <c r="K27" s="5">
        <v>0</v>
      </c>
    </row>
    <row r="28" spans="1:26">
      <c r="A28" s="168" t="s">
        <v>5</v>
      </c>
      <c r="B28" s="97">
        <v>0</v>
      </c>
      <c r="C28" s="97">
        <v>0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1</v>
      </c>
      <c r="J28" s="97">
        <v>0</v>
      </c>
      <c r="K28" s="5">
        <v>0</v>
      </c>
    </row>
    <row r="29" spans="1:26">
      <c r="A29" s="168" t="s">
        <v>1</v>
      </c>
      <c r="B29" s="97">
        <v>0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1</v>
      </c>
      <c r="K29" s="5">
        <v>0</v>
      </c>
    </row>
    <row r="30" spans="1:26">
      <c r="A30" s="167" t="s">
        <v>6</v>
      </c>
      <c r="B30" s="169">
        <v>0</v>
      </c>
      <c r="C30" s="169">
        <v>0</v>
      </c>
      <c r="D30" s="169">
        <v>0</v>
      </c>
      <c r="E30" s="169">
        <v>0</v>
      </c>
      <c r="F30" s="169">
        <v>0</v>
      </c>
      <c r="G30" s="169">
        <v>0</v>
      </c>
      <c r="H30" s="169">
        <v>0</v>
      </c>
      <c r="I30" s="169">
        <v>0</v>
      </c>
      <c r="J30" s="169">
        <v>0</v>
      </c>
      <c r="K30" s="6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109" t="s">
        <v>36</v>
      </c>
      <c r="C37" s="57" t="s">
        <v>162</v>
      </c>
      <c r="D37" s="196" t="s">
        <v>164</v>
      </c>
      <c r="E37" s="199" t="s">
        <v>166</v>
      </c>
      <c r="F37" s="181" t="s">
        <v>163</v>
      </c>
      <c r="X37" t="s">
        <v>157</v>
      </c>
      <c r="Y37">
        <v>-4</v>
      </c>
      <c r="Z37">
        <v>-2</v>
      </c>
    </row>
    <row r="38" spans="1:26" ht="13.5" thickTop="1">
      <c r="A38" s="11" t="str">
        <f t="shared" ref="A38:A47" si="0">A7</f>
        <v>Nominale VPV</v>
      </c>
      <c r="B38" s="151">
        <v>0.03</v>
      </c>
      <c r="C38" s="153">
        <v>-0.1</v>
      </c>
      <c r="D38" s="208">
        <v>-0.13</v>
      </c>
      <c r="E38" s="210">
        <v>-0.13</v>
      </c>
      <c r="F38" s="186" t="s">
        <v>75</v>
      </c>
    </row>
    <row r="39" spans="1:26">
      <c r="A39" s="11" t="str">
        <f t="shared" si="0"/>
        <v>Reele VPV</v>
      </c>
      <c r="B39" s="151">
        <v>0.03</v>
      </c>
      <c r="C39" s="153">
        <v>0</v>
      </c>
      <c r="D39" s="197">
        <v>-0.03</v>
      </c>
      <c r="E39" s="211">
        <v>-0.03</v>
      </c>
      <c r="F39" s="186" t="s">
        <v>75</v>
      </c>
    </row>
    <row r="40" spans="1:26">
      <c r="A40" s="11" t="str">
        <f t="shared" si="0"/>
        <v>Credits</v>
      </c>
      <c r="B40" s="151">
        <v>5.5641316288239581E-2</v>
      </c>
      <c r="C40" s="153">
        <v>-6.25E-2</v>
      </c>
      <c r="D40" s="197">
        <v>-0.11814131628823958</v>
      </c>
      <c r="E40" s="211">
        <v>-0.11814131628823958</v>
      </c>
      <c r="F40" s="186" t="s">
        <v>75</v>
      </c>
    </row>
    <row r="41" spans="1:26">
      <c r="A41" s="11" t="str">
        <f t="shared" si="0"/>
        <v>High Yield</v>
      </c>
      <c r="B41" s="151">
        <v>5.6496387380050681E-2</v>
      </c>
      <c r="C41" s="153">
        <v>-2.5000000000000001E-2</v>
      </c>
      <c r="D41" s="197">
        <v>-8.1496387380050689E-2</v>
      </c>
      <c r="E41" s="211">
        <v>-0.125</v>
      </c>
      <c r="F41" s="186" t="s">
        <v>75</v>
      </c>
    </row>
    <row r="42" spans="1:26">
      <c r="A42" s="11" t="str">
        <f t="shared" si="0"/>
        <v>EMD</v>
      </c>
      <c r="B42" s="151">
        <v>5.6528262962781142E-2</v>
      </c>
      <c r="C42" s="153">
        <v>-0.05</v>
      </c>
      <c r="D42" s="197">
        <v>-0.10652826296278115</v>
      </c>
      <c r="E42" s="211">
        <v>-7.4999999999999997E-2</v>
      </c>
      <c r="F42" s="186" t="s">
        <v>75</v>
      </c>
    </row>
    <row r="43" spans="1:26">
      <c r="A43" s="11" t="str">
        <f t="shared" si="0"/>
        <v>Aandelen ontw</v>
      </c>
      <c r="B43" s="151">
        <v>6.4356314621335148E-2</v>
      </c>
      <c r="C43" s="153">
        <v>0</v>
      </c>
      <c r="D43" s="197">
        <v>-6.4356314621335148E-2</v>
      </c>
      <c r="E43" s="211">
        <v>-6.4356314621335148E-2</v>
      </c>
      <c r="F43" s="186" t="s">
        <v>75</v>
      </c>
    </row>
    <row r="44" spans="1:26">
      <c r="A44" s="11" t="str">
        <f t="shared" si="0"/>
        <v>Aandelen opk</v>
      </c>
      <c r="B44" s="151">
        <v>9.1561672924114379E-2</v>
      </c>
      <c r="C44" s="153">
        <v>-0.03</v>
      </c>
      <c r="D44" s="197">
        <v>-0.12156167292411438</v>
      </c>
      <c r="E44" s="211">
        <v>-7.0000000000000007E-2</v>
      </c>
      <c r="F44" s="186" t="s">
        <v>75</v>
      </c>
    </row>
    <row r="45" spans="1:26">
      <c r="A45" s="11" t="str">
        <f t="shared" si="0"/>
        <v>Hedge funds</v>
      </c>
      <c r="B45" s="151">
        <v>5.1135067781966595E-2</v>
      </c>
      <c r="C45" s="153">
        <v>-0.04</v>
      </c>
      <c r="D45" s="197">
        <v>-9.1135067781966589E-2</v>
      </c>
      <c r="E45" s="211">
        <v>-9.1135067781966589E-2</v>
      </c>
      <c r="F45" s="186" t="s">
        <v>75</v>
      </c>
    </row>
    <row r="46" spans="1:26">
      <c r="A46" s="11" t="str">
        <f t="shared" si="0"/>
        <v>OG</v>
      </c>
      <c r="B46" s="151">
        <v>4.7615162118704334E-2</v>
      </c>
      <c r="C46" s="153">
        <v>0</v>
      </c>
      <c r="D46" s="197">
        <v>-4.7615162118704334E-2</v>
      </c>
      <c r="E46" s="211">
        <v>-0.1</v>
      </c>
      <c r="F46" s="186" t="s">
        <v>75</v>
      </c>
    </row>
    <row r="47" spans="1:26" ht="13.5" thickBot="1">
      <c r="A47" s="12" t="str">
        <f t="shared" si="0"/>
        <v>Commodities</v>
      </c>
      <c r="B47" s="155">
        <v>8.0977052013787992E-2</v>
      </c>
      <c r="C47" s="157">
        <v>0.05</v>
      </c>
      <c r="D47" s="198">
        <v>-3.097705201378799E-2</v>
      </c>
      <c r="E47" s="212">
        <v>-3.097705201378799E-2</v>
      </c>
      <c r="F47" s="187" t="s">
        <v>75</v>
      </c>
    </row>
    <row r="48" spans="1:26" ht="13.5" thickTop="1"/>
    <row r="49" spans="1:11">
      <c r="A49" s="2" t="s">
        <v>158</v>
      </c>
    </row>
    <row r="50" spans="1:11">
      <c r="A50" s="170" t="s">
        <v>36</v>
      </c>
      <c r="B50" s="166"/>
      <c r="C50" s="166"/>
      <c r="D50" s="166"/>
      <c r="E50" s="166"/>
      <c r="F50" s="166"/>
      <c r="G50" s="166"/>
      <c r="H50" s="166"/>
      <c r="I50" s="166"/>
      <c r="J50" s="166"/>
      <c r="K50" s="4"/>
    </row>
    <row r="51" spans="1:11">
      <c r="A51" s="167" t="s">
        <v>145</v>
      </c>
      <c r="B51" s="61" t="str">
        <f>A52</f>
        <v>Nominale VPV</v>
      </c>
      <c r="C51" s="61" t="str">
        <f>A53</f>
        <v>Reele VPV</v>
      </c>
      <c r="D51" s="61" t="str">
        <f>A54</f>
        <v>Credits</v>
      </c>
      <c r="E51" s="61" t="str">
        <f>A55</f>
        <v>High Yield</v>
      </c>
      <c r="F51" s="61" t="str">
        <f>A56</f>
        <v>EMD</v>
      </c>
      <c r="G51" s="61" t="str">
        <f>A57</f>
        <v>Aandelen ontw</v>
      </c>
      <c r="H51" s="61" t="str">
        <f>A58</f>
        <v>Aandelen opk</v>
      </c>
      <c r="I51" s="61" t="str">
        <f>A59</f>
        <v>Hedge funds</v>
      </c>
      <c r="J51" s="61" t="str">
        <f>A60</f>
        <v>OG</v>
      </c>
      <c r="K51" s="62" t="str">
        <f>A61</f>
        <v>Commodities</v>
      </c>
    </row>
    <row r="52" spans="1:11">
      <c r="A52" s="10" t="str">
        <f t="shared" ref="A52:A61" si="1">A21</f>
        <v>Nominale VPV</v>
      </c>
      <c r="B52" s="213">
        <v>9.3036505477973097E-2</v>
      </c>
      <c r="C52" s="103">
        <v>0.39310073358981634</v>
      </c>
      <c r="D52" s="103">
        <v>0.20929446791729706</v>
      </c>
      <c r="E52" s="103">
        <v>0.21633822527798038</v>
      </c>
      <c r="F52" s="103">
        <v>7.2272238989822338E-2</v>
      </c>
      <c r="G52" s="103">
        <v>8.9492370363700224E-2</v>
      </c>
      <c r="H52" s="103">
        <v>-0.17062817388407636</v>
      </c>
      <c r="I52" s="103">
        <v>-0.19012041366495921</v>
      </c>
      <c r="J52" s="103">
        <v>-4.7308632130733691E-2</v>
      </c>
      <c r="K52" s="173">
        <v>-0.45881257160059641</v>
      </c>
    </row>
    <row r="53" spans="1:11">
      <c r="A53" s="168" t="str">
        <f t="shared" si="1"/>
        <v>Reele VPV</v>
      </c>
      <c r="B53" s="103">
        <v>0.39310073358981634</v>
      </c>
      <c r="C53" s="213">
        <v>0.107113123666156</v>
      </c>
      <c r="D53" s="103">
        <v>0.15199304535500063</v>
      </c>
      <c r="E53" s="103">
        <v>0.24896674047832401</v>
      </c>
      <c r="F53" s="103">
        <v>-4.8620827985643912E-2</v>
      </c>
      <c r="G53" s="103">
        <v>0.12380923643016063</v>
      </c>
      <c r="H53" s="103">
        <v>5.6701855877734457E-2</v>
      </c>
      <c r="I53" s="103">
        <v>-0.14234647836130293</v>
      </c>
      <c r="J53" s="103">
        <v>-0.11987909632091487</v>
      </c>
      <c r="K53" s="104">
        <v>-8.7674543304863753E-2</v>
      </c>
    </row>
    <row r="54" spans="1:11">
      <c r="A54" s="168" t="str">
        <f t="shared" si="1"/>
        <v>Credits</v>
      </c>
      <c r="B54" s="103">
        <v>0.20929446791729706</v>
      </c>
      <c r="C54" s="103">
        <v>0.15199304535500063</v>
      </c>
      <c r="D54" s="213">
        <v>0.14514041524285745</v>
      </c>
      <c r="E54" s="103">
        <v>0.27817222657699892</v>
      </c>
      <c r="F54" s="103">
        <v>-3.7036476676643094E-2</v>
      </c>
      <c r="G54" s="103">
        <v>-2.0652245548069121E-2</v>
      </c>
      <c r="H54" s="103">
        <v>-4.7238096976150878E-4</v>
      </c>
      <c r="I54" s="103">
        <v>3.5291346298508892E-2</v>
      </c>
      <c r="J54" s="103">
        <v>-0.1471489633450169</v>
      </c>
      <c r="K54" s="104">
        <v>3.884979309220634E-2</v>
      </c>
    </row>
    <row r="55" spans="1:11">
      <c r="A55" s="168" t="str">
        <f t="shared" si="1"/>
        <v>High Yield</v>
      </c>
      <c r="B55" s="103">
        <v>0.21633822527798038</v>
      </c>
      <c r="C55" s="103">
        <v>0.24896674047832401</v>
      </c>
      <c r="D55" s="103">
        <v>0.27817222657699892</v>
      </c>
      <c r="E55" s="213">
        <v>0.15212518033194122</v>
      </c>
      <c r="F55" s="103">
        <v>0.54947077664382238</v>
      </c>
      <c r="G55" s="103">
        <v>0.6512857171069153</v>
      </c>
      <c r="H55" s="103">
        <v>0.66085351889108523</v>
      </c>
      <c r="I55" s="103">
        <v>0.4247516304214663</v>
      </c>
      <c r="J55" s="103">
        <v>-0.32361654199607631</v>
      </c>
      <c r="K55" s="104">
        <v>-2.2300336358685715E-3</v>
      </c>
    </row>
    <row r="56" spans="1:11">
      <c r="A56" s="168" t="str">
        <f t="shared" si="1"/>
        <v>EMD</v>
      </c>
      <c r="B56" s="103">
        <v>7.2272238989822338E-2</v>
      </c>
      <c r="C56" s="103">
        <v>-4.8620827985643912E-2</v>
      </c>
      <c r="D56" s="103">
        <v>-3.7036476676643094E-2</v>
      </c>
      <c r="E56" s="103">
        <v>0.54947077664382238</v>
      </c>
      <c r="F56" s="213">
        <v>0.13758409078549244</v>
      </c>
      <c r="G56" s="103">
        <v>0.43704301175382931</v>
      </c>
      <c r="H56" s="103">
        <v>0.47448318291761821</v>
      </c>
      <c r="I56" s="103">
        <v>0.75975680806732404</v>
      </c>
      <c r="J56" s="103">
        <v>0.22497345871183994</v>
      </c>
      <c r="K56" s="104">
        <v>0.50014707286156279</v>
      </c>
    </row>
    <row r="57" spans="1:11">
      <c r="A57" s="168" t="str">
        <f t="shared" si="1"/>
        <v>Aandelen ontw</v>
      </c>
      <c r="B57" s="103">
        <v>8.9492370363700224E-2</v>
      </c>
      <c r="C57" s="103">
        <v>0.12380923643016063</v>
      </c>
      <c r="D57" s="103">
        <v>-2.0652245548069121E-2</v>
      </c>
      <c r="E57" s="103">
        <v>0.6512857171069153</v>
      </c>
      <c r="F57" s="103">
        <v>0.43704301175382931</v>
      </c>
      <c r="G57" s="213">
        <v>0.19354582049076965</v>
      </c>
      <c r="H57" s="103">
        <v>0.75270312398485784</v>
      </c>
      <c r="I57" s="103">
        <v>0.57172393447966652</v>
      </c>
      <c r="J57" s="103">
        <v>-3.5193060592075505E-2</v>
      </c>
      <c r="K57" s="104">
        <v>0.10395609042534409</v>
      </c>
    </row>
    <row r="58" spans="1:11">
      <c r="A58" s="168" t="str">
        <f t="shared" si="1"/>
        <v>Aandelen opk</v>
      </c>
      <c r="B58" s="103">
        <v>-0.17062817388407636</v>
      </c>
      <c r="C58" s="103">
        <v>5.6701855877734457E-2</v>
      </c>
      <c r="D58" s="103">
        <v>-4.7238096976150878E-4</v>
      </c>
      <c r="E58" s="103">
        <v>0.66085351889108523</v>
      </c>
      <c r="F58" s="103">
        <v>0.47448318291761821</v>
      </c>
      <c r="G58" s="103">
        <v>0.75270312398485784</v>
      </c>
      <c r="H58" s="213">
        <v>0.34249727755342518</v>
      </c>
      <c r="I58" s="103">
        <v>0.43308445119592942</v>
      </c>
      <c r="J58" s="103">
        <v>-0.33706927145387583</v>
      </c>
      <c r="K58" s="104">
        <v>0.21126029655546014</v>
      </c>
    </row>
    <row r="59" spans="1:11">
      <c r="A59" s="168" t="str">
        <f t="shared" si="1"/>
        <v>Hedge funds</v>
      </c>
      <c r="B59" s="103">
        <v>-0.19012041366495921</v>
      </c>
      <c r="C59" s="103">
        <v>-0.14234647836130293</v>
      </c>
      <c r="D59" s="103">
        <v>3.5291346298508892E-2</v>
      </c>
      <c r="E59" s="103">
        <v>0.4247516304214663</v>
      </c>
      <c r="F59" s="103">
        <v>0.75975680806732404</v>
      </c>
      <c r="G59" s="103">
        <v>0.57172393447966652</v>
      </c>
      <c r="H59" s="103">
        <v>0.43308445119592942</v>
      </c>
      <c r="I59" s="213">
        <v>7.2522493236444635E-2</v>
      </c>
      <c r="J59" s="103">
        <v>0.53144909307162114</v>
      </c>
      <c r="K59" s="104">
        <v>0.50768184408405903</v>
      </c>
    </row>
    <row r="60" spans="1:11">
      <c r="A60" s="168" t="str">
        <f t="shared" si="1"/>
        <v>OG</v>
      </c>
      <c r="B60" s="103">
        <v>-4.7308632130733691E-2</v>
      </c>
      <c r="C60" s="103">
        <v>-0.11987909632091487</v>
      </c>
      <c r="D60" s="103">
        <v>-0.1471489633450169</v>
      </c>
      <c r="E60" s="103">
        <v>-0.32361654199607631</v>
      </c>
      <c r="F60" s="103">
        <v>0.22497345871183994</v>
      </c>
      <c r="G60" s="103">
        <v>-3.5193060592075505E-2</v>
      </c>
      <c r="H60" s="103">
        <v>-0.33706927145387583</v>
      </c>
      <c r="I60" s="103">
        <v>0.53144909307162114</v>
      </c>
      <c r="J60" s="213">
        <v>4.9766484543779667E-2</v>
      </c>
      <c r="K60" s="104">
        <v>0.24828282028996468</v>
      </c>
    </row>
    <row r="61" spans="1:11">
      <c r="A61" s="167" t="str">
        <f t="shared" si="1"/>
        <v>Commodities</v>
      </c>
      <c r="B61" s="106">
        <v>-0.45881257160059641</v>
      </c>
      <c r="C61" s="106">
        <v>-8.7674543304863753E-2</v>
      </c>
      <c r="D61" s="106">
        <v>3.884979309220634E-2</v>
      </c>
      <c r="E61" s="106">
        <v>-2.2300336358685715E-3</v>
      </c>
      <c r="F61" s="106">
        <v>0.50014707286156279</v>
      </c>
      <c r="G61" s="106">
        <v>0.10395609042534409</v>
      </c>
      <c r="H61" s="106">
        <v>0.21126029655546014</v>
      </c>
      <c r="I61" s="106">
        <v>0.50768184408405903</v>
      </c>
      <c r="J61" s="106">
        <v>0.24828282028996468</v>
      </c>
      <c r="K61" s="214">
        <v>0.25247140962754983</v>
      </c>
    </row>
    <row r="62" spans="1:11">
      <c r="A62" s="172" t="str">
        <f>B1</f>
        <v>Inflatie is fiscaal</v>
      </c>
      <c r="B62" s="166"/>
      <c r="C62" s="166"/>
      <c r="D62" s="166"/>
      <c r="E62" s="166"/>
      <c r="F62" s="166"/>
      <c r="G62" s="166"/>
      <c r="H62" s="166"/>
      <c r="I62" s="166"/>
      <c r="J62" s="166"/>
      <c r="K62" s="4"/>
    </row>
    <row r="63" spans="1:11">
      <c r="A63" s="167" t="s">
        <v>145</v>
      </c>
      <c r="B63" s="61" t="str">
        <f>A64</f>
        <v>Nominale VPV</v>
      </c>
      <c r="C63" s="61" t="str">
        <f>A65</f>
        <v>Reele VPV</v>
      </c>
      <c r="D63" s="61" t="str">
        <f>A66</f>
        <v>Credits</v>
      </c>
      <c r="E63" s="61" t="str">
        <f>A67</f>
        <v>High Yield</v>
      </c>
      <c r="F63" s="61" t="str">
        <f>A68</f>
        <v>EMD</v>
      </c>
      <c r="G63" s="61" t="str">
        <f>A69</f>
        <v>Aandelen ontw</v>
      </c>
      <c r="H63" s="61" t="str">
        <f>A70</f>
        <v>Aandelen opk</v>
      </c>
      <c r="I63" s="61" t="str">
        <f>A71</f>
        <v>Hedge funds</v>
      </c>
      <c r="J63" s="61" t="str">
        <f>A72</f>
        <v>OG</v>
      </c>
      <c r="K63" s="62" t="str">
        <f>A73</f>
        <v>Commodities</v>
      </c>
    </row>
    <row r="64" spans="1:11">
      <c r="A64" s="10" t="str">
        <f t="shared" ref="A64:A73" si="2">A52</f>
        <v>Nominale VPV</v>
      </c>
      <c r="B64" s="213">
        <v>8.6979477341329908E-2</v>
      </c>
      <c r="C64" s="103">
        <v>0.44647787881945766</v>
      </c>
      <c r="D64" s="103">
        <v>0.12476371362076351</v>
      </c>
      <c r="E64" s="103">
        <v>0.39473896463521979</v>
      </c>
      <c r="F64" s="103">
        <v>0.14329164688661464</v>
      </c>
      <c r="G64" s="103">
        <v>0.31280893869431281</v>
      </c>
      <c r="H64" s="103">
        <v>-5.3639971431398835E-2</v>
      </c>
      <c r="I64" s="103">
        <v>-4.5375987461387553E-2</v>
      </c>
      <c r="J64" s="103">
        <v>1.8874630580668541E-2</v>
      </c>
      <c r="K64" s="173">
        <v>-0.43049903922919336</v>
      </c>
    </row>
    <row r="65" spans="1:11">
      <c r="A65" s="168" t="str">
        <f t="shared" si="2"/>
        <v>Reele VPV</v>
      </c>
      <c r="B65" s="103">
        <v>0.44647787881945766</v>
      </c>
      <c r="C65" s="213">
        <v>0.10896841546298597</v>
      </c>
      <c r="D65" s="103">
        <v>8.4321923207799868E-2</v>
      </c>
      <c r="E65" s="103">
        <v>0.30748879816953062</v>
      </c>
      <c r="F65" s="103">
        <v>-1.3783474196812102E-2</v>
      </c>
      <c r="G65" s="103">
        <v>0.30597926550447924</v>
      </c>
      <c r="H65" s="103">
        <v>0.14739566742264482</v>
      </c>
      <c r="I65" s="103">
        <v>-0.1294232882487544</v>
      </c>
      <c r="J65" s="103">
        <v>-0.12641717828044782</v>
      </c>
      <c r="K65" s="104">
        <v>-1.9526899117772813E-2</v>
      </c>
    </row>
    <row r="66" spans="1:11">
      <c r="A66" s="168" t="str">
        <f t="shared" si="2"/>
        <v>Credits</v>
      </c>
      <c r="B66" s="103">
        <v>0.12476371362076351</v>
      </c>
      <c r="C66" s="103">
        <v>8.4321923207799868E-2</v>
      </c>
      <c r="D66" s="213">
        <v>0.13990559436256109</v>
      </c>
      <c r="E66" s="103">
        <v>0.18030730071459058</v>
      </c>
      <c r="F66" s="103">
        <v>-0.25418969179515066</v>
      </c>
      <c r="G66" s="103">
        <v>-7.9795858053289384E-2</v>
      </c>
      <c r="H66" s="103">
        <v>-1.1299149052951599E-2</v>
      </c>
      <c r="I66" s="103">
        <v>-0.17485249114463275</v>
      </c>
      <c r="J66" s="103">
        <v>-0.28831149244548265</v>
      </c>
      <c r="K66" s="104">
        <v>-0.11650578645633478</v>
      </c>
    </row>
    <row r="67" spans="1:11">
      <c r="A67" s="168" t="str">
        <f t="shared" si="2"/>
        <v>High Yield</v>
      </c>
      <c r="B67" s="103">
        <v>0.39473896463521979</v>
      </c>
      <c r="C67" s="103">
        <v>0.30748879816953062</v>
      </c>
      <c r="D67" s="103">
        <v>0.18030730071459058</v>
      </c>
      <c r="E67" s="213">
        <v>0.11885134697059349</v>
      </c>
      <c r="F67" s="103">
        <v>0.46323608157717838</v>
      </c>
      <c r="G67" s="103">
        <v>0.59241684043745912</v>
      </c>
      <c r="H67" s="103">
        <v>0.53403538944587015</v>
      </c>
      <c r="I67" s="103">
        <v>0.24598097465652494</v>
      </c>
      <c r="J67" s="103">
        <v>-0.36278809960119057</v>
      </c>
      <c r="K67" s="104">
        <v>-0.24556869352982991</v>
      </c>
    </row>
    <row r="68" spans="1:11">
      <c r="A68" s="168" t="str">
        <f t="shared" si="2"/>
        <v>EMD</v>
      </c>
      <c r="B68" s="103">
        <v>0.14329164688661464</v>
      </c>
      <c r="C68" s="103">
        <v>-1.3783474196812102E-2</v>
      </c>
      <c r="D68" s="103">
        <v>-0.25418969179515066</v>
      </c>
      <c r="E68" s="103">
        <v>0.46323608157717838</v>
      </c>
      <c r="F68" s="213">
        <v>0.13434300064166035</v>
      </c>
      <c r="G68" s="103">
        <v>0.34598071876438846</v>
      </c>
      <c r="H68" s="103">
        <v>0.35502532656296076</v>
      </c>
      <c r="I68" s="103">
        <v>0.79192802286367414</v>
      </c>
      <c r="J68" s="103">
        <v>0.31095692213611359</v>
      </c>
      <c r="K68" s="104">
        <v>0.39954142389203895</v>
      </c>
    </row>
    <row r="69" spans="1:11">
      <c r="A69" s="168" t="str">
        <f t="shared" si="2"/>
        <v>Aandelen ontw</v>
      </c>
      <c r="B69" s="103">
        <v>0.31280893869431281</v>
      </c>
      <c r="C69" s="103">
        <v>0.30597926550447924</v>
      </c>
      <c r="D69" s="103">
        <v>-7.9795858053289384E-2</v>
      </c>
      <c r="E69" s="103">
        <v>0.59241684043745912</v>
      </c>
      <c r="F69" s="103">
        <v>0.34598071876438846</v>
      </c>
      <c r="G69" s="213">
        <v>0.15931815029652449</v>
      </c>
      <c r="H69" s="103">
        <v>0.68294735384272309</v>
      </c>
      <c r="I69" s="103">
        <v>0.38647228003265582</v>
      </c>
      <c r="J69" s="103">
        <v>-9.8153053151787725E-2</v>
      </c>
      <c r="K69" s="104">
        <v>-9.0759698221048582E-2</v>
      </c>
    </row>
    <row r="70" spans="1:11">
      <c r="A70" s="168" t="str">
        <f t="shared" si="2"/>
        <v>Aandelen opk</v>
      </c>
      <c r="B70" s="103">
        <v>-5.3639971431398835E-2</v>
      </c>
      <c r="C70" s="103">
        <v>0.14739566742264482</v>
      </c>
      <c r="D70" s="103">
        <v>-1.1299149052951599E-2</v>
      </c>
      <c r="E70" s="103">
        <v>0.53403538944587015</v>
      </c>
      <c r="F70" s="103">
        <v>0.35502532656296076</v>
      </c>
      <c r="G70" s="103">
        <v>0.68294735384272309</v>
      </c>
      <c r="H70" s="213">
        <v>0.31065953297505222</v>
      </c>
      <c r="I70" s="103">
        <v>0.24318658795406575</v>
      </c>
      <c r="J70" s="103">
        <v>-0.40601872314925519</v>
      </c>
      <c r="K70" s="104">
        <v>8.4588658823458854E-2</v>
      </c>
    </row>
    <row r="71" spans="1:11">
      <c r="A71" s="168" t="str">
        <f t="shared" si="2"/>
        <v>Hedge funds</v>
      </c>
      <c r="B71" s="103">
        <v>-4.5375987461387553E-2</v>
      </c>
      <c r="C71" s="103">
        <v>-0.1294232882487544</v>
      </c>
      <c r="D71" s="103">
        <v>-0.17485249114463275</v>
      </c>
      <c r="E71" s="103">
        <v>0.24598097465652494</v>
      </c>
      <c r="F71" s="103">
        <v>0.79192802286367414</v>
      </c>
      <c r="G71" s="103">
        <v>0.38647228003265582</v>
      </c>
      <c r="H71" s="103">
        <v>0.24318658795406575</v>
      </c>
      <c r="I71" s="213">
        <v>5.7887490060103547E-2</v>
      </c>
      <c r="J71" s="103">
        <v>0.58642803030365875</v>
      </c>
      <c r="K71" s="104">
        <v>0.34742936858442752</v>
      </c>
    </row>
    <row r="72" spans="1:11">
      <c r="A72" s="168" t="str">
        <f t="shared" si="2"/>
        <v>OG</v>
      </c>
      <c r="B72" s="103">
        <v>1.8874630580668541E-2</v>
      </c>
      <c r="C72" s="103">
        <v>-0.12641717828044782</v>
      </c>
      <c r="D72" s="103">
        <v>-0.28831149244548265</v>
      </c>
      <c r="E72" s="103">
        <v>-0.36278809960119057</v>
      </c>
      <c r="F72" s="103">
        <v>0.31095692213611359</v>
      </c>
      <c r="G72" s="103">
        <v>-9.8153053151787725E-2</v>
      </c>
      <c r="H72" s="103">
        <v>-0.40601872314925519</v>
      </c>
      <c r="I72" s="103">
        <v>0.58642803030365875</v>
      </c>
      <c r="J72" s="213">
        <v>4.8110922059050987E-2</v>
      </c>
      <c r="K72" s="104">
        <v>0.22312540192773261</v>
      </c>
    </row>
    <row r="73" spans="1:11">
      <c r="A73" s="167" t="str">
        <f t="shared" si="2"/>
        <v>Commodities</v>
      </c>
      <c r="B73" s="106">
        <v>-0.43049903922919336</v>
      </c>
      <c r="C73" s="106">
        <v>-1.9526899117772813E-2</v>
      </c>
      <c r="D73" s="106">
        <v>-0.11650578645633478</v>
      </c>
      <c r="E73" s="106">
        <v>-0.24556869352982991</v>
      </c>
      <c r="F73" s="106">
        <v>0.39954142389203895</v>
      </c>
      <c r="G73" s="106">
        <v>-9.0759698221048582E-2</v>
      </c>
      <c r="H73" s="106">
        <v>8.4588658823458854E-2</v>
      </c>
      <c r="I73" s="106">
        <v>0.34742936858442752</v>
      </c>
      <c r="J73" s="106">
        <v>0.22312540192773261</v>
      </c>
      <c r="K73" s="214">
        <v>0.23436776994521502</v>
      </c>
    </row>
    <row r="75" spans="1:11">
      <c r="A75" s="2"/>
    </row>
    <row r="76" spans="1:11">
      <c r="A76" s="17" t="s">
        <v>164</v>
      </c>
      <c r="B76" s="176" t="str">
        <f>A77</f>
        <v>Nominale VPV</v>
      </c>
      <c r="C76" s="176" t="str">
        <f>A78</f>
        <v>Reele VPV</v>
      </c>
      <c r="D76" s="176" t="str">
        <f>A79</f>
        <v>Credits</v>
      </c>
      <c r="E76" s="176" t="str">
        <f>A80</f>
        <v>High Yield</v>
      </c>
      <c r="F76" s="176" t="str">
        <f>A81</f>
        <v>EMD</v>
      </c>
      <c r="G76" s="176" t="str">
        <f>A82</f>
        <v>Aandelen ontw</v>
      </c>
      <c r="H76" s="176" t="str">
        <f>A83</f>
        <v>Aandelen opk</v>
      </c>
      <c r="I76" s="176" t="str">
        <f>A84</f>
        <v>Hedge funds</v>
      </c>
      <c r="J76" s="176" t="str">
        <f>A85</f>
        <v>OG</v>
      </c>
      <c r="K76" s="177" t="str">
        <f>A86</f>
        <v>Commodities</v>
      </c>
    </row>
    <row r="77" spans="1:11">
      <c r="A77" s="168" t="str">
        <f t="shared" ref="A77:A86" si="3">A64</f>
        <v>Nominale VPV</v>
      </c>
      <c r="B77" s="213">
        <v>-6.0570281366431888E-3</v>
      </c>
      <c r="C77" s="103">
        <v>5.3377145229641321E-2</v>
      </c>
      <c r="D77" s="103">
        <v>-8.4530754296533547E-2</v>
      </c>
      <c r="E77" s="103">
        <v>0.17840073935723941</v>
      </c>
      <c r="F77" s="103">
        <v>7.10194078967923E-2</v>
      </c>
      <c r="G77" s="103">
        <v>0.22331656833061259</v>
      </c>
      <c r="H77" s="103">
        <v>0.11698820245267752</v>
      </c>
      <c r="I77" s="103">
        <v>0.14474442620357167</v>
      </c>
      <c r="J77" s="103">
        <v>6.6183262711402235E-2</v>
      </c>
      <c r="K77" s="104">
        <v>2.831353237140305E-2</v>
      </c>
    </row>
    <row r="78" spans="1:11">
      <c r="A78" s="168" t="str">
        <f t="shared" si="3"/>
        <v>Reele VPV</v>
      </c>
      <c r="B78" s="103">
        <v>5.3377145229641321E-2</v>
      </c>
      <c r="C78" s="213">
        <v>1.855291796829972E-3</v>
      </c>
      <c r="D78" s="103">
        <v>-6.7671122147200766E-2</v>
      </c>
      <c r="E78" s="103">
        <v>5.8522057691206608E-2</v>
      </c>
      <c r="F78" s="103">
        <v>3.4837353788831807E-2</v>
      </c>
      <c r="G78" s="103">
        <v>0.18217002907431862</v>
      </c>
      <c r="H78" s="103">
        <v>9.0693811544910352E-2</v>
      </c>
      <c r="I78" s="103">
        <v>1.2923190112548527E-2</v>
      </c>
      <c r="J78" s="103">
        <v>-6.5380819595329542E-3</v>
      </c>
      <c r="K78" s="104">
        <v>6.8147644187090933E-2</v>
      </c>
    </row>
    <row r="79" spans="1:11">
      <c r="A79" s="168" t="str">
        <f t="shared" si="3"/>
        <v>Credits</v>
      </c>
      <c r="B79" s="103">
        <v>-8.4530754296533547E-2</v>
      </c>
      <c r="C79" s="103">
        <v>-6.7671122147200766E-2</v>
      </c>
      <c r="D79" s="213">
        <v>-5.2348208802963647E-3</v>
      </c>
      <c r="E79" s="103">
        <v>-9.7864925862408331E-2</v>
      </c>
      <c r="F79" s="103">
        <v>-0.21715321511850758</v>
      </c>
      <c r="G79" s="103">
        <v>-5.9143612505220267E-2</v>
      </c>
      <c r="H79" s="103">
        <v>-1.0826768083190091E-2</v>
      </c>
      <c r="I79" s="103">
        <v>-0.21014383744314163</v>
      </c>
      <c r="J79" s="103">
        <v>-0.14116252910046576</v>
      </c>
      <c r="K79" s="104">
        <v>-0.15535557954854112</v>
      </c>
    </row>
    <row r="80" spans="1:11">
      <c r="A80" s="168" t="str">
        <f t="shared" si="3"/>
        <v>High Yield</v>
      </c>
      <c r="B80" s="103">
        <v>0.17840073935723941</v>
      </c>
      <c r="C80" s="103">
        <v>5.8522057691206608E-2</v>
      </c>
      <c r="D80" s="103">
        <v>-9.7864925862408331E-2</v>
      </c>
      <c r="E80" s="213">
        <v>-3.3273833361347732E-2</v>
      </c>
      <c r="F80" s="103">
        <v>-8.6234695066643996E-2</v>
      </c>
      <c r="G80" s="103">
        <v>-5.8868876669456172E-2</v>
      </c>
      <c r="H80" s="103">
        <v>-0.12681812944521509</v>
      </c>
      <c r="I80" s="103">
        <v>-0.17877065576494136</v>
      </c>
      <c r="J80" s="103">
        <v>-3.917155760511426E-2</v>
      </c>
      <c r="K80" s="104">
        <v>-0.24333865989396133</v>
      </c>
    </row>
    <row r="81" spans="1:11">
      <c r="A81" s="168" t="str">
        <f t="shared" si="3"/>
        <v>EMD</v>
      </c>
      <c r="B81" s="103">
        <v>7.10194078967923E-2</v>
      </c>
      <c r="C81" s="103">
        <v>3.4837353788831807E-2</v>
      </c>
      <c r="D81" s="103">
        <v>-0.21715321511850758</v>
      </c>
      <c r="E81" s="103">
        <v>-8.6234695066643996E-2</v>
      </c>
      <c r="F81" s="213">
        <v>-3.2410901438320872E-3</v>
      </c>
      <c r="G81" s="103">
        <v>-9.1062292989440852E-2</v>
      </c>
      <c r="H81" s="103">
        <v>-0.11945785635465744</v>
      </c>
      <c r="I81" s="103">
        <v>3.2171214796350101E-2</v>
      </c>
      <c r="J81" s="103">
        <v>8.5983463424273654E-2</v>
      </c>
      <c r="K81" s="104">
        <v>-0.10060564896952384</v>
      </c>
    </row>
    <row r="82" spans="1:11">
      <c r="A82" s="168" t="str">
        <f t="shared" si="3"/>
        <v>Aandelen ontw</v>
      </c>
      <c r="B82" s="103">
        <v>0.22331656833061259</v>
      </c>
      <c r="C82" s="103">
        <v>0.18217002907431862</v>
      </c>
      <c r="D82" s="103">
        <v>-5.9143612505220267E-2</v>
      </c>
      <c r="E82" s="103">
        <v>-5.8868876669456172E-2</v>
      </c>
      <c r="F82" s="103">
        <v>-9.1062292989440852E-2</v>
      </c>
      <c r="G82" s="213">
        <v>-3.4227670194245163E-2</v>
      </c>
      <c r="H82" s="103">
        <v>-6.9755770142134743E-2</v>
      </c>
      <c r="I82" s="103">
        <v>-0.18525165444701069</v>
      </c>
      <c r="J82" s="103">
        <v>-6.2959992559712213E-2</v>
      </c>
      <c r="K82" s="104">
        <v>-0.19471578864639266</v>
      </c>
    </row>
    <row r="83" spans="1:11">
      <c r="A83" s="168" t="str">
        <f t="shared" si="3"/>
        <v>Aandelen opk</v>
      </c>
      <c r="B83" s="103">
        <v>0.11698820245267752</v>
      </c>
      <c r="C83" s="103">
        <v>9.0693811544910352E-2</v>
      </c>
      <c r="D83" s="103">
        <v>-1.0826768083190091E-2</v>
      </c>
      <c r="E83" s="103">
        <v>-0.12681812944521509</v>
      </c>
      <c r="F83" s="103">
        <v>-0.11945785635465744</v>
      </c>
      <c r="G83" s="103">
        <v>-6.9755770142134743E-2</v>
      </c>
      <c r="H83" s="213">
        <v>-3.1837744578372962E-2</v>
      </c>
      <c r="I83" s="103">
        <v>-0.18989786324186367</v>
      </c>
      <c r="J83" s="103">
        <v>-6.894945169537936E-2</v>
      </c>
      <c r="K83" s="104">
        <v>-0.1266716377320013</v>
      </c>
    </row>
    <row r="84" spans="1:11">
      <c r="A84" s="168" t="str">
        <f t="shared" si="3"/>
        <v>Hedge funds</v>
      </c>
      <c r="B84" s="103">
        <v>0.14474442620357167</v>
      </c>
      <c r="C84" s="103">
        <v>1.2923190112548527E-2</v>
      </c>
      <c r="D84" s="103">
        <v>-0.21014383744314163</v>
      </c>
      <c r="E84" s="103">
        <v>-0.17877065576494136</v>
      </c>
      <c r="F84" s="103">
        <v>3.2171214796350101E-2</v>
      </c>
      <c r="G84" s="103">
        <v>-0.18525165444701069</v>
      </c>
      <c r="H84" s="103">
        <v>-0.18989786324186367</v>
      </c>
      <c r="I84" s="194">
        <v>-1.4635003176341088E-2</v>
      </c>
      <c r="J84" s="103">
        <v>5.4978937232037617E-2</v>
      </c>
      <c r="K84" s="104">
        <v>-0.16025247549963151</v>
      </c>
    </row>
    <row r="85" spans="1:11">
      <c r="A85" s="168" t="str">
        <f t="shared" si="3"/>
        <v>OG</v>
      </c>
      <c r="B85" s="103">
        <v>6.6183262711402235E-2</v>
      </c>
      <c r="C85" s="103">
        <v>-6.5380819595329542E-3</v>
      </c>
      <c r="D85" s="103">
        <v>-0.14116252910046576</v>
      </c>
      <c r="E85" s="103">
        <v>-3.917155760511426E-2</v>
      </c>
      <c r="F85" s="103">
        <v>8.5983463424273654E-2</v>
      </c>
      <c r="G85" s="103">
        <v>-6.2959992559712213E-2</v>
      </c>
      <c r="H85" s="103">
        <v>-6.894945169537936E-2</v>
      </c>
      <c r="I85" s="103">
        <v>5.4978937232037617E-2</v>
      </c>
      <c r="J85" s="194">
        <v>-1.6555624847286801E-3</v>
      </c>
      <c r="K85" s="104">
        <v>-2.5157418362232065E-2</v>
      </c>
    </row>
    <row r="86" spans="1:11" ht="13.5" thickBot="1">
      <c r="A86" s="204" t="str">
        <f t="shared" si="3"/>
        <v>Commodities</v>
      </c>
      <c r="B86" s="185">
        <v>2.831353237140305E-2</v>
      </c>
      <c r="C86" s="185">
        <v>6.8147644187090933E-2</v>
      </c>
      <c r="D86" s="185">
        <v>-0.15535557954854112</v>
      </c>
      <c r="E86" s="185">
        <v>-0.24333865989396133</v>
      </c>
      <c r="F86" s="185">
        <v>-0.10060564896952384</v>
      </c>
      <c r="G86" s="185">
        <v>-0.19471578864639266</v>
      </c>
      <c r="H86" s="185">
        <v>-0.1266716377320013</v>
      </c>
      <c r="I86" s="185">
        <v>-0.16025247549963151</v>
      </c>
      <c r="J86" s="185">
        <v>-2.5157418362232065E-2</v>
      </c>
      <c r="K86" s="205">
        <v>-1.8103639682334804E-2</v>
      </c>
    </row>
    <row r="87" spans="1:11" ht="14.25" thickTop="1" thickBot="1">
      <c r="A87" s="181" t="s">
        <v>166</v>
      </c>
      <c r="B87" s="182" t="str">
        <f>A88</f>
        <v>Nominale VPV</v>
      </c>
      <c r="C87" s="182" t="str">
        <f>A89</f>
        <v>Reele VPV</v>
      </c>
      <c r="D87" s="182" t="str">
        <f>A90</f>
        <v>Credits</v>
      </c>
      <c r="E87" s="182" t="str">
        <f>A91</f>
        <v>High Yield</v>
      </c>
      <c r="F87" s="182" t="str">
        <f>A92</f>
        <v>EMD</v>
      </c>
      <c r="G87" s="182" t="str">
        <f>A93</f>
        <v>Aandelen ontw</v>
      </c>
      <c r="H87" s="182" t="str">
        <f>A94</f>
        <v>Aandelen opk</v>
      </c>
      <c r="I87" s="182" t="str">
        <f>A95</f>
        <v>Hedge funds</v>
      </c>
      <c r="J87" s="182" t="str">
        <f>A96</f>
        <v>OG</v>
      </c>
      <c r="K87" s="183" t="str">
        <f>A97</f>
        <v>Commodities</v>
      </c>
    </row>
    <row r="88" spans="1:11" ht="13.5" thickTop="1">
      <c r="A88" s="179" t="str">
        <f t="shared" ref="A88:A97" si="4">A77</f>
        <v>Nominale VPV</v>
      </c>
      <c r="B88" s="213">
        <v>-6.0570281366431888E-3</v>
      </c>
      <c r="C88" s="103">
        <v>5.3377145229641321E-2</v>
      </c>
      <c r="D88" s="103">
        <v>-8.4530754296533547E-2</v>
      </c>
      <c r="E88" s="103">
        <v>0.17840073935723941</v>
      </c>
      <c r="F88" s="103">
        <v>7.10194078967923E-2</v>
      </c>
      <c r="G88" s="103">
        <v>0.22331656833061259</v>
      </c>
      <c r="H88" s="103">
        <v>0.11698820245267752</v>
      </c>
      <c r="I88" s="103">
        <v>0.14474442620357167</v>
      </c>
      <c r="J88" s="103">
        <v>6.6183262711402235E-2</v>
      </c>
      <c r="K88" s="193">
        <v>2.831353237140305E-2</v>
      </c>
    </row>
    <row r="89" spans="1:11">
      <c r="A89" s="179" t="str">
        <f t="shared" si="4"/>
        <v>Reele VPV</v>
      </c>
      <c r="B89" s="103">
        <v>5.3377145229641321E-2</v>
      </c>
      <c r="C89" s="213">
        <v>1.855291796829972E-3</v>
      </c>
      <c r="D89" s="103">
        <v>-6.7671122147200766E-2</v>
      </c>
      <c r="E89" s="103">
        <v>5.8522057691206608E-2</v>
      </c>
      <c r="F89" s="103">
        <v>3.4837353788831807E-2</v>
      </c>
      <c r="G89" s="103">
        <v>0.18217002907431862</v>
      </c>
      <c r="H89" s="103">
        <v>9.0693811544910352E-2</v>
      </c>
      <c r="I89" s="103">
        <v>1.2923190112548527E-2</v>
      </c>
      <c r="J89" s="103">
        <v>-6.5380819595329542E-3</v>
      </c>
      <c r="K89" s="184">
        <v>6.8147644187090933E-2</v>
      </c>
    </row>
    <row r="90" spans="1:11">
      <c r="A90" s="179" t="str">
        <f t="shared" si="4"/>
        <v>Credits</v>
      </c>
      <c r="B90" s="103">
        <v>-8.4530754296533547E-2</v>
      </c>
      <c r="C90" s="103">
        <v>-6.7671122147200766E-2</v>
      </c>
      <c r="D90" s="213">
        <v>-5.2348208802963647E-3</v>
      </c>
      <c r="E90" s="103">
        <v>-9.7864925862408331E-2</v>
      </c>
      <c r="F90" s="103">
        <v>-0.21715321511850758</v>
      </c>
      <c r="G90" s="103">
        <v>-5.9143612505220267E-2</v>
      </c>
      <c r="H90" s="103">
        <v>-1.0826768083190091E-2</v>
      </c>
      <c r="I90" s="103">
        <v>-0.21014383744314163</v>
      </c>
      <c r="J90" s="103">
        <v>-0.14116252910046576</v>
      </c>
      <c r="K90" s="184">
        <v>-0.15535557954854112</v>
      </c>
    </row>
    <row r="91" spans="1:11">
      <c r="A91" s="179" t="str">
        <f t="shared" si="4"/>
        <v>High Yield</v>
      </c>
      <c r="B91" s="103">
        <v>0.17840073935723941</v>
      </c>
      <c r="C91" s="103">
        <v>5.8522057691206608E-2</v>
      </c>
      <c r="D91" s="103">
        <v>-9.7864925862408331E-2</v>
      </c>
      <c r="E91" s="213">
        <v>-3.3273833361347732E-2</v>
      </c>
      <c r="F91" s="103">
        <v>-8.6234695066643996E-2</v>
      </c>
      <c r="G91" s="103">
        <v>-5.8868876669456172E-2</v>
      </c>
      <c r="H91" s="103">
        <v>-0.12681812944521509</v>
      </c>
      <c r="I91" s="103">
        <v>-0.17877065576494136</v>
      </c>
      <c r="J91" s="103">
        <v>-3.917155760511426E-2</v>
      </c>
      <c r="K91" s="184">
        <v>-0.24333865989396133</v>
      </c>
    </row>
    <row r="92" spans="1:11">
      <c r="A92" s="179" t="str">
        <f t="shared" si="4"/>
        <v>EMD</v>
      </c>
      <c r="B92" s="103">
        <v>7.10194078967923E-2</v>
      </c>
      <c r="C92" s="103">
        <v>3.4837353788831807E-2</v>
      </c>
      <c r="D92" s="103">
        <v>-0.21715321511850758</v>
      </c>
      <c r="E92" s="103">
        <v>-8.6234695066643996E-2</v>
      </c>
      <c r="F92" s="213">
        <v>-3.2410901438320872E-3</v>
      </c>
      <c r="G92" s="103">
        <v>-9.1062292989440852E-2</v>
      </c>
      <c r="H92" s="103">
        <v>-0.11945785635465744</v>
      </c>
      <c r="I92" s="103">
        <v>3.2171214796350101E-2</v>
      </c>
      <c r="J92" s="103">
        <v>8.5983463424273654E-2</v>
      </c>
      <c r="K92" s="184">
        <v>-0.10060564896952384</v>
      </c>
    </row>
    <row r="93" spans="1:11">
      <c r="A93" s="179" t="str">
        <f t="shared" si="4"/>
        <v>Aandelen ontw</v>
      </c>
      <c r="B93" s="103">
        <v>0.22331656833061259</v>
      </c>
      <c r="C93" s="103">
        <v>0.18217002907431862</v>
      </c>
      <c r="D93" s="103">
        <v>-5.9143612505220267E-2</v>
      </c>
      <c r="E93" s="103">
        <v>-5.8868876669456172E-2</v>
      </c>
      <c r="F93" s="103">
        <v>-9.1062292989440852E-2</v>
      </c>
      <c r="G93" s="213">
        <v>-3.4227670194245163E-2</v>
      </c>
      <c r="H93" s="103">
        <v>-6.9755770142134743E-2</v>
      </c>
      <c r="I93" s="103">
        <v>-0.18525165444701069</v>
      </c>
      <c r="J93" s="103">
        <v>-6.2959992559712213E-2</v>
      </c>
      <c r="K93" s="184">
        <v>-0.19471578864639266</v>
      </c>
    </row>
    <row r="94" spans="1:11">
      <c r="A94" s="179" t="str">
        <f t="shared" si="4"/>
        <v>Aandelen opk</v>
      </c>
      <c r="B94" s="103">
        <v>0.11698820245267752</v>
      </c>
      <c r="C94" s="103">
        <v>9.0693811544910352E-2</v>
      </c>
      <c r="D94" s="103">
        <v>-1.0826768083190091E-2</v>
      </c>
      <c r="E94" s="103">
        <v>-0.12681812944521509</v>
      </c>
      <c r="F94" s="103">
        <v>-0.11945785635465744</v>
      </c>
      <c r="G94" s="103">
        <v>-6.9755770142134743E-2</v>
      </c>
      <c r="H94" s="213">
        <v>-0.18</v>
      </c>
      <c r="I94" s="103">
        <v>-0.18989786324186367</v>
      </c>
      <c r="J94" s="103">
        <v>-6.894945169537936E-2</v>
      </c>
      <c r="K94" s="184">
        <v>-0.1266716377320013</v>
      </c>
    </row>
    <row r="95" spans="1:11">
      <c r="A95" s="179" t="str">
        <f t="shared" si="4"/>
        <v>Hedge funds</v>
      </c>
      <c r="B95" s="103">
        <v>0.14474442620357167</v>
      </c>
      <c r="C95" s="103">
        <v>1.2923190112548527E-2</v>
      </c>
      <c r="D95" s="103">
        <v>-0.21014383744314163</v>
      </c>
      <c r="E95" s="103">
        <v>-0.17877065576494136</v>
      </c>
      <c r="F95" s="103">
        <v>3.2171214796350101E-2</v>
      </c>
      <c r="G95" s="103">
        <v>-0.18525165444701069</v>
      </c>
      <c r="H95" s="103">
        <v>-0.18989786324186367</v>
      </c>
      <c r="I95" s="194">
        <v>-1.4635003176341088E-2</v>
      </c>
      <c r="J95" s="103">
        <v>5.4978937232037617E-2</v>
      </c>
      <c r="K95" s="184">
        <v>-0.16025247549963151</v>
      </c>
    </row>
    <row r="96" spans="1:11">
      <c r="A96" s="179" t="str">
        <f t="shared" si="4"/>
        <v>OG</v>
      </c>
      <c r="B96" s="103">
        <v>6.6183262711402235E-2</v>
      </c>
      <c r="C96" s="103">
        <v>-6.5380819595329542E-3</v>
      </c>
      <c r="D96" s="103">
        <v>-0.14116252910046576</v>
      </c>
      <c r="E96" s="103">
        <v>-3.917155760511426E-2</v>
      </c>
      <c r="F96" s="103">
        <v>8.5983463424273654E-2</v>
      </c>
      <c r="G96" s="103">
        <v>-6.2959992559712213E-2</v>
      </c>
      <c r="H96" s="103">
        <v>-6.894945169537936E-2</v>
      </c>
      <c r="I96" s="103">
        <v>5.4978937232037617E-2</v>
      </c>
      <c r="J96" s="194">
        <v>0.1</v>
      </c>
      <c r="K96" s="184">
        <v>-2.5157418362232065E-2</v>
      </c>
    </row>
    <row r="97" spans="1:11" ht="13.5" thickBot="1">
      <c r="A97" s="179" t="str">
        <f t="shared" si="4"/>
        <v>Commodities</v>
      </c>
      <c r="B97" s="185">
        <v>2.831353237140305E-2</v>
      </c>
      <c r="C97" s="185">
        <v>6.8147644187090933E-2</v>
      </c>
      <c r="D97" s="185">
        <v>-0.15535557954854112</v>
      </c>
      <c r="E97" s="185">
        <v>-0.24333865989396133</v>
      </c>
      <c r="F97" s="185">
        <v>-0.10060564896952384</v>
      </c>
      <c r="G97" s="185">
        <v>-0.19471578864639266</v>
      </c>
      <c r="H97" s="185">
        <v>-0.1266716377320013</v>
      </c>
      <c r="I97" s="185">
        <v>-0.16025247549963151</v>
      </c>
      <c r="J97" s="185">
        <v>-2.5157418362232065E-2</v>
      </c>
      <c r="K97" s="195">
        <v>-0.1</v>
      </c>
    </row>
    <row r="98" spans="1:11" ht="14.25" thickTop="1" thickBot="1">
      <c r="A98" s="181" t="s">
        <v>165</v>
      </c>
      <c r="B98" s="190" t="str">
        <f>A99</f>
        <v>Nominale VPV</v>
      </c>
      <c r="C98" s="190" t="str">
        <f>A100</f>
        <v>Reele VPV</v>
      </c>
      <c r="D98" s="190" t="str">
        <f>A101</f>
        <v>Credits</v>
      </c>
      <c r="E98" s="190" t="str">
        <f>A102</f>
        <v>High Yield</v>
      </c>
      <c r="F98" s="190" t="str">
        <f>A103</f>
        <v>EMD</v>
      </c>
      <c r="G98" s="190" t="str">
        <f>A104</f>
        <v>Aandelen ontw</v>
      </c>
      <c r="H98" s="190" t="str">
        <f>A105</f>
        <v>Aandelen opk</v>
      </c>
      <c r="I98" s="190" t="str">
        <f>A106</f>
        <v>Hedge funds</v>
      </c>
      <c r="J98" s="190" t="str">
        <f>A107</f>
        <v>OG</v>
      </c>
      <c r="K98" s="191" t="str">
        <f>A108</f>
        <v>Commodities</v>
      </c>
    </row>
    <row r="99" spans="1:11" ht="13.5" thickTop="1">
      <c r="A99" s="178" t="str">
        <f t="shared" ref="A99:A108" si="5">A77</f>
        <v>Nominale VPV</v>
      </c>
      <c r="B99" s="200" t="s">
        <v>75</v>
      </c>
      <c r="C99" s="206" t="s">
        <v>75</v>
      </c>
      <c r="D99" s="206" t="s">
        <v>75</v>
      </c>
      <c r="E99" s="206" t="s">
        <v>75</v>
      </c>
      <c r="F99" s="206" t="s">
        <v>75</v>
      </c>
      <c r="G99" s="206" t="s">
        <v>75</v>
      </c>
      <c r="H99" s="206" t="s">
        <v>75</v>
      </c>
      <c r="I99" s="206" t="s">
        <v>75</v>
      </c>
      <c r="J99" s="206" t="s">
        <v>75</v>
      </c>
      <c r="K99" s="206" t="s">
        <v>75</v>
      </c>
    </row>
    <row r="100" spans="1:11">
      <c r="A100" s="179" t="str">
        <f t="shared" si="5"/>
        <v>Reele VPV</v>
      </c>
      <c r="B100" s="188" t="s">
        <v>75</v>
      </c>
      <c r="C100" s="201" t="s">
        <v>75</v>
      </c>
      <c r="D100" s="207" t="s">
        <v>75</v>
      </c>
      <c r="E100" s="207" t="s">
        <v>75</v>
      </c>
      <c r="F100" s="207" t="s">
        <v>75</v>
      </c>
      <c r="G100" s="207" t="s">
        <v>75</v>
      </c>
      <c r="H100" s="207" t="s">
        <v>75</v>
      </c>
      <c r="I100" s="207" t="s">
        <v>75</v>
      </c>
      <c r="J100" s="207" t="s">
        <v>75</v>
      </c>
      <c r="K100" s="207" t="s">
        <v>75</v>
      </c>
    </row>
    <row r="101" spans="1:11">
      <c r="A101" s="179" t="str">
        <f t="shared" si="5"/>
        <v>Credits</v>
      </c>
      <c r="B101" s="188" t="s">
        <v>75</v>
      </c>
      <c r="C101" s="97" t="s">
        <v>75</v>
      </c>
      <c r="D101" s="201" t="s">
        <v>75</v>
      </c>
      <c r="E101" s="207" t="s">
        <v>75</v>
      </c>
      <c r="F101" s="207" t="s">
        <v>75</v>
      </c>
      <c r="G101" s="207" t="s">
        <v>75</v>
      </c>
      <c r="H101" s="207" t="s">
        <v>75</v>
      </c>
      <c r="I101" s="207" t="s">
        <v>75</v>
      </c>
      <c r="J101" s="207" t="s">
        <v>75</v>
      </c>
      <c r="K101" s="207" t="s">
        <v>75</v>
      </c>
    </row>
    <row r="102" spans="1:11">
      <c r="A102" s="179" t="str">
        <f t="shared" si="5"/>
        <v>High Yield</v>
      </c>
      <c r="B102" s="188" t="s">
        <v>75</v>
      </c>
      <c r="C102" s="97" t="s">
        <v>75</v>
      </c>
      <c r="D102" s="97" t="s">
        <v>75</v>
      </c>
      <c r="E102" s="201" t="s">
        <v>75</v>
      </c>
      <c r="F102" s="207" t="s">
        <v>75</v>
      </c>
      <c r="G102" s="207" t="s">
        <v>75</v>
      </c>
      <c r="H102" s="207" t="s">
        <v>75</v>
      </c>
      <c r="I102" s="207" t="s">
        <v>75</v>
      </c>
      <c r="J102" s="207" t="s">
        <v>75</v>
      </c>
      <c r="K102" s="207" t="s">
        <v>75</v>
      </c>
    </row>
    <row r="103" spans="1:11">
      <c r="A103" s="179" t="str">
        <f t="shared" si="5"/>
        <v>EMD</v>
      </c>
      <c r="B103" s="188" t="s">
        <v>75</v>
      </c>
      <c r="C103" s="97" t="s">
        <v>75</v>
      </c>
      <c r="D103" s="97" t="s">
        <v>75</v>
      </c>
      <c r="E103" s="97" t="s">
        <v>75</v>
      </c>
      <c r="F103" s="201" t="s">
        <v>75</v>
      </c>
      <c r="G103" s="207" t="s">
        <v>75</v>
      </c>
      <c r="H103" s="207" t="s">
        <v>75</v>
      </c>
      <c r="I103" s="207" t="s">
        <v>75</v>
      </c>
      <c r="J103" s="207" t="s">
        <v>75</v>
      </c>
      <c r="K103" s="207" t="s">
        <v>75</v>
      </c>
    </row>
    <row r="104" spans="1:11">
      <c r="A104" s="179" t="str">
        <f t="shared" si="5"/>
        <v>Aandelen ontw</v>
      </c>
      <c r="B104" s="188" t="s">
        <v>75</v>
      </c>
      <c r="C104" s="97" t="s">
        <v>75</v>
      </c>
      <c r="D104" s="97" t="s">
        <v>75</v>
      </c>
      <c r="E104" s="97" t="s">
        <v>75</v>
      </c>
      <c r="F104" s="97" t="s">
        <v>75</v>
      </c>
      <c r="G104" s="201" t="s">
        <v>75</v>
      </c>
      <c r="H104" s="207" t="s">
        <v>75</v>
      </c>
      <c r="I104" s="207" t="s">
        <v>75</v>
      </c>
      <c r="J104" s="207" t="s">
        <v>75</v>
      </c>
      <c r="K104" s="207" t="s">
        <v>75</v>
      </c>
    </row>
    <row r="105" spans="1:11">
      <c r="A105" s="179" t="str">
        <f t="shared" si="5"/>
        <v>Aandelen opk</v>
      </c>
      <c r="B105" s="188" t="s">
        <v>75</v>
      </c>
      <c r="C105" s="97" t="s">
        <v>75</v>
      </c>
      <c r="D105" s="97" t="s">
        <v>75</v>
      </c>
      <c r="E105" s="97" t="s">
        <v>75</v>
      </c>
      <c r="F105" s="97" t="s">
        <v>75</v>
      </c>
      <c r="G105" s="97" t="s">
        <v>75</v>
      </c>
      <c r="H105" s="201" t="s">
        <v>75</v>
      </c>
      <c r="I105" s="207" t="s">
        <v>75</v>
      </c>
      <c r="J105" s="207" t="s">
        <v>75</v>
      </c>
      <c r="K105" s="207" t="s">
        <v>75</v>
      </c>
    </row>
    <row r="106" spans="1:11">
      <c r="A106" s="179" t="str">
        <f t="shared" si="5"/>
        <v>Hedge funds</v>
      </c>
      <c r="B106" s="188" t="s">
        <v>75</v>
      </c>
      <c r="C106" s="97" t="s">
        <v>75</v>
      </c>
      <c r="D106" s="97" t="s">
        <v>75</v>
      </c>
      <c r="E106" s="97" t="s">
        <v>75</v>
      </c>
      <c r="F106" s="97" t="s">
        <v>75</v>
      </c>
      <c r="G106" s="97" t="s">
        <v>75</v>
      </c>
      <c r="H106" s="97" t="s">
        <v>75</v>
      </c>
      <c r="I106" s="201" t="s">
        <v>75</v>
      </c>
      <c r="J106" s="207" t="s">
        <v>75</v>
      </c>
      <c r="K106" s="207" t="s">
        <v>75</v>
      </c>
    </row>
    <row r="107" spans="1:11">
      <c r="A107" s="179" t="str">
        <f t="shared" si="5"/>
        <v>OG</v>
      </c>
      <c r="B107" s="188" t="s">
        <v>75</v>
      </c>
      <c r="C107" s="97" t="s">
        <v>75</v>
      </c>
      <c r="D107" s="97" t="s">
        <v>75</v>
      </c>
      <c r="E107" s="97" t="s">
        <v>75</v>
      </c>
      <c r="F107" s="97" t="s">
        <v>75</v>
      </c>
      <c r="G107" s="97" t="s">
        <v>75</v>
      </c>
      <c r="H107" s="97" t="s">
        <v>75</v>
      </c>
      <c r="I107" s="97" t="s">
        <v>75</v>
      </c>
      <c r="J107" s="201" t="s">
        <v>75</v>
      </c>
      <c r="K107" s="207" t="s">
        <v>75</v>
      </c>
    </row>
    <row r="108" spans="1:11" ht="13.5" thickBot="1">
      <c r="A108" s="180" t="str">
        <f t="shared" si="5"/>
        <v>Commodities</v>
      </c>
      <c r="B108" s="189" t="s">
        <v>75</v>
      </c>
      <c r="C108" s="192" t="s">
        <v>75</v>
      </c>
      <c r="D108" s="192" t="s">
        <v>75</v>
      </c>
      <c r="E108" s="192" t="s">
        <v>75</v>
      </c>
      <c r="F108" s="192" t="s">
        <v>75</v>
      </c>
      <c r="G108" s="192" t="s">
        <v>75</v>
      </c>
      <c r="H108" s="192" t="s">
        <v>75</v>
      </c>
      <c r="I108" s="192" t="s">
        <v>75</v>
      </c>
      <c r="J108" s="192" t="s">
        <v>75</v>
      </c>
      <c r="K108" s="202" t="s">
        <v>75</v>
      </c>
    </row>
    <row r="109" spans="1:11" ht="13.5" thickTop="1"/>
    <row r="115" spans="1:2">
      <c r="A115" s="2" t="s">
        <v>170</v>
      </c>
    </row>
    <row r="116" spans="1:2">
      <c r="A116" s="76" t="s">
        <v>161</v>
      </c>
      <c r="B116" s="7" t="s">
        <v>171</v>
      </c>
    </row>
    <row r="117" spans="1:2">
      <c r="A117" s="221" t="str">
        <f>A38</f>
        <v>Nominale VPV</v>
      </c>
      <c r="B117" s="16">
        <v>-5.0000000000000001E-3</v>
      </c>
    </row>
    <row r="118" spans="1:2">
      <c r="A118" s="221" t="str">
        <f t="shared" ref="A118:A126" si="6">A39</f>
        <v>Reele VPV</v>
      </c>
      <c r="B118" s="16">
        <v>-4.2615162118704336E-2</v>
      </c>
    </row>
    <row r="119" spans="1:2">
      <c r="A119" s="221" t="str">
        <f t="shared" si="6"/>
        <v>Credits</v>
      </c>
      <c r="B119" s="16">
        <v>-6.7202989212353972E-2</v>
      </c>
    </row>
    <row r="120" spans="1:2">
      <c r="A120" s="221" t="str">
        <f t="shared" si="6"/>
        <v>High Yield</v>
      </c>
      <c r="B120" s="16">
        <v>-1.4963873800506802E-3</v>
      </c>
    </row>
    <row r="121" spans="1:2">
      <c r="A121" s="221" t="str">
        <f t="shared" si="6"/>
        <v>EMD</v>
      </c>
      <c r="B121" s="16">
        <v>-6.5282629627811395E-3</v>
      </c>
    </row>
    <row r="122" spans="1:2">
      <c r="A122" s="221" t="str">
        <f t="shared" si="6"/>
        <v>Aandelen ontw</v>
      </c>
      <c r="B122" s="16">
        <v>-1.4356314621335145E-2</v>
      </c>
    </row>
    <row r="123" spans="1:2">
      <c r="A123" s="221" t="str">
        <f t="shared" si="6"/>
        <v>Aandelen opk</v>
      </c>
      <c r="B123" s="16">
        <v>-0.03</v>
      </c>
    </row>
    <row r="124" spans="1:2">
      <c r="A124" s="221" t="str">
        <f t="shared" si="6"/>
        <v>Hedge funds</v>
      </c>
      <c r="B124" s="16">
        <v>0</v>
      </c>
    </row>
    <row r="125" spans="1:2">
      <c r="A125" s="221" t="str">
        <f t="shared" si="6"/>
        <v>OG</v>
      </c>
      <c r="B125" s="16">
        <v>-2.2615162118704332E-2</v>
      </c>
    </row>
    <row r="126" spans="1:2">
      <c r="A126" s="70" t="str">
        <f t="shared" si="6"/>
        <v>Commodities</v>
      </c>
      <c r="B126" s="10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76" t="str">
        <f>A130</f>
        <v>Nominale VPV</v>
      </c>
      <c r="C129" s="176" t="str">
        <f>A131</f>
        <v>Reele VPV</v>
      </c>
      <c r="D129" s="176" t="str">
        <f>A132</f>
        <v>Credits</v>
      </c>
      <c r="E129" s="176" t="str">
        <f>A133</f>
        <v>High Yield</v>
      </c>
      <c r="F129" s="176" t="str">
        <f>A134</f>
        <v>EMD</v>
      </c>
      <c r="G129" s="176" t="str">
        <f>A135</f>
        <v>Aandelen ontw</v>
      </c>
      <c r="H129" s="176" t="str">
        <f>A136</f>
        <v>Aandelen opk</v>
      </c>
      <c r="I129" s="176" t="str">
        <f>A137</f>
        <v>Hedge funds</v>
      </c>
      <c r="J129" s="176" t="str">
        <f>A138</f>
        <v>OG</v>
      </c>
      <c r="K129" s="177" t="str">
        <f>A139</f>
        <v>Commodities</v>
      </c>
    </row>
    <row r="130" spans="1:11">
      <c r="A130" s="10" t="str">
        <f>A88</f>
        <v>Nominale VPV</v>
      </c>
      <c r="B130" s="174">
        <v>-4.4452634636536759E-3</v>
      </c>
      <c r="C130" s="103">
        <v>8.7441982900903215E-3</v>
      </c>
      <c r="D130" s="103">
        <v>-4.9339554768319666E-2</v>
      </c>
      <c r="E130" s="103">
        <v>1.2956951776552206E-2</v>
      </c>
      <c r="F130" s="103">
        <v>0.12280562830238999</v>
      </c>
      <c r="G130" s="103">
        <v>7.888144630971039E-2</v>
      </c>
      <c r="H130" s="103">
        <v>2.0536738705801028E-2</v>
      </c>
      <c r="I130" s="103">
        <v>0.20606610244590901</v>
      </c>
      <c r="J130" s="103">
        <v>0.14011276432957054</v>
      </c>
      <c r="K130" s="104">
        <v>0.15047956318851441</v>
      </c>
    </row>
    <row r="131" spans="1:11">
      <c r="A131" s="168" t="str">
        <f t="shared" ref="A131:A139" si="7">A89</f>
        <v>Reele VPV</v>
      </c>
      <c r="B131" s="103">
        <v>8.7441982900903215E-3</v>
      </c>
      <c r="C131" s="174">
        <v>-1.2489110566723652E-2</v>
      </c>
      <c r="D131" s="103">
        <v>-7.8968305578049042E-2</v>
      </c>
      <c r="E131" s="103">
        <v>6.0426382116282595E-4</v>
      </c>
      <c r="F131" s="103">
        <v>0.10492325236742081</v>
      </c>
      <c r="G131" s="103">
        <v>5.6290840075746598E-2</v>
      </c>
      <c r="H131" s="103">
        <v>-1.5578453646869446E-2</v>
      </c>
      <c r="I131" s="103">
        <v>8.388996510493392E-2</v>
      </c>
      <c r="J131" s="103">
        <v>5.6324160721505756E-2</v>
      </c>
      <c r="K131" s="104">
        <v>0.15211552114400606</v>
      </c>
    </row>
    <row r="132" spans="1:11">
      <c r="A132" s="168" t="str">
        <f t="shared" si="7"/>
        <v>Credits</v>
      </c>
      <c r="B132" s="103">
        <v>-4.9339554768319666E-2</v>
      </c>
      <c r="C132" s="103">
        <v>-7.8968305578049042E-2</v>
      </c>
      <c r="D132" s="174">
        <v>-2.706363543105883E-3</v>
      </c>
      <c r="E132" s="103">
        <v>-0.10623169046092773</v>
      </c>
      <c r="F132" s="103">
        <v>-0.14155774979361152</v>
      </c>
      <c r="G132" s="103">
        <v>-5.0668020034901229E-2</v>
      </c>
      <c r="H132" s="103">
        <v>-1.3786713207860615E-2</v>
      </c>
      <c r="I132" s="103">
        <v>-0.21194265883981259</v>
      </c>
      <c r="J132" s="103">
        <v>-0.18953914181475942</v>
      </c>
      <c r="K132" s="104">
        <v>-0.13698576121952513</v>
      </c>
    </row>
    <row r="133" spans="1:11">
      <c r="A133" s="168" t="str">
        <f t="shared" si="7"/>
        <v>High Yield</v>
      </c>
      <c r="B133" s="103">
        <v>1.2956951776552206E-2</v>
      </c>
      <c r="C133" s="103">
        <v>6.0426382116282595E-4</v>
      </c>
      <c r="D133" s="103">
        <v>-0.10623169046092773</v>
      </c>
      <c r="E133" s="174">
        <v>-1.7442087987237814E-2</v>
      </c>
      <c r="F133" s="103">
        <v>-6.5893962027107067E-3</v>
      </c>
      <c r="G133" s="103">
        <v>-0.143476943707742</v>
      </c>
      <c r="H133" s="103">
        <v>-0.11434838152979443</v>
      </c>
      <c r="I133" s="103">
        <v>-3.4443218317613822E-2</v>
      </c>
      <c r="J133" s="103">
        <v>-6.7853109690286184E-2</v>
      </c>
      <c r="K133" s="104">
        <v>-0.17277427161463785</v>
      </c>
    </row>
    <row r="134" spans="1:11">
      <c r="A134" s="168" t="str">
        <f t="shared" si="7"/>
        <v>EMD</v>
      </c>
      <c r="B134" s="103">
        <v>0.12280562830238999</v>
      </c>
      <c r="C134" s="103">
        <v>0.10492325236742081</v>
      </c>
      <c r="D134" s="103">
        <v>-0.14155774979361152</v>
      </c>
      <c r="E134" s="103">
        <v>-6.5893962027107067E-3</v>
      </c>
      <c r="F134" s="174">
        <v>9.8520155870215897E-4</v>
      </c>
      <c r="G134" s="103">
        <v>-8.595312319249071E-2</v>
      </c>
      <c r="H134" s="103">
        <v>-1.5001410389243408E-2</v>
      </c>
      <c r="I134" s="103">
        <v>1.8350200165725084E-2</v>
      </c>
      <c r="J134" s="103">
        <v>-6.8151783508844377E-2</v>
      </c>
      <c r="K134" s="104">
        <v>-0.14271150902962326</v>
      </c>
    </row>
    <row r="135" spans="1:11">
      <c r="A135" s="168" t="str">
        <f t="shared" si="7"/>
        <v>Aandelen ontw</v>
      </c>
      <c r="B135" s="103">
        <v>7.888144630971039E-2</v>
      </c>
      <c r="C135" s="103">
        <v>5.6290840075746598E-2</v>
      </c>
      <c r="D135" s="103">
        <v>-5.0668020034901229E-2</v>
      </c>
      <c r="E135" s="103">
        <v>-0.143476943707742</v>
      </c>
      <c r="F135" s="103">
        <v>-8.595312319249071E-2</v>
      </c>
      <c r="G135" s="174">
        <v>-3.6806140284931677E-2</v>
      </c>
      <c r="H135" s="103">
        <v>-0.13411329500608138</v>
      </c>
      <c r="I135" s="103">
        <v>-6.395250688912657E-2</v>
      </c>
      <c r="J135" s="103">
        <v>-4.3385699574238039E-2</v>
      </c>
      <c r="K135" s="104">
        <v>-0.14433234480063456</v>
      </c>
    </row>
    <row r="136" spans="1:11">
      <c r="A136" s="168" t="str">
        <f t="shared" si="7"/>
        <v>Aandelen opk</v>
      </c>
      <c r="B136" s="103">
        <v>2.0536738705801028E-2</v>
      </c>
      <c r="C136" s="103">
        <v>-1.5578453646869446E-2</v>
      </c>
      <c r="D136" s="103">
        <v>-1.3786713207860615E-2</v>
      </c>
      <c r="E136" s="103">
        <v>-0.11434838152979443</v>
      </c>
      <c r="F136" s="103">
        <v>-1.5001410389243408E-2</v>
      </c>
      <c r="G136" s="103">
        <v>-0.13411329500608138</v>
      </c>
      <c r="H136" s="174">
        <v>-2.4024513892395571E-2</v>
      </c>
      <c r="I136" s="103">
        <v>-3.24415603390657E-2</v>
      </c>
      <c r="J136" s="103">
        <v>-4.0330896746586908E-2</v>
      </c>
      <c r="K136" s="104">
        <v>-0.12811111916728496</v>
      </c>
    </row>
    <row r="137" spans="1:11">
      <c r="A137" s="168" t="str">
        <f t="shared" si="7"/>
        <v>Hedge funds</v>
      </c>
      <c r="B137" s="103">
        <v>0.20606610244590901</v>
      </c>
      <c r="C137" s="103">
        <v>8.388996510493392E-2</v>
      </c>
      <c r="D137" s="103">
        <v>-0.21194265883981259</v>
      </c>
      <c r="E137" s="103">
        <v>-3.4443218317613822E-2</v>
      </c>
      <c r="F137" s="103">
        <v>1.8350200165725084E-2</v>
      </c>
      <c r="G137" s="103">
        <v>-6.395250688912657E-2</v>
      </c>
      <c r="H137" s="103">
        <v>-3.24415603390657E-2</v>
      </c>
      <c r="I137" s="194">
        <v>0.05</v>
      </c>
      <c r="J137" s="103">
        <v>-0.14615165313209905</v>
      </c>
      <c r="K137" s="104">
        <v>-0.2894409383542384</v>
      </c>
    </row>
    <row r="138" spans="1:11">
      <c r="A138" s="168" t="str">
        <f t="shared" si="7"/>
        <v>OG</v>
      </c>
      <c r="B138" s="103">
        <v>0.14011276432957054</v>
      </c>
      <c r="C138" s="103">
        <v>5.6324160721505756E-2</v>
      </c>
      <c r="D138" s="103">
        <v>-0.18953914181475942</v>
      </c>
      <c r="E138" s="103">
        <v>-6.7853109690286184E-2</v>
      </c>
      <c r="F138" s="103">
        <v>-6.8151783508844377E-2</v>
      </c>
      <c r="G138" s="103">
        <v>-4.3385699574238039E-2</v>
      </c>
      <c r="H138" s="103">
        <v>-4.0330896746586908E-2</v>
      </c>
      <c r="I138" s="103">
        <v>-0.14615165313209905</v>
      </c>
      <c r="J138" s="194">
        <v>-1.0093826837884137E-2</v>
      </c>
      <c r="K138" s="104">
        <v>-0.15122033452681916</v>
      </c>
    </row>
    <row r="139" spans="1:11">
      <c r="A139" s="167" t="str">
        <f t="shared" si="7"/>
        <v>Commodities</v>
      </c>
      <c r="B139" s="106">
        <v>0.15047956318851441</v>
      </c>
      <c r="C139" s="106">
        <v>0.15211552114400606</v>
      </c>
      <c r="D139" s="106">
        <v>-0.13698576121952513</v>
      </c>
      <c r="E139" s="106">
        <v>-0.17277427161463785</v>
      </c>
      <c r="F139" s="106">
        <v>-0.14271150902962326</v>
      </c>
      <c r="G139" s="106">
        <v>-0.14433234480063456</v>
      </c>
      <c r="H139" s="106">
        <v>-0.12811111916728496</v>
      </c>
      <c r="I139" s="106">
        <v>-0.2894409383542384</v>
      </c>
      <c r="J139" s="106">
        <v>-0.15122033452681916</v>
      </c>
      <c r="K139" s="220">
        <v>-2.1570331594918418E-2</v>
      </c>
    </row>
    <row r="156" spans="2:2">
      <c r="B156" t="s">
        <v>75</v>
      </c>
    </row>
    <row r="157" spans="2:2">
      <c r="B157" t="s">
        <v>76</v>
      </c>
    </row>
  </sheetData>
  <phoneticPr fontId="2" type="noConversion"/>
  <dataValidations count="1">
    <dataValidation type="list" allowBlank="1" showInputMessage="1" showErrorMessage="1" sqref="F38:F47 B99:K108">
      <formula1>$B$156:$B$157</formula1>
    </dataValidation>
  </dataValidations>
  <pageMargins left="0.75" right="0.75" top="1" bottom="1" header="0.5" footer="0.5"/>
  <headerFooter alignWithMargins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9" enableFormatConditionsCalculation="0">
    <tabColor indexed="15"/>
  </sheetPr>
  <dimension ref="A1:Z157"/>
  <sheetViews>
    <sheetView topLeftCell="A79" zoomScale="75" workbookViewId="0">
      <selection activeCell="B88" sqref="B88:K97"/>
    </sheetView>
  </sheetViews>
  <sheetFormatPr defaultRowHeight="12.75"/>
  <cols>
    <col min="1" max="1" width="34.1406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visies'!D2</f>
        <v xml:space="preserve">Vermogenseffect </v>
      </c>
      <c r="C1" s="3" t="s">
        <v>129</v>
      </c>
      <c r="D1" s="25">
        <v>3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22"/>
      <c r="B5" s="165"/>
      <c r="C5" s="166"/>
      <c r="D5" s="166"/>
      <c r="E5" s="166"/>
      <c r="F5" s="166"/>
      <c r="G5" s="166"/>
      <c r="H5" s="166"/>
      <c r="I5" s="166"/>
      <c r="J5" s="166"/>
      <c r="K5" s="161"/>
      <c r="M5" s="3"/>
    </row>
    <row r="6" spans="1:25">
      <c r="A6" s="9" t="s">
        <v>145</v>
      </c>
      <c r="B6" s="162" t="s">
        <v>77</v>
      </c>
      <c r="C6" s="61" t="s">
        <v>78</v>
      </c>
      <c r="D6" s="61" t="s">
        <v>73</v>
      </c>
      <c r="E6" s="61" t="s">
        <v>4</v>
      </c>
      <c r="F6" s="61" t="s">
        <v>0</v>
      </c>
      <c r="G6" s="61" t="s">
        <v>82</v>
      </c>
      <c r="H6" s="61" t="s">
        <v>83</v>
      </c>
      <c r="I6" s="61" t="s">
        <v>5</v>
      </c>
      <c r="J6" s="61" t="s">
        <v>1</v>
      </c>
      <c r="K6" s="62" t="s">
        <v>6</v>
      </c>
      <c r="M6" s="3"/>
      <c r="X6" s="3" t="s">
        <v>146</v>
      </c>
    </row>
    <row r="7" spans="1:25">
      <c r="A7" s="168" t="s">
        <v>77</v>
      </c>
      <c r="B7" s="171">
        <v>1</v>
      </c>
      <c r="C7" s="97">
        <v>0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0</v>
      </c>
      <c r="J7" s="97">
        <v>0</v>
      </c>
      <c r="K7" s="5">
        <v>0</v>
      </c>
      <c r="X7" t="s">
        <v>148</v>
      </c>
      <c r="Y7">
        <v>-20</v>
      </c>
    </row>
    <row r="8" spans="1:25">
      <c r="A8" s="168" t="s">
        <v>78</v>
      </c>
      <c r="B8" s="171">
        <v>0</v>
      </c>
      <c r="C8" s="97">
        <v>1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5">
        <v>0</v>
      </c>
      <c r="X8" t="s">
        <v>149</v>
      </c>
      <c r="Y8">
        <v>-10</v>
      </c>
    </row>
    <row r="9" spans="1:25">
      <c r="A9" s="168" t="s">
        <v>73</v>
      </c>
      <c r="B9" s="171">
        <v>0</v>
      </c>
      <c r="C9" s="97">
        <v>0</v>
      </c>
      <c r="D9" s="97">
        <v>1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5">
        <v>0</v>
      </c>
      <c r="X9" t="s">
        <v>147</v>
      </c>
      <c r="Y9">
        <v>0</v>
      </c>
    </row>
    <row r="10" spans="1:25">
      <c r="A10" s="168" t="s">
        <v>4</v>
      </c>
      <c r="B10" s="171">
        <v>0</v>
      </c>
      <c r="C10" s="97">
        <v>0</v>
      </c>
      <c r="D10" s="97">
        <v>0</v>
      </c>
      <c r="E10" s="97">
        <v>1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5">
        <v>0</v>
      </c>
      <c r="X10" t="s">
        <v>151</v>
      </c>
      <c r="Y10">
        <v>10</v>
      </c>
    </row>
    <row r="11" spans="1:25">
      <c r="A11" s="168" t="s">
        <v>0</v>
      </c>
      <c r="B11" s="171">
        <v>0</v>
      </c>
      <c r="C11" s="97">
        <v>0</v>
      </c>
      <c r="D11" s="97">
        <v>0</v>
      </c>
      <c r="E11" s="97">
        <v>0</v>
      </c>
      <c r="F11" s="97">
        <v>1</v>
      </c>
      <c r="G11" s="97">
        <v>0</v>
      </c>
      <c r="H11" s="97">
        <v>0</v>
      </c>
      <c r="I11" s="97">
        <v>0</v>
      </c>
      <c r="J11" s="97">
        <v>0</v>
      </c>
      <c r="K11" s="5">
        <v>0</v>
      </c>
      <c r="X11" t="s">
        <v>152</v>
      </c>
      <c r="Y11">
        <v>20</v>
      </c>
    </row>
    <row r="12" spans="1:25">
      <c r="A12" s="168" t="s">
        <v>82</v>
      </c>
      <c r="B12" s="171">
        <v>0</v>
      </c>
      <c r="C12" s="97">
        <v>0</v>
      </c>
      <c r="D12" s="97">
        <v>0</v>
      </c>
      <c r="E12" s="97">
        <v>0</v>
      </c>
      <c r="F12" s="97">
        <v>0</v>
      </c>
      <c r="G12" s="97">
        <v>1</v>
      </c>
      <c r="H12" s="97">
        <v>0</v>
      </c>
      <c r="I12" s="97">
        <v>0</v>
      </c>
      <c r="J12" s="97">
        <v>0</v>
      </c>
      <c r="K12" s="5">
        <v>0</v>
      </c>
      <c r="X12" t="s">
        <v>150</v>
      </c>
      <c r="Y12">
        <v>-99</v>
      </c>
    </row>
    <row r="13" spans="1:25">
      <c r="A13" s="168" t="s">
        <v>83</v>
      </c>
      <c r="B13" s="171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1</v>
      </c>
      <c r="I13" s="97">
        <v>0</v>
      </c>
      <c r="J13" s="97">
        <v>0</v>
      </c>
      <c r="K13" s="5">
        <v>0</v>
      </c>
    </row>
    <row r="14" spans="1:25">
      <c r="A14" s="168" t="s">
        <v>5</v>
      </c>
      <c r="B14" s="171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1</v>
      </c>
      <c r="J14" s="97">
        <v>0</v>
      </c>
      <c r="K14" s="5">
        <v>0</v>
      </c>
    </row>
    <row r="15" spans="1:25">
      <c r="A15" s="168" t="s">
        <v>1</v>
      </c>
      <c r="B15" s="171"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1</v>
      </c>
      <c r="K15" s="5">
        <v>0</v>
      </c>
    </row>
    <row r="16" spans="1:25">
      <c r="A16" s="167" t="s">
        <v>6</v>
      </c>
      <c r="B16" s="160">
        <v>0</v>
      </c>
      <c r="C16" s="169">
        <v>0</v>
      </c>
      <c r="D16" s="169">
        <v>0</v>
      </c>
      <c r="E16" s="169">
        <v>0</v>
      </c>
      <c r="F16" s="169">
        <v>0</v>
      </c>
      <c r="G16" s="169">
        <v>0</v>
      </c>
      <c r="H16" s="169">
        <v>0</v>
      </c>
      <c r="I16" s="169">
        <v>0</v>
      </c>
      <c r="J16" s="169">
        <v>0</v>
      </c>
      <c r="K16" s="6">
        <v>1</v>
      </c>
    </row>
    <row r="18" spans="1:26">
      <c r="A18" s="2" t="s">
        <v>160</v>
      </c>
    </row>
    <row r="19" spans="1:26">
      <c r="A19" s="170"/>
      <c r="B19" s="166"/>
      <c r="C19" s="166"/>
      <c r="D19" s="166"/>
      <c r="E19" s="166"/>
      <c r="F19" s="166"/>
      <c r="G19" s="166"/>
      <c r="H19" s="166"/>
      <c r="I19" s="166"/>
      <c r="J19" s="166"/>
      <c r="K19" s="4"/>
    </row>
    <row r="20" spans="1:26">
      <c r="A20" s="167" t="s">
        <v>145</v>
      </c>
      <c r="B20" s="61" t="s">
        <v>77</v>
      </c>
      <c r="C20" s="61" t="s">
        <v>78</v>
      </c>
      <c r="D20" s="61" t="s">
        <v>73</v>
      </c>
      <c r="E20" s="61" t="s">
        <v>4</v>
      </c>
      <c r="F20" s="61" t="s">
        <v>0</v>
      </c>
      <c r="G20" s="61" t="s">
        <v>82</v>
      </c>
      <c r="H20" s="61" t="s">
        <v>83</v>
      </c>
      <c r="I20" s="61" t="s">
        <v>5</v>
      </c>
      <c r="J20" s="61" t="s">
        <v>1</v>
      </c>
      <c r="K20" s="62" t="s">
        <v>6</v>
      </c>
    </row>
    <row r="21" spans="1:26">
      <c r="A21" s="168" t="s">
        <v>77</v>
      </c>
      <c r="B21" s="97">
        <v>1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64">
        <v>0</v>
      </c>
    </row>
    <row r="22" spans="1:26">
      <c r="A22" s="168" t="s">
        <v>78</v>
      </c>
      <c r="B22" s="97">
        <v>0</v>
      </c>
      <c r="C22" s="97">
        <v>1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5">
        <v>0</v>
      </c>
    </row>
    <row r="23" spans="1:26">
      <c r="A23" s="168" t="s">
        <v>73</v>
      </c>
      <c r="B23" s="97">
        <v>0</v>
      </c>
      <c r="C23" s="97">
        <v>0</v>
      </c>
      <c r="D23" s="97">
        <v>1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5">
        <v>0</v>
      </c>
    </row>
    <row r="24" spans="1:26">
      <c r="A24" s="168" t="s">
        <v>4</v>
      </c>
      <c r="B24" s="97">
        <v>0</v>
      </c>
      <c r="C24" s="97">
        <v>0</v>
      </c>
      <c r="D24" s="97">
        <v>0</v>
      </c>
      <c r="E24" s="97">
        <v>1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5">
        <v>0</v>
      </c>
    </row>
    <row r="25" spans="1:26">
      <c r="A25" s="168" t="s">
        <v>0</v>
      </c>
      <c r="B25" s="97">
        <v>0</v>
      </c>
      <c r="C25" s="97">
        <v>0</v>
      </c>
      <c r="D25" s="97">
        <v>0</v>
      </c>
      <c r="E25" s="97">
        <v>0</v>
      </c>
      <c r="F25" s="97">
        <v>1</v>
      </c>
      <c r="G25" s="97">
        <v>0</v>
      </c>
      <c r="H25" s="97">
        <v>0</v>
      </c>
      <c r="I25" s="97">
        <v>0</v>
      </c>
      <c r="J25" s="97">
        <v>0</v>
      </c>
      <c r="K25" s="5">
        <v>0</v>
      </c>
    </row>
    <row r="26" spans="1:26">
      <c r="A26" s="168" t="s">
        <v>82</v>
      </c>
      <c r="B26" s="97">
        <v>0</v>
      </c>
      <c r="C26" s="97">
        <v>0</v>
      </c>
      <c r="D26" s="97">
        <v>0</v>
      </c>
      <c r="E26" s="97">
        <v>0</v>
      </c>
      <c r="F26" s="97">
        <v>0</v>
      </c>
      <c r="G26" s="97">
        <v>1</v>
      </c>
      <c r="H26" s="97">
        <v>0</v>
      </c>
      <c r="I26" s="97">
        <v>0</v>
      </c>
      <c r="J26" s="97">
        <v>0</v>
      </c>
      <c r="K26" s="5">
        <v>0</v>
      </c>
    </row>
    <row r="27" spans="1:26">
      <c r="A27" s="168" t="s">
        <v>83</v>
      </c>
      <c r="B27" s="97">
        <v>0</v>
      </c>
      <c r="C27" s="97">
        <v>0</v>
      </c>
      <c r="D27" s="97">
        <v>0</v>
      </c>
      <c r="E27" s="97">
        <v>0</v>
      </c>
      <c r="F27" s="97">
        <v>0</v>
      </c>
      <c r="G27" s="97">
        <v>0</v>
      </c>
      <c r="H27" s="97">
        <v>1</v>
      </c>
      <c r="I27" s="97">
        <v>0</v>
      </c>
      <c r="J27" s="97">
        <v>0</v>
      </c>
      <c r="K27" s="5">
        <v>0</v>
      </c>
    </row>
    <row r="28" spans="1:26">
      <c r="A28" s="168" t="s">
        <v>5</v>
      </c>
      <c r="B28" s="97">
        <v>0</v>
      </c>
      <c r="C28" s="97">
        <v>0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1</v>
      </c>
      <c r="J28" s="97">
        <v>0</v>
      </c>
      <c r="K28" s="5">
        <v>0</v>
      </c>
    </row>
    <row r="29" spans="1:26">
      <c r="A29" s="168" t="s">
        <v>1</v>
      </c>
      <c r="B29" s="97">
        <v>0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1</v>
      </c>
      <c r="K29" s="5">
        <v>0</v>
      </c>
    </row>
    <row r="30" spans="1:26">
      <c r="A30" s="167" t="s">
        <v>6</v>
      </c>
      <c r="B30" s="169">
        <v>0</v>
      </c>
      <c r="C30" s="169">
        <v>0</v>
      </c>
      <c r="D30" s="169">
        <v>0</v>
      </c>
      <c r="E30" s="169">
        <v>0</v>
      </c>
      <c r="F30" s="169">
        <v>0</v>
      </c>
      <c r="G30" s="169">
        <v>0</v>
      </c>
      <c r="H30" s="169">
        <v>0</v>
      </c>
      <c r="I30" s="169">
        <v>0</v>
      </c>
      <c r="J30" s="169">
        <v>0</v>
      </c>
      <c r="K30" s="6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109" t="s">
        <v>36</v>
      </c>
      <c r="C37" s="57" t="s">
        <v>162</v>
      </c>
      <c r="D37" s="196" t="s">
        <v>164</v>
      </c>
      <c r="E37" s="199" t="s">
        <v>166</v>
      </c>
      <c r="F37" s="181" t="s">
        <v>163</v>
      </c>
      <c r="X37" t="s">
        <v>157</v>
      </c>
      <c r="Y37">
        <v>-4</v>
      </c>
      <c r="Z37">
        <v>-2</v>
      </c>
    </row>
    <row r="38" spans="1:26" ht="13.5" thickTop="1">
      <c r="A38" s="11" t="str">
        <f t="shared" ref="A38:A47" si="0">A7</f>
        <v>Nominale VPV</v>
      </c>
      <c r="B38" s="151">
        <v>0.03</v>
      </c>
      <c r="C38" s="153">
        <v>-0.05</v>
      </c>
      <c r="D38" s="208">
        <v>-0.08</v>
      </c>
      <c r="E38" s="210">
        <v>-0.08</v>
      </c>
      <c r="F38" s="186" t="s">
        <v>75</v>
      </c>
    </row>
    <row r="39" spans="1:26">
      <c r="A39" s="11" t="str">
        <f t="shared" si="0"/>
        <v>Reele VPV</v>
      </c>
      <c r="B39" s="151">
        <v>0.03</v>
      </c>
      <c r="C39" s="153">
        <v>-0.05</v>
      </c>
      <c r="D39" s="197">
        <v>-0.08</v>
      </c>
      <c r="E39" s="217">
        <v>-0.08</v>
      </c>
      <c r="F39" s="186" t="s">
        <v>75</v>
      </c>
    </row>
    <row r="40" spans="1:26">
      <c r="A40" s="11" t="str">
        <f t="shared" si="0"/>
        <v>Credits</v>
      </c>
      <c r="B40" s="151">
        <v>5.5641316288239581E-2</v>
      </c>
      <c r="C40" s="153">
        <v>1.4999999999999999E-2</v>
      </c>
      <c r="D40" s="197">
        <v>-4.0641316288239582E-2</v>
      </c>
      <c r="E40" s="217">
        <v>-4.0641316288239582E-2</v>
      </c>
      <c r="F40" s="186" t="s">
        <v>75</v>
      </c>
    </row>
    <row r="41" spans="1:26">
      <c r="A41" s="11" t="str">
        <f t="shared" si="0"/>
        <v>High Yield</v>
      </c>
      <c r="B41" s="151">
        <v>5.6496387380050681E-2</v>
      </c>
      <c r="C41" s="153">
        <v>0.08</v>
      </c>
      <c r="D41" s="197">
        <v>2.3503612619949321E-2</v>
      </c>
      <c r="E41" s="217">
        <v>0</v>
      </c>
      <c r="F41" s="186" t="s">
        <v>75</v>
      </c>
    </row>
    <row r="42" spans="1:26">
      <c r="A42" s="11" t="str">
        <f t="shared" si="0"/>
        <v>EMD</v>
      </c>
      <c r="B42" s="151">
        <v>5.6528262962781142E-2</v>
      </c>
      <c r="C42" s="153">
        <v>0.05</v>
      </c>
      <c r="D42" s="197">
        <v>-6.5282629627811395E-3</v>
      </c>
      <c r="E42" s="217">
        <v>-6.5282629627811395E-3</v>
      </c>
      <c r="F42" s="186" t="s">
        <v>75</v>
      </c>
    </row>
    <row r="43" spans="1:26">
      <c r="A43" s="11" t="str">
        <f t="shared" si="0"/>
        <v>Aandelen ontw</v>
      </c>
      <c r="B43" s="151">
        <v>6.4356314621335148E-2</v>
      </c>
      <c r="C43" s="153">
        <v>0.2</v>
      </c>
      <c r="D43" s="197">
        <v>0.13564368537866486</v>
      </c>
      <c r="E43" s="217">
        <v>0.13564368537866486</v>
      </c>
      <c r="F43" s="186" t="s">
        <v>75</v>
      </c>
    </row>
    <row r="44" spans="1:26">
      <c r="A44" s="11" t="str">
        <f t="shared" si="0"/>
        <v>Aandelen opk</v>
      </c>
      <c r="B44" s="151">
        <v>9.1561672924114379E-2</v>
      </c>
      <c r="C44" s="153">
        <v>0.25</v>
      </c>
      <c r="D44" s="197">
        <v>0.15843832707588562</v>
      </c>
      <c r="E44" s="217">
        <v>0.27</v>
      </c>
      <c r="F44" s="186" t="s">
        <v>75</v>
      </c>
    </row>
    <row r="45" spans="1:26">
      <c r="A45" s="11" t="str">
        <f t="shared" si="0"/>
        <v>Hedge funds</v>
      </c>
      <c r="B45" s="151">
        <v>5.1135067781966595E-2</v>
      </c>
      <c r="C45" s="153">
        <v>0.06</v>
      </c>
      <c r="D45" s="197">
        <v>8.8649322180334028E-3</v>
      </c>
      <c r="E45" s="217">
        <v>8.8649322180334028E-3</v>
      </c>
      <c r="F45" s="186" t="s">
        <v>75</v>
      </c>
    </row>
    <row r="46" spans="1:26">
      <c r="A46" s="11" t="str">
        <f t="shared" si="0"/>
        <v>OG</v>
      </c>
      <c r="B46" s="151">
        <v>4.7615162118704334E-2</v>
      </c>
      <c r="C46" s="153">
        <v>0.1</v>
      </c>
      <c r="D46" s="197">
        <v>5.2384837881295672E-2</v>
      </c>
      <c r="E46" s="217">
        <v>5.2384837881295672E-2</v>
      </c>
      <c r="F46" s="186" t="s">
        <v>75</v>
      </c>
    </row>
    <row r="47" spans="1:26" ht="13.5" thickBot="1">
      <c r="A47" s="12" t="str">
        <f t="shared" si="0"/>
        <v>Commodities</v>
      </c>
      <c r="B47" s="155">
        <v>8.0977052013787992E-2</v>
      </c>
      <c r="C47" s="157">
        <v>0.3</v>
      </c>
      <c r="D47" s="198">
        <v>0.219022947986212</v>
      </c>
      <c r="E47" s="218">
        <v>0.219022947986212</v>
      </c>
      <c r="F47" s="187" t="s">
        <v>75</v>
      </c>
    </row>
    <row r="48" spans="1:26" ht="13.5" thickTop="1"/>
    <row r="49" spans="1:11">
      <c r="A49" s="2" t="s">
        <v>158</v>
      </c>
    </row>
    <row r="50" spans="1:11">
      <c r="A50" s="170" t="s">
        <v>36</v>
      </c>
      <c r="B50" s="166"/>
      <c r="C50" s="166"/>
      <c r="D50" s="166"/>
      <c r="E50" s="166"/>
      <c r="F50" s="166"/>
      <c r="G50" s="166"/>
      <c r="H50" s="166"/>
      <c r="I50" s="166"/>
      <c r="J50" s="166"/>
      <c r="K50" s="4"/>
    </row>
    <row r="51" spans="1:11">
      <c r="A51" s="167" t="s">
        <v>145</v>
      </c>
      <c r="B51" s="61" t="str">
        <f>A52</f>
        <v>Nominale VPV</v>
      </c>
      <c r="C51" s="61" t="str">
        <f>A53</f>
        <v>Reele VPV</v>
      </c>
      <c r="D51" s="61" t="str">
        <f>A54</f>
        <v>Credits</v>
      </c>
      <c r="E51" s="61" t="str">
        <f>A55</f>
        <v>High Yield</v>
      </c>
      <c r="F51" s="61" t="str">
        <f>A56</f>
        <v>EMD</v>
      </c>
      <c r="G51" s="61" t="str">
        <f>A57</f>
        <v>Aandelen ontw</v>
      </c>
      <c r="H51" s="61" t="str">
        <f>A58</f>
        <v>Aandelen opk</v>
      </c>
      <c r="I51" s="61" t="str">
        <f>A59</f>
        <v>Hedge funds</v>
      </c>
      <c r="J51" s="61" t="str">
        <f>A60</f>
        <v>OG</v>
      </c>
      <c r="K51" s="62" t="str">
        <f>A61</f>
        <v>Commodities</v>
      </c>
    </row>
    <row r="52" spans="1:11">
      <c r="A52" s="10" t="str">
        <f t="shared" ref="A52:A61" si="1">A21</f>
        <v>Nominale VPV</v>
      </c>
      <c r="B52" s="213">
        <v>9.3036505477973097E-2</v>
      </c>
      <c r="C52" s="103">
        <v>0.39310073358981634</v>
      </c>
      <c r="D52" s="103">
        <v>0.20929446791729706</v>
      </c>
      <c r="E52" s="103">
        <v>0.21633822527798038</v>
      </c>
      <c r="F52" s="103">
        <v>7.2272238989822338E-2</v>
      </c>
      <c r="G52" s="103">
        <v>8.9492370363700224E-2</v>
      </c>
      <c r="H52" s="103">
        <v>-0.17062817388407636</v>
      </c>
      <c r="I52" s="103">
        <v>-0.19012041366495921</v>
      </c>
      <c r="J52" s="103">
        <v>-4.7308632130733691E-2</v>
      </c>
      <c r="K52" s="173">
        <v>-0.45881257160059641</v>
      </c>
    </row>
    <row r="53" spans="1:11">
      <c r="A53" s="168" t="str">
        <f t="shared" si="1"/>
        <v>Reele VPV</v>
      </c>
      <c r="B53" s="103">
        <v>0.39310073358981634</v>
      </c>
      <c r="C53" s="213">
        <v>0.107113123666156</v>
      </c>
      <c r="D53" s="103">
        <v>0.15199304535500063</v>
      </c>
      <c r="E53" s="103">
        <v>0.24896674047832401</v>
      </c>
      <c r="F53" s="103">
        <v>-4.8620827985643912E-2</v>
      </c>
      <c r="G53" s="103">
        <v>0.12380923643016063</v>
      </c>
      <c r="H53" s="103">
        <v>5.6701855877734457E-2</v>
      </c>
      <c r="I53" s="103">
        <v>-0.14234647836130293</v>
      </c>
      <c r="J53" s="103">
        <v>-0.11987909632091487</v>
      </c>
      <c r="K53" s="104">
        <v>-8.7674543304863753E-2</v>
      </c>
    </row>
    <row r="54" spans="1:11">
      <c r="A54" s="168" t="str">
        <f t="shared" si="1"/>
        <v>Credits</v>
      </c>
      <c r="B54" s="103">
        <v>0.20929446791729706</v>
      </c>
      <c r="C54" s="103">
        <v>0.15199304535500063</v>
      </c>
      <c r="D54" s="213">
        <v>0.14514041524285745</v>
      </c>
      <c r="E54" s="103">
        <v>0.27817222657699892</v>
      </c>
      <c r="F54" s="103">
        <v>-3.7036476676643094E-2</v>
      </c>
      <c r="G54" s="103">
        <v>-2.0652245548069121E-2</v>
      </c>
      <c r="H54" s="103">
        <v>-4.7238096976150878E-4</v>
      </c>
      <c r="I54" s="103">
        <v>3.5291346298508892E-2</v>
      </c>
      <c r="J54" s="103">
        <v>-0.1471489633450169</v>
      </c>
      <c r="K54" s="104">
        <v>3.884979309220634E-2</v>
      </c>
    </row>
    <row r="55" spans="1:11">
      <c r="A55" s="168" t="str">
        <f t="shared" si="1"/>
        <v>High Yield</v>
      </c>
      <c r="B55" s="103">
        <v>0.21633822527798038</v>
      </c>
      <c r="C55" s="103">
        <v>0.24896674047832401</v>
      </c>
      <c r="D55" s="103">
        <v>0.27817222657699892</v>
      </c>
      <c r="E55" s="213">
        <v>0.15212518033194122</v>
      </c>
      <c r="F55" s="103">
        <v>0.54947077664382238</v>
      </c>
      <c r="G55" s="103">
        <v>0.6512857171069153</v>
      </c>
      <c r="H55" s="103">
        <v>0.66085351889108523</v>
      </c>
      <c r="I55" s="103">
        <v>0.4247516304214663</v>
      </c>
      <c r="J55" s="103">
        <v>-0.32361654199607631</v>
      </c>
      <c r="K55" s="104">
        <v>-2.2300336358685715E-3</v>
      </c>
    </row>
    <row r="56" spans="1:11">
      <c r="A56" s="168" t="str">
        <f t="shared" si="1"/>
        <v>EMD</v>
      </c>
      <c r="B56" s="103">
        <v>7.2272238989822338E-2</v>
      </c>
      <c r="C56" s="103">
        <v>-4.8620827985643912E-2</v>
      </c>
      <c r="D56" s="103">
        <v>-3.7036476676643094E-2</v>
      </c>
      <c r="E56" s="103">
        <v>0.54947077664382238</v>
      </c>
      <c r="F56" s="213">
        <v>0.13758409078549244</v>
      </c>
      <c r="G56" s="103">
        <v>0.43704301175382931</v>
      </c>
      <c r="H56" s="103">
        <v>0.47448318291761821</v>
      </c>
      <c r="I56" s="103">
        <v>0.75975680806732404</v>
      </c>
      <c r="J56" s="103">
        <v>0.22497345871183994</v>
      </c>
      <c r="K56" s="104">
        <v>0.50014707286156279</v>
      </c>
    </row>
    <row r="57" spans="1:11">
      <c r="A57" s="168" t="str">
        <f t="shared" si="1"/>
        <v>Aandelen ontw</v>
      </c>
      <c r="B57" s="103">
        <v>8.9492370363700224E-2</v>
      </c>
      <c r="C57" s="103">
        <v>0.12380923643016063</v>
      </c>
      <c r="D57" s="103">
        <v>-2.0652245548069121E-2</v>
      </c>
      <c r="E57" s="103">
        <v>0.6512857171069153</v>
      </c>
      <c r="F57" s="103">
        <v>0.43704301175382931</v>
      </c>
      <c r="G57" s="213">
        <v>0.19354582049076965</v>
      </c>
      <c r="H57" s="103">
        <v>0.75270312398485784</v>
      </c>
      <c r="I57" s="103">
        <v>0.57172393447966652</v>
      </c>
      <c r="J57" s="103">
        <v>-3.5193060592075505E-2</v>
      </c>
      <c r="K57" s="104">
        <v>0.10395609042534409</v>
      </c>
    </row>
    <row r="58" spans="1:11">
      <c r="A58" s="168" t="str">
        <f t="shared" si="1"/>
        <v>Aandelen opk</v>
      </c>
      <c r="B58" s="103">
        <v>-0.17062817388407636</v>
      </c>
      <c r="C58" s="103">
        <v>5.6701855877734457E-2</v>
      </c>
      <c r="D58" s="103">
        <v>-4.7238096976150878E-4</v>
      </c>
      <c r="E58" s="103">
        <v>0.66085351889108523</v>
      </c>
      <c r="F58" s="103">
        <v>0.47448318291761821</v>
      </c>
      <c r="G58" s="103">
        <v>0.75270312398485784</v>
      </c>
      <c r="H58" s="213">
        <v>0.34249727755342518</v>
      </c>
      <c r="I58" s="103">
        <v>0.43308445119592942</v>
      </c>
      <c r="J58" s="103">
        <v>-0.33706927145387583</v>
      </c>
      <c r="K58" s="104">
        <v>0.21126029655546014</v>
      </c>
    </row>
    <row r="59" spans="1:11">
      <c r="A59" s="168" t="str">
        <f t="shared" si="1"/>
        <v>Hedge funds</v>
      </c>
      <c r="B59" s="103">
        <v>-0.19012041366495921</v>
      </c>
      <c r="C59" s="103">
        <v>-0.14234647836130293</v>
      </c>
      <c r="D59" s="103">
        <v>3.5291346298508892E-2</v>
      </c>
      <c r="E59" s="103">
        <v>0.4247516304214663</v>
      </c>
      <c r="F59" s="103">
        <v>0.75975680806732404</v>
      </c>
      <c r="G59" s="103">
        <v>0.57172393447966652</v>
      </c>
      <c r="H59" s="103">
        <v>0.43308445119592942</v>
      </c>
      <c r="I59" s="213">
        <v>7.2522493236444635E-2</v>
      </c>
      <c r="J59" s="103">
        <v>0.53144909307162114</v>
      </c>
      <c r="K59" s="104">
        <v>0.50768184408405903</v>
      </c>
    </row>
    <row r="60" spans="1:11">
      <c r="A60" s="168" t="str">
        <f t="shared" si="1"/>
        <v>OG</v>
      </c>
      <c r="B60" s="103">
        <v>-4.7308632130733691E-2</v>
      </c>
      <c r="C60" s="103">
        <v>-0.11987909632091487</v>
      </c>
      <c r="D60" s="103">
        <v>-0.1471489633450169</v>
      </c>
      <c r="E60" s="103">
        <v>-0.32361654199607631</v>
      </c>
      <c r="F60" s="103">
        <v>0.22497345871183994</v>
      </c>
      <c r="G60" s="103">
        <v>-3.5193060592075505E-2</v>
      </c>
      <c r="H60" s="103">
        <v>-0.33706927145387583</v>
      </c>
      <c r="I60" s="103">
        <v>0.53144909307162114</v>
      </c>
      <c r="J60" s="213">
        <v>4.9766484543779667E-2</v>
      </c>
      <c r="K60" s="104">
        <v>0.24828282028996468</v>
      </c>
    </row>
    <row r="61" spans="1:11">
      <c r="A61" s="167" t="str">
        <f t="shared" si="1"/>
        <v>Commodities</v>
      </c>
      <c r="B61" s="106">
        <v>-0.45881257160059641</v>
      </c>
      <c r="C61" s="106">
        <v>-8.7674543304863753E-2</v>
      </c>
      <c r="D61" s="106">
        <v>3.884979309220634E-2</v>
      </c>
      <c r="E61" s="106">
        <v>-2.2300336358685715E-3</v>
      </c>
      <c r="F61" s="106">
        <v>0.50014707286156279</v>
      </c>
      <c r="G61" s="106">
        <v>0.10395609042534409</v>
      </c>
      <c r="H61" s="106">
        <v>0.21126029655546014</v>
      </c>
      <c r="I61" s="106">
        <v>0.50768184408405903</v>
      </c>
      <c r="J61" s="106">
        <v>0.24828282028996468</v>
      </c>
      <c r="K61" s="214">
        <v>0.25247140962754983</v>
      </c>
    </row>
    <row r="62" spans="1:11">
      <c r="A62" s="172" t="str">
        <f>B1</f>
        <v xml:space="preserve">Vermogenseffect </v>
      </c>
      <c r="B62" s="166"/>
      <c r="C62" s="166"/>
      <c r="D62" s="166"/>
      <c r="E62" s="166"/>
      <c r="F62" s="166"/>
      <c r="G62" s="166"/>
      <c r="H62" s="166"/>
      <c r="I62" s="166"/>
      <c r="J62" s="166"/>
      <c r="K62" s="4"/>
    </row>
    <row r="63" spans="1:11">
      <c r="A63" s="167" t="s">
        <v>145</v>
      </c>
      <c r="B63" s="61" t="str">
        <f>A64</f>
        <v>Nominale VPV</v>
      </c>
      <c r="C63" s="61" t="str">
        <f>A65</f>
        <v>Reele VPV</v>
      </c>
      <c r="D63" s="61" t="str">
        <f>A66</f>
        <v>Credits</v>
      </c>
      <c r="E63" s="61" t="str">
        <f>A67</f>
        <v>High Yield</v>
      </c>
      <c r="F63" s="61" t="str">
        <f>A68</f>
        <v>EMD</v>
      </c>
      <c r="G63" s="61" t="str">
        <f>A69</f>
        <v>Aandelen ontw</v>
      </c>
      <c r="H63" s="61" t="str">
        <f>A70</f>
        <v>Aandelen opk</v>
      </c>
      <c r="I63" s="61" t="str">
        <f>A71</f>
        <v>Hedge funds</v>
      </c>
      <c r="J63" s="61" t="str">
        <f>A72</f>
        <v>OG</v>
      </c>
      <c r="K63" s="62" t="str">
        <f>A73</f>
        <v>Commodities</v>
      </c>
    </row>
    <row r="64" spans="1:11">
      <c r="A64" s="10" t="str">
        <f t="shared" ref="A64:A73" si="2">A52</f>
        <v>Nominale VPV</v>
      </c>
      <c r="B64" s="213">
        <v>8.3779626926755432E-2</v>
      </c>
      <c r="C64" s="103">
        <v>0.36356395941164671</v>
      </c>
      <c r="D64" s="103">
        <v>0.19770591590777722</v>
      </c>
      <c r="E64" s="103">
        <v>0.23990617585831378</v>
      </c>
      <c r="F64" s="103">
        <v>-7.3357889322124503E-2</v>
      </c>
      <c r="G64" s="103">
        <v>7.7794040108081552E-2</v>
      </c>
      <c r="H64" s="103">
        <v>-0.29684548966761942</v>
      </c>
      <c r="I64" s="103">
        <v>-0.21164487982924918</v>
      </c>
      <c r="J64" s="103">
        <v>4.8029633528850771E-2</v>
      </c>
      <c r="K64" s="173">
        <v>-0.52530619108730725</v>
      </c>
    </row>
    <row r="65" spans="1:11">
      <c r="A65" s="168" t="str">
        <f t="shared" si="2"/>
        <v>Reele VPV</v>
      </c>
      <c r="B65" s="103">
        <v>0.36356395941164671</v>
      </c>
      <c r="C65" s="213">
        <v>0.10342970304098825</v>
      </c>
      <c r="D65" s="103">
        <v>9.5405718569428061E-2</v>
      </c>
      <c r="E65" s="103">
        <v>0.19061940988948001</v>
      </c>
      <c r="F65" s="103">
        <v>-0.11050815584965402</v>
      </c>
      <c r="G65" s="103">
        <v>9.8469115672903812E-2</v>
      </c>
      <c r="H65" s="103">
        <v>-5.9291804287521774E-2</v>
      </c>
      <c r="I65" s="103">
        <v>-0.17290430292907685</v>
      </c>
      <c r="J65" s="103">
        <v>-7.6193016480044728E-2</v>
      </c>
      <c r="K65" s="104">
        <v>-7.231060997995413E-2</v>
      </c>
    </row>
    <row r="66" spans="1:11">
      <c r="A66" s="168" t="str">
        <f t="shared" si="2"/>
        <v>Credits</v>
      </c>
      <c r="B66" s="103">
        <v>0.19770591590777722</v>
      </c>
      <c r="C66" s="103">
        <v>9.5405718569428061E-2</v>
      </c>
      <c r="D66" s="213">
        <v>0.14464718023748876</v>
      </c>
      <c r="E66" s="103">
        <v>0.1479964056276101</v>
      </c>
      <c r="F66" s="103">
        <v>-0.36557661407257697</v>
      </c>
      <c r="G66" s="103">
        <v>-0.17045076253006095</v>
      </c>
      <c r="H66" s="103">
        <v>-8.7743919276774857E-2</v>
      </c>
      <c r="I66" s="103">
        <v>-0.36495490011390636</v>
      </c>
      <c r="J66" s="103">
        <v>-0.35360460641933389</v>
      </c>
      <c r="K66" s="104">
        <v>-0.24298972993039863</v>
      </c>
    </row>
    <row r="67" spans="1:11">
      <c r="A67" s="168" t="str">
        <f t="shared" si="2"/>
        <v>High Yield</v>
      </c>
      <c r="B67" s="103">
        <v>0.23990617585831378</v>
      </c>
      <c r="C67" s="103">
        <v>0.19061940988948001</v>
      </c>
      <c r="D67" s="103">
        <v>0.1479964056276101</v>
      </c>
      <c r="E67" s="213">
        <v>9.6868617082165279E-2</v>
      </c>
      <c r="F67" s="103">
        <v>0.47688188083944766</v>
      </c>
      <c r="G67" s="103">
        <v>0.51169443296997497</v>
      </c>
      <c r="H67" s="103">
        <v>0.45867964598849736</v>
      </c>
      <c r="I67" s="103">
        <v>0.27365985894328215</v>
      </c>
      <c r="J67" s="103">
        <v>-0.32590742577961268</v>
      </c>
      <c r="K67" s="104">
        <v>-9.8347371833026831E-2</v>
      </c>
    </row>
    <row r="68" spans="1:11">
      <c r="A68" s="168" t="str">
        <f t="shared" si="2"/>
        <v>EMD</v>
      </c>
      <c r="B68" s="103">
        <v>-7.3357889322124503E-2</v>
      </c>
      <c r="C68" s="103">
        <v>-0.11050815584965402</v>
      </c>
      <c r="D68" s="103">
        <v>-0.36557661407257697</v>
      </c>
      <c r="E68" s="103">
        <v>0.47688188083944766</v>
      </c>
      <c r="F68" s="213">
        <v>0.15026895203342447</v>
      </c>
      <c r="G68" s="103">
        <v>0.37643358006730171</v>
      </c>
      <c r="H68" s="103">
        <v>0.46379705839414215</v>
      </c>
      <c r="I68" s="103">
        <v>0.81593638957185965</v>
      </c>
      <c r="J68" s="103">
        <v>0.28291144717511929</v>
      </c>
      <c r="K68" s="104">
        <v>0.56233375311892753</v>
      </c>
    </row>
    <row r="69" spans="1:11">
      <c r="A69" s="168" t="str">
        <f t="shared" si="2"/>
        <v>Aandelen ontw</v>
      </c>
      <c r="B69" s="103">
        <v>7.7794040108081552E-2</v>
      </c>
      <c r="C69" s="103">
        <v>9.8469115672903812E-2</v>
      </c>
      <c r="D69" s="103">
        <v>-0.17045076253006095</v>
      </c>
      <c r="E69" s="103">
        <v>0.51169443296997497</v>
      </c>
      <c r="F69" s="103">
        <v>0.37643358006730171</v>
      </c>
      <c r="G69" s="213">
        <v>0.14251402915289357</v>
      </c>
      <c r="H69" s="103">
        <v>0.62822954207202264</v>
      </c>
      <c r="I69" s="103">
        <v>0.49908101780768988</v>
      </c>
      <c r="J69" s="103">
        <v>5.3578754416141378E-2</v>
      </c>
      <c r="K69" s="104">
        <v>8.3702336951742631E-2</v>
      </c>
    </row>
    <row r="70" spans="1:11">
      <c r="A70" s="168" t="str">
        <f t="shared" si="2"/>
        <v>Aandelen opk</v>
      </c>
      <c r="B70" s="103">
        <v>-0.29684548966761942</v>
      </c>
      <c r="C70" s="103">
        <v>-5.9291804287521774E-2</v>
      </c>
      <c r="D70" s="103">
        <v>-8.7743919276774857E-2</v>
      </c>
      <c r="E70" s="103">
        <v>0.45867964598849736</v>
      </c>
      <c r="F70" s="103">
        <v>0.46379705839414215</v>
      </c>
      <c r="G70" s="103">
        <v>0.62822954207202264</v>
      </c>
      <c r="H70" s="213">
        <v>0.31714550492849808</v>
      </c>
      <c r="I70" s="103">
        <v>0.36516938170439023</v>
      </c>
      <c r="J70" s="103">
        <v>-0.30245086529985321</v>
      </c>
      <c r="K70" s="104">
        <v>0.35454741481854263</v>
      </c>
    </row>
    <row r="71" spans="1:11">
      <c r="A71" s="168" t="str">
        <f t="shared" si="2"/>
        <v>Hedge funds</v>
      </c>
      <c r="B71" s="103">
        <v>-0.21164487982924918</v>
      </c>
      <c r="C71" s="103">
        <v>-0.17290430292907685</v>
      </c>
      <c r="D71" s="103">
        <v>-0.36495490011390636</v>
      </c>
      <c r="E71" s="103">
        <v>0.27365985894328215</v>
      </c>
      <c r="F71" s="103">
        <v>0.81593638957185965</v>
      </c>
      <c r="G71" s="103">
        <v>0.49908101780768988</v>
      </c>
      <c r="H71" s="103">
        <v>0.36516938170439023</v>
      </c>
      <c r="I71" s="213">
        <v>6.2837843277635516E-2</v>
      </c>
      <c r="J71" s="103">
        <v>0.56468307579523147</v>
      </c>
      <c r="K71" s="104">
        <v>0.47753191031129466</v>
      </c>
    </row>
    <row r="72" spans="1:11">
      <c r="A72" s="168" t="str">
        <f t="shared" si="2"/>
        <v>OG</v>
      </c>
      <c r="B72" s="103">
        <v>4.8029633528850771E-2</v>
      </c>
      <c r="C72" s="103">
        <v>-7.6193016480044728E-2</v>
      </c>
      <c r="D72" s="103">
        <v>-0.35360460641933389</v>
      </c>
      <c r="E72" s="103">
        <v>-0.32590742577961268</v>
      </c>
      <c r="F72" s="103">
        <v>0.28291144717511929</v>
      </c>
      <c r="G72" s="103">
        <v>5.3578754416141378E-2</v>
      </c>
      <c r="H72" s="103">
        <v>-0.30245086529985321</v>
      </c>
      <c r="I72" s="103">
        <v>0.56468307579523147</v>
      </c>
      <c r="J72" s="213">
        <v>4.7931229247423261E-2</v>
      </c>
      <c r="K72" s="104">
        <v>0.16211672067234237</v>
      </c>
    </row>
    <row r="73" spans="1:11">
      <c r="A73" s="167" t="str">
        <f t="shared" si="2"/>
        <v>Commodities</v>
      </c>
      <c r="B73" s="106">
        <v>-0.52530619108730725</v>
      </c>
      <c r="C73" s="106">
        <v>-7.231060997995413E-2</v>
      </c>
      <c r="D73" s="106">
        <v>-0.24298972993039863</v>
      </c>
      <c r="E73" s="106">
        <v>-9.8347371833026831E-2</v>
      </c>
      <c r="F73" s="106">
        <v>0.56233375311892753</v>
      </c>
      <c r="G73" s="106">
        <v>8.3702336951742631E-2</v>
      </c>
      <c r="H73" s="106">
        <v>0.35454741481854263</v>
      </c>
      <c r="I73" s="106">
        <v>0.47753191031129466</v>
      </c>
      <c r="J73" s="106">
        <v>0.16211672067234237</v>
      </c>
      <c r="K73" s="214">
        <v>0.2364114899348054</v>
      </c>
    </row>
    <row r="75" spans="1:11">
      <c r="A75" s="2"/>
    </row>
    <row r="76" spans="1:11">
      <c r="A76" s="17" t="s">
        <v>164</v>
      </c>
      <c r="B76" s="176" t="str">
        <f>A77</f>
        <v>Nominale VPV</v>
      </c>
      <c r="C76" s="176" t="str">
        <f>A78</f>
        <v>Reele VPV</v>
      </c>
      <c r="D76" s="176" t="str">
        <f>A79</f>
        <v>Credits</v>
      </c>
      <c r="E76" s="176" t="str">
        <f>A80</f>
        <v>High Yield</v>
      </c>
      <c r="F76" s="176" t="str">
        <f>A81</f>
        <v>EMD</v>
      </c>
      <c r="G76" s="176" t="str">
        <f>A82</f>
        <v>Aandelen ontw</v>
      </c>
      <c r="H76" s="176" t="str">
        <f>A83</f>
        <v>Aandelen opk</v>
      </c>
      <c r="I76" s="176" t="str">
        <f>A84</f>
        <v>Hedge funds</v>
      </c>
      <c r="J76" s="176" t="str">
        <f>A85</f>
        <v>OG</v>
      </c>
      <c r="K76" s="177" t="str">
        <f>A86</f>
        <v>Commodities</v>
      </c>
    </row>
    <row r="77" spans="1:11">
      <c r="A77" s="168" t="str">
        <f t="shared" ref="A77:A86" si="3">A64</f>
        <v>Nominale VPV</v>
      </c>
      <c r="B77" s="213">
        <v>-9.2568785512176649E-3</v>
      </c>
      <c r="C77" s="103">
        <v>-2.9536774178169634E-2</v>
      </c>
      <c r="D77" s="103">
        <v>-1.1588552009519831E-2</v>
      </c>
      <c r="E77" s="103">
        <v>2.3567950580333397E-2</v>
      </c>
      <c r="F77" s="103">
        <v>-0.14563012831194683</v>
      </c>
      <c r="G77" s="103">
        <v>-1.1698330255618672E-2</v>
      </c>
      <c r="H77" s="103">
        <v>-0.12621731578354306</v>
      </c>
      <c r="I77" s="103">
        <v>-2.1524466164289963E-2</v>
      </c>
      <c r="J77" s="103">
        <v>9.5338265659584462E-2</v>
      </c>
      <c r="K77" s="104">
        <v>-6.6493619486710842E-2</v>
      </c>
    </row>
    <row r="78" spans="1:11">
      <c r="A78" s="168" t="str">
        <f t="shared" si="3"/>
        <v>Reele VPV</v>
      </c>
      <c r="B78" s="103">
        <v>-2.9536774178169634E-2</v>
      </c>
      <c r="C78" s="213">
        <v>-3.6834206251677437E-3</v>
      </c>
      <c r="D78" s="103">
        <v>-5.6587326785572573E-2</v>
      </c>
      <c r="E78" s="103">
        <v>-5.8347330588844004E-2</v>
      </c>
      <c r="F78" s="103">
        <v>-6.1887327864010112E-2</v>
      </c>
      <c r="G78" s="103">
        <v>-2.534012075725682E-2</v>
      </c>
      <c r="H78" s="103">
        <v>-0.11599366016525622</v>
      </c>
      <c r="I78" s="103">
        <v>-3.0557824567773922E-2</v>
      </c>
      <c r="J78" s="103">
        <v>4.368607984087014E-2</v>
      </c>
      <c r="K78" s="104">
        <v>1.5363933324909623E-2</v>
      </c>
    </row>
    <row r="79" spans="1:11">
      <c r="A79" s="168" t="str">
        <f t="shared" si="3"/>
        <v>Credits</v>
      </c>
      <c r="B79" s="103">
        <v>-1.1588552009519831E-2</v>
      </c>
      <c r="C79" s="103">
        <v>-5.6587326785572573E-2</v>
      </c>
      <c r="D79" s="213">
        <v>-4.9323500536868625E-4</v>
      </c>
      <c r="E79" s="103">
        <v>-0.13017582094938882</v>
      </c>
      <c r="F79" s="103">
        <v>-0.32854013739593385</v>
      </c>
      <c r="G79" s="103">
        <v>-0.14979851698199181</v>
      </c>
      <c r="H79" s="103">
        <v>-8.7271538307013341E-2</v>
      </c>
      <c r="I79" s="103">
        <v>-0.40024624641241524</v>
      </c>
      <c r="J79" s="103">
        <v>-0.20645564307431699</v>
      </c>
      <c r="K79" s="104">
        <v>-0.28183952302260495</v>
      </c>
    </row>
    <row r="80" spans="1:11">
      <c r="A80" s="168" t="str">
        <f t="shared" si="3"/>
        <v>High Yield</v>
      </c>
      <c r="B80" s="103">
        <v>2.3567950580333397E-2</v>
      </c>
      <c r="C80" s="103">
        <v>-5.8347330588844004E-2</v>
      </c>
      <c r="D80" s="103">
        <v>-0.13017582094938882</v>
      </c>
      <c r="E80" s="213">
        <v>-5.5256563249775945E-2</v>
      </c>
      <c r="F80" s="103">
        <v>-7.258889580437472E-2</v>
      </c>
      <c r="G80" s="103">
        <v>-0.13959128413694033</v>
      </c>
      <c r="H80" s="103">
        <v>-0.20217387290258787</v>
      </c>
      <c r="I80" s="103">
        <v>-0.15109177147818414</v>
      </c>
      <c r="J80" s="103">
        <v>-2.2908837835363682E-3</v>
      </c>
      <c r="K80" s="104">
        <v>-9.6117338197158259E-2</v>
      </c>
    </row>
    <row r="81" spans="1:11">
      <c r="A81" s="168" t="str">
        <f t="shared" si="3"/>
        <v>EMD</v>
      </c>
      <c r="B81" s="103">
        <v>-0.14563012831194683</v>
      </c>
      <c r="C81" s="103">
        <v>-6.1887327864010112E-2</v>
      </c>
      <c r="D81" s="103">
        <v>-0.32854013739593385</v>
      </c>
      <c r="E81" s="103">
        <v>-7.258889580437472E-2</v>
      </c>
      <c r="F81" s="213">
        <v>1.2684861247932028E-2</v>
      </c>
      <c r="G81" s="103">
        <v>-6.0609431686527604E-2</v>
      </c>
      <c r="H81" s="103">
        <v>-1.0686124523476059E-2</v>
      </c>
      <c r="I81" s="103">
        <v>5.6179581504535614E-2</v>
      </c>
      <c r="J81" s="103">
        <v>5.7937988463279355E-2</v>
      </c>
      <c r="K81" s="104">
        <v>6.2186680257364735E-2</v>
      </c>
    </row>
    <row r="82" spans="1:11">
      <c r="A82" s="168" t="str">
        <f t="shared" si="3"/>
        <v>Aandelen ontw</v>
      </c>
      <c r="B82" s="103">
        <v>-1.1698330255618672E-2</v>
      </c>
      <c r="C82" s="103">
        <v>-2.534012075725682E-2</v>
      </c>
      <c r="D82" s="103">
        <v>-0.14979851698199181</v>
      </c>
      <c r="E82" s="103">
        <v>-0.13959128413694033</v>
      </c>
      <c r="F82" s="103">
        <v>-6.0609431686527604E-2</v>
      </c>
      <c r="G82" s="213">
        <v>-5.1031791337876081E-2</v>
      </c>
      <c r="H82" s="103">
        <v>-0.1244735819128352</v>
      </c>
      <c r="I82" s="103">
        <v>-7.2642916671976643E-2</v>
      </c>
      <c r="J82" s="103">
        <v>8.8771815008216876E-2</v>
      </c>
      <c r="K82" s="104">
        <v>-2.0253753473601463E-2</v>
      </c>
    </row>
    <row r="83" spans="1:11">
      <c r="A83" s="168" t="str">
        <f t="shared" si="3"/>
        <v>Aandelen opk</v>
      </c>
      <c r="B83" s="103">
        <v>-0.12621731578354306</v>
      </c>
      <c r="C83" s="103">
        <v>-0.11599366016525622</v>
      </c>
      <c r="D83" s="103">
        <v>-8.7271538307013341E-2</v>
      </c>
      <c r="E83" s="103">
        <v>-0.20217387290258787</v>
      </c>
      <c r="F83" s="103">
        <v>-1.0686124523476059E-2</v>
      </c>
      <c r="G83" s="103">
        <v>-0.1244735819128352</v>
      </c>
      <c r="H83" s="213">
        <v>-2.5351772624927105E-2</v>
      </c>
      <c r="I83" s="103">
        <v>-6.7915069491539193E-2</v>
      </c>
      <c r="J83" s="103">
        <v>3.4618406154022618E-2</v>
      </c>
      <c r="K83" s="104">
        <v>0.14328711826308249</v>
      </c>
    </row>
    <row r="84" spans="1:11">
      <c r="A84" s="168" t="str">
        <f t="shared" si="3"/>
        <v>Hedge funds</v>
      </c>
      <c r="B84" s="103">
        <v>-2.1524466164289963E-2</v>
      </c>
      <c r="C84" s="103">
        <v>-3.0557824567773922E-2</v>
      </c>
      <c r="D84" s="103">
        <v>-0.40024624641241524</v>
      </c>
      <c r="E84" s="103">
        <v>-0.15109177147818414</v>
      </c>
      <c r="F84" s="103">
        <v>5.6179581504535614E-2</v>
      </c>
      <c r="G84" s="103">
        <v>-7.2642916671976643E-2</v>
      </c>
      <c r="H84" s="103">
        <v>-6.7915069491539193E-2</v>
      </c>
      <c r="I84" s="194">
        <v>-9.6846499588091189E-3</v>
      </c>
      <c r="J84" s="103">
        <v>3.3233982723610334E-2</v>
      </c>
      <c r="K84" s="104">
        <v>-3.014993377276437E-2</v>
      </c>
    </row>
    <row r="85" spans="1:11">
      <c r="A85" s="168" t="str">
        <f t="shared" si="3"/>
        <v>OG</v>
      </c>
      <c r="B85" s="103">
        <v>9.5338265659584462E-2</v>
      </c>
      <c r="C85" s="103">
        <v>4.368607984087014E-2</v>
      </c>
      <c r="D85" s="103">
        <v>-0.20645564307431699</v>
      </c>
      <c r="E85" s="103">
        <v>-2.2908837835363682E-3</v>
      </c>
      <c r="F85" s="103">
        <v>5.7937988463279355E-2</v>
      </c>
      <c r="G85" s="103">
        <v>8.8771815008216876E-2</v>
      </c>
      <c r="H85" s="103">
        <v>3.4618406154022618E-2</v>
      </c>
      <c r="I85" s="103">
        <v>3.3233982723610334E-2</v>
      </c>
      <c r="J85" s="194">
        <v>-1.8352552963564056E-3</v>
      </c>
      <c r="K85" s="104">
        <v>-8.616609961762231E-2</v>
      </c>
    </row>
    <row r="86" spans="1:11" ht="13.5" thickBot="1">
      <c r="A86" s="204" t="str">
        <f t="shared" si="3"/>
        <v>Commodities</v>
      </c>
      <c r="B86" s="185">
        <v>-6.6493619486710842E-2</v>
      </c>
      <c r="C86" s="185">
        <v>1.5363933324909623E-2</v>
      </c>
      <c r="D86" s="185">
        <v>-0.28183952302260495</v>
      </c>
      <c r="E86" s="185">
        <v>-9.6117338197158259E-2</v>
      </c>
      <c r="F86" s="185">
        <v>6.2186680257364735E-2</v>
      </c>
      <c r="G86" s="185">
        <v>-2.0253753473601463E-2</v>
      </c>
      <c r="H86" s="185">
        <v>0.14328711826308249</v>
      </c>
      <c r="I86" s="185">
        <v>-3.014993377276437E-2</v>
      </c>
      <c r="J86" s="185">
        <v>-8.616609961762231E-2</v>
      </c>
      <c r="K86" s="205">
        <v>-1.6059919692744423E-2</v>
      </c>
    </row>
    <row r="87" spans="1:11" ht="14.25" thickTop="1" thickBot="1">
      <c r="A87" s="181" t="s">
        <v>166</v>
      </c>
      <c r="B87" s="182" t="str">
        <f>A88</f>
        <v>Nominale VPV</v>
      </c>
      <c r="C87" s="182" t="str">
        <f>A89</f>
        <v>Reele VPV</v>
      </c>
      <c r="D87" s="182" t="str">
        <f>A90</f>
        <v>Credits</v>
      </c>
      <c r="E87" s="182" t="str">
        <f>A91</f>
        <v>High Yield</v>
      </c>
      <c r="F87" s="182" t="str">
        <f>A92</f>
        <v>EMD</v>
      </c>
      <c r="G87" s="182" t="str">
        <f>A93</f>
        <v>Aandelen ontw</v>
      </c>
      <c r="H87" s="182" t="str">
        <f>A94</f>
        <v>Aandelen opk</v>
      </c>
      <c r="I87" s="182" t="str">
        <f>A95</f>
        <v>Hedge funds</v>
      </c>
      <c r="J87" s="182" t="str">
        <f>A96</f>
        <v>OG</v>
      </c>
      <c r="K87" s="183" t="str">
        <f>A97</f>
        <v>Commodities</v>
      </c>
    </row>
    <row r="88" spans="1:11" ht="13.5" thickTop="1">
      <c r="A88" s="179" t="str">
        <f t="shared" ref="A88:A97" si="4">A77</f>
        <v>Nominale VPV</v>
      </c>
      <c r="B88" s="213">
        <v>-9.2568785512176649E-3</v>
      </c>
      <c r="C88" s="103">
        <v>-2.9536774178169634E-2</v>
      </c>
      <c r="D88" s="103">
        <v>-1.1588552009519831E-2</v>
      </c>
      <c r="E88" s="103">
        <v>2.3567950580333397E-2</v>
      </c>
      <c r="F88" s="103">
        <v>-0.14563012831194683</v>
      </c>
      <c r="G88" s="103">
        <v>-1.1698330255618672E-2</v>
      </c>
      <c r="H88" s="103">
        <v>-0.12621731578354306</v>
      </c>
      <c r="I88" s="103">
        <v>-2.1524466164289963E-2</v>
      </c>
      <c r="J88" s="103">
        <v>9.5338265659584462E-2</v>
      </c>
      <c r="K88" s="193">
        <v>-6.6493619486710842E-2</v>
      </c>
    </row>
    <row r="89" spans="1:11">
      <c r="A89" s="179" t="str">
        <f t="shared" si="4"/>
        <v>Reele VPV</v>
      </c>
      <c r="B89" s="103">
        <v>-2.9536774178169634E-2</v>
      </c>
      <c r="C89" s="213">
        <v>-3.6834206251677437E-3</v>
      </c>
      <c r="D89" s="103">
        <v>-5.6587326785572573E-2</v>
      </c>
      <c r="E89" s="103">
        <v>-5.8347330588844004E-2</v>
      </c>
      <c r="F89" s="103">
        <v>-6.1887327864010112E-2</v>
      </c>
      <c r="G89" s="103">
        <v>-2.534012075725682E-2</v>
      </c>
      <c r="H89" s="103">
        <v>-0.11599366016525622</v>
      </c>
      <c r="I89" s="103">
        <v>-3.0557824567773922E-2</v>
      </c>
      <c r="J89" s="103">
        <v>4.368607984087014E-2</v>
      </c>
      <c r="K89" s="184">
        <v>1.5363933324909623E-2</v>
      </c>
    </row>
    <row r="90" spans="1:11">
      <c r="A90" s="179" t="str">
        <f t="shared" si="4"/>
        <v>Credits</v>
      </c>
      <c r="B90" s="103">
        <v>-1.1588552009519831E-2</v>
      </c>
      <c r="C90" s="103">
        <v>-5.6587326785572573E-2</v>
      </c>
      <c r="D90" s="213">
        <v>-4.9323500536868625E-4</v>
      </c>
      <c r="E90" s="103">
        <v>-0.13017582094938882</v>
      </c>
      <c r="F90" s="103">
        <v>-0.32854013739593385</v>
      </c>
      <c r="G90" s="103">
        <v>-0.14979851698199181</v>
      </c>
      <c r="H90" s="103">
        <v>-8.7271538307013341E-2</v>
      </c>
      <c r="I90" s="103">
        <v>-0.40024624641241524</v>
      </c>
      <c r="J90" s="103">
        <v>-0.20645564307431699</v>
      </c>
      <c r="K90" s="184">
        <v>-0.28183952302260495</v>
      </c>
    </row>
    <row r="91" spans="1:11">
      <c r="A91" s="179" t="str">
        <f t="shared" si="4"/>
        <v>High Yield</v>
      </c>
      <c r="B91" s="103">
        <v>2.3567950580333397E-2</v>
      </c>
      <c r="C91" s="103">
        <v>-5.8347330588844004E-2</v>
      </c>
      <c r="D91" s="103">
        <v>-0.13017582094938882</v>
      </c>
      <c r="E91" s="213">
        <v>-5.5256563249775945E-2</v>
      </c>
      <c r="F91" s="103">
        <v>-7.258889580437472E-2</v>
      </c>
      <c r="G91" s="103">
        <v>-0.13959128413694033</v>
      </c>
      <c r="H91" s="103">
        <v>-0.20217387290258787</v>
      </c>
      <c r="I91" s="103">
        <v>-0.15109177147818414</v>
      </c>
      <c r="J91" s="103">
        <v>-2.2908837835363682E-3</v>
      </c>
      <c r="K91" s="184">
        <v>-9.6117338197158259E-2</v>
      </c>
    </row>
    <row r="92" spans="1:11">
      <c r="A92" s="179" t="str">
        <f t="shared" si="4"/>
        <v>EMD</v>
      </c>
      <c r="B92" s="103">
        <v>-0.14563012831194683</v>
      </c>
      <c r="C92" s="103">
        <v>-6.1887327864010112E-2</v>
      </c>
      <c r="D92" s="103">
        <v>-0.32854013739593385</v>
      </c>
      <c r="E92" s="103">
        <v>-7.258889580437472E-2</v>
      </c>
      <c r="F92" s="213">
        <v>1.2684861247932028E-2</v>
      </c>
      <c r="G92" s="103">
        <v>-6.0609431686527604E-2</v>
      </c>
      <c r="H92" s="103">
        <v>-1.0686124523476059E-2</v>
      </c>
      <c r="I92" s="103">
        <v>5.6179581504535614E-2</v>
      </c>
      <c r="J92" s="103">
        <v>5.7937988463279355E-2</v>
      </c>
      <c r="K92" s="184">
        <v>6.2186680257364735E-2</v>
      </c>
    </row>
    <row r="93" spans="1:11">
      <c r="A93" s="179" t="str">
        <f t="shared" si="4"/>
        <v>Aandelen ontw</v>
      </c>
      <c r="B93" s="103">
        <v>-1.1698330255618672E-2</v>
      </c>
      <c r="C93" s="103">
        <v>-2.534012075725682E-2</v>
      </c>
      <c r="D93" s="103">
        <v>-0.14979851698199181</v>
      </c>
      <c r="E93" s="103">
        <v>-0.13959128413694033</v>
      </c>
      <c r="F93" s="103">
        <v>-6.0609431686527604E-2</v>
      </c>
      <c r="G93" s="213">
        <v>-5.1031791337876081E-2</v>
      </c>
      <c r="H93" s="103">
        <v>-0.1244735819128352</v>
      </c>
      <c r="I93" s="103">
        <v>-7.2642916671976643E-2</v>
      </c>
      <c r="J93" s="103">
        <v>8.8771815008216876E-2</v>
      </c>
      <c r="K93" s="184">
        <v>-2.0253753473601463E-2</v>
      </c>
    </row>
    <row r="94" spans="1:11">
      <c r="A94" s="179" t="str">
        <f t="shared" si="4"/>
        <v>Aandelen opk</v>
      </c>
      <c r="B94" s="103">
        <v>-0.12621731578354306</v>
      </c>
      <c r="C94" s="103">
        <v>-0.11599366016525622</v>
      </c>
      <c r="D94" s="103">
        <v>-8.7271538307013341E-2</v>
      </c>
      <c r="E94" s="103">
        <v>-0.20217387290258787</v>
      </c>
      <c r="F94" s="103">
        <v>-1.0686124523476059E-2</v>
      </c>
      <c r="G94" s="103">
        <v>-0.1244735819128352</v>
      </c>
      <c r="H94" s="213">
        <v>-0.1</v>
      </c>
      <c r="I94" s="103">
        <v>-6.7915069491539193E-2</v>
      </c>
      <c r="J94" s="103">
        <v>3.4618406154022618E-2</v>
      </c>
      <c r="K94" s="184">
        <v>0.14328711826308249</v>
      </c>
    </row>
    <row r="95" spans="1:11">
      <c r="A95" s="179" t="str">
        <f t="shared" si="4"/>
        <v>Hedge funds</v>
      </c>
      <c r="B95" s="103">
        <v>-2.1524466164289963E-2</v>
      </c>
      <c r="C95" s="103">
        <v>-3.0557824567773922E-2</v>
      </c>
      <c r="D95" s="103">
        <v>-0.40024624641241524</v>
      </c>
      <c r="E95" s="103">
        <v>-0.15109177147818414</v>
      </c>
      <c r="F95" s="103">
        <v>5.6179581504535614E-2</v>
      </c>
      <c r="G95" s="103">
        <v>-7.2642916671976643E-2</v>
      </c>
      <c r="H95" s="103">
        <v>-6.7915069491539193E-2</v>
      </c>
      <c r="I95" s="194">
        <v>-9.6846499588091189E-3</v>
      </c>
      <c r="J95" s="103">
        <v>3.3233982723610334E-2</v>
      </c>
      <c r="K95" s="184">
        <v>-3.014993377276437E-2</v>
      </c>
    </row>
    <row r="96" spans="1:11">
      <c r="A96" s="179" t="str">
        <f t="shared" si="4"/>
        <v>OG</v>
      </c>
      <c r="B96" s="103">
        <v>9.5338265659584462E-2</v>
      </c>
      <c r="C96" s="103">
        <v>4.368607984087014E-2</v>
      </c>
      <c r="D96" s="103">
        <v>-0.20645564307431699</v>
      </c>
      <c r="E96" s="103">
        <v>-2.2908837835363682E-3</v>
      </c>
      <c r="F96" s="103">
        <v>5.7937988463279355E-2</v>
      </c>
      <c r="G96" s="103">
        <v>8.8771815008216876E-2</v>
      </c>
      <c r="H96" s="103">
        <v>3.4618406154022618E-2</v>
      </c>
      <c r="I96" s="103">
        <v>3.3233982723610334E-2</v>
      </c>
      <c r="J96" s="194">
        <v>0.1</v>
      </c>
      <c r="K96" s="184">
        <v>-8.616609961762231E-2</v>
      </c>
    </row>
    <row r="97" spans="1:11" ht="13.5" thickBot="1">
      <c r="A97" s="179" t="str">
        <f t="shared" si="4"/>
        <v>Commodities</v>
      </c>
      <c r="B97" s="185">
        <v>-6.6493619486710842E-2</v>
      </c>
      <c r="C97" s="185">
        <v>1.5363933324909623E-2</v>
      </c>
      <c r="D97" s="185">
        <v>-0.28183952302260495</v>
      </c>
      <c r="E97" s="185">
        <v>-9.6117338197158259E-2</v>
      </c>
      <c r="F97" s="185">
        <v>6.2186680257364735E-2</v>
      </c>
      <c r="G97" s="185">
        <v>-2.0253753473601463E-2</v>
      </c>
      <c r="H97" s="185">
        <v>0.14328711826308249</v>
      </c>
      <c r="I97" s="185">
        <v>-3.014993377276437E-2</v>
      </c>
      <c r="J97" s="185">
        <v>-8.616609961762231E-2</v>
      </c>
      <c r="K97" s="195">
        <v>-1.6059919692744423E-2</v>
      </c>
    </row>
    <row r="98" spans="1:11" ht="14.25" thickTop="1" thickBot="1">
      <c r="A98" s="181" t="s">
        <v>165</v>
      </c>
      <c r="B98" s="190" t="str">
        <f>A99</f>
        <v>Nominale VPV</v>
      </c>
      <c r="C98" s="190" t="str">
        <f>A100</f>
        <v>Reele VPV</v>
      </c>
      <c r="D98" s="190" t="str">
        <f>A101</f>
        <v>Credits</v>
      </c>
      <c r="E98" s="190" t="str">
        <f>A102</f>
        <v>High Yield</v>
      </c>
      <c r="F98" s="190" t="str">
        <f>A103</f>
        <v>EMD</v>
      </c>
      <c r="G98" s="190" t="str">
        <f>A104</f>
        <v>Aandelen ontw</v>
      </c>
      <c r="H98" s="190" t="str">
        <f>A105</f>
        <v>Aandelen opk</v>
      </c>
      <c r="I98" s="190" t="str">
        <f>A106</f>
        <v>Hedge funds</v>
      </c>
      <c r="J98" s="190" t="str">
        <f>A107</f>
        <v>OG</v>
      </c>
      <c r="K98" s="191" t="str">
        <f>A108</f>
        <v>Commodities</v>
      </c>
    </row>
    <row r="99" spans="1:11" ht="13.5" thickTop="1">
      <c r="A99" s="178" t="str">
        <f t="shared" ref="A99:A108" si="5">A77</f>
        <v>Nominale VPV</v>
      </c>
      <c r="B99" s="200" t="s">
        <v>75</v>
      </c>
      <c r="C99" s="206" t="s">
        <v>75</v>
      </c>
      <c r="D99" s="206" t="s">
        <v>75</v>
      </c>
      <c r="E99" s="206" t="s">
        <v>75</v>
      </c>
      <c r="F99" s="206" t="s">
        <v>75</v>
      </c>
      <c r="G99" s="206" t="s">
        <v>75</v>
      </c>
      <c r="H99" s="206" t="s">
        <v>75</v>
      </c>
      <c r="I99" s="206" t="s">
        <v>75</v>
      </c>
      <c r="J99" s="206" t="s">
        <v>75</v>
      </c>
      <c r="K99" s="206" t="s">
        <v>75</v>
      </c>
    </row>
    <row r="100" spans="1:11">
      <c r="A100" s="179" t="str">
        <f t="shared" si="5"/>
        <v>Reele VPV</v>
      </c>
      <c r="B100" s="188" t="s">
        <v>75</v>
      </c>
      <c r="C100" s="201" t="s">
        <v>75</v>
      </c>
      <c r="D100" s="207" t="s">
        <v>75</v>
      </c>
      <c r="E100" s="207" t="s">
        <v>75</v>
      </c>
      <c r="F100" s="207" t="s">
        <v>75</v>
      </c>
      <c r="G100" s="207" t="s">
        <v>75</v>
      </c>
      <c r="H100" s="207" t="s">
        <v>75</v>
      </c>
      <c r="I100" s="207" t="s">
        <v>75</v>
      </c>
      <c r="J100" s="207" t="s">
        <v>75</v>
      </c>
      <c r="K100" s="207" t="s">
        <v>75</v>
      </c>
    </row>
    <row r="101" spans="1:11">
      <c r="A101" s="179" t="str">
        <f t="shared" si="5"/>
        <v>Credits</v>
      </c>
      <c r="B101" s="188" t="s">
        <v>75</v>
      </c>
      <c r="C101" s="97" t="s">
        <v>75</v>
      </c>
      <c r="D101" s="201" t="s">
        <v>75</v>
      </c>
      <c r="E101" s="207" t="s">
        <v>75</v>
      </c>
      <c r="F101" s="207" t="s">
        <v>75</v>
      </c>
      <c r="G101" s="207" t="s">
        <v>75</v>
      </c>
      <c r="H101" s="207" t="s">
        <v>75</v>
      </c>
      <c r="I101" s="207" t="s">
        <v>75</v>
      </c>
      <c r="J101" s="207" t="s">
        <v>75</v>
      </c>
      <c r="K101" s="207" t="s">
        <v>75</v>
      </c>
    </row>
    <row r="102" spans="1:11">
      <c r="A102" s="179" t="str">
        <f t="shared" si="5"/>
        <v>High Yield</v>
      </c>
      <c r="B102" s="188" t="s">
        <v>75</v>
      </c>
      <c r="C102" s="97" t="s">
        <v>75</v>
      </c>
      <c r="D102" s="97" t="s">
        <v>75</v>
      </c>
      <c r="E102" s="201" t="s">
        <v>75</v>
      </c>
      <c r="F102" s="207" t="s">
        <v>75</v>
      </c>
      <c r="G102" s="207" t="s">
        <v>75</v>
      </c>
      <c r="H102" s="207" t="s">
        <v>75</v>
      </c>
      <c r="I102" s="207" t="s">
        <v>75</v>
      </c>
      <c r="J102" s="207" t="s">
        <v>75</v>
      </c>
      <c r="K102" s="207" t="s">
        <v>75</v>
      </c>
    </row>
    <row r="103" spans="1:11">
      <c r="A103" s="179" t="str">
        <f t="shared" si="5"/>
        <v>EMD</v>
      </c>
      <c r="B103" s="188" t="s">
        <v>75</v>
      </c>
      <c r="C103" s="97" t="s">
        <v>75</v>
      </c>
      <c r="D103" s="97" t="s">
        <v>75</v>
      </c>
      <c r="E103" s="97" t="s">
        <v>75</v>
      </c>
      <c r="F103" s="201" t="s">
        <v>75</v>
      </c>
      <c r="G103" s="207" t="s">
        <v>75</v>
      </c>
      <c r="H103" s="207" t="s">
        <v>75</v>
      </c>
      <c r="I103" s="207" t="s">
        <v>75</v>
      </c>
      <c r="J103" s="207" t="s">
        <v>75</v>
      </c>
      <c r="K103" s="207" t="s">
        <v>75</v>
      </c>
    </row>
    <row r="104" spans="1:11">
      <c r="A104" s="179" t="str">
        <f t="shared" si="5"/>
        <v>Aandelen ontw</v>
      </c>
      <c r="B104" s="188" t="s">
        <v>75</v>
      </c>
      <c r="C104" s="97" t="s">
        <v>75</v>
      </c>
      <c r="D104" s="97" t="s">
        <v>75</v>
      </c>
      <c r="E104" s="97" t="s">
        <v>75</v>
      </c>
      <c r="F104" s="97" t="s">
        <v>75</v>
      </c>
      <c r="G104" s="201" t="s">
        <v>75</v>
      </c>
      <c r="H104" s="207" t="s">
        <v>75</v>
      </c>
      <c r="I104" s="207" t="s">
        <v>75</v>
      </c>
      <c r="J104" s="207" t="s">
        <v>75</v>
      </c>
      <c r="K104" s="207" t="s">
        <v>75</v>
      </c>
    </row>
    <row r="105" spans="1:11">
      <c r="A105" s="179" t="str">
        <f t="shared" si="5"/>
        <v>Aandelen opk</v>
      </c>
      <c r="B105" s="188" t="s">
        <v>75</v>
      </c>
      <c r="C105" s="97" t="s">
        <v>75</v>
      </c>
      <c r="D105" s="97" t="s">
        <v>75</v>
      </c>
      <c r="E105" s="97" t="s">
        <v>75</v>
      </c>
      <c r="F105" s="97" t="s">
        <v>75</v>
      </c>
      <c r="G105" s="97" t="s">
        <v>75</v>
      </c>
      <c r="H105" s="201" t="s">
        <v>75</v>
      </c>
      <c r="I105" s="207" t="s">
        <v>75</v>
      </c>
      <c r="J105" s="207" t="s">
        <v>75</v>
      </c>
      <c r="K105" s="207" t="s">
        <v>75</v>
      </c>
    </row>
    <row r="106" spans="1:11">
      <c r="A106" s="179" t="str">
        <f t="shared" si="5"/>
        <v>Hedge funds</v>
      </c>
      <c r="B106" s="188" t="s">
        <v>75</v>
      </c>
      <c r="C106" s="97" t="s">
        <v>75</v>
      </c>
      <c r="D106" s="97" t="s">
        <v>75</v>
      </c>
      <c r="E106" s="97" t="s">
        <v>75</v>
      </c>
      <c r="F106" s="97" t="s">
        <v>75</v>
      </c>
      <c r="G106" s="97" t="s">
        <v>75</v>
      </c>
      <c r="H106" s="97" t="s">
        <v>75</v>
      </c>
      <c r="I106" s="201" t="s">
        <v>75</v>
      </c>
      <c r="J106" s="207" t="s">
        <v>75</v>
      </c>
      <c r="K106" s="207" t="s">
        <v>75</v>
      </c>
    </row>
    <row r="107" spans="1:11">
      <c r="A107" s="179" t="str">
        <f t="shared" si="5"/>
        <v>OG</v>
      </c>
      <c r="B107" s="188" t="s">
        <v>75</v>
      </c>
      <c r="C107" s="97" t="s">
        <v>75</v>
      </c>
      <c r="D107" s="97" t="s">
        <v>75</v>
      </c>
      <c r="E107" s="97" t="s">
        <v>75</v>
      </c>
      <c r="F107" s="97" t="s">
        <v>75</v>
      </c>
      <c r="G107" s="97" t="s">
        <v>75</v>
      </c>
      <c r="H107" s="97" t="s">
        <v>75</v>
      </c>
      <c r="I107" s="97" t="s">
        <v>75</v>
      </c>
      <c r="J107" s="201" t="s">
        <v>75</v>
      </c>
      <c r="K107" s="207" t="s">
        <v>75</v>
      </c>
    </row>
    <row r="108" spans="1:11" ht="13.5" thickBot="1">
      <c r="A108" s="180" t="str">
        <f t="shared" si="5"/>
        <v>Commodities</v>
      </c>
      <c r="B108" s="189" t="s">
        <v>75</v>
      </c>
      <c r="C108" s="192" t="s">
        <v>75</v>
      </c>
      <c r="D108" s="192" t="s">
        <v>75</v>
      </c>
      <c r="E108" s="192" t="s">
        <v>75</v>
      </c>
      <c r="F108" s="192" t="s">
        <v>75</v>
      </c>
      <c r="G108" s="192" t="s">
        <v>75</v>
      </c>
      <c r="H108" s="192" t="s">
        <v>75</v>
      </c>
      <c r="I108" s="192" t="s">
        <v>75</v>
      </c>
      <c r="J108" s="192" t="s">
        <v>75</v>
      </c>
      <c r="K108" s="202" t="s">
        <v>75</v>
      </c>
    </row>
    <row r="109" spans="1:11" ht="13.5" thickTop="1"/>
    <row r="115" spans="1:2">
      <c r="A115" s="2" t="s">
        <v>170</v>
      </c>
    </row>
    <row r="116" spans="1:2">
      <c r="A116" s="76" t="s">
        <v>161</v>
      </c>
      <c r="B116" s="7" t="s">
        <v>171</v>
      </c>
    </row>
    <row r="117" spans="1:2">
      <c r="A117" s="221" t="str">
        <f>A38</f>
        <v>Nominale VPV</v>
      </c>
      <c r="B117" s="16">
        <v>-5.0000000000000001E-3</v>
      </c>
    </row>
    <row r="118" spans="1:2">
      <c r="A118" s="221" t="str">
        <f t="shared" ref="A118:A126" si="6">A39</f>
        <v>Reele VPV</v>
      </c>
      <c r="B118" s="16">
        <v>-4.2615162118704336E-2</v>
      </c>
    </row>
    <row r="119" spans="1:2">
      <c r="A119" s="221" t="str">
        <f t="shared" si="6"/>
        <v>Credits</v>
      </c>
      <c r="B119" s="16">
        <v>-6.7202989212353972E-2</v>
      </c>
    </row>
    <row r="120" spans="1:2">
      <c r="A120" s="221" t="str">
        <f t="shared" si="6"/>
        <v>High Yield</v>
      </c>
      <c r="B120" s="16">
        <v>-1.4963873800506802E-3</v>
      </c>
    </row>
    <row r="121" spans="1:2">
      <c r="A121" s="221" t="str">
        <f t="shared" si="6"/>
        <v>EMD</v>
      </c>
      <c r="B121" s="16">
        <v>-6.5282629627811395E-3</v>
      </c>
    </row>
    <row r="122" spans="1:2">
      <c r="A122" s="221" t="str">
        <f t="shared" si="6"/>
        <v>Aandelen ontw</v>
      </c>
      <c r="B122" s="16">
        <v>-1.4356314621335145E-2</v>
      </c>
    </row>
    <row r="123" spans="1:2">
      <c r="A123" s="221" t="str">
        <f t="shared" si="6"/>
        <v>Aandelen opk</v>
      </c>
      <c r="B123" s="16">
        <v>-0.03</v>
      </c>
    </row>
    <row r="124" spans="1:2">
      <c r="A124" s="221" t="str">
        <f t="shared" si="6"/>
        <v>Hedge funds</v>
      </c>
      <c r="B124" s="16">
        <v>0</v>
      </c>
    </row>
    <row r="125" spans="1:2">
      <c r="A125" s="221" t="str">
        <f t="shared" si="6"/>
        <v>OG</v>
      </c>
      <c r="B125" s="16">
        <v>-2.2615162118704332E-2</v>
      </c>
    </row>
    <row r="126" spans="1:2">
      <c r="A126" s="70" t="str">
        <f t="shared" si="6"/>
        <v>Commodities</v>
      </c>
      <c r="B126" s="10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76" t="str">
        <f>A130</f>
        <v>Nominale VPV</v>
      </c>
      <c r="C129" s="176" t="str">
        <f>A131</f>
        <v>Reele VPV</v>
      </c>
      <c r="D129" s="176" t="str">
        <f>A132</f>
        <v>Credits</v>
      </c>
      <c r="E129" s="176" t="str">
        <f>A133</f>
        <v>High Yield</v>
      </c>
      <c r="F129" s="176" t="str">
        <f>A134</f>
        <v>EMD</v>
      </c>
      <c r="G129" s="176" t="str">
        <f>A135</f>
        <v>Aandelen ontw</v>
      </c>
      <c r="H129" s="176" t="str">
        <f>A136</f>
        <v>Aandelen opk</v>
      </c>
      <c r="I129" s="176" t="str">
        <f>A137</f>
        <v>Hedge funds</v>
      </c>
      <c r="J129" s="176" t="str">
        <f>A138</f>
        <v>OG</v>
      </c>
      <c r="K129" s="177" t="str">
        <f>A139</f>
        <v>Commodities</v>
      </c>
    </row>
    <row r="130" spans="1:11">
      <c r="A130" s="10" t="str">
        <f>A88</f>
        <v>Nominale VPV</v>
      </c>
      <c r="B130" s="174">
        <v>-4.4452634636536759E-3</v>
      </c>
      <c r="C130" s="103">
        <v>8.7441982900903215E-3</v>
      </c>
      <c r="D130" s="103">
        <v>-4.9339554768319666E-2</v>
      </c>
      <c r="E130" s="103">
        <v>1.2956951776552206E-2</v>
      </c>
      <c r="F130" s="103">
        <v>0.12280562830238999</v>
      </c>
      <c r="G130" s="103">
        <v>7.888144630971039E-2</v>
      </c>
      <c r="H130" s="103">
        <v>2.0536738705801028E-2</v>
      </c>
      <c r="I130" s="103">
        <v>0.20606610244590901</v>
      </c>
      <c r="J130" s="103">
        <v>0.14011276432957054</v>
      </c>
      <c r="K130" s="104">
        <v>0.15047956318851441</v>
      </c>
    </row>
    <row r="131" spans="1:11">
      <c r="A131" s="168" t="str">
        <f t="shared" ref="A131:A139" si="7">A89</f>
        <v>Reele VPV</v>
      </c>
      <c r="B131" s="103">
        <v>8.7441982900903215E-3</v>
      </c>
      <c r="C131" s="174">
        <v>-1.2489110566723652E-2</v>
      </c>
      <c r="D131" s="103">
        <v>-7.8968305578049042E-2</v>
      </c>
      <c r="E131" s="103">
        <v>6.0426382116282595E-4</v>
      </c>
      <c r="F131" s="103">
        <v>0.10492325236742081</v>
      </c>
      <c r="G131" s="103">
        <v>5.6290840075746598E-2</v>
      </c>
      <c r="H131" s="103">
        <v>-1.5578453646869446E-2</v>
      </c>
      <c r="I131" s="103">
        <v>8.388996510493392E-2</v>
      </c>
      <c r="J131" s="103">
        <v>5.6324160721505756E-2</v>
      </c>
      <c r="K131" s="104">
        <v>0.15211552114400606</v>
      </c>
    </row>
    <row r="132" spans="1:11">
      <c r="A132" s="168" t="str">
        <f t="shared" si="7"/>
        <v>Credits</v>
      </c>
      <c r="B132" s="103">
        <v>-4.9339554768319666E-2</v>
      </c>
      <c r="C132" s="103">
        <v>-7.8968305578049042E-2</v>
      </c>
      <c r="D132" s="174">
        <v>-2.706363543105883E-3</v>
      </c>
      <c r="E132" s="103">
        <v>-0.10623169046092773</v>
      </c>
      <c r="F132" s="103">
        <v>-0.14155774979361152</v>
      </c>
      <c r="G132" s="103">
        <v>-5.0668020034901229E-2</v>
      </c>
      <c r="H132" s="103">
        <v>-1.3786713207860615E-2</v>
      </c>
      <c r="I132" s="103">
        <v>-0.21194265883981259</v>
      </c>
      <c r="J132" s="103">
        <v>-0.18953914181475942</v>
      </c>
      <c r="K132" s="104">
        <v>-0.13698576121952513</v>
      </c>
    </row>
    <row r="133" spans="1:11">
      <c r="A133" s="168" t="str">
        <f t="shared" si="7"/>
        <v>High Yield</v>
      </c>
      <c r="B133" s="103">
        <v>1.2956951776552206E-2</v>
      </c>
      <c r="C133" s="103">
        <v>6.0426382116282595E-4</v>
      </c>
      <c r="D133" s="103">
        <v>-0.10623169046092773</v>
      </c>
      <c r="E133" s="174">
        <v>-1.7442087987237814E-2</v>
      </c>
      <c r="F133" s="103">
        <v>-6.5893962027107067E-3</v>
      </c>
      <c r="G133" s="103">
        <v>-0.143476943707742</v>
      </c>
      <c r="H133" s="103">
        <v>-0.11434838152979443</v>
      </c>
      <c r="I133" s="103">
        <v>-3.4443218317613822E-2</v>
      </c>
      <c r="J133" s="103">
        <v>-6.7853109690286184E-2</v>
      </c>
      <c r="K133" s="104">
        <v>-0.17277427161463785</v>
      </c>
    </row>
    <row r="134" spans="1:11">
      <c r="A134" s="168" t="str">
        <f t="shared" si="7"/>
        <v>EMD</v>
      </c>
      <c r="B134" s="103">
        <v>0.12280562830238999</v>
      </c>
      <c r="C134" s="103">
        <v>0.10492325236742081</v>
      </c>
      <c r="D134" s="103">
        <v>-0.14155774979361152</v>
      </c>
      <c r="E134" s="103">
        <v>-6.5893962027107067E-3</v>
      </c>
      <c r="F134" s="174">
        <v>9.8520155870215897E-4</v>
      </c>
      <c r="G134" s="103">
        <v>-8.595312319249071E-2</v>
      </c>
      <c r="H134" s="103">
        <v>-1.5001410389243408E-2</v>
      </c>
      <c r="I134" s="103">
        <v>1.8350200165725084E-2</v>
      </c>
      <c r="J134" s="103">
        <v>-6.8151783508844377E-2</v>
      </c>
      <c r="K134" s="104">
        <v>-0.14271150902962326</v>
      </c>
    </row>
    <row r="135" spans="1:11">
      <c r="A135" s="168" t="str">
        <f t="shared" si="7"/>
        <v>Aandelen ontw</v>
      </c>
      <c r="B135" s="103">
        <v>7.888144630971039E-2</v>
      </c>
      <c r="C135" s="103">
        <v>5.6290840075746598E-2</v>
      </c>
      <c r="D135" s="103">
        <v>-5.0668020034901229E-2</v>
      </c>
      <c r="E135" s="103">
        <v>-0.143476943707742</v>
      </c>
      <c r="F135" s="103">
        <v>-8.595312319249071E-2</v>
      </c>
      <c r="G135" s="174">
        <v>-3.6806140284931677E-2</v>
      </c>
      <c r="H135" s="103">
        <v>-0.13411329500608138</v>
      </c>
      <c r="I135" s="103">
        <v>-6.395250688912657E-2</v>
      </c>
      <c r="J135" s="103">
        <v>-4.3385699574238039E-2</v>
      </c>
      <c r="K135" s="104">
        <v>-0.14433234480063456</v>
      </c>
    </row>
    <row r="136" spans="1:11">
      <c r="A136" s="168" t="str">
        <f t="shared" si="7"/>
        <v>Aandelen opk</v>
      </c>
      <c r="B136" s="103">
        <v>2.0536738705801028E-2</v>
      </c>
      <c r="C136" s="103">
        <v>-1.5578453646869446E-2</v>
      </c>
      <c r="D136" s="103">
        <v>-1.3786713207860615E-2</v>
      </c>
      <c r="E136" s="103">
        <v>-0.11434838152979443</v>
      </c>
      <c r="F136" s="103">
        <v>-1.5001410389243408E-2</v>
      </c>
      <c r="G136" s="103">
        <v>-0.13411329500608138</v>
      </c>
      <c r="H136" s="174">
        <v>-2.4024513892395571E-2</v>
      </c>
      <c r="I136" s="103">
        <v>-3.24415603390657E-2</v>
      </c>
      <c r="J136" s="103">
        <v>-4.0330896746586908E-2</v>
      </c>
      <c r="K136" s="104">
        <v>-0.12811111916728496</v>
      </c>
    </row>
    <row r="137" spans="1:11">
      <c r="A137" s="168" t="str">
        <f t="shared" si="7"/>
        <v>Hedge funds</v>
      </c>
      <c r="B137" s="103">
        <v>0.20606610244590901</v>
      </c>
      <c r="C137" s="103">
        <v>8.388996510493392E-2</v>
      </c>
      <c r="D137" s="103">
        <v>-0.21194265883981259</v>
      </c>
      <c r="E137" s="103">
        <v>-3.4443218317613822E-2</v>
      </c>
      <c r="F137" s="103">
        <v>1.8350200165725084E-2</v>
      </c>
      <c r="G137" s="103">
        <v>-6.395250688912657E-2</v>
      </c>
      <c r="H137" s="103">
        <v>-3.24415603390657E-2</v>
      </c>
      <c r="I137" s="194">
        <v>0.05</v>
      </c>
      <c r="J137" s="103">
        <v>-0.14615165313209905</v>
      </c>
      <c r="K137" s="104">
        <v>-0.2894409383542384</v>
      </c>
    </row>
    <row r="138" spans="1:11">
      <c r="A138" s="168" t="str">
        <f t="shared" si="7"/>
        <v>OG</v>
      </c>
      <c r="B138" s="103">
        <v>0.14011276432957054</v>
      </c>
      <c r="C138" s="103">
        <v>5.6324160721505756E-2</v>
      </c>
      <c r="D138" s="103">
        <v>-0.18953914181475942</v>
      </c>
      <c r="E138" s="103">
        <v>-6.7853109690286184E-2</v>
      </c>
      <c r="F138" s="103">
        <v>-6.8151783508844377E-2</v>
      </c>
      <c r="G138" s="103">
        <v>-4.3385699574238039E-2</v>
      </c>
      <c r="H138" s="103">
        <v>-4.0330896746586908E-2</v>
      </c>
      <c r="I138" s="103">
        <v>-0.14615165313209905</v>
      </c>
      <c r="J138" s="194">
        <v>-1.0093826837884137E-2</v>
      </c>
      <c r="K138" s="104">
        <v>-0.15122033452681916</v>
      </c>
    </row>
    <row r="139" spans="1:11">
      <c r="A139" s="167" t="str">
        <f t="shared" si="7"/>
        <v>Commodities</v>
      </c>
      <c r="B139" s="106">
        <v>0.15047956318851441</v>
      </c>
      <c r="C139" s="106">
        <v>0.15211552114400606</v>
      </c>
      <c r="D139" s="106">
        <v>-0.13698576121952513</v>
      </c>
      <c r="E139" s="106">
        <v>-0.17277427161463785</v>
      </c>
      <c r="F139" s="106">
        <v>-0.14271150902962326</v>
      </c>
      <c r="G139" s="106">
        <v>-0.14433234480063456</v>
      </c>
      <c r="H139" s="106">
        <v>-0.12811111916728496</v>
      </c>
      <c r="I139" s="106">
        <v>-0.2894409383542384</v>
      </c>
      <c r="J139" s="106">
        <v>-0.15122033452681916</v>
      </c>
      <c r="K139" s="220">
        <v>-2.1570331594918418E-2</v>
      </c>
    </row>
    <row r="156" spans="2:2">
      <c r="B156" t="s">
        <v>75</v>
      </c>
    </row>
    <row r="157" spans="2:2">
      <c r="B157" t="s">
        <v>76</v>
      </c>
    </row>
  </sheetData>
  <phoneticPr fontId="2" type="noConversion"/>
  <dataValidations count="1">
    <dataValidation type="list" allowBlank="1" showInputMessage="1" showErrorMessage="1" sqref="F38:F47 B99:K108">
      <formula1>$B$156:$B$157</formula1>
    </dataValidation>
  </dataValidations>
  <pageMargins left="0.75" right="0.75" top="1" bottom="1" header="0.5" footer="0.5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0" enableFormatConditionsCalculation="0">
    <tabColor indexed="15"/>
  </sheetPr>
  <dimension ref="A1:Z157"/>
  <sheetViews>
    <sheetView zoomScale="75" workbookViewId="0">
      <selection activeCell="H32" sqref="H32"/>
    </sheetView>
  </sheetViews>
  <sheetFormatPr defaultRowHeight="12.75"/>
  <cols>
    <col min="1" max="1" width="34.140625" customWidth="1"/>
    <col min="2" max="3" width="20.7109375" customWidth="1"/>
    <col min="4" max="4" width="25" customWidth="1"/>
    <col min="5" max="5" width="26" customWidth="1"/>
    <col min="6" max="11" width="20.7109375" customWidth="1"/>
    <col min="12" max="12" width="17.140625" customWidth="1"/>
    <col min="13" max="13" width="18.140625" customWidth="1"/>
    <col min="14" max="14" width="16.5703125" customWidth="1"/>
    <col min="16" max="16" width="14.85546875" customWidth="1"/>
    <col min="24" max="24" width="18.42578125" customWidth="1"/>
  </cols>
  <sheetData>
    <row r="1" spans="1:25">
      <c r="A1" s="2" t="s">
        <v>144</v>
      </c>
      <c r="B1" s="13" t="str">
        <f>'Economische visies'!E2</f>
        <v>Schuld deflatie</v>
      </c>
      <c r="C1" s="3" t="s">
        <v>129</v>
      </c>
      <c r="D1" s="25">
        <v>4</v>
      </c>
    </row>
    <row r="2" spans="1:25">
      <c r="A2" s="2"/>
      <c r="B2" s="13"/>
    </row>
    <row r="3" spans="1:25">
      <c r="A3" s="2"/>
    </row>
    <row r="4" spans="1:25">
      <c r="A4" s="2" t="s">
        <v>159</v>
      </c>
    </row>
    <row r="5" spans="1:25">
      <c r="A5" s="122"/>
      <c r="B5" s="165"/>
      <c r="C5" s="166"/>
      <c r="D5" s="166"/>
      <c r="E5" s="166"/>
      <c r="F5" s="166"/>
      <c r="G5" s="166"/>
      <c r="H5" s="166"/>
      <c r="I5" s="166"/>
      <c r="J5" s="166"/>
      <c r="K5" s="161"/>
      <c r="M5" s="3"/>
    </row>
    <row r="6" spans="1:25">
      <c r="A6" s="9" t="s">
        <v>145</v>
      </c>
      <c r="B6" s="162" t="s">
        <v>77</v>
      </c>
      <c r="C6" s="61" t="s">
        <v>78</v>
      </c>
      <c r="D6" s="61" t="s">
        <v>73</v>
      </c>
      <c r="E6" s="61" t="s">
        <v>4</v>
      </c>
      <c r="F6" s="61" t="s">
        <v>0</v>
      </c>
      <c r="G6" s="61" t="s">
        <v>82</v>
      </c>
      <c r="H6" s="61" t="s">
        <v>83</v>
      </c>
      <c r="I6" s="61" t="s">
        <v>5</v>
      </c>
      <c r="J6" s="61" t="s">
        <v>1</v>
      </c>
      <c r="K6" s="62" t="s">
        <v>6</v>
      </c>
      <c r="M6" s="3"/>
      <c r="X6" s="3" t="s">
        <v>146</v>
      </c>
    </row>
    <row r="7" spans="1:25">
      <c r="A7" s="168" t="s">
        <v>77</v>
      </c>
      <c r="B7" s="171">
        <v>1</v>
      </c>
      <c r="C7" s="97">
        <v>0</v>
      </c>
      <c r="D7" s="97">
        <v>0</v>
      </c>
      <c r="E7" s="97">
        <v>0</v>
      </c>
      <c r="F7" s="97">
        <v>0</v>
      </c>
      <c r="G7" s="97">
        <v>0</v>
      </c>
      <c r="H7" s="97">
        <v>0</v>
      </c>
      <c r="I7" s="97">
        <v>0</v>
      </c>
      <c r="J7" s="97">
        <v>0</v>
      </c>
      <c r="K7" s="5">
        <v>0</v>
      </c>
      <c r="X7" t="s">
        <v>148</v>
      </c>
      <c r="Y7">
        <v>-20</v>
      </c>
    </row>
    <row r="8" spans="1:25">
      <c r="A8" s="168" t="s">
        <v>78</v>
      </c>
      <c r="B8" s="171">
        <v>0</v>
      </c>
      <c r="C8" s="97">
        <v>1</v>
      </c>
      <c r="D8" s="97">
        <v>0</v>
      </c>
      <c r="E8" s="97"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5">
        <v>0</v>
      </c>
      <c r="X8" t="s">
        <v>149</v>
      </c>
      <c r="Y8">
        <v>-10</v>
      </c>
    </row>
    <row r="9" spans="1:25">
      <c r="A9" s="168" t="s">
        <v>73</v>
      </c>
      <c r="B9" s="171">
        <v>0</v>
      </c>
      <c r="C9" s="97">
        <v>0</v>
      </c>
      <c r="D9" s="97">
        <v>1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5">
        <v>0</v>
      </c>
      <c r="X9" t="s">
        <v>147</v>
      </c>
      <c r="Y9">
        <v>0</v>
      </c>
    </row>
    <row r="10" spans="1:25">
      <c r="A10" s="168" t="s">
        <v>4</v>
      </c>
      <c r="B10" s="171">
        <v>0</v>
      </c>
      <c r="C10" s="97">
        <v>0</v>
      </c>
      <c r="D10" s="97">
        <v>0</v>
      </c>
      <c r="E10" s="97">
        <v>1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5">
        <v>0</v>
      </c>
      <c r="X10" t="s">
        <v>151</v>
      </c>
      <c r="Y10">
        <v>10</v>
      </c>
    </row>
    <row r="11" spans="1:25">
      <c r="A11" s="168" t="s">
        <v>0</v>
      </c>
      <c r="B11" s="171">
        <v>0</v>
      </c>
      <c r="C11" s="97">
        <v>0</v>
      </c>
      <c r="D11" s="97">
        <v>0</v>
      </c>
      <c r="E11" s="97">
        <v>0</v>
      </c>
      <c r="F11" s="97">
        <v>1</v>
      </c>
      <c r="G11" s="97">
        <v>0</v>
      </c>
      <c r="H11" s="97">
        <v>0</v>
      </c>
      <c r="I11" s="97">
        <v>0</v>
      </c>
      <c r="J11" s="97">
        <v>0</v>
      </c>
      <c r="K11" s="5">
        <v>0</v>
      </c>
      <c r="X11" t="s">
        <v>152</v>
      </c>
      <c r="Y11">
        <v>20</v>
      </c>
    </row>
    <row r="12" spans="1:25">
      <c r="A12" s="168" t="s">
        <v>82</v>
      </c>
      <c r="B12" s="171">
        <v>0</v>
      </c>
      <c r="C12" s="97">
        <v>0</v>
      </c>
      <c r="D12" s="97">
        <v>0</v>
      </c>
      <c r="E12" s="97">
        <v>0</v>
      </c>
      <c r="F12" s="97">
        <v>0</v>
      </c>
      <c r="G12" s="97">
        <v>1</v>
      </c>
      <c r="H12" s="97">
        <v>0</v>
      </c>
      <c r="I12" s="97">
        <v>0</v>
      </c>
      <c r="J12" s="97">
        <v>0</v>
      </c>
      <c r="K12" s="5">
        <v>0</v>
      </c>
      <c r="X12" t="s">
        <v>150</v>
      </c>
      <c r="Y12">
        <v>-99</v>
      </c>
    </row>
    <row r="13" spans="1:25">
      <c r="A13" s="168" t="s">
        <v>83</v>
      </c>
      <c r="B13" s="171">
        <v>0</v>
      </c>
      <c r="C13" s="97">
        <v>0</v>
      </c>
      <c r="D13" s="97">
        <v>0</v>
      </c>
      <c r="E13" s="97">
        <v>0</v>
      </c>
      <c r="F13" s="97">
        <v>0</v>
      </c>
      <c r="G13" s="97">
        <v>0</v>
      </c>
      <c r="H13" s="97">
        <v>1</v>
      </c>
      <c r="I13" s="97">
        <v>0</v>
      </c>
      <c r="J13" s="97">
        <v>0</v>
      </c>
      <c r="K13" s="5">
        <v>0</v>
      </c>
    </row>
    <row r="14" spans="1:25">
      <c r="A14" s="168" t="s">
        <v>5</v>
      </c>
      <c r="B14" s="171">
        <v>0</v>
      </c>
      <c r="C14" s="97">
        <v>0</v>
      </c>
      <c r="D14" s="97">
        <v>0</v>
      </c>
      <c r="E14" s="97">
        <v>0</v>
      </c>
      <c r="F14" s="97">
        <v>0</v>
      </c>
      <c r="G14" s="97">
        <v>0</v>
      </c>
      <c r="H14" s="97">
        <v>0</v>
      </c>
      <c r="I14" s="97">
        <v>1</v>
      </c>
      <c r="J14" s="97">
        <v>0</v>
      </c>
      <c r="K14" s="5">
        <v>0</v>
      </c>
    </row>
    <row r="15" spans="1:25">
      <c r="A15" s="168" t="s">
        <v>1</v>
      </c>
      <c r="B15" s="171">
        <v>0</v>
      </c>
      <c r="C15" s="97">
        <v>0</v>
      </c>
      <c r="D15" s="97">
        <v>0</v>
      </c>
      <c r="E15" s="97">
        <v>0</v>
      </c>
      <c r="F15" s="97">
        <v>0</v>
      </c>
      <c r="G15" s="97">
        <v>0</v>
      </c>
      <c r="H15" s="97">
        <v>0</v>
      </c>
      <c r="I15" s="97">
        <v>0</v>
      </c>
      <c r="J15" s="97">
        <v>1</v>
      </c>
      <c r="K15" s="5">
        <v>0</v>
      </c>
    </row>
    <row r="16" spans="1:25">
      <c r="A16" s="167" t="s">
        <v>6</v>
      </c>
      <c r="B16" s="160">
        <v>0</v>
      </c>
      <c r="C16" s="169">
        <v>0</v>
      </c>
      <c r="D16" s="169">
        <v>0</v>
      </c>
      <c r="E16" s="169">
        <v>0</v>
      </c>
      <c r="F16" s="169">
        <v>0</v>
      </c>
      <c r="G16" s="169">
        <v>0</v>
      </c>
      <c r="H16" s="169">
        <v>0</v>
      </c>
      <c r="I16" s="169">
        <v>0</v>
      </c>
      <c r="J16" s="169">
        <v>0</v>
      </c>
      <c r="K16" s="6">
        <v>1</v>
      </c>
    </row>
    <row r="18" spans="1:26">
      <c r="A18" s="2" t="s">
        <v>160</v>
      </c>
    </row>
    <row r="19" spans="1:26">
      <c r="A19" s="170"/>
      <c r="B19" s="166"/>
      <c r="C19" s="166"/>
      <c r="D19" s="166"/>
      <c r="E19" s="166"/>
      <c r="F19" s="166"/>
      <c r="G19" s="166"/>
      <c r="H19" s="166"/>
      <c r="I19" s="166"/>
      <c r="J19" s="166"/>
      <c r="K19" s="4"/>
    </row>
    <row r="20" spans="1:26">
      <c r="A20" s="167" t="s">
        <v>145</v>
      </c>
      <c r="B20" s="61" t="s">
        <v>77</v>
      </c>
      <c r="C20" s="61" t="s">
        <v>78</v>
      </c>
      <c r="D20" s="61" t="s">
        <v>73</v>
      </c>
      <c r="E20" s="61" t="s">
        <v>4</v>
      </c>
      <c r="F20" s="61" t="s">
        <v>0</v>
      </c>
      <c r="G20" s="61" t="s">
        <v>82</v>
      </c>
      <c r="H20" s="61" t="s">
        <v>83</v>
      </c>
      <c r="I20" s="61" t="s">
        <v>5</v>
      </c>
      <c r="J20" s="61" t="s">
        <v>1</v>
      </c>
      <c r="K20" s="62" t="s">
        <v>6</v>
      </c>
    </row>
    <row r="21" spans="1:26">
      <c r="A21" s="168" t="s">
        <v>77</v>
      </c>
      <c r="B21" s="97">
        <v>1</v>
      </c>
      <c r="C21" s="97">
        <v>0</v>
      </c>
      <c r="D21" s="97">
        <v>0</v>
      </c>
      <c r="E21" s="97"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64">
        <v>0</v>
      </c>
    </row>
    <row r="22" spans="1:26">
      <c r="A22" s="168" t="s">
        <v>78</v>
      </c>
      <c r="B22" s="97">
        <v>0</v>
      </c>
      <c r="C22" s="97">
        <v>1</v>
      </c>
      <c r="D22" s="97">
        <v>0</v>
      </c>
      <c r="E22" s="97"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5">
        <v>0</v>
      </c>
    </row>
    <row r="23" spans="1:26">
      <c r="A23" s="168" t="s">
        <v>73</v>
      </c>
      <c r="B23" s="97">
        <v>0</v>
      </c>
      <c r="C23" s="97">
        <v>0</v>
      </c>
      <c r="D23" s="97">
        <v>1</v>
      </c>
      <c r="E23" s="97"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5">
        <v>0</v>
      </c>
    </row>
    <row r="24" spans="1:26">
      <c r="A24" s="168" t="s">
        <v>4</v>
      </c>
      <c r="B24" s="97">
        <v>0</v>
      </c>
      <c r="C24" s="97">
        <v>0</v>
      </c>
      <c r="D24" s="97">
        <v>0</v>
      </c>
      <c r="E24" s="97">
        <v>1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5">
        <v>0</v>
      </c>
    </row>
    <row r="25" spans="1:26">
      <c r="A25" s="168" t="s">
        <v>0</v>
      </c>
      <c r="B25" s="97">
        <v>0</v>
      </c>
      <c r="C25" s="97">
        <v>0</v>
      </c>
      <c r="D25" s="97">
        <v>0</v>
      </c>
      <c r="E25" s="97">
        <v>0</v>
      </c>
      <c r="F25" s="97">
        <v>1</v>
      </c>
      <c r="G25" s="97">
        <v>0</v>
      </c>
      <c r="H25" s="97">
        <v>0</v>
      </c>
      <c r="I25" s="97">
        <v>0</v>
      </c>
      <c r="J25" s="97">
        <v>0</v>
      </c>
      <c r="K25" s="5">
        <v>0</v>
      </c>
    </row>
    <row r="26" spans="1:26">
      <c r="A26" s="168" t="s">
        <v>82</v>
      </c>
      <c r="B26" s="97">
        <v>0</v>
      </c>
      <c r="C26" s="97">
        <v>0</v>
      </c>
      <c r="D26" s="97">
        <v>0</v>
      </c>
      <c r="E26" s="97">
        <v>0</v>
      </c>
      <c r="F26" s="97">
        <v>0</v>
      </c>
      <c r="G26" s="97">
        <v>1</v>
      </c>
      <c r="H26" s="97">
        <v>0</v>
      </c>
      <c r="I26" s="97">
        <v>0</v>
      </c>
      <c r="J26" s="97">
        <v>0</v>
      </c>
      <c r="K26" s="5">
        <v>0</v>
      </c>
    </row>
    <row r="27" spans="1:26">
      <c r="A27" s="168" t="s">
        <v>83</v>
      </c>
      <c r="B27" s="97">
        <v>0</v>
      </c>
      <c r="C27" s="97">
        <v>0</v>
      </c>
      <c r="D27" s="97">
        <v>0</v>
      </c>
      <c r="E27" s="97">
        <v>0</v>
      </c>
      <c r="F27" s="97">
        <v>0</v>
      </c>
      <c r="G27" s="97">
        <v>0</v>
      </c>
      <c r="H27" s="97">
        <v>1</v>
      </c>
      <c r="I27" s="97">
        <v>0</v>
      </c>
      <c r="J27" s="97">
        <v>0</v>
      </c>
      <c r="K27" s="5">
        <v>0</v>
      </c>
    </row>
    <row r="28" spans="1:26">
      <c r="A28" s="168" t="s">
        <v>5</v>
      </c>
      <c r="B28" s="97">
        <v>0</v>
      </c>
      <c r="C28" s="97">
        <v>0</v>
      </c>
      <c r="D28" s="97">
        <v>0</v>
      </c>
      <c r="E28" s="97">
        <v>0</v>
      </c>
      <c r="F28" s="97">
        <v>0</v>
      </c>
      <c r="G28" s="97">
        <v>0</v>
      </c>
      <c r="H28" s="97">
        <v>0</v>
      </c>
      <c r="I28" s="97">
        <v>1</v>
      </c>
      <c r="J28" s="97">
        <v>0</v>
      </c>
      <c r="K28" s="5">
        <v>0</v>
      </c>
    </row>
    <row r="29" spans="1:26">
      <c r="A29" s="168" t="s">
        <v>1</v>
      </c>
      <c r="B29" s="97">
        <v>0</v>
      </c>
      <c r="C29" s="97">
        <v>0</v>
      </c>
      <c r="D29" s="97">
        <v>0</v>
      </c>
      <c r="E29" s="97">
        <v>0</v>
      </c>
      <c r="F29" s="97">
        <v>0</v>
      </c>
      <c r="G29" s="97">
        <v>0</v>
      </c>
      <c r="H29" s="97">
        <v>0</v>
      </c>
      <c r="I29" s="97">
        <v>0</v>
      </c>
      <c r="J29" s="97">
        <v>1</v>
      </c>
      <c r="K29" s="5">
        <v>0</v>
      </c>
    </row>
    <row r="30" spans="1:26">
      <c r="A30" s="167" t="s">
        <v>6</v>
      </c>
      <c r="B30" s="169">
        <v>0</v>
      </c>
      <c r="C30" s="169">
        <v>0</v>
      </c>
      <c r="D30" s="169">
        <v>0</v>
      </c>
      <c r="E30" s="169">
        <v>0</v>
      </c>
      <c r="F30" s="169">
        <v>0</v>
      </c>
      <c r="G30" s="169">
        <v>0</v>
      </c>
      <c r="H30" s="169">
        <v>0</v>
      </c>
      <c r="I30" s="169">
        <v>0</v>
      </c>
      <c r="J30" s="169">
        <v>0</v>
      </c>
      <c r="K30" s="6">
        <v>1</v>
      </c>
    </row>
    <row r="32" spans="1:26">
      <c r="X32" s="3" t="s">
        <v>146</v>
      </c>
      <c r="Y32" s="3" t="s">
        <v>117</v>
      </c>
      <c r="Z32" s="3" t="s">
        <v>153</v>
      </c>
    </row>
    <row r="33" spans="1:26">
      <c r="X33" t="s">
        <v>154</v>
      </c>
      <c r="Y33">
        <v>4</v>
      </c>
      <c r="Z33">
        <v>2</v>
      </c>
    </row>
    <row r="34" spans="1:26">
      <c r="X34" t="s">
        <v>156</v>
      </c>
      <c r="Y34">
        <v>2</v>
      </c>
      <c r="Z34">
        <v>1</v>
      </c>
    </row>
    <row r="35" spans="1:26">
      <c r="X35" t="s">
        <v>147</v>
      </c>
      <c r="Y35">
        <v>0</v>
      </c>
      <c r="Z35">
        <v>0</v>
      </c>
    </row>
    <row r="36" spans="1:26" ht="13.5" thickBot="1">
      <c r="A36" s="2" t="s">
        <v>161</v>
      </c>
      <c r="X36" t="s">
        <v>155</v>
      </c>
      <c r="Y36">
        <v>-2</v>
      </c>
      <c r="Z36">
        <v>-1</v>
      </c>
    </row>
    <row r="37" spans="1:26" ht="14.25" thickTop="1" thickBot="1">
      <c r="A37" s="17" t="s">
        <v>145</v>
      </c>
      <c r="B37" s="109" t="s">
        <v>36</v>
      </c>
      <c r="C37" s="57" t="s">
        <v>162</v>
      </c>
      <c r="D37" s="196" t="s">
        <v>164</v>
      </c>
      <c r="E37" s="199" t="s">
        <v>166</v>
      </c>
      <c r="F37" s="181" t="s">
        <v>163</v>
      </c>
      <c r="X37" t="s">
        <v>157</v>
      </c>
      <c r="Y37">
        <v>-4</v>
      </c>
      <c r="Z37">
        <v>-2</v>
      </c>
    </row>
    <row r="38" spans="1:26" ht="13.5" thickTop="1">
      <c r="A38" s="11" t="str">
        <f t="shared" ref="A38:A47" si="0">A7</f>
        <v>Nominale VPV</v>
      </c>
      <c r="B38" s="151">
        <v>0.03</v>
      </c>
      <c r="C38" s="153">
        <v>0.1</v>
      </c>
      <c r="D38" s="208">
        <v>7.0000000000000007E-2</v>
      </c>
      <c r="E38" s="210">
        <v>7.0000000000000007E-2</v>
      </c>
      <c r="F38" s="186" t="s">
        <v>75</v>
      </c>
    </row>
    <row r="39" spans="1:26">
      <c r="A39" s="11" t="str">
        <f t="shared" si="0"/>
        <v>Reele VPV</v>
      </c>
      <c r="B39" s="151">
        <v>0.03</v>
      </c>
      <c r="C39" s="153">
        <v>0</v>
      </c>
      <c r="D39" s="197">
        <v>-0.03</v>
      </c>
      <c r="E39" s="211">
        <v>-0.03</v>
      </c>
      <c r="F39" s="186" t="s">
        <v>75</v>
      </c>
    </row>
    <row r="40" spans="1:26">
      <c r="A40" s="11" t="str">
        <f t="shared" si="0"/>
        <v>Credits</v>
      </c>
      <c r="B40" s="151">
        <v>5.5641316288239581E-2</v>
      </c>
      <c r="C40" s="153">
        <v>0</v>
      </c>
      <c r="D40" s="197">
        <v>-5.5641316288239581E-2</v>
      </c>
      <c r="E40" s="211">
        <v>-5.5641316288239581E-2</v>
      </c>
      <c r="F40" s="186" t="s">
        <v>75</v>
      </c>
    </row>
    <row r="41" spans="1:26">
      <c r="A41" s="11" t="str">
        <f t="shared" si="0"/>
        <v>High Yield</v>
      </c>
      <c r="B41" s="151">
        <v>5.6496387380050681E-2</v>
      </c>
      <c r="C41" s="153">
        <v>-0.1</v>
      </c>
      <c r="D41" s="197">
        <v>-0.15649638738005067</v>
      </c>
      <c r="E41" s="211">
        <v>-0.15649638738005067</v>
      </c>
      <c r="F41" s="186" t="s">
        <v>75</v>
      </c>
    </row>
    <row r="42" spans="1:26">
      <c r="A42" s="11" t="str">
        <f t="shared" si="0"/>
        <v>EMD</v>
      </c>
      <c r="B42" s="151">
        <v>5.6528262962781142E-2</v>
      </c>
      <c r="C42" s="153">
        <v>-0.08</v>
      </c>
      <c r="D42" s="197">
        <v>-0.13652826296278114</v>
      </c>
      <c r="E42" s="211">
        <v>-0.13652826296278114</v>
      </c>
      <c r="F42" s="186" t="s">
        <v>75</v>
      </c>
    </row>
    <row r="43" spans="1:26">
      <c r="A43" s="11" t="str">
        <f t="shared" si="0"/>
        <v>Aandelen ontw</v>
      </c>
      <c r="B43" s="151">
        <v>6.4356314621335148E-2</v>
      </c>
      <c r="C43" s="153">
        <v>-0.2</v>
      </c>
      <c r="D43" s="197">
        <v>-0.26435631462133513</v>
      </c>
      <c r="E43" s="211">
        <v>-0.26435631462133513</v>
      </c>
      <c r="F43" s="186" t="s">
        <v>75</v>
      </c>
    </row>
    <row r="44" spans="1:26">
      <c r="A44" s="11" t="str">
        <f t="shared" si="0"/>
        <v>Aandelen opk</v>
      </c>
      <c r="B44" s="151">
        <v>9.1561672924114379E-2</v>
      </c>
      <c r="C44" s="153">
        <v>-0.22</v>
      </c>
      <c r="D44" s="197">
        <v>-0.31156167292411441</v>
      </c>
      <c r="E44" s="211">
        <v>-0.31156167292411441</v>
      </c>
      <c r="F44" s="186" t="s">
        <v>75</v>
      </c>
    </row>
    <row r="45" spans="1:26">
      <c r="A45" s="11" t="str">
        <f t="shared" si="0"/>
        <v>Hedge funds</v>
      </c>
      <c r="B45" s="151">
        <v>5.1135067781966595E-2</v>
      </c>
      <c r="C45" s="153">
        <v>-0.12</v>
      </c>
      <c r="D45" s="197">
        <v>-0.17113506778196658</v>
      </c>
      <c r="E45" s="211">
        <v>-0.17113506778196658</v>
      </c>
      <c r="F45" s="186" t="s">
        <v>75</v>
      </c>
    </row>
    <row r="46" spans="1:26">
      <c r="A46" s="11" t="str">
        <f t="shared" si="0"/>
        <v>OG</v>
      </c>
      <c r="B46" s="151">
        <v>4.7615162118704334E-2</v>
      </c>
      <c r="C46" s="153">
        <v>-0.1</v>
      </c>
      <c r="D46" s="197">
        <v>-0.14761516211870435</v>
      </c>
      <c r="E46" s="211">
        <v>-0.14761516211870435</v>
      </c>
      <c r="F46" s="186" t="s">
        <v>75</v>
      </c>
    </row>
    <row r="47" spans="1:26" ht="13.5" thickBot="1">
      <c r="A47" s="12" t="str">
        <f t="shared" si="0"/>
        <v>Commodities</v>
      </c>
      <c r="B47" s="155">
        <v>8.0977052013787992E-2</v>
      </c>
      <c r="C47" s="157">
        <v>-0.25</v>
      </c>
      <c r="D47" s="198">
        <v>-0.33097705201378802</v>
      </c>
      <c r="E47" s="212">
        <v>-0.33097705201378802</v>
      </c>
      <c r="F47" s="187" t="s">
        <v>75</v>
      </c>
    </row>
    <row r="48" spans="1:26" ht="13.5" thickTop="1"/>
    <row r="49" spans="1:11">
      <c r="A49" s="2" t="s">
        <v>158</v>
      </c>
    </row>
    <row r="50" spans="1:11">
      <c r="A50" s="170" t="s">
        <v>36</v>
      </c>
      <c r="B50" s="166"/>
      <c r="C50" s="166"/>
      <c r="D50" s="166"/>
      <c r="E50" s="166"/>
      <c r="F50" s="166"/>
      <c r="G50" s="166"/>
      <c r="H50" s="166"/>
      <c r="I50" s="166"/>
      <c r="J50" s="166"/>
      <c r="K50" s="4"/>
    </row>
    <row r="51" spans="1:11">
      <c r="A51" s="167" t="s">
        <v>145</v>
      </c>
      <c r="B51" s="61" t="str">
        <f>A52</f>
        <v>Nominale VPV</v>
      </c>
      <c r="C51" s="61" t="str">
        <f>A53</f>
        <v>Reele VPV</v>
      </c>
      <c r="D51" s="61" t="str">
        <f>A54</f>
        <v>Credits</v>
      </c>
      <c r="E51" s="61" t="str">
        <f>A55</f>
        <v>High Yield</v>
      </c>
      <c r="F51" s="61" t="str">
        <f>A56</f>
        <v>EMD</v>
      </c>
      <c r="G51" s="61" t="str">
        <f>A57</f>
        <v>Aandelen ontw</v>
      </c>
      <c r="H51" s="61" t="str">
        <f>A58</f>
        <v>Aandelen opk</v>
      </c>
      <c r="I51" s="61" t="str">
        <f>A59</f>
        <v>Hedge funds</v>
      </c>
      <c r="J51" s="61" t="str">
        <f>A60</f>
        <v>OG</v>
      </c>
      <c r="K51" s="62" t="str">
        <f>A61</f>
        <v>Commodities</v>
      </c>
    </row>
    <row r="52" spans="1:11">
      <c r="A52" s="10" t="str">
        <f t="shared" ref="A52:A61" si="1">A21</f>
        <v>Nominale VPV</v>
      </c>
      <c r="B52" s="213">
        <v>9.3036505477973097E-2</v>
      </c>
      <c r="C52" s="103">
        <v>0.39310073358981634</v>
      </c>
      <c r="D52" s="103">
        <v>0.20929446791729706</v>
      </c>
      <c r="E52" s="103">
        <v>0.21633822527798038</v>
      </c>
      <c r="F52" s="103">
        <v>7.2272238989822338E-2</v>
      </c>
      <c r="G52" s="103">
        <v>8.9492370363700224E-2</v>
      </c>
      <c r="H52" s="103">
        <v>-0.17062817388407636</v>
      </c>
      <c r="I52" s="103">
        <v>-0.19012041366495921</v>
      </c>
      <c r="J52" s="103">
        <v>-4.7308632130733691E-2</v>
      </c>
      <c r="K52" s="173">
        <v>-0.45881257160059641</v>
      </c>
    </row>
    <row r="53" spans="1:11">
      <c r="A53" s="168" t="str">
        <f t="shared" si="1"/>
        <v>Reele VPV</v>
      </c>
      <c r="B53" s="103">
        <v>0.39310073358981634</v>
      </c>
      <c r="C53" s="213">
        <v>0.107113123666156</v>
      </c>
      <c r="D53" s="103">
        <v>0.15199304535500063</v>
      </c>
      <c r="E53" s="103">
        <v>0.24896674047832401</v>
      </c>
      <c r="F53" s="103">
        <v>-4.8620827985643912E-2</v>
      </c>
      <c r="G53" s="103">
        <v>0.12380923643016063</v>
      </c>
      <c r="H53" s="103">
        <v>5.6701855877734457E-2</v>
      </c>
      <c r="I53" s="103">
        <v>-0.14234647836130293</v>
      </c>
      <c r="J53" s="103">
        <v>-0.11987909632091487</v>
      </c>
      <c r="K53" s="104">
        <v>-8.7674543304863753E-2</v>
      </c>
    </row>
    <row r="54" spans="1:11">
      <c r="A54" s="168" t="str">
        <f t="shared" si="1"/>
        <v>Credits</v>
      </c>
      <c r="B54" s="103">
        <v>0.20929446791729706</v>
      </c>
      <c r="C54" s="103">
        <v>0.15199304535500063</v>
      </c>
      <c r="D54" s="213">
        <v>0.14514041524285745</v>
      </c>
      <c r="E54" s="103">
        <v>0.27817222657699892</v>
      </c>
      <c r="F54" s="103">
        <v>-3.7036476676643094E-2</v>
      </c>
      <c r="G54" s="103">
        <v>-2.0652245548069121E-2</v>
      </c>
      <c r="H54" s="103">
        <v>-4.7238096976150878E-4</v>
      </c>
      <c r="I54" s="103">
        <v>3.5291346298508892E-2</v>
      </c>
      <c r="J54" s="103">
        <v>-0.1471489633450169</v>
      </c>
      <c r="K54" s="104">
        <v>3.884979309220634E-2</v>
      </c>
    </row>
    <row r="55" spans="1:11">
      <c r="A55" s="168" t="str">
        <f t="shared" si="1"/>
        <v>High Yield</v>
      </c>
      <c r="B55" s="103">
        <v>0.21633822527798038</v>
      </c>
      <c r="C55" s="103">
        <v>0.24896674047832401</v>
      </c>
      <c r="D55" s="103">
        <v>0.27817222657699892</v>
      </c>
      <c r="E55" s="213">
        <v>0.15212518033194122</v>
      </c>
      <c r="F55" s="103">
        <v>0.54947077664382238</v>
      </c>
      <c r="G55" s="103">
        <v>0.6512857171069153</v>
      </c>
      <c r="H55" s="103">
        <v>0.66085351889108523</v>
      </c>
      <c r="I55" s="103">
        <v>0.4247516304214663</v>
      </c>
      <c r="J55" s="103">
        <v>-0.32361654199607631</v>
      </c>
      <c r="K55" s="104">
        <v>-2.2300336358685715E-3</v>
      </c>
    </row>
    <row r="56" spans="1:11">
      <c r="A56" s="168" t="str">
        <f t="shared" si="1"/>
        <v>EMD</v>
      </c>
      <c r="B56" s="103">
        <v>7.2272238989822338E-2</v>
      </c>
      <c r="C56" s="103">
        <v>-4.8620827985643912E-2</v>
      </c>
      <c r="D56" s="103">
        <v>-3.7036476676643094E-2</v>
      </c>
      <c r="E56" s="103">
        <v>0.54947077664382238</v>
      </c>
      <c r="F56" s="213">
        <v>0.13758409078549244</v>
      </c>
      <c r="G56" s="103">
        <v>0.43704301175382931</v>
      </c>
      <c r="H56" s="103">
        <v>0.47448318291761821</v>
      </c>
      <c r="I56" s="103">
        <v>0.75975680806732404</v>
      </c>
      <c r="J56" s="103">
        <v>0.22497345871183994</v>
      </c>
      <c r="K56" s="104">
        <v>0.50014707286156279</v>
      </c>
    </row>
    <row r="57" spans="1:11">
      <c r="A57" s="168" t="str">
        <f t="shared" si="1"/>
        <v>Aandelen ontw</v>
      </c>
      <c r="B57" s="103">
        <v>8.9492370363700224E-2</v>
      </c>
      <c r="C57" s="103">
        <v>0.12380923643016063</v>
      </c>
      <c r="D57" s="103">
        <v>-2.0652245548069121E-2</v>
      </c>
      <c r="E57" s="103">
        <v>0.6512857171069153</v>
      </c>
      <c r="F57" s="103">
        <v>0.43704301175382931</v>
      </c>
      <c r="G57" s="213">
        <v>0.19354582049076965</v>
      </c>
      <c r="H57" s="103">
        <v>0.75270312398485784</v>
      </c>
      <c r="I57" s="103">
        <v>0.57172393447966652</v>
      </c>
      <c r="J57" s="103">
        <v>-3.5193060592075505E-2</v>
      </c>
      <c r="K57" s="104">
        <v>0.10395609042534409</v>
      </c>
    </row>
    <row r="58" spans="1:11">
      <c r="A58" s="168" t="str">
        <f t="shared" si="1"/>
        <v>Aandelen opk</v>
      </c>
      <c r="B58" s="103">
        <v>-0.17062817388407636</v>
      </c>
      <c r="C58" s="103">
        <v>5.6701855877734457E-2</v>
      </c>
      <c r="D58" s="103">
        <v>-4.7238096976150878E-4</v>
      </c>
      <c r="E58" s="103">
        <v>0.66085351889108523</v>
      </c>
      <c r="F58" s="103">
        <v>0.47448318291761821</v>
      </c>
      <c r="G58" s="103">
        <v>0.75270312398485784</v>
      </c>
      <c r="H58" s="213">
        <v>0.34249727755342518</v>
      </c>
      <c r="I58" s="103">
        <v>0.43308445119592942</v>
      </c>
      <c r="J58" s="103">
        <v>-0.33706927145387583</v>
      </c>
      <c r="K58" s="104">
        <v>0.21126029655546014</v>
      </c>
    </row>
    <row r="59" spans="1:11">
      <c r="A59" s="168" t="str">
        <f t="shared" si="1"/>
        <v>Hedge funds</v>
      </c>
      <c r="B59" s="103">
        <v>-0.19012041366495921</v>
      </c>
      <c r="C59" s="103">
        <v>-0.14234647836130293</v>
      </c>
      <c r="D59" s="103">
        <v>3.5291346298508892E-2</v>
      </c>
      <c r="E59" s="103">
        <v>0.4247516304214663</v>
      </c>
      <c r="F59" s="103">
        <v>0.75975680806732404</v>
      </c>
      <c r="G59" s="103">
        <v>0.57172393447966652</v>
      </c>
      <c r="H59" s="103">
        <v>0.43308445119592942</v>
      </c>
      <c r="I59" s="213">
        <v>7.2522493236444635E-2</v>
      </c>
      <c r="J59" s="103">
        <v>0.53144909307162114</v>
      </c>
      <c r="K59" s="104">
        <v>0.50768184408405903</v>
      </c>
    </row>
    <row r="60" spans="1:11">
      <c r="A60" s="168" t="str">
        <f t="shared" si="1"/>
        <v>OG</v>
      </c>
      <c r="B60" s="103">
        <v>-4.7308632130733691E-2</v>
      </c>
      <c r="C60" s="103">
        <v>-0.11987909632091487</v>
      </c>
      <c r="D60" s="103">
        <v>-0.1471489633450169</v>
      </c>
      <c r="E60" s="103">
        <v>-0.32361654199607631</v>
      </c>
      <c r="F60" s="103">
        <v>0.22497345871183994</v>
      </c>
      <c r="G60" s="103">
        <v>-3.5193060592075505E-2</v>
      </c>
      <c r="H60" s="103">
        <v>-0.33706927145387583</v>
      </c>
      <c r="I60" s="103">
        <v>0.53144909307162114</v>
      </c>
      <c r="J60" s="213">
        <v>4.9766484543779667E-2</v>
      </c>
      <c r="K60" s="104">
        <v>0.24828282028996468</v>
      </c>
    </row>
    <row r="61" spans="1:11">
      <c r="A61" s="167" t="str">
        <f t="shared" si="1"/>
        <v>Commodities</v>
      </c>
      <c r="B61" s="106">
        <v>-0.45881257160059641</v>
      </c>
      <c r="C61" s="106">
        <v>-8.7674543304863753E-2</v>
      </c>
      <c r="D61" s="106">
        <v>3.884979309220634E-2</v>
      </c>
      <c r="E61" s="106">
        <v>-2.2300336358685715E-3</v>
      </c>
      <c r="F61" s="106">
        <v>0.50014707286156279</v>
      </c>
      <c r="G61" s="106">
        <v>0.10395609042534409</v>
      </c>
      <c r="H61" s="106">
        <v>0.21126029655546014</v>
      </c>
      <c r="I61" s="106">
        <v>0.50768184408405903</v>
      </c>
      <c r="J61" s="106">
        <v>0.24828282028996468</v>
      </c>
      <c r="K61" s="214">
        <v>0.25247140962754983</v>
      </c>
    </row>
    <row r="62" spans="1:11">
      <c r="A62" s="172" t="str">
        <f>B1</f>
        <v>Schuld deflatie</v>
      </c>
      <c r="B62" s="166"/>
      <c r="C62" s="166"/>
      <c r="D62" s="166"/>
      <c r="E62" s="166"/>
      <c r="F62" s="166"/>
      <c r="G62" s="166"/>
      <c r="H62" s="166"/>
      <c r="I62" s="166"/>
      <c r="J62" s="166"/>
      <c r="K62" s="4"/>
    </row>
    <row r="63" spans="1:11">
      <c r="A63" s="167" t="s">
        <v>145</v>
      </c>
      <c r="B63" s="61" t="str">
        <f>A64</f>
        <v>Nominale VPV</v>
      </c>
      <c r="C63" s="61" t="str">
        <f>A65</f>
        <v>Reele VPV</v>
      </c>
      <c r="D63" s="61" t="str">
        <f>A66</f>
        <v>Credits</v>
      </c>
      <c r="E63" s="61" t="str">
        <f>A67</f>
        <v>High Yield</v>
      </c>
      <c r="F63" s="61" t="str">
        <f>A68</f>
        <v>EMD</v>
      </c>
      <c r="G63" s="61" t="str">
        <f>A69</f>
        <v>Aandelen ontw</v>
      </c>
      <c r="H63" s="61" t="str">
        <f>A70</f>
        <v>Aandelen opk</v>
      </c>
      <c r="I63" s="61" t="str">
        <f>A71</f>
        <v>Hedge funds</v>
      </c>
      <c r="J63" s="61" t="str">
        <f>A72</f>
        <v>OG</v>
      </c>
      <c r="K63" s="62" t="str">
        <f>A73</f>
        <v>Commodities</v>
      </c>
    </row>
    <row r="64" spans="1:11">
      <c r="A64" s="10" t="str">
        <f t="shared" ref="A64:A73" si="2">A52</f>
        <v>Nominale VPV</v>
      </c>
      <c r="B64" s="213">
        <v>6.278198487999638E-2</v>
      </c>
      <c r="C64" s="103">
        <v>9.9877491908342983E-2</v>
      </c>
      <c r="D64" s="103">
        <v>-0.3510021823850632</v>
      </c>
      <c r="E64" s="103">
        <v>-0.56332882643715232</v>
      </c>
      <c r="F64" s="103">
        <v>-0.30712689971531354</v>
      </c>
      <c r="G64" s="103">
        <v>-0.51444293528865737</v>
      </c>
      <c r="H64" s="103">
        <v>-0.62106428918392464</v>
      </c>
      <c r="I64" s="103">
        <v>-0.56947078770384896</v>
      </c>
      <c r="J64" s="103">
        <v>-0.31725862660871451</v>
      </c>
      <c r="K64" s="173">
        <v>-0.49058561691839803</v>
      </c>
    </row>
    <row r="65" spans="1:11">
      <c r="A65" s="168" t="str">
        <f t="shared" si="2"/>
        <v>Reele VPV</v>
      </c>
      <c r="B65" s="103">
        <v>9.9877491908342983E-2</v>
      </c>
      <c r="C65" s="213">
        <v>4.7617637708429375E-2</v>
      </c>
      <c r="D65" s="103">
        <v>-0.50763892868524696</v>
      </c>
      <c r="E65" s="103">
        <v>-0.38157631581869506</v>
      </c>
      <c r="F65" s="103">
        <v>-0.46484244214113157</v>
      </c>
      <c r="G65" s="103">
        <v>-0.43378053187871835</v>
      </c>
      <c r="H65" s="103">
        <v>-0.36679003495309848</v>
      </c>
      <c r="I65" s="103">
        <v>-0.45878156897895211</v>
      </c>
      <c r="J65" s="103">
        <v>-0.25453357613757527</v>
      </c>
      <c r="K65" s="104">
        <v>-0.4316186755007369</v>
      </c>
    </row>
    <row r="66" spans="1:11">
      <c r="A66" s="168" t="str">
        <f t="shared" si="2"/>
        <v>Credits</v>
      </c>
      <c r="B66" s="103">
        <v>-0.3510021823850632</v>
      </c>
      <c r="C66" s="103">
        <v>-0.50763892868524696</v>
      </c>
      <c r="D66" s="213">
        <v>0.10041038567587704</v>
      </c>
      <c r="E66" s="103">
        <v>0.83457817860033645</v>
      </c>
      <c r="F66" s="103">
        <v>0.87409116616389027</v>
      </c>
      <c r="G66" s="103">
        <v>0.88606607622819966</v>
      </c>
      <c r="H66" s="103">
        <v>0.82459036474353009</v>
      </c>
      <c r="I66" s="103">
        <v>0.89744839036297208</v>
      </c>
      <c r="J66" s="103">
        <v>0.50108032792987411</v>
      </c>
      <c r="K66" s="104">
        <v>0.89585653852424796</v>
      </c>
    </row>
    <row r="67" spans="1:11">
      <c r="A67" s="168" t="str">
        <f t="shared" si="2"/>
        <v>High Yield</v>
      </c>
      <c r="B67" s="103">
        <v>-0.56332882643715232</v>
      </c>
      <c r="C67" s="103">
        <v>-0.38157631581869506</v>
      </c>
      <c r="D67" s="103">
        <v>0.83457817860033645</v>
      </c>
      <c r="E67" s="213">
        <v>0.2218667877383276</v>
      </c>
      <c r="F67" s="103">
        <v>0.92695587256775092</v>
      </c>
      <c r="G67" s="103">
        <v>0.96689549184976964</v>
      </c>
      <c r="H67" s="103">
        <v>0.98237398848218072</v>
      </c>
      <c r="I67" s="103">
        <v>0.94010403720414804</v>
      </c>
      <c r="J67" s="103">
        <v>0.33591710963927707</v>
      </c>
      <c r="K67" s="104">
        <v>0.89134689877896989</v>
      </c>
    </row>
    <row r="68" spans="1:11">
      <c r="A68" s="168" t="str">
        <f t="shared" si="2"/>
        <v>EMD</v>
      </c>
      <c r="B68" s="103">
        <v>-0.30712689971531354</v>
      </c>
      <c r="C68" s="103">
        <v>-0.46484244214113157</v>
      </c>
      <c r="D68" s="103">
        <v>0.87409116616389027</v>
      </c>
      <c r="E68" s="103">
        <v>0.92695587256775092</v>
      </c>
      <c r="F68" s="213">
        <v>0.12821530287470745</v>
      </c>
      <c r="G68" s="103">
        <v>0.93245105038052445</v>
      </c>
      <c r="H68" s="103">
        <v>0.90175992585785503</v>
      </c>
      <c r="I68" s="103">
        <v>0.8874434496041671</v>
      </c>
      <c r="J68" s="103">
        <v>0.29879289715154606</v>
      </c>
      <c r="K68" s="104">
        <v>0.91686795609968563</v>
      </c>
    </row>
    <row r="69" spans="1:11">
      <c r="A69" s="168" t="str">
        <f t="shared" si="2"/>
        <v>Aandelen ontw</v>
      </c>
      <c r="B69" s="103">
        <v>-0.51444293528865737</v>
      </c>
      <c r="C69" s="103">
        <v>-0.43378053187871835</v>
      </c>
      <c r="D69" s="103">
        <v>0.88606607622819966</v>
      </c>
      <c r="E69" s="103">
        <v>0.96689549184976964</v>
      </c>
      <c r="F69" s="103">
        <v>0.93245105038052445</v>
      </c>
      <c r="G69" s="213">
        <v>0.20792869523558111</v>
      </c>
      <c r="H69" s="103">
        <v>0.96934497766265126</v>
      </c>
      <c r="I69" s="103">
        <v>0.95514653766346602</v>
      </c>
      <c r="J69" s="103">
        <v>0.40131975108808021</v>
      </c>
      <c r="K69" s="104">
        <v>0.9162478906330811</v>
      </c>
    </row>
    <row r="70" spans="1:11">
      <c r="A70" s="168" t="str">
        <f t="shared" si="2"/>
        <v>Aandelen opk</v>
      </c>
      <c r="B70" s="103">
        <v>-0.62106428918392464</v>
      </c>
      <c r="C70" s="103">
        <v>-0.36679003495309848</v>
      </c>
      <c r="D70" s="103">
        <v>0.82459036474353009</v>
      </c>
      <c r="E70" s="103">
        <v>0.98237398848218072</v>
      </c>
      <c r="F70" s="103">
        <v>0.90175992585785503</v>
      </c>
      <c r="G70" s="103">
        <v>0.96934497766265126</v>
      </c>
      <c r="H70" s="213">
        <v>0.36408897808337332</v>
      </c>
      <c r="I70" s="103">
        <v>0.94422005350754179</v>
      </c>
      <c r="J70" s="103">
        <v>0.37232862721771021</v>
      </c>
      <c r="K70" s="104">
        <v>0.88647127334626363</v>
      </c>
    </row>
    <row r="71" spans="1:11">
      <c r="A71" s="168" t="str">
        <f t="shared" si="2"/>
        <v>Hedge funds</v>
      </c>
      <c r="B71" s="103">
        <v>-0.56947078770384896</v>
      </c>
      <c r="C71" s="103">
        <v>-0.45878156897895211</v>
      </c>
      <c r="D71" s="103">
        <v>0.89744839036297208</v>
      </c>
      <c r="E71" s="103">
        <v>0.94010403720414804</v>
      </c>
      <c r="F71" s="103">
        <v>0.8874434496041671</v>
      </c>
      <c r="G71" s="103">
        <v>0.95514653766346602</v>
      </c>
      <c r="H71" s="103">
        <v>0.94422005350754179</v>
      </c>
      <c r="I71" s="213">
        <v>0.10933142096896906</v>
      </c>
      <c r="J71" s="103">
        <v>0.61352650945037235</v>
      </c>
      <c r="K71" s="104">
        <v>0.88910144077657316</v>
      </c>
    </row>
    <row r="72" spans="1:11">
      <c r="A72" s="168" t="str">
        <f t="shared" si="2"/>
        <v>OG</v>
      </c>
      <c r="B72" s="103">
        <v>-0.31725862660871451</v>
      </c>
      <c r="C72" s="103">
        <v>-0.25453357613757527</v>
      </c>
      <c r="D72" s="103">
        <v>0.50108032792987411</v>
      </c>
      <c r="E72" s="103">
        <v>0.33591710963927707</v>
      </c>
      <c r="F72" s="103">
        <v>0.29879289715154606</v>
      </c>
      <c r="G72" s="103">
        <v>0.40131975108808021</v>
      </c>
      <c r="H72" s="103">
        <v>0.37232862721771021</v>
      </c>
      <c r="I72" s="103">
        <v>0.61352650945037235</v>
      </c>
      <c r="J72" s="213">
        <v>2.7406396901153356E-2</v>
      </c>
      <c r="K72" s="104">
        <v>0.33246211687806798</v>
      </c>
    </row>
    <row r="73" spans="1:11">
      <c r="A73" s="167" t="str">
        <f t="shared" si="2"/>
        <v>Commodities</v>
      </c>
      <c r="B73" s="106">
        <v>-0.49058561691839803</v>
      </c>
      <c r="C73" s="106">
        <v>-0.4316186755007369</v>
      </c>
      <c r="D73" s="106">
        <v>0.89585653852424796</v>
      </c>
      <c r="E73" s="106">
        <v>0.89134689877896989</v>
      </c>
      <c r="F73" s="106">
        <v>0.91686795609968563</v>
      </c>
      <c r="G73" s="106">
        <v>0.9162478906330811</v>
      </c>
      <c r="H73" s="106">
        <v>0.88647127334626363</v>
      </c>
      <c r="I73" s="106">
        <v>0.88910144077657316</v>
      </c>
      <c r="J73" s="106">
        <v>0.33246211687806798</v>
      </c>
      <c r="K73" s="214">
        <v>0.2040065170048318</v>
      </c>
    </row>
    <row r="75" spans="1:11">
      <c r="A75" s="2"/>
    </row>
    <row r="76" spans="1:11">
      <c r="A76" s="17" t="s">
        <v>164</v>
      </c>
      <c r="B76" s="176" t="str">
        <f>A77</f>
        <v>Nominale VPV</v>
      </c>
      <c r="C76" s="176" t="str">
        <f>A78</f>
        <v>Reele VPV</v>
      </c>
      <c r="D76" s="176" t="str">
        <f>A79</f>
        <v>Credits</v>
      </c>
      <c r="E76" s="176" t="str">
        <f>A80</f>
        <v>High Yield</v>
      </c>
      <c r="F76" s="176" t="str">
        <f>A81</f>
        <v>EMD</v>
      </c>
      <c r="G76" s="176" t="str">
        <f>A82</f>
        <v>Aandelen ontw</v>
      </c>
      <c r="H76" s="176" t="str">
        <f>A83</f>
        <v>Aandelen opk</v>
      </c>
      <c r="I76" s="176" t="str">
        <f>A84</f>
        <v>Hedge funds</v>
      </c>
      <c r="J76" s="176" t="str">
        <f>A85</f>
        <v>OG</v>
      </c>
      <c r="K76" s="177" t="str">
        <f>A86</f>
        <v>Commodities</v>
      </c>
    </row>
    <row r="77" spans="1:11">
      <c r="A77" s="168" t="str">
        <f t="shared" ref="A77:A86" si="3">A64</f>
        <v>Nominale VPV</v>
      </c>
      <c r="B77" s="213">
        <v>-3.0254520597976717E-2</v>
      </c>
      <c r="C77" s="103">
        <v>-0.29322324168147335</v>
      </c>
      <c r="D77" s="103">
        <v>-0.56029665030236031</v>
      </c>
      <c r="E77" s="103">
        <v>-0.77966705171513273</v>
      </c>
      <c r="F77" s="103">
        <v>-0.37939913870513586</v>
      </c>
      <c r="G77" s="103">
        <v>-0.60393530565235753</v>
      </c>
      <c r="H77" s="103">
        <v>-0.45043611529984828</v>
      </c>
      <c r="I77" s="103">
        <v>-0.37935037403888971</v>
      </c>
      <c r="J77" s="103">
        <v>-0.26994999447798085</v>
      </c>
      <c r="K77" s="104">
        <v>-3.1773045317801618E-2</v>
      </c>
    </row>
    <row r="78" spans="1:11">
      <c r="A78" s="168" t="str">
        <f t="shared" si="3"/>
        <v>Reele VPV</v>
      </c>
      <c r="B78" s="103">
        <v>-0.29322324168147335</v>
      </c>
      <c r="C78" s="213">
        <v>-5.9495485957726621E-2</v>
      </c>
      <c r="D78" s="103">
        <v>-0.65963197404024765</v>
      </c>
      <c r="E78" s="103">
        <v>-0.63054305629701912</v>
      </c>
      <c r="F78" s="103">
        <v>-0.41622161415548764</v>
      </c>
      <c r="G78" s="103">
        <v>-0.55758976830887896</v>
      </c>
      <c r="H78" s="103">
        <v>-0.42349189083083294</v>
      </c>
      <c r="I78" s="103">
        <v>-0.31643509061764918</v>
      </c>
      <c r="J78" s="103">
        <v>-0.1346544798166604</v>
      </c>
      <c r="K78" s="104">
        <v>-0.34394413219587316</v>
      </c>
    </row>
    <row r="79" spans="1:11">
      <c r="A79" s="168" t="str">
        <f t="shared" si="3"/>
        <v>Credits</v>
      </c>
      <c r="B79" s="103">
        <v>-0.56029665030236031</v>
      </c>
      <c r="C79" s="103">
        <v>-0.65963197404024765</v>
      </c>
      <c r="D79" s="213">
        <v>-4.4730029566980412E-2</v>
      </c>
      <c r="E79" s="103">
        <v>0.55640595202333754</v>
      </c>
      <c r="F79" s="103">
        <v>0.91112764284053338</v>
      </c>
      <c r="G79" s="103">
        <v>0.90671832177626877</v>
      </c>
      <c r="H79" s="103">
        <v>0.82506274571329163</v>
      </c>
      <c r="I79" s="103">
        <v>0.86215704406446314</v>
      </c>
      <c r="J79" s="103">
        <v>0.64822929127489104</v>
      </c>
      <c r="K79" s="104">
        <v>0.85700674543204158</v>
      </c>
    </row>
    <row r="80" spans="1:11">
      <c r="A80" s="168" t="str">
        <f t="shared" si="3"/>
        <v>High Yield</v>
      </c>
      <c r="B80" s="103">
        <v>-0.77966705171513273</v>
      </c>
      <c r="C80" s="103">
        <v>-0.63054305629701912</v>
      </c>
      <c r="D80" s="103">
        <v>0.55640595202333754</v>
      </c>
      <c r="E80" s="213">
        <v>6.974160740638638E-2</v>
      </c>
      <c r="F80" s="103">
        <v>0.37748509592392854</v>
      </c>
      <c r="G80" s="103">
        <v>0.31560977474285434</v>
      </c>
      <c r="H80" s="103">
        <v>0.32152046959109548</v>
      </c>
      <c r="I80" s="103">
        <v>0.51535240678268179</v>
      </c>
      <c r="J80" s="103">
        <v>0.65953365163535338</v>
      </c>
      <c r="K80" s="104">
        <v>0.89357693241483849</v>
      </c>
    </row>
    <row r="81" spans="1:11">
      <c r="A81" s="168" t="str">
        <f t="shared" si="3"/>
        <v>EMD</v>
      </c>
      <c r="B81" s="103">
        <v>-0.37939913870513586</v>
      </c>
      <c r="C81" s="103">
        <v>-0.41622161415548764</v>
      </c>
      <c r="D81" s="103">
        <v>0.91112764284053338</v>
      </c>
      <c r="E81" s="103">
        <v>0.37748509592392854</v>
      </c>
      <c r="F81" s="213">
        <v>-9.3687879107849925E-3</v>
      </c>
      <c r="G81" s="103">
        <v>0.49540803862669514</v>
      </c>
      <c r="H81" s="103">
        <v>0.42727674294023682</v>
      </c>
      <c r="I81" s="103">
        <v>0.12768664153684306</v>
      </c>
      <c r="J81" s="103">
        <v>7.381943843970612E-2</v>
      </c>
      <c r="K81" s="104">
        <v>0.41672088323812284</v>
      </c>
    </row>
    <row r="82" spans="1:11">
      <c r="A82" s="168" t="str">
        <f t="shared" si="3"/>
        <v>Aandelen ontw</v>
      </c>
      <c r="B82" s="103">
        <v>-0.60393530565235753</v>
      </c>
      <c r="C82" s="103">
        <v>-0.55758976830887896</v>
      </c>
      <c r="D82" s="103">
        <v>0.90671832177626877</v>
      </c>
      <c r="E82" s="103">
        <v>0.31560977474285434</v>
      </c>
      <c r="F82" s="103">
        <v>0.49540803862669514</v>
      </c>
      <c r="G82" s="213">
        <v>1.4382874744811452E-2</v>
      </c>
      <c r="H82" s="103">
        <v>0.21664185367779343</v>
      </c>
      <c r="I82" s="103">
        <v>0.3834226031837995</v>
      </c>
      <c r="J82" s="103">
        <v>0.43651281168015571</v>
      </c>
      <c r="K82" s="104">
        <v>0.81229180020773706</v>
      </c>
    </row>
    <row r="83" spans="1:11">
      <c r="A83" s="168" t="str">
        <f t="shared" si="3"/>
        <v>Aandelen opk</v>
      </c>
      <c r="B83" s="103">
        <v>-0.45043611529984828</v>
      </c>
      <c r="C83" s="103">
        <v>-0.42349189083083294</v>
      </c>
      <c r="D83" s="103">
        <v>0.82506274571329163</v>
      </c>
      <c r="E83" s="103">
        <v>0.32152046959109548</v>
      </c>
      <c r="F83" s="103">
        <v>0.42727674294023682</v>
      </c>
      <c r="G83" s="103">
        <v>0.21664185367779343</v>
      </c>
      <c r="H83" s="213">
        <v>2.1591700529948132E-2</v>
      </c>
      <c r="I83" s="103">
        <v>0.51113560231161237</v>
      </c>
      <c r="J83" s="103">
        <v>0.70939789867158609</v>
      </c>
      <c r="K83" s="104">
        <v>0.67521097679080344</v>
      </c>
    </row>
    <row r="84" spans="1:11">
      <c r="A84" s="168" t="str">
        <f t="shared" si="3"/>
        <v>Hedge funds</v>
      </c>
      <c r="B84" s="103">
        <v>-0.37935037403888971</v>
      </c>
      <c r="C84" s="103">
        <v>-0.31643509061764918</v>
      </c>
      <c r="D84" s="103">
        <v>0.86215704406446314</v>
      </c>
      <c r="E84" s="103">
        <v>0.51535240678268179</v>
      </c>
      <c r="F84" s="103">
        <v>0.12768664153684306</v>
      </c>
      <c r="G84" s="103">
        <v>0.3834226031837995</v>
      </c>
      <c r="H84" s="103">
        <v>0.51113560231161237</v>
      </c>
      <c r="I84" s="194">
        <v>3.6808927732524421E-2</v>
      </c>
      <c r="J84" s="103">
        <v>8.2077416378751211E-2</v>
      </c>
      <c r="K84" s="104">
        <v>0.38141959669251413</v>
      </c>
    </row>
    <row r="85" spans="1:11">
      <c r="A85" s="168" t="str">
        <f t="shared" si="3"/>
        <v>OG</v>
      </c>
      <c r="B85" s="103">
        <v>-0.26994999447798085</v>
      </c>
      <c r="C85" s="103">
        <v>-0.1346544798166604</v>
      </c>
      <c r="D85" s="103">
        <v>0.64822929127489104</v>
      </c>
      <c r="E85" s="103">
        <v>0.65953365163535338</v>
      </c>
      <c r="F85" s="103">
        <v>7.381943843970612E-2</v>
      </c>
      <c r="G85" s="103">
        <v>0.43651281168015571</v>
      </c>
      <c r="H85" s="103">
        <v>0.70939789867158609</v>
      </c>
      <c r="I85" s="103">
        <v>8.2077416378751211E-2</v>
      </c>
      <c r="J85" s="194">
        <v>-2.2360087642626311E-2</v>
      </c>
      <c r="K85" s="104">
        <v>8.4179296588103303E-2</v>
      </c>
    </row>
    <row r="86" spans="1:11" ht="13.5" thickBot="1">
      <c r="A86" s="204" t="str">
        <f t="shared" si="3"/>
        <v>Commodities</v>
      </c>
      <c r="B86" s="185">
        <v>-3.1773045317801618E-2</v>
      </c>
      <c r="C86" s="185">
        <v>-0.34394413219587316</v>
      </c>
      <c r="D86" s="185">
        <v>0.85700674543204158</v>
      </c>
      <c r="E86" s="185">
        <v>0.89357693241483849</v>
      </c>
      <c r="F86" s="185">
        <v>0.41672088323812284</v>
      </c>
      <c r="G86" s="185">
        <v>0.81229180020773706</v>
      </c>
      <c r="H86" s="185">
        <v>0.67521097679080344</v>
      </c>
      <c r="I86" s="185">
        <v>0.38141959669251413</v>
      </c>
      <c r="J86" s="185">
        <v>8.4179296588103303E-2</v>
      </c>
      <c r="K86" s="205">
        <v>-4.8464892622718025E-2</v>
      </c>
    </row>
    <row r="87" spans="1:11" ht="14.25" thickTop="1" thickBot="1">
      <c r="A87" s="181" t="s">
        <v>166</v>
      </c>
      <c r="B87" s="182" t="str">
        <f>A88</f>
        <v>Nominale VPV</v>
      </c>
      <c r="C87" s="182" t="str">
        <f>A89</f>
        <v>Reele VPV</v>
      </c>
      <c r="D87" s="182" t="str">
        <f>A90</f>
        <v>Credits</v>
      </c>
      <c r="E87" s="182" t="str">
        <f>A91</f>
        <v>High Yield</v>
      </c>
      <c r="F87" s="182" t="str">
        <f>A92</f>
        <v>EMD</v>
      </c>
      <c r="G87" s="182" t="str">
        <f>A93</f>
        <v>Aandelen ontw</v>
      </c>
      <c r="H87" s="182" t="str">
        <f>A94</f>
        <v>Aandelen opk</v>
      </c>
      <c r="I87" s="182" t="str">
        <f>A95</f>
        <v>Hedge funds</v>
      </c>
      <c r="J87" s="182" t="str">
        <f>A96</f>
        <v>OG</v>
      </c>
      <c r="K87" s="183" t="str">
        <f>A97</f>
        <v>Commodities</v>
      </c>
    </row>
    <row r="88" spans="1:11" ht="13.5" thickTop="1">
      <c r="A88" s="179" t="str">
        <f t="shared" ref="A88:A97" si="4">A77</f>
        <v>Nominale VPV</v>
      </c>
      <c r="B88" s="213">
        <v>-3.0254520597976717E-2</v>
      </c>
      <c r="C88" s="103">
        <v>-0.29322324168147335</v>
      </c>
      <c r="D88" s="103">
        <v>-0.56029665030236031</v>
      </c>
      <c r="E88" s="103">
        <v>-0.77966705171513273</v>
      </c>
      <c r="F88" s="103">
        <v>-0.37939913870513586</v>
      </c>
      <c r="G88" s="103">
        <v>-0.60393530565235753</v>
      </c>
      <c r="H88" s="103">
        <v>-0.45043611529984828</v>
      </c>
      <c r="I88" s="103">
        <v>-0.37935037403888971</v>
      </c>
      <c r="J88" s="103">
        <v>-0.26994999447798085</v>
      </c>
      <c r="K88" s="193">
        <v>-3.1773045317801618E-2</v>
      </c>
    </row>
    <row r="89" spans="1:11">
      <c r="A89" s="179" t="str">
        <f t="shared" si="4"/>
        <v>Reele VPV</v>
      </c>
      <c r="B89" s="103">
        <v>-0.29322324168147335</v>
      </c>
      <c r="C89" s="213">
        <v>-5.9495485957726621E-2</v>
      </c>
      <c r="D89" s="103">
        <v>-0.65963197404024765</v>
      </c>
      <c r="E89" s="103">
        <v>-0.63054305629701912</v>
      </c>
      <c r="F89" s="103">
        <v>-0.41622161415548764</v>
      </c>
      <c r="G89" s="103">
        <v>-0.55758976830887896</v>
      </c>
      <c r="H89" s="103">
        <v>-0.42349189083083294</v>
      </c>
      <c r="I89" s="103">
        <v>-0.31643509061764918</v>
      </c>
      <c r="J89" s="103">
        <v>-0.1346544798166604</v>
      </c>
      <c r="K89" s="184">
        <v>-0.34394413219587316</v>
      </c>
    </row>
    <row r="90" spans="1:11">
      <c r="A90" s="179" t="str">
        <f t="shared" si="4"/>
        <v>Credits</v>
      </c>
      <c r="B90" s="103">
        <v>-0.56029665030236031</v>
      </c>
      <c r="C90" s="103">
        <v>-0.65963197404024765</v>
      </c>
      <c r="D90" s="213">
        <v>-4.4730029566980412E-2</v>
      </c>
      <c r="E90" s="103">
        <v>0.55640595202333754</v>
      </c>
      <c r="F90" s="103">
        <v>0.91112764284053338</v>
      </c>
      <c r="G90" s="103">
        <v>0.90671832177626877</v>
      </c>
      <c r="H90" s="103">
        <v>0.82506274571329163</v>
      </c>
      <c r="I90" s="103">
        <v>0.86215704406446314</v>
      </c>
      <c r="J90" s="103">
        <v>0.64822929127489104</v>
      </c>
      <c r="K90" s="184">
        <v>0.85700674543204158</v>
      </c>
    </row>
    <row r="91" spans="1:11">
      <c r="A91" s="179" t="str">
        <f t="shared" si="4"/>
        <v>High Yield</v>
      </c>
      <c r="B91" s="103">
        <v>-0.77966705171513273</v>
      </c>
      <c r="C91" s="103">
        <v>-0.63054305629701912</v>
      </c>
      <c r="D91" s="103">
        <v>0.55640595202333754</v>
      </c>
      <c r="E91" s="213">
        <v>6.974160740638638E-2</v>
      </c>
      <c r="F91" s="103">
        <v>0.37748509592392854</v>
      </c>
      <c r="G91" s="103">
        <v>0.31560977474285434</v>
      </c>
      <c r="H91" s="103">
        <v>0.32152046959109548</v>
      </c>
      <c r="I91" s="103">
        <v>0.51535240678268179</v>
      </c>
      <c r="J91" s="103">
        <v>0.65953365163535338</v>
      </c>
      <c r="K91" s="184">
        <v>0.89357693241483849</v>
      </c>
    </row>
    <row r="92" spans="1:11">
      <c r="A92" s="179" t="str">
        <f t="shared" si="4"/>
        <v>EMD</v>
      </c>
      <c r="B92" s="103">
        <v>-0.37939913870513586</v>
      </c>
      <c r="C92" s="103">
        <v>-0.41622161415548764</v>
      </c>
      <c r="D92" s="103">
        <v>0.91112764284053338</v>
      </c>
      <c r="E92" s="103">
        <v>0.37748509592392854</v>
      </c>
      <c r="F92" s="213">
        <v>-9.3687879107849925E-3</v>
      </c>
      <c r="G92" s="103">
        <v>0.49540803862669514</v>
      </c>
      <c r="H92" s="103">
        <v>0.42727674294023682</v>
      </c>
      <c r="I92" s="103">
        <v>0.12768664153684306</v>
      </c>
      <c r="J92" s="103">
        <v>7.381943843970612E-2</v>
      </c>
      <c r="K92" s="184">
        <v>0.41672088323812284</v>
      </c>
    </row>
    <row r="93" spans="1:11">
      <c r="A93" s="179" t="str">
        <f t="shared" si="4"/>
        <v>Aandelen ontw</v>
      </c>
      <c r="B93" s="103">
        <v>-0.60393530565235753</v>
      </c>
      <c r="C93" s="103">
        <v>-0.55758976830887896</v>
      </c>
      <c r="D93" s="103">
        <v>0.90671832177626877</v>
      </c>
      <c r="E93" s="103">
        <v>0.31560977474285434</v>
      </c>
      <c r="F93" s="103">
        <v>0.49540803862669514</v>
      </c>
      <c r="G93" s="213">
        <v>1.4382874744811452E-2</v>
      </c>
      <c r="H93" s="103">
        <v>0.21664185367779343</v>
      </c>
      <c r="I93" s="103">
        <v>0.3834226031837995</v>
      </c>
      <c r="J93" s="103">
        <v>0.43651281168015571</v>
      </c>
      <c r="K93" s="184">
        <v>0.81229180020773706</v>
      </c>
    </row>
    <row r="94" spans="1:11">
      <c r="A94" s="179" t="str">
        <f t="shared" si="4"/>
        <v>Aandelen opk</v>
      </c>
      <c r="B94" s="103">
        <v>-0.45043611529984828</v>
      </c>
      <c r="C94" s="103">
        <v>-0.42349189083083294</v>
      </c>
      <c r="D94" s="103">
        <v>0.82506274571329163</v>
      </c>
      <c r="E94" s="103">
        <v>0.32152046959109548</v>
      </c>
      <c r="F94" s="103">
        <v>0.42727674294023682</v>
      </c>
      <c r="G94" s="103">
        <v>0.21664185367779343</v>
      </c>
      <c r="H94" s="213">
        <v>2.1591700529948132E-2</v>
      </c>
      <c r="I94" s="103">
        <v>0.51113560231161237</v>
      </c>
      <c r="J94" s="103">
        <v>0.70939789867158609</v>
      </c>
      <c r="K94" s="184">
        <v>0.67521097679080344</v>
      </c>
    </row>
    <row r="95" spans="1:11">
      <c r="A95" s="179" t="str">
        <f t="shared" si="4"/>
        <v>Hedge funds</v>
      </c>
      <c r="B95" s="103">
        <v>-0.37935037403888971</v>
      </c>
      <c r="C95" s="103">
        <v>-0.31643509061764918</v>
      </c>
      <c r="D95" s="103">
        <v>0.86215704406446314</v>
      </c>
      <c r="E95" s="103">
        <v>0.51535240678268179</v>
      </c>
      <c r="F95" s="103">
        <v>0.12768664153684306</v>
      </c>
      <c r="G95" s="103">
        <v>0.3834226031837995</v>
      </c>
      <c r="H95" s="103">
        <v>0.51113560231161237</v>
      </c>
      <c r="I95" s="194">
        <v>3.6808927732524421E-2</v>
      </c>
      <c r="J95" s="103">
        <v>8.2077416378751211E-2</v>
      </c>
      <c r="K95" s="184">
        <v>0.38141959669251413</v>
      </c>
    </row>
    <row r="96" spans="1:11">
      <c r="A96" s="179" t="str">
        <f t="shared" si="4"/>
        <v>OG</v>
      </c>
      <c r="B96" s="103">
        <v>-0.26994999447798085</v>
      </c>
      <c r="C96" s="103">
        <v>-0.1346544798166604</v>
      </c>
      <c r="D96" s="103">
        <v>0.64822929127489104</v>
      </c>
      <c r="E96" s="103">
        <v>0.65953365163535338</v>
      </c>
      <c r="F96" s="103">
        <v>7.381943843970612E-2</v>
      </c>
      <c r="G96" s="103">
        <v>0.43651281168015571</v>
      </c>
      <c r="H96" s="103">
        <v>0.70939789867158609</v>
      </c>
      <c r="I96" s="103">
        <v>8.2077416378751211E-2</v>
      </c>
      <c r="J96" s="194">
        <v>-2.2360087642626311E-2</v>
      </c>
      <c r="K96" s="184">
        <v>8.4179296588103303E-2</v>
      </c>
    </row>
    <row r="97" spans="1:11" ht="13.5" thickBot="1">
      <c r="A97" s="179" t="str">
        <f t="shared" si="4"/>
        <v>Commodities</v>
      </c>
      <c r="B97" s="185">
        <v>-3.1773045317801618E-2</v>
      </c>
      <c r="C97" s="185">
        <v>-0.34394413219587316</v>
      </c>
      <c r="D97" s="185">
        <v>0.85700674543204158</v>
      </c>
      <c r="E97" s="185">
        <v>0.89357693241483849</v>
      </c>
      <c r="F97" s="185">
        <v>0.41672088323812284</v>
      </c>
      <c r="G97" s="185">
        <v>0.81229180020773706</v>
      </c>
      <c r="H97" s="185">
        <v>0.67521097679080344</v>
      </c>
      <c r="I97" s="185">
        <v>0.38141959669251413</v>
      </c>
      <c r="J97" s="185">
        <v>8.4179296588103303E-2</v>
      </c>
      <c r="K97" s="195">
        <v>-4.8464892622718025E-2</v>
      </c>
    </row>
    <row r="98" spans="1:11" ht="14.25" thickTop="1" thickBot="1">
      <c r="A98" s="181" t="s">
        <v>165</v>
      </c>
      <c r="B98" s="190" t="str">
        <f>A99</f>
        <v>Nominale VPV</v>
      </c>
      <c r="C98" s="190" t="str">
        <f>A100</f>
        <v>Reele VPV</v>
      </c>
      <c r="D98" s="190" t="str">
        <f>A101</f>
        <v>Credits</v>
      </c>
      <c r="E98" s="190" t="str">
        <f>A102</f>
        <v>High Yield</v>
      </c>
      <c r="F98" s="190" t="str">
        <f>A103</f>
        <v>EMD</v>
      </c>
      <c r="G98" s="190" t="str">
        <f>A104</f>
        <v>Aandelen ontw</v>
      </c>
      <c r="H98" s="190" t="str">
        <f>A105</f>
        <v>Aandelen opk</v>
      </c>
      <c r="I98" s="190" t="str">
        <f>A106</f>
        <v>Hedge funds</v>
      </c>
      <c r="J98" s="190" t="str">
        <f>A107</f>
        <v>OG</v>
      </c>
      <c r="K98" s="191" t="str">
        <f>A108</f>
        <v>Commodities</v>
      </c>
    </row>
    <row r="99" spans="1:11" ht="13.5" thickTop="1">
      <c r="A99" s="178" t="str">
        <f t="shared" ref="A99:A108" si="5">A77</f>
        <v>Nominale VPV</v>
      </c>
      <c r="B99" s="200" t="s">
        <v>75</v>
      </c>
      <c r="C99" s="206" t="s">
        <v>75</v>
      </c>
      <c r="D99" s="206" t="s">
        <v>75</v>
      </c>
      <c r="E99" s="206" t="s">
        <v>75</v>
      </c>
      <c r="F99" s="206" t="s">
        <v>75</v>
      </c>
      <c r="G99" s="206" t="s">
        <v>75</v>
      </c>
      <c r="H99" s="206" t="s">
        <v>75</v>
      </c>
      <c r="I99" s="206" t="s">
        <v>75</v>
      </c>
      <c r="J99" s="206" t="s">
        <v>75</v>
      </c>
      <c r="K99" s="206" t="s">
        <v>75</v>
      </c>
    </row>
    <row r="100" spans="1:11">
      <c r="A100" s="179" t="str">
        <f t="shared" si="5"/>
        <v>Reele VPV</v>
      </c>
      <c r="B100" s="188" t="s">
        <v>75</v>
      </c>
      <c r="C100" s="201" t="s">
        <v>75</v>
      </c>
      <c r="D100" s="207" t="s">
        <v>75</v>
      </c>
      <c r="E100" s="207" t="s">
        <v>75</v>
      </c>
      <c r="F100" s="207" t="s">
        <v>75</v>
      </c>
      <c r="G100" s="207" t="s">
        <v>75</v>
      </c>
      <c r="H100" s="207" t="s">
        <v>75</v>
      </c>
      <c r="I100" s="207" t="s">
        <v>75</v>
      </c>
      <c r="J100" s="207" t="s">
        <v>75</v>
      </c>
      <c r="K100" s="207" t="s">
        <v>75</v>
      </c>
    </row>
    <row r="101" spans="1:11">
      <c r="A101" s="179" t="str">
        <f t="shared" si="5"/>
        <v>Credits</v>
      </c>
      <c r="B101" s="188" t="s">
        <v>75</v>
      </c>
      <c r="C101" s="97" t="s">
        <v>75</v>
      </c>
      <c r="D101" s="201" t="s">
        <v>75</v>
      </c>
      <c r="E101" s="207" t="s">
        <v>75</v>
      </c>
      <c r="F101" s="207" t="s">
        <v>75</v>
      </c>
      <c r="G101" s="207" t="s">
        <v>75</v>
      </c>
      <c r="H101" s="207" t="s">
        <v>75</v>
      </c>
      <c r="I101" s="207" t="s">
        <v>75</v>
      </c>
      <c r="J101" s="207" t="s">
        <v>75</v>
      </c>
      <c r="K101" s="207" t="s">
        <v>75</v>
      </c>
    </row>
    <row r="102" spans="1:11">
      <c r="A102" s="179" t="str">
        <f t="shared" si="5"/>
        <v>High Yield</v>
      </c>
      <c r="B102" s="188" t="s">
        <v>75</v>
      </c>
      <c r="C102" s="97" t="s">
        <v>75</v>
      </c>
      <c r="D102" s="97" t="s">
        <v>75</v>
      </c>
      <c r="E102" s="201" t="s">
        <v>75</v>
      </c>
      <c r="F102" s="207" t="s">
        <v>75</v>
      </c>
      <c r="G102" s="207" t="s">
        <v>75</v>
      </c>
      <c r="H102" s="207" t="s">
        <v>75</v>
      </c>
      <c r="I102" s="207" t="s">
        <v>75</v>
      </c>
      <c r="J102" s="207" t="s">
        <v>75</v>
      </c>
      <c r="K102" s="207" t="s">
        <v>75</v>
      </c>
    </row>
    <row r="103" spans="1:11">
      <c r="A103" s="179" t="str">
        <f t="shared" si="5"/>
        <v>EMD</v>
      </c>
      <c r="B103" s="188" t="s">
        <v>75</v>
      </c>
      <c r="C103" s="97" t="s">
        <v>75</v>
      </c>
      <c r="D103" s="97" t="s">
        <v>75</v>
      </c>
      <c r="E103" s="97" t="s">
        <v>75</v>
      </c>
      <c r="F103" s="201" t="s">
        <v>75</v>
      </c>
      <c r="G103" s="207" t="s">
        <v>75</v>
      </c>
      <c r="H103" s="207" t="s">
        <v>75</v>
      </c>
      <c r="I103" s="207" t="s">
        <v>75</v>
      </c>
      <c r="J103" s="207" t="s">
        <v>75</v>
      </c>
      <c r="K103" s="207" t="s">
        <v>75</v>
      </c>
    </row>
    <row r="104" spans="1:11">
      <c r="A104" s="179" t="str">
        <f t="shared" si="5"/>
        <v>Aandelen ontw</v>
      </c>
      <c r="B104" s="188" t="s">
        <v>75</v>
      </c>
      <c r="C104" s="97" t="s">
        <v>75</v>
      </c>
      <c r="D104" s="97" t="s">
        <v>75</v>
      </c>
      <c r="E104" s="97" t="s">
        <v>75</v>
      </c>
      <c r="F104" s="97" t="s">
        <v>75</v>
      </c>
      <c r="G104" s="201" t="s">
        <v>75</v>
      </c>
      <c r="H104" s="207" t="s">
        <v>75</v>
      </c>
      <c r="I104" s="207" t="s">
        <v>75</v>
      </c>
      <c r="J104" s="207" t="s">
        <v>75</v>
      </c>
      <c r="K104" s="207" t="s">
        <v>75</v>
      </c>
    </row>
    <row r="105" spans="1:11">
      <c r="A105" s="179" t="str">
        <f t="shared" si="5"/>
        <v>Aandelen opk</v>
      </c>
      <c r="B105" s="188" t="s">
        <v>75</v>
      </c>
      <c r="C105" s="97" t="s">
        <v>75</v>
      </c>
      <c r="D105" s="97" t="s">
        <v>75</v>
      </c>
      <c r="E105" s="97" t="s">
        <v>75</v>
      </c>
      <c r="F105" s="97" t="s">
        <v>75</v>
      </c>
      <c r="G105" s="97" t="s">
        <v>75</v>
      </c>
      <c r="H105" s="201" t="s">
        <v>75</v>
      </c>
      <c r="I105" s="207" t="s">
        <v>75</v>
      </c>
      <c r="J105" s="207" t="s">
        <v>75</v>
      </c>
      <c r="K105" s="207" t="s">
        <v>75</v>
      </c>
    </row>
    <row r="106" spans="1:11">
      <c r="A106" s="179" t="str">
        <f t="shared" si="5"/>
        <v>Hedge funds</v>
      </c>
      <c r="B106" s="188" t="s">
        <v>75</v>
      </c>
      <c r="C106" s="97" t="s">
        <v>75</v>
      </c>
      <c r="D106" s="97" t="s">
        <v>75</v>
      </c>
      <c r="E106" s="97" t="s">
        <v>75</v>
      </c>
      <c r="F106" s="97" t="s">
        <v>75</v>
      </c>
      <c r="G106" s="97" t="s">
        <v>75</v>
      </c>
      <c r="H106" s="97" t="s">
        <v>75</v>
      </c>
      <c r="I106" s="201" t="s">
        <v>75</v>
      </c>
      <c r="J106" s="207" t="s">
        <v>75</v>
      </c>
      <c r="K106" s="207" t="s">
        <v>75</v>
      </c>
    </row>
    <row r="107" spans="1:11">
      <c r="A107" s="179" t="str">
        <f t="shared" si="5"/>
        <v>OG</v>
      </c>
      <c r="B107" s="188" t="s">
        <v>75</v>
      </c>
      <c r="C107" s="97" t="s">
        <v>75</v>
      </c>
      <c r="D107" s="97" t="s">
        <v>75</v>
      </c>
      <c r="E107" s="97" t="s">
        <v>75</v>
      </c>
      <c r="F107" s="97" t="s">
        <v>75</v>
      </c>
      <c r="G107" s="97" t="s">
        <v>75</v>
      </c>
      <c r="H107" s="97" t="s">
        <v>75</v>
      </c>
      <c r="I107" s="97" t="s">
        <v>75</v>
      </c>
      <c r="J107" s="201" t="s">
        <v>75</v>
      </c>
      <c r="K107" s="207" t="s">
        <v>75</v>
      </c>
    </row>
    <row r="108" spans="1:11" ht="13.5" thickBot="1">
      <c r="A108" s="180" t="str">
        <f t="shared" si="5"/>
        <v>Commodities</v>
      </c>
      <c r="B108" s="189" t="s">
        <v>75</v>
      </c>
      <c r="C108" s="192" t="s">
        <v>75</v>
      </c>
      <c r="D108" s="192" t="s">
        <v>75</v>
      </c>
      <c r="E108" s="192" t="s">
        <v>75</v>
      </c>
      <c r="F108" s="192" t="s">
        <v>75</v>
      </c>
      <c r="G108" s="192" t="s">
        <v>75</v>
      </c>
      <c r="H108" s="192" t="s">
        <v>75</v>
      </c>
      <c r="I108" s="192" t="s">
        <v>75</v>
      </c>
      <c r="J108" s="192" t="s">
        <v>75</v>
      </c>
      <c r="K108" s="202" t="s">
        <v>75</v>
      </c>
    </row>
    <row r="109" spans="1:11" ht="13.5" thickTop="1"/>
    <row r="115" spans="1:2">
      <c r="A115" s="2" t="s">
        <v>170</v>
      </c>
    </row>
    <row r="116" spans="1:2">
      <c r="A116" s="76" t="s">
        <v>161</v>
      </c>
      <c r="B116" s="7" t="s">
        <v>171</v>
      </c>
    </row>
    <row r="117" spans="1:2">
      <c r="A117" s="221" t="str">
        <f>A38</f>
        <v>Nominale VPV</v>
      </c>
      <c r="B117" s="16">
        <v>-5.0000000000000001E-3</v>
      </c>
    </row>
    <row r="118" spans="1:2">
      <c r="A118" s="221" t="str">
        <f t="shared" ref="A118:A126" si="6">A39</f>
        <v>Reele VPV</v>
      </c>
      <c r="B118" s="16">
        <v>-4.2615162118704336E-2</v>
      </c>
    </row>
    <row r="119" spans="1:2">
      <c r="A119" s="221" t="str">
        <f t="shared" si="6"/>
        <v>Credits</v>
      </c>
      <c r="B119" s="16">
        <v>-6.7202989212353972E-2</v>
      </c>
    </row>
    <row r="120" spans="1:2">
      <c r="A120" s="221" t="str">
        <f t="shared" si="6"/>
        <v>High Yield</v>
      </c>
      <c r="B120" s="16">
        <v>-1.4963873800506802E-3</v>
      </c>
    </row>
    <row r="121" spans="1:2">
      <c r="A121" s="221" t="str">
        <f t="shared" si="6"/>
        <v>EMD</v>
      </c>
      <c r="B121" s="16">
        <v>-6.5282629627811395E-3</v>
      </c>
    </row>
    <row r="122" spans="1:2">
      <c r="A122" s="221" t="str">
        <f t="shared" si="6"/>
        <v>Aandelen ontw</v>
      </c>
      <c r="B122" s="16">
        <v>-1.4356314621335145E-2</v>
      </c>
    </row>
    <row r="123" spans="1:2">
      <c r="A123" s="221" t="str">
        <f t="shared" si="6"/>
        <v>Aandelen opk</v>
      </c>
      <c r="B123" s="16">
        <v>-0.03</v>
      </c>
    </row>
    <row r="124" spans="1:2">
      <c r="A124" s="221" t="str">
        <f t="shared" si="6"/>
        <v>Hedge funds</v>
      </c>
      <c r="B124" s="16">
        <v>0</v>
      </c>
    </row>
    <row r="125" spans="1:2">
      <c r="A125" s="221" t="str">
        <f t="shared" si="6"/>
        <v>OG</v>
      </c>
      <c r="B125" s="16">
        <v>-2.2615162118704332E-2</v>
      </c>
    </row>
    <row r="126" spans="1:2">
      <c r="A126" s="70" t="str">
        <f t="shared" si="6"/>
        <v>Commodities</v>
      </c>
      <c r="B126" s="100">
        <v>-7.0000000000000007E-2</v>
      </c>
    </row>
    <row r="128" spans="1:2">
      <c r="A128" s="2" t="s">
        <v>172</v>
      </c>
    </row>
    <row r="129" spans="1:11">
      <c r="A129" s="17" t="s">
        <v>166</v>
      </c>
      <c r="B129" s="176" t="str">
        <f>A130</f>
        <v>Nominale VPV</v>
      </c>
      <c r="C129" s="176" t="str">
        <f>A131</f>
        <v>Reele VPV</v>
      </c>
      <c r="D129" s="176" t="str">
        <f>A132</f>
        <v>Credits</v>
      </c>
      <c r="E129" s="176" t="str">
        <f>A133</f>
        <v>High Yield</v>
      </c>
      <c r="F129" s="176" t="str">
        <f>A134</f>
        <v>EMD</v>
      </c>
      <c r="G129" s="176" t="str">
        <f>A135</f>
        <v>Aandelen ontw</v>
      </c>
      <c r="H129" s="176" t="str">
        <f>A136</f>
        <v>Aandelen opk</v>
      </c>
      <c r="I129" s="176" t="str">
        <f>A137</f>
        <v>Hedge funds</v>
      </c>
      <c r="J129" s="176" t="str">
        <f>A138</f>
        <v>OG</v>
      </c>
      <c r="K129" s="177" t="str">
        <f>A139</f>
        <v>Commodities</v>
      </c>
    </row>
    <row r="130" spans="1:11">
      <c r="A130" s="10" t="str">
        <f>A88</f>
        <v>Nominale VPV</v>
      </c>
      <c r="B130" s="174">
        <v>-4.4452634636536759E-3</v>
      </c>
      <c r="C130" s="103">
        <v>8.7441982900903215E-3</v>
      </c>
      <c r="D130" s="103">
        <v>-4.9339554768319666E-2</v>
      </c>
      <c r="E130" s="103">
        <v>1.2956951776552206E-2</v>
      </c>
      <c r="F130" s="103">
        <v>0.12280562830238999</v>
      </c>
      <c r="G130" s="103">
        <v>7.888144630971039E-2</v>
      </c>
      <c r="H130" s="103">
        <v>2.0536738705801028E-2</v>
      </c>
      <c r="I130" s="103">
        <v>0.20606610244590901</v>
      </c>
      <c r="J130" s="103">
        <v>0.14011276432957054</v>
      </c>
      <c r="K130" s="104">
        <v>0.15047956318851441</v>
      </c>
    </row>
    <row r="131" spans="1:11">
      <c r="A131" s="168" t="str">
        <f t="shared" ref="A131:A139" si="7">A89</f>
        <v>Reele VPV</v>
      </c>
      <c r="B131" s="103">
        <v>8.7441982900903215E-3</v>
      </c>
      <c r="C131" s="174">
        <v>-1.2489110566723652E-2</v>
      </c>
      <c r="D131" s="103">
        <v>-7.8968305578049042E-2</v>
      </c>
      <c r="E131" s="103">
        <v>6.0426382116282595E-4</v>
      </c>
      <c r="F131" s="103">
        <v>0.10492325236742081</v>
      </c>
      <c r="G131" s="103">
        <v>5.6290840075746598E-2</v>
      </c>
      <c r="H131" s="103">
        <v>-1.5578453646869446E-2</v>
      </c>
      <c r="I131" s="103">
        <v>8.388996510493392E-2</v>
      </c>
      <c r="J131" s="103">
        <v>5.6324160721505756E-2</v>
      </c>
      <c r="K131" s="104">
        <v>0.15211552114400606</v>
      </c>
    </row>
    <row r="132" spans="1:11">
      <c r="A132" s="168" t="str">
        <f t="shared" si="7"/>
        <v>Credits</v>
      </c>
      <c r="B132" s="103">
        <v>-4.9339554768319666E-2</v>
      </c>
      <c r="C132" s="103">
        <v>-7.8968305578049042E-2</v>
      </c>
      <c r="D132" s="174">
        <v>-2.706363543105883E-3</v>
      </c>
      <c r="E132" s="103">
        <v>-0.10623169046092773</v>
      </c>
      <c r="F132" s="103">
        <v>-0.14155774979361152</v>
      </c>
      <c r="G132" s="103">
        <v>-5.0668020034901229E-2</v>
      </c>
      <c r="H132" s="103">
        <v>-1.3786713207860615E-2</v>
      </c>
      <c r="I132" s="103">
        <v>-0.21194265883981259</v>
      </c>
      <c r="J132" s="103">
        <v>-0.18953914181475942</v>
      </c>
      <c r="K132" s="104">
        <v>-0.13698576121952513</v>
      </c>
    </row>
    <row r="133" spans="1:11">
      <c r="A133" s="168" t="str">
        <f t="shared" si="7"/>
        <v>High Yield</v>
      </c>
      <c r="B133" s="103">
        <v>1.2956951776552206E-2</v>
      </c>
      <c r="C133" s="103">
        <v>6.0426382116282595E-4</v>
      </c>
      <c r="D133" s="103">
        <v>-0.10623169046092773</v>
      </c>
      <c r="E133" s="174">
        <v>-1.7442087987237814E-2</v>
      </c>
      <c r="F133" s="103">
        <v>-6.5893962027107067E-3</v>
      </c>
      <c r="G133" s="103">
        <v>-0.143476943707742</v>
      </c>
      <c r="H133" s="103">
        <v>-0.11434838152979443</v>
      </c>
      <c r="I133" s="103">
        <v>-3.4443218317613822E-2</v>
      </c>
      <c r="J133" s="103">
        <v>-6.7853109690286184E-2</v>
      </c>
      <c r="K133" s="104">
        <v>-0.17277427161463785</v>
      </c>
    </row>
    <row r="134" spans="1:11">
      <c r="A134" s="168" t="str">
        <f t="shared" si="7"/>
        <v>EMD</v>
      </c>
      <c r="B134" s="103">
        <v>0.12280562830238999</v>
      </c>
      <c r="C134" s="103">
        <v>0.10492325236742081</v>
      </c>
      <c r="D134" s="103">
        <v>-0.14155774979361152</v>
      </c>
      <c r="E134" s="103">
        <v>-6.5893962027107067E-3</v>
      </c>
      <c r="F134" s="174">
        <v>9.8520155870215897E-4</v>
      </c>
      <c r="G134" s="103">
        <v>-8.595312319249071E-2</v>
      </c>
      <c r="H134" s="103">
        <v>-1.5001410389243408E-2</v>
      </c>
      <c r="I134" s="103">
        <v>1.8350200165725084E-2</v>
      </c>
      <c r="J134" s="103">
        <v>-6.8151783508844377E-2</v>
      </c>
      <c r="K134" s="104">
        <v>-0.14271150902962326</v>
      </c>
    </row>
    <row r="135" spans="1:11">
      <c r="A135" s="168" t="str">
        <f t="shared" si="7"/>
        <v>Aandelen ontw</v>
      </c>
      <c r="B135" s="103">
        <v>7.888144630971039E-2</v>
      </c>
      <c r="C135" s="103">
        <v>5.6290840075746598E-2</v>
      </c>
      <c r="D135" s="103">
        <v>-5.0668020034901229E-2</v>
      </c>
      <c r="E135" s="103">
        <v>-0.143476943707742</v>
      </c>
      <c r="F135" s="103">
        <v>-8.595312319249071E-2</v>
      </c>
      <c r="G135" s="174">
        <v>-3.6806140284931677E-2</v>
      </c>
      <c r="H135" s="103">
        <v>-0.13411329500608138</v>
      </c>
      <c r="I135" s="103">
        <v>-6.395250688912657E-2</v>
      </c>
      <c r="J135" s="103">
        <v>-4.3385699574238039E-2</v>
      </c>
      <c r="K135" s="104">
        <v>-0.14433234480063456</v>
      </c>
    </row>
    <row r="136" spans="1:11">
      <c r="A136" s="168" t="str">
        <f t="shared" si="7"/>
        <v>Aandelen opk</v>
      </c>
      <c r="B136" s="103">
        <v>2.0536738705801028E-2</v>
      </c>
      <c r="C136" s="103">
        <v>-1.5578453646869446E-2</v>
      </c>
      <c r="D136" s="103">
        <v>-1.3786713207860615E-2</v>
      </c>
      <c r="E136" s="103">
        <v>-0.11434838152979443</v>
      </c>
      <c r="F136" s="103">
        <v>-1.5001410389243408E-2</v>
      </c>
      <c r="G136" s="103">
        <v>-0.13411329500608138</v>
      </c>
      <c r="H136" s="174">
        <v>-2.4024513892395571E-2</v>
      </c>
      <c r="I136" s="103">
        <v>-3.24415603390657E-2</v>
      </c>
      <c r="J136" s="103">
        <v>-4.0330896746586908E-2</v>
      </c>
      <c r="K136" s="104">
        <v>-0.12811111916728496</v>
      </c>
    </row>
    <row r="137" spans="1:11">
      <c r="A137" s="168" t="str">
        <f t="shared" si="7"/>
        <v>Hedge funds</v>
      </c>
      <c r="B137" s="103">
        <v>0.20606610244590901</v>
      </c>
      <c r="C137" s="103">
        <v>8.388996510493392E-2</v>
      </c>
      <c r="D137" s="103">
        <v>-0.21194265883981259</v>
      </c>
      <c r="E137" s="103">
        <v>-3.4443218317613822E-2</v>
      </c>
      <c r="F137" s="103">
        <v>1.8350200165725084E-2</v>
      </c>
      <c r="G137" s="103">
        <v>-6.395250688912657E-2</v>
      </c>
      <c r="H137" s="103">
        <v>-3.24415603390657E-2</v>
      </c>
      <c r="I137" s="194">
        <v>0.05</v>
      </c>
      <c r="J137" s="103">
        <v>-0.14615165313209905</v>
      </c>
      <c r="K137" s="104">
        <v>-0.2894409383542384</v>
      </c>
    </row>
    <row r="138" spans="1:11">
      <c r="A138" s="168" t="str">
        <f t="shared" si="7"/>
        <v>OG</v>
      </c>
      <c r="B138" s="103">
        <v>0.14011276432957054</v>
      </c>
      <c r="C138" s="103">
        <v>5.6324160721505756E-2</v>
      </c>
      <c r="D138" s="103">
        <v>-0.18953914181475942</v>
      </c>
      <c r="E138" s="103">
        <v>-6.7853109690286184E-2</v>
      </c>
      <c r="F138" s="103">
        <v>-6.8151783508844377E-2</v>
      </c>
      <c r="G138" s="103">
        <v>-4.3385699574238039E-2</v>
      </c>
      <c r="H138" s="103">
        <v>-4.0330896746586908E-2</v>
      </c>
      <c r="I138" s="103">
        <v>-0.14615165313209905</v>
      </c>
      <c r="J138" s="194">
        <v>-1.0093826837884137E-2</v>
      </c>
      <c r="K138" s="104">
        <v>-0.15122033452681916</v>
      </c>
    </row>
    <row r="139" spans="1:11">
      <c r="A139" s="167" t="str">
        <f t="shared" si="7"/>
        <v>Commodities</v>
      </c>
      <c r="B139" s="106">
        <v>0.15047956318851441</v>
      </c>
      <c r="C139" s="106">
        <v>0.15211552114400606</v>
      </c>
      <c r="D139" s="106">
        <v>-0.13698576121952513</v>
      </c>
      <c r="E139" s="106">
        <v>-0.17277427161463785</v>
      </c>
      <c r="F139" s="106">
        <v>-0.14271150902962326</v>
      </c>
      <c r="G139" s="106">
        <v>-0.14433234480063456</v>
      </c>
      <c r="H139" s="106">
        <v>-0.12811111916728496</v>
      </c>
      <c r="I139" s="106">
        <v>-0.2894409383542384</v>
      </c>
      <c r="J139" s="106">
        <v>-0.15122033452681916</v>
      </c>
      <c r="K139" s="220">
        <v>-2.1570331594918418E-2</v>
      </c>
    </row>
    <row r="156" spans="2:2">
      <c r="B156" t="s">
        <v>75</v>
      </c>
    </row>
    <row r="157" spans="2:2">
      <c r="B157" t="s">
        <v>76</v>
      </c>
    </row>
  </sheetData>
  <phoneticPr fontId="2" type="noConversion"/>
  <dataValidations count="1">
    <dataValidation type="list" allowBlank="1" showInputMessage="1" showErrorMessage="1" sqref="F38:F47 B99:K108">
      <formula1>$B$156:$B$157</formula1>
    </dataValidation>
  </dataValidations>
  <pageMargins left="0.75" right="0.75" top="1" bottom="1" header="0.5" footer="0.5"/>
  <headerFooter alignWithMargins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6"/>
  <dimension ref="A1:R65"/>
  <sheetViews>
    <sheetView zoomScale="75" workbookViewId="0">
      <selection activeCell="Q41" sqref="Q41"/>
    </sheetView>
  </sheetViews>
  <sheetFormatPr defaultRowHeight="12.75"/>
  <cols>
    <col min="1" max="1" width="32.28515625" customWidth="1"/>
    <col min="2" max="3" width="12.140625" customWidth="1"/>
  </cols>
  <sheetData>
    <row r="1" spans="1:18">
      <c r="A1" s="2" t="s">
        <v>134</v>
      </c>
    </row>
    <row r="2" spans="1:18">
      <c r="A2" s="102"/>
      <c r="D2" s="249" t="s">
        <v>7</v>
      </c>
      <c r="E2" s="249"/>
      <c r="F2" s="249"/>
      <c r="G2" s="249"/>
      <c r="H2" s="249"/>
      <c r="I2" s="249"/>
      <c r="J2" s="249"/>
      <c r="K2" s="249"/>
      <c r="L2" s="249"/>
      <c r="M2" s="249"/>
    </row>
    <row r="3" spans="1:18">
      <c r="A3" s="108" t="str">
        <f>Parameters!A40</f>
        <v>Basis</v>
      </c>
      <c r="B3" s="109" t="s">
        <v>116</v>
      </c>
      <c r="C3" s="17" t="s">
        <v>117</v>
      </c>
      <c r="D3" s="109" t="s">
        <v>118</v>
      </c>
      <c r="E3" s="109" t="s">
        <v>119</v>
      </c>
      <c r="F3" s="110" t="s">
        <v>73</v>
      </c>
      <c r="G3" s="109" t="s">
        <v>120</v>
      </c>
      <c r="H3" s="109" t="s">
        <v>0</v>
      </c>
      <c r="I3" s="109" t="s">
        <v>121</v>
      </c>
      <c r="J3" s="109" t="s">
        <v>122</v>
      </c>
      <c r="K3" s="109" t="s">
        <v>123</v>
      </c>
      <c r="L3" s="109" t="s">
        <v>1</v>
      </c>
      <c r="M3" s="8" t="s">
        <v>124</v>
      </c>
    </row>
    <row r="4" spans="1:18">
      <c r="A4" s="122" t="str">
        <f>Parameters!A99</f>
        <v>Nominale VPV</v>
      </c>
      <c r="B4" s="101">
        <f>'Vertaling visies absoluut'!B4</f>
        <v>0.03</v>
      </c>
      <c r="C4" s="16">
        <f>'Vertaling visies absoluut'!C4</f>
        <v>9.0861385371085554E-2</v>
      </c>
      <c r="D4" s="103">
        <f>'Vertaling visies absoluut'!D4</f>
        <v>1</v>
      </c>
      <c r="E4" s="103">
        <f>'Vertaling visies absoluut'!E4</f>
        <v>0.40971662366390715</v>
      </c>
      <c r="F4" s="103">
        <f>'Vertaling visies absoluut'!F4</f>
        <v>0.21430474377395495</v>
      </c>
      <c r="G4" s="103">
        <f>'Vertaling visies absoluut'!G4</f>
        <v>0.22151712082055552</v>
      </c>
      <c r="H4" s="103">
        <f>'Vertaling visies absoluut'!H4</f>
        <v>7.4002355689611707E-2</v>
      </c>
      <c r="I4" s="103">
        <f>'Vertaling visies absoluut'!I4</f>
        <v>9.1634717779999042E-2</v>
      </c>
      <c r="J4" s="103">
        <f>'Vertaling visies absoluut'!J4</f>
        <v>-0.17471282183767084</v>
      </c>
      <c r="K4" s="103">
        <f>'Vertaling visies absoluut'!K4</f>
        <v>-0.19467168407321445</v>
      </c>
      <c r="L4" s="103">
        <f>'Vertaling visies absoluut'!L4</f>
        <v>-4.8441147957524987E-2</v>
      </c>
      <c r="M4" s="104">
        <f>'Vertaling visies absoluut'!M4</f>
        <v>-0.46979603223907895</v>
      </c>
      <c r="O4" s="159">
        <f>(B4-$B$4)/C4</f>
        <v>0</v>
      </c>
    </row>
    <row r="5" spans="1:18">
      <c r="A5" s="14" t="str">
        <f>Parameters!A100</f>
        <v>Reele VPV</v>
      </c>
      <c r="B5" s="101">
        <f>'Vertaling visies absoluut'!B5</f>
        <v>0.03</v>
      </c>
      <c r="C5" s="16">
        <f>'Vertaling visies absoluut'!C5</f>
        <v>0.10522937451834077</v>
      </c>
      <c r="D5" s="103">
        <f>'Vertaling visies absoluut'!D5</f>
        <v>0.40971662366390715</v>
      </c>
      <c r="E5" s="103">
        <f>'Vertaling visies absoluut'!E5</f>
        <v>1</v>
      </c>
      <c r="F5" s="103">
        <f>'Vertaling visies absoluut'!F5</f>
        <v>0.15471392791247904</v>
      </c>
      <c r="G5" s="103">
        <f>'Vertaling visies absoluut'!G5</f>
        <v>0.25342358427652267</v>
      </c>
      <c r="H5" s="103">
        <f>'Vertaling visies absoluut'!H5</f>
        <v>-4.9491207038102572E-2</v>
      </c>
      <c r="I5" s="103">
        <f>'Vertaling visies absoluut'!I5</f>
        <v>0.12602559041577072</v>
      </c>
      <c r="J5" s="103">
        <f>'Vertaling visies absoluut'!J5</f>
        <v>5.7716896337474434E-2</v>
      </c>
      <c r="K5" s="103">
        <f>'Vertaling visies absoluut'!K5</f>
        <v>-0.14489467422899699</v>
      </c>
      <c r="L5" s="103">
        <f>'Vertaling visies absoluut'!L5</f>
        <v>-0.12202509544491509</v>
      </c>
      <c r="M5" s="104">
        <f>'Vertaling visies absoluut'!M5</f>
        <v>-8.924403706068651E-2</v>
      </c>
      <c r="N5" s="28">
        <f>B5-$B$4</f>
        <v>0</v>
      </c>
      <c r="O5" s="159">
        <f t="shared" ref="O5:O13" si="0">(B5-$B$4)/C5</f>
        <v>0</v>
      </c>
      <c r="R5" s="28"/>
    </row>
    <row r="6" spans="1:18">
      <c r="A6" s="14" t="str">
        <f>Parameters!A101</f>
        <v>Credits</v>
      </c>
      <c r="B6" s="101">
        <f>'Vertaling visies absoluut'!B6</f>
        <v>5.5641316288239581E-2</v>
      </c>
      <c r="C6" s="16">
        <f>'Vertaling visies absoluut'!C6</f>
        <v>0.14514041524285748</v>
      </c>
      <c r="D6" s="103">
        <f>'Vertaling visies absoluut'!D6</f>
        <v>0.21430474377395495</v>
      </c>
      <c r="E6" s="103">
        <f>'Vertaling visies absoluut'!E6</f>
        <v>0.15471392791247904</v>
      </c>
      <c r="F6" s="103">
        <f>'Vertaling visies absoluut'!F6</f>
        <v>1</v>
      </c>
      <c r="G6" s="103">
        <f>'Vertaling visies absoluut'!G6</f>
        <v>0.27817222657699903</v>
      </c>
      <c r="H6" s="103">
        <f>'Vertaling visies absoluut'!H6</f>
        <v>-3.703647667664333E-2</v>
      </c>
      <c r="I6" s="103">
        <f>'Vertaling visies absoluut'!I6</f>
        <v>-2.0652245548069024E-2</v>
      </c>
      <c r="J6" s="103">
        <f>'Vertaling visies absoluut'!J6</f>
        <v>-4.7238096976143977E-4</v>
      </c>
      <c r="K6" s="103">
        <f>'Vertaling visies absoluut'!K6</f>
        <v>3.529134629850865E-2</v>
      </c>
      <c r="L6" s="103">
        <f>'Vertaling visies absoluut'!L6</f>
        <v>-0.14714896334501704</v>
      </c>
      <c r="M6" s="104">
        <f>'Vertaling visies absoluut'!M6</f>
        <v>3.8849793092206202E-2</v>
      </c>
      <c r="N6" s="28">
        <f t="shared" ref="N6:N13" si="1">B6-$B$4</f>
        <v>2.5641316288239582E-2</v>
      </c>
      <c r="O6" s="159">
        <f t="shared" si="0"/>
        <v>0.1766655844640862</v>
      </c>
      <c r="R6" s="28"/>
    </row>
    <row r="7" spans="1:18">
      <c r="A7" s="14" t="str">
        <f>Parameters!A102</f>
        <v>High Yield</v>
      </c>
      <c r="B7" s="101">
        <f>'Vertaling visies absoluut'!B7</f>
        <v>5.6496387380050681E-2</v>
      </c>
      <c r="C7" s="16">
        <f>'Vertaling visies absoluut'!C7</f>
        <v>0.15212518033194117</v>
      </c>
      <c r="D7" s="103">
        <f>'Vertaling visies absoluut'!D7</f>
        <v>0.22151712082055552</v>
      </c>
      <c r="E7" s="103">
        <f>'Vertaling visies absoluut'!E7</f>
        <v>0.25342358427652267</v>
      </c>
      <c r="F7" s="103">
        <f>'Vertaling visies absoluut'!F7</f>
        <v>0.27817222657699903</v>
      </c>
      <c r="G7" s="103">
        <f>'Vertaling visies absoluut'!G7</f>
        <v>1</v>
      </c>
      <c r="H7" s="103">
        <f>'Vertaling visies absoluut'!H7</f>
        <v>0.54947077664382227</v>
      </c>
      <c r="I7" s="103">
        <f>'Vertaling visies absoluut'!I7</f>
        <v>0.65128571710691485</v>
      </c>
      <c r="J7" s="103">
        <f>'Vertaling visies absoluut'!J7</f>
        <v>0.6608535188910849</v>
      </c>
      <c r="K7" s="103">
        <f>'Vertaling visies absoluut'!K7</f>
        <v>0.42475163042146619</v>
      </c>
      <c r="L7" s="103">
        <f>'Vertaling visies absoluut'!L7</f>
        <v>-0.32361654199607615</v>
      </c>
      <c r="M7" s="104">
        <f>'Vertaling visies absoluut'!M7</f>
        <v>-2.2300336358686947E-3</v>
      </c>
      <c r="N7" s="28">
        <f t="shared" si="1"/>
        <v>2.6496387380050682E-2</v>
      </c>
      <c r="O7" s="159">
        <f t="shared" si="0"/>
        <v>0.17417489545277687</v>
      </c>
      <c r="R7" s="28"/>
    </row>
    <row r="8" spans="1:18">
      <c r="A8" s="14" t="str">
        <f>Parameters!A103</f>
        <v>Emerging market debt</v>
      </c>
      <c r="B8" s="101">
        <f>'Vertaling visies absoluut'!B8</f>
        <v>5.6528262962781142E-2</v>
      </c>
      <c r="C8" s="16">
        <f>'Vertaling visies absoluut'!C8</f>
        <v>0.13758409078549255</v>
      </c>
      <c r="D8" s="103">
        <f>'Vertaling visies absoluut'!D8</f>
        <v>7.4002355689611707E-2</v>
      </c>
      <c r="E8" s="103">
        <f>'Vertaling visies absoluut'!E8</f>
        <v>-4.9491207038102572E-2</v>
      </c>
      <c r="F8" s="103">
        <f>'Vertaling visies absoluut'!F8</f>
        <v>-3.703647667664333E-2</v>
      </c>
      <c r="G8" s="103">
        <f>'Vertaling visies absoluut'!G8</f>
        <v>0.54947077664382227</v>
      </c>
      <c r="H8" s="103">
        <f>'Vertaling visies absoluut'!H8</f>
        <v>1</v>
      </c>
      <c r="I8" s="103">
        <f>'Vertaling visies absoluut'!I8</f>
        <v>0.43704301175382859</v>
      </c>
      <c r="J8" s="103">
        <f>'Vertaling visies absoluut'!J8</f>
        <v>0.47448318291761793</v>
      </c>
      <c r="K8" s="103">
        <f>'Vertaling visies absoluut'!K8</f>
        <v>0.75975680806732371</v>
      </c>
      <c r="L8" s="103">
        <f>'Vertaling visies absoluut'!L8</f>
        <v>0.22497345871183977</v>
      </c>
      <c r="M8" s="104">
        <f>'Vertaling visies absoluut'!M8</f>
        <v>0.50014707286156324</v>
      </c>
      <c r="N8" s="28">
        <f t="shared" si="1"/>
        <v>2.6528262962781143E-2</v>
      </c>
      <c r="O8" s="159">
        <f t="shared" si="0"/>
        <v>0.19281490186348199</v>
      </c>
      <c r="R8" s="28"/>
    </row>
    <row r="9" spans="1:18">
      <c r="A9" s="14" t="str">
        <f>Parameters!A104</f>
        <v>Aandelen ontwikkeld</v>
      </c>
      <c r="B9" s="101">
        <f>'Vertaling visies absoluut'!B9</f>
        <v>6.4356314621335148E-2</v>
      </c>
      <c r="C9" s="16">
        <f>'Vertaling visies absoluut'!C9</f>
        <v>0.19354582049076965</v>
      </c>
      <c r="D9" s="103">
        <f>'Vertaling visies absoluut'!D9</f>
        <v>9.1634717779999042E-2</v>
      </c>
      <c r="E9" s="103">
        <f>'Vertaling visies absoluut'!E9</f>
        <v>0.12602559041577072</v>
      </c>
      <c r="F9" s="103">
        <f>'Vertaling visies absoluut'!F9</f>
        <v>-2.0652245548069024E-2</v>
      </c>
      <c r="G9" s="103">
        <f>'Vertaling visies absoluut'!G9</f>
        <v>0.65128571710691485</v>
      </c>
      <c r="H9" s="103">
        <f>'Vertaling visies absoluut'!H9</f>
        <v>0.43704301175382859</v>
      </c>
      <c r="I9" s="103">
        <f>'Vertaling visies absoluut'!I9</f>
        <v>1</v>
      </c>
      <c r="J9" s="103">
        <f>'Vertaling visies absoluut'!J9</f>
        <v>0.7527031239848575</v>
      </c>
      <c r="K9" s="103">
        <f>'Vertaling visies absoluut'!K9</f>
        <v>0.57172393447966663</v>
      </c>
      <c r="L9" s="103">
        <f>'Vertaling visies absoluut'!L9</f>
        <v>-3.5193060592074984E-2</v>
      </c>
      <c r="M9" s="104">
        <f>'Vertaling visies absoluut'!M9</f>
        <v>0.10395609042534411</v>
      </c>
      <c r="N9" s="28">
        <f t="shared" si="1"/>
        <v>3.4356314621335149E-2</v>
      </c>
      <c r="O9" s="159">
        <f t="shared" si="0"/>
        <v>0.17750997946749064</v>
      </c>
      <c r="R9" s="28"/>
    </row>
    <row r="10" spans="1:18">
      <c r="A10" s="14" t="str">
        <f>Parameters!A105</f>
        <v>Aandelen opkomend</v>
      </c>
      <c r="B10" s="101">
        <f>'Vertaling visies absoluut'!B10</f>
        <v>9.1561672924114379E-2</v>
      </c>
      <c r="C10" s="16">
        <f>'Vertaling visies absoluut'!C10</f>
        <v>0.34249727755342524</v>
      </c>
      <c r="D10" s="103">
        <f>'Vertaling visies absoluut'!D10</f>
        <v>-0.17471282183767084</v>
      </c>
      <c r="E10" s="103">
        <f>'Vertaling visies absoluut'!E10</f>
        <v>5.7716896337474434E-2</v>
      </c>
      <c r="F10" s="103">
        <f>'Vertaling visies absoluut'!F10</f>
        <v>-4.7238096976143977E-4</v>
      </c>
      <c r="G10" s="103">
        <f>'Vertaling visies absoluut'!G10</f>
        <v>0.6608535188910849</v>
      </c>
      <c r="H10" s="103">
        <f>'Vertaling visies absoluut'!H10</f>
        <v>0.47448318291761793</v>
      </c>
      <c r="I10" s="103">
        <f>'Vertaling visies absoluut'!I10</f>
        <v>0.7527031239848575</v>
      </c>
      <c r="J10" s="103">
        <f>'Vertaling visies absoluut'!J10</f>
        <v>1</v>
      </c>
      <c r="K10" s="103">
        <f>'Vertaling visies absoluut'!K10</f>
        <v>0.4330844511959292</v>
      </c>
      <c r="L10" s="103">
        <f>'Vertaling visies absoluut'!L10</f>
        <v>-0.33706927145387583</v>
      </c>
      <c r="M10" s="104">
        <f>'Vertaling visies absoluut'!M10</f>
        <v>0.21126029655546039</v>
      </c>
      <c r="N10" s="28">
        <f t="shared" si="1"/>
        <v>6.156167292411438E-2</v>
      </c>
      <c r="O10" s="159">
        <f t="shared" si="0"/>
        <v>0.17974353946364299</v>
      </c>
      <c r="R10" s="28"/>
    </row>
    <row r="11" spans="1:18">
      <c r="A11" s="14" t="str">
        <f>Parameters!A106</f>
        <v>Hedge funds</v>
      </c>
      <c r="B11" s="101">
        <f>'Vertaling visies absoluut'!B11</f>
        <v>5.1135067781966595E-2</v>
      </c>
      <c r="C11" s="16">
        <f>'Vertaling visies absoluut'!C11</f>
        <v>7.2522493236444635E-2</v>
      </c>
      <c r="D11" s="103">
        <f>'Vertaling visies absoluut'!D11</f>
        <v>-0.19467168407321445</v>
      </c>
      <c r="E11" s="103">
        <f>'Vertaling visies absoluut'!E11</f>
        <v>-0.14489467422899699</v>
      </c>
      <c r="F11" s="103">
        <f>'Vertaling visies absoluut'!F11</f>
        <v>3.529134629850865E-2</v>
      </c>
      <c r="G11" s="103">
        <f>'Vertaling visies absoluut'!G11</f>
        <v>0.42475163042146619</v>
      </c>
      <c r="H11" s="103">
        <f>'Vertaling visies absoluut'!H11</f>
        <v>0.75975680806732371</v>
      </c>
      <c r="I11" s="103">
        <f>'Vertaling visies absoluut'!I11</f>
        <v>0.57172393447966663</v>
      </c>
      <c r="J11" s="103">
        <f>'Vertaling visies absoluut'!J11</f>
        <v>0.4330844511959292</v>
      </c>
      <c r="K11" s="103">
        <f>'Vertaling visies absoluut'!K11</f>
        <v>1</v>
      </c>
      <c r="L11" s="103">
        <f>'Vertaling visies absoluut'!L11</f>
        <v>0.53144909307162114</v>
      </c>
      <c r="M11" s="104">
        <f>'Vertaling visies absoluut'!M11</f>
        <v>0.50768184408405959</v>
      </c>
      <c r="N11" s="28">
        <f t="shared" si="1"/>
        <v>2.1135067781966596E-2</v>
      </c>
      <c r="O11" s="159">
        <f t="shared" si="0"/>
        <v>0.29142776039235258</v>
      </c>
      <c r="R11" s="28"/>
    </row>
    <row r="12" spans="1:18">
      <c r="A12" s="14" t="str">
        <f>Parameters!A107</f>
        <v>Onroerend goed</v>
      </c>
      <c r="B12" s="101">
        <f>'Vertaling visies absoluut'!B12</f>
        <v>4.7615162118704334E-2</v>
      </c>
      <c r="C12" s="16">
        <f>'Vertaling visies absoluut'!C12</f>
        <v>4.976648454377966E-2</v>
      </c>
      <c r="D12" s="103">
        <f>'Vertaling visies absoluut'!D12</f>
        <v>-4.8441147957524987E-2</v>
      </c>
      <c r="E12" s="103">
        <f>'Vertaling visies absoluut'!E12</f>
        <v>-0.12202509544491509</v>
      </c>
      <c r="F12" s="103">
        <f>'Vertaling visies absoluut'!F12</f>
        <v>-0.14714896334501704</v>
      </c>
      <c r="G12" s="103">
        <f>'Vertaling visies absoluut'!G12</f>
        <v>-0.32361654199607615</v>
      </c>
      <c r="H12" s="103">
        <f>'Vertaling visies absoluut'!H12</f>
        <v>0.22497345871183977</v>
      </c>
      <c r="I12" s="103">
        <f>'Vertaling visies absoluut'!I12</f>
        <v>-3.5193060592074984E-2</v>
      </c>
      <c r="J12" s="103">
        <f>'Vertaling visies absoluut'!J12</f>
        <v>-0.33706927145387583</v>
      </c>
      <c r="K12" s="103">
        <f>'Vertaling visies absoluut'!K12</f>
        <v>0.53144909307162114</v>
      </c>
      <c r="L12" s="103">
        <f>'Vertaling visies absoluut'!L12</f>
        <v>1</v>
      </c>
      <c r="M12" s="104">
        <f>'Vertaling visies absoluut'!M12</f>
        <v>0.24828282028996493</v>
      </c>
      <c r="N12" s="28">
        <f t="shared" si="1"/>
        <v>1.7615162118704335E-2</v>
      </c>
      <c r="O12" s="159">
        <f>(B12-$B$4)/C12</f>
        <v>0.35395632784164704</v>
      </c>
      <c r="R12" s="28"/>
    </row>
    <row r="13" spans="1:18">
      <c r="A13" s="15" t="str">
        <f>Parameters!A108</f>
        <v>Commodities</v>
      </c>
      <c r="B13" s="105">
        <f>'Vertaling visies absoluut'!B13</f>
        <v>8.0977052013787992E-2</v>
      </c>
      <c r="C13" s="100">
        <f>'Vertaling visies absoluut'!C13</f>
        <v>0.25247140962754983</v>
      </c>
      <c r="D13" s="106">
        <f>'Vertaling visies absoluut'!D13</f>
        <v>-0.46979603223907895</v>
      </c>
      <c r="E13" s="106">
        <f>'Vertaling visies absoluut'!E13</f>
        <v>-8.924403706068651E-2</v>
      </c>
      <c r="F13" s="106">
        <f>'Vertaling visies absoluut'!F13</f>
        <v>3.8849793092206202E-2</v>
      </c>
      <c r="G13" s="106">
        <f>'Vertaling visies absoluut'!G13</f>
        <v>-2.2300336358686947E-3</v>
      </c>
      <c r="H13" s="106">
        <f>'Vertaling visies absoluut'!H13</f>
        <v>0.50014707286156324</v>
      </c>
      <c r="I13" s="106">
        <f>'Vertaling visies absoluut'!I13</f>
        <v>0.10395609042534411</v>
      </c>
      <c r="J13" s="106">
        <f>'Vertaling visies absoluut'!J13</f>
        <v>0.21126029655546039</v>
      </c>
      <c r="K13" s="106">
        <f>'Vertaling visies absoluut'!K13</f>
        <v>0.50768184408405959</v>
      </c>
      <c r="L13" s="106">
        <f>'Vertaling visies absoluut'!L13</f>
        <v>0.24828282028996493</v>
      </c>
      <c r="M13" s="107">
        <f>'Vertaling visies absoluut'!M13</f>
        <v>1</v>
      </c>
      <c r="N13" s="28">
        <f t="shared" si="1"/>
        <v>5.0977052013787993E-2</v>
      </c>
      <c r="O13" s="159">
        <f t="shared" si="0"/>
        <v>0.20191217725995281</v>
      </c>
      <c r="R13" s="28"/>
    </row>
    <row r="15" spans="1:18">
      <c r="A15" s="2" t="s">
        <v>125</v>
      </c>
    </row>
    <row r="16" spans="1:18">
      <c r="A16" s="108" t="str">
        <f>Parameters!A41</f>
        <v>Groei recessie</v>
      </c>
      <c r="B16" s="109" t="s">
        <v>116</v>
      </c>
      <c r="C16" s="17" t="s">
        <v>117</v>
      </c>
      <c r="D16" s="109" t="s">
        <v>118</v>
      </c>
      <c r="E16" s="109" t="s">
        <v>119</v>
      </c>
      <c r="F16" s="110" t="s">
        <v>73</v>
      </c>
      <c r="G16" s="109" t="s">
        <v>120</v>
      </c>
      <c r="H16" s="109" t="s">
        <v>0</v>
      </c>
      <c r="I16" s="109" t="s">
        <v>121</v>
      </c>
      <c r="J16" s="109" t="s">
        <v>122</v>
      </c>
      <c r="K16" s="109" t="s">
        <v>123</v>
      </c>
      <c r="L16" s="109" t="s">
        <v>1</v>
      </c>
      <c r="M16" s="8" t="s">
        <v>124</v>
      </c>
    </row>
    <row r="17" spans="1:15">
      <c r="A17" s="14" t="str">
        <f>A4</f>
        <v>Nominale VPV</v>
      </c>
      <c r="B17" s="101">
        <v>2.5000000000000001E-2</v>
      </c>
      <c r="C17" s="16">
        <v>8.8591242014319421E-2</v>
      </c>
      <c r="D17" s="103">
        <v>1</v>
      </c>
      <c r="E17" s="103">
        <v>0.40184493187990666</v>
      </c>
      <c r="F17" s="103">
        <v>0.15995491314897739</v>
      </c>
      <c r="G17" s="103">
        <v>0.22929517705453259</v>
      </c>
      <c r="H17" s="103">
        <v>0.19507786729221233</v>
      </c>
      <c r="I17" s="103">
        <v>0.16837381667341061</v>
      </c>
      <c r="J17" s="103">
        <v>-0.15009143517827533</v>
      </c>
      <c r="K17" s="103">
        <v>1.594568878094979E-2</v>
      </c>
      <c r="L17" s="103">
        <v>9.2804132198836861E-2</v>
      </c>
      <c r="M17" s="104">
        <v>-0.308333008412082</v>
      </c>
      <c r="O17" s="159">
        <f>(B17-$B$17)/C17</f>
        <v>0</v>
      </c>
    </row>
    <row r="18" spans="1:15">
      <c r="A18" s="14" t="str">
        <f t="shared" ref="A18:A26" si="2">A5</f>
        <v>Reele VPV</v>
      </c>
      <c r="B18" s="101">
        <v>0.01</v>
      </c>
      <c r="C18" s="16">
        <v>9.4624013099432344E-2</v>
      </c>
      <c r="D18" s="103">
        <v>0.40184493187990666</v>
      </c>
      <c r="E18" s="103">
        <v>1</v>
      </c>
      <c r="F18" s="103">
        <v>7.3024739776951592E-2</v>
      </c>
      <c r="G18" s="103">
        <v>0.24957100429948684</v>
      </c>
      <c r="H18" s="103">
        <v>5.6302424381776899E-2</v>
      </c>
      <c r="I18" s="103">
        <v>0.18010007650590723</v>
      </c>
      <c r="J18" s="103">
        <v>4.1123402230865011E-2</v>
      </c>
      <c r="K18" s="103">
        <v>-5.8456513256369011E-2</v>
      </c>
      <c r="L18" s="103">
        <v>-6.3554935599409113E-2</v>
      </c>
      <c r="M18" s="104">
        <v>6.4440977839142308E-2</v>
      </c>
      <c r="N18" s="28">
        <f>B18-$B$17</f>
        <v>-1.5000000000000001E-2</v>
      </c>
      <c r="O18" s="159">
        <f t="shared" ref="O18:O25" si="3">(B18-$B$17)/C18</f>
        <v>-0.15852212888326533</v>
      </c>
    </row>
    <row r="19" spans="1:15">
      <c r="A19" s="14" t="str">
        <f t="shared" si="2"/>
        <v>Credits</v>
      </c>
      <c r="B19" s="101">
        <v>3.438327075885747E-3</v>
      </c>
      <c r="C19" s="16">
        <v>0.14243405169975157</v>
      </c>
      <c r="D19" s="103">
        <v>0.15995491314897739</v>
      </c>
      <c r="E19" s="103">
        <v>7.3024739776951592E-2</v>
      </c>
      <c r="F19" s="103">
        <v>1</v>
      </c>
      <c r="G19" s="103">
        <v>0.17194053611607119</v>
      </c>
      <c r="H19" s="103">
        <v>-0.17859422647025461</v>
      </c>
      <c r="I19" s="103">
        <v>-7.1320265582970346E-2</v>
      </c>
      <c r="J19" s="103">
        <v>-1.4259094177622125E-2</v>
      </c>
      <c r="K19" s="103">
        <v>-0.1766513125413037</v>
      </c>
      <c r="L19" s="103">
        <v>-0.33668810515977632</v>
      </c>
      <c r="M19" s="104">
        <v>-9.8135968127318784E-2</v>
      </c>
      <c r="N19" s="28">
        <f t="shared" ref="N19:N26" si="4">B19-$B$17</f>
        <v>-2.1561672924114254E-2</v>
      </c>
      <c r="O19" s="159">
        <f t="shared" si="3"/>
        <v>-0.15138004337309646</v>
      </c>
    </row>
    <row r="20" spans="1:15">
      <c r="A20" s="14" t="str">
        <f t="shared" si="2"/>
        <v>High Yield</v>
      </c>
      <c r="B20" s="101">
        <v>5.5E-2</v>
      </c>
      <c r="C20" s="16">
        <v>0.13468309234470341</v>
      </c>
      <c r="D20" s="103">
        <v>0.22929517705453259</v>
      </c>
      <c r="E20" s="103">
        <v>0.24957100429948684</v>
      </c>
      <c r="F20" s="103">
        <v>0.17194053611607119</v>
      </c>
      <c r="G20" s="103">
        <v>1</v>
      </c>
      <c r="H20" s="103">
        <v>0.54288138044111167</v>
      </c>
      <c r="I20" s="103">
        <v>0.5078087733991733</v>
      </c>
      <c r="J20" s="103">
        <v>0.5465051373612908</v>
      </c>
      <c r="K20" s="103">
        <v>0.39030841210385248</v>
      </c>
      <c r="L20" s="103">
        <v>-0.3914696516863625</v>
      </c>
      <c r="M20" s="104">
        <v>-0.17500430525050642</v>
      </c>
      <c r="N20" s="28">
        <f t="shared" si="4"/>
        <v>0.03</v>
      </c>
      <c r="O20" s="159">
        <f t="shared" si="3"/>
        <v>0.22274510837053696</v>
      </c>
    </row>
    <row r="21" spans="1:15">
      <c r="A21" s="14" t="str">
        <f t="shared" si="2"/>
        <v>Emerging market debt</v>
      </c>
      <c r="B21" s="101">
        <v>0.05</v>
      </c>
      <c r="C21" s="16">
        <v>0.1385692923441946</v>
      </c>
      <c r="D21" s="103">
        <v>0.19507786729221233</v>
      </c>
      <c r="E21" s="103">
        <v>5.6302424381776899E-2</v>
      </c>
      <c r="F21" s="103">
        <v>-0.17859422647025461</v>
      </c>
      <c r="G21" s="103">
        <v>0.54288138044111167</v>
      </c>
      <c r="H21" s="103">
        <v>1</v>
      </c>
      <c r="I21" s="103">
        <v>0.3510898885613386</v>
      </c>
      <c r="J21" s="103">
        <v>0.4594817725283748</v>
      </c>
      <c r="K21" s="103">
        <v>0.77810700823304912</v>
      </c>
      <c r="L21" s="103">
        <v>0.15682167520299556</v>
      </c>
      <c r="M21" s="104">
        <v>0.35743556383193953</v>
      </c>
      <c r="N21" s="28">
        <f t="shared" si="4"/>
        <v>2.5000000000000001E-2</v>
      </c>
      <c r="O21" s="159">
        <f t="shared" si="3"/>
        <v>0.18041515242714873</v>
      </c>
    </row>
    <row r="22" spans="1:15">
      <c r="A22" s="14" t="str">
        <f t="shared" si="2"/>
        <v>Aandelen ontwikkeld</v>
      </c>
      <c r="B22" s="101">
        <v>0.05</v>
      </c>
      <c r="C22" s="16">
        <v>0.15673968020583798</v>
      </c>
      <c r="D22" s="103">
        <v>0.16837381667341061</v>
      </c>
      <c r="E22" s="103">
        <v>0.18010007650590723</v>
      </c>
      <c r="F22" s="103">
        <v>-7.1320265582970346E-2</v>
      </c>
      <c r="G22" s="103">
        <v>0.5078087733991733</v>
      </c>
      <c r="H22" s="103">
        <v>0.3510898885613386</v>
      </c>
      <c r="I22" s="103">
        <v>1</v>
      </c>
      <c r="J22" s="103">
        <v>0.61858982897877646</v>
      </c>
      <c r="K22" s="103">
        <v>0.50777142759053995</v>
      </c>
      <c r="L22" s="103">
        <v>-7.8578760166313544E-2</v>
      </c>
      <c r="M22" s="104">
        <v>-4.0376254375290466E-2</v>
      </c>
      <c r="N22" s="28">
        <f t="shared" si="4"/>
        <v>2.5000000000000001E-2</v>
      </c>
      <c r="O22" s="159">
        <f t="shared" si="3"/>
        <v>0.15950013402584984</v>
      </c>
    </row>
    <row r="23" spans="1:15">
      <c r="A23" s="14" t="str">
        <f t="shared" si="2"/>
        <v>Aandelen opkomend</v>
      </c>
      <c r="B23" s="101">
        <v>7.6561672924114338E-2</v>
      </c>
      <c r="C23" s="16">
        <v>0.29249727755342519</v>
      </c>
      <c r="D23" s="103">
        <v>-0.15009143517827533</v>
      </c>
      <c r="E23" s="103">
        <v>4.1123402230865011E-2</v>
      </c>
      <c r="F23" s="103">
        <v>-1.4259094177622125E-2</v>
      </c>
      <c r="G23" s="103">
        <v>0.5465051373612908</v>
      </c>
      <c r="H23" s="103">
        <v>0.4594817725283748</v>
      </c>
      <c r="I23" s="103">
        <v>0.61858982897877646</v>
      </c>
      <c r="J23" s="103">
        <v>1</v>
      </c>
      <c r="K23" s="103">
        <v>0.40064289085686372</v>
      </c>
      <c r="L23" s="103">
        <v>-0.37740016820046274</v>
      </c>
      <c r="M23" s="104">
        <v>8.3149177388175177E-2</v>
      </c>
      <c r="N23" s="28">
        <f t="shared" si="4"/>
        <v>5.1561672924114337E-2</v>
      </c>
      <c r="O23" s="159">
        <f t="shared" si="3"/>
        <v>0.17628086440803367</v>
      </c>
    </row>
    <row r="24" spans="1:15">
      <c r="A24" s="14" t="str">
        <f t="shared" si="2"/>
        <v>Hedge funds</v>
      </c>
      <c r="B24" s="101">
        <v>4.8635067781966627E-2</v>
      </c>
      <c r="C24" s="16">
        <v>0.12252249323644464</v>
      </c>
      <c r="D24" s="103">
        <v>1.594568878094979E-2</v>
      </c>
      <c r="E24" s="103">
        <v>-5.8456513256369011E-2</v>
      </c>
      <c r="F24" s="103">
        <v>-0.1766513125413037</v>
      </c>
      <c r="G24" s="103">
        <v>0.39030841210385248</v>
      </c>
      <c r="H24" s="103">
        <v>0.77810700823304912</v>
      </c>
      <c r="I24" s="103">
        <v>0.50777142759053995</v>
      </c>
      <c r="J24" s="103">
        <v>0.40064289085686372</v>
      </c>
      <c r="K24" s="103">
        <v>1</v>
      </c>
      <c r="L24" s="103">
        <v>0.38529743993952209</v>
      </c>
      <c r="M24" s="104">
        <v>0.21824090572982063</v>
      </c>
      <c r="N24" s="28">
        <f t="shared" si="4"/>
        <v>2.3635067781966626E-2</v>
      </c>
      <c r="O24" s="159">
        <f>(B24-$B$17)/C24</f>
        <v>0.19290390815305669</v>
      </c>
    </row>
    <row r="25" spans="1:15">
      <c r="A25" s="14" t="str">
        <f t="shared" si="2"/>
        <v>Onroerend goed</v>
      </c>
      <c r="B25" s="101">
        <v>2.5000000000000001E-2</v>
      </c>
      <c r="C25" s="16">
        <v>3.967265770589553E-2</v>
      </c>
      <c r="D25" s="103">
        <v>9.2804132198836861E-2</v>
      </c>
      <c r="E25" s="103">
        <v>-6.3554935599409113E-2</v>
      </c>
      <c r="F25" s="103">
        <v>-0.33668810515977632</v>
      </c>
      <c r="G25" s="103">
        <v>-0.3914696516863625</v>
      </c>
      <c r="H25" s="103">
        <v>0.15682167520299556</v>
      </c>
      <c r="I25" s="103">
        <v>-7.8578760166313544E-2</v>
      </c>
      <c r="J25" s="103">
        <v>-0.37740016820046274</v>
      </c>
      <c r="K25" s="103">
        <v>0.38529743993952209</v>
      </c>
      <c r="L25" s="103">
        <v>1</v>
      </c>
      <c r="M25" s="104">
        <v>9.7062485763145523E-2</v>
      </c>
      <c r="N25" s="28">
        <f t="shared" si="4"/>
        <v>0</v>
      </c>
      <c r="O25" s="159">
        <f t="shared" si="3"/>
        <v>0</v>
      </c>
    </row>
    <row r="26" spans="1:15">
      <c r="A26" s="15" t="str">
        <f t="shared" si="2"/>
        <v>Commodities</v>
      </c>
      <c r="B26" s="105">
        <v>1.0977052013787902E-2</v>
      </c>
      <c r="C26" s="100">
        <v>0.23090107803263141</v>
      </c>
      <c r="D26" s="106">
        <v>-0.308333008412082</v>
      </c>
      <c r="E26" s="106">
        <v>6.4440977839142308E-2</v>
      </c>
      <c r="F26" s="106">
        <v>-9.8135968127318784E-2</v>
      </c>
      <c r="G26" s="106">
        <v>-0.17500430525050642</v>
      </c>
      <c r="H26" s="106">
        <v>0.35743556383193953</v>
      </c>
      <c r="I26" s="106">
        <v>-4.0376254375290466E-2</v>
      </c>
      <c r="J26" s="106">
        <v>8.3149177388175177E-2</v>
      </c>
      <c r="K26" s="106">
        <v>0.21824090572982063</v>
      </c>
      <c r="L26" s="106">
        <v>9.7062485763145523E-2</v>
      </c>
      <c r="M26" s="107">
        <v>1</v>
      </c>
      <c r="N26" s="28">
        <f t="shared" si="4"/>
        <v>-1.4022947986212099E-2</v>
      </c>
      <c r="O26" s="159">
        <f>(B26-$B$17)/C26</f>
        <v>-6.0731409769469967E-2</v>
      </c>
    </row>
    <row r="27" spans="1:15">
      <c r="A27" s="22"/>
      <c r="B27" s="101"/>
      <c r="C27" s="101"/>
      <c r="D27" s="103"/>
      <c r="E27" s="103"/>
      <c r="F27" s="103"/>
      <c r="G27" s="103"/>
      <c r="H27" s="103"/>
      <c r="I27" s="103"/>
      <c r="J27" s="103"/>
      <c r="K27" s="103"/>
      <c r="L27" s="103"/>
      <c r="M27" s="103"/>
    </row>
    <row r="29" spans="1:15">
      <c r="A29" s="108" t="str">
        <f>Parameters!A42</f>
        <v>Inflatie is een fiscaal verschijnsel</v>
      </c>
      <c r="B29" s="109" t="s">
        <v>116</v>
      </c>
      <c r="C29" s="17" t="s">
        <v>117</v>
      </c>
      <c r="D29" s="109" t="s">
        <v>118</v>
      </c>
      <c r="E29" s="109" t="s">
        <v>119</v>
      </c>
      <c r="F29" s="110" t="s">
        <v>73</v>
      </c>
      <c r="G29" s="109" t="s">
        <v>120</v>
      </c>
      <c r="H29" s="109" t="s">
        <v>0</v>
      </c>
      <c r="I29" s="109" t="s">
        <v>121</v>
      </c>
      <c r="J29" s="109" t="s">
        <v>122</v>
      </c>
      <c r="K29" s="109" t="s">
        <v>123</v>
      </c>
      <c r="L29" s="109" t="s">
        <v>1</v>
      </c>
      <c r="M29" s="8" t="s">
        <v>124</v>
      </c>
    </row>
    <row r="30" spans="1:15">
      <c r="A30" s="14" t="str">
        <f>A17</f>
        <v>Nominale VPV</v>
      </c>
      <c r="B30" s="101">
        <v>-0.1</v>
      </c>
      <c r="C30" s="16">
        <v>8.6979477341329908E-2</v>
      </c>
      <c r="D30" s="103">
        <v>1</v>
      </c>
      <c r="E30" s="103">
        <v>0.44647787881945766</v>
      </c>
      <c r="F30" s="103">
        <v>0.12476371362076351</v>
      </c>
      <c r="G30" s="103">
        <v>0.39473896463521979</v>
      </c>
      <c r="H30" s="103">
        <v>0.14329164688661464</v>
      </c>
      <c r="I30" s="103">
        <v>0.31280893869431281</v>
      </c>
      <c r="J30" s="103">
        <v>-5.3639971431398842E-2</v>
      </c>
      <c r="K30" s="103">
        <v>-4.5375987461387546E-2</v>
      </c>
      <c r="L30" s="103">
        <v>1.8874630580668544E-2</v>
      </c>
      <c r="M30" s="104">
        <v>-0.43049903922919336</v>
      </c>
      <c r="O30" s="159">
        <f>(B30-$B$30)/C30</f>
        <v>0</v>
      </c>
    </row>
    <row r="31" spans="1:15">
      <c r="A31" s="14" t="str">
        <f t="shared" ref="A31:A39" si="5">A18</f>
        <v>Reele VPV</v>
      </c>
      <c r="B31" s="101">
        <v>-2.4286128663675299E-17</v>
      </c>
      <c r="C31" s="16">
        <v>0.10896841546298597</v>
      </c>
      <c r="D31" s="103">
        <v>0.44647787881945766</v>
      </c>
      <c r="E31" s="103">
        <v>1</v>
      </c>
      <c r="F31" s="103">
        <v>8.4321923207799868E-2</v>
      </c>
      <c r="G31" s="103">
        <v>0.30748879816953062</v>
      </c>
      <c r="H31" s="103">
        <v>-1.3783474196812105E-2</v>
      </c>
      <c r="I31" s="103">
        <v>0.30597926550447924</v>
      </c>
      <c r="J31" s="103">
        <v>0.14739566742264482</v>
      </c>
      <c r="K31" s="103">
        <v>-0.1294232882487544</v>
      </c>
      <c r="L31" s="103">
        <v>-0.12641717828044782</v>
      </c>
      <c r="M31" s="104">
        <v>-1.952689911777282E-2</v>
      </c>
      <c r="O31" s="159">
        <f t="shared" ref="O31:O39" si="6">(B31-$B$30)/C31</f>
        <v>0.91769711044360047</v>
      </c>
    </row>
    <row r="32" spans="1:15">
      <c r="A32" s="14" t="str">
        <f t="shared" si="5"/>
        <v>Credits</v>
      </c>
      <c r="B32" s="101">
        <v>-6.2499999999999944E-2</v>
      </c>
      <c r="C32" s="16">
        <v>0.13990559436256109</v>
      </c>
      <c r="D32" s="103">
        <v>0.12476371362076351</v>
      </c>
      <c r="E32" s="103">
        <v>8.4321923207799868E-2</v>
      </c>
      <c r="F32" s="103">
        <v>1</v>
      </c>
      <c r="G32" s="103">
        <v>0.18030730071459058</v>
      </c>
      <c r="H32" s="103">
        <v>-0.25418969179515066</v>
      </c>
      <c r="I32" s="103">
        <v>-7.9795858053289384E-2</v>
      </c>
      <c r="J32" s="103">
        <v>-1.1299149052951601E-2</v>
      </c>
      <c r="K32" s="103">
        <v>-0.17485249114463275</v>
      </c>
      <c r="L32" s="103">
        <v>-0.28831149244548265</v>
      </c>
      <c r="M32" s="104">
        <v>-0.11650578645633478</v>
      </c>
      <c r="O32" s="159">
        <f t="shared" si="6"/>
        <v>0.26803788776894766</v>
      </c>
    </row>
    <row r="33" spans="1:15">
      <c r="A33" s="14" t="str">
        <f t="shared" si="5"/>
        <v>High Yield</v>
      </c>
      <c r="B33" s="101">
        <v>-6.8503612619949167E-2</v>
      </c>
      <c r="C33" s="16">
        <v>0.11885134697059349</v>
      </c>
      <c r="D33" s="103">
        <v>0.39473896463521979</v>
      </c>
      <c r="E33" s="103">
        <v>0.30748879816953062</v>
      </c>
      <c r="F33" s="103">
        <v>0.18030730071459058</v>
      </c>
      <c r="G33" s="103">
        <v>1</v>
      </c>
      <c r="H33" s="103">
        <v>0.46323608157717838</v>
      </c>
      <c r="I33" s="103">
        <v>0.59241684043745912</v>
      </c>
      <c r="J33" s="103">
        <v>0.53403538944587015</v>
      </c>
      <c r="K33" s="103">
        <v>0.24598097465652494</v>
      </c>
      <c r="L33" s="103">
        <v>-0.36278809960119057</v>
      </c>
      <c r="M33" s="104">
        <v>-0.24556869352982991</v>
      </c>
      <c r="O33" s="159">
        <f t="shared" si="6"/>
        <v>0.26500656646191612</v>
      </c>
    </row>
    <row r="34" spans="1:15">
      <c r="A34" s="14" t="str">
        <f t="shared" si="5"/>
        <v>Emerging market debt</v>
      </c>
      <c r="B34" s="101">
        <v>-1.8471737037219188E-2</v>
      </c>
      <c r="C34" s="16">
        <v>0.13434300064166035</v>
      </c>
      <c r="D34" s="103">
        <v>0.14329164688661464</v>
      </c>
      <c r="E34" s="103">
        <v>-1.3783474196812105E-2</v>
      </c>
      <c r="F34" s="103">
        <v>-0.25418969179515066</v>
      </c>
      <c r="G34" s="103">
        <v>0.46323608157717838</v>
      </c>
      <c r="H34" s="103">
        <v>1</v>
      </c>
      <c r="I34" s="103">
        <v>0.34598071876438846</v>
      </c>
      <c r="J34" s="103">
        <v>0.35502532656296076</v>
      </c>
      <c r="K34" s="103">
        <v>0.79192802286367414</v>
      </c>
      <c r="L34" s="103">
        <v>0.31095692213611359</v>
      </c>
      <c r="M34" s="104">
        <v>0.39954142389203889</v>
      </c>
      <c r="O34" s="159">
        <f t="shared" si="6"/>
        <v>0.60686647293404694</v>
      </c>
    </row>
    <row r="35" spans="1:15">
      <c r="A35" s="14" t="str">
        <f t="shared" si="5"/>
        <v>Aandelen ontwikkeld</v>
      </c>
      <c r="B35" s="101">
        <v>1.6653345369377348E-16</v>
      </c>
      <c r="C35" s="16">
        <v>0.15931815029652449</v>
      </c>
      <c r="D35" s="103">
        <v>0.31280893869431281</v>
      </c>
      <c r="E35" s="103">
        <v>0.30597926550447924</v>
      </c>
      <c r="F35" s="103">
        <v>-7.9795858053289384E-2</v>
      </c>
      <c r="G35" s="103">
        <v>0.59241684043745912</v>
      </c>
      <c r="H35" s="103">
        <v>0.34598071876438846</v>
      </c>
      <c r="I35" s="103">
        <v>1</v>
      </c>
      <c r="J35" s="103">
        <v>0.68294735384272309</v>
      </c>
      <c r="K35" s="103">
        <v>0.38647228003265582</v>
      </c>
      <c r="L35" s="103">
        <v>-9.8153053151787711E-2</v>
      </c>
      <c r="M35" s="104">
        <v>-9.0759698221048582E-2</v>
      </c>
      <c r="O35" s="159">
        <f t="shared" si="6"/>
        <v>0.62767487454429516</v>
      </c>
    </row>
    <row r="36" spans="1:15">
      <c r="A36" s="14" t="str">
        <f t="shared" si="5"/>
        <v>Aandelen opkomend</v>
      </c>
      <c r="B36" s="101">
        <v>2.1561672924114386E-2</v>
      </c>
      <c r="C36" s="16">
        <v>0.16249727755342519</v>
      </c>
      <c r="D36" s="103">
        <v>-5.3639971431398842E-2</v>
      </c>
      <c r="E36" s="103">
        <v>0.14739566742264482</v>
      </c>
      <c r="F36" s="103">
        <v>-1.1299149052951601E-2</v>
      </c>
      <c r="G36" s="103">
        <v>0.53403538944587015</v>
      </c>
      <c r="H36" s="103">
        <v>0.35502532656296076</v>
      </c>
      <c r="I36" s="103">
        <v>0.68294735384272309</v>
      </c>
      <c r="J36" s="103">
        <v>1</v>
      </c>
      <c r="K36" s="103">
        <v>0.24318658795406575</v>
      </c>
      <c r="L36" s="103">
        <v>-0.40601872314925519</v>
      </c>
      <c r="M36" s="104">
        <v>8.458865882345884E-2</v>
      </c>
      <c r="O36" s="159">
        <f t="shared" si="6"/>
        <v>0.74808436642360265</v>
      </c>
    </row>
    <row r="37" spans="1:15">
      <c r="A37" s="14" t="str">
        <f t="shared" si="5"/>
        <v>Hedge funds</v>
      </c>
      <c r="B37" s="101">
        <v>-0.04</v>
      </c>
      <c r="C37" s="16">
        <v>5.7887490060103547E-2</v>
      </c>
      <c r="D37" s="103">
        <v>-4.5375987461387546E-2</v>
      </c>
      <c r="E37" s="103">
        <v>-0.1294232882487544</v>
      </c>
      <c r="F37" s="103">
        <v>-0.17485249114463275</v>
      </c>
      <c r="G37" s="103">
        <v>0.24598097465652494</v>
      </c>
      <c r="H37" s="103">
        <v>0.79192802286367414</v>
      </c>
      <c r="I37" s="103">
        <v>0.38647228003265582</v>
      </c>
      <c r="J37" s="103">
        <v>0.24318658795406575</v>
      </c>
      <c r="K37" s="103">
        <v>1</v>
      </c>
      <c r="L37" s="103">
        <v>0.58642803030365875</v>
      </c>
      <c r="M37" s="104">
        <v>0.34742936858442752</v>
      </c>
      <c r="O37" s="159">
        <f t="shared" si="6"/>
        <v>1.0364933759902715</v>
      </c>
    </row>
    <row r="38" spans="1:15">
      <c r="A38" s="14" t="str">
        <f t="shared" si="5"/>
        <v>Onroerend goed</v>
      </c>
      <c r="B38" s="101">
        <v>-5.2384837881295644E-2</v>
      </c>
      <c r="C38" s="16">
        <v>0.14976648454377967</v>
      </c>
      <c r="D38" s="103">
        <v>1.8874630580668544E-2</v>
      </c>
      <c r="E38" s="103">
        <v>-0.12641717828044782</v>
      </c>
      <c r="F38" s="103">
        <v>-0.28831149244548265</v>
      </c>
      <c r="G38" s="103">
        <v>-0.36278809960119057</v>
      </c>
      <c r="H38" s="103">
        <v>0.31095692213611359</v>
      </c>
      <c r="I38" s="103">
        <v>-9.8153053151787711E-2</v>
      </c>
      <c r="J38" s="103">
        <v>-0.40601872314925519</v>
      </c>
      <c r="K38" s="103">
        <v>0.58642803030365875</v>
      </c>
      <c r="L38" s="103">
        <v>1</v>
      </c>
      <c r="M38" s="104">
        <v>0.22312540192773261</v>
      </c>
      <c r="O38" s="159">
        <f t="shared" si="6"/>
        <v>0.31792935691687096</v>
      </c>
    </row>
    <row r="39" spans="1:15">
      <c r="A39" s="15" t="str">
        <f t="shared" si="5"/>
        <v>Commodities</v>
      </c>
      <c r="B39" s="105">
        <v>5.000000000000035E-2</v>
      </c>
      <c r="C39" s="100">
        <v>0.15247140962754982</v>
      </c>
      <c r="D39" s="106">
        <v>-0.43049903922919336</v>
      </c>
      <c r="E39" s="106">
        <v>-1.952689911777282E-2</v>
      </c>
      <c r="F39" s="106">
        <v>-0.11650578645633478</v>
      </c>
      <c r="G39" s="106">
        <v>-0.24556869352982991</v>
      </c>
      <c r="H39" s="106">
        <v>0.39954142389203889</v>
      </c>
      <c r="I39" s="106">
        <v>-9.0759698221048582E-2</v>
      </c>
      <c r="J39" s="106">
        <v>8.458865882345884E-2</v>
      </c>
      <c r="K39" s="106">
        <v>0.34742936858442752</v>
      </c>
      <c r="L39" s="106">
        <v>0.22312540192773261</v>
      </c>
      <c r="M39" s="107">
        <v>1</v>
      </c>
      <c r="O39" s="159">
        <f t="shared" si="6"/>
        <v>0.98379099640000367</v>
      </c>
    </row>
    <row r="40" spans="1:15">
      <c r="A40" s="22"/>
      <c r="B40" s="101"/>
      <c r="C40" s="101"/>
      <c r="D40" s="103"/>
      <c r="E40" s="103"/>
      <c r="F40" s="103"/>
      <c r="G40" s="103"/>
      <c r="H40" s="103"/>
      <c r="I40" s="103"/>
      <c r="J40" s="103"/>
      <c r="K40" s="103"/>
      <c r="L40" s="103"/>
      <c r="M40" s="103"/>
    </row>
    <row r="42" spans="1:15">
      <c r="A42" s="108" t="str">
        <f>Parameters!A43</f>
        <v>Vermogenseffect &amp; innovatie</v>
      </c>
      <c r="B42" s="109" t="s">
        <v>116</v>
      </c>
      <c r="C42" s="17" t="s">
        <v>117</v>
      </c>
      <c r="D42" s="109" t="s">
        <v>118</v>
      </c>
      <c r="E42" s="109" t="s">
        <v>119</v>
      </c>
      <c r="F42" s="110" t="s">
        <v>73</v>
      </c>
      <c r="G42" s="109" t="s">
        <v>120</v>
      </c>
      <c r="H42" s="109" t="s">
        <v>0</v>
      </c>
      <c r="I42" s="109" t="s">
        <v>121</v>
      </c>
      <c r="J42" s="109" t="s">
        <v>122</v>
      </c>
      <c r="K42" s="109" t="s">
        <v>123</v>
      </c>
      <c r="L42" s="109" t="s">
        <v>1</v>
      </c>
      <c r="M42" s="8" t="s">
        <v>124</v>
      </c>
    </row>
    <row r="43" spans="1:15">
      <c r="A43" s="14" t="str">
        <f>A17</f>
        <v>Nominale VPV</v>
      </c>
      <c r="B43" s="101">
        <v>-0.05</v>
      </c>
      <c r="C43" s="16">
        <v>8.3779626926755432E-2</v>
      </c>
      <c r="D43" s="103">
        <v>1</v>
      </c>
      <c r="E43" s="103">
        <v>0.36356395941164671</v>
      </c>
      <c r="F43" s="103">
        <v>0.19770591590777722</v>
      </c>
      <c r="G43" s="103">
        <v>0.23990617585831378</v>
      </c>
      <c r="H43" s="103">
        <v>-7.3357889322124489E-2</v>
      </c>
      <c r="I43" s="103">
        <v>7.7794040108081552E-2</v>
      </c>
      <c r="J43" s="103">
        <v>-0.29684548966761942</v>
      </c>
      <c r="K43" s="103">
        <v>-0.21164487982924918</v>
      </c>
      <c r="L43" s="103">
        <v>4.8029633528850771E-2</v>
      </c>
      <c r="M43" s="104">
        <v>-0.52530619108730725</v>
      </c>
      <c r="O43" s="159">
        <f>(B43-$B$43)/C43</f>
        <v>0</v>
      </c>
    </row>
    <row r="44" spans="1:15">
      <c r="A44" s="14" t="str">
        <f t="shared" ref="A44:A52" si="7">A18</f>
        <v>Reele VPV</v>
      </c>
      <c r="B44" s="101">
        <v>-0.05</v>
      </c>
      <c r="C44" s="16">
        <v>0.10342970304098825</v>
      </c>
      <c r="D44" s="103">
        <v>0.36356395941164671</v>
      </c>
      <c r="E44" s="103">
        <v>1</v>
      </c>
      <c r="F44" s="103">
        <v>9.5405718569428061E-2</v>
      </c>
      <c r="G44" s="103">
        <v>0.19061940988948001</v>
      </c>
      <c r="H44" s="103">
        <v>-0.11050815584965402</v>
      </c>
      <c r="I44" s="103">
        <v>9.8469115672903812E-2</v>
      </c>
      <c r="J44" s="103">
        <v>-5.9291804287521767E-2</v>
      </c>
      <c r="K44" s="103">
        <v>-0.17290430292907685</v>
      </c>
      <c r="L44" s="103">
        <v>-7.6193016480044728E-2</v>
      </c>
      <c r="M44" s="104">
        <v>-7.231060997995413E-2</v>
      </c>
      <c r="O44" s="159">
        <f t="shared" ref="O44:O52" si="8">(B44-$B$43)/C44</f>
        <v>0</v>
      </c>
    </row>
    <row r="45" spans="1:15">
      <c r="A45" s="14" t="str">
        <f t="shared" si="7"/>
        <v>Credits</v>
      </c>
      <c r="B45" s="101">
        <v>1.4999999999999999E-2</v>
      </c>
      <c r="C45" s="16">
        <v>0.14464718023748876</v>
      </c>
      <c r="D45" s="103">
        <v>0.19770591590777722</v>
      </c>
      <c r="E45" s="103">
        <v>9.5405718569428061E-2</v>
      </c>
      <c r="F45" s="103">
        <v>1</v>
      </c>
      <c r="G45" s="103">
        <v>0.1479964056276101</v>
      </c>
      <c r="H45" s="103">
        <v>-0.36557661407257697</v>
      </c>
      <c r="I45" s="103">
        <v>-0.17045076253006095</v>
      </c>
      <c r="J45" s="103">
        <v>-8.7743919276774857E-2</v>
      </c>
      <c r="K45" s="103">
        <v>-0.36495490011390636</v>
      </c>
      <c r="L45" s="103">
        <v>-0.35360460641933389</v>
      </c>
      <c r="M45" s="104">
        <v>-0.24298972993039863</v>
      </c>
      <c r="O45" s="159">
        <f t="shared" si="8"/>
        <v>0.44936928527248055</v>
      </c>
    </row>
    <row r="46" spans="1:15">
      <c r="A46" s="14" t="str">
        <f t="shared" si="7"/>
        <v>High Yield</v>
      </c>
      <c r="B46" s="101">
        <v>5.6496387380050521E-2</v>
      </c>
      <c r="C46" s="16">
        <v>9.6868617082165279E-2</v>
      </c>
      <c r="D46" s="103">
        <v>0.23990617585831378</v>
      </c>
      <c r="E46" s="103">
        <v>0.19061940988948001</v>
      </c>
      <c r="F46" s="103">
        <v>0.1479964056276101</v>
      </c>
      <c r="G46" s="103">
        <v>1</v>
      </c>
      <c r="H46" s="103">
        <v>0.47688188083944766</v>
      </c>
      <c r="I46" s="103">
        <v>0.51169443296997497</v>
      </c>
      <c r="J46" s="103">
        <v>0.45867964598849736</v>
      </c>
      <c r="K46" s="103">
        <v>0.27365985894328215</v>
      </c>
      <c r="L46" s="103">
        <v>-0.32590742577961268</v>
      </c>
      <c r="M46" s="104">
        <v>-9.8347371833026831E-2</v>
      </c>
      <c r="O46" s="159">
        <f t="shared" si="8"/>
        <v>1.0993899839585697</v>
      </c>
    </row>
    <row r="47" spans="1:15">
      <c r="A47" s="14" t="str">
        <f t="shared" si="7"/>
        <v>Emerging market debt</v>
      </c>
      <c r="B47" s="101">
        <v>5.0000000000000107E-2</v>
      </c>
      <c r="C47" s="16">
        <v>0.15026895203342447</v>
      </c>
      <c r="D47" s="103">
        <v>-7.3357889322124489E-2</v>
      </c>
      <c r="E47" s="103">
        <v>-0.11050815584965402</v>
      </c>
      <c r="F47" s="103">
        <v>-0.36557661407257697</v>
      </c>
      <c r="G47" s="103">
        <v>0.47688188083944766</v>
      </c>
      <c r="H47" s="103">
        <v>1</v>
      </c>
      <c r="I47" s="103">
        <v>0.37643358006730171</v>
      </c>
      <c r="J47" s="103">
        <v>0.46379705839414215</v>
      </c>
      <c r="K47" s="103">
        <v>0.81593638957185965</v>
      </c>
      <c r="L47" s="103">
        <v>0.28291144717511929</v>
      </c>
      <c r="M47" s="104">
        <v>0.56233375311892753</v>
      </c>
      <c r="O47" s="159">
        <f t="shared" si="8"/>
        <v>0.66547346372494176</v>
      </c>
    </row>
    <row r="48" spans="1:15">
      <c r="A48" s="14" t="str">
        <f t="shared" si="7"/>
        <v>Aandelen ontwikkeld</v>
      </c>
      <c r="B48" s="101">
        <v>0.2</v>
      </c>
      <c r="C48" s="16">
        <v>0.14251402915289357</v>
      </c>
      <c r="D48" s="103">
        <v>7.7794040108081552E-2</v>
      </c>
      <c r="E48" s="103">
        <v>9.8469115672903812E-2</v>
      </c>
      <c r="F48" s="103">
        <v>-0.17045076253006095</v>
      </c>
      <c r="G48" s="103">
        <v>0.51169443296997497</v>
      </c>
      <c r="H48" s="103">
        <v>0.37643358006730171</v>
      </c>
      <c r="I48" s="103">
        <v>1</v>
      </c>
      <c r="J48" s="103">
        <v>0.62822954207202264</v>
      </c>
      <c r="K48" s="103">
        <v>0.49908101780768988</v>
      </c>
      <c r="L48" s="103">
        <v>5.3578754416141371E-2</v>
      </c>
      <c r="M48" s="104">
        <v>8.3702336951742631E-2</v>
      </c>
      <c r="O48" s="159">
        <f t="shared" si="8"/>
        <v>1.7542132622732325</v>
      </c>
    </row>
    <row r="49" spans="1:15">
      <c r="A49" s="14" t="str">
        <f t="shared" si="7"/>
        <v>Aandelen opkomend</v>
      </c>
      <c r="B49" s="101">
        <v>0.36156167292411406</v>
      </c>
      <c r="C49" s="16">
        <v>0.24249727755342518</v>
      </c>
      <c r="D49" s="103">
        <v>-0.29684548966761942</v>
      </c>
      <c r="E49" s="103">
        <v>-5.9291804287521767E-2</v>
      </c>
      <c r="F49" s="103">
        <v>-8.7743919276774857E-2</v>
      </c>
      <c r="G49" s="103">
        <v>0.45867964598849736</v>
      </c>
      <c r="H49" s="103">
        <v>0.46379705839414215</v>
      </c>
      <c r="I49" s="103">
        <v>0.62822954207202264</v>
      </c>
      <c r="J49" s="103">
        <v>1</v>
      </c>
      <c r="K49" s="103">
        <v>0.36516938170439023</v>
      </c>
      <c r="L49" s="103">
        <v>-0.30245086529985321</v>
      </c>
      <c r="M49" s="104">
        <v>0.35454741481854263</v>
      </c>
      <c r="O49" s="159">
        <f t="shared" si="8"/>
        <v>1.6971805913715541</v>
      </c>
    </row>
    <row r="50" spans="1:15">
      <c r="A50" s="14" t="str">
        <f t="shared" si="7"/>
        <v>Hedge funds</v>
      </c>
      <c r="B50" s="101">
        <v>5.9999999999999949E-2</v>
      </c>
      <c r="C50" s="16">
        <v>6.2837843277635516E-2</v>
      </c>
      <c r="D50" s="103">
        <v>-0.21164487982924918</v>
      </c>
      <c r="E50" s="103">
        <v>-0.17290430292907685</v>
      </c>
      <c r="F50" s="103">
        <v>-0.36495490011390636</v>
      </c>
      <c r="G50" s="103">
        <v>0.27365985894328215</v>
      </c>
      <c r="H50" s="103">
        <v>0.81593638957185965</v>
      </c>
      <c r="I50" s="103">
        <v>0.49908101780768988</v>
      </c>
      <c r="J50" s="103">
        <v>0.36516938170439023</v>
      </c>
      <c r="K50" s="103">
        <v>1</v>
      </c>
      <c r="L50" s="103">
        <v>0.56468307579523147</v>
      </c>
      <c r="M50" s="104">
        <v>0.47753191031129466</v>
      </c>
      <c r="O50" s="159">
        <f t="shared" si="8"/>
        <v>1.7505374828666316</v>
      </c>
    </row>
    <row r="51" spans="1:15">
      <c r="A51" s="14" t="str">
        <f t="shared" si="7"/>
        <v>Onroerend goed</v>
      </c>
      <c r="B51" s="101">
        <v>0.1</v>
      </c>
      <c r="C51" s="16">
        <v>0.14976648454377967</v>
      </c>
      <c r="D51" s="103">
        <v>4.8029633528850771E-2</v>
      </c>
      <c r="E51" s="103">
        <v>-7.6193016480044728E-2</v>
      </c>
      <c r="F51" s="103">
        <v>-0.35360460641933389</v>
      </c>
      <c r="G51" s="103">
        <v>-0.32590742577961268</v>
      </c>
      <c r="H51" s="103">
        <v>0.28291144717511929</v>
      </c>
      <c r="I51" s="103">
        <v>5.3578754416141371E-2</v>
      </c>
      <c r="J51" s="103">
        <v>-0.30245086529985321</v>
      </c>
      <c r="K51" s="103">
        <v>0.56468307579523147</v>
      </c>
      <c r="L51" s="103">
        <v>1</v>
      </c>
      <c r="M51" s="104">
        <v>0.16211672067234237</v>
      </c>
      <c r="O51" s="159">
        <f t="shared" si="8"/>
        <v>1.0015591970188236</v>
      </c>
    </row>
    <row r="52" spans="1:15">
      <c r="A52" s="15" t="str">
        <f t="shared" si="7"/>
        <v>Commodities</v>
      </c>
      <c r="B52" s="105">
        <v>0.3</v>
      </c>
      <c r="C52" s="100">
        <v>0.2364114899348054</v>
      </c>
      <c r="D52" s="106">
        <v>-0.52530619108730725</v>
      </c>
      <c r="E52" s="106">
        <v>-7.231060997995413E-2</v>
      </c>
      <c r="F52" s="106">
        <v>-0.24298972993039863</v>
      </c>
      <c r="G52" s="106">
        <v>-9.8347371833026831E-2</v>
      </c>
      <c r="H52" s="106">
        <v>0.56233375311892753</v>
      </c>
      <c r="I52" s="106">
        <v>8.3702336951742631E-2</v>
      </c>
      <c r="J52" s="106">
        <v>0.35454741481854263</v>
      </c>
      <c r="K52" s="106">
        <v>0.47753191031129466</v>
      </c>
      <c r="L52" s="106">
        <v>0.16211672067234237</v>
      </c>
      <c r="M52" s="107">
        <v>1</v>
      </c>
      <c r="O52" s="159">
        <f t="shared" si="8"/>
        <v>1.4804694987393319</v>
      </c>
    </row>
    <row r="53" spans="1:15">
      <c r="A53" s="22"/>
      <c r="B53" s="101"/>
      <c r="C53" s="101"/>
      <c r="D53" s="103"/>
      <c r="E53" s="103"/>
      <c r="F53" s="103"/>
      <c r="G53" s="103"/>
      <c r="H53" s="103"/>
      <c r="I53" s="103"/>
      <c r="J53" s="103"/>
      <c r="K53" s="103"/>
      <c r="L53" s="103"/>
      <c r="M53" s="103"/>
    </row>
    <row r="55" spans="1:15">
      <c r="A55" s="108" t="str">
        <f>Parameters!A27</f>
        <v>Schuld deflatie</v>
      </c>
      <c r="B55" s="109" t="s">
        <v>116</v>
      </c>
      <c r="C55" s="17" t="s">
        <v>117</v>
      </c>
      <c r="D55" s="109" t="s">
        <v>118</v>
      </c>
      <c r="E55" s="109" t="s">
        <v>119</v>
      </c>
      <c r="F55" s="110" t="s">
        <v>73</v>
      </c>
      <c r="G55" s="109" t="s">
        <v>120</v>
      </c>
      <c r="H55" s="109" t="s">
        <v>0</v>
      </c>
      <c r="I55" s="109" t="s">
        <v>121</v>
      </c>
      <c r="J55" s="109" t="s">
        <v>122</v>
      </c>
      <c r="K55" s="109" t="s">
        <v>123</v>
      </c>
      <c r="L55" s="109" t="s">
        <v>1</v>
      </c>
      <c r="M55" s="8" t="s">
        <v>124</v>
      </c>
    </row>
    <row r="56" spans="1:15">
      <c r="A56" s="14" t="str">
        <f>A43</f>
        <v>Nominale VPV</v>
      </c>
      <c r="B56" s="101">
        <v>0.1</v>
      </c>
      <c r="C56" s="16">
        <v>6.278198487999638E-2</v>
      </c>
      <c r="D56" s="103">
        <v>1</v>
      </c>
      <c r="E56" s="103">
        <v>9.9877491908342997E-2</v>
      </c>
      <c r="F56" s="103">
        <v>-0.35100218238506325</v>
      </c>
      <c r="G56" s="103">
        <v>-0.56332882643715232</v>
      </c>
      <c r="H56" s="103">
        <v>-0.30712689971531354</v>
      </c>
      <c r="I56" s="103">
        <v>-0.51444293528865725</v>
      </c>
      <c r="J56" s="103">
        <v>-0.62106428918392464</v>
      </c>
      <c r="K56" s="103">
        <v>-0.56947078770384896</v>
      </c>
      <c r="L56" s="103">
        <v>-0.31725862660871451</v>
      </c>
      <c r="M56" s="104">
        <v>-0.49058561691839803</v>
      </c>
      <c r="O56" s="159">
        <f>(B56-$B$56)/C56</f>
        <v>0</v>
      </c>
    </row>
    <row r="57" spans="1:15">
      <c r="A57" s="14" t="str">
        <f t="shared" ref="A57:A65" si="9">A44</f>
        <v>Reele VPV</v>
      </c>
      <c r="B57" s="101">
        <v>-1.3877787807814457E-17</v>
      </c>
      <c r="C57" s="16">
        <v>4.7617637708429375E-2</v>
      </c>
      <c r="D57" s="103">
        <v>9.9877491908342997E-2</v>
      </c>
      <c r="E57" s="103">
        <v>1</v>
      </c>
      <c r="F57" s="103">
        <v>-0.50763892868524696</v>
      </c>
      <c r="G57" s="103">
        <v>-0.38157631581869511</v>
      </c>
      <c r="H57" s="103">
        <v>-0.46484244214113157</v>
      </c>
      <c r="I57" s="103">
        <v>-0.43378053187871835</v>
      </c>
      <c r="J57" s="103">
        <v>-0.36679003495309848</v>
      </c>
      <c r="K57" s="103">
        <v>-0.45878156897895211</v>
      </c>
      <c r="L57" s="103">
        <v>-0.25453357613757527</v>
      </c>
      <c r="M57" s="104">
        <v>-0.4316186755007369</v>
      </c>
      <c r="O57" s="159">
        <f t="shared" ref="O57:O65" si="10">(B57-$B$56)/C57</f>
        <v>-2.1000621788992655</v>
      </c>
    </row>
    <row r="58" spans="1:15">
      <c r="A58" s="14" t="str">
        <f t="shared" si="9"/>
        <v>Credits</v>
      </c>
      <c r="B58" s="101">
        <v>6.9388939039072284E-18</v>
      </c>
      <c r="C58" s="16">
        <v>0.10041038567587704</v>
      </c>
      <c r="D58" s="103">
        <v>-0.35100218238506325</v>
      </c>
      <c r="E58" s="103">
        <v>-0.50763892868524696</v>
      </c>
      <c r="F58" s="103">
        <v>1</v>
      </c>
      <c r="G58" s="103">
        <v>0.83457817860033645</v>
      </c>
      <c r="H58" s="103">
        <v>0.87409116616389027</v>
      </c>
      <c r="I58" s="103">
        <v>0.88606607622819966</v>
      </c>
      <c r="J58" s="103">
        <v>0.82459036474353009</v>
      </c>
      <c r="K58" s="103">
        <v>0.89744839036297208</v>
      </c>
      <c r="L58" s="103">
        <v>0.50108032792987411</v>
      </c>
      <c r="M58" s="104">
        <v>0.89585653852424796</v>
      </c>
      <c r="O58" s="159">
        <f t="shared" si="10"/>
        <v>-0.99591291604832843</v>
      </c>
    </row>
    <row r="59" spans="1:15">
      <c r="A59" s="14" t="str">
        <f t="shared" si="9"/>
        <v>High Yield</v>
      </c>
      <c r="B59" s="101">
        <v>-9.9999999999999797E-2</v>
      </c>
      <c r="C59" s="16">
        <v>0.2218667877383276</v>
      </c>
      <c r="D59" s="103">
        <v>-0.56332882643715232</v>
      </c>
      <c r="E59" s="103">
        <v>-0.38157631581869511</v>
      </c>
      <c r="F59" s="103">
        <v>0.83457817860033645</v>
      </c>
      <c r="G59" s="103">
        <v>1</v>
      </c>
      <c r="H59" s="103">
        <v>0.92695587256775092</v>
      </c>
      <c r="I59" s="103">
        <v>0.96689549184976964</v>
      </c>
      <c r="J59" s="103">
        <v>0.98237398848218072</v>
      </c>
      <c r="K59" s="103">
        <v>0.94010403720414804</v>
      </c>
      <c r="L59" s="103">
        <v>0.33591710963927707</v>
      </c>
      <c r="M59" s="104">
        <v>0.89134689877896989</v>
      </c>
      <c r="O59" s="159">
        <f t="shared" si="10"/>
        <v>-0.90144181577948579</v>
      </c>
    </row>
    <row r="60" spans="1:15">
      <c r="A60" s="14" t="str">
        <f t="shared" si="9"/>
        <v>Emerging market debt</v>
      </c>
      <c r="B60" s="101">
        <v>-8.0000000000000196E-2</v>
      </c>
      <c r="C60" s="16">
        <v>0.12821530287470745</v>
      </c>
      <c r="D60" s="103">
        <v>-0.30712689971531354</v>
      </c>
      <c r="E60" s="103">
        <v>-0.46484244214113157</v>
      </c>
      <c r="F60" s="103">
        <v>0.87409116616389027</v>
      </c>
      <c r="G60" s="103">
        <v>0.92695587256775092</v>
      </c>
      <c r="H60" s="103">
        <v>1</v>
      </c>
      <c r="I60" s="103">
        <v>0.93245105038052445</v>
      </c>
      <c r="J60" s="103">
        <v>0.90175992585785503</v>
      </c>
      <c r="K60" s="103">
        <v>0.8874434496041671</v>
      </c>
      <c r="L60" s="103">
        <v>0.29879289715154606</v>
      </c>
      <c r="M60" s="104">
        <v>0.91686795609968563</v>
      </c>
      <c r="O60" s="159">
        <f t="shared" si="10"/>
        <v>-1.4038885840007491</v>
      </c>
    </row>
    <row r="61" spans="1:15">
      <c r="A61" s="14" t="str">
        <f t="shared" si="9"/>
        <v>Aandelen ontwikkeld</v>
      </c>
      <c r="B61" s="101">
        <v>-0.2</v>
      </c>
      <c r="C61" s="16">
        <v>0.20792869523558111</v>
      </c>
      <c r="D61" s="103">
        <v>-0.51444293528865725</v>
      </c>
      <c r="E61" s="103">
        <v>-0.43378053187871835</v>
      </c>
      <c r="F61" s="103">
        <v>0.88606607622819966</v>
      </c>
      <c r="G61" s="103">
        <v>0.96689549184976964</v>
      </c>
      <c r="H61" s="103">
        <v>0.93245105038052445</v>
      </c>
      <c r="I61" s="103">
        <v>1</v>
      </c>
      <c r="J61" s="103">
        <v>0.96934497766265126</v>
      </c>
      <c r="K61" s="103">
        <v>0.95514653766346602</v>
      </c>
      <c r="L61" s="103">
        <v>0.40131975108808021</v>
      </c>
      <c r="M61" s="104">
        <v>0.9162478906330811</v>
      </c>
      <c r="O61" s="159">
        <f t="shared" si="10"/>
        <v>-1.4428023013374998</v>
      </c>
    </row>
    <row r="62" spans="1:15">
      <c r="A62" s="14" t="str">
        <f t="shared" si="9"/>
        <v>Aandelen opkomend</v>
      </c>
      <c r="B62" s="101">
        <v>-0.22</v>
      </c>
      <c r="C62" s="16">
        <v>0.36408897808337332</v>
      </c>
      <c r="D62" s="103">
        <v>-0.62106428918392464</v>
      </c>
      <c r="E62" s="103">
        <v>-0.36679003495309848</v>
      </c>
      <c r="F62" s="103">
        <v>0.82459036474353009</v>
      </c>
      <c r="G62" s="103">
        <v>0.98237398848218072</v>
      </c>
      <c r="H62" s="103">
        <v>0.90175992585785503</v>
      </c>
      <c r="I62" s="103">
        <v>0.96934497766265126</v>
      </c>
      <c r="J62" s="103">
        <v>1</v>
      </c>
      <c r="K62" s="103">
        <v>0.94422005350754179</v>
      </c>
      <c r="L62" s="103">
        <v>0.37232862721771026</v>
      </c>
      <c r="M62" s="104">
        <v>0.88647127334626363</v>
      </c>
      <c r="O62" s="159">
        <f t="shared" si="10"/>
        <v>-0.87890603468562756</v>
      </c>
    </row>
    <row r="63" spans="1:15">
      <c r="A63" s="14" t="str">
        <f t="shared" si="9"/>
        <v>Hedge funds</v>
      </c>
      <c r="B63" s="101">
        <v>-0.12</v>
      </c>
      <c r="C63" s="16">
        <v>0.10933142096896906</v>
      </c>
      <c r="D63" s="103">
        <v>-0.56947078770384896</v>
      </c>
      <c r="E63" s="103">
        <v>-0.45878156897895211</v>
      </c>
      <c r="F63" s="103">
        <v>0.89744839036297208</v>
      </c>
      <c r="G63" s="103">
        <v>0.94010403720414804</v>
      </c>
      <c r="H63" s="103">
        <v>0.8874434496041671</v>
      </c>
      <c r="I63" s="103">
        <v>0.95514653766346602</v>
      </c>
      <c r="J63" s="103">
        <v>0.94422005350754179</v>
      </c>
      <c r="K63" s="103">
        <v>1</v>
      </c>
      <c r="L63" s="103">
        <v>0.61352650945037235</v>
      </c>
      <c r="M63" s="104">
        <v>0.88910144077657316</v>
      </c>
      <c r="O63" s="159">
        <f t="shared" si="10"/>
        <v>-2.0122303181483518</v>
      </c>
    </row>
    <row r="64" spans="1:15">
      <c r="A64" s="14" t="str">
        <f t="shared" si="9"/>
        <v>Onroerend goed</v>
      </c>
      <c r="B64" s="101">
        <v>-0.1</v>
      </c>
      <c r="C64" s="16">
        <v>2.7406396901153356E-2</v>
      </c>
      <c r="D64" s="103">
        <v>-0.31725862660871451</v>
      </c>
      <c r="E64" s="103">
        <v>-0.25453357613757527</v>
      </c>
      <c r="F64" s="103">
        <v>0.50108032792987411</v>
      </c>
      <c r="G64" s="103">
        <v>0.33591710963927707</v>
      </c>
      <c r="H64" s="103">
        <v>0.29879289715154606</v>
      </c>
      <c r="I64" s="103">
        <v>0.40131975108808021</v>
      </c>
      <c r="J64" s="103">
        <v>0.37232862721771026</v>
      </c>
      <c r="K64" s="103">
        <v>0.61352650945037235</v>
      </c>
      <c r="L64" s="103">
        <v>1</v>
      </c>
      <c r="M64" s="104">
        <v>0.33246211687806798</v>
      </c>
      <c r="O64" s="159">
        <f t="shared" si="10"/>
        <v>-7.2975663572756373</v>
      </c>
    </row>
    <row r="65" spans="1:15">
      <c r="A65" s="15" t="str">
        <f t="shared" si="9"/>
        <v>Commodities</v>
      </c>
      <c r="B65" s="105">
        <v>-0.25</v>
      </c>
      <c r="C65" s="100">
        <v>0.2040065170048318</v>
      </c>
      <c r="D65" s="106">
        <v>-0.49058561691839803</v>
      </c>
      <c r="E65" s="106">
        <v>-0.4316186755007369</v>
      </c>
      <c r="F65" s="106">
        <v>0.89585653852424796</v>
      </c>
      <c r="G65" s="106">
        <v>0.89134689877896989</v>
      </c>
      <c r="H65" s="106">
        <v>0.91686795609968563</v>
      </c>
      <c r="I65" s="106">
        <v>0.9162478906330811</v>
      </c>
      <c r="J65" s="106">
        <v>0.88647127334626363</v>
      </c>
      <c r="K65" s="106">
        <v>0.88910144077657316</v>
      </c>
      <c r="L65" s="106">
        <v>0.33246211687806798</v>
      </c>
      <c r="M65" s="107">
        <v>1</v>
      </c>
      <c r="O65" s="159">
        <f t="shared" si="10"/>
        <v>-1.7156314667717718</v>
      </c>
    </row>
  </sheetData>
  <mergeCells count="1">
    <mergeCell ref="D2:M2"/>
  </mergeCells>
  <phoneticPr fontId="2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4" enableFormatConditionsCalculation="0">
    <tabColor indexed="11"/>
  </sheetPr>
  <dimension ref="A1:M43"/>
  <sheetViews>
    <sheetView zoomScale="75" workbookViewId="0">
      <selection activeCell="G3" sqref="G3:G41"/>
    </sheetView>
  </sheetViews>
  <sheetFormatPr defaultRowHeight="12.75"/>
  <cols>
    <col min="1" max="1" width="20.85546875" customWidth="1"/>
    <col min="2" max="11" width="12.7109375" customWidth="1"/>
  </cols>
  <sheetData>
    <row r="1" spans="1:13">
      <c r="A1" s="9" t="s">
        <v>8</v>
      </c>
      <c r="B1" s="61" t="s">
        <v>77</v>
      </c>
      <c r="C1" s="61" t="s">
        <v>78</v>
      </c>
      <c r="D1" s="61" t="s">
        <v>73</v>
      </c>
      <c r="E1" s="61" t="s">
        <v>4</v>
      </c>
      <c r="F1" s="61" t="s">
        <v>175</v>
      </c>
      <c r="G1" s="61" t="s">
        <v>176</v>
      </c>
      <c r="H1" s="61" t="s">
        <v>177</v>
      </c>
      <c r="I1" s="61" t="s">
        <v>5</v>
      </c>
      <c r="J1" s="61" t="s">
        <v>178</v>
      </c>
      <c r="K1" s="62" t="s">
        <v>6</v>
      </c>
    </row>
    <row r="2" spans="1:13">
      <c r="A2" s="11">
        <v>1970</v>
      </c>
      <c r="B2" s="50"/>
      <c r="C2" s="51"/>
      <c r="D2" s="51"/>
      <c r="E2" s="51"/>
      <c r="F2" s="51"/>
      <c r="G2" s="44">
        <v>-3.8114983291821468E-2</v>
      </c>
      <c r="H2" s="51"/>
      <c r="I2" s="51"/>
      <c r="J2" s="51"/>
      <c r="K2" s="45">
        <v>0.14616651152129134</v>
      </c>
    </row>
    <row r="3" spans="1:13">
      <c r="A3" s="11">
        <v>1971</v>
      </c>
      <c r="B3" s="52">
        <f>HLOOKUP(Parameters!$F$2,'Verplichtingen Nominaal'!$B$1:$O$40,A3-1968)</f>
        <v>8.3824677184948349E-2</v>
      </c>
      <c r="C3" s="23">
        <f>HLOOKUP(Parameters!$F$2,'Verplichtingen Reeel'!$B$1:$O$40,A3-1968)</f>
        <v>2.8014132872727835E-2</v>
      </c>
      <c r="D3" s="23"/>
      <c r="E3" s="23"/>
      <c r="F3" s="23"/>
      <c r="G3" s="44">
        <v>0.15929027372578447</v>
      </c>
      <c r="H3" s="23"/>
      <c r="I3" s="23"/>
      <c r="J3" s="23"/>
      <c r="K3" s="45">
        <v>0.1045103007924062</v>
      </c>
      <c r="M3" s="45"/>
    </row>
    <row r="4" spans="1:13">
      <c r="A4" s="11">
        <v>1972</v>
      </c>
      <c r="B4" s="52">
        <f>HLOOKUP(Parameters!$F$2,'Verplichtingen Nominaal'!$B$1:$O$40,A4-1968)</f>
        <v>2.0267419396187698E-3</v>
      </c>
      <c r="C4" s="23">
        <f>HLOOKUP(Parameters!$F$2,'Verplichtingen Reeel'!$B$1:$O$40,A4-1968)</f>
        <v>-0.17380376588137422</v>
      </c>
      <c r="D4" s="23"/>
      <c r="E4" s="23"/>
      <c r="F4" s="23"/>
      <c r="G4" s="44">
        <v>0.34671926539336961</v>
      </c>
      <c r="H4" s="23"/>
      <c r="I4" s="23"/>
      <c r="J4" s="23"/>
      <c r="K4" s="45">
        <v>0.4144452688200535</v>
      </c>
      <c r="M4" s="45"/>
    </row>
    <row r="5" spans="1:13">
      <c r="A5" s="11">
        <v>1973</v>
      </c>
      <c r="B5" s="52">
        <f>HLOOKUP(Parameters!$F$2,'Verplichtingen Nominaal'!$B$1:$O$40,A5-1968)</f>
        <v>-4.1475709193550814E-2</v>
      </c>
      <c r="C5" s="23">
        <f>HLOOKUP(Parameters!$F$2,'Verplichtingen Reeel'!$B$1:$O$40,A5-1968)</f>
        <v>3.0636810299396111E-3</v>
      </c>
      <c r="D5" s="23"/>
      <c r="E5" s="23"/>
      <c r="F5" s="23"/>
      <c r="G5" s="44">
        <v>-0.21088057487982104</v>
      </c>
      <c r="H5" s="23"/>
      <c r="I5" s="23"/>
      <c r="J5" s="23"/>
      <c r="K5" s="45">
        <v>0.52979204036486993</v>
      </c>
      <c r="M5" s="45"/>
    </row>
    <row r="6" spans="1:13">
      <c r="A6" s="11">
        <v>1974</v>
      </c>
      <c r="B6" s="52">
        <f>HLOOKUP(Parameters!$F$2,'Verplichtingen Nominaal'!$B$1:$O$40,A6-1968)</f>
        <v>8.2844167413769015E-2</v>
      </c>
      <c r="C6" s="23">
        <f>HLOOKUP(Parameters!$F$2,'Verplichtingen Reeel'!$B$1:$O$40,A6-1968)</f>
        <v>-3.2576998873247817E-2</v>
      </c>
      <c r="D6" s="23"/>
      <c r="E6" s="23"/>
      <c r="F6" s="23"/>
      <c r="G6" s="44">
        <v>-0.3039720312824678</v>
      </c>
      <c r="H6" s="23"/>
      <c r="I6" s="23"/>
      <c r="J6" s="23"/>
      <c r="K6" s="45">
        <v>0.23762474245320275</v>
      </c>
      <c r="M6" s="45"/>
    </row>
    <row r="7" spans="1:13">
      <c r="A7" s="11">
        <v>1975</v>
      </c>
      <c r="B7" s="52">
        <f>HLOOKUP(Parameters!$F$2,'Verplichtingen Nominaal'!$B$1:$O$40,A7-1968)</f>
        <v>0.23180629742851239</v>
      </c>
      <c r="C7" s="23">
        <f>HLOOKUP(Parameters!$F$2,'Verplichtingen Reeel'!$B$1:$O$40,A7-1968)</f>
        <v>0.19700025934009771</v>
      </c>
      <c r="D7" s="23"/>
      <c r="E7" s="23"/>
      <c r="F7" s="23"/>
      <c r="G7" s="44">
        <v>0.46781699568186597</v>
      </c>
      <c r="H7" s="23"/>
      <c r="I7" s="23"/>
      <c r="J7" s="23"/>
      <c r="K7" s="45">
        <v>-0.11247538696473858</v>
      </c>
      <c r="M7" s="45"/>
    </row>
    <row r="8" spans="1:13">
      <c r="A8" s="11">
        <v>1976</v>
      </c>
      <c r="B8" s="52">
        <f>HLOOKUP(Parameters!$F$2,'Verplichtingen Nominaal'!$B$1:$O$40,A8-1968)</f>
        <v>0.17521907174637974</v>
      </c>
      <c r="C8" s="23">
        <f>HLOOKUP(Parameters!$F$2,'Verplichtingen Reeel'!$B$1:$O$40,A8-1968)</f>
        <v>0.15982186366485146</v>
      </c>
      <c r="D8" s="54">
        <v>7.5327742110451901E-2</v>
      </c>
      <c r="E8" s="23"/>
      <c r="F8" s="23"/>
      <c r="G8" s="44">
        <v>4.9630529669610138E-3</v>
      </c>
      <c r="H8" s="23"/>
      <c r="I8" s="23"/>
      <c r="J8" s="23"/>
      <c r="K8" s="45">
        <v>-0.31102131549503198</v>
      </c>
      <c r="M8" s="45"/>
    </row>
    <row r="9" spans="1:13">
      <c r="A9" s="11">
        <v>1977</v>
      </c>
      <c r="B9" s="52">
        <f>HLOOKUP(Parameters!$F$2,'Verplichtingen Nominaal'!$B$1:$O$40,A9-1968)</f>
        <v>0.10774734464199882</v>
      </c>
      <c r="C9" s="23">
        <f>HLOOKUP(Parameters!$F$2,'Verplichtingen Reeel'!$B$1:$O$40,A9-1968)</f>
        <v>-0.1352128616365274</v>
      </c>
      <c r="D9" s="54">
        <v>2.9519834685117985E-2</v>
      </c>
      <c r="E9" s="23"/>
      <c r="F9" s="23"/>
      <c r="G9" s="44">
        <v>1.4110466942497657E-2</v>
      </c>
      <c r="H9" s="23"/>
      <c r="I9" s="23"/>
      <c r="J9" s="45">
        <v>0.24675456494615552</v>
      </c>
      <c r="K9" s="45">
        <v>1.7426631818377336E-2</v>
      </c>
      <c r="M9" s="45"/>
    </row>
    <row r="10" spans="1:13">
      <c r="A10" s="11">
        <v>1978</v>
      </c>
      <c r="B10" s="52">
        <f>HLOOKUP(Parameters!$F$2,'Verplichtingen Nominaal'!$B$1:$O$40,A10-1968)</f>
        <v>9.5043690028747727E-2</v>
      </c>
      <c r="C10" s="23">
        <f>HLOOKUP(Parameters!$F$2,'Verplichtingen Reeel'!$B$1:$O$40,A10-1968)</f>
        <v>0.19540553279921741</v>
      </c>
      <c r="D10" s="54">
        <v>5.8539626469802597E-2</v>
      </c>
      <c r="E10" s="23"/>
      <c r="F10" s="23"/>
      <c r="G10" s="44">
        <v>0.10858048908878551</v>
      </c>
      <c r="H10" s="23"/>
      <c r="I10" s="23"/>
      <c r="J10" s="45">
        <v>0.16015749004646734</v>
      </c>
      <c r="K10" s="45">
        <v>0.19713128354627329</v>
      </c>
      <c r="M10" s="45"/>
    </row>
    <row r="11" spans="1:13">
      <c r="A11" s="11">
        <v>1979</v>
      </c>
      <c r="B11" s="52">
        <f>HLOOKUP(Parameters!$F$2,'Verplichtingen Nominaal'!$B$1:$O$40,A11-1968)</f>
        <v>-2.0796198946977172E-2</v>
      </c>
      <c r="C11" s="23">
        <f>HLOOKUP(Parameters!$F$2,'Verplichtingen Reeel'!$B$1:$O$40,A11-1968)</f>
        <v>-2.1301736365450425E-2</v>
      </c>
      <c r="D11" s="54">
        <v>-5.8323372555077246E-2</v>
      </c>
      <c r="E11" s="23"/>
      <c r="F11" s="23"/>
      <c r="G11" s="44">
        <v>0.10474539407108811</v>
      </c>
      <c r="H11" s="23"/>
      <c r="I11" s="23"/>
      <c r="J11" s="45">
        <v>8.6569079501682397E-2</v>
      </c>
      <c r="K11" s="45">
        <v>0.25293404931522323</v>
      </c>
      <c r="M11" s="45"/>
    </row>
    <row r="12" spans="1:13">
      <c r="A12" s="11">
        <v>1980</v>
      </c>
      <c r="B12" s="52">
        <f>HLOOKUP(Parameters!$F$2,'Verplichtingen Nominaal'!$B$1:$O$40,A12-1968)</f>
        <v>-2.9976512943740642E-3</v>
      </c>
      <c r="C12" s="23">
        <f>HLOOKUP(Parameters!$F$2,'Verplichtingen Reeel'!$B$1:$O$40,A12-1968)</f>
        <v>-0.11945193536407549</v>
      </c>
      <c r="D12" s="54">
        <v>-0.16228492263034711</v>
      </c>
      <c r="E12" s="44">
        <v>-5.4490530278754834E-2</v>
      </c>
      <c r="F12" s="23"/>
      <c r="G12" s="44">
        <v>0.23010377724528636</v>
      </c>
      <c r="H12" s="23"/>
      <c r="I12" s="23"/>
      <c r="J12" s="45">
        <v>0.14575230607884163</v>
      </c>
      <c r="K12" s="45">
        <v>8.4637172294200536E-2</v>
      </c>
      <c r="M12" s="45"/>
    </row>
    <row r="13" spans="1:13">
      <c r="A13" s="11">
        <v>1981</v>
      </c>
      <c r="B13" s="52">
        <f>HLOOKUP(Parameters!$F$2,'Verplichtingen Nominaal'!$B$1:$O$40,A13-1968)</f>
        <v>3.1714852718340125E-2</v>
      </c>
      <c r="C13" s="23">
        <f>HLOOKUP(Parameters!$F$2,'Verplichtingen Reeel'!$B$1:$O$40,A13-1968)</f>
        <v>-2.3967275390476141E-2</v>
      </c>
      <c r="D13" s="54">
        <v>-0.20492820159932135</v>
      </c>
      <c r="E13" s="44">
        <v>-3.4686114530154133E-2</v>
      </c>
      <c r="F13" s="23"/>
      <c r="G13" s="44">
        <v>2.0892663634890542E-3</v>
      </c>
      <c r="H13" s="23"/>
      <c r="I13" s="23"/>
      <c r="J13" s="45">
        <v>8.0045638797900387E-3</v>
      </c>
      <c r="K13" s="45">
        <v>-0.35255346339228211</v>
      </c>
      <c r="M13" s="45"/>
    </row>
    <row r="14" spans="1:13">
      <c r="A14" s="11">
        <v>1982</v>
      </c>
      <c r="B14" s="52">
        <f>HLOOKUP(Parameters!$F$2,'Verplichtingen Nominaal'!$B$1:$O$40,A14-1968)</f>
        <v>0.27851160476463943</v>
      </c>
      <c r="C14" s="23">
        <f>HLOOKUP(Parameters!$F$2,'Verplichtingen Reeel'!$B$1:$O$40,A14-1968)</f>
        <v>-6.6475657108585398E-2</v>
      </c>
      <c r="D14" s="54">
        <v>0.23563298346962946</v>
      </c>
      <c r="E14" s="44">
        <v>0.27783119122464528</v>
      </c>
      <c r="F14" s="23"/>
      <c r="G14" s="44">
        <v>0.13464183270496241</v>
      </c>
      <c r="H14" s="23"/>
      <c r="I14" s="23"/>
      <c r="J14" s="45">
        <v>5.4449618083036139E-2</v>
      </c>
      <c r="K14" s="45">
        <v>4.5688531076031658E-2</v>
      </c>
      <c r="M14" s="45"/>
    </row>
    <row r="15" spans="1:13">
      <c r="A15" s="11">
        <v>1983</v>
      </c>
      <c r="B15" s="52">
        <f>HLOOKUP(Parameters!$F$2,'Verplichtingen Nominaal'!$B$1:$O$40,A15-1968)</f>
        <v>4.407265927542714E-2</v>
      </c>
      <c r="C15" s="23">
        <f>HLOOKUP(Parameters!$F$2,'Verplichtingen Reeel'!$B$1:$O$40,A15-1968)</f>
        <v>-9.9199744077041289E-3</v>
      </c>
      <c r="D15" s="54">
        <v>-0.1019342123447653</v>
      </c>
      <c r="E15" s="44">
        <v>0.17514759810903513</v>
      </c>
      <c r="F15" s="23"/>
      <c r="G15" s="44">
        <v>0.30780704121454339</v>
      </c>
      <c r="H15" s="23"/>
      <c r="I15" s="23"/>
      <c r="J15" s="45">
        <v>3.9978433903063347E-2</v>
      </c>
      <c r="K15" s="45">
        <v>0.16029734741677171</v>
      </c>
      <c r="M15" s="45"/>
    </row>
    <row r="16" spans="1:13">
      <c r="A16" s="11">
        <v>1984</v>
      </c>
      <c r="B16" s="52">
        <f>HLOOKUP(Parameters!$F$2,'Verplichtingen Nominaal'!$B$1:$O$40,A16-1968)</f>
        <v>9.8384264819260034E-2</v>
      </c>
      <c r="C16" s="23">
        <f>HLOOKUP(Parameters!$F$2,'Verplichtingen Reeel'!$B$1:$O$40,A16-1968)</f>
        <v>-9.6231514721882364E-2</v>
      </c>
      <c r="D16" s="54">
        <v>2.6757636570710064E-3</v>
      </c>
      <c r="E16" s="44">
        <v>8.9170845676759591E-2</v>
      </c>
      <c r="F16" s="23"/>
      <c r="G16" s="44">
        <v>0.15580144756230666</v>
      </c>
      <c r="H16" s="23"/>
      <c r="I16" s="23"/>
      <c r="J16" s="45">
        <v>8.7022198371355108E-3</v>
      </c>
      <c r="K16" s="45">
        <v>9.4447515608780952E-3</v>
      </c>
      <c r="M16" s="45"/>
    </row>
    <row r="17" spans="1:13">
      <c r="A17" s="11">
        <v>1985</v>
      </c>
      <c r="B17" s="52">
        <f>HLOOKUP(Parameters!$F$2,'Verplichtingen Nominaal'!$B$1:$O$40,A17-1968)</f>
        <v>0.13377908542821065</v>
      </c>
      <c r="C17" s="23">
        <f>HLOOKUP(Parameters!$F$2,'Verplichtingen Reeel'!$B$1:$O$40,A17-1968)</f>
        <v>6.4104263998234004E-2</v>
      </c>
      <c r="D17" s="54">
        <v>0.42069710619992073</v>
      </c>
      <c r="E17" s="44">
        <v>0.147029980205169</v>
      </c>
      <c r="F17" s="23"/>
      <c r="G17" s="44">
        <v>0.27728047999747307</v>
      </c>
      <c r="H17" s="23"/>
      <c r="I17" s="23"/>
      <c r="J17" s="45">
        <v>2.4439025898871342E-2</v>
      </c>
      <c r="K17" s="45">
        <v>3.3792981307086079E-2</v>
      </c>
      <c r="M17" s="45"/>
    </row>
    <row r="18" spans="1:13">
      <c r="A18" s="11">
        <v>1986</v>
      </c>
      <c r="B18" s="52">
        <f>HLOOKUP(Parameters!$F$2,'Verplichtingen Nominaal'!$B$1:$O$40,A18-1968)</f>
        <v>0.10258397864433814</v>
      </c>
      <c r="C18" s="23">
        <f>HLOOKUP(Parameters!$F$2,'Verplichtingen Reeel'!$B$1:$O$40,A18-1968)</f>
        <v>3.4965771032459257E-2</v>
      </c>
      <c r="D18" s="54">
        <v>0.35366804442323341</v>
      </c>
      <c r="E18" s="44">
        <v>0.11223788162598614</v>
      </c>
      <c r="F18" s="23"/>
      <c r="G18" s="44">
        <v>0.24753385259022276</v>
      </c>
      <c r="H18" s="23"/>
      <c r="I18" s="23"/>
      <c r="J18" s="45">
        <v>7.5303326418219213E-2</v>
      </c>
      <c r="K18" s="45">
        <v>-1.3333531706986035E-3</v>
      </c>
      <c r="M18" s="45"/>
    </row>
    <row r="19" spans="1:13">
      <c r="A19" s="11">
        <v>1987</v>
      </c>
      <c r="B19" s="52">
        <f>HLOOKUP(Parameters!$F$2,'Verplichtingen Nominaal'!$B$1:$O$40,A19-1968)</f>
        <v>-1.9856700664953226E-2</v>
      </c>
      <c r="C19" s="23">
        <f>HLOOKUP(Parameters!$F$2,'Verplichtingen Reeel'!$B$1:$O$40,A19-1968)</f>
        <v>-0.1401106176938168</v>
      </c>
      <c r="D19" s="54">
        <v>0.20665974371170526</v>
      </c>
      <c r="E19" s="44">
        <v>2.6512089627531266E-2</v>
      </c>
      <c r="F19" s="23"/>
      <c r="G19" s="44">
        <v>-4.6574441418061704E-2</v>
      </c>
      <c r="H19" s="23"/>
      <c r="I19" s="23"/>
      <c r="J19" s="45">
        <v>4.7398511855136272E-2</v>
      </c>
      <c r="K19" s="45">
        <v>0.18265366937077276</v>
      </c>
      <c r="M19" s="45"/>
    </row>
    <row r="20" spans="1:13">
      <c r="A20" s="11">
        <v>1988</v>
      </c>
      <c r="B20" s="52">
        <f>HLOOKUP(Parameters!$F$2,'Verplichtingen Nominaal'!$B$1:$O$40,A20-1968)</f>
        <v>0.13144538402802955</v>
      </c>
      <c r="C20" s="23">
        <f>HLOOKUP(Parameters!$F$2,'Verplichtingen Reeel'!$B$1:$O$40,A20-1968)</f>
        <v>0.16922612223661351</v>
      </c>
      <c r="D20" s="54">
        <v>-4.3915673443030712E-2</v>
      </c>
      <c r="E20" s="44">
        <v>0.1443819961336309</v>
      </c>
      <c r="F20" s="23"/>
      <c r="G20" s="44">
        <v>0.25126021469889787</v>
      </c>
      <c r="H20" s="44">
        <v>0.45015641295680509</v>
      </c>
      <c r="I20" s="23"/>
      <c r="J20" s="45">
        <v>8.3343126477621918E-2</v>
      </c>
      <c r="K20" s="45">
        <v>0.30906517623024088</v>
      </c>
      <c r="M20" s="45"/>
    </row>
    <row r="21" spans="1:13">
      <c r="A21" s="11">
        <v>1989</v>
      </c>
      <c r="B21" s="52">
        <f>HLOOKUP(Parameters!$F$2,'Verplichtingen Nominaal'!$B$1:$O$40,A21-1968)</f>
        <v>5.4409508832732337E-2</v>
      </c>
      <c r="C21" s="23">
        <f>HLOOKUP(Parameters!$F$2,'Verplichtingen Reeel'!$B$1:$O$40,A21-1968)</f>
        <v>0.23460233155563515</v>
      </c>
      <c r="D21" s="54">
        <v>0.14324284303000101</v>
      </c>
      <c r="E21" s="44">
        <v>-2.0943730329223587E-2</v>
      </c>
      <c r="F21" s="23"/>
      <c r="G21" s="44">
        <v>0.2547074148466047</v>
      </c>
      <c r="H21" s="44">
        <v>0.57714881755017378</v>
      </c>
      <c r="I21" s="23"/>
      <c r="J21" s="45">
        <v>8.5415623544638844E-2</v>
      </c>
      <c r="K21" s="45">
        <v>0.32248746645094228</v>
      </c>
      <c r="M21" s="45"/>
    </row>
    <row r="22" spans="1:13">
      <c r="A22" s="11">
        <v>1990</v>
      </c>
      <c r="B22" s="52">
        <f>HLOOKUP(Parameters!$F$2,'Verplichtingen Nominaal'!$B$1:$O$40,A22-1968)</f>
        <v>-5.7661536619125479E-2</v>
      </c>
      <c r="C22" s="23">
        <f>HLOOKUP(Parameters!$F$2,'Verplichtingen Reeel'!$B$1:$O$40,A22-1968)</f>
        <v>-2.5281440841028558E-2</v>
      </c>
      <c r="D22" s="54">
        <v>0.20549116853450666</v>
      </c>
      <c r="E22" s="44">
        <v>-2.1283169985484851E-2</v>
      </c>
      <c r="F22" s="23"/>
      <c r="G22" s="44">
        <v>-0.13917865317154154</v>
      </c>
      <c r="H22" s="44">
        <v>-7.5884129102330111E-2</v>
      </c>
      <c r="I22" s="55">
        <v>0.14163104341891652</v>
      </c>
      <c r="J22" s="45">
        <v>0.13555911270437304</v>
      </c>
      <c r="K22" s="45">
        <v>0.27372136295105798</v>
      </c>
      <c r="M22" s="45"/>
    </row>
    <row r="23" spans="1:13">
      <c r="A23" s="11">
        <v>1991</v>
      </c>
      <c r="B23" s="52">
        <f>HLOOKUP(Parameters!$F$2,'Verplichtingen Nominaal'!$B$1:$O$40,A23-1968)</f>
        <v>0.19429548099011404</v>
      </c>
      <c r="C23" s="23">
        <f>HLOOKUP(Parameters!$F$2,'Verplichtingen Reeel'!$B$1:$O$40,A23-1968)</f>
        <v>0.21924811141187989</v>
      </c>
      <c r="D23" s="54">
        <v>0.17377740603455405</v>
      </c>
      <c r="E23" s="44">
        <v>0.39894454485671571</v>
      </c>
      <c r="F23" s="23"/>
      <c r="G23" s="44">
        <v>0.19158869347629293</v>
      </c>
      <c r="H23" s="44">
        <v>0.60909799033196932</v>
      </c>
      <c r="I23" s="55">
        <v>0.11771815908141714</v>
      </c>
      <c r="J23" s="45">
        <v>9.8585498128891585E-2</v>
      </c>
      <c r="K23" s="45">
        <v>-6.0111223451169704E-2</v>
      </c>
      <c r="M23" s="45"/>
    </row>
    <row r="24" spans="1:13">
      <c r="A24" s="11">
        <v>1992</v>
      </c>
      <c r="B24" s="52">
        <f>HLOOKUP(Parameters!$F$2,'Verplichtingen Nominaal'!$B$1:$O$40,A24-1968)</f>
        <v>0.11702038901327662</v>
      </c>
      <c r="C24" s="23">
        <f>HLOOKUP(Parameters!$F$2,'Verplichtingen Reeel'!$B$1:$O$40,A24-1968)</f>
        <v>-3.5241725728349452E-2</v>
      </c>
      <c r="D24" s="54">
        <v>1.6190401172772928E-2</v>
      </c>
      <c r="E24" s="44">
        <v>0.17979306266007722</v>
      </c>
      <c r="F24" s="23"/>
      <c r="G24" s="44">
        <v>1.7415504267448909E-2</v>
      </c>
      <c r="H24" s="44">
        <v>0.11547601828447118</v>
      </c>
      <c r="I24" s="55">
        <v>7.2659912041928454E-2</v>
      </c>
      <c r="J24" s="45">
        <v>8.2995399062421496E-2</v>
      </c>
      <c r="K24" s="45">
        <v>4.1115468969268987E-2</v>
      </c>
      <c r="M24" s="45"/>
    </row>
    <row r="25" spans="1:13">
      <c r="A25" s="11">
        <v>1993</v>
      </c>
      <c r="B25" s="52">
        <f>HLOOKUP(Parameters!$F$2,'Verplichtingen Nominaal'!$B$1:$O$40,A25-1968)</f>
        <v>0.14871336447935898</v>
      </c>
      <c r="C25" s="23">
        <f>HLOOKUP(Parameters!$F$2,'Verplichtingen Reeel'!$B$1:$O$40,A25-1968)</f>
        <v>-3.1729619092559641E-2</v>
      </c>
      <c r="D25" s="54">
        <v>5.4243502047755077E-2</v>
      </c>
      <c r="E25" s="44">
        <v>0.17822400451031861</v>
      </c>
      <c r="F25" s="23"/>
      <c r="G25" s="44">
        <v>0.22669160376910505</v>
      </c>
      <c r="H25" s="44">
        <v>0.79881999657501856</v>
      </c>
      <c r="I25" s="55">
        <v>0.16348621246524586</v>
      </c>
      <c r="J25" s="45">
        <v>8.6681339873951185E-2</v>
      </c>
      <c r="K25" s="45">
        <v>-0.1315379131504083</v>
      </c>
      <c r="M25" s="45"/>
    </row>
    <row r="26" spans="1:13">
      <c r="A26" s="11">
        <v>1994</v>
      </c>
      <c r="B26" s="52">
        <f>HLOOKUP(Parameters!$F$2,'Verplichtingen Nominaal'!$B$1:$O$40,A26-1968)</f>
        <v>-6.2614306737250713E-2</v>
      </c>
      <c r="C26" s="23">
        <f>HLOOKUP(Parameters!$F$2,'Verplichtingen Reeel'!$B$1:$O$40,A26-1968)</f>
        <v>7.7133776973398516E-2</v>
      </c>
      <c r="D26" s="54">
        <v>7.9752227723821068E-2</v>
      </c>
      <c r="E26" s="44">
        <v>3.2498554204758445E-3</v>
      </c>
      <c r="F26" s="45">
        <v>-0.1566771594938049</v>
      </c>
      <c r="G26" s="44">
        <v>-3.8856342497547713E-3</v>
      </c>
      <c r="H26" s="44">
        <v>-5.2877409808135156E-2</v>
      </c>
      <c r="I26" s="55">
        <v>-1.1695196493188176E-2</v>
      </c>
      <c r="J26" s="45">
        <v>2.6107513538799532E-2</v>
      </c>
      <c r="K26" s="45">
        <v>5.9782181602622275E-2</v>
      </c>
      <c r="M26" s="45"/>
    </row>
    <row r="27" spans="1:13">
      <c r="A27" s="11">
        <v>1995</v>
      </c>
      <c r="B27" s="52">
        <f>HLOOKUP(Parameters!$F$2,'Verplichtingen Nominaal'!$B$1:$O$40,A27-1968)</f>
        <v>0.23528181217160088</v>
      </c>
      <c r="C27" s="23">
        <f>HLOOKUP(Parameters!$F$2,'Verplichtingen Reeel'!$B$1:$O$40,A27-1968)</f>
        <v>0.11732376620240356</v>
      </c>
      <c r="D27" s="54">
        <v>0.27651826812110558</v>
      </c>
      <c r="E27" s="44">
        <v>0.16685879858805008</v>
      </c>
      <c r="F27" s="45">
        <v>0.2252355945007023</v>
      </c>
      <c r="G27" s="44">
        <v>0.19318017354586253</v>
      </c>
      <c r="H27" s="44">
        <v>-7.0281745614160895E-2</v>
      </c>
      <c r="I27" s="55">
        <v>0.13061957781303857</v>
      </c>
      <c r="J27" s="45">
        <v>0.108</v>
      </c>
      <c r="K27" s="45">
        <v>0.16565641078947957</v>
      </c>
      <c r="M27" s="45"/>
    </row>
    <row r="28" spans="1:13">
      <c r="A28" s="11">
        <v>1996</v>
      </c>
      <c r="B28" s="52">
        <f>HLOOKUP(Parameters!$F$2,'Verplichtingen Nominaal'!$B$1:$O$40,A28-1968)</f>
        <v>8.4535212845127189E-2</v>
      </c>
      <c r="C28" s="23">
        <f>HLOOKUP(Parameters!$F$2,'Verplichtingen Reeel'!$B$1:$O$40,A28-1968)</f>
        <v>4.037187799592161E-2</v>
      </c>
      <c r="D28" s="54">
        <v>-2.857793549431753E-2</v>
      </c>
      <c r="E28" s="44">
        <v>0.13927397960440591</v>
      </c>
      <c r="F28" s="45">
        <v>0.44177423453562314</v>
      </c>
      <c r="G28" s="44">
        <v>0.19959691129254442</v>
      </c>
      <c r="H28" s="44">
        <v>8.2736390840743135E-2</v>
      </c>
      <c r="I28" s="55">
        <v>0.15653740877042099</v>
      </c>
      <c r="J28" s="45">
        <v>0.11899999999999999</v>
      </c>
      <c r="K28" s="45">
        <v>0.3836466603434866</v>
      </c>
      <c r="M28" s="45"/>
    </row>
    <row r="29" spans="1:13">
      <c r="A29" s="11">
        <v>1997</v>
      </c>
      <c r="B29" s="52">
        <f>HLOOKUP(Parameters!$F$2,'Verplichtingen Nominaal'!$B$1:$O$40,A29-1968)</f>
        <v>0.12645935509971454</v>
      </c>
      <c r="C29" s="23">
        <f>HLOOKUP(Parameters!$F$2,'Verplichtingen Reeel'!$B$1:$O$40,A29-1968)</f>
        <v>0.10753358328588408</v>
      </c>
      <c r="D29" s="54">
        <v>-6.0868908281961676E-2</v>
      </c>
      <c r="E29" s="44">
        <v>0.16425765357309363</v>
      </c>
      <c r="F29" s="45">
        <v>0.16136305054362754</v>
      </c>
      <c r="G29" s="44">
        <v>0.28497754749131654</v>
      </c>
      <c r="H29" s="44">
        <v>-0.12699668613255255</v>
      </c>
      <c r="I29" s="55">
        <v>0.14952470121623729</v>
      </c>
      <c r="J29" s="45">
        <v>0.127</v>
      </c>
      <c r="K29" s="45">
        <v>-0.15613575159187454</v>
      </c>
      <c r="M29" s="45"/>
    </row>
    <row r="30" spans="1:13">
      <c r="A30" s="11">
        <v>1998</v>
      </c>
      <c r="B30" s="52">
        <f>HLOOKUP(Parameters!$F$2,'Verplichtingen Nominaal'!$B$1:$O$40,A30-1968)</f>
        <v>0.20875557334352482</v>
      </c>
      <c r="C30" s="23">
        <f>HLOOKUP(Parameters!$F$2,'Verplichtingen Reeel'!$B$1:$O$40,A30-1968)</f>
        <v>-9.3109073538667915E-4</v>
      </c>
      <c r="D30" s="54">
        <v>0.14187404013920379</v>
      </c>
      <c r="E30" s="44">
        <v>9.1654332857051823E-3</v>
      </c>
      <c r="F30" s="45">
        <v>-0.15100941242266608</v>
      </c>
      <c r="G30" s="44">
        <v>0.17455249715769355</v>
      </c>
      <c r="H30" s="44">
        <v>-0.2527355237307406</v>
      </c>
      <c r="I30" s="55">
        <v>-1.6075477397340499E-2</v>
      </c>
      <c r="J30" s="45">
        <v>0.13700000000000001</v>
      </c>
      <c r="K30" s="45">
        <v>-0.34906270666798189</v>
      </c>
      <c r="M30" s="45"/>
    </row>
    <row r="31" spans="1:13">
      <c r="A31" s="11">
        <v>1999</v>
      </c>
      <c r="B31" s="52">
        <f>HLOOKUP(Parameters!$F$2,'Verplichtingen Nominaal'!$B$1:$O$40,A31-1968)</f>
        <v>-6.7668270198394942E-2</v>
      </c>
      <c r="C31" s="23">
        <f>HLOOKUP(Parameters!$F$2,'Verplichtingen Reeel'!$B$1:$O$40,A31-1968)</f>
        <v>4.3629021477134908E-3</v>
      </c>
      <c r="D31" s="54">
        <v>-0.18117720013148875</v>
      </c>
      <c r="E31" s="44">
        <v>3.9194705394333673E-2</v>
      </c>
      <c r="F31" s="45">
        <v>0.31407350918671428</v>
      </c>
      <c r="G31" s="44">
        <v>0.35142141001807137</v>
      </c>
      <c r="H31" s="44">
        <v>0.78769080894169241</v>
      </c>
      <c r="I31" s="55">
        <v>0.18929886760590486</v>
      </c>
      <c r="J31" s="45">
        <v>0.158</v>
      </c>
      <c r="K31" s="45">
        <v>0.48913224909613062</v>
      </c>
      <c r="M31" s="45"/>
    </row>
    <row r="32" spans="1:13">
      <c r="A32" s="11">
        <v>2000</v>
      </c>
      <c r="B32" s="52">
        <f>HLOOKUP(Parameters!$F$2,'Verplichtingen Nominaal'!$B$1:$O$40,A32-1968)</f>
        <v>8.0733823485355294E-2</v>
      </c>
      <c r="C32" s="23">
        <f>HLOOKUP(Parameters!$F$2,'Verplichtingen Reeel'!$B$1:$O$40,A32-1968)</f>
        <v>5.3780108174557133E-2</v>
      </c>
      <c r="D32" s="54">
        <v>7.9707360873734201E-3</v>
      </c>
      <c r="E32" s="44">
        <v>-7.2778644108482227E-2</v>
      </c>
      <c r="F32" s="45">
        <v>0.14905817360930074</v>
      </c>
      <c r="G32" s="44">
        <v>-0.11130363991632877</v>
      </c>
      <c r="H32" s="44">
        <v>-0.34498355299817107</v>
      </c>
      <c r="I32" s="55">
        <v>5.7706662341663773E-2</v>
      </c>
      <c r="J32" s="45">
        <v>0.161</v>
      </c>
      <c r="K32" s="45">
        <v>0.51299955720188606</v>
      </c>
      <c r="M32" s="45"/>
    </row>
    <row r="33" spans="1:13">
      <c r="A33" s="11">
        <v>2001</v>
      </c>
      <c r="B33" s="52">
        <f>HLOOKUP(Parameters!$F$2,'Verplichtingen Nominaal'!$B$1:$O$40,A33-1968)</f>
        <v>9.7275280926120408E-2</v>
      </c>
      <c r="C33" s="23">
        <f>HLOOKUP(Parameters!$F$2,'Verplichtingen Reeel'!$B$1:$O$40,A33-1968)</f>
        <v>6.0052365863502814E-2</v>
      </c>
      <c r="D33" s="54">
        <v>4.0884402473854387E-2</v>
      </c>
      <c r="E33" s="44">
        <v>3.8482579501950775E-2</v>
      </c>
      <c r="F33" s="45">
        <v>-1.7023906432739322E-2</v>
      </c>
      <c r="G33" s="44">
        <v>-0.1600262445441322</v>
      </c>
      <c r="H33" s="44">
        <v>-3.3732871390363517E-2</v>
      </c>
      <c r="I33" s="55">
        <v>3.1068799151873883E-2</v>
      </c>
      <c r="J33" s="45">
        <v>0.114</v>
      </c>
      <c r="K33" s="45">
        <v>-0.34542408267650193</v>
      </c>
      <c r="M33" s="45"/>
    </row>
    <row r="34" spans="1:13">
      <c r="A34" s="11">
        <v>2002</v>
      </c>
      <c r="B34" s="52">
        <f>HLOOKUP(Parameters!$F$2,'Verplichtingen Nominaal'!$B$1:$O$40,A34-1968)</f>
        <v>7.9484980397115823E-2</v>
      </c>
      <c r="C34" s="23">
        <f>HLOOKUP(Parameters!$F$2,'Verplichtingen Reeel'!$B$1:$O$40,A34-1968)</f>
        <v>6.9522764290821104E-2</v>
      </c>
      <c r="D34" s="54">
        <v>0.29425008446335332</v>
      </c>
      <c r="E34" s="44">
        <v>2.1478237661229249E-2</v>
      </c>
      <c r="F34" s="45">
        <v>0.15836518362060747</v>
      </c>
      <c r="G34" s="44">
        <v>-0.21295989787753355</v>
      </c>
      <c r="H34" s="44">
        <v>-1.3361926378797073E-2</v>
      </c>
      <c r="I34" s="55">
        <v>3.5823040259035821E-2</v>
      </c>
      <c r="J34" s="45">
        <v>8.7999999999999995E-2</v>
      </c>
      <c r="K34" s="45">
        <v>0.30967225753658423</v>
      </c>
      <c r="M34" s="45"/>
    </row>
    <row r="35" spans="1:13">
      <c r="A35" s="11">
        <v>2003</v>
      </c>
      <c r="B35" s="52">
        <f>HLOOKUP(Parameters!$F$2,'Verplichtingen Nominaal'!$B$1:$O$40,A35-1968)</f>
        <v>3.8166235546964522E-2</v>
      </c>
      <c r="C35" s="23">
        <f>HLOOKUP(Parameters!$F$2,'Verplichtingen Reeel'!$B$1:$O$40,A35-1968)</f>
        <v>7.8426914327969777E-2</v>
      </c>
      <c r="D35" s="54">
        <v>0.29436339525278821</v>
      </c>
      <c r="E35" s="44">
        <v>0.28343648682868139</v>
      </c>
      <c r="F35" s="45">
        <v>0.28907771346305355</v>
      </c>
      <c r="G35" s="44">
        <v>0.24268030392293696</v>
      </c>
      <c r="H35" s="44">
        <v>0.51744510474112837</v>
      </c>
      <c r="I35" s="55">
        <v>9.0095686775804928E-2</v>
      </c>
      <c r="J35" s="45">
        <v>7.0999999999999994E-2</v>
      </c>
      <c r="K35" s="45">
        <v>0.22161303530348286</v>
      </c>
      <c r="M35" s="45"/>
    </row>
    <row r="36" spans="1:13">
      <c r="A36" s="11">
        <v>2004</v>
      </c>
      <c r="B36" s="52">
        <f>HLOOKUP(Parameters!$F$2,'Verplichtingen Nominaal'!$B$1:$O$40,A36-1968)</f>
        <v>0.14293529199171096</v>
      </c>
      <c r="C36" s="23">
        <f>HLOOKUP(Parameters!$F$2,'Verplichtingen Reeel'!$B$1:$O$40,A36-1968)</f>
        <v>0.19852932040815849</v>
      </c>
      <c r="D36" s="54">
        <v>0.13911170054690092</v>
      </c>
      <c r="E36" s="44">
        <v>0.11562533491070948</v>
      </c>
      <c r="F36" s="45">
        <v>0.12400024015448663</v>
      </c>
      <c r="G36" s="44">
        <v>0.11821025431438584</v>
      </c>
      <c r="H36" s="44">
        <v>0.25558809894782608</v>
      </c>
      <c r="I36" s="55">
        <v>5.8236175421725989E-2</v>
      </c>
      <c r="J36" s="45">
        <v>7.8E-2</v>
      </c>
      <c r="K36" s="45">
        <v>0.17508909319715049</v>
      </c>
      <c r="M36" s="45"/>
    </row>
    <row r="37" spans="1:13">
      <c r="A37" s="11">
        <v>2005</v>
      </c>
      <c r="B37" s="52">
        <f>HLOOKUP(Parameters!$F$2,'Verplichtingen Nominaal'!$B$1:$O$40,A37-1968)</f>
        <v>9.0342617783065488E-2</v>
      </c>
      <c r="C37" s="23">
        <f>HLOOKUP(Parameters!$F$2,'Verplichtingen Reeel'!$B$1:$O$40,A37-1968)</f>
        <v>4.5919746475149167E-2</v>
      </c>
      <c r="D37" s="54">
        <v>-0.11763420374898559</v>
      </c>
      <c r="E37" s="44">
        <v>4.6612990800280918E-2</v>
      </c>
      <c r="F37" s="45">
        <v>0.15170813594139376</v>
      </c>
      <c r="G37" s="44">
        <v>0.21247211901586294</v>
      </c>
      <c r="H37" s="44">
        <v>0.41308513049392059</v>
      </c>
      <c r="I37" s="55">
        <v>5.1741650964531427E-2</v>
      </c>
      <c r="J37" s="45">
        <v>0.10199999999999999</v>
      </c>
      <c r="K37" s="45">
        <v>0.30950403306784213</v>
      </c>
      <c r="M37" s="45"/>
    </row>
    <row r="38" spans="1:13">
      <c r="A38" s="11">
        <v>2006</v>
      </c>
      <c r="B38" s="52">
        <f>HLOOKUP(Parameters!$F$2,'Verplichtingen Nominaal'!$B$1:$O$40,A38-1968)</f>
        <v>-5.275856364487181E-2</v>
      </c>
      <c r="C38" s="23">
        <f>HLOOKUP(Parameters!$F$2,'Verplichtingen Reeel'!$B$1:$O$40,A38-1968)</f>
        <v>-7.9196165613677844E-2</v>
      </c>
      <c r="D38" s="54">
        <v>0.13920463402080574</v>
      </c>
      <c r="E38" s="44">
        <v>9.6406055717823902E-2</v>
      </c>
      <c r="F38" s="45">
        <v>8.4948933603290033E-2</v>
      </c>
      <c r="G38" s="44">
        <v>0.13853103492670851</v>
      </c>
      <c r="H38" s="44">
        <v>0.2826446115735215</v>
      </c>
      <c r="I38" s="55">
        <v>9.2003366887293714E-2</v>
      </c>
      <c r="J38" s="45">
        <v>0.125</v>
      </c>
      <c r="K38" s="45">
        <v>-0.14386079454399459</v>
      </c>
      <c r="M38" s="45"/>
    </row>
    <row r="39" spans="1:13">
      <c r="A39" s="11">
        <v>2007</v>
      </c>
      <c r="B39" s="52">
        <f>HLOOKUP(Parameters!$F$2,'Verplichtingen Nominaal'!$B$1:$O$40,A39-1968)</f>
        <v>-2.8513173660361504E-2</v>
      </c>
      <c r="C39" s="23">
        <f>HLOOKUP(Parameters!$F$2,'Verplichtingen Reeel'!$B$1:$O$40,A39-1968)</f>
        <v>-7.3951029657141162E-2</v>
      </c>
      <c r="D39" s="54">
        <v>0.14621511201394499</v>
      </c>
      <c r="E39" s="44">
        <v>1.6878366173860737E-2</v>
      </c>
      <c r="F39" s="45">
        <v>5.5289635612908783E-2</v>
      </c>
      <c r="G39" s="44">
        <v>3.0667815911639744E-2</v>
      </c>
      <c r="H39" s="44">
        <v>0.3558723415156908</v>
      </c>
      <c r="I39" s="55">
        <v>7.6716885142879443E-2</v>
      </c>
      <c r="J39" s="45">
        <v>6.3E-2</v>
      </c>
      <c r="K39" s="45">
        <v>0.29177981135175179</v>
      </c>
      <c r="M39" s="45"/>
    </row>
    <row r="40" spans="1:13">
      <c r="A40" s="11">
        <v>2008</v>
      </c>
      <c r="B40" s="52">
        <f>HLOOKUP(Parameters!$F$2,'Verplichtingen Nominaal'!$B$1:$O$40,A40-1968)</f>
        <v>0.2130714816273665</v>
      </c>
      <c r="C40" s="23">
        <f>HLOOKUP(Parameters!$F$2,'Verplichtingen Reeel'!$B$1:$O$40,A40-1968)</f>
        <v>0.10286645338691357</v>
      </c>
      <c r="D40" s="54">
        <v>-7.5208414512974886E-2</v>
      </c>
      <c r="E40" s="44">
        <v>-0.27026814277046363</v>
      </c>
      <c r="F40" s="45">
        <v>-9.4767579994026407E-2</v>
      </c>
      <c r="G40" s="44">
        <v>-0.40801246973867283</v>
      </c>
      <c r="H40" s="44">
        <v>-0.5520456168828628</v>
      </c>
      <c r="I40" s="55">
        <v>-0.19112223056867816</v>
      </c>
      <c r="J40" s="53">
        <v>3.3000000000000002E-2</v>
      </c>
      <c r="K40" s="45">
        <v>-0.48165038152589057</v>
      </c>
      <c r="M40" s="45"/>
    </row>
    <row r="41" spans="1:13">
      <c r="A41" s="11">
        <v>2009</v>
      </c>
      <c r="B41" s="52">
        <f>HLOOKUP(Parameters!$F$2,'Verplichtingen Nominaal'!$B$1:$O$41,A41-1968)</f>
        <v>3.0662162873240639E-4</v>
      </c>
      <c r="C41" s="23">
        <f>HLOOKUP(Parameters!$F$2,'Verplichtingen Reeel'!$B$1:$O$41,A41-1968)</f>
        <v>8.3231386375289373E-2</v>
      </c>
      <c r="D41" s="54">
        <v>0.10442678774120329</v>
      </c>
      <c r="E41" s="44">
        <v>0.56809086730234393</v>
      </c>
      <c r="F41" s="45">
        <v>0.26227276583907888</v>
      </c>
      <c r="G41" s="44">
        <v>0.25591175119937115</v>
      </c>
      <c r="H41" s="44">
        <v>0.77650164300268099</v>
      </c>
      <c r="I41" s="55">
        <v>9.6538503463936332E-2</v>
      </c>
      <c r="J41" s="54">
        <v>-2E-3</v>
      </c>
      <c r="K41" s="45">
        <v>0.14152035913264371</v>
      </c>
      <c r="M41" s="45"/>
    </row>
    <row r="43" spans="1:13">
      <c r="G43" s="45"/>
      <c r="H43" s="45"/>
      <c r="I43" s="28"/>
      <c r="J43" s="28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indexed="11"/>
  </sheetPr>
  <dimension ref="A1:E41"/>
  <sheetViews>
    <sheetView zoomScale="75" workbookViewId="0">
      <selection activeCell="D1" sqref="D1"/>
    </sheetView>
  </sheetViews>
  <sheetFormatPr defaultRowHeight="12.75"/>
  <cols>
    <col min="1" max="1" width="20.85546875" customWidth="1"/>
    <col min="2" max="2" width="13" customWidth="1"/>
    <col min="3" max="3" width="16.5703125" customWidth="1"/>
    <col min="4" max="4" width="13.7109375" customWidth="1"/>
    <col min="5" max="5" width="14.42578125" customWidth="1"/>
  </cols>
  <sheetData>
    <row r="1" spans="1:5">
      <c r="A1" s="9" t="s">
        <v>8</v>
      </c>
      <c r="B1" s="88" t="s">
        <v>100</v>
      </c>
      <c r="C1" s="62" t="s">
        <v>99</v>
      </c>
    </row>
    <row r="2" spans="1:5">
      <c r="A2" s="11">
        <v>1970</v>
      </c>
      <c r="B2" s="81">
        <v>5.5702917771883076E-2</v>
      </c>
      <c r="C2" s="16">
        <v>-1.5537402002834266E-3</v>
      </c>
      <c r="D2" s="245">
        <v>0.05</v>
      </c>
      <c r="E2" s="245">
        <v>6.3899999999999998E-2</v>
      </c>
    </row>
    <row r="3" spans="1:5">
      <c r="A3" s="11">
        <v>1971</v>
      </c>
      <c r="B3" s="81">
        <v>3.2663316582914659E-2</v>
      </c>
      <c r="C3" s="16">
        <v>4.4548548537260757E-2</v>
      </c>
      <c r="D3" s="245">
        <v>4.5999999999999999E-2</v>
      </c>
      <c r="E3" s="245">
        <v>5.9299999999999999E-2</v>
      </c>
    </row>
    <row r="4" spans="1:5">
      <c r="A4" s="11">
        <v>1972</v>
      </c>
      <c r="B4" s="81">
        <v>3.4063260340632562E-2</v>
      </c>
      <c r="C4" s="16">
        <v>6.9335064224706366E-2</v>
      </c>
      <c r="D4" s="245">
        <v>5.5199999999999999E-2</v>
      </c>
      <c r="E4" s="245">
        <v>6.3600000000000004E-2</v>
      </c>
    </row>
    <row r="5" spans="1:5">
      <c r="A5" s="11">
        <v>1973</v>
      </c>
      <c r="B5" s="81">
        <v>8.9411764705882302E-2</v>
      </c>
      <c r="C5" s="16">
        <v>4.1750358499002882E-2</v>
      </c>
      <c r="D5" s="245">
        <v>7.2700000000000001E-2</v>
      </c>
      <c r="E5" s="245">
        <v>6.7400000000000002E-2</v>
      </c>
    </row>
    <row r="6" spans="1:5">
      <c r="A6" s="11">
        <v>1974</v>
      </c>
      <c r="B6" s="81">
        <v>0.12095032397408212</v>
      </c>
      <c r="C6" s="16">
        <v>-1.9929134573646534E-2</v>
      </c>
      <c r="D6" s="245">
        <v>7.3099999999999998E-2</v>
      </c>
      <c r="E6" s="245">
        <v>7.4299999999999991E-2</v>
      </c>
    </row>
    <row r="7" spans="1:5">
      <c r="A7" s="11">
        <v>1975</v>
      </c>
      <c r="B7" s="81">
        <v>7.1290944123314048E-2</v>
      </c>
      <c r="C7" s="16">
        <v>2.5373377225328397E-2</v>
      </c>
      <c r="D7" s="245">
        <v>6.6000000000000003E-2</v>
      </c>
      <c r="E7" s="245">
        <v>0.08</v>
      </c>
    </row>
    <row r="8" spans="1:5">
      <c r="A8" s="11">
        <v>1976</v>
      </c>
      <c r="B8" s="81">
        <v>5.0359712230215736E-2</v>
      </c>
      <c r="C8" s="16">
        <v>4.2990964761303152E-2</v>
      </c>
      <c r="D8" s="245">
        <v>4.8899999999999999E-2</v>
      </c>
      <c r="E8" s="245">
        <v>6.8699999999999997E-2</v>
      </c>
    </row>
    <row r="9" spans="1:5">
      <c r="A9" s="11">
        <v>1977</v>
      </c>
      <c r="B9" s="81">
        <v>6.6780821917808098E-2</v>
      </c>
      <c r="C9" s="16">
        <v>4.9945882682439047E-2</v>
      </c>
      <c r="D9" s="245">
        <v>6.9599999999999995E-2</v>
      </c>
      <c r="E9" s="245">
        <v>7.690000000000001E-2</v>
      </c>
    </row>
    <row r="10" spans="1:5">
      <c r="A10" s="11">
        <v>1978</v>
      </c>
      <c r="B10" s="81">
        <v>8.9887640449438422E-2</v>
      </c>
      <c r="C10" s="16">
        <v>6.7041437823817551E-2</v>
      </c>
      <c r="D10" s="245">
        <v>0.10300000000000001</v>
      </c>
      <c r="E10" s="245">
        <v>9.01E-2</v>
      </c>
    </row>
    <row r="11" spans="1:5">
      <c r="A11" s="11">
        <v>1979</v>
      </c>
      <c r="B11" s="81">
        <v>0.13254786450662737</v>
      </c>
      <c r="C11" s="16">
        <v>1.2598040446186509E-2</v>
      </c>
      <c r="D11" s="245">
        <v>0.1198</v>
      </c>
      <c r="E11" s="245">
        <v>0.10390000000000001</v>
      </c>
    </row>
    <row r="12" spans="1:5">
      <c r="A12" s="11">
        <v>1980</v>
      </c>
      <c r="B12" s="81">
        <v>0.12353706111833551</v>
      </c>
      <c r="C12" s="16">
        <v>-1.0247058533880971E-3</v>
      </c>
      <c r="D12" s="245">
        <v>0.14880000000000002</v>
      </c>
      <c r="E12" s="245">
        <v>0.12839999999999999</v>
      </c>
    </row>
    <row r="13" spans="1:5">
      <c r="A13" s="11">
        <v>1981</v>
      </c>
      <c r="B13" s="81">
        <v>8.9120370370370239E-2</v>
      </c>
      <c r="C13" s="16">
        <v>1.2170049596665899E-2</v>
      </c>
      <c r="D13" s="245">
        <v>0.1285</v>
      </c>
      <c r="E13" s="245">
        <v>0.13720000000000002</v>
      </c>
    </row>
    <row r="14" spans="1:5">
      <c r="A14" s="11">
        <v>1982</v>
      </c>
      <c r="B14" s="81">
        <v>3.8257173219978791E-2</v>
      </c>
      <c r="C14" s="16">
        <v>-1.4115889977299956E-2</v>
      </c>
      <c r="D14" s="245">
        <v>8.9099999999999999E-2</v>
      </c>
      <c r="E14" s="245">
        <v>0.10539999999999999</v>
      </c>
    </row>
    <row r="15" spans="1:5">
      <c r="A15" s="11">
        <v>1983</v>
      </c>
      <c r="B15" s="81">
        <v>3.7871033776867957E-2</v>
      </c>
      <c r="C15" s="16">
        <v>7.7426830620536347E-2</v>
      </c>
      <c r="D15" s="245">
        <v>0.1011</v>
      </c>
      <c r="E15" s="245">
        <v>0.1183</v>
      </c>
    </row>
    <row r="16" spans="1:5">
      <c r="A16" s="11">
        <v>1984</v>
      </c>
      <c r="B16" s="81">
        <v>4.0433925049309538E-2</v>
      </c>
      <c r="C16" s="16">
        <v>5.5598116471327508E-2</v>
      </c>
      <c r="D16" s="245">
        <v>9.3299999999999994E-2</v>
      </c>
      <c r="E16" s="245">
        <v>0.115</v>
      </c>
    </row>
    <row r="17" spans="1:5">
      <c r="A17" s="11">
        <v>1985</v>
      </c>
      <c r="B17" s="81">
        <v>3.7914691943127909E-2</v>
      </c>
      <c r="C17" s="16">
        <v>4.1731763189234217E-2</v>
      </c>
      <c r="D17" s="245">
        <v>7.6700000000000004E-2</v>
      </c>
      <c r="E17" s="245">
        <v>9.2600000000000002E-2</v>
      </c>
    </row>
    <row r="18" spans="1:5">
      <c r="A18" s="11">
        <v>1986</v>
      </c>
      <c r="B18" s="81">
        <v>1.1872146118721449E-2</v>
      </c>
      <c r="C18" s="16">
        <v>2.8384607179095633E-2</v>
      </c>
      <c r="D18" s="245">
        <v>5.8700000000000002E-2</v>
      </c>
      <c r="E18" s="245">
        <v>7.1099999999999997E-2</v>
      </c>
    </row>
    <row r="19" spans="1:5">
      <c r="A19" s="11">
        <v>1987</v>
      </c>
      <c r="B19" s="81">
        <v>4.3321299638989119E-2</v>
      </c>
      <c r="C19" s="16">
        <v>4.2590201330591659E-2</v>
      </c>
      <c r="D19" s="245">
        <v>7.17E-2</v>
      </c>
      <c r="E19" s="245">
        <v>8.9900000000000008E-2</v>
      </c>
    </row>
    <row r="20" spans="1:5">
      <c r="A20" s="11">
        <v>1988</v>
      </c>
      <c r="B20" s="81">
        <v>4.4117647058823595E-2</v>
      </c>
      <c r="C20" s="16">
        <v>3.7002974783394427E-2</v>
      </c>
      <c r="D20" s="245">
        <v>8.9900000000000008E-2</v>
      </c>
      <c r="E20" s="245">
        <v>9.11E-2</v>
      </c>
    </row>
    <row r="21" spans="1:5">
      <c r="A21" s="11">
        <v>1989</v>
      </c>
      <c r="B21" s="81">
        <v>4.6396023198011616E-2</v>
      </c>
      <c r="C21" s="16">
        <v>2.7244148590294559E-2</v>
      </c>
      <c r="D21" s="245">
        <v>7.7199999999999991E-2</v>
      </c>
      <c r="E21" s="245">
        <v>7.8399999999999997E-2</v>
      </c>
    </row>
    <row r="22" spans="1:5">
      <c r="A22" s="11">
        <v>1990</v>
      </c>
      <c r="B22" s="81">
        <v>6.2549485352335621E-2</v>
      </c>
      <c r="C22" s="16">
        <v>5.5593057859852912E-3</v>
      </c>
      <c r="D22" s="245">
        <v>7.0499999999999993E-2</v>
      </c>
      <c r="E22" s="245">
        <v>8.0799999999999997E-2</v>
      </c>
    </row>
    <row r="23" spans="1:5">
      <c r="A23" s="11">
        <v>1991</v>
      </c>
      <c r="B23" s="81">
        <v>2.9806259314456129E-2</v>
      </c>
      <c r="C23" s="16">
        <v>1.0036721115793235E-2</v>
      </c>
      <c r="D23" s="245">
        <v>4.3799999999999999E-2</v>
      </c>
      <c r="E23" s="245">
        <v>7.0900000000000005E-2</v>
      </c>
    </row>
    <row r="24" spans="1:5">
      <c r="A24" s="11">
        <v>1992</v>
      </c>
      <c r="B24" s="81">
        <v>2.9667149059334541E-2</v>
      </c>
      <c r="C24" s="16">
        <v>4.3124057044661601E-2</v>
      </c>
      <c r="D24" s="245">
        <v>3.7100000000000001E-2</v>
      </c>
      <c r="E24" s="245">
        <v>6.7699999999999996E-2</v>
      </c>
    </row>
    <row r="25" spans="1:5">
      <c r="A25" s="11">
        <v>1993</v>
      </c>
      <c r="B25" s="81">
        <v>2.8109627547435068E-2</v>
      </c>
      <c r="C25" s="16">
        <v>2.6939832358641169E-2</v>
      </c>
      <c r="D25" s="245">
        <v>3.61E-2</v>
      </c>
      <c r="E25" s="245">
        <v>5.7699999999999994E-2</v>
      </c>
    </row>
    <row r="26" spans="1:5">
      <c r="A26" s="11">
        <v>1994</v>
      </c>
      <c r="B26" s="81">
        <v>2.5974025974025761E-2</v>
      </c>
      <c r="C26" s="16">
        <v>4.1580356902179982E-2</v>
      </c>
      <c r="D26" s="245">
        <v>7.1399999999999991E-2</v>
      </c>
      <c r="E26" s="245">
        <v>7.8100000000000003E-2</v>
      </c>
    </row>
    <row r="27" spans="1:5">
      <c r="A27" s="11">
        <v>1995</v>
      </c>
      <c r="B27" s="81">
        <v>2.5316455696202667E-2</v>
      </c>
      <c r="C27" s="16">
        <v>2.0114559522302011E-2</v>
      </c>
      <c r="D27" s="245">
        <v>5.3099999999999994E-2</v>
      </c>
      <c r="E27" s="245">
        <v>5.7099999999999998E-2</v>
      </c>
    </row>
    <row r="28" spans="1:5">
      <c r="A28" s="11">
        <v>1996</v>
      </c>
      <c r="B28" s="81">
        <v>3.378817413905133E-2</v>
      </c>
      <c r="C28" s="16">
        <v>4.4443682272144569E-2</v>
      </c>
      <c r="D28" s="245">
        <v>5.4699999999999999E-2</v>
      </c>
      <c r="E28" s="245">
        <v>6.3E-2</v>
      </c>
    </row>
    <row r="29" spans="1:5">
      <c r="A29" s="11">
        <v>1997</v>
      </c>
      <c r="B29" s="81">
        <v>1.6970458830924073E-2</v>
      </c>
      <c r="C29" s="16">
        <v>4.3410771253832969E-2</v>
      </c>
      <c r="D29" s="245">
        <v>5.5300000000000002E-2</v>
      </c>
      <c r="E29" s="245">
        <v>5.8099999999999999E-2</v>
      </c>
    </row>
    <row r="30" spans="1:5">
      <c r="A30" s="11">
        <v>1998</v>
      </c>
      <c r="B30" s="81">
        <v>1.606922126081578E-2</v>
      </c>
      <c r="C30" s="16">
        <v>4.9825884510085849E-2</v>
      </c>
      <c r="D30" s="245">
        <v>4.5199999999999997E-2</v>
      </c>
      <c r="E30" s="245">
        <v>4.6500000000000007E-2</v>
      </c>
    </row>
    <row r="31" spans="1:5">
      <c r="A31" s="11">
        <v>1999</v>
      </c>
      <c r="B31" s="81">
        <v>2.6763990267639981E-2</v>
      </c>
      <c r="C31" s="16">
        <v>4.8220355315094166E-2</v>
      </c>
      <c r="D31" s="245">
        <v>5.8400000000000001E-2</v>
      </c>
      <c r="E31" s="245">
        <v>6.2800000000000009E-2</v>
      </c>
    </row>
    <row r="32" spans="1:5">
      <c r="A32" s="11">
        <v>2000</v>
      </c>
      <c r="B32" s="81">
        <v>3.4360189573459543E-2</v>
      </c>
      <c r="C32" s="16">
        <v>2.9079590864710347E-2</v>
      </c>
      <c r="D32" s="245">
        <v>5.5999999999999994E-2</v>
      </c>
      <c r="E32" s="245">
        <v>5.2400000000000002E-2</v>
      </c>
    </row>
    <row r="33" spans="1:5">
      <c r="A33" s="11">
        <v>2001</v>
      </c>
      <c r="B33" s="81">
        <v>1.6036655211913109E-2</v>
      </c>
      <c r="C33" s="16">
        <v>4.0216880361487739E-3</v>
      </c>
      <c r="D33" s="245">
        <v>2.2200000000000001E-2</v>
      </c>
      <c r="E33" s="245">
        <v>5.0900000000000001E-2</v>
      </c>
    </row>
    <row r="34" spans="1:5">
      <c r="A34" s="11">
        <v>2002</v>
      </c>
      <c r="B34" s="81">
        <v>2.4802705749718212E-2</v>
      </c>
      <c r="C34" s="16">
        <v>1.9217358539376672E-2</v>
      </c>
      <c r="D34" s="245">
        <v>1.4499999999999999E-2</v>
      </c>
      <c r="E34" s="245">
        <v>4.0300000000000002E-2</v>
      </c>
    </row>
    <row r="35" spans="1:5">
      <c r="A35" s="11">
        <v>2003</v>
      </c>
      <c r="B35" s="81">
        <v>2.0352035203520247E-2</v>
      </c>
      <c r="C35" s="16">
        <v>3.8279139333435852E-2</v>
      </c>
      <c r="D35" s="245">
        <v>1.3100000000000001E-2</v>
      </c>
      <c r="E35" s="245">
        <v>4.2699999999999995E-2</v>
      </c>
    </row>
    <row r="36" spans="1:5">
      <c r="A36" s="11">
        <v>2004</v>
      </c>
      <c r="B36" s="81">
        <v>3.3423180592991875E-2</v>
      </c>
      <c r="C36" s="16">
        <v>3.0513209658504348E-2</v>
      </c>
      <c r="D36" s="245">
        <v>2.6699999999999998E-2</v>
      </c>
      <c r="E36" s="245">
        <v>4.2300000000000004E-2</v>
      </c>
    </row>
    <row r="37" spans="1:5">
      <c r="A37" s="11">
        <v>2005</v>
      </c>
      <c r="B37" s="81">
        <v>3.3385498174230532E-2</v>
      </c>
      <c r="C37" s="16">
        <v>2.7269082201355488E-2</v>
      </c>
      <c r="D37" s="245">
        <v>4.3499999999999997E-2</v>
      </c>
      <c r="E37" s="245">
        <v>4.4699999999999997E-2</v>
      </c>
    </row>
    <row r="38" spans="1:5">
      <c r="A38" s="11">
        <v>2006</v>
      </c>
      <c r="B38" s="81">
        <v>2.5239777889954462E-2</v>
      </c>
      <c r="C38" s="16">
        <v>2.4471516662210036E-2</v>
      </c>
      <c r="D38" s="245">
        <v>4.9400000000000006E-2</v>
      </c>
      <c r="E38" s="245">
        <v>4.5599999999999995E-2</v>
      </c>
    </row>
    <row r="39" spans="1:5">
      <c r="A39" s="11">
        <v>2007</v>
      </c>
      <c r="B39" s="81">
        <v>4.1033973412112346E-2</v>
      </c>
      <c r="C39" s="16">
        <v>2.3184782353199207E-2</v>
      </c>
      <c r="D39" s="245">
        <v>3.2599999999999997E-2</v>
      </c>
      <c r="E39" s="245">
        <v>4.0999999999999995E-2</v>
      </c>
    </row>
    <row r="40" spans="1:5">
      <c r="A40" s="11">
        <v>2008</v>
      </c>
      <c r="B40" s="81">
        <v>-4.4931278791493501E-4</v>
      </c>
      <c r="C40" s="16">
        <v>-2.7674137171373125E-2</v>
      </c>
      <c r="D40" s="245">
        <v>4.8999999999999998E-3</v>
      </c>
      <c r="E40" s="245">
        <v>2.4199999999999999E-2</v>
      </c>
    </row>
    <row r="41" spans="1:5">
      <c r="A41" s="11">
        <v>2009</v>
      </c>
      <c r="B41" s="81">
        <v>2.7846256488390564E-2</v>
      </c>
      <c r="C41" s="16">
        <v>1.9507198315487084E-3</v>
      </c>
      <c r="D41" s="245">
        <v>3.7000000000000002E-3</v>
      </c>
      <c r="E41" s="245">
        <v>3.5900000000000001E-2</v>
      </c>
    </row>
  </sheetData>
  <phoneticPr fontId="2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3" enableFormatConditionsCalculation="0">
    <tabColor indexed="11"/>
  </sheetPr>
  <dimension ref="A1:S41"/>
  <sheetViews>
    <sheetView zoomScale="75" workbookViewId="0">
      <selection activeCell="H22" sqref="H22"/>
    </sheetView>
  </sheetViews>
  <sheetFormatPr defaultRowHeight="12.75"/>
  <cols>
    <col min="1" max="1" width="9.140625" style="47"/>
    <col min="2" max="7" width="9.140625" style="46"/>
    <col min="8" max="16" width="9.140625" style="47"/>
    <col min="17" max="17" width="9.85546875" style="47" bestFit="1" customWidth="1"/>
    <col min="18" max="16384" width="9.140625" style="47"/>
  </cols>
  <sheetData>
    <row r="1" spans="1:19">
      <c r="B1" s="46" t="s">
        <v>60</v>
      </c>
      <c r="C1" s="46" t="s">
        <v>61</v>
      </c>
      <c r="D1" s="46" t="s">
        <v>62</v>
      </c>
      <c r="E1" s="46" t="s">
        <v>63</v>
      </c>
      <c r="F1" s="46" t="s">
        <v>64</v>
      </c>
      <c r="G1" s="46" t="s">
        <v>59</v>
      </c>
      <c r="H1" s="47" t="s">
        <v>65</v>
      </c>
      <c r="I1" s="47" t="s">
        <v>66</v>
      </c>
      <c r="J1" s="47" t="s">
        <v>67</v>
      </c>
      <c r="K1" s="47" t="s">
        <v>68</v>
      </c>
      <c r="L1" s="47" t="s">
        <v>69</v>
      </c>
      <c r="M1" s="47" t="s">
        <v>70</v>
      </c>
      <c r="N1" s="47" t="s">
        <v>71</v>
      </c>
      <c r="O1" s="47" t="s">
        <v>58</v>
      </c>
    </row>
    <row r="2" spans="1:19">
      <c r="A2" s="32">
        <v>1970</v>
      </c>
    </row>
    <row r="3" spans="1:19">
      <c r="A3" s="32">
        <v>1971</v>
      </c>
      <c r="B3" s="48">
        <v>8.2796274998829869E-2</v>
      </c>
      <c r="C3" s="48">
        <v>8.3824677184948349E-2</v>
      </c>
      <c r="D3" s="49">
        <v>8.4754476317459845E-2</v>
      </c>
      <c r="E3" s="49">
        <v>8.2633408239175102E-2</v>
      </c>
      <c r="F3" s="49">
        <v>8.3883771132295129E-2</v>
      </c>
      <c r="G3" s="49">
        <v>8.3994988945600799E-2</v>
      </c>
      <c r="H3" s="48">
        <v>8.3850467091960285E-2</v>
      </c>
      <c r="I3" s="48">
        <v>8.4182877000046064E-2</v>
      </c>
      <c r="J3" s="48">
        <v>8.2977918639341827E-2</v>
      </c>
      <c r="K3" s="48">
        <v>8.260906606677762E-2</v>
      </c>
      <c r="L3" s="48">
        <v>8.3088455477188752E-2</v>
      </c>
      <c r="M3" s="48">
        <v>8.3026755288574394E-2</v>
      </c>
      <c r="N3" s="48">
        <v>8.2384970809127295E-2</v>
      </c>
      <c r="O3" s="48">
        <v>8.5301446120478866E-2</v>
      </c>
      <c r="P3" s="48"/>
      <c r="Q3" s="48"/>
      <c r="R3" s="48"/>
      <c r="S3" s="48"/>
    </row>
    <row r="4" spans="1:19">
      <c r="A4" s="32">
        <v>1972</v>
      </c>
      <c r="B4" s="48">
        <v>-4.7517249715055887E-2</v>
      </c>
      <c r="C4" s="48">
        <v>2.0267419396187698E-3</v>
      </c>
      <c r="D4" s="49">
        <v>-3.0941504432877555E-2</v>
      </c>
      <c r="E4" s="49">
        <v>-1.2135564169403338E-2</v>
      </c>
      <c r="F4" s="49">
        <v>1.0591733477501579E-2</v>
      </c>
      <c r="G4" s="49">
        <v>-1.2525827052390078E-2</v>
      </c>
      <c r="H4" s="48">
        <v>-5.6603653861555768E-3</v>
      </c>
      <c r="I4" s="48">
        <v>-2.3543523863059111E-2</v>
      </c>
      <c r="J4" s="48">
        <v>-2.1798108683560359E-3</v>
      </c>
      <c r="K4" s="48">
        <v>-1.6113995456470635E-2</v>
      </c>
      <c r="L4" s="48">
        <v>-1.0776557271227518E-3</v>
      </c>
      <c r="M4" s="48">
        <v>-1.3632347215873971E-3</v>
      </c>
      <c r="N4" s="48">
        <v>-1.8159551625220378E-2</v>
      </c>
      <c r="O4" s="48">
        <v>1.2979891799068419E-3</v>
      </c>
      <c r="P4" s="48"/>
      <c r="Q4" s="48"/>
      <c r="R4" s="48"/>
      <c r="S4" s="48"/>
    </row>
    <row r="5" spans="1:19">
      <c r="A5" s="32">
        <v>1973</v>
      </c>
      <c r="B5" s="48">
        <v>-0.14401331472088769</v>
      </c>
      <c r="C5" s="48">
        <v>-4.1475709193550814E-2</v>
      </c>
      <c r="D5" s="49">
        <v>-0.10991620533027384</v>
      </c>
      <c r="E5" s="49">
        <v>-7.0580653982137018E-2</v>
      </c>
      <c r="F5" s="49">
        <v>-2.4580820307558229E-2</v>
      </c>
      <c r="G5" s="49">
        <v>-7.0866555609838594E-2</v>
      </c>
      <c r="H5" s="48">
        <v>-5.7169296173137728E-2</v>
      </c>
      <c r="I5" s="48">
        <v>-9.5069216056506312E-2</v>
      </c>
      <c r="J5" s="48">
        <v>-4.9934175400060433E-2</v>
      </c>
      <c r="K5" s="48">
        <v>-7.7765945426318109E-2</v>
      </c>
      <c r="L5" s="48">
        <v>-4.7891665895831985E-2</v>
      </c>
      <c r="M5" s="48">
        <v>-4.7992176642752994E-2</v>
      </c>
      <c r="N5" s="48">
        <v>-8.2597538804047133E-2</v>
      </c>
      <c r="O5" s="48">
        <v>-4.2898447408134616E-2</v>
      </c>
      <c r="P5" s="48"/>
      <c r="Q5" s="48"/>
      <c r="R5" s="48"/>
      <c r="S5" s="48"/>
    </row>
    <row r="6" spans="1:19">
      <c r="A6" s="32">
        <v>1974</v>
      </c>
      <c r="B6" s="48">
        <v>7.4335102560628377E-2</v>
      </c>
      <c r="C6" s="48">
        <v>8.2844167413769015E-2</v>
      </c>
      <c r="D6" s="49">
        <v>7.826764353200287E-2</v>
      </c>
      <c r="E6" s="49">
        <v>8.0144630176848322E-2</v>
      </c>
      <c r="F6" s="49">
        <v>8.4725508984981712E-2</v>
      </c>
      <c r="G6" s="49">
        <v>8.0679109456931228E-2</v>
      </c>
      <c r="H6" s="48">
        <v>8.1860721151964549E-2</v>
      </c>
      <c r="I6" s="48">
        <v>8.0169067161593416E-2</v>
      </c>
      <c r="J6" s="48">
        <v>8.1624574096828467E-2</v>
      </c>
      <c r="K6" s="48">
        <v>7.899268820572912E-2</v>
      </c>
      <c r="L6" s="48">
        <v>8.2197209649413558E-2</v>
      </c>
      <c r="M6" s="48">
        <v>8.1659079481400887E-2</v>
      </c>
      <c r="N6" s="48">
        <v>7.8713154931875584E-2</v>
      </c>
      <c r="O6" s="48">
        <v>8.3203321440420475E-2</v>
      </c>
      <c r="P6" s="48"/>
      <c r="Q6" s="48"/>
      <c r="R6" s="48"/>
      <c r="S6" s="48"/>
    </row>
    <row r="7" spans="1:19">
      <c r="A7" s="32">
        <v>1975</v>
      </c>
      <c r="B7" s="48">
        <v>0.35798277983305421</v>
      </c>
      <c r="C7" s="48">
        <v>0.23180629742851239</v>
      </c>
      <c r="D7" s="49">
        <v>0.31859839380105404</v>
      </c>
      <c r="E7" s="49">
        <v>0.26158512919019589</v>
      </c>
      <c r="F7" s="49">
        <v>0.21300974809584414</v>
      </c>
      <c r="G7" s="49">
        <v>0.26667091617602479</v>
      </c>
      <c r="H7" s="48">
        <v>0.24985796569624599</v>
      </c>
      <c r="I7" s="48">
        <v>0.29609757171579387</v>
      </c>
      <c r="J7" s="48">
        <v>0.2389086558248438</v>
      </c>
      <c r="K7" s="48">
        <v>0.27070025583019747</v>
      </c>
      <c r="L7" s="48">
        <v>0.23682251870719065</v>
      </c>
      <c r="M7" s="48">
        <v>0.2370084902505655</v>
      </c>
      <c r="N7" s="48">
        <v>0.27565975133224402</v>
      </c>
      <c r="O7" s="48">
        <v>0.23835275065451972</v>
      </c>
      <c r="P7" s="48"/>
      <c r="Q7" s="48"/>
      <c r="R7" s="48"/>
      <c r="S7" s="48"/>
    </row>
    <row r="8" spans="1:19">
      <c r="A8" s="32">
        <v>1976</v>
      </c>
      <c r="B8" s="48">
        <v>0.25003024754028769</v>
      </c>
      <c r="C8" s="48">
        <v>0.17521907174637974</v>
      </c>
      <c r="D8" s="49">
        <v>0.22818468137995968</v>
      </c>
      <c r="E8" s="49">
        <v>0.19328881370511311</v>
      </c>
      <c r="F8" s="49">
        <v>0.16254123603477705</v>
      </c>
      <c r="G8" s="49">
        <v>0.19721390741122757</v>
      </c>
      <c r="H8" s="48">
        <v>0.18644827362174413</v>
      </c>
      <c r="I8" s="48">
        <v>0.21426836678843264</v>
      </c>
      <c r="J8" s="48">
        <v>0.17942085399186938</v>
      </c>
      <c r="K8" s="48">
        <v>0.19948663550590864</v>
      </c>
      <c r="L8" s="48">
        <v>0.17777493603413902</v>
      </c>
      <c r="M8" s="48">
        <v>0.17840123579425096</v>
      </c>
      <c r="N8" s="48">
        <v>0.20204605499551279</v>
      </c>
      <c r="O8" s="48">
        <v>0.18013626093828841</v>
      </c>
      <c r="P8" s="48"/>
      <c r="Q8" s="48"/>
      <c r="R8" s="48"/>
      <c r="S8" s="48"/>
    </row>
    <row r="9" spans="1:19">
      <c r="A9" s="32">
        <v>1977</v>
      </c>
      <c r="B9" s="48">
        <v>5.2470633071994018E-2</v>
      </c>
      <c r="C9" s="48">
        <v>0.10774734464199882</v>
      </c>
      <c r="D9" s="49">
        <v>7.8489276687786019E-2</v>
      </c>
      <c r="E9" s="49">
        <v>8.7684172323857779E-2</v>
      </c>
      <c r="F9" s="49">
        <v>0.1143757939199213</v>
      </c>
      <c r="G9" s="49">
        <v>9.5340590258276459E-2</v>
      </c>
      <c r="H9" s="48">
        <v>0.100445319110246</v>
      </c>
      <c r="I9" s="48">
        <v>7.853500246782745E-2</v>
      </c>
      <c r="J9" s="48">
        <v>0.10060834601896702</v>
      </c>
      <c r="K9" s="48">
        <v>8.6862133120727325E-2</v>
      </c>
      <c r="L9" s="48">
        <v>0.10157562275817256</v>
      </c>
      <c r="M9" s="48">
        <v>0.10249111117645868</v>
      </c>
      <c r="N9" s="48">
        <v>8.2392310569796817E-2</v>
      </c>
      <c r="O9" s="48">
        <v>0.1150987275683342</v>
      </c>
      <c r="P9" s="48"/>
      <c r="Q9" s="48"/>
      <c r="R9" s="48"/>
      <c r="S9" s="48"/>
    </row>
    <row r="10" spans="1:19">
      <c r="A10" s="32">
        <v>1978</v>
      </c>
      <c r="B10" s="48">
        <v>0.18784236750282959</v>
      </c>
      <c r="C10" s="48">
        <v>9.5043690028747727E-2</v>
      </c>
      <c r="D10" s="49">
        <v>0.15312383789488232</v>
      </c>
      <c r="E10" s="49">
        <v>0.12182042817343575</v>
      </c>
      <c r="F10" s="49">
        <v>8.1656146780976491E-2</v>
      </c>
      <c r="G10" s="49">
        <v>0.11918149321264632</v>
      </c>
      <c r="H10" s="48">
        <v>0.10809822982474049</v>
      </c>
      <c r="I10" s="48">
        <v>0.14352372716450626</v>
      </c>
      <c r="J10" s="48">
        <v>0.10287474435837493</v>
      </c>
      <c r="K10" s="48">
        <v>0.12665273892034201</v>
      </c>
      <c r="L10" s="48">
        <v>0.10114439055630105</v>
      </c>
      <c r="M10" s="48">
        <v>0.10083064769679394</v>
      </c>
      <c r="N10" s="48">
        <v>0.1317548979672703</v>
      </c>
      <c r="O10" s="48">
        <v>9.3632812740304203E-2</v>
      </c>
      <c r="P10" s="48"/>
      <c r="Q10" s="48"/>
      <c r="R10" s="48"/>
      <c r="S10" s="48"/>
    </row>
    <row r="11" spans="1:19">
      <c r="A11" s="32">
        <v>1979</v>
      </c>
      <c r="B11" s="48">
        <v>-5.0850424936298003E-2</v>
      </c>
      <c r="C11" s="48">
        <v>-2.0796198946977172E-2</v>
      </c>
      <c r="D11" s="49">
        <v>-4.149035734603744E-2</v>
      </c>
      <c r="E11" s="49">
        <v>-2.8741635985004295E-2</v>
      </c>
      <c r="F11" s="49">
        <v>-1.6049296689065778E-2</v>
      </c>
      <c r="G11" s="49">
        <v>-2.9996352247605305E-2</v>
      </c>
      <c r="H11" s="48">
        <v>-2.5737762629174175E-2</v>
      </c>
      <c r="I11" s="48">
        <v>-3.6812069473937614E-2</v>
      </c>
      <c r="J11" s="48">
        <v>-2.2824465718216565E-2</v>
      </c>
      <c r="K11" s="48">
        <v>-3.1108287907989734E-2</v>
      </c>
      <c r="L11" s="48">
        <v>-2.2556506035225805E-2</v>
      </c>
      <c r="M11" s="48">
        <v>-2.2316622031858524E-2</v>
      </c>
      <c r="N11" s="48">
        <v>-3.2247687005086262E-2</v>
      </c>
      <c r="O11" s="48">
        <v>-2.2007202151342938E-2</v>
      </c>
      <c r="P11" s="48"/>
      <c r="Q11" s="48"/>
      <c r="R11" s="48"/>
      <c r="S11" s="48"/>
    </row>
    <row r="12" spans="1:19">
      <c r="A12" s="32">
        <v>1980</v>
      </c>
      <c r="B12" s="48">
        <v>-4.339104558743663E-2</v>
      </c>
      <c r="C12" s="48">
        <v>-2.9976512943740642E-3</v>
      </c>
      <c r="D12" s="49">
        <v>-3.1341605862337377E-2</v>
      </c>
      <c r="E12" s="49">
        <v>-1.3409511415128408E-2</v>
      </c>
      <c r="F12" s="49">
        <v>4.5078301129905353E-3</v>
      </c>
      <c r="G12" s="49">
        <v>-1.5400723510156717E-2</v>
      </c>
      <c r="H12" s="48">
        <v>-9.3469510140024095E-3</v>
      </c>
      <c r="I12" s="48">
        <v>-2.3355841479853451E-2</v>
      </c>
      <c r="J12" s="48">
        <v>-5.8247435563936623E-3</v>
      </c>
      <c r="K12" s="48">
        <v>-1.7311696545838688E-2</v>
      </c>
      <c r="L12" s="48">
        <v>-4.8173953393741177E-3</v>
      </c>
      <c r="M12" s="48">
        <v>-5.3440165232140017E-3</v>
      </c>
      <c r="N12" s="48">
        <v>-1.8598936591616894E-2</v>
      </c>
      <c r="O12" s="48">
        <v>-5.4326038143141988E-3</v>
      </c>
      <c r="P12" s="48"/>
      <c r="Q12" s="48"/>
      <c r="R12" s="48"/>
      <c r="S12" s="48"/>
    </row>
    <row r="13" spans="1:19">
      <c r="A13" s="32">
        <v>1981</v>
      </c>
      <c r="B13" s="48">
        <v>7.6150836008006366E-3</v>
      </c>
      <c r="C13" s="48">
        <v>3.1714852718340125E-2</v>
      </c>
      <c r="D13" s="49">
        <v>1.4952100790947572E-2</v>
      </c>
      <c r="E13" s="49">
        <v>2.5745666608807179E-2</v>
      </c>
      <c r="F13" s="49">
        <v>3.6117243998470716E-2</v>
      </c>
      <c r="G13" s="49">
        <v>2.4316518724625195E-2</v>
      </c>
      <c r="H13" s="48">
        <v>2.7970566882863101E-2</v>
      </c>
      <c r="I13" s="48">
        <v>2.0224830182125564E-2</v>
      </c>
      <c r="J13" s="48">
        <v>3.0037676029684428E-2</v>
      </c>
      <c r="K13" s="48">
        <v>2.3184700149037639E-2</v>
      </c>
      <c r="L13" s="48">
        <v>3.061186807846741E-2</v>
      </c>
      <c r="M13" s="48">
        <v>3.0260673492721664E-2</v>
      </c>
      <c r="N13" s="48">
        <v>2.2534218734771991E-2</v>
      </c>
      <c r="O13" s="48">
        <v>3.0153728658947766E-2</v>
      </c>
      <c r="P13" s="48"/>
      <c r="Q13" s="48"/>
      <c r="R13" s="48"/>
      <c r="S13" s="48"/>
    </row>
    <row r="14" spans="1:19">
      <c r="A14" s="32">
        <v>1982</v>
      </c>
      <c r="B14" s="48">
        <v>0.41975758838984317</v>
      </c>
      <c r="C14" s="48">
        <v>0.27851160476463943</v>
      </c>
      <c r="D14" s="49">
        <v>0.37612261762178056</v>
      </c>
      <c r="E14" s="49">
        <v>0.31279720765998592</v>
      </c>
      <c r="F14" s="49">
        <v>0.25667887387881749</v>
      </c>
      <c r="G14" s="49">
        <v>0.31880642039370954</v>
      </c>
      <c r="H14" s="48">
        <v>0.29942799877748044</v>
      </c>
      <c r="I14" s="48">
        <v>0.3518985662768282</v>
      </c>
      <c r="J14" s="48">
        <v>0.28669333845555983</v>
      </c>
      <c r="K14" s="48">
        <v>0.32347636344208064</v>
      </c>
      <c r="L14" s="48">
        <v>0.2843589971043568</v>
      </c>
      <c r="M14" s="48">
        <v>0.284583544641413</v>
      </c>
      <c r="N14" s="48">
        <v>0.32873060583342101</v>
      </c>
      <c r="O14" s="48">
        <v>0.28571770492385595</v>
      </c>
      <c r="P14" s="48"/>
      <c r="Q14" s="48"/>
      <c r="R14" s="48"/>
      <c r="S14" s="48"/>
    </row>
    <row r="15" spans="1:19">
      <c r="A15" s="32">
        <v>1983</v>
      </c>
      <c r="B15" s="48">
        <v>3.8004447921266248E-2</v>
      </c>
      <c r="C15" s="48">
        <v>4.407265927542714E-2</v>
      </c>
      <c r="D15" s="49">
        <v>3.9480686998176112E-2</v>
      </c>
      <c r="E15" s="49">
        <v>4.2510712045494253E-2</v>
      </c>
      <c r="F15" s="49">
        <v>4.5796297047102065E-2</v>
      </c>
      <c r="G15" s="49">
        <v>4.1780737619876385E-2</v>
      </c>
      <c r="H15" s="48">
        <v>4.297091571884027E-2</v>
      </c>
      <c r="I15" s="48">
        <v>4.1735836367736014E-2</v>
      </c>
      <c r="J15" s="48">
        <v>4.347782939724943E-2</v>
      </c>
      <c r="K15" s="48">
        <v>4.1311151739751556E-2</v>
      </c>
      <c r="L15" s="48">
        <v>4.3772886464413165E-2</v>
      </c>
      <c r="M15" s="48">
        <v>4.3408179010810941E-2</v>
      </c>
      <c r="N15" s="48">
        <v>4.1334255517518008E-2</v>
      </c>
      <c r="O15" s="48">
        <v>4.3246403190147921E-2</v>
      </c>
      <c r="P15" s="48"/>
      <c r="Q15" s="48"/>
      <c r="R15" s="48"/>
      <c r="S15" s="48"/>
    </row>
    <row r="16" spans="1:19">
      <c r="A16" s="32">
        <v>1984</v>
      </c>
      <c r="B16" s="48">
        <v>5.1920645511186525E-2</v>
      </c>
      <c r="C16" s="48">
        <v>9.8384264819260034E-2</v>
      </c>
      <c r="D16" s="49">
        <v>7.3191705285604869E-2</v>
      </c>
      <c r="E16" s="49">
        <v>8.2129504544311199E-2</v>
      </c>
      <c r="F16" s="49">
        <v>0.10442226844006956</v>
      </c>
      <c r="G16" s="49">
        <v>8.7525763609622165E-2</v>
      </c>
      <c r="H16" s="48">
        <v>9.2200522251043429E-2</v>
      </c>
      <c r="I16" s="48">
        <v>7.4544540667012896E-2</v>
      </c>
      <c r="J16" s="48">
        <v>9.2584881595818222E-2</v>
      </c>
      <c r="K16" s="48">
        <v>8.064264706810359E-2</v>
      </c>
      <c r="L16" s="48">
        <v>9.3546171044759194E-2</v>
      </c>
      <c r="M16" s="48">
        <v>9.3942741694448245E-2</v>
      </c>
      <c r="N16" s="48">
        <v>7.7353945737172955E-2</v>
      </c>
      <c r="O16" s="48">
        <v>0.10368139744345264</v>
      </c>
      <c r="P16" s="48"/>
      <c r="Q16" s="48"/>
      <c r="R16" s="48"/>
      <c r="S16" s="48"/>
    </row>
    <row r="17" spans="1:19">
      <c r="A17" s="32">
        <v>1985</v>
      </c>
      <c r="B17" s="48">
        <v>0.18041082708114836</v>
      </c>
      <c r="C17" s="48">
        <v>0.13377908542821065</v>
      </c>
      <c r="D17" s="49">
        <v>0.16714407948669072</v>
      </c>
      <c r="E17" s="49">
        <v>0.14527128488435703</v>
      </c>
      <c r="F17" s="49">
        <v>0.1256788877550698</v>
      </c>
      <c r="G17" s="49">
        <v>0.14780078377305292</v>
      </c>
      <c r="H17" s="48">
        <v>0.14101740343958566</v>
      </c>
      <c r="I17" s="48">
        <v>0.15857905820608684</v>
      </c>
      <c r="J17" s="48">
        <v>0.13644374690694194</v>
      </c>
      <c r="K17" s="48">
        <v>0.14913686649245059</v>
      </c>
      <c r="L17" s="48">
        <v>0.13547386543728082</v>
      </c>
      <c r="M17" s="48">
        <v>0.13578768953017253</v>
      </c>
      <c r="N17" s="48">
        <v>0.15077828269944865</v>
      </c>
      <c r="O17" s="48">
        <v>0.13699970744164636</v>
      </c>
      <c r="P17" s="48"/>
      <c r="Q17" s="48"/>
      <c r="R17" s="48"/>
      <c r="S17" s="48"/>
    </row>
    <row r="18" spans="1:19">
      <c r="A18" s="32">
        <v>1986</v>
      </c>
      <c r="B18" s="48">
        <v>0.12678806325539518</v>
      </c>
      <c r="C18" s="48">
        <v>0.10258397864433814</v>
      </c>
      <c r="D18" s="49">
        <v>0.1208580669429847</v>
      </c>
      <c r="E18" s="49">
        <v>0.10825950365389077</v>
      </c>
      <c r="F18" s="49">
        <v>9.7954839398708374E-2</v>
      </c>
      <c r="G18" s="49">
        <v>0.11033737136356433</v>
      </c>
      <c r="H18" s="48">
        <v>0.10653481981224279</v>
      </c>
      <c r="I18" s="48">
        <v>0.11574699410144211</v>
      </c>
      <c r="J18" s="48">
        <v>0.10372411608504355</v>
      </c>
      <c r="K18" s="48">
        <v>0.11055117347660726</v>
      </c>
      <c r="L18" s="48">
        <v>0.10316522906214545</v>
      </c>
      <c r="M18" s="48">
        <v>0.10344892147367844</v>
      </c>
      <c r="N18" s="48">
        <v>0.11123422755454583</v>
      </c>
      <c r="O18" s="48">
        <v>0.1051147522266867</v>
      </c>
      <c r="P18" s="48"/>
      <c r="Q18" s="48"/>
      <c r="R18" s="48"/>
      <c r="S18" s="48"/>
    </row>
    <row r="19" spans="1:19">
      <c r="A19" s="32">
        <v>1987</v>
      </c>
      <c r="B19" s="48">
        <v>-0.11862790685234349</v>
      </c>
      <c r="C19" s="48">
        <v>-1.9856700664953226E-2</v>
      </c>
      <c r="D19" s="49">
        <v>-8.3616530112209334E-2</v>
      </c>
      <c r="E19" s="49">
        <v>-5.041172584702238E-2</v>
      </c>
      <c r="F19" s="49">
        <v>-3.2836889768743248E-3</v>
      </c>
      <c r="G19" s="49">
        <v>-4.7429259554099518E-2</v>
      </c>
      <c r="H19" s="48">
        <v>-3.481480800836665E-2</v>
      </c>
      <c r="I19" s="48">
        <v>-7.2361774291477762E-2</v>
      </c>
      <c r="J19" s="48">
        <v>-2.9331736005909596E-2</v>
      </c>
      <c r="K19" s="48">
        <v>-5.6326223000748694E-2</v>
      </c>
      <c r="L19" s="48">
        <v>-2.7007815146674066E-2</v>
      </c>
      <c r="M19" s="48">
        <v>-2.7118451593171992E-2</v>
      </c>
      <c r="N19" s="48">
        <v>-6.1781518056136769E-2</v>
      </c>
      <c r="O19" s="48">
        <v>-1.8411899876544902E-2</v>
      </c>
      <c r="P19" s="48"/>
      <c r="Q19" s="48"/>
      <c r="R19" s="48"/>
      <c r="S19" s="48"/>
    </row>
    <row r="20" spans="1:19">
      <c r="A20" s="32">
        <v>1988</v>
      </c>
      <c r="B20" s="48">
        <v>0.24909746255094548</v>
      </c>
      <c r="C20" s="48">
        <v>0.13144538402802955</v>
      </c>
      <c r="D20" s="49">
        <v>0.20808029037589021</v>
      </c>
      <c r="E20" s="49">
        <v>0.16336428438059161</v>
      </c>
      <c r="F20" s="49">
        <v>0.11292677070484289</v>
      </c>
      <c r="G20" s="49">
        <v>0.16297839527235686</v>
      </c>
      <c r="H20" s="48">
        <v>0.1480080313935393</v>
      </c>
      <c r="I20" s="48">
        <v>0.19109895414671549</v>
      </c>
      <c r="J20" s="48">
        <v>0.14056515358276003</v>
      </c>
      <c r="K20" s="48">
        <v>0.17119614966907157</v>
      </c>
      <c r="L20" s="48">
        <v>0.13782492522129963</v>
      </c>
      <c r="M20" s="48">
        <v>0.13847119784963821</v>
      </c>
      <c r="N20" s="48">
        <v>0.17685832439455029</v>
      </c>
      <c r="O20" s="48">
        <v>0.1332254849253289</v>
      </c>
      <c r="P20" s="48"/>
      <c r="Q20" s="48"/>
      <c r="R20" s="48"/>
      <c r="S20" s="48"/>
    </row>
    <row r="21" spans="1:19">
      <c r="A21" s="32">
        <v>1989</v>
      </c>
      <c r="B21" s="48">
        <v>0.11567419329872546</v>
      </c>
      <c r="C21" s="48">
        <v>5.4409508832732337E-2</v>
      </c>
      <c r="D21" s="49">
        <v>9.1248290206637786E-2</v>
      </c>
      <c r="E21" s="49">
        <v>7.3165830354102207E-2</v>
      </c>
      <c r="F21" s="49">
        <v>4.5833471556555011E-2</v>
      </c>
      <c r="G21" s="49">
        <v>6.9792913682056354E-2</v>
      </c>
      <c r="H21" s="48">
        <v>6.2802597472613311E-2</v>
      </c>
      <c r="I21" s="48">
        <v>8.6766007343757362E-2</v>
      </c>
      <c r="J21" s="48">
        <v>6.0162947281216773E-2</v>
      </c>
      <c r="K21" s="48">
        <v>7.5890591913565855E-2</v>
      </c>
      <c r="L21" s="48">
        <v>5.8901387355414031E-2</v>
      </c>
      <c r="M21" s="48">
        <v>5.8673497267818023E-2</v>
      </c>
      <c r="N21" s="48">
        <v>7.9477185116340804E-2</v>
      </c>
      <c r="O21" s="48">
        <v>5.1621925865975887E-2</v>
      </c>
      <c r="P21" s="48"/>
      <c r="Q21" s="48"/>
      <c r="R21" s="48"/>
      <c r="S21" s="48"/>
    </row>
    <row r="22" spans="1:19">
      <c r="A22" s="32">
        <v>1990</v>
      </c>
      <c r="B22" s="48">
        <v>-0.13837702738110907</v>
      </c>
      <c r="C22" s="48">
        <v>-5.7661536619125479E-2</v>
      </c>
      <c r="D22" s="49">
        <v>-0.11318041070515426</v>
      </c>
      <c r="E22" s="49">
        <v>-8.0237447917429261E-2</v>
      </c>
      <c r="F22" s="49">
        <v>-4.3073304712776456E-2</v>
      </c>
      <c r="G22" s="49">
        <v>-8.2187900646750175E-2</v>
      </c>
      <c r="H22" s="48">
        <v>-7.0550466824451069E-2</v>
      </c>
      <c r="I22" s="48">
        <v>-0.10028729922590163</v>
      </c>
      <c r="J22" s="48">
        <v>-6.3985459935305827E-2</v>
      </c>
      <c r="K22" s="48">
        <v>-8.6963977310119261E-2</v>
      </c>
      <c r="L22" s="48">
        <v>-6.2148962457637083E-2</v>
      </c>
      <c r="M22" s="48">
        <v>-6.2691924108066607E-2</v>
      </c>
      <c r="N22" s="48">
        <v>-9.009798748751989E-2</v>
      </c>
      <c r="O22" s="48">
        <v>-6.0343002275784978E-2</v>
      </c>
      <c r="P22" s="48"/>
      <c r="Q22" s="48"/>
      <c r="R22" s="48"/>
      <c r="S22" s="48"/>
    </row>
    <row r="23" spans="1:19">
      <c r="A23" s="32">
        <v>1991</v>
      </c>
      <c r="B23" s="48">
        <v>0.32071418471253782</v>
      </c>
      <c r="C23" s="48">
        <v>0.19429548099011404</v>
      </c>
      <c r="D23" s="49">
        <v>0.27739212811352498</v>
      </c>
      <c r="E23" s="49">
        <v>0.22789062326086221</v>
      </c>
      <c r="F23" s="49">
        <v>0.17506844949301467</v>
      </c>
      <c r="G23" s="49">
        <v>0.22891740342458117</v>
      </c>
      <c r="H23" s="48">
        <v>0.21245380615514417</v>
      </c>
      <c r="I23" s="48">
        <v>0.26004651227315073</v>
      </c>
      <c r="J23" s="48">
        <v>0.20332028876104297</v>
      </c>
      <c r="K23" s="48">
        <v>0.23641737810275631</v>
      </c>
      <c r="L23" s="48">
        <v>0.20083535169041769</v>
      </c>
      <c r="M23" s="48">
        <v>0.20110067537868234</v>
      </c>
      <c r="N23" s="48">
        <v>0.24186299120360755</v>
      </c>
      <c r="O23" s="48">
        <v>0.19635465727286125</v>
      </c>
      <c r="P23" s="48"/>
      <c r="Q23" s="48"/>
      <c r="R23" s="48"/>
      <c r="S23" s="48"/>
    </row>
    <row r="24" spans="1:19">
      <c r="A24" s="32">
        <v>1992</v>
      </c>
      <c r="B24" s="48">
        <v>8.4707896217733725E-2</v>
      </c>
      <c r="C24" s="48">
        <v>0.11702038901327662</v>
      </c>
      <c r="D24" s="49">
        <v>0.1009210252423499</v>
      </c>
      <c r="E24" s="49">
        <v>0.1052070390359266</v>
      </c>
      <c r="F24" s="49">
        <v>0.12083631018653078</v>
      </c>
      <c r="G24" s="49">
        <v>0.10997528670788773</v>
      </c>
      <c r="H24" s="48">
        <v>0.11299109896439656</v>
      </c>
      <c r="I24" s="48">
        <v>0.10073467219680457</v>
      </c>
      <c r="J24" s="48">
        <v>0.11262225395341664</v>
      </c>
      <c r="K24" s="48">
        <v>0.1043764176544193</v>
      </c>
      <c r="L24" s="48">
        <v>0.11334796141352048</v>
      </c>
      <c r="M24" s="48">
        <v>0.11362535007897233</v>
      </c>
      <c r="N24" s="48">
        <v>0.10204437313393121</v>
      </c>
      <c r="O24" s="48">
        <v>0.12209808633559716</v>
      </c>
      <c r="P24" s="48"/>
      <c r="Q24" s="48"/>
      <c r="R24" s="48"/>
      <c r="S24" s="48"/>
    </row>
    <row r="25" spans="1:19">
      <c r="A25" s="32">
        <v>1993</v>
      </c>
      <c r="B25" s="48">
        <v>0.14813391040047191</v>
      </c>
      <c r="C25" s="48">
        <v>0.14871336447935898</v>
      </c>
      <c r="D25" s="49">
        <v>0.15423931319354553</v>
      </c>
      <c r="E25" s="49">
        <v>0.1456646156369176</v>
      </c>
      <c r="F25" s="49">
        <v>0.14697577415460517</v>
      </c>
      <c r="G25" s="49">
        <v>0.15121529262555655</v>
      </c>
      <c r="H25" s="48">
        <v>0.14968396556219282</v>
      </c>
      <c r="I25" s="48">
        <v>0.14905911614843581</v>
      </c>
      <c r="J25" s="48">
        <v>0.14678367339196677</v>
      </c>
      <c r="K25" s="48">
        <v>0.14755298171282324</v>
      </c>
      <c r="L25" s="48">
        <v>0.1468079078833926</v>
      </c>
      <c r="M25" s="48">
        <v>0.14731394884404658</v>
      </c>
      <c r="N25" s="48">
        <v>0.14634842122695962</v>
      </c>
      <c r="O25" s="48">
        <v>0.15464333172715694</v>
      </c>
      <c r="P25" s="48"/>
      <c r="Q25" s="48"/>
      <c r="R25" s="48"/>
      <c r="S25" s="48"/>
    </row>
    <row r="26" spans="1:19">
      <c r="A26" s="32">
        <v>1994</v>
      </c>
      <c r="B26" s="48">
        <v>-9.5304024086349762E-2</v>
      </c>
      <c r="C26" s="48">
        <v>-6.2614306737250713E-2</v>
      </c>
      <c r="D26" s="49">
        <v>-8.8387445230913977E-2</v>
      </c>
      <c r="E26" s="49">
        <v>-6.9955115719284408E-2</v>
      </c>
      <c r="F26" s="49">
        <v>-5.5088168530383418E-2</v>
      </c>
      <c r="G26" s="49">
        <v>-7.4123588751683789E-2</v>
      </c>
      <c r="H26" s="48">
        <v>-6.83053349214338E-2</v>
      </c>
      <c r="I26" s="48">
        <v>-7.9229413143739727E-2</v>
      </c>
      <c r="J26" s="48">
        <v>-6.4213678596358834E-2</v>
      </c>
      <c r="K26" s="48">
        <v>-7.4318280774796214E-2</v>
      </c>
      <c r="L26" s="48">
        <v>-6.3177271032097984E-2</v>
      </c>
      <c r="M26" s="48">
        <v>-6.4127994099096225E-2</v>
      </c>
      <c r="N26" s="48">
        <v>-7.4727036875690073E-2</v>
      </c>
      <c r="O26" s="48">
        <v>-6.7459097980156674E-2</v>
      </c>
      <c r="P26" s="48"/>
      <c r="Q26" s="48"/>
      <c r="R26" s="48"/>
      <c r="S26" s="48"/>
    </row>
    <row r="27" spans="1:19">
      <c r="A27" s="32">
        <v>1995</v>
      </c>
      <c r="B27" s="48">
        <v>0.32083809215431952</v>
      </c>
      <c r="C27" s="48">
        <v>0.23528181217160088</v>
      </c>
      <c r="D27" s="49">
        <v>0.29771746325740039</v>
      </c>
      <c r="E27" s="49">
        <v>0.25561170440615988</v>
      </c>
      <c r="F27" s="49">
        <v>0.2200974092541364</v>
      </c>
      <c r="G27" s="49">
        <v>0.2618726695461755</v>
      </c>
      <c r="H27" s="48">
        <v>0.24891038260197323</v>
      </c>
      <c r="I27" s="48">
        <v>0.28076398828181098</v>
      </c>
      <c r="J27" s="48">
        <v>0.23969271848149809</v>
      </c>
      <c r="K27" s="48">
        <v>0.2633743210805255</v>
      </c>
      <c r="L27" s="48">
        <v>0.23801185724579915</v>
      </c>
      <c r="M27" s="48">
        <v>0.23864162982198189</v>
      </c>
      <c r="N27" s="48">
        <v>0.26590992432261568</v>
      </c>
      <c r="O27" s="48">
        <v>0.24249788794507915</v>
      </c>
      <c r="P27" s="48"/>
      <c r="Q27" s="48"/>
      <c r="R27" s="48"/>
      <c r="S27" s="48"/>
    </row>
    <row r="28" spans="1:19">
      <c r="A28" s="32">
        <v>1996</v>
      </c>
      <c r="B28" s="48">
        <v>0.10192119666240192</v>
      </c>
      <c r="C28" s="48">
        <v>8.4535212845127189E-2</v>
      </c>
      <c r="D28" s="49">
        <v>9.7856560748573074E-2</v>
      </c>
      <c r="E28" s="49">
        <v>8.8539174703583801E-2</v>
      </c>
      <c r="F28" s="49">
        <v>8.1151778499522209E-2</v>
      </c>
      <c r="G28" s="49">
        <v>9.0260243563883388E-2</v>
      </c>
      <c r="H28" s="48">
        <v>8.7442843853889535E-2</v>
      </c>
      <c r="I28" s="48">
        <v>9.4230156117698638E-2</v>
      </c>
      <c r="J28" s="48">
        <v>8.5232651723281483E-2</v>
      </c>
      <c r="K28" s="48">
        <v>9.0199150816194215E-2</v>
      </c>
      <c r="L28" s="48">
        <v>8.4843920982430862E-2</v>
      </c>
      <c r="M28" s="48">
        <v>8.5025082398728802E-2</v>
      </c>
      <c r="N28" s="48">
        <v>9.0642146548458105E-2</v>
      </c>
      <c r="O28" s="48">
        <v>8.6539715996348229E-2</v>
      </c>
      <c r="P28" s="48"/>
      <c r="Q28" s="48"/>
      <c r="R28" s="48"/>
      <c r="S28" s="48"/>
    </row>
    <row r="29" spans="1:19">
      <c r="A29" s="32">
        <v>1997</v>
      </c>
      <c r="B29" s="48">
        <v>0.20657574008456756</v>
      </c>
      <c r="C29" s="48">
        <v>0.12645935509971454</v>
      </c>
      <c r="D29" s="49">
        <v>0.17964095115342221</v>
      </c>
      <c r="E29" s="49">
        <v>0.14918911060487261</v>
      </c>
      <c r="F29" s="49">
        <v>0.112841169794148</v>
      </c>
      <c r="G29" s="49">
        <v>0.14957287052831167</v>
      </c>
      <c r="H29" s="48">
        <v>0.1386252861408111</v>
      </c>
      <c r="I29" s="48">
        <v>0.16910878421871042</v>
      </c>
      <c r="J29" s="48">
        <v>0.13279962136904935</v>
      </c>
      <c r="K29" s="48">
        <v>0.15504292499508454</v>
      </c>
      <c r="L29" s="48">
        <v>0.13089715788527131</v>
      </c>
      <c r="M29" s="48">
        <v>0.13136438522082694</v>
      </c>
      <c r="N29" s="48">
        <v>0.15841940975654975</v>
      </c>
      <c r="O29" s="48">
        <v>0.12757531774213415</v>
      </c>
      <c r="P29" s="48"/>
      <c r="Q29" s="48"/>
      <c r="R29" s="48"/>
      <c r="S29" s="48"/>
    </row>
    <row r="30" spans="1:19">
      <c r="A30" s="32">
        <v>1998</v>
      </c>
      <c r="B30" s="48">
        <v>0.3263218320598712</v>
      </c>
      <c r="C30" s="48">
        <v>0.20875557334352482</v>
      </c>
      <c r="D30" s="49">
        <v>0.28756385228483988</v>
      </c>
      <c r="E30" s="49">
        <v>0.24272860938201959</v>
      </c>
      <c r="F30" s="49">
        <v>0.18824914975612952</v>
      </c>
      <c r="G30" s="49">
        <v>0.2439347761004162</v>
      </c>
      <c r="H30" s="48">
        <v>0.22741644492257843</v>
      </c>
      <c r="I30" s="48">
        <v>0.27248433120946741</v>
      </c>
      <c r="J30" s="48">
        <v>0.21819610290106822</v>
      </c>
      <c r="K30" s="48">
        <v>0.25177562281725796</v>
      </c>
      <c r="L30" s="48">
        <v>0.21557944646339278</v>
      </c>
      <c r="M30" s="48">
        <v>0.21612136167230309</v>
      </c>
      <c r="N30" s="48">
        <v>0.25637506627574647</v>
      </c>
      <c r="O30" s="48">
        <v>0.21046441715754891</v>
      </c>
      <c r="P30" s="48"/>
      <c r="Q30" s="48"/>
      <c r="R30" s="48"/>
      <c r="S30" s="48"/>
    </row>
    <row r="31" spans="1:19">
      <c r="A31" s="32">
        <v>1999</v>
      </c>
      <c r="B31" s="48">
        <v>-0.12340004537929751</v>
      </c>
      <c r="C31" s="48">
        <v>-6.7668270198394942E-2</v>
      </c>
      <c r="D31" s="49">
        <v>-0.10565482534902054</v>
      </c>
      <c r="E31" s="49">
        <v>-8.4981364216988736E-2</v>
      </c>
      <c r="F31" s="49">
        <v>-5.6861051692709261E-2</v>
      </c>
      <c r="G31" s="49">
        <v>-8.5316207794367868E-2</v>
      </c>
      <c r="H31" s="48">
        <v>-7.71421939682186E-2</v>
      </c>
      <c r="I31" s="48">
        <v>-9.8633017456912678E-2</v>
      </c>
      <c r="J31" s="48">
        <v>-7.2751202899791562E-2</v>
      </c>
      <c r="K31" s="48">
        <v>-8.9524234141945755E-2</v>
      </c>
      <c r="L31" s="48">
        <v>-7.1371142617684638E-2</v>
      </c>
      <c r="M31" s="48">
        <v>-7.1721871163557313E-2</v>
      </c>
      <c r="N31" s="48">
        <v>-9.1714717914901558E-2</v>
      </c>
      <c r="O31" s="48">
        <v>-6.8188897699302614E-2</v>
      </c>
      <c r="P31" s="48"/>
      <c r="Q31" s="48"/>
      <c r="R31" s="48"/>
      <c r="S31" s="48"/>
    </row>
    <row r="32" spans="1:19">
      <c r="A32" s="32">
        <v>2000</v>
      </c>
      <c r="B32" s="48">
        <v>0.11417493730884958</v>
      </c>
      <c r="C32" s="48">
        <v>8.0733823485355294E-2</v>
      </c>
      <c r="D32" s="49">
        <v>0.1035661519068492</v>
      </c>
      <c r="E32" s="49">
        <v>9.0595813169451214E-2</v>
      </c>
      <c r="F32" s="49">
        <v>7.4444054473459961E-2</v>
      </c>
      <c r="G32" s="49">
        <v>9.0918987054939726E-2</v>
      </c>
      <c r="H32" s="48">
        <v>8.6103364176164821E-2</v>
      </c>
      <c r="I32" s="48">
        <v>9.9111425497319189E-2</v>
      </c>
      <c r="J32" s="48">
        <v>8.3492509814216589E-2</v>
      </c>
      <c r="K32" s="48">
        <v>9.3229675623584612E-2</v>
      </c>
      <c r="L32" s="48">
        <v>8.2575056286832579E-2</v>
      </c>
      <c r="M32" s="48">
        <v>8.2901314391189779E-2</v>
      </c>
      <c r="N32" s="48">
        <v>9.4551288671165107E-2</v>
      </c>
      <c r="O32" s="48">
        <v>8.1389396229040525E-2</v>
      </c>
      <c r="P32" s="48"/>
      <c r="Q32" s="48"/>
      <c r="R32" s="48"/>
      <c r="S32" s="48"/>
    </row>
    <row r="33" spans="1:19">
      <c r="A33" s="32">
        <v>2001</v>
      </c>
      <c r="B33" s="48">
        <v>0.11629346445744231</v>
      </c>
      <c r="C33" s="48">
        <v>9.7275280926120408E-2</v>
      </c>
      <c r="D33" s="49">
        <v>0.11112444422362043</v>
      </c>
      <c r="E33" s="49">
        <v>0.10238426584350221</v>
      </c>
      <c r="F33" s="49">
        <v>9.3861496979189052E-2</v>
      </c>
      <c r="G33" s="49">
        <v>0.10353752438795472</v>
      </c>
      <c r="H33" s="48">
        <v>0.1006294475562414</v>
      </c>
      <c r="I33" s="48">
        <v>0.10832885804061876</v>
      </c>
      <c r="J33" s="48">
        <v>9.838073898893275E-2</v>
      </c>
      <c r="K33" s="48">
        <v>0.10393201695466185</v>
      </c>
      <c r="L33" s="48">
        <v>9.8134765030090901E-2</v>
      </c>
      <c r="M33" s="48">
        <v>9.8053990658110768E-2</v>
      </c>
      <c r="N33" s="48">
        <v>0.10455240520912035</v>
      </c>
      <c r="O33" s="48">
        <v>9.8482022858097831E-2</v>
      </c>
      <c r="P33" s="48"/>
      <c r="Q33" s="48"/>
      <c r="R33" s="48"/>
      <c r="S33" s="48"/>
    </row>
    <row r="34" spans="1:19">
      <c r="A34" s="32">
        <v>2002</v>
      </c>
      <c r="B34" s="48">
        <v>8.8626046091799249E-2</v>
      </c>
      <c r="C34" s="48">
        <v>7.9484980397115823E-2</v>
      </c>
      <c r="D34" s="49">
        <v>8.7506723951058629E-2</v>
      </c>
      <c r="E34" s="49">
        <v>8.1537576045370763E-2</v>
      </c>
      <c r="F34" s="49">
        <v>7.7074019350568124E-2</v>
      </c>
      <c r="G34" s="49">
        <v>8.3157520313782304E-2</v>
      </c>
      <c r="H34" s="48">
        <v>8.1356136702756765E-2</v>
      </c>
      <c r="I34" s="48">
        <v>8.4953867883592576E-2</v>
      </c>
      <c r="J34" s="48">
        <v>7.9731057449040438E-2</v>
      </c>
      <c r="K34" s="48">
        <v>8.2729228734400556E-2</v>
      </c>
      <c r="L34" s="48">
        <v>7.9479823959172885E-2</v>
      </c>
      <c r="M34" s="48">
        <v>7.9675400090022969E-2</v>
      </c>
      <c r="N34" s="48">
        <v>8.2833031454093764E-2</v>
      </c>
      <c r="O34" s="48">
        <v>8.1422412925249071E-2</v>
      </c>
      <c r="P34" s="48"/>
      <c r="Q34" s="48"/>
      <c r="R34" s="48"/>
      <c r="S34" s="48"/>
    </row>
    <row r="35" spans="1:19">
      <c r="A35" s="32">
        <v>2003</v>
      </c>
      <c r="B35" s="48">
        <v>3.8971606158252507E-2</v>
      </c>
      <c r="C35" s="48">
        <v>3.8166235546964522E-2</v>
      </c>
      <c r="D35" s="49">
        <v>3.9201394561361486E-2</v>
      </c>
      <c r="E35" s="49">
        <v>3.8091375397633825E-2</v>
      </c>
      <c r="F35" s="49">
        <v>3.8004730209879885E-2</v>
      </c>
      <c r="G35" s="49">
        <v>3.8583275383061152E-2</v>
      </c>
      <c r="H35" s="48">
        <v>3.8369013181392825E-2</v>
      </c>
      <c r="I35" s="48">
        <v>3.8888845779555668E-2</v>
      </c>
      <c r="J35" s="48">
        <v>3.795830408183451E-2</v>
      </c>
      <c r="K35" s="48">
        <v>3.8177721140233233E-2</v>
      </c>
      <c r="L35" s="48">
        <v>3.7988026372995642E-2</v>
      </c>
      <c r="M35" s="48">
        <v>3.7952837878563364E-2</v>
      </c>
      <c r="N35" s="48">
        <v>3.8144625608058695E-2</v>
      </c>
      <c r="O35" s="48">
        <v>3.8692695045177618E-2</v>
      </c>
      <c r="P35" s="48"/>
      <c r="Q35" s="48"/>
      <c r="R35" s="48"/>
      <c r="S35" s="48"/>
    </row>
    <row r="36" spans="1:19">
      <c r="A36" s="32">
        <v>2004</v>
      </c>
      <c r="B36" s="48">
        <v>0.22390838803420515</v>
      </c>
      <c r="C36" s="48">
        <v>0.14293529199171096</v>
      </c>
      <c r="D36" s="49">
        <v>0.19651963981759468</v>
      </c>
      <c r="E36" s="49">
        <v>0.16738603106968183</v>
      </c>
      <c r="F36" s="49">
        <v>0.12878785661275136</v>
      </c>
      <c r="G36" s="49">
        <v>0.16737704637733089</v>
      </c>
      <c r="H36" s="48">
        <v>0.15603120196781123</v>
      </c>
      <c r="I36" s="48">
        <v>0.18756813109805925</v>
      </c>
      <c r="J36" s="48">
        <v>0.14990363180290647</v>
      </c>
      <c r="K36" s="48">
        <v>0.1734569349868709</v>
      </c>
      <c r="L36" s="48">
        <v>0.14811650029064186</v>
      </c>
      <c r="M36" s="48">
        <v>0.14836942109274973</v>
      </c>
      <c r="N36" s="48">
        <v>0.17663090190932479</v>
      </c>
      <c r="O36" s="48">
        <v>0.14282170970253524</v>
      </c>
      <c r="P36" s="48"/>
      <c r="Q36" s="48"/>
      <c r="R36" s="48"/>
      <c r="S36" s="48"/>
    </row>
    <row r="37" spans="1:19">
      <c r="A37" s="32">
        <v>2005</v>
      </c>
      <c r="B37" s="48">
        <v>0.15156096848623482</v>
      </c>
      <c r="C37" s="48">
        <v>9.0342617783065488E-2</v>
      </c>
      <c r="D37" s="49">
        <v>0.12955116299544062</v>
      </c>
      <c r="E37" s="49">
        <v>0.10976620076400576</v>
      </c>
      <c r="F37" s="49">
        <v>8.0102085250340058E-2</v>
      </c>
      <c r="G37" s="49">
        <v>0.10854017843599886</v>
      </c>
      <c r="H37" s="48">
        <v>0.10022331092406171</v>
      </c>
      <c r="I37" s="48">
        <v>0.12439353726622196</v>
      </c>
      <c r="J37" s="48">
        <v>9.6124946550889101E-2</v>
      </c>
      <c r="K37" s="48">
        <v>0.11404785369822727</v>
      </c>
      <c r="L37" s="48">
        <v>9.4824055696651713E-2</v>
      </c>
      <c r="M37" s="48">
        <v>9.4860938976441683E-2</v>
      </c>
      <c r="N37" s="48">
        <v>0.11649971084258422</v>
      </c>
      <c r="O37" s="48">
        <v>8.8481616777544778E-2</v>
      </c>
      <c r="P37" s="48"/>
      <c r="Q37" s="48"/>
      <c r="R37" s="48"/>
      <c r="S37" s="48"/>
    </row>
    <row r="38" spans="1:19">
      <c r="A38" s="32">
        <v>2006</v>
      </c>
      <c r="B38" s="48">
        <v>-9.3860849924563519E-2</v>
      </c>
      <c r="C38" s="48">
        <v>-5.275856364487181E-2</v>
      </c>
      <c r="D38" s="49">
        <v>-8.0128653260148119E-2</v>
      </c>
      <c r="E38" s="49">
        <v>-6.6018534029163564E-2</v>
      </c>
      <c r="F38" s="49">
        <v>-4.5261520331746449E-2</v>
      </c>
      <c r="G38" s="49">
        <v>-6.5840337787426886E-2</v>
      </c>
      <c r="H38" s="48">
        <v>-5.990881301100414E-2</v>
      </c>
      <c r="I38" s="48">
        <v>-7.6115246375965298E-2</v>
      </c>
      <c r="J38" s="48">
        <v>-5.668285907792317E-2</v>
      </c>
      <c r="K38" s="48">
        <v>-6.9206894190893833E-2</v>
      </c>
      <c r="L38" s="48">
        <v>-5.5857603645400149E-2</v>
      </c>
      <c r="M38" s="48">
        <v>-5.5856202829313334E-2</v>
      </c>
      <c r="N38" s="48">
        <v>-7.0738656543020681E-2</v>
      </c>
      <c r="O38" s="48">
        <v>-5.2086386671161299E-2</v>
      </c>
      <c r="P38" s="48"/>
      <c r="Q38" s="48"/>
      <c r="R38" s="48"/>
      <c r="S38" s="48"/>
    </row>
    <row r="39" spans="1:19">
      <c r="A39" s="32">
        <v>2007</v>
      </c>
      <c r="B39" s="48">
        <v>-8.129223372991265E-2</v>
      </c>
      <c r="C39" s="48">
        <v>-2.8513173660361504E-2</v>
      </c>
      <c r="D39" s="49">
        <v>-6.2436339215471606E-2</v>
      </c>
      <c r="E39" s="49">
        <v>-4.5650001813473097E-2</v>
      </c>
      <c r="F39" s="49">
        <v>-1.9576607768168455E-2</v>
      </c>
      <c r="G39" s="49">
        <v>-4.4428313141712021E-2</v>
      </c>
      <c r="H39" s="48">
        <v>-3.7224046488629627E-2</v>
      </c>
      <c r="I39" s="48">
        <v>-5.8044581424655614E-2</v>
      </c>
      <c r="J39" s="48">
        <v>-3.3724984764776714E-2</v>
      </c>
      <c r="K39" s="48">
        <v>-4.9287280071974443E-2</v>
      </c>
      <c r="L39" s="48">
        <v>-3.2677919281470784E-2</v>
      </c>
      <c r="M39" s="48">
        <v>-3.2577876052816174E-2</v>
      </c>
      <c r="N39" s="48">
        <v>-5.1514755235733317E-2</v>
      </c>
      <c r="O39" s="48">
        <v>-2.6634565428685503E-2</v>
      </c>
      <c r="P39" s="48"/>
      <c r="Q39" s="48"/>
      <c r="R39" s="48"/>
      <c r="S39" s="48"/>
    </row>
    <row r="40" spans="1:19">
      <c r="A40" s="32">
        <v>2008</v>
      </c>
      <c r="B40" s="48">
        <v>0.35480207985669754</v>
      </c>
      <c r="C40" s="48">
        <v>0.2130714816273665</v>
      </c>
      <c r="D40" s="49">
        <v>0.30300317009888794</v>
      </c>
      <c r="E40" s="49">
        <v>0.25606953590875864</v>
      </c>
      <c r="F40" s="49">
        <v>0.19124782321023925</v>
      </c>
      <c r="G40" s="49">
        <v>0.25414743889355107</v>
      </c>
      <c r="H40" s="48">
        <v>0.23533564895837261</v>
      </c>
      <c r="I40" s="48">
        <v>0.2908799747480722</v>
      </c>
      <c r="J40" s="48">
        <v>0.22541803343464734</v>
      </c>
      <c r="K40" s="48">
        <v>0.26569102770753361</v>
      </c>
      <c r="L40" s="48">
        <v>0.22298987072911983</v>
      </c>
      <c r="M40" s="48">
        <v>0.22256313909342768</v>
      </c>
      <c r="N40" s="48">
        <v>0.27129499857588985</v>
      </c>
      <c r="O40" s="48">
        <v>0.20950884088763463</v>
      </c>
      <c r="P40" s="48"/>
      <c r="Q40" s="48"/>
      <c r="R40" s="48"/>
      <c r="S40" s="48"/>
    </row>
    <row r="41" spans="1:19">
      <c r="A41" s="32">
        <v>2009</v>
      </c>
      <c r="B41" s="142">
        <v>-6.4208494813452477E-2</v>
      </c>
      <c r="C41" s="142">
        <v>3.0662162873240639E-4</v>
      </c>
      <c r="D41" s="142">
        <v>-3.9290468839391357E-2</v>
      </c>
      <c r="E41" s="142">
        <v>-2.2257914656444666E-2</v>
      </c>
      <c r="F41" s="142">
        <v>1.0319480988377983E-2</v>
      </c>
      <c r="G41" s="142">
        <v>-1.8626654786215169E-2</v>
      </c>
      <c r="H41" s="142">
        <v>-1.0152744750817955E-2</v>
      </c>
      <c r="I41" s="142">
        <v>-3.6506583232174039E-2</v>
      </c>
      <c r="J41" s="142">
        <v>-6.9266278696871186E-3</v>
      </c>
      <c r="K41" s="142">
        <v>-2.6174292253864362E-2</v>
      </c>
      <c r="L41" s="142">
        <v>-5.655150434222489E-3</v>
      </c>
      <c r="M41" s="142">
        <v>-5.3353517137855189E-3</v>
      </c>
      <c r="N41" s="142">
        <v>-2.9019332872362913E-2</v>
      </c>
      <c r="O41" s="142">
        <v>6.0922214569454347E-3</v>
      </c>
    </row>
  </sheetData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2" enableFormatConditionsCalculation="0">
    <tabColor indexed="11"/>
  </sheetPr>
  <dimension ref="A1:O41"/>
  <sheetViews>
    <sheetView zoomScale="75" workbookViewId="0">
      <selection activeCell="B41" sqref="B41"/>
    </sheetView>
  </sheetViews>
  <sheetFormatPr defaultRowHeight="12.75"/>
  <cols>
    <col min="1" max="2" width="9.140625" style="46"/>
    <col min="3" max="3" width="11" style="46" customWidth="1"/>
    <col min="4" max="5" width="9.140625" style="46"/>
    <col min="6" max="6" width="12.42578125" style="46" customWidth="1"/>
    <col min="7" max="12" width="9.140625" style="46"/>
    <col min="13" max="13" width="12.42578125" style="46" customWidth="1"/>
    <col min="14" max="14" width="14.7109375" style="46" customWidth="1"/>
    <col min="15" max="16384" width="9.140625" style="46"/>
  </cols>
  <sheetData>
    <row r="1" spans="1:15">
      <c r="B1" s="46" t="s">
        <v>60</v>
      </c>
      <c r="C1" s="46" t="s">
        <v>61</v>
      </c>
      <c r="D1" s="46" t="s">
        <v>62</v>
      </c>
      <c r="E1" s="46" t="s">
        <v>63</v>
      </c>
      <c r="F1" s="46" t="s">
        <v>64</v>
      </c>
      <c r="G1" s="46" t="s">
        <v>59</v>
      </c>
      <c r="H1" s="46" t="s">
        <v>65</v>
      </c>
      <c r="I1" s="46" t="s">
        <v>66</v>
      </c>
      <c r="J1" s="46" t="s">
        <v>67</v>
      </c>
      <c r="K1" s="46" t="s">
        <v>68</v>
      </c>
      <c r="L1" s="46" t="s">
        <v>69</v>
      </c>
      <c r="M1" s="46" t="s">
        <v>70</v>
      </c>
      <c r="N1" s="46" t="s">
        <v>71</v>
      </c>
      <c r="O1" s="46" t="s">
        <v>58</v>
      </c>
    </row>
    <row r="2" spans="1:15">
      <c r="A2" s="32">
        <v>1970</v>
      </c>
    </row>
    <row r="3" spans="1:15">
      <c r="A3" s="32">
        <v>1971</v>
      </c>
      <c r="B3" s="49">
        <v>5.5542431680257742E-2</v>
      </c>
      <c r="C3" s="49">
        <v>2.8014132872727835E-2</v>
      </c>
      <c r="D3" s="49">
        <v>4.4858080684336478E-2</v>
      </c>
      <c r="E3" s="49">
        <v>3.7648409424440227E-2</v>
      </c>
      <c r="F3" s="49">
        <v>2.3931487778427147E-2</v>
      </c>
      <c r="G3" s="49">
        <v>3.6515860595688052E-2</v>
      </c>
      <c r="H3" s="49">
        <v>3.2774484627760038E-2</v>
      </c>
      <c r="I3" s="49">
        <v>4.3732571810628229E-2</v>
      </c>
      <c r="J3" s="49">
        <v>3.1083444872842168E-2</v>
      </c>
      <c r="K3" s="49">
        <v>3.9742654205375476E-2</v>
      </c>
      <c r="L3" s="49">
        <v>3.0606084718544001E-2</v>
      </c>
      <c r="M3" s="49">
        <v>3.0538152356956706E-2</v>
      </c>
      <c r="N3" s="49">
        <v>4.0424330980871455E-2</v>
      </c>
      <c r="O3" s="49">
        <v>2.5374143654642658E-2</v>
      </c>
    </row>
    <row r="4" spans="1:15">
      <c r="A4" s="32">
        <v>1972</v>
      </c>
      <c r="B4" s="49">
        <v>-0.2133030496325079</v>
      </c>
      <c r="C4" s="49">
        <v>-0.17380376588137422</v>
      </c>
      <c r="D4" s="49">
        <v>-0.20205253139243787</v>
      </c>
      <c r="E4" s="49">
        <v>-0.18736112551128306</v>
      </c>
      <c r="F4" s="49">
        <v>-0.16539266359602067</v>
      </c>
      <c r="G4" s="49">
        <v>-0.18847583093317305</v>
      </c>
      <c r="H4" s="49">
        <v>-0.18201721686305744</v>
      </c>
      <c r="I4" s="49">
        <v>-0.1979623223722928</v>
      </c>
      <c r="J4" s="49">
        <v>-0.17765652115717978</v>
      </c>
      <c r="K4" s="49">
        <v>-0.19112856437402378</v>
      </c>
      <c r="L4" s="49">
        <v>-0.1769673073273082</v>
      </c>
      <c r="M4" s="49">
        <v>-0.17693309013046499</v>
      </c>
      <c r="N4" s="49">
        <v>-0.19200853245041494</v>
      </c>
      <c r="O4" s="49">
        <v>-0.17381687028489182</v>
      </c>
    </row>
    <row r="5" spans="1:15">
      <c r="A5" s="32">
        <v>1973</v>
      </c>
      <c r="B5" s="49">
        <v>-0.16276906396986188</v>
      </c>
      <c r="C5" s="49">
        <v>3.0636810299396111E-3</v>
      </c>
      <c r="D5" s="49">
        <v>-0.10028093621962554</v>
      </c>
      <c r="E5" s="49">
        <v>-5.8145294433747094E-2</v>
      </c>
      <c r="F5" s="49">
        <v>3.061128375927314E-2</v>
      </c>
      <c r="G5" s="49">
        <v>-4.8850557343827504E-2</v>
      </c>
      <c r="H5" s="49">
        <v>-2.6161949504596781E-2</v>
      </c>
      <c r="I5" s="49">
        <v>-9.3801638759100248E-2</v>
      </c>
      <c r="J5" s="49">
        <v>-1.7264131886831676E-2</v>
      </c>
      <c r="K5" s="49">
        <v>-6.9604272982337068E-2</v>
      </c>
      <c r="L5" s="49">
        <v>-1.3735795219807296E-2</v>
      </c>
      <c r="M5" s="49">
        <v>-1.3364770878087724E-2</v>
      </c>
      <c r="N5" s="49">
        <v>-7.5415337485469941E-2</v>
      </c>
      <c r="O5" s="49">
        <v>2.0564265922144477E-2</v>
      </c>
    </row>
    <row r="6" spans="1:15">
      <c r="A6" s="32">
        <v>1974</v>
      </c>
      <c r="B6" s="49">
        <v>-1.4442864759834612E-2</v>
      </c>
      <c r="C6" s="49">
        <v>-3.2576998873247817E-2</v>
      </c>
      <c r="D6" s="49">
        <v>-2.2351022934813936E-2</v>
      </c>
      <c r="E6" s="49">
        <v>-2.6137594651345821E-2</v>
      </c>
      <c r="F6" s="49">
        <v>-3.5217019778499829E-2</v>
      </c>
      <c r="G6" s="49">
        <v>-2.7788017378540461E-2</v>
      </c>
      <c r="H6" s="49">
        <v>-2.9950036523907552E-2</v>
      </c>
      <c r="I6" s="49">
        <v>-2.2741384833182901E-2</v>
      </c>
      <c r="J6" s="49">
        <v>-3.0369543413652163E-2</v>
      </c>
      <c r="K6" s="49">
        <v>-2.5142399018272626E-2</v>
      </c>
      <c r="L6" s="49">
        <v>-3.0871913738844101E-2</v>
      </c>
      <c r="M6" s="49">
        <v>-3.0814063839238952E-2</v>
      </c>
      <c r="N6" s="49">
        <v>-2.4322887656678508E-2</v>
      </c>
      <c r="O6" s="49">
        <v>-3.4763701854804083E-2</v>
      </c>
    </row>
    <row r="7" spans="1:15">
      <c r="A7" s="32">
        <v>1975</v>
      </c>
      <c r="B7" s="49">
        <v>0.34022152050773902</v>
      </c>
      <c r="C7" s="49">
        <v>0.19700025934009771</v>
      </c>
      <c r="D7" s="49">
        <v>0.28709331490663587</v>
      </c>
      <c r="E7" s="49">
        <v>0.24345800712344368</v>
      </c>
      <c r="F7" s="49">
        <v>0.1741448820161961</v>
      </c>
      <c r="G7" s="49">
        <v>0.24022433992085701</v>
      </c>
      <c r="H7" s="49">
        <v>0.22070149438879777</v>
      </c>
      <c r="I7" s="49">
        <v>0.27714667427992062</v>
      </c>
      <c r="J7" s="49">
        <v>0.21101643989571722</v>
      </c>
      <c r="K7" s="49">
        <v>0.25403839683556889</v>
      </c>
      <c r="L7" s="49">
        <v>0.20833371775810847</v>
      </c>
      <c r="M7" s="49">
        <v>0.20817618749192646</v>
      </c>
      <c r="N7" s="49">
        <v>0.25879380999650659</v>
      </c>
      <c r="O7" s="49">
        <v>0.19007767468513653</v>
      </c>
    </row>
    <row r="8" spans="1:15">
      <c r="A8" s="32">
        <v>1976</v>
      </c>
      <c r="B8" s="49">
        <v>0.25054934983676241</v>
      </c>
      <c r="C8" s="49">
        <v>0.15982186366485146</v>
      </c>
      <c r="D8" s="49">
        <v>0.21753545375585709</v>
      </c>
      <c r="E8" s="49">
        <v>0.19034176305083517</v>
      </c>
      <c r="F8" s="49">
        <v>0.14499554893883246</v>
      </c>
      <c r="G8" s="49">
        <v>0.18849020391081867</v>
      </c>
      <c r="H8" s="49">
        <v>0.17571858204600282</v>
      </c>
      <c r="I8" s="49">
        <v>0.21174555761452557</v>
      </c>
      <c r="J8" s="49">
        <v>0.16911773359944512</v>
      </c>
      <c r="K8" s="49">
        <v>0.19749393192194839</v>
      </c>
      <c r="L8" s="49">
        <v>0.16750413203494099</v>
      </c>
      <c r="M8" s="49">
        <v>0.16735664003019562</v>
      </c>
      <c r="N8" s="49">
        <v>0.19999381705110136</v>
      </c>
      <c r="O8" s="49">
        <v>0.15456521049515382</v>
      </c>
    </row>
    <row r="9" spans="1:15">
      <c r="A9" s="32">
        <v>1977</v>
      </c>
      <c r="B9" s="49">
        <v>-0.21891865353103759</v>
      </c>
      <c r="C9" s="49">
        <v>-0.1352128616365274</v>
      </c>
      <c r="D9" s="49">
        <v>-0.1890940072608599</v>
      </c>
      <c r="E9" s="49">
        <v>-0.16515456009654361</v>
      </c>
      <c r="F9" s="49">
        <v>-0.12071369732769358</v>
      </c>
      <c r="G9" s="49">
        <v>-0.16258684909748458</v>
      </c>
      <c r="H9" s="49">
        <v>-0.15060505690872841</v>
      </c>
      <c r="I9" s="49">
        <v>-0.18450045476922083</v>
      </c>
      <c r="J9" s="49">
        <v>-0.14468632004367821</v>
      </c>
      <c r="K9" s="49">
        <v>-0.17160913839467434</v>
      </c>
      <c r="L9" s="49">
        <v>-0.14311925714306323</v>
      </c>
      <c r="M9" s="49">
        <v>-0.1428950281132873</v>
      </c>
      <c r="N9" s="49">
        <v>-0.17408264400737425</v>
      </c>
      <c r="O9" s="49">
        <v>-0.12887511950199454</v>
      </c>
    </row>
    <row r="10" spans="1:15">
      <c r="A10" s="32">
        <v>1978</v>
      </c>
      <c r="B10" s="49">
        <v>0.31086302390434933</v>
      </c>
      <c r="C10" s="49">
        <v>0.19540553279921741</v>
      </c>
      <c r="D10" s="49">
        <v>0.26884511788902549</v>
      </c>
      <c r="E10" s="49">
        <v>0.23380743864219988</v>
      </c>
      <c r="F10" s="49">
        <v>0.17649717635072401</v>
      </c>
      <c r="G10" s="49">
        <v>0.23157935078679212</v>
      </c>
      <c r="H10" s="49">
        <v>0.21539402697600374</v>
      </c>
      <c r="I10" s="49">
        <v>0.26112958005799197</v>
      </c>
      <c r="J10" s="49">
        <v>0.20703886784145933</v>
      </c>
      <c r="K10" s="49">
        <v>0.24282543291319428</v>
      </c>
      <c r="L10" s="49">
        <v>0.20494801420082939</v>
      </c>
      <c r="M10" s="49">
        <v>0.20479556179863859</v>
      </c>
      <c r="N10" s="49">
        <v>0.24616320536163772</v>
      </c>
      <c r="O10" s="49">
        <v>0.18929556091210956</v>
      </c>
    </row>
    <row r="11" spans="1:15">
      <c r="A11" s="32">
        <v>1979</v>
      </c>
      <c r="B11" s="49">
        <v>-9.113650942279955E-2</v>
      </c>
      <c r="C11" s="49">
        <v>-2.1301736365450425E-2</v>
      </c>
      <c r="D11" s="49">
        <v>-6.3642563601981159E-2</v>
      </c>
      <c r="E11" s="49">
        <v>-4.6644641495113326E-2</v>
      </c>
      <c r="F11" s="49">
        <v>-1.0775980666891543E-2</v>
      </c>
      <c r="G11" s="49">
        <v>-4.2558799174194591E-2</v>
      </c>
      <c r="H11" s="49">
        <v>-3.3303906400916572E-2</v>
      </c>
      <c r="I11" s="49">
        <v>-6.1544239731821208E-2</v>
      </c>
      <c r="J11" s="49">
        <v>-2.9663984640297021E-2</v>
      </c>
      <c r="K11" s="49">
        <v>-5.1419402774402476E-2</v>
      </c>
      <c r="L11" s="49">
        <v>-2.8382081543614532E-2</v>
      </c>
      <c r="M11" s="49">
        <v>-2.8079849529772993E-2</v>
      </c>
      <c r="N11" s="49">
        <v>-5.3676176306204242E-2</v>
      </c>
      <c r="O11" s="49">
        <v>-1.3453381061825238E-2</v>
      </c>
    </row>
    <row r="12" spans="1:15">
      <c r="A12" s="32">
        <v>1980</v>
      </c>
      <c r="B12" s="49">
        <v>-8.1420319009344336E-2</v>
      </c>
      <c r="C12" s="49">
        <v>-0.11945193536407549</v>
      </c>
      <c r="D12" s="49">
        <v>-9.9680374673231584E-2</v>
      </c>
      <c r="E12" s="49">
        <v>-0.10566575349759638</v>
      </c>
      <c r="F12" s="49">
        <v>-0.12354333049242908</v>
      </c>
      <c r="G12" s="49">
        <v>-0.1099491187462945</v>
      </c>
      <c r="H12" s="49">
        <v>-0.11412947762569967</v>
      </c>
      <c r="I12" s="49">
        <v>-9.9130407746346572E-2</v>
      </c>
      <c r="J12" s="49">
        <v>-0.11455960788537395</v>
      </c>
      <c r="K12" s="49">
        <v>-0.10365430813452671</v>
      </c>
      <c r="L12" s="49">
        <v>-0.11535725857112321</v>
      </c>
      <c r="M12" s="49">
        <v>-0.11546212334689461</v>
      </c>
      <c r="N12" s="49">
        <v>-0.10224776323425498</v>
      </c>
      <c r="O12" s="49">
        <v>-0.12607339207960949</v>
      </c>
    </row>
    <row r="13" spans="1:15">
      <c r="A13" s="32">
        <v>1981</v>
      </c>
      <c r="B13" s="49">
        <v>-8.6627628568241216E-2</v>
      </c>
      <c r="C13" s="49">
        <v>-2.3967275390476141E-2</v>
      </c>
      <c r="D13" s="49">
        <v>-6.317724944411289E-2</v>
      </c>
      <c r="E13" s="49">
        <v>-4.608105241608039E-2</v>
      </c>
      <c r="F13" s="49">
        <v>-1.3725807308989172E-2</v>
      </c>
      <c r="G13" s="49">
        <v>-4.3549989592871326E-2</v>
      </c>
      <c r="H13" s="49">
        <v>-3.4899782985795678E-2</v>
      </c>
      <c r="I13" s="49">
        <v>-6.0029630343351216E-2</v>
      </c>
      <c r="J13" s="49">
        <v>-3.106865502158928E-2</v>
      </c>
      <c r="K13" s="49">
        <v>-5.0708426524781858E-2</v>
      </c>
      <c r="L13" s="49">
        <v>-2.9836484198664123E-2</v>
      </c>
      <c r="M13" s="49">
        <v>-2.9724804201675125E-2</v>
      </c>
      <c r="N13" s="49">
        <v>-5.2686888361768609E-2</v>
      </c>
      <c r="O13" s="49">
        <v>-1.8680487695235067E-2</v>
      </c>
    </row>
    <row r="14" spans="1:15">
      <c r="A14" s="32">
        <v>1982</v>
      </c>
      <c r="B14" s="49">
        <v>-0.11113301471134354</v>
      </c>
      <c r="C14" s="49">
        <v>-6.6475657108585398E-2</v>
      </c>
      <c r="D14" s="49">
        <v>-9.5895446592109135E-2</v>
      </c>
      <c r="E14" s="49">
        <v>-8.1550003868337953E-2</v>
      </c>
      <c r="F14" s="49">
        <v>-5.8417376969054351E-2</v>
      </c>
      <c r="G14" s="49">
        <v>-8.1004732249209704E-2</v>
      </c>
      <c r="H14" s="49">
        <v>-7.4516845598444154E-2</v>
      </c>
      <c r="I14" s="49">
        <v>-9.2357211371867864E-2</v>
      </c>
      <c r="J14" s="49">
        <v>-7.104302260627135E-2</v>
      </c>
      <c r="K14" s="49">
        <v>-8.508064002922551E-2</v>
      </c>
      <c r="L14" s="49">
        <v>-7.0184454139358338E-2</v>
      </c>
      <c r="M14" s="49">
        <v>-7.0129992451565329E-2</v>
      </c>
      <c r="N14" s="49">
        <v>-8.6537269096673308E-2</v>
      </c>
      <c r="O14" s="49">
        <v>-6.473658108827697E-2</v>
      </c>
    </row>
    <row r="15" spans="1:15">
      <c r="A15" s="32">
        <v>1983</v>
      </c>
      <c r="B15" s="49">
        <v>-4.9825429665949605E-2</v>
      </c>
      <c r="C15" s="49">
        <v>-9.9199744077041289E-3</v>
      </c>
      <c r="D15" s="49">
        <v>-3.5169374820767818E-2</v>
      </c>
      <c r="E15" s="49">
        <v>-2.3482310348339995E-2</v>
      </c>
      <c r="F15" s="49">
        <v>-3.1689316618671798E-3</v>
      </c>
      <c r="G15" s="49">
        <v>-2.2163899829705732E-2</v>
      </c>
      <c r="H15" s="49">
        <v>-1.6677224518663422E-2</v>
      </c>
      <c r="I15" s="49">
        <v>-3.2511138693780896E-2</v>
      </c>
      <c r="J15" s="49">
        <v>-1.4194564950033772E-2</v>
      </c>
      <c r="K15" s="49">
        <v>-2.6360002966011424E-2</v>
      </c>
      <c r="L15" s="49">
        <v>-1.336635112730665E-2</v>
      </c>
      <c r="M15" s="49">
        <v>-1.3335844407897226E-2</v>
      </c>
      <c r="N15" s="49">
        <v>-2.7841898730057817E-2</v>
      </c>
      <c r="O15" s="49">
        <v>-7.5409397874148659E-3</v>
      </c>
    </row>
    <row r="16" spans="1:15">
      <c r="A16" s="32">
        <v>1984</v>
      </c>
      <c r="B16" s="49">
        <v>-0.20836945471307397</v>
      </c>
      <c r="C16" s="49">
        <v>-9.6231514721882364E-2</v>
      </c>
      <c r="D16" s="49">
        <v>-0.16915101423212436</v>
      </c>
      <c r="E16" s="49">
        <v>-0.13442874919131401</v>
      </c>
      <c r="F16" s="49">
        <v>-7.5925691459115152E-2</v>
      </c>
      <c r="G16" s="49">
        <v>-0.13113335163887629</v>
      </c>
      <c r="H16" s="49">
        <v>-0.11547193853856853</v>
      </c>
      <c r="I16" s="49">
        <v>-0.16045478988782261</v>
      </c>
      <c r="J16" s="49">
        <v>-0.10815345155122766</v>
      </c>
      <c r="K16" s="49">
        <v>-0.14227924533749114</v>
      </c>
      <c r="L16" s="49">
        <v>-0.10562931824010283</v>
      </c>
      <c r="M16" s="49">
        <v>-0.10562182889346468</v>
      </c>
      <c r="N16" s="49">
        <v>-0.14699024637077243</v>
      </c>
      <c r="O16" s="49">
        <v>-9.1244613411659029E-2</v>
      </c>
    </row>
    <row r="17" spans="1:15">
      <c r="A17" s="32">
        <v>1985</v>
      </c>
      <c r="B17" s="49">
        <v>7.1448590147313293E-2</v>
      </c>
      <c r="C17" s="49">
        <v>6.4104263998234004E-2</v>
      </c>
      <c r="D17" s="49">
        <v>7.0405418579288587E-2</v>
      </c>
      <c r="E17" s="49">
        <v>6.5719202414427802E-2</v>
      </c>
      <c r="F17" s="49">
        <v>6.2306649405373629E-2</v>
      </c>
      <c r="G17" s="49">
        <v>6.6987467812614193E-2</v>
      </c>
      <c r="H17" s="49">
        <v>6.5574408312950361E-2</v>
      </c>
      <c r="I17" s="49">
        <v>6.8529406776186547E-2</v>
      </c>
      <c r="J17" s="49">
        <v>6.4260007771977531E-2</v>
      </c>
      <c r="K17" s="49">
        <v>6.6611844028769657E-2</v>
      </c>
      <c r="L17" s="49">
        <v>6.4093363352627608E-2</v>
      </c>
      <c r="M17" s="49">
        <v>6.4199401106468296E-2</v>
      </c>
      <c r="N17" s="49">
        <v>6.6697985075190286E-2</v>
      </c>
      <c r="O17" s="49">
        <v>6.5559870875028986E-2</v>
      </c>
    </row>
    <row r="18" spans="1:15">
      <c r="A18" s="32">
        <v>1986</v>
      </c>
      <c r="B18" s="49">
        <v>1.3436478150399072E-2</v>
      </c>
      <c r="C18" s="49">
        <v>3.4965771032459257E-2</v>
      </c>
      <c r="D18" s="49">
        <v>2.2779200532432296E-2</v>
      </c>
      <c r="E18" s="49">
        <v>2.7301441460074592E-2</v>
      </c>
      <c r="F18" s="49">
        <v>3.8071037932615771E-2</v>
      </c>
      <c r="G18" s="49">
        <v>2.9398748244782259E-2</v>
      </c>
      <c r="H18" s="49">
        <v>3.1836024484754609E-2</v>
      </c>
      <c r="I18" s="49">
        <v>2.3416560566095878E-2</v>
      </c>
      <c r="J18" s="49">
        <v>3.2286401694467719E-2</v>
      </c>
      <c r="K18" s="49">
        <v>2.6301098049564726E-2</v>
      </c>
      <c r="L18" s="49">
        <v>3.2768231227858338E-2</v>
      </c>
      <c r="M18" s="49">
        <v>3.2857013378959007E-2</v>
      </c>
      <c r="N18" s="49">
        <v>2.5060594491617103E-2</v>
      </c>
      <c r="O18" s="49">
        <v>3.7337091064976229E-2</v>
      </c>
    </row>
    <row r="19" spans="1:15">
      <c r="A19" s="32">
        <v>1987</v>
      </c>
      <c r="B19" s="49">
        <v>-0.24785699368927613</v>
      </c>
      <c r="C19" s="49">
        <v>-0.1401106176938168</v>
      </c>
      <c r="D19" s="49">
        <v>-0.21243072992491985</v>
      </c>
      <c r="E19" s="49">
        <v>-0.17410930795146989</v>
      </c>
      <c r="F19" s="49">
        <v>-0.12013680364351181</v>
      </c>
      <c r="G19" s="49">
        <v>-0.17319959984373623</v>
      </c>
      <c r="H19" s="49">
        <v>-0.15804136291361012</v>
      </c>
      <c r="I19" s="49">
        <v>-0.20012085509623262</v>
      </c>
      <c r="J19" s="49">
        <v>-0.15023342358278888</v>
      </c>
      <c r="K19" s="49">
        <v>-0.18188455209370474</v>
      </c>
      <c r="L19" s="49">
        <v>-0.14773400473535125</v>
      </c>
      <c r="M19" s="49">
        <v>-0.14799740097046057</v>
      </c>
      <c r="N19" s="49">
        <v>-0.18678060007065447</v>
      </c>
      <c r="O19" s="49">
        <v>-0.13980765347173757</v>
      </c>
    </row>
    <row r="20" spans="1:15">
      <c r="A20" s="32">
        <v>1988</v>
      </c>
      <c r="B20" s="49">
        <v>0.31431129599316865</v>
      </c>
      <c r="C20" s="49">
        <v>0.16922612223661351</v>
      </c>
      <c r="D20" s="49">
        <v>0.26313785052034788</v>
      </c>
      <c r="E20" s="49">
        <v>0.21043881164127504</v>
      </c>
      <c r="F20" s="49">
        <v>0.14573626835086523</v>
      </c>
      <c r="G20" s="49">
        <v>0.20977224450442813</v>
      </c>
      <c r="H20" s="49">
        <v>0.19060552366000966</v>
      </c>
      <c r="I20" s="49">
        <v>0.24528310414688234</v>
      </c>
      <c r="J20" s="49">
        <v>0.18097535573632684</v>
      </c>
      <c r="K20" s="49">
        <v>0.2205670674616429</v>
      </c>
      <c r="L20" s="49">
        <v>0.17764621792578866</v>
      </c>
      <c r="M20" s="49">
        <v>0.17832417454759106</v>
      </c>
      <c r="N20" s="49">
        <v>0.22689681707949685</v>
      </c>
      <c r="O20" s="49">
        <v>0.1696903396368242</v>
      </c>
    </row>
    <row r="21" spans="1:15">
      <c r="A21" s="32">
        <v>1989</v>
      </c>
      <c r="B21" s="49">
        <v>0.40758651216833541</v>
      </c>
      <c r="C21" s="49">
        <v>0.23460233155563515</v>
      </c>
      <c r="D21" s="49">
        <v>0.34579639401867973</v>
      </c>
      <c r="E21" s="49">
        <v>0.28592202265127981</v>
      </c>
      <c r="F21" s="49">
        <v>0.20674474670621354</v>
      </c>
      <c r="G21" s="49">
        <v>0.28451806636407906</v>
      </c>
      <c r="H21" s="49">
        <v>0.26132304017011759</v>
      </c>
      <c r="I21" s="49">
        <v>0.32803095836277463</v>
      </c>
      <c r="J21" s="49">
        <v>0.24933597096328136</v>
      </c>
      <c r="K21" s="49">
        <v>0.29814723890475575</v>
      </c>
      <c r="L21" s="49">
        <v>0.24581615315638244</v>
      </c>
      <c r="M21" s="49">
        <v>0.24604063548387478</v>
      </c>
      <c r="N21" s="49">
        <v>0.30513236624285744</v>
      </c>
      <c r="O21" s="49">
        <v>0.23262946191729467</v>
      </c>
    </row>
    <row r="22" spans="1:15">
      <c r="A22" s="32">
        <v>1990</v>
      </c>
      <c r="B22" s="49">
        <v>-5.0011115058715555E-2</v>
      </c>
      <c r="C22" s="49">
        <v>-2.5281440841028558E-2</v>
      </c>
      <c r="D22" s="49">
        <v>-4.197619407030579E-2</v>
      </c>
      <c r="E22" s="49">
        <v>-3.3025908516441022E-2</v>
      </c>
      <c r="F22" s="49">
        <v>-2.0742008875452335E-2</v>
      </c>
      <c r="G22" s="49">
        <v>-3.3242970631354334E-2</v>
      </c>
      <c r="H22" s="49">
        <v>-2.9613058011332821E-2</v>
      </c>
      <c r="I22" s="49">
        <v>-3.9215516592075589E-2</v>
      </c>
      <c r="J22" s="49">
        <v>-2.7522541895592632E-2</v>
      </c>
      <c r="K22" s="49">
        <v>-3.5046794423068489E-2</v>
      </c>
      <c r="L22" s="49">
        <v>-2.70607603309783E-2</v>
      </c>
      <c r="M22" s="49">
        <v>-2.7056277341707822E-2</v>
      </c>
      <c r="N22" s="49">
        <v>-3.592733207976153E-2</v>
      </c>
      <c r="O22" s="49">
        <v>-2.5253734723670387E-2</v>
      </c>
    </row>
    <row r="23" spans="1:15">
      <c r="A23" s="32">
        <v>1991</v>
      </c>
      <c r="B23" s="49">
        <v>0.37203767477322103</v>
      </c>
      <c r="C23" s="49">
        <v>0.21924811141187989</v>
      </c>
      <c r="D23" s="49">
        <v>0.31639847354041101</v>
      </c>
      <c r="E23" s="49">
        <v>0.26666500488685307</v>
      </c>
      <c r="F23" s="49">
        <v>0.19486442783003358</v>
      </c>
      <c r="G23" s="49">
        <v>0.26428356289786958</v>
      </c>
      <c r="H23" s="49">
        <v>0.2436733964208378</v>
      </c>
      <c r="I23" s="49">
        <v>0.30350565673536661</v>
      </c>
      <c r="J23" s="49">
        <v>0.23316847134058821</v>
      </c>
      <c r="K23" s="49">
        <v>0.27756327546557519</v>
      </c>
      <c r="L23" s="49">
        <v>0.23025618847644594</v>
      </c>
      <c r="M23" s="49">
        <v>0.23015731974263245</v>
      </c>
      <c r="N23" s="49">
        <v>0.28327955887697898</v>
      </c>
      <c r="O23" s="49">
        <v>0.21469886385160414</v>
      </c>
    </row>
    <row r="24" spans="1:15">
      <c r="A24" s="32">
        <v>1992</v>
      </c>
      <c r="B24" s="49">
        <v>-0.12316853962976665</v>
      </c>
      <c r="C24" s="49">
        <v>-3.5241725728349452E-2</v>
      </c>
      <c r="D24" s="49">
        <v>-9.0904597258004177E-2</v>
      </c>
      <c r="E24" s="49">
        <v>-6.5626569044758387E-2</v>
      </c>
      <c r="F24" s="49">
        <v>-2.0129560767123397E-2</v>
      </c>
      <c r="G24" s="49">
        <v>-6.2075875480061861E-2</v>
      </c>
      <c r="H24" s="49">
        <v>-5.0089506437967779E-2</v>
      </c>
      <c r="I24" s="49">
        <v>-8.5348525499970504E-2</v>
      </c>
      <c r="J24" s="49">
        <v>-4.4924705671786157E-2</v>
      </c>
      <c r="K24" s="49">
        <v>-7.1635571218848712E-2</v>
      </c>
      <c r="L24" s="49">
        <v>-4.2992145739540549E-2</v>
      </c>
      <c r="M24" s="49">
        <v>-4.2922187830504221E-2</v>
      </c>
      <c r="N24" s="49">
        <v>-7.5206756854641163E-2</v>
      </c>
      <c r="O24" s="49">
        <v>-2.9605041494166394E-2</v>
      </c>
    </row>
    <row r="25" spans="1:15">
      <c r="A25" s="32">
        <v>1993</v>
      </c>
      <c r="B25" s="49">
        <v>-8.0831707180794909E-2</v>
      </c>
      <c r="C25" s="49">
        <v>-3.1729619092559641E-2</v>
      </c>
      <c r="D25" s="49">
        <v>-6.3155895759720942E-2</v>
      </c>
      <c r="E25" s="49">
        <v>-4.7959385135631853E-2</v>
      </c>
      <c r="F25" s="49">
        <v>-2.329157172734872E-2</v>
      </c>
      <c r="G25" s="49">
        <v>-4.6499040447110389E-2</v>
      </c>
      <c r="H25" s="49">
        <v>-3.9837914061285472E-2</v>
      </c>
      <c r="I25" s="49">
        <v>-5.9232232052414617E-2</v>
      </c>
      <c r="J25" s="49">
        <v>-3.6766137371873613E-2</v>
      </c>
      <c r="K25" s="49">
        <v>-5.1309756317544718E-2</v>
      </c>
      <c r="L25" s="49">
        <v>-3.5726806822600758E-2</v>
      </c>
      <c r="M25" s="49">
        <v>-3.5686262785456301E-2</v>
      </c>
      <c r="N25" s="49">
        <v>-5.3437269151541691E-2</v>
      </c>
      <c r="O25" s="49">
        <v>-2.9715966302939517E-2</v>
      </c>
    </row>
    <row r="26" spans="1:15">
      <c r="A26" s="32">
        <v>1994</v>
      </c>
      <c r="B26" s="49">
        <v>0.13203485650248997</v>
      </c>
      <c r="C26" s="49">
        <v>7.7133776973398516E-2</v>
      </c>
      <c r="D26" s="49">
        <v>0.11232353405893959</v>
      </c>
      <c r="E26" s="49">
        <v>9.43253753794321E-2</v>
      </c>
      <c r="F26" s="49">
        <v>6.7928066558295919E-2</v>
      </c>
      <c r="G26" s="49">
        <v>9.3228142153239449E-2</v>
      </c>
      <c r="H26" s="49">
        <v>8.5819150557783108E-2</v>
      </c>
      <c r="I26" s="49">
        <v>0.10741581945427849</v>
      </c>
      <c r="J26" s="49">
        <v>8.2233476847132753E-2</v>
      </c>
      <c r="K26" s="49">
        <v>9.8105094722595057E-2</v>
      </c>
      <c r="L26" s="49">
        <v>8.0997886246122086E-2</v>
      </c>
      <c r="M26" s="49">
        <v>8.1102463287282794E-2</v>
      </c>
      <c r="N26" s="49">
        <v>0.10039642429981049</v>
      </c>
      <c r="O26" s="49">
        <v>7.572297145459525E-2</v>
      </c>
    </row>
    <row r="27" spans="1:15">
      <c r="A27" s="32">
        <v>1995</v>
      </c>
      <c r="B27" s="49">
        <v>0.15075786821043738</v>
      </c>
      <c r="C27" s="49">
        <v>0.11732376620240356</v>
      </c>
      <c r="D27" s="49">
        <v>0.14091719818512433</v>
      </c>
      <c r="E27" s="49">
        <v>0.12721043285483014</v>
      </c>
      <c r="F27" s="49">
        <v>0.11092066473451864</v>
      </c>
      <c r="G27" s="49">
        <v>0.12838334216836872</v>
      </c>
      <c r="H27" s="49">
        <v>0.12326703790724776</v>
      </c>
      <c r="I27" s="49">
        <v>0.13654129718013774</v>
      </c>
      <c r="J27" s="49">
        <v>0.11987739494140705</v>
      </c>
      <c r="K27" s="49">
        <v>0.13005993573720362</v>
      </c>
      <c r="L27" s="49">
        <v>0.11922737819565195</v>
      </c>
      <c r="M27" s="49">
        <v>0.11929111011113187</v>
      </c>
      <c r="N27" s="49">
        <v>0.13114332036915824</v>
      </c>
      <c r="O27" s="49">
        <v>0.11844009529206084</v>
      </c>
    </row>
    <row r="28" spans="1:15">
      <c r="A28" s="32">
        <v>1996</v>
      </c>
      <c r="B28" s="49">
        <v>5.3283479684556392E-2</v>
      </c>
      <c r="C28" s="49">
        <v>4.037187799592161E-2</v>
      </c>
      <c r="D28" s="49">
        <v>4.918407544967611E-2</v>
      </c>
      <c r="E28" s="49">
        <v>4.4366615432833878E-2</v>
      </c>
      <c r="F28" s="49">
        <v>3.7914548849698894E-2</v>
      </c>
      <c r="G28" s="49">
        <v>4.4492100966028868E-2</v>
      </c>
      <c r="H28" s="49">
        <v>4.2579447168356918E-2</v>
      </c>
      <c r="I28" s="49">
        <v>4.7761286541731916E-2</v>
      </c>
      <c r="J28" s="49">
        <v>4.1472024022307923E-2</v>
      </c>
      <c r="K28" s="49">
        <v>4.5390341832155116E-2</v>
      </c>
      <c r="L28" s="49">
        <v>4.1153311182325618E-2</v>
      </c>
      <c r="M28" s="49">
        <v>4.1224591329753993E-2</v>
      </c>
      <c r="N28" s="49">
        <v>4.584564393651238E-2</v>
      </c>
      <c r="O28" s="49">
        <v>4.0456914251645305E-2</v>
      </c>
    </row>
    <row r="29" spans="1:15">
      <c r="A29" s="32">
        <v>1997</v>
      </c>
      <c r="B29" s="49">
        <v>0.16731609556977101</v>
      </c>
      <c r="C29" s="49">
        <v>0.10753358328588408</v>
      </c>
      <c r="D29" s="49">
        <v>0.14644977847154281</v>
      </c>
      <c r="E29" s="49">
        <v>0.12654804321541058</v>
      </c>
      <c r="F29" s="49">
        <v>9.7235343163914814E-2</v>
      </c>
      <c r="G29" s="49">
        <v>0.12589012326505739</v>
      </c>
      <c r="H29" s="49">
        <v>0.11751697060992126</v>
      </c>
      <c r="I29" s="49">
        <v>0.14118671930127882</v>
      </c>
      <c r="J29" s="49">
        <v>0.11311090599298611</v>
      </c>
      <c r="K29" s="49">
        <v>0.13099054156430615</v>
      </c>
      <c r="L29" s="49">
        <v>0.11187751825210979</v>
      </c>
      <c r="M29" s="49">
        <v>0.11191376166351551</v>
      </c>
      <c r="N29" s="49">
        <v>0.13318544358209161</v>
      </c>
      <c r="O29" s="49">
        <v>0.10607114806766085</v>
      </c>
    </row>
    <row r="30" spans="1:15">
      <c r="A30" s="32">
        <v>1998</v>
      </c>
      <c r="B30" s="49">
        <v>-3.1861938476633711E-2</v>
      </c>
      <c r="C30" s="49">
        <v>-9.3109073538667915E-4</v>
      </c>
      <c r="D30" s="49">
        <v>-1.9910340474080516E-2</v>
      </c>
      <c r="E30" s="49">
        <v>-1.1582111434762059E-2</v>
      </c>
      <c r="F30" s="49">
        <v>3.9932711562597947E-3</v>
      </c>
      <c r="G30" s="49">
        <v>-1.0024149928315868E-2</v>
      </c>
      <c r="H30" s="49">
        <v>-5.9830773934024025E-3</v>
      </c>
      <c r="I30" s="49">
        <v>-1.8289817585799222E-2</v>
      </c>
      <c r="J30" s="49">
        <v>-4.3718956558972417E-3</v>
      </c>
      <c r="K30" s="49">
        <v>-1.3582364246646304E-2</v>
      </c>
      <c r="L30" s="49">
        <v>-3.7507577808968667E-3</v>
      </c>
      <c r="M30" s="49">
        <v>-3.6609240749424119E-3</v>
      </c>
      <c r="N30" s="49">
        <v>-1.4872184189455042E-2</v>
      </c>
      <c r="O30" s="49">
        <v>1.4364033373549714E-3</v>
      </c>
    </row>
    <row r="31" spans="1:15">
      <c r="A31" s="32">
        <v>1999</v>
      </c>
      <c r="B31" s="49">
        <v>-2.3024745075475861E-3</v>
      </c>
      <c r="C31" s="49">
        <v>4.3629021477134908E-3</v>
      </c>
      <c r="D31" s="49">
        <v>2.8438821670184592E-4</v>
      </c>
      <c r="E31" s="49">
        <v>2.0979288775957289E-3</v>
      </c>
      <c r="F31" s="49">
        <v>5.356576575879457E-3</v>
      </c>
      <c r="G31" s="49">
        <v>2.3873729503936271E-3</v>
      </c>
      <c r="H31" s="49">
        <v>3.2458409712048915E-3</v>
      </c>
      <c r="I31" s="49">
        <v>6.5882763820804551E-4</v>
      </c>
      <c r="J31" s="49">
        <v>3.6276466627162304E-3</v>
      </c>
      <c r="K31" s="49">
        <v>1.6594071580855623E-3</v>
      </c>
      <c r="L31" s="49">
        <v>3.705328988375561E-3</v>
      </c>
      <c r="M31" s="49">
        <v>3.7774052721362352E-3</v>
      </c>
      <c r="N31" s="49">
        <v>1.3778615022244701E-3</v>
      </c>
      <c r="O31" s="49">
        <v>4.8451422609366102E-3</v>
      </c>
    </row>
    <row r="32" spans="1:15">
      <c r="A32" s="32">
        <v>2000</v>
      </c>
      <c r="B32" s="49">
        <v>5.3772146165053089E-2</v>
      </c>
      <c r="C32" s="49">
        <v>5.3780108174557133E-2</v>
      </c>
      <c r="D32" s="49">
        <v>5.5250573194241773E-2</v>
      </c>
      <c r="E32" s="49">
        <v>5.324319108349209E-2</v>
      </c>
      <c r="F32" s="49">
        <v>5.3151855836997927E-2</v>
      </c>
      <c r="G32" s="49">
        <v>5.4508008212371728E-2</v>
      </c>
      <c r="H32" s="49">
        <v>5.4109007619003995E-2</v>
      </c>
      <c r="I32" s="49">
        <v>5.415343020082368E-2</v>
      </c>
      <c r="J32" s="49">
        <v>5.3338958598631775E-2</v>
      </c>
      <c r="K32" s="49">
        <v>5.3600158645857113E-2</v>
      </c>
      <c r="L32" s="49">
        <v>5.3329468608259045E-2</v>
      </c>
      <c r="M32" s="49">
        <v>5.3415609563446334E-2</v>
      </c>
      <c r="N32" s="49">
        <v>5.3423810067053587E-2</v>
      </c>
      <c r="O32" s="49">
        <v>5.5326638815210986E-2</v>
      </c>
    </row>
    <row r="33" spans="1:15">
      <c r="A33" s="32">
        <v>2001</v>
      </c>
      <c r="B33" s="49">
        <v>8.316595080397704E-2</v>
      </c>
      <c r="C33" s="49">
        <v>6.0052365863502814E-2</v>
      </c>
      <c r="D33" s="49">
        <v>7.5789442951733774E-2</v>
      </c>
      <c r="E33" s="49">
        <v>6.7248450659992548E-2</v>
      </c>
      <c r="F33" s="49">
        <v>5.567528675438773E-2</v>
      </c>
      <c r="G33" s="49">
        <v>6.7496175653348534E-2</v>
      </c>
      <c r="H33" s="49">
        <v>6.4062574765504102E-2</v>
      </c>
      <c r="I33" s="49">
        <v>7.3245228833188458E-2</v>
      </c>
      <c r="J33" s="49">
        <v>6.2062074751495021E-2</v>
      </c>
      <c r="K33" s="49">
        <v>6.9125614822836232E-2</v>
      </c>
      <c r="L33" s="49">
        <v>6.1534923715173974E-2</v>
      </c>
      <c r="M33" s="49">
        <v>6.1626066742562755E-2</v>
      </c>
      <c r="N33" s="49">
        <v>6.9918588513180557E-2</v>
      </c>
      <c r="O33" s="49">
        <v>6.01556832408318E-2</v>
      </c>
    </row>
    <row r="34" spans="1:15">
      <c r="A34" s="32">
        <v>2002</v>
      </c>
      <c r="B34" s="49">
        <v>9.108403354008536E-2</v>
      </c>
      <c r="C34" s="49">
        <v>6.9522764290821104E-2</v>
      </c>
      <c r="D34" s="49">
        <v>8.4648866424997693E-2</v>
      </c>
      <c r="E34" s="49">
        <v>7.6141683284019712E-2</v>
      </c>
      <c r="F34" s="49">
        <v>6.5229256709575523E-2</v>
      </c>
      <c r="G34" s="49">
        <v>7.6747711750214595E-2</v>
      </c>
      <c r="H34" s="49">
        <v>7.3410585803253964E-2</v>
      </c>
      <c r="I34" s="49">
        <v>8.1978185962528483E-2</v>
      </c>
      <c r="J34" s="49">
        <v>7.1300375403730049E-2</v>
      </c>
      <c r="K34" s="49">
        <v>7.8020283429112922E-2</v>
      </c>
      <c r="L34" s="49">
        <v>7.0819505587584541E-2</v>
      </c>
      <c r="M34" s="49">
        <v>7.091638322953879E-2</v>
      </c>
      <c r="N34" s="49">
        <v>7.8694768694760955E-2</v>
      </c>
      <c r="O34" s="49">
        <v>7.0036303482840179E-2</v>
      </c>
    </row>
    <row r="35" spans="1:15">
      <c r="A35" s="32">
        <v>2003</v>
      </c>
      <c r="B35" s="49">
        <v>0.1332404529965239</v>
      </c>
      <c r="C35" s="49">
        <v>7.8426914327969777E-2</v>
      </c>
      <c r="D35" s="49">
        <v>0.11358289932783838</v>
      </c>
      <c r="E35" s="49">
        <v>9.6286678513551105E-2</v>
      </c>
      <c r="F35" s="49">
        <v>6.9073726241435929E-2</v>
      </c>
      <c r="G35" s="49">
        <v>9.5193089606134207E-2</v>
      </c>
      <c r="H35" s="49">
        <v>8.7583002191282511E-2</v>
      </c>
      <c r="I35" s="49">
        <v>0.10930835163582013</v>
      </c>
      <c r="J35" s="49">
        <v>8.3801374566438214E-2</v>
      </c>
      <c r="K35" s="49">
        <v>0.1003223815784017</v>
      </c>
      <c r="L35" s="49">
        <v>8.2640540177825322E-2</v>
      </c>
      <c r="M35" s="49">
        <v>8.2681251264341907E-2</v>
      </c>
      <c r="N35" s="49">
        <v>0.10230596446842272</v>
      </c>
      <c r="O35" s="49">
        <v>7.6331475281016262E-2</v>
      </c>
    </row>
    <row r="36" spans="1:15">
      <c r="A36" s="32">
        <v>2004</v>
      </c>
      <c r="B36" s="49">
        <v>0.34700947848569191</v>
      </c>
      <c r="C36" s="49">
        <v>0.19852932040815849</v>
      </c>
      <c r="D36" s="49">
        <v>0.29156490755751835</v>
      </c>
      <c r="E36" s="49">
        <v>0.24709497115744339</v>
      </c>
      <c r="F36" s="49">
        <v>0.17497604204190925</v>
      </c>
      <c r="G36" s="49">
        <v>0.24349075109857968</v>
      </c>
      <c r="H36" s="49">
        <v>0.22324093458790348</v>
      </c>
      <c r="I36" s="49">
        <v>0.28176159813388635</v>
      </c>
      <c r="J36" s="49">
        <v>0.21327173280075729</v>
      </c>
      <c r="K36" s="49">
        <v>0.25815837176706491</v>
      </c>
      <c r="L36" s="49">
        <v>0.2105164826010579</v>
      </c>
      <c r="M36" s="49">
        <v>0.21033921422564728</v>
      </c>
      <c r="N36" s="49">
        <v>0.26290746582236263</v>
      </c>
      <c r="O36" s="49">
        <v>0.1906447854370544</v>
      </c>
    </row>
    <row r="37" spans="1:15">
      <c r="A37" s="32">
        <v>2005</v>
      </c>
      <c r="B37" s="49">
        <v>8.9656256244012036E-2</v>
      </c>
      <c r="C37" s="49">
        <v>4.5919746475149167E-2</v>
      </c>
      <c r="D37" s="49">
        <v>7.2913064303601158E-2</v>
      </c>
      <c r="E37" s="49">
        <v>6.1002364015168432E-2</v>
      </c>
      <c r="F37" s="49">
        <v>3.9182426649855245E-2</v>
      </c>
      <c r="G37" s="49">
        <v>5.9374395090147754E-2</v>
      </c>
      <c r="H37" s="49">
        <v>5.3413243454603458E-2</v>
      </c>
      <c r="I37" s="49">
        <v>7.0816433412782195E-2</v>
      </c>
      <c r="J37" s="49">
        <v>5.0674871350041811E-2</v>
      </c>
      <c r="K37" s="49">
        <v>6.4288063170471116E-2</v>
      </c>
      <c r="L37" s="49">
        <v>4.9876970462951635E-2</v>
      </c>
      <c r="M37" s="49">
        <v>4.9793252876401663E-2</v>
      </c>
      <c r="N37" s="49">
        <v>6.5507815865406355E-2</v>
      </c>
      <c r="O37" s="49">
        <v>4.2294484577527387E-2</v>
      </c>
    </row>
    <row r="38" spans="1:15">
      <c r="A38" s="32">
        <v>2006</v>
      </c>
      <c r="B38" s="49">
        <v>-0.13062849988578271</v>
      </c>
      <c r="C38" s="49">
        <v>-7.9196165613677844E-2</v>
      </c>
      <c r="D38" s="49">
        <v>-0.11226734486665518</v>
      </c>
      <c r="E38" s="49">
        <v>-9.7322982553565293E-2</v>
      </c>
      <c r="F38" s="49">
        <v>-7.0417345396349779E-2</v>
      </c>
      <c r="G38" s="49">
        <v>-9.5977697405728118E-2</v>
      </c>
      <c r="H38" s="49">
        <v>-8.8605185222325022E-2</v>
      </c>
      <c r="I38" s="49">
        <v>-0.1092870910644434</v>
      </c>
      <c r="J38" s="49">
        <v>-8.4876761692833425E-2</v>
      </c>
      <c r="K38" s="49">
        <v>-0.10138625412608097</v>
      </c>
      <c r="L38" s="49">
        <v>-8.3944371428161468E-2</v>
      </c>
      <c r="M38" s="49">
        <v>-8.3819475654081294E-2</v>
      </c>
      <c r="N38" s="49">
        <v>-0.10281575194889955</v>
      </c>
      <c r="O38" s="49">
        <v>-7.5539377563015306E-2</v>
      </c>
    </row>
    <row r="39" spans="1:15">
      <c r="A39" s="32">
        <v>2007</v>
      </c>
      <c r="B39" s="49">
        <v>-0.12973976581741695</v>
      </c>
      <c r="C39" s="49">
        <v>-7.3951029657141162E-2</v>
      </c>
      <c r="D39" s="49">
        <v>-0.10996147091333908</v>
      </c>
      <c r="E39" s="49">
        <v>-9.3328431768701328E-2</v>
      </c>
      <c r="F39" s="49">
        <v>-6.4254000711235576E-2</v>
      </c>
      <c r="G39" s="49">
        <v>-9.193750561548493E-2</v>
      </c>
      <c r="H39" s="49">
        <v>-8.3978397249458561E-2</v>
      </c>
      <c r="I39" s="49">
        <v>-0.10639257085485759</v>
      </c>
      <c r="J39" s="49">
        <v>-7.998452705054046E-2</v>
      </c>
      <c r="K39" s="49">
        <v>-9.7623737394083379E-2</v>
      </c>
      <c r="L39" s="49">
        <v>-7.8920963788298423E-2</v>
      </c>
      <c r="M39" s="49">
        <v>-7.8811823852919349E-2</v>
      </c>
      <c r="N39" s="49">
        <v>-9.9380696708412167E-2</v>
      </c>
      <c r="O39" s="49">
        <v>-7.0539581337000321E-2</v>
      </c>
    </row>
    <row r="40" spans="1:15">
      <c r="A40" s="32">
        <v>2008</v>
      </c>
      <c r="B40" s="49">
        <v>0.20140223927400128</v>
      </c>
      <c r="C40" s="49">
        <v>0.10286645338691357</v>
      </c>
      <c r="D40" s="49">
        <v>0.16315751347517754</v>
      </c>
      <c r="E40" s="49">
        <v>0.13578980142227043</v>
      </c>
      <c r="F40" s="49">
        <v>8.8121201212279648E-2</v>
      </c>
      <c r="G40" s="49">
        <v>0.1321667135550631</v>
      </c>
      <c r="H40" s="49">
        <v>0.11906760309419305</v>
      </c>
      <c r="I40" s="49">
        <v>0.15806235341381242</v>
      </c>
      <c r="J40" s="49">
        <v>0.11311310738274995</v>
      </c>
      <c r="K40" s="49">
        <v>0.1428674497166498</v>
      </c>
      <c r="L40" s="49">
        <v>0.1113394088096035</v>
      </c>
      <c r="M40" s="49">
        <v>0.11111459930371984</v>
      </c>
      <c r="N40" s="49">
        <v>0.14596174635085973</v>
      </c>
      <c r="O40" s="49">
        <v>9.5585213132810556E-2</v>
      </c>
    </row>
    <row r="41" spans="1:15">
      <c r="A41" s="65">
        <v>2009</v>
      </c>
      <c r="B41" s="143">
        <v>9.5292217799544332E-2</v>
      </c>
      <c r="C41" s="143">
        <v>8.3231386375289373E-2</v>
      </c>
      <c r="D41" s="143">
        <v>8.9993750323115185E-2</v>
      </c>
      <c r="E41" s="143">
        <v>8.523149985528522E-2</v>
      </c>
      <c r="F41" s="143">
        <v>8.3043336115166788E-2</v>
      </c>
      <c r="G41" s="143">
        <v>8.6661981599322369E-2</v>
      </c>
      <c r="H41" s="143">
        <v>8.5100856972885497E-2</v>
      </c>
      <c r="I41" s="143">
        <v>8.8663308544752129E-2</v>
      </c>
      <c r="J41" s="143">
        <v>8.3507822130560738E-2</v>
      </c>
      <c r="K41" s="143">
        <v>8.717708268787705E-2</v>
      </c>
      <c r="L41" s="143">
        <v>8.3655835142579571E-2</v>
      </c>
      <c r="M41" s="143">
        <v>8.3680302546740304E-2</v>
      </c>
      <c r="N41" s="143">
        <v>8.6519774665890781E-2</v>
      </c>
      <c r="O41" s="143">
        <v>8.3537119780865199E-2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7" enableFormatConditionsCalculation="0">
    <tabColor indexed="52"/>
  </sheetPr>
  <dimension ref="A1:CX151"/>
  <sheetViews>
    <sheetView workbookViewId="0">
      <selection activeCell="A67" sqref="A67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Parameters!A40</f>
        <v>Basis</v>
      </c>
      <c r="C2" s="2" t="s">
        <v>129</v>
      </c>
      <c r="D2" s="1">
        <v>1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0.44477333531646007</v>
      </c>
      <c r="D4" s="115">
        <v>0.55657511436146745</v>
      </c>
      <c r="E4" s="115">
        <v>0.58094681231274625</v>
      </c>
      <c r="F4" s="115">
        <v>0.58005742646889513</v>
      </c>
      <c r="G4" s="115">
        <v>0.54669811684554637</v>
      </c>
      <c r="H4" s="115">
        <v>0.5369337642965567</v>
      </c>
      <c r="I4" s="115">
        <v>0.68122087400412856</v>
      </c>
      <c r="J4" s="115">
        <v>0.53485685947500783</v>
      </c>
      <c r="K4" s="115">
        <v>0.62143845016330501</v>
      </c>
      <c r="L4" s="115">
        <v>0.52026838896524064</v>
      </c>
      <c r="M4" s="115">
        <v>0.59450799129343412</v>
      </c>
      <c r="N4" s="115">
        <v>0.44468525858888003</v>
      </c>
      <c r="O4" s="115">
        <v>0.48481805233421638</v>
      </c>
      <c r="P4" s="115">
        <v>0.57762849978253528</v>
      </c>
      <c r="Q4" s="115">
        <v>0.57050359159033937</v>
      </c>
      <c r="R4" s="115">
        <v>0.5452082071936295</v>
      </c>
      <c r="S4" s="115">
        <v>0.43946674126497848</v>
      </c>
      <c r="T4" s="115">
        <v>0.71645128194742025</v>
      </c>
      <c r="U4" s="115">
        <v>0.66958111880617011</v>
      </c>
      <c r="V4" s="115">
        <v>0.66799687242036998</v>
      </c>
      <c r="W4" s="115">
        <v>0.6209421697669939</v>
      </c>
      <c r="X4" s="115">
        <v>0.64524317122679475</v>
      </c>
      <c r="Y4" s="115">
        <v>0.51095522171438612</v>
      </c>
      <c r="Z4" s="115">
        <v>0.62761543508656059</v>
      </c>
      <c r="AA4" s="115">
        <v>0.61495224738544385</v>
      </c>
      <c r="AB4" s="115">
        <v>0.72423243698740081</v>
      </c>
      <c r="AC4" s="115">
        <v>0.56775711557179442</v>
      </c>
      <c r="AD4" s="115">
        <v>0.54718580070435496</v>
      </c>
      <c r="AE4" s="115">
        <v>0.71101811764353018</v>
      </c>
      <c r="AF4" s="115">
        <v>0.66713441440262466</v>
      </c>
      <c r="AG4" s="115">
        <v>0.59212476383319634</v>
      </c>
      <c r="AH4" s="115">
        <v>0.65626868543606431</v>
      </c>
      <c r="AI4" s="115">
        <v>0.67678063113788012</v>
      </c>
      <c r="AJ4" s="115">
        <v>0.70299077656103137</v>
      </c>
      <c r="AK4" s="115">
        <v>0.52870051191275991</v>
      </c>
      <c r="AL4" s="115">
        <v>0.64669787675619006</v>
      </c>
      <c r="AM4" s="115">
        <v>0.54038176830823315</v>
      </c>
      <c r="AN4" s="115">
        <v>0.56530205366630171</v>
      </c>
      <c r="AO4" s="115">
        <v>0.59720380544230833</v>
      </c>
      <c r="AP4" s="115">
        <v>0.6282125668906271</v>
      </c>
      <c r="AQ4" s="115">
        <v>0.67028253169337315</v>
      </c>
      <c r="AR4" s="115">
        <v>0.53062058036853743</v>
      </c>
      <c r="AS4" s="115">
        <v>0.60851923236437011</v>
      </c>
      <c r="AT4" s="115">
        <v>0.58893440655765217</v>
      </c>
      <c r="AU4" s="115">
        <v>0.68234925031884852</v>
      </c>
      <c r="AV4" s="115">
        <v>0.70094543463552506</v>
      </c>
      <c r="AW4" s="115">
        <v>0.72510841793866931</v>
      </c>
      <c r="AX4" s="115">
        <v>0.62343215601318347</v>
      </c>
      <c r="AY4" s="115">
        <v>0.7058248196893433</v>
      </c>
      <c r="AZ4" s="115">
        <v>0.59103922006269749</v>
      </c>
      <c r="BA4" s="115">
        <v>0.57252689132680123</v>
      </c>
      <c r="BB4" s="115">
        <v>0.43323316597007111</v>
      </c>
      <c r="BC4" s="115">
        <v>0.70100985012890571</v>
      </c>
      <c r="BD4" s="115">
        <v>0.67793567424518408</v>
      </c>
      <c r="BE4" s="115">
        <v>0.75516340321147402</v>
      </c>
      <c r="BF4" s="115">
        <v>0.57745644877937385</v>
      </c>
      <c r="BG4" s="115">
        <v>0.46872610008539828</v>
      </c>
      <c r="BH4" s="115">
        <v>0.55956930749405287</v>
      </c>
      <c r="BI4" s="115">
        <v>0.71044744887367284</v>
      </c>
      <c r="BJ4" s="115">
        <v>0.61823867860970094</v>
      </c>
      <c r="BK4" s="115">
        <v>0.63297465322684254</v>
      </c>
      <c r="BL4" s="115">
        <v>0.59806964032341592</v>
      </c>
      <c r="BM4" s="115">
        <v>0.63799848377950141</v>
      </c>
      <c r="BN4" s="115">
        <v>0.58198238439626349</v>
      </c>
      <c r="BO4" s="115">
        <v>0.68898318601611042</v>
      </c>
      <c r="BP4" s="115">
        <v>0.63253368324376003</v>
      </c>
      <c r="BQ4" s="115">
        <v>0.70400429534789011</v>
      </c>
      <c r="BR4" s="115">
        <v>0.63955238595036834</v>
      </c>
      <c r="BS4" s="115">
        <v>0.71863288840815165</v>
      </c>
      <c r="BT4" s="115">
        <v>0.76837184926520496</v>
      </c>
      <c r="BU4" s="115">
        <v>0.64127856031162966</v>
      </c>
      <c r="BV4" s="115">
        <v>0.65565685169167276</v>
      </c>
      <c r="BW4" s="115">
        <v>0.65752340852339297</v>
      </c>
      <c r="BX4" s="115">
        <v>0.44779460955743267</v>
      </c>
      <c r="BY4" s="115">
        <v>0.55413616049900882</v>
      </c>
      <c r="BZ4" s="115">
        <v>0.54345175270837998</v>
      </c>
      <c r="CA4" s="115">
        <v>0.67669309463287231</v>
      </c>
      <c r="CB4" s="115">
        <v>0.5964412394430566</v>
      </c>
      <c r="CC4" s="115">
        <v>0.73226702133985333</v>
      </c>
      <c r="CD4" s="115">
        <v>0.55739669134813818</v>
      </c>
      <c r="CE4" s="115">
        <v>0.71958376015073366</v>
      </c>
      <c r="CF4" s="115">
        <v>0.53901256533038844</v>
      </c>
      <c r="CG4" s="115">
        <v>0.58457060035845376</v>
      </c>
      <c r="CH4" s="115">
        <v>0.74867234979520858</v>
      </c>
      <c r="CI4" s="115">
        <v>0.67772725293333291</v>
      </c>
      <c r="CJ4" s="115">
        <v>0.59854434708787352</v>
      </c>
      <c r="CK4" s="115">
        <v>0.73997574328283189</v>
      </c>
      <c r="CL4" s="115">
        <v>0.58644473213400938</v>
      </c>
      <c r="CM4" s="115">
        <v>0.72934477552309573</v>
      </c>
      <c r="CN4" s="115">
        <v>0.43485926274860004</v>
      </c>
      <c r="CO4" s="115">
        <v>0.60054007451628422</v>
      </c>
      <c r="CP4" s="115">
        <v>0.6895881803251025</v>
      </c>
      <c r="CQ4" s="115">
        <v>0.70921884023449289</v>
      </c>
      <c r="CR4" s="115">
        <v>0.69093771796189618</v>
      </c>
      <c r="CS4" s="115">
        <v>0.66193882463214837</v>
      </c>
      <c r="CT4" s="115">
        <v>0.65690823312442204</v>
      </c>
      <c r="CU4" s="115">
        <v>0.621815093383144</v>
      </c>
      <c r="CV4" s="115">
        <v>0.63051922410267236</v>
      </c>
      <c r="CW4" s="115">
        <v>0.53313686329721544</v>
      </c>
      <c r="CX4" s="115">
        <v>0.52752748996516563</v>
      </c>
    </row>
    <row r="5" spans="1:102" s="115" customFormat="1">
      <c r="A5" s="252" t="str">
        <f>Parameters!A51</f>
        <v>Reele matching</v>
      </c>
      <c r="B5" s="253"/>
      <c r="C5" s="115">
        <v>6.1254956801745945E-3</v>
      </c>
      <c r="D5" s="115">
        <v>2.4089699369180621E-4</v>
      </c>
      <c r="E5" s="115">
        <v>3.2702001362168484E-2</v>
      </c>
      <c r="F5" s="115">
        <v>1.6387926051117049E-2</v>
      </c>
      <c r="G5" s="115">
        <v>7.3755235812193486E-9</v>
      </c>
      <c r="H5" s="115">
        <v>3.6989308449833134E-3</v>
      </c>
      <c r="I5" s="115">
        <v>1.8087893006982389E-8</v>
      </c>
      <c r="J5" s="115">
        <v>3.9053608295443044E-3</v>
      </c>
      <c r="K5" s="115">
        <v>1.188908699507535E-3</v>
      </c>
      <c r="L5" s="115">
        <v>6.4087235954781066E-2</v>
      </c>
      <c r="M5" s="115">
        <v>1.8069446554565686E-4</v>
      </c>
      <c r="N5" s="115">
        <v>5.3809887317593855E-4</v>
      </c>
      <c r="O5" s="115">
        <v>2.7532599546886562E-2</v>
      </c>
      <c r="P5" s="115">
        <v>2.8038401954978566E-2</v>
      </c>
      <c r="Q5" s="115">
        <v>8.1811897019329234E-3</v>
      </c>
      <c r="R5" s="115">
        <v>4.769945334487698E-6</v>
      </c>
      <c r="S5" s="115">
        <v>2.8856972246009801E-2</v>
      </c>
      <c r="T5" s="115">
        <v>1.1474248518035657E-2</v>
      </c>
      <c r="U5" s="115">
        <v>6.6300272819915526E-4</v>
      </c>
      <c r="V5" s="115">
        <v>3.1584344532048459E-4</v>
      </c>
      <c r="W5" s="115">
        <v>8.6775379013091649E-10</v>
      </c>
      <c r="X5" s="115">
        <v>1.9312692041545887E-6</v>
      </c>
      <c r="Y5" s="115">
        <v>2.0571748452214385E-4</v>
      </c>
      <c r="Z5" s="115">
        <v>8.7348111801862762E-7</v>
      </c>
      <c r="AA5" s="115">
        <v>1.9406653974127969E-2</v>
      </c>
      <c r="AB5" s="115">
        <v>2.432497652696609E-8</v>
      </c>
      <c r="AC5" s="115">
        <v>3.3836614084223678E-2</v>
      </c>
      <c r="AD5" s="115">
        <v>8.4950904876288924E-2</v>
      </c>
      <c r="AE5" s="115">
        <v>1.5129085800499505E-6</v>
      </c>
      <c r="AF5" s="115">
        <v>1.1958338754369701E-14</v>
      </c>
      <c r="AG5" s="115">
        <v>5.0474232496275875E-2</v>
      </c>
      <c r="AH5" s="115">
        <v>1.2318230736360158E-2</v>
      </c>
      <c r="AI5" s="115">
        <v>5.1630119406695388E-2</v>
      </c>
      <c r="AJ5" s="115">
        <v>5.5482074071176037E-2</v>
      </c>
      <c r="AK5" s="115">
        <v>0.11977790566505228</v>
      </c>
      <c r="AL5" s="115">
        <v>3.2675819823786963E-5</v>
      </c>
      <c r="AM5" s="115">
        <v>8.071854794987339E-2</v>
      </c>
      <c r="AN5" s="115">
        <v>1.3182136927312535E-4</v>
      </c>
      <c r="AO5" s="115">
        <v>1.2070188795092583E-5</v>
      </c>
      <c r="AP5" s="115">
        <v>7.5712495135704322E-3</v>
      </c>
      <c r="AQ5" s="115">
        <v>6.328175671268213E-2</v>
      </c>
      <c r="AR5" s="115">
        <v>1.3225584705391029E-2</v>
      </c>
      <c r="AS5" s="115">
        <v>3.4187087388111862E-3</v>
      </c>
      <c r="AT5" s="115">
        <v>1.3862354275367555E-2</v>
      </c>
      <c r="AU5" s="115">
        <v>4.3289922326694236E-2</v>
      </c>
      <c r="AV5" s="115">
        <v>2.2546487206810586E-2</v>
      </c>
      <c r="AW5" s="115">
        <v>1.9054734260495082E-6</v>
      </c>
      <c r="AX5" s="115">
        <v>2.684917573927597E-2</v>
      </c>
      <c r="AY5" s="115">
        <v>2.3738068897818083E-10</v>
      </c>
      <c r="AZ5" s="115">
        <v>6.5546962844519685E-3</v>
      </c>
      <c r="BA5" s="115">
        <v>2.5854810372316867E-8</v>
      </c>
      <c r="BB5" s="115">
        <v>9.4297046684091723E-2</v>
      </c>
      <c r="BC5" s="115">
        <v>3.1477088484978978E-5</v>
      </c>
      <c r="BD5" s="115">
        <v>6.6882032419039936E-3</v>
      </c>
      <c r="BE5" s="115">
        <v>3.9651674176091427E-4</v>
      </c>
      <c r="BF5" s="115">
        <v>2.0156359828312986E-2</v>
      </c>
      <c r="BG5" s="115">
        <v>0.1100163235586108</v>
      </c>
      <c r="BH5" s="115">
        <v>2.6341980471098397E-2</v>
      </c>
      <c r="BI5" s="115">
        <v>5.2268524790700473E-7</v>
      </c>
      <c r="BJ5" s="115">
        <v>1.4608135371637714E-7</v>
      </c>
      <c r="BK5" s="115">
        <v>4.2464049343695117E-5</v>
      </c>
      <c r="BL5" s="115">
        <v>9.9415672418315615E-2</v>
      </c>
      <c r="BM5" s="115">
        <v>6.6936455398219907E-2</v>
      </c>
      <c r="BN5" s="115">
        <v>3.0856328856837791E-2</v>
      </c>
      <c r="BO5" s="115">
        <v>1.1945277150195348E-2</v>
      </c>
      <c r="BP5" s="115">
        <v>1.336784518316569E-7</v>
      </c>
      <c r="BQ5" s="115">
        <v>8.6870559435621929E-6</v>
      </c>
      <c r="BR5" s="115">
        <v>1.9790328291242231E-2</v>
      </c>
      <c r="BS5" s="115">
        <v>1.5074814609782193E-3</v>
      </c>
      <c r="BT5" s="115">
        <v>2.018695239193094E-2</v>
      </c>
      <c r="BU5" s="115">
        <v>2.9879795289645881E-2</v>
      </c>
      <c r="BV5" s="115">
        <v>1.0204430903629812E-2</v>
      </c>
      <c r="BW5" s="115">
        <v>2.5598291262743503E-2</v>
      </c>
      <c r="BX5" s="115">
        <v>0.1317361142684402</v>
      </c>
      <c r="BY5" s="115">
        <v>2.9005880008408199E-2</v>
      </c>
      <c r="BZ5" s="115">
        <v>4.6929331863706278E-2</v>
      </c>
      <c r="CA5" s="115">
        <v>8.8325956990654656E-3</v>
      </c>
      <c r="CB5" s="115">
        <v>1.639023554459488E-3</v>
      </c>
      <c r="CC5" s="115">
        <v>4.8412925413933875E-5</v>
      </c>
      <c r="CD5" s="115">
        <v>1.2392337068600573E-2</v>
      </c>
      <c r="CE5" s="115">
        <v>2.7170487274479624E-4</v>
      </c>
      <c r="CF5" s="115">
        <v>7.7329027868388758E-2</v>
      </c>
      <c r="CG5" s="115">
        <v>1.2571941879033656E-2</v>
      </c>
      <c r="CH5" s="115">
        <v>1.2858188981813973E-3</v>
      </c>
      <c r="CI5" s="115">
        <v>7.6310317949114456E-3</v>
      </c>
      <c r="CJ5" s="115">
        <v>2.1254441931826257E-2</v>
      </c>
      <c r="CK5" s="115">
        <v>1.8469670257910301E-2</v>
      </c>
      <c r="CL5" s="115">
        <v>5.9670581854295249E-4</v>
      </c>
      <c r="CM5" s="115">
        <v>6.233268235429635E-7</v>
      </c>
      <c r="CN5" s="115">
        <v>0.11392361552891782</v>
      </c>
      <c r="CO5" s="115">
        <v>1.7838725293374423E-5</v>
      </c>
      <c r="CP5" s="115">
        <v>4.8584762168727355E-3</v>
      </c>
      <c r="CQ5" s="115">
        <v>2.8068265699004015E-4</v>
      </c>
      <c r="CR5" s="115">
        <v>1.0196518625512577E-5</v>
      </c>
      <c r="CS5" s="115">
        <v>6.9141822680236817E-2</v>
      </c>
      <c r="CT5" s="115">
        <v>8.2494820737448932E-2</v>
      </c>
      <c r="CU5" s="115">
        <v>3.7222290429547319E-2</v>
      </c>
      <c r="CV5" s="115">
        <v>1.1163556873838677E-4</v>
      </c>
      <c r="CW5" s="115">
        <v>3.8519103994993459E-6</v>
      </c>
      <c r="CX5" s="115">
        <v>4.3323442738311013E-2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  <c r="BD6" s="115">
        <v>0</v>
      </c>
      <c r="BE6" s="115">
        <v>0</v>
      </c>
      <c r="BF6" s="115">
        <v>0</v>
      </c>
      <c r="BG6" s="115">
        <v>0</v>
      </c>
      <c r="BH6" s="115">
        <v>0</v>
      </c>
      <c r="BI6" s="115">
        <v>0</v>
      </c>
      <c r="BJ6" s="115">
        <v>0</v>
      </c>
      <c r="BK6" s="115">
        <v>0</v>
      </c>
      <c r="BL6" s="115">
        <v>0</v>
      </c>
      <c r="BM6" s="115">
        <v>0</v>
      </c>
      <c r="BN6" s="115">
        <v>0</v>
      </c>
      <c r="BO6" s="115">
        <v>0</v>
      </c>
      <c r="BP6" s="115">
        <v>0</v>
      </c>
      <c r="BQ6" s="115">
        <v>0</v>
      </c>
      <c r="BR6" s="115">
        <v>0</v>
      </c>
      <c r="BS6" s="115">
        <v>0</v>
      </c>
      <c r="BT6" s="115">
        <v>0</v>
      </c>
      <c r="BU6" s="115">
        <v>0</v>
      </c>
      <c r="BV6" s="115">
        <v>0</v>
      </c>
      <c r="BW6" s="115">
        <v>0</v>
      </c>
      <c r="BX6" s="115">
        <v>0</v>
      </c>
      <c r="BY6" s="115">
        <v>0</v>
      </c>
      <c r="BZ6" s="115">
        <v>0</v>
      </c>
      <c r="CA6" s="115">
        <v>0</v>
      </c>
      <c r="CB6" s="115">
        <v>0</v>
      </c>
      <c r="CC6" s="115">
        <v>0</v>
      </c>
      <c r="CD6" s="115">
        <v>0</v>
      </c>
      <c r="CE6" s="115">
        <v>0</v>
      </c>
      <c r="CF6" s="115">
        <v>0</v>
      </c>
      <c r="CG6" s="115">
        <v>0</v>
      </c>
      <c r="CH6" s="115">
        <v>0</v>
      </c>
      <c r="CI6" s="115">
        <v>0</v>
      </c>
      <c r="CJ6" s="115">
        <v>0</v>
      </c>
      <c r="CK6" s="115">
        <v>0</v>
      </c>
      <c r="CL6" s="115">
        <v>0</v>
      </c>
      <c r="CM6" s="115">
        <v>0</v>
      </c>
      <c r="CN6" s="115">
        <v>0</v>
      </c>
      <c r="CO6" s="115">
        <v>0</v>
      </c>
      <c r="CP6" s="115">
        <v>0</v>
      </c>
      <c r="CQ6" s="115">
        <v>0</v>
      </c>
      <c r="CR6" s="115">
        <v>0</v>
      </c>
      <c r="CS6" s="115">
        <v>0</v>
      </c>
      <c r="CT6" s="115">
        <v>0</v>
      </c>
      <c r="CU6" s="115">
        <v>0</v>
      </c>
      <c r="CV6" s="115">
        <v>0</v>
      </c>
      <c r="CW6" s="115">
        <v>0</v>
      </c>
      <c r="CX6" s="115">
        <v>0</v>
      </c>
    </row>
    <row r="7" spans="1:102" s="115" customFormat="1">
      <c r="A7" s="252" t="str">
        <f>Parameters!A53</f>
        <v>High Yield</v>
      </c>
      <c r="B7" s="253"/>
      <c r="C7" s="115">
        <v>0.2661274745485121</v>
      </c>
      <c r="D7" s="115">
        <v>0.1541227183474094</v>
      </c>
      <c r="E7" s="115">
        <v>0.13965881873715466</v>
      </c>
      <c r="F7" s="115">
        <v>8.8998036183003139E-4</v>
      </c>
      <c r="G7" s="115">
        <v>1.2612213396830862E-3</v>
      </c>
      <c r="H7" s="115">
        <v>0.18643946564435804</v>
      </c>
      <c r="I7" s="115">
        <v>4.3320833338227334E-5</v>
      </c>
      <c r="J7" s="115">
        <v>7.7272984494372934E-2</v>
      </c>
      <c r="K7" s="115">
        <v>1.3059023274641902E-2</v>
      </c>
      <c r="L7" s="115">
        <v>4.5967111054397242E-2</v>
      </c>
      <c r="M7" s="115">
        <v>2.4545420773969115E-12</v>
      </c>
      <c r="N7" s="115">
        <v>9.5412177841374984E-2</v>
      </c>
      <c r="O7" s="115">
        <v>0.10382943749370196</v>
      </c>
      <c r="P7" s="115">
        <v>0.16639574247881098</v>
      </c>
      <c r="Q7" s="115">
        <v>4.7246114866619027E-3</v>
      </c>
      <c r="R7" s="115">
        <v>9.9593303571265807E-2</v>
      </c>
      <c r="S7" s="115">
        <v>0.11652530449555226</v>
      </c>
      <c r="T7" s="115">
        <v>2.4470624748609945E-2</v>
      </c>
      <c r="U7" s="115">
        <v>5.0936600520169665E-5</v>
      </c>
      <c r="V7" s="115">
        <v>4.054398978841094E-3</v>
      </c>
      <c r="W7" s="115">
        <v>0.1528828566160787</v>
      </c>
      <c r="X7" s="115">
        <v>4.4234498279117007E-5</v>
      </c>
      <c r="Y7" s="115">
        <v>0.20685083990066847</v>
      </c>
      <c r="Z7" s="115">
        <v>6.0770809221114637E-4</v>
      </c>
      <c r="AA7" s="115">
        <v>1.9053901753326392E-4</v>
      </c>
      <c r="AB7" s="115">
        <v>0.10637147329952173</v>
      </c>
      <c r="AC7" s="115">
        <v>6.7835231114761071E-2</v>
      </c>
      <c r="AD7" s="115">
        <v>8.4284191328906868E-2</v>
      </c>
      <c r="AE7" s="115">
        <v>1.2810505419042238E-4</v>
      </c>
      <c r="AF7" s="115">
        <v>4.9455403293786079E-4</v>
      </c>
      <c r="AG7" s="115">
        <v>6.4955218878132312E-2</v>
      </c>
      <c r="AH7" s="115">
        <v>9.0509043209227133E-2</v>
      </c>
      <c r="AI7" s="115">
        <v>6.3200634143156613E-10</v>
      </c>
      <c r="AJ7" s="115">
        <v>5.7727350081927488E-3</v>
      </c>
      <c r="AK7" s="115">
        <v>5.6522090591855992E-2</v>
      </c>
      <c r="AL7" s="115">
        <v>6.79287591620353E-3</v>
      </c>
      <c r="AM7" s="115">
        <v>3.3036029401801753E-2</v>
      </c>
      <c r="AN7" s="115">
        <v>1.1964436905650298E-3</v>
      </c>
      <c r="AO7" s="115">
        <v>0.16414059009661316</v>
      </c>
      <c r="AP7" s="115">
        <v>0.10000562457711641</v>
      </c>
      <c r="AQ7" s="115">
        <v>6.7994023662788349E-3</v>
      </c>
      <c r="AR7" s="115">
        <v>0.21161837481803975</v>
      </c>
      <c r="AS7" s="115">
        <v>1.5478148192850452E-3</v>
      </c>
      <c r="AT7" s="115">
        <v>9.3448694503353927E-2</v>
      </c>
      <c r="AU7" s="115">
        <v>1.0142194035464875E-4</v>
      </c>
      <c r="AV7" s="115">
        <v>0.12786748758850558</v>
      </c>
      <c r="AW7" s="115">
        <v>2.0145295401826995E-3</v>
      </c>
      <c r="AX7" s="115">
        <v>0.11847226912926348</v>
      </c>
      <c r="AY7" s="115">
        <v>3.0706197108771347E-2</v>
      </c>
      <c r="AZ7" s="115">
        <v>9.3942898442415365E-2</v>
      </c>
      <c r="BA7" s="115">
        <v>0.11064342615761906</v>
      </c>
      <c r="BB7" s="115">
        <v>0.23094284353664507</v>
      </c>
      <c r="BC7" s="115">
        <v>0.11944174579508099</v>
      </c>
      <c r="BD7" s="115">
        <v>8.5184362959295781E-2</v>
      </c>
      <c r="BE7" s="115">
        <v>2.3491321399742342E-2</v>
      </c>
      <c r="BF7" s="115">
        <v>0.13979629456731593</v>
      </c>
      <c r="BG7" s="115">
        <v>6.1253853947018877E-2</v>
      </c>
      <c r="BH7" s="115">
        <v>0.14936479611485864</v>
      </c>
      <c r="BI7" s="115">
        <v>5.3478206531144736E-4</v>
      </c>
      <c r="BJ7" s="115">
        <v>9.2180969950752655E-3</v>
      </c>
      <c r="BK7" s="115">
        <v>1.3325699218499307E-4</v>
      </c>
      <c r="BL7" s="115">
        <v>8.9958930533877837E-2</v>
      </c>
      <c r="BM7" s="115">
        <v>1.4677697303569786E-2</v>
      </c>
      <c r="BN7" s="115">
        <v>0.11026022367642815</v>
      </c>
      <c r="BO7" s="115">
        <v>4.2933918323007506E-3</v>
      </c>
      <c r="BP7" s="115">
        <v>2.8358760995788275E-2</v>
      </c>
      <c r="BQ7" s="115">
        <v>9.3344204066054842E-2</v>
      </c>
      <c r="BR7" s="115">
        <v>3.528679831205383E-4</v>
      </c>
      <c r="BS7" s="115">
        <v>6.9491588252300118E-5</v>
      </c>
      <c r="BT7" s="115">
        <v>9.3049378083447803E-4</v>
      </c>
      <c r="BU7" s="115">
        <v>1.6003092552734396E-2</v>
      </c>
      <c r="BV7" s="115">
        <v>7.5338476583386826E-2</v>
      </c>
      <c r="BW7" s="115">
        <v>7.1736706913523185E-2</v>
      </c>
      <c r="BX7" s="115">
        <v>9.590201066414912E-2</v>
      </c>
      <c r="BY7" s="115">
        <v>1.7248974538244682E-2</v>
      </c>
      <c r="BZ7" s="115">
        <v>7.0475531532372735E-8</v>
      </c>
      <c r="CA7" s="115">
        <v>3.3640799087520528E-4</v>
      </c>
      <c r="CB7" s="115">
        <v>0.12979367852583168</v>
      </c>
      <c r="CC7" s="115">
        <v>6.6740170538919993E-2</v>
      </c>
      <c r="CD7" s="115">
        <v>0.21076147082151447</v>
      </c>
      <c r="CE7" s="115">
        <v>2.2125140477368471E-3</v>
      </c>
      <c r="CF7" s="115">
        <v>9.7945749254242515E-2</v>
      </c>
      <c r="CG7" s="115">
        <v>0.12300090409645235</v>
      </c>
      <c r="CH7" s="115">
        <v>3.1097707248342076E-5</v>
      </c>
      <c r="CI7" s="115">
        <v>2.4079937135129879E-2</v>
      </c>
      <c r="CJ7" s="115">
        <v>0.16467800504130606</v>
      </c>
      <c r="CK7" s="115">
        <v>2.3216048248960602E-2</v>
      </c>
      <c r="CL7" s="115">
        <v>8.9738913534685175E-2</v>
      </c>
      <c r="CM7" s="115">
        <v>3.3385362325547688E-2</v>
      </c>
      <c r="CN7" s="115">
        <v>0.10739628130752465</v>
      </c>
      <c r="CO7" s="115">
        <v>0.16557536842966189</v>
      </c>
      <c r="CP7" s="115">
        <v>3.0313561547577479E-2</v>
      </c>
      <c r="CQ7" s="115">
        <v>5.3104269535553549E-2</v>
      </c>
      <c r="CR7" s="115">
        <v>1.5854735864718709E-3</v>
      </c>
      <c r="CS7" s="115">
        <v>6.4339363513721531E-3</v>
      </c>
      <c r="CT7" s="115">
        <v>2.0042616575710572E-5</v>
      </c>
      <c r="CU7" s="115">
        <v>7.7259849420387883E-2</v>
      </c>
      <c r="CV7" s="115">
        <v>2.315249784038052E-2</v>
      </c>
      <c r="CW7" s="115">
        <v>0.10191451602012762</v>
      </c>
      <c r="CX7" s="115">
        <v>9.196163561823463E-2</v>
      </c>
    </row>
    <row r="8" spans="1:102" s="115" customFormat="1">
      <c r="A8" s="252" t="str">
        <f>Parameters!A54</f>
        <v>Emerging market debt</v>
      </c>
      <c r="B8" s="253"/>
      <c r="C8" s="115">
        <v>9.7495614848022038E-5</v>
      </c>
      <c r="D8" s="115">
        <v>1.1547794223983093E-2</v>
      </c>
      <c r="E8" s="115">
        <v>4.9786967394662169E-3</v>
      </c>
      <c r="F8" s="115">
        <v>3.5051618502498494E-2</v>
      </c>
      <c r="G8" s="115">
        <v>0.10993979730788804</v>
      </c>
      <c r="H8" s="115">
        <v>0.1313662876860629</v>
      </c>
      <c r="I8" s="115">
        <v>4.7559094288166459E-7</v>
      </c>
      <c r="J8" s="115">
        <v>3.1313755741210064E-2</v>
      </c>
      <c r="K8" s="115">
        <v>8.3379308668225904E-2</v>
      </c>
      <c r="L8" s="115">
        <v>0.16416215135855558</v>
      </c>
      <c r="M8" s="115">
        <v>1.3988176040575474E-6</v>
      </c>
      <c r="N8" s="115">
        <v>5.9189643619587048E-3</v>
      </c>
      <c r="O8" s="115">
        <v>8.8576804075386515E-5</v>
      </c>
      <c r="P8" s="115">
        <v>8.3161586832736707E-6</v>
      </c>
      <c r="Q8" s="115">
        <v>7.1932807514578578E-8</v>
      </c>
      <c r="R8" s="115">
        <v>1.8999051493583364E-7</v>
      </c>
      <c r="S8" s="115">
        <v>5.2579505944161116E-2</v>
      </c>
      <c r="T8" s="115">
        <v>6.6104307240788553E-15</v>
      </c>
      <c r="U8" s="115">
        <v>6.3689518279581747E-2</v>
      </c>
      <c r="V8" s="115">
        <v>0.12087607862149244</v>
      </c>
      <c r="W8" s="115">
        <v>7.3028154907658142E-7</v>
      </c>
      <c r="X8" s="115">
        <v>0.11088080105955325</v>
      </c>
      <c r="Y8" s="115">
        <v>2.3848473291262398E-2</v>
      </c>
      <c r="Z8" s="115">
        <v>2.880768427499366E-2</v>
      </c>
      <c r="AA8" s="115">
        <v>2.8368045097162411E-3</v>
      </c>
      <c r="AB8" s="115">
        <v>4.7707266894365177E-3</v>
      </c>
      <c r="AC8" s="115">
        <v>9.4233094583729485E-2</v>
      </c>
      <c r="AD8" s="115">
        <v>4.3281790669402437E-2</v>
      </c>
      <c r="AE8" s="115">
        <v>7.8824551785458324E-4</v>
      </c>
      <c r="AF8" s="115">
        <v>2.8079767513226422E-2</v>
      </c>
      <c r="AG8" s="115">
        <v>9.7197640964895887E-2</v>
      </c>
      <c r="AH8" s="115">
        <v>6.8863347964664716E-13</v>
      </c>
      <c r="AI8" s="115">
        <v>1.5106063795321071E-2</v>
      </c>
      <c r="AJ8" s="115">
        <v>1.3325319976051936E-2</v>
      </c>
      <c r="AK8" s="115">
        <v>5.7171731685240992E-2</v>
      </c>
      <c r="AL8" s="115">
        <v>2.5986538387601271E-3</v>
      </c>
      <c r="AM8" s="115">
        <v>1.8376647723711748E-4</v>
      </c>
      <c r="AN8" s="115">
        <v>0.18285272910191847</v>
      </c>
      <c r="AO8" s="115">
        <v>0.15416792923618328</v>
      </c>
      <c r="AP8" s="115">
        <v>0.11315523492316502</v>
      </c>
      <c r="AQ8" s="115">
        <v>5.8958841899381456E-2</v>
      </c>
      <c r="AR8" s="115">
        <v>6.7276578439922612E-3</v>
      </c>
      <c r="AS8" s="115">
        <v>3.4182593317749747E-2</v>
      </c>
      <c r="AT8" s="115">
        <v>1.1065631298755339E-12</v>
      </c>
      <c r="AU8" s="115">
        <v>0.13540905728584537</v>
      </c>
      <c r="AV8" s="115">
        <v>3.7958536147015688E-10</v>
      </c>
      <c r="AW8" s="115">
        <v>6.118240566256232E-2</v>
      </c>
      <c r="AX8" s="115">
        <v>3.4656432225505696E-9</v>
      </c>
      <c r="AY8" s="115">
        <v>2.8822438825068402E-3</v>
      </c>
      <c r="AZ8" s="115">
        <v>7.0936833540421514E-3</v>
      </c>
      <c r="BA8" s="115">
        <v>0.18452913181059802</v>
      </c>
      <c r="BB8" s="115">
        <v>3.5873811429084389E-8</v>
      </c>
      <c r="BC8" s="115">
        <v>4.4117642925243207E-2</v>
      </c>
      <c r="BD8" s="115">
        <v>0.14181050241917953</v>
      </c>
      <c r="BE8" s="115">
        <v>2.1855091047216252E-2</v>
      </c>
      <c r="BF8" s="115">
        <v>2.626897545988802E-2</v>
      </c>
      <c r="BG8" s="115">
        <v>0.11155140244999485</v>
      </c>
      <c r="BH8" s="115">
        <v>4.2284703637450335E-2</v>
      </c>
      <c r="BI8" s="115">
        <v>0.1118736438689536</v>
      </c>
      <c r="BJ8" s="115">
        <v>1.0020976149996117E-2</v>
      </c>
      <c r="BK8" s="115">
        <v>7.4083296610953479E-4</v>
      </c>
      <c r="BL8" s="115">
        <v>1.3827428216850419E-2</v>
      </c>
      <c r="BM8" s="115">
        <v>5.4935200103201305E-2</v>
      </c>
      <c r="BN8" s="115">
        <v>9.9492846558066103E-2</v>
      </c>
      <c r="BO8" s="115">
        <v>0.14951688533031829</v>
      </c>
      <c r="BP8" s="115">
        <v>2.3046370849937118E-4</v>
      </c>
      <c r="BQ8" s="115">
        <v>3.9514028441670943E-2</v>
      </c>
      <c r="BR8" s="115">
        <v>5.8733279872017848E-7</v>
      </c>
      <c r="BS8" s="115">
        <v>3.2653901545081292E-2</v>
      </c>
      <c r="BT8" s="115">
        <v>3.7841521667025098E-2</v>
      </c>
      <c r="BU8" s="115">
        <v>2.4260705719252978E-4</v>
      </c>
      <c r="BV8" s="115">
        <v>0.13220245653965151</v>
      </c>
      <c r="BW8" s="115">
        <v>0.12215358189380049</v>
      </c>
      <c r="BX8" s="115">
        <v>5.6638937323456019E-2</v>
      </c>
      <c r="BY8" s="115">
        <v>8.2487164750306161E-4</v>
      </c>
      <c r="BZ8" s="115">
        <v>0.14292430459898212</v>
      </c>
      <c r="CA8" s="115">
        <v>5.7902388409309736E-4</v>
      </c>
      <c r="CB8" s="115">
        <v>0.17661249662735248</v>
      </c>
      <c r="CC8" s="115">
        <v>2.8319943304276407E-5</v>
      </c>
      <c r="CD8" s="115">
        <v>1.9555306883637345E-2</v>
      </c>
      <c r="CE8" s="115">
        <v>2.475654223065961E-3</v>
      </c>
      <c r="CF8" s="115">
        <v>1.1907258126320852E-2</v>
      </c>
      <c r="CG8" s="115">
        <v>2.8517860205243158E-5</v>
      </c>
      <c r="CH8" s="115">
        <v>9.7699387154269735E-3</v>
      </c>
      <c r="CI8" s="115">
        <v>2.7941998161147397E-2</v>
      </c>
      <c r="CJ8" s="115">
        <v>3.5854559575401269E-2</v>
      </c>
      <c r="CK8" s="115">
        <v>1.1664224480507984E-3</v>
      </c>
      <c r="CL8" s="115">
        <v>9.0029229820785505E-5</v>
      </c>
      <c r="CM8" s="115">
        <v>8.8091987713639325E-2</v>
      </c>
      <c r="CN8" s="115">
        <v>1.4191618453862829E-2</v>
      </c>
      <c r="CO8" s="115">
        <v>3.7616287034539912E-8</v>
      </c>
      <c r="CP8" s="115">
        <v>1.5050807255397544E-7</v>
      </c>
      <c r="CQ8" s="115">
        <v>7.7776719066672106E-2</v>
      </c>
      <c r="CR8" s="115">
        <v>9.0345524466541316E-2</v>
      </c>
      <c r="CS8" s="115">
        <v>1.0017427144462764E-2</v>
      </c>
      <c r="CT8" s="115">
        <v>3.9419816544420011E-11</v>
      </c>
      <c r="CU8" s="115">
        <v>5.1329221081792761E-2</v>
      </c>
      <c r="CV8" s="115">
        <v>1.0597726207050576E-2</v>
      </c>
      <c r="CW8" s="115">
        <v>8.0095131637098755E-13</v>
      </c>
      <c r="CX8" s="115">
        <v>1.9198738068657754E-13</v>
      </c>
    </row>
    <row r="9" spans="1:102" s="115" customFormat="1">
      <c r="A9" s="252" t="str">
        <f>Parameters!A55</f>
        <v>Aandelen ontwikkeld</v>
      </c>
      <c r="B9" s="253"/>
      <c r="C9" s="115">
        <v>2.4268202976100742E-6</v>
      </c>
      <c r="D9" s="115">
        <v>8.8994674893600568E-5</v>
      </c>
      <c r="E9" s="115">
        <v>5.5843018910400909E-2</v>
      </c>
      <c r="F9" s="115">
        <v>0.10495446199121719</v>
      </c>
      <c r="G9" s="115">
        <v>0.16702715410176808</v>
      </c>
      <c r="H9" s="115">
        <v>4.563218627567589E-2</v>
      </c>
      <c r="I9" s="115">
        <v>9.7017392326913102E-2</v>
      </c>
      <c r="J9" s="115">
        <v>0.10642493664839899</v>
      </c>
      <c r="K9" s="115">
        <v>0.15278588410628186</v>
      </c>
      <c r="L9" s="115">
        <v>2.6587700356438176E-2</v>
      </c>
      <c r="M9" s="115">
        <v>6.6043317974206858E-2</v>
      </c>
      <c r="N9" s="115">
        <v>8.2807594878927453E-4</v>
      </c>
      <c r="O9" s="115">
        <v>1.4921411279509085E-5</v>
      </c>
      <c r="P9" s="115">
        <v>4.9379673939428691E-4</v>
      </c>
      <c r="Q9" s="115">
        <v>0.20410882616540116</v>
      </c>
      <c r="R9" s="115">
        <v>0.12499683901537066</v>
      </c>
      <c r="S9" s="115">
        <v>4.3820880186852421E-4</v>
      </c>
      <c r="T9" s="115">
        <v>7.8638635602224963E-2</v>
      </c>
      <c r="U9" s="115">
        <v>0.11966627753861855</v>
      </c>
      <c r="V9" s="115">
        <v>9.8706769494752752E-2</v>
      </c>
      <c r="W9" s="115">
        <v>6.7240460841224287E-2</v>
      </c>
      <c r="X9" s="115">
        <v>7.1996165375827745E-2</v>
      </c>
      <c r="Y9" s="115">
        <v>1.0830053970004748E-2</v>
      </c>
      <c r="Z9" s="115">
        <v>8.8178773778631189E-2</v>
      </c>
      <c r="AA9" s="115">
        <v>0.13060175023388204</v>
      </c>
      <c r="AB9" s="115">
        <v>9.3135402065296091E-5</v>
      </c>
      <c r="AC9" s="115">
        <v>5.8258365130584147E-2</v>
      </c>
      <c r="AD9" s="115">
        <v>1.6112973274166682E-2</v>
      </c>
      <c r="AE9" s="115">
        <v>4.7571024743124307E-7</v>
      </c>
      <c r="AF9" s="115">
        <v>9.5377700688217215E-2</v>
      </c>
      <c r="AG9" s="115">
        <v>7.8861282436211211E-2</v>
      </c>
      <c r="AH9" s="115">
        <v>0.1306334410582016</v>
      </c>
      <c r="AI9" s="115">
        <v>8.8191225306789689E-2</v>
      </c>
      <c r="AJ9" s="115">
        <v>8.4034605324087158E-2</v>
      </c>
      <c r="AK9" s="115">
        <v>0.12779641947584414</v>
      </c>
      <c r="AL9" s="115">
        <v>8.7983899300888929E-2</v>
      </c>
      <c r="AM9" s="115">
        <v>5.3971822373525165E-2</v>
      </c>
      <c r="AN9" s="115">
        <v>7.9828883884968518E-2</v>
      </c>
      <c r="AO9" s="115">
        <v>1.4342458222423423E-7</v>
      </c>
      <c r="AP9" s="115">
        <v>4.0007567300637537E-3</v>
      </c>
      <c r="AQ9" s="115">
        <v>4.1890790868257029E-3</v>
      </c>
      <c r="AR9" s="115">
        <v>2.0620850311622582E-2</v>
      </c>
      <c r="AS9" s="115">
        <v>8.6200682390177169E-2</v>
      </c>
      <c r="AT9" s="115">
        <v>0.13787091707835775</v>
      </c>
      <c r="AU9" s="115">
        <v>1.4896797679488257E-3</v>
      </c>
      <c r="AV9" s="115">
        <v>1.9364719878154166E-2</v>
      </c>
      <c r="AW9" s="115">
        <v>0.13645960481040439</v>
      </c>
      <c r="AX9" s="115">
        <v>7.977555639647917E-3</v>
      </c>
      <c r="AY9" s="115">
        <v>1.747272616772958E-3</v>
      </c>
      <c r="AZ9" s="115">
        <v>0.1100816401557748</v>
      </c>
      <c r="BA9" s="115">
        <v>2.4796962101258007E-5</v>
      </c>
      <c r="BB9" s="115">
        <v>8.0879806872316912E-9</v>
      </c>
      <c r="BC9" s="115">
        <v>1.6438904010686634E-4</v>
      </c>
      <c r="BD9" s="115">
        <v>1.0208811613465636E-5</v>
      </c>
      <c r="BE9" s="115">
        <v>1.0803914750101085E-2</v>
      </c>
      <c r="BF9" s="115">
        <v>0.10389916099383946</v>
      </c>
      <c r="BG9" s="115">
        <v>8.6163897840772538E-2</v>
      </c>
      <c r="BH9" s="115">
        <v>5.4856802785040452E-2</v>
      </c>
      <c r="BI9" s="115">
        <v>0.10015829260198683</v>
      </c>
      <c r="BJ9" s="115">
        <v>0.10885933976494748</v>
      </c>
      <c r="BK9" s="115">
        <v>0.16426613237892465</v>
      </c>
      <c r="BL9" s="115">
        <v>0.14123114642263221</v>
      </c>
      <c r="BM9" s="115">
        <v>0.13064711015525085</v>
      </c>
      <c r="BN9" s="115">
        <v>7.3110113043237571E-2</v>
      </c>
      <c r="BO9" s="115">
        <v>5.2939632737607223E-4</v>
      </c>
      <c r="BP9" s="115">
        <v>3.8575887879761052E-2</v>
      </c>
      <c r="BQ9" s="115">
        <v>2.7596635524636412E-2</v>
      </c>
      <c r="BR9" s="115">
        <v>0.16769239089204124</v>
      </c>
      <c r="BS9" s="115">
        <v>6.9233256725516765E-2</v>
      </c>
      <c r="BT9" s="115">
        <v>6.0461109551680622E-3</v>
      </c>
      <c r="BU9" s="115">
        <v>3.5367009927237542E-3</v>
      </c>
      <c r="BV9" s="115">
        <v>4.2860337128605378E-3</v>
      </c>
      <c r="BW9" s="115">
        <v>1.6980416232819689E-2</v>
      </c>
      <c r="BX9" s="115">
        <v>1.8576993770325317E-2</v>
      </c>
      <c r="BY9" s="115">
        <v>8.9645196441848346E-2</v>
      </c>
      <c r="BZ9" s="115">
        <v>3.2109650328577391E-2</v>
      </c>
      <c r="CA9" s="115">
        <v>3.989893475631108E-2</v>
      </c>
      <c r="CB9" s="115">
        <v>4.2145771179589016E-5</v>
      </c>
      <c r="CC9" s="115">
        <v>4.6973241268858941E-2</v>
      </c>
      <c r="CD9" s="115">
        <v>4.6423457669123487E-3</v>
      </c>
      <c r="CE9" s="115">
        <v>0.13480072538633711</v>
      </c>
      <c r="CF9" s="115">
        <v>0.1557724483640113</v>
      </c>
      <c r="CG9" s="115">
        <v>0.10096827562138873</v>
      </c>
      <c r="CH9" s="115">
        <v>1.411043671708517E-2</v>
      </c>
      <c r="CI9" s="115">
        <v>2.7201845904516889E-8</v>
      </c>
      <c r="CJ9" s="115">
        <v>2.8611314205447567E-2</v>
      </c>
      <c r="CK9" s="115">
        <v>6.909047617357271E-2</v>
      </c>
      <c r="CL9" s="115">
        <v>6.5838422911249833E-2</v>
      </c>
      <c r="CM9" s="115">
        <v>2.5326756263084823E-10</v>
      </c>
      <c r="CN9" s="115">
        <v>6.0622784556346142E-2</v>
      </c>
      <c r="CO9" s="115">
        <v>5.6734951170879108E-2</v>
      </c>
      <c r="CP9" s="115">
        <v>9.8904372590288558E-2</v>
      </c>
      <c r="CQ9" s="115">
        <v>6.5223052982514199E-2</v>
      </c>
      <c r="CR9" s="115">
        <v>6.828234848395133E-2</v>
      </c>
      <c r="CS9" s="115">
        <v>1.5724457825760957E-2</v>
      </c>
      <c r="CT9" s="115">
        <v>0.10760247359636146</v>
      </c>
      <c r="CU9" s="115">
        <v>0.16168255047676219</v>
      </c>
      <c r="CV9" s="115">
        <v>6.062366059711834E-4</v>
      </c>
      <c r="CW9" s="115">
        <v>1.8445173544080007E-3</v>
      </c>
      <c r="CX9" s="115">
        <v>4.7402807490088031E-2</v>
      </c>
    </row>
    <row r="10" spans="1:102" s="115" customFormat="1">
      <c r="A10" s="252" t="str">
        <f>Parameters!A56</f>
        <v>Aandelen opkomend</v>
      </c>
      <c r="B10" s="253"/>
      <c r="C10" s="115">
        <v>2.0113538378218217E-20</v>
      </c>
      <c r="D10" s="115">
        <v>1.9943264703935613E-2</v>
      </c>
      <c r="E10" s="115">
        <v>1.3048653359565857E-2</v>
      </c>
      <c r="F10" s="115">
        <v>2.2142532381637238E-5</v>
      </c>
      <c r="G10" s="115">
        <v>3.8948425620815717E-11</v>
      </c>
      <c r="H10" s="115">
        <v>4.1966478286980662E-7</v>
      </c>
      <c r="I10" s="115">
        <v>5.1945148830141903E-2</v>
      </c>
      <c r="J10" s="115">
        <v>1.5912603186564907E-10</v>
      </c>
      <c r="K10" s="115">
        <v>1.4458982790468767E-2</v>
      </c>
      <c r="L10" s="115">
        <v>4.0218912558736511E-2</v>
      </c>
      <c r="M10" s="115">
        <v>5.7654815209158841E-2</v>
      </c>
      <c r="N10" s="115">
        <v>1.8455590440486884E-10</v>
      </c>
      <c r="O10" s="115">
        <v>3.1033801575659315E-2</v>
      </c>
      <c r="P10" s="115">
        <v>4.9003595623550878E-3</v>
      </c>
      <c r="Q10" s="115">
        <v>4.672714587569648E-3</v>
      </c>
      <c r="R10" s="115">
        <v>1.1755116550023121E-15</v>
      </c>
      <c r="S10" s="115">
        <v>5.218217266535633E-9</v>
      </c>
      <c r="T10" s="115">
        <v>2.3184889027818258E-2</v>
      </c>
      <c r="U10" s="115">
        <v>8.7500267877452729E-6</v>
      </c>
      <c r="V10" s="115">
        <v>1.895584929153718E-3</v>
      </c>
      <c r="W10" s="115">
        <v>9.6575517996456011E-7</v>
      </c>
      <c r="X10" s="115">
        <v>2.7895101695296871E-6</v>
      </c>
      <c r="Y10" s="115">
        <v>6.8412207921272564E-3</v>
      </c>
      <c r="Z10" s="115">
        <v>1.9766945847193069E-7</v>
      </c>
      <c r="AA10" s="115">
        <v>4.9366099447750979E-2</v>
      </c>
      <c r="AB10" s="115">
        <v>1.753165245167752E-2</v>
      </c>
      <c r="AC10" s="115">
        <v>3.2758753772505575E-2</v>
      </c>
      <c r="AD10" s="115">
        <v>6.3783912107661073E-2</v>
      </c>
      <c r="AE10" s="115">
        <v>0.13356310049337422</v>
      </c>
      <c r="AF10" s="115">
        <v>5.171906091861174E-4</v>
      </c>
      <c r="AG10" s="115">
        <v>5.5323520544472461E-4</v>
      </c>
      <c r="AH10" s="115">
        <v>3.1136242442189495E-2</v>
      </c>
      <c r="AI10" s="115">
        <v>4.7458553211673214E-2</v>
      </c>
      <c r="AJ10" s="115">
        <v>6.0018691349646706E-2</v>
      </c>
      <c r="AK10" s="115">
        <v>4.7646685090284082E-8</v>
      </c>
      <c r="AL10" s="115">
        <v>1.1427353573080834E-6</v>
      </c>
      <c r="AM10" s="115">
        <v>3.4138646637181564E-3</v>
      </c>
      <c r="AN10" s="115">
        <v>9.8125769576837035E-4</v>
      </c>
      <c r="AO10" s="115">
        <v>1.9343210116327145E-2</v>
      </c>
      <c r="AP10" s="115">
        <v>1.2497329332909153E-2</v>
      </c>
      <c r="AQ10" s="115">
        <v>0.10036449790214039</v>
      </c>
      <c r="AR10" s="115">
        <v>7.3994400041731086E-13</v>
      </c>
      <c r="AS10" s="115">
        <v>4.8837594373373259E-7</v>
      </c>
      <c r="AT10" s="115">
        <v>1.3639886306013597E-15</v>
      </c>
      <c r="AU10" s="115">
        <v>7.0434144306980015E-2</v>
      </c>
      <c r="AV10" s="115">
        <v>1.6391883175963951E-2</v>
      </c>
      <c r="AW10" s="115">
        <v>5.1726001667255453E-2</v>
      </c>
      <c r="AX10" s="115">
        <v>1.0979218255909815E-4</v>
      </c>
      <c r="AY10" s="115">
        <v>7.3719595674064234E-2</v>
      </c>
      <c r="AZ10" s="115">
        <v>1.1527977360606208E-3</v>
      </c>
      <c r="BA10" s="115">
        <v>3.8667328312383849E-9</v>
      </c>
      <c r="BB10" s="115">
        <v>6.649038367805611E-3</v>
      </c>
      <c r="BC10" s="115">
        <v>1.9722190774866813E-13</v>
      </c>
      <c r="BD10" s="115">
        <v>6.6486833834795089E-2</v>
      </c>
      <c r="BE10" s="115">
        <v>9.6072007916591262E-2</v>
      </c>
      <c r="BF10" s="115">
        <v>6.8897853648250901E-3</v>
      </c>
      <c r="BG10" s="115">
        <v>3.3742976105358615E-3</v>
      </c>
      <c r="BH10" s="115">
        <v>1.7049527383410333E-3</v>
      </c>
      <c r="BI10" s="115">
        <v>6.2331369215302475E-2</v>
      </c>
      <c r="BJ10" s="115">
        <v>3.7939742475597248E-2</v>
      </c>
      <c r="BK10" s="115">
        <v>7.371506634066696E-6</v>
      </c>
      <c r="BL10" s="115">
        <v>2.984509627515061E-3</v>
      </c>
      <c r="BM10" s="115">
        <v>1.2846360419796692E-2</v>
      </c>
      <c r="BN10" s="115">
        <v>4.6428672192585126E-3</v>
      </c>
      <c r="BO10" s="115">
        <v>7.0710351677645888E-2</v>
      </c>
      <c r="BP10" s="115">
        <v>6.238752602274366E-2</v>
      </c>
      <c r="BQ10" s="115">
        <v>9.91624724679938E-4</v>
      </c>
      <c r="BR10" s="115">
        <v>3.2274469702958351E-2</v>
      </c>
      <c r="BS10" s="115">
        <v>9.1851211626762755E-2</v>
      </c>
      <c r="BT10" s="115">
        <v>6.7521801792287853E-2</v>
      </c>
      <c r="BU10" s="115">
        <v>2.8199016387399939E-2</v>
      </c>
      <c r="BV10" s="115">
        <v>2.4136238173463078E-2</v>
      </c>
      <c r="BW10" s="115">
        <v>1.0688718886386064E-3</v>
      </c>
      <c r="BX10" s="115">
        <v>1.4982266047917223E-2</v>
      </c>
      <c r="BY10" s="115">
        <v>1.896285872932368E-2</v>
      </c>
      <c r="BZ10" s="115">
        <v>2.5438051146832799E-4</v>
      </c>
      <c r="CA10" s="115">
        <v>9.069083480961046E-2</v>
      </c>
      <c r="CB10" s="115">
        <v>1.1348184324777209E-6</v>
      </c>
      <c r="CC10" s="115">
        <v>8.4513256885201596E-5</v>
      </c>
      <c r="CD10" s="115">
        <v>7.2414087132707567E-4</v>
      </c>
      <c r="CE10" s="115">
        <v>7.1265730773021979E-2</v>
      </c>
      <c r="CF10" s="115">
        <v>7.1348670189448507E-7</v>
      </c>
      <c r="CG10" s="115">
        <v>4.7355588526402745E-8</v>
      </c>
      <c r="CH10" s="115">
        <v>0.10583153926759233</v>
      </c>
      <c r="CI10" s="115">
        <v>4.0036396963266135E-2</v>
      </c>
      <c r="CJ10" s="115">
        <v>1.05589089705518E-3</v>
      </c>
      <c r="CK10" s="115">
        <v>4.783366251000272E-2</v>
      </c>
      <c r="CL10" s="115">
        <v>1.5106009237506138E-2</v>
      </c>
      <c r="CM10" s="115">
        <v>9.5242027302056609E-2</v>
      </c>
      <c r="CN10" s="115">
        <v>1.0405023167336959E-6</v>
      </c>
      <c r="CO10" s="115">
        <v>3.3394796672730083E-3</v>
      </c>
      <c r="CP10" s="115">
        <v>6.4627116795156925E-2</v>
      </c>
      <c r="CQ10" s="115">
        <v>6.3773687180526169E-3</v>
      </c>
      <c r="CR10" s="115">
        <v>5.3525723432060662E-2</v>
      </c>
      <c r="CS10" s="115">
        <v>0.1113591042547426</v>
      </c>
      <c r="CT10" s="115">
        <v>3.6208683882688539E-2</v>
      </c>
      <c r="CU10" s="115">
        <v>1.4310641446416061E-3</v>
      </c>
      <c r="CV10" s="115">
        <v>1.772240386625374E-2</v>
      </c>
      <c r="CW10" s="115">
        <v>7.7485875723127462E-3</v>
      </c>
      <c r="CX10" s="115">
        <v>1.9204415556478715E-9</v>
      </c>
    </row>
    <row r="11" spans="1:102" s="115" customFormat="1">
      <c r="A11" s="252" t="str">
        <f>Parameters!A57</f>
        <v>Hedge funds</v>
      </c>
      <c r="B11" s="253"/>
      <c r="C11" s="115">
        <v>4.1581841559457447E-2</v>
      </c>
      <c r="D11" s="115">
        <v>3.1352797834238435E-3</v>
      </c>
      <c r="E11" s="115">
        <v>4.8809373681987824E-3</v>
      </c>
      <c r="F11" s="115">
        <v>1.6908951770982845E-2</v>
      </c>
      <c r="G11" s="115">
        <v>4.4341345572538341E-4</v>
      </c>
      <c r="H11" s="115">
        <v>1.4954008623352803E-13</v>
      </c>
      <c r="I11" s="115">
        <v>4.3984051136549514E-12</v>
      </c>
      <c r="J11" s="115">
        <v>8.1029143114829297E-2</v>
      </c>
      <c r="K11" s="115">
        <v>4.6101569596388481E-6</v>
      </c>
      <c r="L11" s="115">
        <v>5.2291612801715661E-12</v>
      </c>
      <c r="M11" s="115">
        <v>0.17642286148601941</v>
      </c>
      <c r="N11" s="115">
        <v>0.18540385161374393</v>
      </c>
      <c r="O11" s="115">
        <v>0.14226538502202626</v>
      </c>
      <c r="P11" s="115">
        <v>5.5625415564987027E-2</v>
      </c>
      <c r="Q11" s="115">
        <v>9.0047857764713506E-10</v>
      </c>
      <c r="R11" s="115">
        <v>0.10383689913319058</v>
      </c>
      <c r="S11" s="115">
        <v>0.12809589131923013</v>
      </c>
      <c r="T11" s="115">
        <v>1.0930938201960084E-3</v>
      </c>
      <c r="U11" s="115">
        <v>5.0065274198806825E-2</v>
      </c>
      <c r="V11" s="115">
        <v>3.4515807676495584E-2</v>
      </c>
      <c r="W11" s="115">
        <v>0.10215755164225675</v>
      </c>
      <c r="X11" s="115">
        <v>6.6493888177184533E-4</v>
      </c>
      <c r="Y11" s="115">
        <v>3.7559565177962845E-3</v>
      </c>
      <c r="Z11" s="115">
        <v>1.3320069251529087E-10</v>
      </c>
      <c r="AA11" s="115">
        <v>5.1372546325841043E-6</v>
      </c>
      <c r="AB11" s="115">
        <v>1.3651187264158909E-2</v>
      </c>
      <c r="AC11" s="115">
        <v>6.3900380774947169E-2</v>
      </c>
      <c r="AD11" s="115">
        <v>3.0711029414611422E-2</v>
      </c>
      <c r="AE11" s="115">
        <v>1.7919570350495719E-2</v>
      </c>
      <c r="AF11" s="115">
        <v>3.5086528425163729E-2</v>
      </c>
      <c r="AG11" s="115">
        <v>6.6627517794653882E-2</v>
      </c>
      <c r="AH11" s="115">
        <v>3.122777215830914E-9</v>
      </c>
      <c r="AI11" s="115">
        <v>5.2605015636725649E-2</v>
      </c>
      <c r="AJ11" s="115">
        <v>6.9496168404745177E-3</v>
      </c>
      <c r="AK11" s="115">
        <v>4.9976970471893219E-5</v>
      </c>
      <c r="AL11" s="115">
        <v>4.0112224606749322E-5</v>
      </c>
      <c r="AM11" s="115">
        <v>3.8297181858853294E-2</v>
      </c>
      <c r="AN11" s="115">
        <v>3.4451392453730419E-2</v>
      </c>
      <c r="AO11" s="115">
        <v>8.2339255153606374E-3</v>
      </c>
      <c r="AP11" s="115">
        <v>4.1173588292355803E-7</v>
      </c>
      <c r="AQ11" s="115">
        <v>3.2379620754504241E-4</v>
      </c>
      <c r="AR11" s="115">
        <v>7.3076058848881659E-2</v>
      </c>
      <c r="AS11" s="115">
        <v>0.16026833987258254</v>
      </c>
      <c r="AT11" s="115">
        <v>0.16495709918838256</v>
      </c>
      <c r="AU11" s="115">
        <v>2.0565094314775302E-2</v>
      </c>
      <c r="AV11" s="115">
        <v>5.1182000267943303E-4</v>
      </c>
      <c r="AW11" s="115">
        <v>7.1238697655157243E-4</v>
      </c>
      <c r="AX11" s="115">
        <v>0.13666485555935654</v>
      </c>
      <c r="AY11" s="115">
        <v>0.13340812148734998</v>
      </c>
      <c r="AZ11" s="115">
        <v>0.18416202528279024</v>
      </c>
      <c r="BA11" s="115">
        <v>0.13063945919475117</v>
      </c>
      <c r="BB11" s="115">
        <v>9.4166802408351285E-14</v>
      </c>
      <c r="BC11" s="115">
        <v>1.7993051870058823E-2</v>
      </c>
      <c r="BD11" s="115">
        <v>3.5997204438570195E-3</v>
      </c>
      <c r="BE11" s="115">
        <v>2.9997550914318646E-2</v>
      </c>
      <c r="BF11" s="115">
        <v>1.8510779314371106E-3</v>
      </c>
      <c r="BG11" s="115">
        <v>1.8519391538916422E-2</v>
      </c>
      <c r="BH11" s="115">
        <v>0.16587495968137464</v>
      </c>
      <c r="BI11" s="115">
        <v>5.5956026949585723E-3</v>
      </c>
      <c r="BJ11" s="115">
        <v>4.56310627171971E-2</v>
      </c>
      <c r="BK11" s="115">
        <v>2.1983688399173359E-2</v>
      </c>
      <c r="BL11" s="115">
        <v>5.0310921888641459E-4</v>
      </c>
      <c r="BM11" s="115">
        <v>7.3292862187330178E-3</v>
      </c>
      <c r="BN11" s="115">
        <v>9.7849386414572706E-2</v>
      </c>
      <c r="BO11" s="115">
        <v>3.6560604560935579E-2</v>
      </c>
      <c r="BP11" s="115">
        <v>0.10491679110346369</v>
      </c>
      <c r="BQ11" s="115">
        <v>5.4624795679206154E-6</v>
      </c>
      <c r="BR11" s="115">
        <v>6.109489043329018E-2</v>
      </c>
      <c r="BS11" s="115">
        <v>3.1907175650034902E-3</v>
      </c>
      <c r="BT11" s="115">
        <v>2.1371947000157487E-4</v>
      </c>
      <c r="BU11" s="115">
        <v>0.11715029462185574</v>
      </c>
      <c r="BV11" s="115">
        <v>5.1525345031347203E-2</v>
      </c>
      <c r="BW11" s="115">
        <v>1.5994433129483403E-6</v>
      </c>
      <c r="BX11" s="115">
        <v>0.14587596685371806</v>
      </c>
      <c r="BY11" s="115">
        <v>0.1616052030632541</v>
      </c>
      <c r="BZ11" s="115">
        <v>1.6933082490571715E-4</v>
      </c>
      <c r="CA11" s="115">
        <v>5.3465041380389086E-2</v>
      </c>
      <c r="CB11" s="115">
        <v>1.1296757590655766E-3</v>
      </c>
      <c r="CC11" s="115">
        <v>8.5897032795613192E-8</v>
      </c>
      <c r="CD11" s="115">
        <v>0.17969339276287302</v>
      </c>
      <c r="CE11" s="115">
        <v>1.8413788891089997E-8</v>
      </c>
      <c r="CF11" s="115">
        <v>1.353409762036204E-3</v>
      </c>
      <c r="CG11" s="115">
        <v>8.4047179767176045E-2</v>
      </c>
      <c r="CH11" s="115">
        <v>1.832329874536969E-4</v>
      </c>
      <c r="CI11" s="115">
        <v>0.13272309904777702</v>
      </c>
      <c r="CJ11" s="115">
        <v>8.3759371312247342E-3</v>
      </c>
      <c r="CK11" s="115">
        <v>2.7336577703115067E-2</v>
      </c>
      <c r="CL11" s="115">
        <v>3.61052211423716E-2</v>
      </c>
      <c r="CM11" s="115">
        <v>5.3859183691765171E-2</v>
      </c>
      <c r="CN11" s="115">
        <v>5.0598010161691929E-2</v>
      </c>
      <c r="CO11" s="115">
        <v>0.17378792894232309</v>
      </c>
      <c r="CP11" s="115">
        <v>6.6729911446407313E-3</v>
      </c>
      <c r="CQ11" s="115">
        <v>1.3908766742471657E-2</v>
      </c>
      <c r="CR11" s="115">
        <v>9.423904019005043E-2</v>
      </c>
      <c r="CS11" s="115">
        <v>1.303928133708126E-2</v>
      </c>
      <c r="CT11" s="115">
        <v>5.9373170496239011E-2</v>
      </c>
      <c r="CU11" s="115">
        <v>4.9108401603598209E-2</v>
      </c>
      <c r="CV11" s="115">
        <v>7.2301401869818205E-2</v>
      </c>
      <c r="CW11" s="115">
        <v>0.15553198148579594</v>
      </c>
      <c r="CX11" s="115">
        <v>0.19642734306543544</v>
      </c>
    </row>
    <row r="12" spans="1:102" s="115" customFormat="1">
      <c r="A12" s="252" t="str">
        <f>Parameters!A58</f>
        <v>Onroerend goed</v>
      </c>
      <c r="B12" s="253"/>
      <c r="C12" s="115">
        <v>0.24105009744217631</v>
      </c>
      <c r="D12" s="115">
        <v>0.2032604198137116</v>
      </c>
      <c r="E12" s="115">
        <v>0.101698691490647</v>
      </c>
      <c r="F12" s="115">
        <v>0.16956577515621157</v>
      </c>
      <c r="G12" s="115">
        <v>0.17463028953491699</v>
      </c>
      <c r="H12" s="115">
        <v>9.5791598119930446E-2</v>
      </c>
      <c r="I12" s="115">
        <v>0.1049413155197486</v>
      </c>
      <c r="J12" s="115">
        <v>0.1573173915058764</v>
      </c>
      <c r="K12" s="115">
        <v>9.2277401776657594E-2</v>
      </c>
      <c r="L12" s="115">
        <v>0.13870849964540066</v>
      </c>
      <c r="M12" s="115">
        <v>0.10518888330877316</v>
      </c>
      <c r="N12" s="115">
        <v>0.26549355365734195</v>
      </c>
      <c r="O12" s="115">
        <v>0.21041715044094811</v>
      </c>
      <c r="P12" s="115">
        <v>9.143637509040399E-2</v>
      </c>
      <c r="Q12" s="115">
        <v>0.19961594897609014</v>
      </c>
      <c r="R12" s="115">
        <v>0.12635973794342908</v>
      </c>
      <c r="S12" s="115">
        <v>0.23403487731972616</v>
      </c>
      <c r="T12" s="115">
        <v>2.7554681092721769E-2</v>
      </c>
      <c r="U12" s="115">
        <v>1.6347700036336031E-2</v>
      </c>
      <c r="V12" s="115">
        <v>1.3084980370798688E-5</v>
      </c>
      <c r="W12" s="115">
        <v>6.5711302659409105E-3</v>
      </c>
      <c r="X12" s="115">
        <v>8.918939490089875E-2</v>
      </c>
      <c r="Y12" s="115">
        <v>0.23671251632923168</v>
      </c>
      <c r="Z12" s="115">
        <v>0.16955346847737632</v>
      </c>
      <c r="AA12" s="115">
        <v>0.17392324277166443</v>
      </c>
      <c r="AB12" s="115">
        <v>7.9856079000637469E-5</v>
      </c>
      <c r="AC12" s="115">
        <v>8.1416771928829623E-2</v>
      </c>
      <c r="AD12" s="115">
        <v>0.12167781874442757</v>
      </c>
      <c r="AE12" s="115">
        <v>0.13657715364033352</v>
      </c>
      <c r="AF12" s="115">
        <v>7.9912671702218649E-2</v>
      </c>
      <c r="AG12" s="115">
        <v>4.4886231797092882E-7</v>
      </c>
      <c r="AH12" s="115">
        <v>5.6676106429436622E-2</v>
      </c>
      <c r="AI12" s="115">
        <v>3.0835786854245449E-11</v>
      </c>
      <c r="AJ12" s="115">
        <v>9.1048377345018803E-4</v>
      </c>
      <c r="AK12" s="115">
        <v>6.5371269995902981E-2</v>
      </c>
      <c r="AL12" s="115">
        <v>0.16473219225149399</v>
      </c>
      <c r="AM12" s="115">
        <v>0.17037866046654934</v>
      </c>
      <c r="AN12" s="115">
        <v>0.13489137658230183</v>
      </c>
      <c r="AO12" s="115">
        <v>5.6898131528947876E-2</v>
      </c>
      <c r="AP12" s="115">
        <v>7.8334793446893175E-2</v>
      </c>
      <c r="AQ12" s="115">
        <v>6.4764842111893831E-2</v>
      </c>
      <c r="AR12" s="115">
        <v>0.13760814593016427</v>
      </c>
      <c r="AS12" s="115">
        <v>5.7661936266355365E-2</v>
      </c>
      <c r="AT12" s="115">
        <v>2.0198537586344994E-6</v>
      </c>
      <c r="AU12" s="115">
        <v>1.2915287553867969E-3</v>
      </c>
      <c r="AV12" s="115">
        <v>2.2769715439047446E-3</v>
      </c>
      <c r="AW12" s="115">
        <v>4.2664453992542429E-5</v>
      </c>
      <c r="AX12" s="115">
        <v>4.7398278265785104E-7</v>
      </c>
      <c r="AY12" s="115">
        <v>7.0488700224431832E-3</v>
      </c>
      <c r="AZ12" s="115">
        <v>1.1485114358947182E-3</v>
      </c>
      <c r="BA12" s="115">
        <v>4.5906225804132585E-5</v>
      </c>
      <c r="BB12" s="115">
        <v>0.23487780856325544</v>
      </c>
      <c r="BC12" s="115">
        <v>1.6701401196897868E-3</v>
      </c>
      <c r="BD12" s="115">
        <v>1.4561954144250053E-2</v>
      </c>
      <c r="BE12" s="115">
        <v>2.0006907401393187E-2</v>
      </c>
      <c r="BF12" s="115">
        <v>0.12342204242465621</v>
      </c>
      <c r="BG12" s="115">
        <v>0.14039431130563951</v>
      </c>
      <c r="BH12" s="115">
        <v>1.1056477185294841E-13</v>
      </c>
      <c r="BI12" s="115">
        <v>8.0312002896148534E-3</v>
      </c>
      <c r="BJ12" s="115">
        <v>0.16970898611702617</v>
      </c>
      <c r="BK12" s="115">
        <v>0.14228817577288255</v>
      </c>
      <c r="BL12" s="115">
        <v>4.5272906288680696E-7</v>
      </c>
      <c r="BM12" s="115">
        <v>1.6391232105013292E-2</v>
      </c>
      <c r="BN12" s="115">
        <v>1.110143482180465E-5</v>
      </c>
      <c r="BO12" s="115">
        <v>1.8457125989741831E-2</v>
      </c>
      <c r="BP12" s="115">
        <v>0.13293580644105102</v>
      </c>
      <c r="BQ12" s="115">
        <v>2.7980300693363772E-2</v>
      </c>
      <c r="BR12" s="115">
        <v>7.9241968306776295E-2</v>
      </c>
      <c r="BS12" s="115">
        <v>8.2401159800061977E-2</v>
      </c>
      <c r="BT12" s="115">
        <v>5.7229413118868421E-6</v>
      </c>
      <c r="BU12" s="115">
        <v>8.014095289921784E-2</v>
      </c>
      <c r="BV12" s="115">
        <v>5.519942821277983E-3</v>
      </c>
      <c r="BW12" s="115">
        <v>2.1716443836361565E-2</v>
      </c>
      <c r="BX12" s="115">
        <v>8.3443201489002333E-2</v>
      </c>
      <c r="BY12" s="115">
        <v>0.12844631799363551</v>
      </c>
      <c r="BZ12" s="115">
        <v>0.19360627895458715</v>
      </c>
      <c r="CA12" s="115">
        <v>0.12950405127907555</v>
      </c>
      <c r="CB12" s="115">
        <v>7.7201105281528473E-2</v>
      </c>
      <c r="CC12" s="115">
        <v>2.5567096451173464E-2</v>
      </c>
      <c r="CD12" s="115">
        <v>1.4834314400427508E-2</v>
      </c>
      <c r="CE12" s="115">
        <v>6.9389885131741894E-2</v>
      </c>
      <c r="CF12" s="115">
        <v>0.11663306830499387</v>
      </c>
      <c r="CG12" s="115">
        <v>9.0794995574236745E-2</v>
      </c>
      <c r="CH12" s="115">
        <v>9.2854675207707127E-2</v>
      </c>
      <c r="CI12" s="115">
        <v>2.8271461638623409E-2</v>
      </c>
      <c r="CJ12" s="115">
        <v>0.10442782406745492</v>
      </c>
      <c r="CK12" s="115">
        <v>4.0302851367075737E-5</v>
      </c>
      <c r="CL12" s="115">
        <v>0.1978708576446728</v>
      </c>
      <c r="CM12" s="115">
        <v>7.5999973768898742E-5</v>
      </c>
      <c r="CN12" s="115">
        <v>0.21840734168877066</v>
      </c>
      <c r="CO12" s="115">
        <v>3.4614148360040083E-9</v>
      </c>
      <c r="CP12" s="115">
        <v>0.1045892033486476</v>
      </c>
      <c r="CQ12" s="115">
        <v>1.2126458752838793E-3</v>
      </c>
      <c r="CR12" s="115">
        <v>4.7988798786382866E-5</v>
      </c>
      <c r="CS12" s="115">
        <v>0.11130170647108417</v>
      </c>
      <c r="CT12" s="115">
        <v>5.9333765022897484E-5</v>
      </c>
      <c r="CU12" s="115">
        <v>1.5567916249075105E-12</v>
      </c>
      <c r="CV12" s="115">
        <v>0.17780398064179617</v>
      </c>
      <c r="CW12" s="115">
        <v>0.19981964727512427</v>
      </c>
      <c r="CX12" s="115">
        <v>8.8335256044581298E-2</v>
      </c>
    </row>
    <row r="13" spans="1:102" s="116" customFormat="1">
      <c r="A13" s="254" t="str">
        <f>Parameters!A59</f>
        <v>Commodities</v>
      </c>
      <c r="B13" s="255"/>
      <c r="C13" s="116">
        <v>2.4183301807413019E-4</v>
      </c>
      <c r="D13" s="116">
        <v>5.1085517097483657E-2</v>
      </c>
      <c r="E13" s="116">
        <v>6.6242369719651834E-2</v>
      </c>
      <c r="F13" s="116">
        <v>7.6161717164866E-2</v>
      </c>
      <c r="G13" s="116">
        <v>2.2624640082976644E-26</v>
      </c>
      <c r="H13" s="116">
        <v>1.373474675004762E-4</v>
      </c>
      <c r="I13" s="116">
        <v>6.4831454802495442E-2</v>
      </c>
      <c r="J13" s="116">
        <v>7.879568031634171E-3</v>
      </c>
      <c r="K13" s="116">
        <v>2.1407430363951787E-2</v>
      </c>
      <c r="L13" s="116">
        <v>1.0122106458496802E-10</v>
      </c>
      <c r="M13" s="116">
        <v>3.7442803242040704E-8</v>
      </c>
      <c r="N13" s="116">
        <v>1.7200189301793561E-3</v>
      </c>
      <c r="O13" s="116">
        <v>7.537120655231674E-8</v>
      </c>
      <c r="P13" s="116">
        <v>7.5473092667851335E-2</v>
      </c>
      <c r="Q13" s="116">
        <v>8.1930446587186855E-3</v>
      </c>
      <c r="R13" s="116">
        <v>5.3207263751510761E-8</v>
      </c>
      <c r="S13" s="116">
        <v>2.4933902561494077E-6</v>
      </c>
      <c r="T13" s="116">
        <v>0.11713254524296658</v>
      </c>
      <c r="U13" s="116">
        <v>7.9927421784979691E-2</v>
      </c>
      <c r="V13" s="116">
        <v>7.1625559453203064E-2</v>
      </c>
      <c r="W13" s="116">
        <v>5.0204133963022861E-2</v>
      </c>
      <c r="X13" s="116">
        <v>8.1976573277500908E-2</v>
      </c>
      <c r="Y13" s="116">
        <v>1.0264801591084545E-15</v>
      </c>
      <c r="Z13" s="116">
        <v>8.5235859006449796E-2</v>
      </c>
      <c r="AA13" s="116">
        <v>8.7175254052486873E-3</v>
      </c>
      <c r="AB13" s="116">
        <v>0.13326950750176186</v>
      </c>
      <c r="AC13" s="116">
        <v>3.6730386248543943E-6</v>
      </c>
      <c r="AD13" s="116">
        <v>8.0115788801800505E-3</v>
      </c>
      <c r="AE13" s="116">
        <v>3.7186813938771613E-6</v>
      </c>
      <c r="AF13" s="116">
        <v>9.3397172626413533E-2</v>
      </c>
      <c r="AG13" s="116">
        <v>4.9205659528871626E-2</v>
      </c>
      <c r="AH13" s="116">
        <v>2.2458247565054802E-2</v>
      </c>
      <c r="AI13" s="116">
        <v>6.8228390842073008E-2</v>
      </c>
      <c r="AJ13" s="116">
        <v>7.0515697095889604E-2</v>
      </c>
      <c r="AK13" s="116">
        <v>4.4610046056186792E-2</v>
      </c>
      <c r="AL13" s="116">
        <v>9.1120571156675503E-2</v>
      </c>
      <c r="AM13" s="116">
        <v>7.9618358500208833E-2</v>
      </c>
      <c r="AN13" s="116">
        <v>3.6404155517275717E-4</v>
      </c>
      <c r="AO13" s="116">
        <v>1.9445088214525646E-7</v>
      </c>
      <c r="AP13" s="116">
        <v>5.6222032849771952E-2</v>
      </c>
      <c r="AQ13" s="116">
        <v>3.1035252019879601E-2</v>
      </c>
      <c r="AR13" s="116">
        <v>6.502747172631277E-3</v>
      </c>
      <c r="AS13" s="116">
        <v>4.8200203854725031E-2</v>
      </c>
      <c r="AT13" s="116">
        <v>9.2450854201957646E-4</v>
      </c>
      <c r="AU13" s="116">
        <v>4.5069900983166447E-2</v>
      </c>
      <c r="AV13" s="116">
        <v>0.11009519558887114</v>
      </c>
      <c r="AW13" s="116">
        <v>2.2752083476955617E-2</v>
      </c>
      <c r="AX13" s="116">
        <v>8.6493718288287669E-2</v>
      </c>
      <c r="AY13" s="116">
        <v>4.4662879281367661E-2</v>
      </c>
      <c r="AZ13" s="116">
        <v>4.8245272458724642E-3</v>
      </c>
      <c r="BA13" s="116">
        <v>1.5903586007820153E-3</v>
      </c>
      <c r="BB13" s="116">
        <v>5.2916244642295966E-8</v>
      </c>
      <c r="BC13" s="116">
        <v>0.11557170303223244</v>
      </c>
      <c r="BD13" s="116">
        <v>3.7225398999207859E-3</v>
      </c>
      <c r="BE13" s="116">
        <v>4.2213286617402354E-2</v>
      </c>
      <c r="BF13" s="116">
        <v>2.5985465035135047E-4</v>
      </c>
      <c r="BG13" s="116">
        <v>4.2166311277522096E-7</v>
      </c>
      <c r="BH13" s="116">
        <v>2.4970776729711666E-6</v>
      </c>
      <c r="BI13" s="116">
        <v>1.027137704951526E-3</v>
      </c>
      <c r="BJ13" s="116">
        <v>3.8297108910605984E-4</v>
      </c>
      <c r="BK13" s="116">
        <v>3.7563424707904511E-2</v>
      </c>
      <c r="BL13" s="116">
        <v>5.4009110509443542E-2</v>
      </c>
      <c r="BM13" s="116">
        <v>5.8238174516713884E-2</v>
      </c>
      <c r="BN13" s="116">
        <v>1.7947484005137449E-3</v>
      </c>
      <c r="BO13" s="116">
        <v>1.9003781115376064E-2</v>
      </c>
      <c r="BP13" s="116">
        <v>6.0946926481020045E-5</v>
      </c>
      <c r="BQ13" s="116">
        <v>0.10655476166619229</v>
      </c>
      <c r="BR13" s="116">
        <v>1.1110740408681025E-7</v>
      </c>
      <c r="BS13" s="116">
        <v>4.5989128019138884E-4</v>
      </c>
      <c r="BT13" s="116">
        <v>9.8881827736235217E-2</v>
      </c>
      <c r="BU13" s="116">
        <v>8.3568979887600134E-2</v>
      </c>
      <c r="BV13" s="116">
        <v>4.1130224542710273E-2</v>
      </c>
      <c r="BW13" s="116">
        <v>8.3220680005407013E-2</v>
      </c>
      <c r="BX13" s="116">
        <v>5.0499000255592097E-3</v>
      </c>
      <c r="BY13" s="116">
        <v>1.2453707877373358E-4</v>
      </c>
      <c r="BZ13" s="116">
        <v>4.0554899733861657E-2</v>
      </c>
      <c r="CA13" s="116">
        <v>1.5567707789370415E-8</v>
      </c>
      <c r="CB13" s="116">
        <v>1.7139500219093731E-2</v>
      </c>
      <c r="CC13" s="116">
        <v>0.12829113837855793</v>
      </c>
      <c r="CD13" s="116">
        <v>7.6569432271728982E-11</v>
      </c>
      <c r="CE13" s="116">
        <v>7.0008288739053817E-9</v>
      </c>
      <c r="CF13" s="116">
        <v>4.5759502916213205E-5</v>
      </c>
      <c r="CG13" s="116">
        <v>4.01753748746501E-3</v>
      </c>
      <c r="CH13" s="116">
        <v>2.7260910704096579E-2</v>
      </c>
      <c r="CI13" s="116">
        <v>6.158879512396593E-2</v>
      </c>
      <c r="CJ13" s="116">
        <v>3.7197680062410518E-2</v>
      </c>
      <c r="CK13" s="116">
        <v>7.2871096524188772E-2</v>
      </c>
      <c r="CL13" s="116">
        <v>8.2091083471413969E-3</v>
      </c>
      <c r="CM13" s="116">
        <v>3.9890035570626088E-8</v>
      </c>
      <c r="CN13" s="116">
        <v>4.5051968938264962E-8</v>
      </c>
      <c r="CO13" s="116">
        <v>4.317470583302801E-6</v>
      </c>
      <c r="CP13" s="116">
        <v>4.4594752364098076E-4</v>
      </c>
      <c r="CQ13" s="116">
        <v>7.2897654187968897E-2</v>
      </c>
      <c r="CR13" s="116">
        <v>1.0259865616166306E-3</v>
      </c>
      <c r="CS13" s="116">
        <v>1.0434393031109857E-3</v>
      </c>
      <c r="CT13" s="116">
        <v>5.7333241741821556E-2</v>
      </c>
      <c r="CU13" s="116">
        <v>1.5152945856886815E-4</v>
      </c>
      <c r="CV13" s="116">
        <v>6.7184893297318804E-2</v>
      </c>
      <c r="CW13" s="116">
        <v>3.5083815461097395E-8</v>
      </c>
      <c r="CX13" s="116">
        <v>5.0220231575501557E-3</v>
      </c>
    </row>
    <row r="15" spans="1:102" s="114" customFormat="1">
      <c r="A15" s="247" t="s">
        <v>140</v>
      </c>
      <c r="B15" s="248"/>
    </row>
    <row r="16" spans="1:102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0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0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  <c r="CW16" s="146">
        <v>0</v>
      </c>
      <c r="CX16" s="146">
        <v>0</v>
      </c>
    </row>
    <row r="17" spans="1:102">
      <c r="A17" s="252" t="s">
        <v>4</v>
      </c>
      <c r="B17" s="253"/>
      <c r="C17" s="146">
        <v>0.48466018572049496</v>
      </c>
      <c r="D17" s="146">
        <v>0.34776237927431169</v>
      </c>
      <c r="E17" s="146">
        <v>0.36148153203713035</v>
      </c>
      <c r="F17" s="146">
        <v>2.2053527753615209E-3</v>
      </c>
      <c r="G17" s="146">
        <v>2.7822989647150031E-3</v>
      </c>
      <c r="H17" s="146">
        <v>0.40586141780770302</v>
      </c>
      <c r="I17" s="146">
        <v>1.3589608686254517E-4</v>
      </c>
      <c r="J17" s="146">
        <v>0.16753394430394608</v>
      </c>
      <c r="K17" s="146">
        <v>3.4605114020161601E-2</v>
      </c>
      <c r="L17" s="146">
        <v>0.11059240497493134</v>
      </c>
      <c r="M17" s="146">
        <v>6.0559426572960328E-12</v>
      </c>
      <c r="N17" s="146">
        <v>0.17198304781703067</v>
      </c>
      <c r="O17" s="146">
        <v>0.2129182329356597</v>
      </c>
      <c r="P17" s="146">
        <v>0.42196747676516461</v>
      </c>
      <c r="Q17" s="146">
        <v>1.1213958757894838E-2</v>
      </c>
      <c r="R17" s="146">
        <v>0.21898888614879708</v>
      </c>
      <c r="S17" s="146">
        <v>0.21916588619184266</v>
      </c>
      <c r="T17" s="146">
        <v>8.9940907687786578E-2</v>
      </c>
      <c r="U17" s="146">
        <v>1.5446760420824031E-4</v>
      </c>
      <c r="V17" s="146">
        <v>1.2223558673414061E-2</v>
      </c>
      <c r="W17" s="146">
        <v>0.40332330523837773</v>
      </c>
      <c r="X17" s="146">
        <v>1.2469031038146017E-4</v>
      </c>
      <c r="Y17" s="146">
        <v>0.42314711832088192</v>
      </c>
      <c r="Z17" s="146">
        <v>1.6319406735393882E-3</v>
      </c>
      <c r="AA17" s="146">
        <v>5.2110941095448384E-4</v>
      </c>
      <c r="AB17" s="146">
        <v>0.38572876925886013</v>
      </c>
      <c r="AC17" s="146">
        <v>0.17026647461193939</v>
      </c>
      <c r="AD17" s="146">
        <v>0.229118242041362</v>
      </c>
      <c r="AE17" s="146">
        <v>4.4330019521801047E-4</v>
      </c>
      <c r="AF17" s="146">
        <v>1.4857469631482916E-3</v>
      </c>
      <c r="AG17" s="146">
        <v>0.18174324697199695</v>
      </c>
      <c r="AH17" s="146">
        <v>0.27310039230773492</v>
      </c>
      <c r="AI17" s="146">
        <v>2.3270668581279596E-9</v>
      </c>
      <c r="AJ17" s="146">
        <v>2.3900977688442543E-2</v>
      </c>
      <c r="AK17" s="146">
        <v>0.16079266087272917</v>
      </c>
      <c r="AL17" s="146">
        <v>1.9228597224403812E-2</v>
      </c>
      <c r="AM17" s="146">
        <v>8.7189382359859333E-2</v>
      </c>
      <c r="AN17" s="146">
        <v>2.7531913369063759E-3</v>
      </c>
      <c r="AO17" s="146">
        <v>0.40751504383097842</v>
      </c>
      <c r="AP17" s="146">
        <v>0.27457765217841062</v>
      </c>
      <c r="AQ17" s="146">
        <v>2.5519861153752928E-2</v>
      </c>
      <c r="AR17" s="146">
        <v>0.46391887695592088</v>
      </c>
      <c r="AS17" s="146">
        <v>3.9885754966233157E-3</v>
      </c>
      <c r="AT17" s="146">
        <v>0.23526669797390293</v>
      </c>
      <c r="AU17" s="146">
        <v>3.6966625787149184E-4</v>
      </c>
      <c r="AV17" s="146">
        <v>0.46243671591972707</v>
      </c>
      <c r="AW17" s="146">
        <v>7.3285019837348812E-3</v>
      </c>
      <c r="AX17" s="146">
        <v>0.33876449811196663</v>
      </c>
      <c r="AY17" s="146">
        <v>0.10438065203571123</v>
      </c>
      <c r="AZ17" s="146">
        <v>0.23345297762311779</v>
      </c>
      <c r="BA17" s="146">
        <v>0.25883132904680639</v>
      </c>
      <c r="BB17" s="146">
        <v>0.48879917768710179</v>
      </c>
      <c r="BC17" s="146">
        <v>0.3995259434468193</v>
      </c>
      <c r="BD17" s="146">
        <v>0.27010403413089162</v>
      </c>
      <c r="BE17" s="146">
        <v>9.6102576121101277E-2</v>
      </c>
      <c r="BF17" s="146">
        <v>0.34741735710722338</v>
      </c>
      <c r="BG17" s="146">
        <v>0.14540712709996523</v>
      </c>
      <c r="BH17" s="146">
        <v>0.36070723923111542</v>
      </c>
      <c r="BI17" s="146">
        <v>1.8469290931604353E-3</v>
      </c>
      <c r="BJ17" s="146">
        <v>2.4146240087445751E-2</v>
      </c>
      <c r="BK17" s="146">
        <v>3.6311500742469352E-4</v>
      </c>
      <c r="BL17" s="146">
        <v>0.29737045612293339</v>
      </c>
      <c r="BM17" s="146">
        <v>4.9743935329606269E-2</v>
      </c>
      <c r="BN17" s="146">
        <v>0.28479144855334992</v>
      </c>
      <c r="BO17" s="146">
        <v>1.4355735345982413E-2</v>
      </c>
      <c r="BP17" s="146">
        <v>7.7173798030239604E-2</v>
      </c>
      <c r="BQ17" s="146">
        <v>0.31536587254448512</v>
      </c>
      <c r="BR17" s="146">
        <v>1.0358445213786186E-3</v>
      </c>
      <c r="BS17" s="146">
        <v>2.4830872612746586E-4</v>
      </c>
      <c r="BT17" s="146">
        <v>4.4007212791408222E-3</v>
      </c>
      <c r="BU17" s="146">
        <v>4.8665042354947154E-2</v>
      </c>
      <c r="BV17" s="146">
        <v>0.22547065831984806</v>
      </c>
      <c r="BW17" s="146">
        <v>0.22638567192864748</v>
      </c>
      <c r="BX17" s="146">
        <v>0.22808327765768449</v>
      </c>
      <c r="BY17" s="146">
        <v>4.1378541888083049E-2</v>
      </c>
      <c r="BZ17" s="146">
        <v>1.720514577769181E-7</v>
      </c>
      <c r="CA17" s="146">
        <v>1.0697471320639661E-3</v>
      </c>
      <c r="CB17" s="146">
        <v>0.32293432388723292</v>
      </c>
      <c r="CC17" s="146">
        <v>0.24932393974876191</v>
      </c>
      <c r="CD17" s="146">
        <v>0.48990259371087325</v>
      </c>
      <c r="CE17" s="146">
        <v>7.897759090400509E-3</v>
      </c>
      <c r="CF17" s="146">
        <v>0.25529415625444424</v>
      </c>
      <c r="CG17" s="146">
        <v>0.30532115448378322</v>
      </c>
      <c r="CH17" s="146">
        <v>1.2437001875181814E-4</v>
      </c>
      <c r="CI17" s="146">
        <v>7.6531292471286136E-2</v>
      </c>
      <c r="CJ17" s="146">
        <v>0.43313382568326075</v>
      </c>
      <c r="CK17" s="146">
        <v>9.6110980914354827E-2</v>
      </c>
      <c r="CL17" s="146">
        <v>0.21730730824361599</v>
      </c>
      <c r="CM17" s="146">
        <v>0.12335043329647717</v>
      </c>
      <c r="CN17" s="146">
        <v>0.23801464115002713</v>
      </c>
      <c r="CO17" s="146">
        <v>0.41451658179875228</v>
      </c>
      <c r="CP17" s="146">
        <v>9.9208737841030278E-2</v>
      </c>
      <c r="CQ17" s="146">
        <v>0.18280269300802679</v>
      </c>
      <c r="CR17" s="146">
        <v>5.1301177398847958E-3</v>
      </c>
      <c r="CS17" s="146">
        <v>2.3925151860848082E-2</v>
      </c>
      <c r="CT17" s="146">
        <v>7.6910404641069763E-5</v>
      </c>
      <c r="CU17" s="146">
        <v>0.22659331478717018</v>
      </c>
      <c r="CV17" s="146">
        <v>6.2681191557540927E-2</v>
      </c>
      <c r="CW17" s="146">
        <v>0.21829814537253889</v>
      </c>
      <c r="CX17" s="146">
        <v>0.21428832689200081</v>
      </c>
    </row>
    <row r="18" spans="1:102">
      <c r="A18" s="252" t="s">
        <v>175</v>
      </c>
      <c r="B18" s="253"/>
      <c r="C18" s="146">
        <v>1.775549212998023E-4</v>
      </c>
      <c r="D18" s="146">
        <v>2.6056433715698317E-2</v>
      </c>
      <c r="E18" s="146">
        <v>1.2886453868105946E-2</v>
      </c>
      <c r="F18" s="146">
        <v>8.6857179619611979E-2</v>
      </c>
      <c r="G18" s="146">
        <v>0.24253108840322637</v>
      </c>
      <c r="H18" s="146">
        <v>0.2859722193910586</v>
      </c>
      <c r="I18" s="146">
        <v>1.4919137769183809E-6</v>
      </c>
      <c r="J18" s="146">
        <v>6.7890700024369893E-2</v>
      </c>
      <c r="K18" s="146">
        <v>0.22094688268065182</v>
      </c>
      <c r="L18" s="146">
        <v>0.39495819311152086</v>
      </c>
      <c r="M18" s="146">
        <v>3.45121775511486E-6</v>
      </c>
      <c r="N18" s="146">
        <v>1.0669094385230673E-2</v>
      </c>
      <c r="O18" s="146">
        <v>1.8164036190568224E-4</v>
      </c>
      <c r="P18" s="146">
        <v>2.1089172377151199E-5</v>
      </c>
      <c r="Q18" s="146">
        <v>1.7073394057592628E-7</v>
      </c>
      <c r="R18" s="146">
        <v>4.1775711571674898E-7</v>
      </c>
      <c r="S18" s="146">
        <v>9.8893833109195473E-2</v>
      </c>
      <c r="T18" s="146">
        <v>2.4296402140883545E-14</v>
      </c>
      <c r="U18" s="146">
        <v>0.19314141896706127</v>
      </c>
      <c r="V18" s="146">
        <v>0.36442783429872544</v>
      </c>
      <c r="W18" s="146">
        <v>1.9265702816360942E-6</v>
      </c>
      <c r="X18" s="146">
        <v>0.31255608263534301</v>
      </c>
      <c r="Y18" s="146">
        <v>4.8785940411922836E-2</v>
      </c>
      <c r="Z18" s="146">
        <v>7.7360219949990178E-2</v>
      </c>
      <c r="AA18" s="146">
        <v>7.7584399572815975E-3</v>
      </c>
      <c r="AB18" s="146">
        <v>1.7299812414979666E-2</v>
      </c>
      <c r="AC18" s="146">
        <v>0.23652512924148783</v>
      </c>
      <c r="AD18" s="146">
        <v>0.11765726922475209</v>
      </c>
      <c r="AE18" s="146">
        <v>2.7276784210656315E-3</v>
      </c>
      <c r="AF18" s="146">
        <v>8.4357676876791604E-2</v>
      </c>
      <c r="AG18" s="146">
        <v>0.27195682151608652</v>
      </c>
      <c r="AH18" s="146">
        <v>2.0778705285061187E-12</v>
      </c>
      <c r="AI18" s="146">
        <v>5.5620993193253719E-2</v>
      </c>
      <c r="AJ18" s="146">
        <v>5.5171106067916163E-2</v>
      </c>
      <c r="AK18" s="146">
        <v>0.16264074396597367</v>
      </c>
      <c r="AL18" s="146">
        <v>7.356010709981607E-3</v>
      </c>
      <c r="AM18" s="146">
        <v>4.8500034474111383E-4</v>
      </c>
      <c r="AN18" s="146">
        <v>0.42077078400182982</v>
      </c>
      <c r="AO18" s="146">
        <v>0.3827557242424629</v>
      </c>
      <c r="AP18" s="146">
        <v>0.31068151284771495</v>
      </c>
      <c r="AQ18" s="146">
        <v>0.22128730997305751</v>
      </c>
      <c r="AR18" s="146">
        <v>1.4748660054743601E-2</v>
      </c>
      <c r="AS18" s="146">
        <v>8.808537844416918E-2</v>
      </c>
      <c r="AT18" s="146">
        <v>2.7858864701008778E-12</v>
      </c>
      <c r="AU18" s="146">
        <v>0.49354369787967245</v>
      </c>
      <c r="AV18" s="146">
        <v>1.372782176923301E-9</v>
      </c>
      <c r="AW18" s="146">
        <v>0.2225707651956777</v>
      </c>
      <c r="AX18" s="146">
        <v>9.9098033282498103E-9</v>
      </c>
      <c r="AY18" s="146">
        <v>9.7977126479157767E-3</v>
      </c>
      <c r="AZ18" s="146">
        <v>1.7628171248429143E-2</v>
      </c>
      <c r="BA18" s="146">
        <v>0.43167427196578595</v>
      </c>
      <c r="BB18" s="146">
        <v>7.5928265446580967E-8</v>
      </c>
      <c r="BC18" s="146">
        <v>0.14757104222670855</v>
      </c>
      <c r="BD18" s="146">
        <v>0.44965516504304687</v>
      </c>
      <c r="BE18" s="146">
        <v>8.940878698384909E-2</v>
      </c>
      <c r="BF18" s="146">
        <v>6.5282832112508016E-2</v>
      </c>
      <c r="BG18" s="146">
        <v>0.26480568827971995</v>
      </c>
      <c r="BH18" s="146">
        <v>0.10211508405931083</v>
      </c>
      <c r="BI18" s="146">
        <v>0.38636801983833668</v>
      </c>
      <c r="BJ18" s="146">
        <v>2.6249332824079093E-2</v>
      </c>
      <c r="BK18" s="146">
        <v>2.0187125912002695E-3</v>
      </c>
      <c r="BL18" s="146">
        <v>4.5708287231176349E-2</v>
      </c>
      <c r="BM18" s="146">
        <v>0.18617995621070635</v>
      </c>
      <c r="BN18" s="146">
        <v>0.25698035925556828</v>
      </c>
      <c r="BO18" s="146">
        <v>0.49993686097069312</v>
      </c>
      <c r="BP18" s="146">
        <v>6.2716984341001198E-4</v>
      </c>
      <c r="BQ18" s="146">
        <v>0.133499194534209</v>
      </c>
      <c r="BR18" s="146">
        <v>1.7241163576250149E-6</v>
      </c>
      <c r="BS18" s="146">
        <v>0.11667957086133296</v>
      </c>
      <c r="BT18" s="146">
        <v>0.17896948165069917</v>
      </c>
      <c r="BU18" s="146">
        <v>7.377625715141048E-4</v>
      </c>
      <c r="BV18" s="146">
        <v>0.39565141557520367</v>
      </c>
      <c r="BW18" s="146">
        <v>0.38549052368482822</v>
      </c>
      <c r="BX18" s="146">
        <v>0.13470410451583231</v>
      </c>
      <c r="BY18" s="146">
        <v>1.978783489002176E-3</v>
      </c>
      <c r="BZ18" s="146">
        <v>0.34892017730595837</v>
      </c>
      <c r="CA18" s="146">
        <v>1.8412438354798377E-3</v>
      </c>
      <c r="CB18" s="146">
        <v>0.43942230342935584</v>
      </c>
      <c r="CC18" s="146">
        <v>1.0579595138981831E-4</v>
      </c>
      <c r="CD18" s="146">
        <v>4.5455156133442989E-2</v>
      </c>
      <c r="CE18" s="146">
        <v>8.8370605668728845E-3</v>
      </c>
      <c r="CF18" s="146">
        <v>3.1036093345636284E-2</v>
      </c>
      <c r="CG18" s="146">
        <v>7.0788959359552507E-5</v>
      </c>
      <c r="CH18" s="146">
        <v>3.9073216926837816E-2</v>
      </c>
      <c r="CI18" s="146">
        <v>8.8805764795090558E-2</v>
      </c>
      <c r="CJ18" s="146">
        <v>9.430416984458008E-2</v>
      </c>
      <c r="CK18" s="146">
        <v>4.828815155813797E-3</v>
      </c>
      <c r="CL18" s="146">
        <v>2.180103237826593E-4</v>
      </c>
      <c r="CM18" s="146">
        <v>0.32547751761586113</v>
      </c>
      <c r="CN18" s="146">
        <v>3.1451861577609388E-2</v>
      </c>
      <c r="CO18" s="146">
        <v>9.4172067194536213E-8</v>
      </c>
      <c r="CP18" s="146">
        <v>4.9257543985818414E-7</v>
      </c>
      <c r="CQ18" s="146">
        <v>0.26773353297322972</v>
      </c>
      <c r="CR18" s="146">
        <v>0.29233106230194678</v>
      </c>
      <c r="CS18" s="146">
        <v>3.7250674019356715E-2</v>
      </c>
      <c r="CT18" s="146">
        <v>1.5126737718378934E-10</v>
      </c>
      <c r="CU18" s="146">
        <v>0.15054207894039312</v>
      </c>
      <c r="CV18" s="146">
        <v>2.869142288828699E-2</v>
      </c>
      <c r="CW18" s="146">
        <v>1.7156161234475075E-12</v>
      </c>
      <c r="CX18" s="146">
        <v>4.4736758230892917E-13</v>
      </c>
    </row>
    <row r="19" spans="1:102">
      <c r="A19" s="252" t="s">
        <v>176</v>
      </c>
      <c r="B19" s="253"/>
      <c r="C19" s="146">
        <v>4.4196232581599167E-6</v>
      </c>
      <c r="D19" s="146">
        <v>2.0080751375004929E-4</v>
      </c>
      <c r="E19" s="146">
        <v>0.14453953006219897</v>
      </c>
      <c r="F19" s="146">
        <v>0.26007496790486562</v>
      </c>
      <c r="G19" s="146">
        <v>0.36846782029030301</v>
      </c>
      <c r="H19" s="146">
        <v>9.9337035511780761E-2</v>
      </c>
      <c r="I19" s="146">
        <v>0.30434049760537918</v>
      </c>
      <c r="J19" s="146">
        <v>0.23073768310711801</v>
      </c>
      <c r="K19" s="146">
        <v>0.40486741075312632</v>
      </c>
      <c r="L19" s="146">
        <v>6.3967424920214927E-2</v>
      </c>
      <c r="M19" s="146">
        <v>0.16294466908203281</v>
      </c>
      <c r="N19" s="146">
        <v>1.4926294391217774E-3</v>
      </c>
      <c r="O19" s="146">
        <v>3.0598649084774313E-5</v>
      </c>
      <c r="P19" s="146">
        <v>1.2522325454547396E-3</v>
      </c>
      <c r="Q19" s="146">
        <v>0.48445633364835627</v>
      </c>
      <c r="R19" s="146">
        <v>0.27484697832630212</v>
      </c>
      <c r="S19" s="146">
        <v>8.2420226932122321E-4</v>
      </c>
      <c r="T19" s="146">
        <v>0.28903349783887211</v>
      </c>
      <c r="U19" s="146">
        <v>0.36289353838188176</v>
      </c>
      <c r="V19" s="146">
        <v>0.29758985109234271</v>
      </c>
      <c r="W19" s="146">
        <v>0.17738839731610634</v>
      </c>
      <c r="X19" s="146">
        <v>0.20294621972066137</v>
      </c>
      <c r="Y19" s="146">
        <v>2.2154641145609031E-2</v>
      </c>
      <c r="Z19" s="146">
        <v>0.23679547683590535</v>
      </c>
      <c r="AA19" s="146">
        <v>0.3571856411095512</v>
      </c>
      <c r="AB19" s="146">
        <v>3.3773156372402414E-4</v>
      </c>
      <c r="AC19" s="146">
        <v>0.14622853470725788</v>
      </c>
      <c r="AD19" s="146">
        <v>4.3801524964864363E-2</v>
      </c>
      <c r="AE19" s="146">
        <v>1.646168036742804E-6</v>
      </c>
      <c r="AF19" s="146">
        <v>0.28653518061067051</v>
      </c>
      <c r="AG19" s="146">
        <v>0.22065210121488624</v>
      </c>
      <c r="AH19" s="146">
        <v>0.39417104342858805</v>
      </c>
      <c r="AI19" s="146">
        <v>0.32472281389497437</v>
      </c>
      <c r="AJ19" s="146">
        <v>0.34793026599308247</v>
      </c>
      <c r="AK19" s="146">
        <v>0.36355212842196638</v>
      </c>
      <c r="AL19" s="146">
        <v>0.2490560673799016</v>
      </c>
      <c r="AM19" s="146">
        <v>0.14244356669954558</v>
      </c>
      <c r="AN19" s="146">
        <v>0.1836978984303102</v>
      </c>
      <c r="AO19" s="146">
        <v>3.5608300711692506E-7</v>
      </c>
      <c r="AP19" s="146">
        <v>1.098456606338967E-2</v>
      </c>
      <c r="AQ19" s="146">
        <v>1.5722663684100913E-2</v>
      </c>
      <c r="AR19" s="146">
        <v>4.5205912419797094E-2</v>
      </c>
      <c r="AS19" s="146">
        <v>0.22213117828428816</v>
      </c>
      <c r="AT19" s="146">
        <v>0.34710421135412273</v>
      </c>
      <c r="AU19" s="146">
        <v>5.4296372492865013E-3</v>
      </c>
      <c r="AV19" s="146">
        <v>7.0033107195922262E-2</v>
      </c>
      <c r="AW19" s="146">
        <v>0.49641589493000515</v>
      </c>
      <c r="AX19" s="146">
        <v>2.2811351992228165E-2</v>
      </c>
      <c r="AY19" s="146">
        <v>5.939565045350626E-3</v>
      </c>
      <c r="AZ19" s="146">
        <v>0.27355858827109719</v>
      </c>
      <c r="BA19" s="146">
        <v>5.8008242151220941E-5</v>
      </c>
      <c r="BB19" s="146">
        <v>1.7118514038044667E-8</v>
      </c>
      <c r="BC19" s="146">
        <v>5.4987212304893841E-4</v>
      </c>
      <c r="BD19" s="146">
        <v>3.2370274363582096E-5</v>
      </c>
      <c r="BE19" s="146">
        <v>4.4198622206448823E-2</v>
      </c>
      <c r="BF19" s="146">
        <v>0.25820692908821108</v>
      </c>
      <c r="BG19" s="146">
        <v>0.20453969893222351</v>
      </c>
      <c r="BH19" s="146">
        <v>0.13247596756615726</v>
      </c>
      <c r="BI19" s="146">
        <v>0.34590775668618023</v>
      </c>
      <c r="BJ19" s="146">
        <v>0.2851503683601444</v>
      </c>
      <c r="BK19" s="146">
        <v>0.44761251849053968</v>
      </c>
      <c r="BL19" s="146">
        <v>0.46685715560665564</v>
      </c>
      <c r="BM19" s="146">
        <v>0.4427739082057604</v>
      </c>
      <c r="BN19" s="146">
        <v>0.18883632105250311</v>
      </c>
      <c r="BO19" s="146">
        <v>1.7701327681692923E-3</v>
      </c>
      <c r="BP19" s="146">
        <v>0.10497806235300569</v>
      </c>
      <c r="BQ19" s="146">
        <v>9.3235966052701139E-2</v>
      </c>
      <c r="BR19" s="146">
        <v>0.49226127813093867</v>
      </c>
      <c r="BS19" s="146">
        <v>0.24738565077478797</v>
      </c>
      <c r="BT19" s="146">
        <v>2.8594763000557438E-2</v>
      </c>
      <c r="BU19" s="146">
        <v>1.0755027694836185E-2</v>
      </c>
      <c r="BV19" s="146">
        <v>1.2827108891034134E-2</v>
      </c>
      <c r="BW19" s="146">
        <v>5.3586554274494262E-2</v>
      </c>
      <c r="BX19" s="146">
        <v>4.4181572407283563E-2</v>
      </c>
      <c r="BY19" s="146">
        <v>0.21504974152579018</v>
      </c>
      <c r="BZ19" s="146">
        <v>7.8389080970622665E-2</v>
      </c>
      <c r="CA19" s="146">
        <v>0.12687502136001402</v>
      </c>
      <c r="CB19" s="146">
        <v>1.048611633106451E-4</v>
      </c>
      <c r="CC19" s="146">
        <v>0.17547982693708236</v>
      </c>
      <c r="CD19" s="146">
        <v>1.0790858610201409E-2</v>
      </c>
      <c r="CE19" s="146">
        <v>0.48118277730327486</v>
      </c>
      <c r="CF19" s="146">
        <v>0.40601859780103428</v>
      </c>
      <c r="CG19" s="146">
        <v>0.25063027548793748</v>
      </c>
      <c r="CH19" s="146">
        <v>5.6432304320241683E-2</v>
      </c>
      <c r="CI19" s="146">
        <v>8.6453399483354194E-8</v>
      </c>
      <c r="CJ19" s="146">
        <v>7.5253085416737475E-2</v>
      </c>
      <c r="CK19" s="146">
        <v>0.28602427793365853</v>
      </c>
      <c r="CL19" s="146">
        <v>0.15943106394216175</v>
      </c>
      <c r="CM19" s="146">
        <v>9.3575930929919285E-10</v>
      </c>
      <c r="CN19" s="146">
        <v>0.13435390998666885</v>
      </c>
      <c r="CO19" s="146">
        <v>0.14203548662410154</v>
      </c>
      <c r="CP19" s="146">
        <v>0.32368938094724348</v>
      </c>
      <c r="CQ19" s="146">
        <v>0.22451960709913052</v>
      </c>
      <c r="CR19" s="146">
        <v>0.22094123186121545</v>
      </c>
      <c r="CS19" s="146">
        <v>5.8472763929440862E-2</v>
      </c>
      <c r="CT19" s="146">
        <v>0.41290765371949867</v>
      </c>
      <c r="CU19" s="146">
        <v>0.4741943626686087</v>
      </c>
      <c r="CV19" s="146">
        <v>1.6412757314589891E-3</v>
      </c>
      <c r="CW19" s="146">
        <v>3.950906439031769E-3</v>
      </c>
      <c r="CX19" s="146">
        <v>0.11045767334112545</v>
      </c>
    </row>
    <row r="20" spans="1:102">
      <c r="A20" s="252" t="s">
        <v>177</v>
      </c>
      <c r="B20" s="253"/>
      <c r="C20" s="146">
        <v>3.6629931811518202E-20</v>
      </c>
      <c r="D20" s="146">
        <v>4.4999966638952206E-2</v>
      </c>
      <c r="E20" s="146">
        <v>3.3774073489155537E-2</v>
      </c>
      <c r="F20" s="146">
        <v>5.4868733441448672E-5</v>
      </c>
      <c r="G20" s="146">
        <v>8.5921606995093038E-11</v>
      </c>
      <c r="H20" s="146">
        <v>9.1357129345353222E-7</v>
      </c>
      <c r="I20" s="146">
        <v>0.16295029235459432</v>
      </c>
      <c r="J20" s="146">
        <v>3.449978273044304E-10</v>
      </c>
      <c r="K20" s="146">
        <v>3.8314867625002115E-2</v>
      </c>
      <c r="L20" s="146">
        <v>9.6762797646419652E-2</v>
      </c>
      <c r="M20" s="146">
        <v>0.14224822545879917</v>
      </c>
      <c r="N20" s="146">
        <v>3.3266704156933941E-10</v>
      </c>
      <c r="O20" s="146">
        <v>6.3639583843128095E-2</v>
      </c>
      <c r="P20" s="146">
        <v>1.2426954734327639E-2</v>
      </c>
      <c r="Q20" s="146">
        <v>1.109078044202143E-2</v>
      </c>
      <c r="R20" s="146">
        <v>2.584751973807967E-15</v>
      </c>
      <c r="S20" s="146">
        <v>9.8146511310383214E-9</v>
      </c>
      <c r="T20" s="146">
        <v>8.5215231945438244E-2</v>
      </c>
      <c r="U20" s="146">
        <v>2.6534862178832252E-5</v>
      </c>
      <c r="V20" s="146">
        <v>5.7149761833683735E-3</v>
      </c>
      <c r="W20" s="146">
        <v>2.5477779514058721E-6</v>
      </c>
      <c r="X20" s="146">
        <v>7.8632041140410877E-6</v>
      </c>
      <c r="Y20" s="146">
        <v>1.3994832534282568E-2</v>
      </c>
      <c r="Z20" s="146">
        <v>5.3082200703157269E-7</v>
      </c>
      <c r="AA20" s="146">
        <v>0.13501244699053272</v>
      </c>
      <c r="AB20" s="146">
        <v>6.357402519205356E-2</v>
      </c>
      <c r="AC20" s="146">
        <v>8.2224493465481427E-2</v>
      </c>
      <c r="AD20" s="146">
        <v>0.17339025957547369</v>
      </c>
      <c r="AE20" s="146">
        <v>0.46218745151635238</v>
      </c>
      <c r="AF20" s="146">
        <v>1.5537521196670491E-3</v>
      </c>
      <c r="AG20" s="146">
        <v>1.5479397085149985E-3</v>
      </c>
      <c r="AH20" s="146">
        <v>9.3949949358030652E-2</v>
      </c>
      <c r="AI20" s="146">
        <v>0.17474385789140909</v>
      </c>
      <c r="AJ20" s="146">
        <v>0.24849666593071648</v>
      </c>
      <c r="AK20" s="146">
        <v>1.3554412438055932E-7</v>
      </c>
      <c r="AL20" s="146">
        <v>3.2347415425840587E-6</v>
      </c>
      <c r="AM20" s="146">
        <v>9.0099432915960922E-3</v>
      </c>
      <c r="AN20" s="146">
        <v>2.2580169953391976E-3</v>
      </c>
      <c r="AO20" s="146">
        <v>4.8023764955073905E-2</v>
      </c>
      <c r="AP20" s="146">
        <v>3.4312943509337189E-2</v>
      </c>
      <c r="AQ20" s="146">
        <v>0.37669311407886086</v>
      </c>
      <c r="AR20" s="146">
        <v>1.6221369717021725E-12</v>
      </c>
      <c r="AS20" s="146">
        <v>1.2584995944259169E-6</v>
      </c>
      <c r="AT20" s="146">
        <v>3.4339816398827295E-15</v>
      </c>
      <c r="AU20" s="146">
        <v>0.25672084818429042</v>
      </c>
      <c r="AV20" s="146">
        <v>5.9281751495944814E-2</v>
      </c>
      <c r="AW20" s="146">
        <v>0.1881700408298688</v>
      </c>
      <c r="AX20" s="146">
        <v>3.1394430016925537E-4</v>
      </c>
      <c r="AY20" s="146">
        <v>0.25059760533061071</v>
      </c>
      <c r="AZ20" s="146">
        <v>2.8647621964262389E-3</v>
      </c>
      <c r="BA20" s="146">
        <v>9.0455586249887031E-9</v>
      </c>
      <c r="BB20" s="146">
        <v>1.4072938727272874E-2</v>
      </c>
      <c r="BC20" s="146">
        <v>6.5969622460854268E-13</v>
      </c>
      <c r="BD20" s="146">
        <v>0.21081758918534821</v>
      </c>
      <c r="BE20" s="146">
        <v>0.393028867844468</v>
      </c>
      <c r="BF20" s="146">
        <v>1.712227802526595E-2</v>
      </c>
      <c r="BG20" s="146">
        <v>8.0100579785996624E-3</v>
      </c>
      <c r="BH20" s="146">
        <v>4.1173610600560113E-3</v>
      </c>
      <c r="BI20" s="146">
        <v>0.21526828719138538</v>
      </c>
      <c r="BJ20" s="146">
        <v>9.9380830030434561E-2</v>
      </c>
      <c r="BK20" s="146">
        <v>2.0086786008529965E-5</v>
      </c>
      <c r="BL20" s="146">
        <v>9.8656685219619435E-3</v>
      </c>
      <c r="BM20" s="146">
        <v>4.3537382514882712E-2</v>
      </c>
      <c r="BN20" s="146">
        <v>1.1992075081343872E-2</v>
      </c>
      <c r="BO20" s="146">
        <v>0.2364329030648141</v>
      </c>
      <c r="BP20" s="146">
        <v>0.16977759830905848</v>
      </c>
      <c r="BQ20" s="146">
        <v>3.3502304686649268E-3</v>
      </c>
      <c r="BR20" s="146">
        <v>9.4741756751531653E-2</v>
      </c>
      <c r="BS20" s="146">
        <v>0.32820457735833702</v>
      </c>
      <c r="BT20" s="146">
        <v>0.31934080170505513</v>
      </c>
      <c r="BU20" s="146">
        <v>8.5752570782088325E-2</v>
      </c>
      <c r="BV20" s="146">
        <v>7.2234185732598238E-2</v>
      </c>
      <c r="BW20" s="146">
        <v>3.3731305927771531E-3</v>
      </c>
      <c r="BX20" s="146">
        <v>3.5632249243611018E-2</v>
      </c>
      <c r="BY20" s="146">
        <v>4.5489976375660567E-2</v>
      </c>
      <c r="BZ20" s="146">
        <v>6.2101749183771429E-4</v>
      </c>
      <c r="CA20" s="146">
        <v>0.28838869192633737</v>
      </c>
      <c r="CB20" s="146">
        <v>2.8234951608527428E-6</v>
      </c>
      <c r="CC20" s="146">
        <v>3.1571957334645761E-4</v>
      </c>
      <c r="CD20" s="146">
        <v>1.6832226957441238E-3</v>
      </c>
      <c r="CE20" s="146">
        <v>0.25438915229595543</v>
      </c>
      <c r="CF20" s="146">
        <v>1.8596926047919223E-6</v>
      </c>
      <c r="CG20" s="146">
        <v>1.1754924133567657E-7</v>
      </c>
      <c r="CH20" s="146">
        <v>0.42325533577546814</v>
      </c>
      <c r="CI20" s="146">
        <v>0.12724440218833263</v>
      </c>
      <c r="CJ20" s="146">
        <v>2.77718972628388E-3</v>
      </c>
      <c r="CK20" s="146">
        <v>0.19802423630681362</v>
      </c>
      <c r="CL20" s="146">
        <v>3.6579963768302977E-2</v>
      </c>
      <c r="CM20" s="146">
        <v>0.35189509765342536</v>
      </c>
      <c r="CN20" s="146">
        <v>2.3059903240410494E-6</v>
      </c>
      <c r="CO20" s="146">
        <v>8.3603600571330993E-3</v>
      </c>
      <c r="CP20" s="146">
        <v>0.21150845892817077</v>
      </c>
      <c r="CQ20" s="146">
        <v>2.1953040427091411E-2</v>
      </c>
      <c r="CR20" s="146">
        <v>0.17319321221240255</v>
      </c>
      <c r="CS20" s="146">
        <v>0.41409851370608042</v>
      </c>
      <c r="CT20" s="146">
        <v>0.13894515810440913</v>
      </c>
      <c r="CU20" s="146">
        <v>4.1971291769284415E-3</v>
      </c>
      <c r="CV20" s="146">
        <v>4.7980196316584435E-2</v>
      </c>
      <c r="CW20" s="146">
        <v>1.6597265653094134E-2</v>
      </c>
      <c r="CX20" s="146">
        <v>4.4749987871252448E-9</v>
      </c>
    </row>
    <row r="21" spans="1:102">
      <c r="A21" s="252" t="s">
        <v>5</v>
      </c>
      <c r="B21" s="253"/>
      <c r="C21" s="146">
        <v>7.5727104414892568E-2</v>
      </c>
      <c r="D21" s="146">
        <v>7.0744428132677789E-3</v>
      </c>
      <c r="E21" s="146">
        <v>1.2633421459438311E-2</v>
      </c>
      <c r="F21" s="146">
        <v>4.1900029838762683E-2</v>
      </c>
      <c r="G21" s="146">
        <v>9.7818579498142391E-4</v>
      </c>
      <c r="H21" s="146">
        <v>3.255348925618556E-13</v>
      </c>
      <c r="I21" s="146">
        <v>1.3797658016298326E-11</v>
      </c>
      <c r="J21" s="146">
        <v>0.17567759338433261</v>
      </c>
      <c r="K21" s="146">
        <v>1.2216457837924986E-5</v>
      </c>
      <c r="L21" s="146">
        <v>1.2580854195766194E-11</v>
      </c>
      <c r="M21" s="146">
        <v>0.43527741587077617</v>
      </c>
      <c r="N21" s="146">
        <v>0.33419548949569039</v>
      </c>
      <c r="O21" s="146">
        <v>0.29173705567497149</v>
      </c>
      <c r="P21" s="146">
        <v>0.14106200014679016</v>
      </c>
      <c r="Q21" s="146">
        <v>2.1373037043596794E-9</v>
      </c>
      <c r="R21" s="146">
        <v>0.22831983744821757</v>
      </c>
      <c r="S21" s="146">
        <v>0.24092835165759746</v>
      </c>
      <c r="T21" s="146">
        <v>4.0176273138234405E-3</v>
      </c>
      <c r="U21" s="146">
        <v>0.15182526671476737</v>
      </c>
      <c r="V21" s="146">
        <v>0.10406129305372815</v>
      </c>
      <c r="W21" s="146">
        <v>0.26950386914134872</v>
      </c>
      <c r="X21" s="146">
        <v>1.8743613871161442E-3</v>
      </c>
      <c r="Y21" s="146">
        <v>7.6834214345333973E-3</v>
      </c>
      <c r="Z21" s="146">
        <v>3.5769743836781134E-10</v>
      </c>
      <c r="AA21" s="146">
        <v>1.4049992333154222E-5</v>
      </c>
      <c r="AB21" s="146">
        <v>4.9502516971812183E-2</v>
      </c>
      <c r="AC21" s="146">
        <v>0.16038999767693388</v>
      </c>
      <c r="AD21" s="146">
        <v>8.3484897461940058E-2</v>
      </c>
      <c r="AE21" s="146">
        <v>6.2009645792660134E-2</v>
      </c>
      <c r="AF21" s="146">
        <v>0.10540749763060402</v>
      </c>
      <c r="AG21" s="146">
        <v>0.18642230186928871</v>
      </c>
      <c r="AH21" s="146">
        <v>9.422612951079513E-9</v>
      </c>
      <c r="AI21" s="146">
        <v>0.19369329140312513</v>
      </c>
      <c r="AJ21" s="146">
        <v>2.8773646601077434E-2</v>
      </c>
      <c r="AK21" s="146">
        <v>1.4217326323898193E-4</v>
      </c>
      <c r="AL21" s="146">
        <v>1.1354569408491052E-4</v>
      </c>
      <c r="AM21" s="146">
        <v>0.10107472637781696</v>
      </c>
      <c r="AN21" s="146">
        <v>7.9277675995915883E-2</v>
      </c>
      <c r="AO21" s="146">
        <v>2.0442527441373183E-2</v>
      </c>
      <c r="AP21" s="146">
        <v>1.1304711362867161E-6</v>
      </c>
      <c r="AQ21" s="146">
        <v>1.2152883170500671E-3</v>
      </c>
      <c r="AR21" s="146">
        <v>0.16020047022234285</v>
      </c>
      <c r="AS21" s="146">
        <v>0.41299667462516881</v>
      </c>
      <c r="AT21" s="146">
        <v>0.41529646015559346</v>
      </c>
      <c r="AU21" s="146">
        <v>7.4956379571659654E-2</v>
      </c>
      <c r="AV21" s="146">
        <v>1.8510128387192871E-3</v>
      </c>
      <c r="AW21" s="146">
        <v>2.5915377594173277E-3</v>
      </c>
      <c r="AX21" s="146">
        <v>0.39078513092878797</v>
      </c>
      <c r="AY21" s="146">
        <v>0.45349890311656904</v>
      </c>
      <c r="AZ21" s="146">
        <v>0.45765218957689513</v>
      </c>
      <c r="BA21" s="146">
        <v>0.30560862062571831</v>
      </c>
      <c r="BB21" s="146">
        <v>1.9930756406107154E-13</v>
      </c>
      <c r="BC21" s="146">
        <v>6.018574976462595E-2</v>
      </c>
      <c r="BD21" s="146">
        <v>1.1414055113540321E-2</v>
      </c>
      <c r="BE21" s="146">
        <v>0.12271944481682237</v>
      </c>
      <c r="BF21" s="146">
        <v>4.6002406911416199E-3</v>
      </c>
      <c r="BG21" s="146">
        <v>4.3962156595769554E-2</v>
      </c>
      <c r="BH21" s="146">
        <v>0.40057831778668473</v>
      </c>
      <c r="BI21" s="146">
        <v>1.9325033656592789E-2</v>
      </c>
      <c r="BJ21" s="146">
        <v>0.11952777199061568</v>
      </c>
      <c r="BK21" s="146">
        <v>5.9903852288712811E-2</v>
      </c>
      <c r="BL21" s="146">
        <v>1.6630902236389297E-3</v>
      </c>
      <c r="BM21" s="146">
        <v>2.4839559784909711E-2</v>
      </c>
      <c r="BN21" s="146">
        <v>0.25273546132865393</v>
      </c>
      <c r="BO21" s="146">
        <v>0.12224702139162752</v>
      </c>
      <c r="BP21" s="146">
        <v>0.28551413962697642</v>
      </c>
      <c r="BQ21" s="146">
        <v>1.84551322969625E-5</v>
      </c>
      <c r="BR21" s="146">
        <v>0.17934414729242457</v>
      </c>
      <c r="BS21" s="146">
        <v>1.1401135503221463E-2</v>
      </c>
      <c r="BT21" s="146">
        <v>1.0107749656952673E-3</v>
      </c>
      <c r="BU21" s="146">
        <v>0.35625139521504634</v>
      </c>
      <c r="BV21" s="146">
        <v>0.15420345607223196</v>
      </c>
      <c r="BW21" s="146">
        <v>5.0475002922852834E-6</v>
      </c>
      <c r="BX21" s="146">
        <v>0.34693609050594931</v>
      </c>
      <c r="BY21" s="146">
        <v>0.38767450490801864</v>
      </c>
      <c r="BZ21" s="146">
        <v>4.1338624396488959E-4</v>
      </c>
      <c r="CA21" s="146">
        <v>0.17001401938626762</v>
      </c>
      <c r="CB21" s="146">
        <v>2.8106998862277681E-3</v>
      </c>
      <c r="CC21" s="146">
        <v>3.2088900067826304E-7</v>
      </c>
      <c r="CD21" s="146">
        <v>0.41768668079655402</v>
      </c>
      <c r="CE21" s="146">
        <v>6.5729602373407784E-8</v>
      </c>
      <c r="CF21" s="146">
        <v>3.5276426582707952E-3</v>
      </c>
      <c r="CG21" s="146">
        <v>0.20862758811510554</v>
      </c>
      <c r="CH21" s="146">
        <v>7.3280933232731764E-4</v>
      </c>
      <c r="CI21" s="146">
        <v>0.42182295800524794</v>
      </c>
      <c r="CJ21" s="146">
        <v>2.2030274731709685E-2</v>
      </c>
      <c r="CK21" s="146">
        <v>0.1131693589586461</v>
      </c>
      <c r="CL21" s="146">
        <v>8.7430615225319405E-2</v>
      </c>
      <c r="CM21" s="146">
        <v>0.198996002517244</v>
      </c>
      <c r="CN21" s="146">
        <v>0.11213672470702894</v>
      </c>
      <c r="CO21" s="146">
        <v>0.4350766599299985</v>
      </c>
      <c r="CP21" s="146">
        <v>2.1839038215457872E-2</v>
      </c>
      <c r="CQ21" s="146">
        <v>4.7878636485942878E-2</v>
      </c>
      <c r="CR21" s="146">
        <v>0.30492931323095956</v>
      </c>
      <c r="CS21" s="146">
        <v>4.8487701635322962E-2</v>
      </c>
      <c r="CT21" s="146">
        <v>0.22783525047437941</v>
      </c>
      <c r="CU21" s="146">
        <v>0.14402869778726829</v>
      </c>
      <c r="CV21" s="146">
        <v>0.19574294107379725</v>
      </c>
      <c r="CW21" s="146">
        <v>0.33314531070097897</v>
      </c>
      <c r="CX21" s="146">
        <v>0.45771354998591374</v>
      </c>
    </row>
    <row r="22" spans="1:102">
      <c r="A22" s="252" t="s">
        <v>178</v>
      </c>
      <c r="B22" s="253"/>
      <c r="C22" s="146">
        <v>0.43899031917868453</v>
      </c>
      <c r="D22" s="146">
        <v>0.45863664983754771</v>
      </c>
      <c r="E22" s="146">
        <v>0.26322862486327459</v>
      </c>
      <c r="F22" s="146">
        <v>0.42018045440703367</v>
      </c>
      <c r="G22" s="146">
        <v>0.38524060646085234</v>
      </c>
      <c r="H22" s="146">
        <v>0.20852942102495875</v>
      </c>
      <c r="I22" s="146">
        <v>0.32919759456144093</v>
      </c>
      <c r="J22" s="146">
        <v>0.34107655190290775</v>
      </c>
      <c r="K22" s="146">
        <v>0.24452594522641</v>
      </c>
      <c r="L22" s="146">
        <v>0.33371917909080401</v>
      </c>
      <c r="M22" s="146">
        <v>0.25952614598422513</v>
      </c>
      <c r="N22" s="146">
        <v>0.47855935758719942</v>
      </c>
      <c r="O22" s="146">
        <v>0.43149273397499721</v>
      </c>
      <c r="P22" s="146">
        <v>0.2318759837642129</v>
      </c>
      <c r="Q22" s="146">
        <v>0.47379240082605822</v>
      </c>
      <c r="R22" s="146">
        <v>0.27784376332576077</v>
      </c>
      <c r="S22" s="146">
        <v>0.44018302728000835</v>
      </c>
      <c r="T22" s="146">
        <v>0.10127624668298126</v>
      </c>
      <c r="U22" s="146">
        <v>4.9575158788381951E-2</v>
      </c>
      <c r="V22" s="146">
        <v>3.9449749799573891E-5</v>
      </c>
      <c r="W22" s="146">
        <v>1.7335429469810787E-2</v>
      </c>
      <c r="X22" s="146">
        <v>0.25141131391961347</v>
      </c>
      <c r="Y22" s="146">
        <v>0.48423404615276788</v>
      </c>
      <c r="Z22" s="146">
        <v>0.45531926445331905</v>
      </c>
      <c r="AA22" s="146">
        <v>0.47566655777582778</v>
      </c>
      <c r="AB22" s="146">
        <v>2.8957751655859306E-4</v>
      </c>
      <c r="AC22" s="146">
        <v>0.2043561509675407</v>
      </c>
      <c r="AD22" s="146">
        <v>0.33076912154686866</v>
      </c>
      <c r="AE22" s="146">
        <v>0.47261740962291093</v>
      </c>
      <c r="AF22" s="146">
        <v>0.24007489857747422</v>
      </c>
      <c r="AG22" s="146">
        <v>1.2559067080424744E-6</v>
      </c>
      <c r="AH22" s="146">
        <v>0.17101348496827457</v>
      </c>
      <c r="AI22" s="146">
        <v>1.1353831904641143E-10</v>
      </c>
      <c r="AJ22" s="146">
        <v>3.7696953565403142E-3</v>
      </c>
      <c r="AK22" s="146">
        <v>0.18596659000410995</v>
      </c>
      <c r="AL22" s="146">
        <v>0.46630749829261636</v>
      </c>
      <c r="AM22" s="146">
        <v>0.44966693765469379</v>
      </c>
      <c r="AN22" s="146">
        <v>0.31040472055511537</v>
      </c>
      <c r="AO22" s="146">
        <v>0.14126210068010717</v>
      </c>
      <c r="AP22" s="146">
        <v>0.21507773947196993</v>
      </c>
      <c r="AQ22" s="146">
        <v>0.24307868387627088</v>
      </c>
      <c r="AR22" s="146">
        <v>0.30167047911033396</v>
      </c>
      <c r="AS22" s="146">
        <v>0.14858947156616262</v>
      </c>
      <c r="AT22" s="146">
        <v>5.0851895439487395E-6</v>
      </c>
      <c r="AU22" s="146">
        <v>4.7074094645378076E-3</v>
      </c>
      <c r="AV22" s="146">
        <v>8.2347378748421907E-3</v>
      </c>
      <c r="AW22" s="146">
        <v>1.5520573388611456E-4</v>
      </c>
      <c r="AX22" s="146">
        <v>1.3553259396560231E-6</v>
      </c>
      <c r="AY22" s="146">
        <v>2.3961470919087652E-2</v>
      </c>
      <c r="AZ22" s="146">
        <v>2.8541105180843172E-3</v>
      </c>
      <c r="BA22" s="146">
        <v>1.0738974604311118E-4</v>
      </c>
      <c r="BB22" s="146">
        <v>0.49712767853943263</v>
      </c>
      <c r="BC22" s="146">
        <v>5.5865250676445316E-3</v>
      </c>
      <c r="BD22" s="146">
        <v>4.6173293108624204E-2</v>
      </c>
      <c r="BE22" s="146">
        <v>8.1847900710740856E-2</v>
      </c>
      <c r="BF22" s="146">
        <v>0.30672458036648609</v>
      </c>
      <c r="BG22" s="146">
        <v>0.3332742701510415</v>
      </c>
      <c r="BH22" s="146">
        <v>2.6700745188060944E-13</v>
      </c>
      <c r="BI22" s="146">
        <v>2.773663970808311E-2</v>
      </c>
      <c r="BJ22" s="146">
        <v>0.44454228741224616</v>
      </c>
      <c r="BK22" s="146">
        <v>0.38772428489523486</v>
      </c>
      <c r="BL22" s="146">
        <v>1.4965523392928513E-6</v>
      </c>
      <c r="BM22" s="146">
        <v>5.5551247102366745E-2</v>
      </c>
      <c r="BN22" s="146">
        <v>2.8673927899878222E-5</v>
      </c>
      <c r="BO22" s="146">
        <v>6.1714752882034804E-2</v>
      </c>
      <c r="BP22" s="146">
        <v>0.36176337459850044</v>
      </c>
      <c r="BQ22" s="146">
        <v>9.4532189014921802E-2</v>
      </c>
      <c r="BR22" s="146">
        <v>0.23261492303140843</v>
      </c>
      <c r="BS22" s="146">
        <v>0.29443746410130289</v>
      </c>
      <c r="BT22" s="146">
        <v>2.7066349210747272E-5</v>
      </c>
      <c r="BU22" s="146">
        <v>0.24370682443749722</v>
      </c>
      <c r="BV22" s="146">
        <v>1.6519913837439001E-2</v>
      </c>
      <c r="BW22" s="146">
        <v>6.8532442334186247E-2</v>
      </c>
      <c r="BX22" s="146">
        <v>0.19845255341426257</v>
      </c>
      <c r="BY22" s="146">
        <v>0.30812969998218503</v>
      </c>
      <c r="BZ22" s="146">
        <v>0.47264975239811302</v>
      </c>
      <c r="CA22" s="146">
        <v>0.41181122685592725</v>
      </c>
      <c r="CB22" s="146">
        <v>0.19208090117020385</v>
      </c>
      <c r="CC22" s="146">
        <v>9.5512030665636821E-2</v>
      </c>
      <c r="CD22" s="146">
        <v>3.4481487875202957E-2</v>
      </c>
      <c r="CE22" s="146">
        <v>0.24769316002383313</v>
      </c>
      <c r="CF22" s="146">
        <v>0.30400237877603081</v>
      </c>
      <c r="CG22" s="146">
        <v>0.22537747241546913</v>
      </c>
      <c r="CH22" s="146">
        <v>0.37135656350974877</v>
      </c>
      <c r="CI22" s="146">
        <v>8.9852871588261496E-2</v>
      </c>
      <c r="CJ22" s="146">
        <v>0.27466462770647437</v>
      </c>
      <c r="CK22" s="146">
        <v>1.6684780015085112E-4</v>
      </c>
      <c r="CL22" s="146">
        <v>0.47915426832084418</v>
      </c>
      <c r="CM22" s="146">
        <v>2.8080059768411601E-4</v>
      </c>
      <c r="CN22" s="146">
        <v>0.48404045674290841</v>
      </c>
      <c r="CO22" s="146">
        <v>8.665623755609482E-9</v>
      </c>
      <c r="CP22" s="146">
        <v>0.34229441630382762</v>
      </c>
      <c r="CQ22" s="146">
        <v>4.1743335066224112E-3</v>
      </c>
      <c r="CR22" s="146">
        <v>1.5527738214650639E-4</v>
      </c>
      <c r="CS22" s="146">
        <v>0.4138850750558502</v>
      </c>
      <c r="CT22" s="146">
        <v>2.2768403813699218E-4</v>
      </c>
      <c r="CU22" s="146">
        <v>4.5658718903432036E-12</v>
      </c>
      <c r="CV22" s="146">
        <v>0.48137205096132951</v>
      </c>
      <c r="CW22" s="146">
        <v>0.42800829668405371</v>
      </c>
      <c r="CX22" s="146">
        <v>0.20583816388337969</v>
      </c>
    </row>
    <row r="23" spans="1:102">
      <c r="A23" s="252" t="s">
        <v>6</v>
      </c>
      <c r="B23" s="253"/>
      <c r="C23" s="146">
        <v>4.4041614136983907E-4</v>
      </c>
      <c r="D23" s="146">
        <v>0.1152693202064721</v>
      </c>
      <c r="E23" s="146">
        <v>0.17145636422069604</v>
      </c>
      <c r="F23" s="146">
        <v>0.18872714672092294</v>
      </c>
      <c r="G23" s="146">
        <v>4.9910757691217692E-26</v>
      </c>
      <c r="H23" s="146">
        <v>2.9899269287960215E-4</v>
      </c>
      <c r="I23" s="146">
        <v>0.20337422746414802</v>
      </c>
      <c r="J23" s="146">
        <v>1.7083526932327602E-2</v>
      </c>
      <c r="K23" s="146">
        <v>5.6727563236809928E-2</v>
      </c>
      <c r="L23" s="146">
        <v>2.4352805103038144E-10</v>
      </c>
      <c r="M23" s="146">
        <v>9.2380355362532935E-8</v>
      </c>
      <c r="N23" s="146">
        <v>3.1003809430598271E-3</v>
      </c>
      <c r="O23" s="146">
        <v>1.5456025286009397E-7</v>
      </c>
      <c r="P23" s="146">
        <v>0.19139426287167252</v>
      </c>
      <c r="Q23" s="146">
        <v>1.9446353454424619E-2</v>
      </c>
      <c r="R23" s="146">
        <v>1.1699380386183243E-7</v>
      </c>
      <c r="S23" s="146">
        <v>4.689677383610261E-6</v>
      </c>
      <c r="T23" s="146">
        <v>0.43051648853107372</v>
      </c>
      <c r="U23" s="146">
        <v>0.24238361468152025</v>
      </c>
      <c r="V23" s="146">
        <v>0.2159430369486213</v>
      </c>
      <c r="W23" s="146">
        <v>0.13244452448612304</v>
      </c>
      <c r="X23" s="146">
        <v>0.23107946882277025</v>
      </c>
      <c r="Y23" s="146">
        <v>2.099832524484225E-15</v>
      </c>
      <c r="Z23" s="146">
        <v>0.22889256690754117</v>
      </c>
      <c r="AA23" s="146">
        <v>2.3841754763518821E-2</v>
      </c>
      <c r="AB23" s="146">
        <v>0.48326756708201163</v>
      </c>
      <c r="AC23" s="146">
        <v>9.219329358654698E-6</v>
      </c>
      <c r="AD23" s="146">
        <v>2.1778685184738827E-2</v>
      </c>
      <c r="AE23" s="146">
        <v>1.2868283755681642E-5</v>
      </c>
      <c r="AF23" s="146">
        <v>0.28058524722164385</v>
      </c>
      <c r="AG23" s="146">
        <v>0.13767633281251823</v>
      </c>
      <c r="AH23" s="146">
        <v>6.7765120512680674E-2</v>
      </c>
      <c r="AI23" s="146">
        <v>0.25121904117663219</v>
      </c>
      <c r="AJ23" s="146">
        <v>0.29195764236222421</v>
      </c>
      <c r="AK23" s="146">
        <v>0.12690556792785709</v>
      </c>
      <c r="AL23" s="146">
        <v>0.2579350459574688</v>
      </c>
      <c r="AM23" s="146">
        <v>0.21013044327174688</v>
      </c>
      <c r="AN23" s="146">
        <v>8.3771268458294665E-4</v>
      </c>
      <c r="AO23" s="146">
        <v>4.8276699696129376E-7</v>
      </c>
      <c r="AP23" s="146">
        <v>0.15436445545804103</v>
      </c>
      <c r="AQ23" s="146">
        <v>0.11648307891690639</v>
      </c>
      <c r="AR23" s="146">
        <v>1.4255601235239352E-2</v>
      </c>
      <c r="AS23" s="146">
        <v>0.12420746308399326</v>
      </c>
      <c r="AT23" s="146">
        <v>2.3275453240473747E-3</v>
      </c>
      <c r="AU23" s="146">
        <v>0.16427236139268114</v>
      </c>
      <c r="AV23" s="146">
        <v>0.39816267330206184</v>
      </c>
      <c r="AW23" s="146">
        <v>8.2768053567409669E-2</v>
      </c>
      <c r="AX23" s="146">
        <v>0.24732370943110477</v>
      </c>
      <c r="AY23" s="146">
        <v>0.15182409090475463</v>
      </c>
      <c r="AZ23" s="146">
        <v>1.1989200565949966E-2</v>
      </c>
      <c r="BA23" s="146">
        <v>3.7203713279361666E-3</v>
      </c>
      <c r="BB23" s="146">
        <v>1.1199921362074836E-7</v>
      </c>
      <c r="BC23" s="146">
        <v>0.38658086737049258</v>
      </c>
      <c r="BD23" s="146">
        <v>1.1803493144184945E-2</v>
      </c>
      <c r="BE23" s="146">
        <v>0.17269380131656925</v>
      </c>
      <c r="BF23" s="146">
        <v>6.4578260916362364E-4</v>
      </c>
      <c r="BG23" s="146">
        <v>1.0009626804169032E-6</v>
      </c>
      <c r="BH23" s="146">
        <v>6.030296408468672E-6</v>
      </c>
      <c r="BI23" s="146">
        <v>3.5473338262609925E-3</v>
      </c>
      <c r="BJ23" s="146">
        <v>1.0031692950340882E-3</v>
      </c>
      <c r="BK23" s="146">
        <v>0.10235742994087879</v>
      </c>
      <c r="BL23" s="146">
        <v>0.17853384574129413</v>
      </c>
      <c r="BM23" s="146">
        <v>0.19737401085176737</v>
      </c>
      <c r="BN23" s="146">
        <v>4.63566080068082E-3</v>
      </c>
      <c r="BO23" s="146">
        <v>6.3542593576678422E-2</v>
      </c>
      <c r="BP23" s="146">
        <v>1.6585723880915135E-4</v>
      </c>
      <c r="BQ23" s="146">
        <v>0.35999809225272061</v>
      </c>
      <c r="BR23" s="146">
        <v>3.2615596005662104E-7</v>
      </c>
      <c r="BS23" s="146">
        <v>1.6432926748896615E-3</v>
      </c>
      <c r="BT23" s="146">
        <v>0.46765639104964085</v>
      </c>
      <c r="BU23" s="146">
        <v>0.25413137694407018</v>
      </c>
      <c r="BV23" s="146">
        <v>0.12309326157164462</v>
      </c>
      <c r="BW23" s="146">
        <v>0.26262662968477407</v>
      </c>
      <c r="BX23" s="146">
        <v>1.2010152255376475E-2</v>
      </c>
      <c r="BY23" s="146">
        <v>2.987518312600418E-4</v>
      </c>
      <c r="BZ23" s="146">
        <v>9.9006413538045304E-2</v>
      </c>
      <c r="CA23" s="146">
        <v>4.9503909574688705E-8</v>
      </c>
      <c r="CB23" s="146">
        <v>4.2644086968507841E-2</v>
      </c>
      <c r="CC23" s="146">
        <v>0.47926236623478158</v>
      </c>
      <c r="CD23" s="146">
        <v>1.7798112398188815E-10</v>
      </c>
      <c r="CE23" s="146">
        <v>2.4990060486070548E-8</v>
      </c>
      <c r="CF23" s="146">
        <v>1.192714719787742E-4</v>
      </c>
      <c r="CG23" s="146">
        <v>9.9726029891033449E-3</v>
      </c>
      <c r="CH23" s="146">
        <v>0.10902540011662394</v>
      </c>
      <c r="CI23" s="146">
        <v>0.1957426244983814</v>
      </c>
      <c r="CJ23" s="146">
        <v>9.7836826890953452E-2</v>
      </c>
      <c r="CK23" s="146">
        <v>0.3016754829305619</v>
      </c>
      <c r="CL23" s="146">
        <v>1.9878770175972747E-2</v>
      </c>
      <c r="CM23" s="146">
        <v>1.4738354863033211E-7</v>
      </c>
      <c r="CN23" s="146">
        <v>9.9845433095009794E-8</v>
      </c>
      <c r="CO23" s="146">
        <v>1.0808752323372359E-5</v>
      </c>
      <c r="CP23" s="146">
        <v>1.4594751888298101E-3</v>
      </c>
      <c r="CQ23" s="146">
        <v>0.25093815649995588</v>
      </c>
      <c r="CR23" s="146">
        <v>3.3197852714440443E-3</v>
      </c>
      <c r="CS23" s="146">
        <v>3.8801197931004876E-3</v>
      </c>
      <c r="CT23" s="146">
        <v>0.22000734310766687</v>
      </c>
      <c r="CU23" s="146">
        <v>4.4441663506483985E-4</v>
      </c>
      <c r="CV23" s="146">
        <v>0.18189092147100158</v>
      </c>
      <c r="CW23" s="146">
        <v>7.5148586745360248E-8</v>
      </c>
      <c r="CX23" s="146">
        <v>1.1702281422133809E-2</v>
      </c>
    </row>
    <row r="24" spans="1:102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45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7" spans="1:102" s="114" customFormat="1">
      <c r="A27" s="247" t="s">
        <v>131</v>
      </c>
      <c r="B27" s="248"/>
    </row>
    <row r="28" spans="1:102" s="115" customFormat="1">
      <c r="A28" s="250" t="str">
        <f t="shared" ref="A28:A37" si="0">A4</f>
        <v>Nominale matching</v>
      </c>
      <c r="B28" s="251"/>
      <c r="C28" s="117">
        <v>0.03</v>
      </c>
      <c r="D28" s="117">
        <v>0.03</v>
      </c>
      <c r="E28" s="117">
        <v>0.03</v>
      </c>
      <c r="F28" s="117">
        <v>0.03</v>
      </c>
      <c r="G28" s="117">
        <v>0.03</v>
      </c>
      <c r="H28" s="117">
        <v>0.03</v>
      </c>
      <c r="I28" s="117">
        <v>0.03</v>
      </c>
      <c r="J28" s="117">
        <v>0.03</v>
      </c>
      <c r="K28" s="117">
        <v>0.03</v>
      </c>
      <c r="L28" s="117">
        <v>0.03</v>
      </c>
      <c r="M28" s="117">
        <v>0.03</v>
      </c>
      <c r="N28" s="117">
        <v>0.03</v>
      </c>
      <c r="O28" s="117">
        <v>0.03</v>
      </c>
      <c r="P28" s="117">
        <v>0.03</v>
      </c>
      <c r="Q28" s="117">
        <v>0.03</v>
      </c>
      <c r="R28" s="117">
        <v>0.03</v>
      </c>
      <c r="S28" s="117">
        <v>0.03</v>
      </c>
      <c r="T28" s="117">
        <v>0.03</v>
      </c>
      <c r="U28" s="117">
        <v>0.03</v>
      </c>
      <c r="V28" s="117">
        <v>0.03</v>
      </c>
      <c r="W28" s="117">
        <v>0.03</v>
      </c>
      <c r="X28" s="117">
        <v>0.03</v>
      </c>
      <c r="Y28" s="117">
        <v>0.03</v>
      </c>
      <c r="Z28" s="117">
        <v>0.03</v>
      </c>
      <c r="AA28" s="117">
        <v>0.03</v>
      </c>
      <c r="AB28" s="117">
        <v>0.03</v>
      </c>
      <c r="AC28" s="117">
        <v>0.03</v>
      </c>
      <c r="AD28" s="117">
        <v>0.03</v>
      </c>
      <c r="AE28" s="117">
        <v>0.03</v>
      </c>
      <c r="AF28" s="117">
        <v>0.03</v>
      </c>
      <c r="AG28" s="117">
        <v>0.03</v>
      </c>
      <c r="AH28" s="117">
        <v>0.03</v>
      </c>
      <c r="AI28" s="117">
        <v>0.03</v>
      </c>
      <c r="AJ28" s="117">
        <v>0.03</v>
      </c>
      <c r="AK28" s="117">
        <v>0.03</v>
      </c>
      <c r="AL28" s="117">
        <v>0.03</v>
      </c>
      <c r="AM28" s="117">
        <v>0.03</v>
      </c>
      <c r="AN28" s="117">
        <v>0.03</v>
      </c>
      <c r="AO28" s="117">
        <v>0.03</v>
      </c>
      <c r="AP28" s="117">
        <v>0.03</v>
      </c>
      <c r="AQ28" s="117">
        <v>0.03</v>
      </c>
      <c r="AR28" s="117">
        <v>0.03</v>
      </c>
      <c r="AS28" s="117">
        <v>0.03</v>
      </c>
      <c r="AT28" s="117">
        <v>0.03</v>
      </c>
      <c r="AU28" s="117">
        <v>0.03</v>
      </c>
      <c r="AV28" s="117">
        <v>0.03</v>
      </c>
      <c r="AW28" s="117">
        <v>0.03</v>
      </c>
      <c r="AX28" s="117">
        <v>0.03</v>
      </c>
      <c r="AY28" s="117">
        <v>0.03</v>
      </c>
      <c r="AZ28" s="117">
        <v>0.03</v>
      </c>
      <c r="BA28" s="117">
        <v>0.03</v>
      </c>
      <c r="BB28" s="117">
        <v>0.03</v>
      </c>
      <c r="BC28" s="117">
        <v>0.03</v>
      </c>
      <c r="BD28" s="117">
        <v>0.03</v>
      </c>
      <c r="BE28" s="117">
        <v>0.03</v>
      </c>
      <c r="BF28" s="117">
        <v>0.03</v>
      </c>
      <c r="BG28" s="117">
        <v>0.03</v>
      </c>
      <c r="BH28" s="117">
        <v>0.03</v>
      </c>
      <c r="BI28" s="117">
        <v>0.03</v>
      </c>
      <c r="BJ28" s="117">
        <v>0.03</v>
      </c>
      <c r="BK28" s="117">
        <v>0.03</v>
      </c>
      <c r="BL28" s="117">
        <v>0.03</v>
      </c>
      <c r="BM28" s="117">
        <v>0.03</v>
      </c>
      <c r="BN28" s="117">
        <v>0.03</v>
      </c>
      <c r="BO28" s="117">
        <v>0.03</v>
      </c>
      <c r="BP28" s="117">
        <v>0.03</v>
      </c>
      <c r="BQ28" s="117">
        <v>0.03</v>
      </c>
      <c r="BR28" s="117">
        <v>0.03</v>
      </c>
      <c r="BS28" s="117">
        <v>0.03</v>
      </c>
      <c r="BT28" s="117">
        <v>0.03</v>
      </c>
      <c r="BU28" s="117">
        <v>0.03</v>
      </c>
      <c r="BV28" s="117">
        <v>0.03</v>
      </c>
      <c r="BW28" s="117">
        <v>0.03</v>
      </c>
      <c r="BX28" s="117">
        <v>0.03</v>
      </c>
      <c r="BY28" s="117">
        <v>0.03</v>
      </c>
      <c r="BZ28" s="117">
        <v>0.03</v>
      </c>
      <c r="CA28" s="117">
        <v>0.03</v>
      </c>
      <c r="CB28" s="117">
        <v>0.03</v>
      </c>
      <c r="CC28" s="117">
        <v>0.03</v>
      </c>
      <c r="CD28" s="117">
        <v>0.03</v>
      </c>
      <c r="CE28" s="117">
        <v>0.03</v>
      </c>
      <c r="CF28" s="117">
        <v>0.03</v>
      </c>
      <c r="CG28" s="117">
        <v>0.03</v>
      </c>
      <c r="CH28" s="117">
        <v>0.03</v>
      </c>
      <c r="CI28" s="117">
        <v>0.03</v>
      </c>
      <c r="CJ28" s="117">
        <v>0.03</v>
      </c>
      <c r="CK28" s="117">
        <v>0.03</v>
      </c>
      <c r="CL28" s="117">
        <v>0.03</v>
      </c>
      <c r="CM28" s="117">
        <v>0.03</v>
      </c>
      <c r="CN28" s="117">
        <v>0.03</v>
      </c>
      <c r="CO28" s="117">
        <v>0.03</v>
      </c>
      <c r="CP28" s="117">
        <v>0.03</v>
      </c>
      <c r="CQ28" s="117">
        <v>0.03</v>
      </c>
      <c r="CR28" s="117">
        <v>0.03</v>
      </c>
      <c r="CS28" s="117">
        <v>0.03</v>
      </c>
      <c r="CT28" s="117">
        <v>0.03</v>
      </c>
      <c r="CU28" s="117">
        <v>0.03</v>
      </c>
      <c r="CV28" s="117">
        <v>0.03</v>
      </c>
      <c r="CW28" s="117">
        <v>0.03</v>
      </c>
      <c r="CX28" s="117">
        <v>0.03</v>
      </c>
    </row>
    <row r="29" spans="1:102" s="115" customFormat="1">
      <c r="A29" s="252" t="str">
        <f t="shared" si="0"/>
        <v>Reele matching</v>
      </c>
      <c r="B29" s="253"/>
      <c r="C29" s="117">
        <v>3.7798466135550234E-2</v>
      </c>
      <c r="D29" s="117">
        <v>3.8828434625916196E-2</v>
      </c>
      <c r="E29" s="117">
        <v>3.9183687865353936E-2</v>
      </c>
      <c r="F29" s="117">
        <v>3.7809529089210522E-2</v>
      </c>
      <c r="G29" s="117">
        <v>3.5817873650364221E-2</v>
      </c>
      <c r="H29" s="117">
        <v>3.6120243820345489E-2</v>
      </c>
      <c r="I29" s="117">
        <v>3.7872644720151213E-2</v>
      </c>
      <c r="J29" s="117">
        <v>3.7363487756858965E-2</v>
      </c>
      <c r="K29" s="117">
        <v>3.6331678225877337E-2</v>
      </c>
      <c r="L29" s="117">
        <v>3.7870456356112005E-2</v>
      </c>
      <c r="M29" s="117">
        <v>3.6896012972682524E-2</v>
      </c>
      <c r="N29" s="117">
        <v>3.7145797510366438E-2</v>
      </c>
      <c r="O29" s="117">
        <v>3.8593294095032628E-2</v>
      </c>
      <c r="P29" s="117">
        <v>3.9362907841746751E-2</v>
      </c>
      <c r="Q29" s="117">
        <v>3.6844693272334403E-2</v>
      </c>
      <c r="R29" s="117">
        <v>3.703708494785312E-2</v>
      </c>
      <c r="S29" s="117">
        <v>3.7940286544830899E-2</v>
      </c>
      <c r="T29" s="117">
        <v>3.8522356948702909E-2</v>
      </c>
      <c r="U29" s="117">
        <v>3.6922091420571443E-2</v>
      </c>
      <c r="V29" s="117">
        <v>3.6290935295019824E-2</v>
      </c>
      <c r="W29" s="117">
        <v>3.7752615357728427E-2</v>
      </c>
      <c r="X29" s="117">
        <v>3.6841604104094774E-2</v>
      </c>
      <c r="Y29" s="117">
        <v>3.8516324297344341E-2</v>
      </c>
      <c r="Z29" s="117">
        <v>3.7956530694663176E-2</v>
      </c>
      <c r="AA29" s="117">
        <v>3.7893897332180897E-2</v>
      </c>
      <c r="AB29" s="117">
        <v>3.8399437369800546E-2</v>
      </c>
      <c r="AC29" s="117">
        <v>3.7551273644011729E-2</v>
      </c>
      <c r="AD29" s="117">
        <v>3.9699139508539254E-2</v>
      </c>
      <c r="AE29" s="117">
        <v>3.7020148975692085E-2</v>
      </c>
      <c r="AF29" s="117">
        <v>3.7806780188132549E-2</v>
      </c>
      <c r="AG29" s="117">
        <v>3.810649921082683E-2</v>
      </c>
      <c r="AH29" s="117">
        <v>3.7396416390989694E-2</v>
      </c>
      <c r="AI29" s="117">
        <v>3.8852405027909362E-2</v>
      </c>
      <c r="AJ29" s="117">
        <v>3.9015167910902676E-2</v>
      </c>
      <c r="AK29" s="117">
        <v>4.0235563289071255E-2</v>
      </c>
      <c r="AL29" s="117">
        <v>3.8519199343009569E-2</v>
      </c>
      <c r="AM29" s="117">
        <v>4.0366118732379372E-2</v>
      </c>
      <c r="AN29" s="117">
        <v>3.5628583505587612E-2</v>
      </c>
      <c r="AO29" s="117">
        <v>3.5958893077080618E-2</v>
      </c>
      <c r="AP29" s="117">
        <v>3.7762925341509282E-2</v>
      </c>
      <c r="AQ29" s="117">
        <v>3.8861298848753979E-2</v>
      </c>
      <c r="AR29" s="117">
        <v>3.8573403509932318E-2</v>
      </c>
      <c r="AS29" s="117">
        <v>3.7281160184178229E-2</v>
      </c>
      <c r="AT29" s="117">
        <v>3.6706880826819999E-2</v>
      </c>
      <c r="AU29" s="117">
        <v>3.7550893707918954E-2</v>
      </c>
      <c r="AV29" s="117">
        <v>3.9569224363105629E-2</v>
      </c>
      <c r="AW29" s="117">
        <v>3.5896346656936078E-2</v>
      </c>
      <c r="AX29" s="117">
        <v>3.9031361767060693E-2</v>
      </c>
      <c r="AY29" s="117">
        <v>3.7954267333460252E-2</v>
      </c>
      <c r="AZ29" s="117">
        <v>3.6858388603379859E-2</v>
      </c>
      <c r="BA29" s="117">
        <v>3.5251686982879116E-2</v>
      </c>
      <c r="BB29" s="117">
        <v>4.1128681014580885E-2</v>
      </c>
      <c r="BC29" s="117">
        <v>3.8155376857380491E-2</v>
      </c>
      <c r="BD29" s="117">
        <v>3.5981316745616443E-2</v>
      </c>
      <c r="BE29" s="117">
        <v>3.7564837341366807E-2</v>
      </c>
      <c r="BF29" s="117">
        <v>3.8188858250827545E-2</v>
      </c>
      <c r="BG29" s="117">
        <v>3.988372249860115E-2</v>
      </c>
      <c r="BH29" s="117">
        <v>3.7406090635852436E-2</v>
      </c>
      <c r="BI29" s="117">
        <v>3.5395688190499153E-2</v>
      </c>
      <c r="BJ29" s="117">
        <v>3.7718218549737413E-2</v>
      </c>
      <c r="BK29" s="117">
        <v>3.7778764239205558E-2</v>
      </c>
      <c r="BL29" s="117">
        <v>3.9869753307523029E-2</v>
      </c>
      <c r="BM29" s="117">
        <v>3.9157029651854885E-2</v>
      </c>
      <c r="BN29" s="117">
        <v>3.707819837843708E-2</v>
      </c>
      <c r="BO29" s="117">
        <v>3.6435391492038144E-2</v>
      </c>
      <c r="BP29" s="117">
        <v>3.8094205766491855E-2</v>
      </c>
      <c r="BQ29" s="117">
        <v>3.8627089797692304E-2</v>
      </c>
      <c r="BR29" s="117">
        <v>3.7007061477167369E-2</v>
      </c>
      <c r="BS29" s="117">
        <v>3.673308380236591E-2</v>
      </c>
      <c r="BT29" s="117">
        <v>3.874583827185471E-2</v>
      </c>
      <c r="BU29" s="117">
        <v>3.9277790808320931E-2</v>
      </c>
      <c r="BV29" s="117">
        <v>3.7081285024381523E-2</v>
      </c>
      <c r="BW29" s="117">
        <v>3.7967849289300505E-2</v>
      </c>
      <c r="BX29" s="117">
        <v>4.0418234146544982E-2</v>
      </c>
      <c r="BY29" s="117">
        <v>3.8364515632760873E-2</v>
      </c>
      <c r="BZ29" s="117">
        <v>3.817647119644009E-2</v>
      </c>
      <c r="CA29" s="117">
        <v>3.8051770453013993E-2</v>
      </c>
      <c r="CB29" s="117">
        <v>3.6337047531739962E-2</v>
      </c>
      <c r="CC29" s="117">
        <v>3.895588311402258E-2</v>
      </c>
      <c r="CD29" s="117">
        <v>3.7453612514515865E-2</v>
      </c>
      <c r="CE29" s="117">
        <v>3.6236182067919197E-2</v>
      </c>
      <c r="CF29" s="117">
        <v>3.9344748610631371E-2</v>
      </c>
      <c r="CG29" s="117">
        <v>3.8236685380450469E-2</v>
      </c>
      <c r="CH29" s="117">
        <v>3.8119797087859689E-2</v>
      </c>
      <c r="CI29" s="117">
        <v>3.8525572589799995E-2</v>
      </c>
      <c r="CJ29" s="117">
        <v>3.9726959593966882E-2</v>
      </c>
      <c r="CK29" s="117">
        <v>3.9097499249499047E-2</v>
      </c>
      <c r="CL29" s="117">
        <v>3.92750747796448E-2</v>
      </c>
      <c r="CM29" s="117">
        <v>3.6090934562904714E-2</v>
      </c>
      <c r="CN29" s="117">
        <v>4.1554417533586685E-2</v>
      </c>
      <c r="CO29" s="117">
        <v>3.715910518506331E-2</v>
      </c>
      <c r="CP29" s="117">
        <v>3.7537038705302506E-2</v>
      </c>
      <c r="CQ29" s="117">
        <v>3.7891887529892837E-2</v>
      </c>
      <c r="CR29" s="117">
        <v>3.6185769791898172E-2</v>
      </c>
      <c r="CS29" s="117">
        <v>3.9427842262201057E-2</v>
      </c>
      <c r="CT29" s="117">
        <v>4.0167734260104671E-2</v>
      </c>
      <c r="CU29" s="117">
        <v>3.7015892829784312E-2</v>
      </c>
      <c r="CV29" s="117">
        <v>3.8820825864179301E-2</v>
      </c>
      <c r="CW29" s="117">
        <v>3.8559759524268031E-2</v>
      </c>
      <c r="CX29" s="117">
        <v>3.9298511252169079E-2</v>
      </c>
    </row>
    <row r="30" spans="1:102" s="115" customFormat="1">
      <c r="A30" s="252" t="str">
        <f t="shared" si="0"/>
        <v>Credits</v>
      </c>
      <c r="B30" s="253"/>
      <c r="C30" s="117">
        <v>4.0969660978462892E-2</v>
      </c>
      <c r="D30" s="117">
        <v>4.1845497061749476E-2</v>
      </c>
      <c r="E30" s="117">
        <v>4.0717360581991047E-2</v>
      </c>
      <c r="F30" s="117">
        <v>3.8507519183575784E-2</v>
      </c>
      <c r="G30" s="117">
        <v>3.5494267159650573E-2</v>
      </c>
      <c r="H30" s="117">
        <v>3.81761827911693E-2</v>
      </c>
      <c r="I30" s="117">
        <v>3.8321335623474895E-2</v>
      </c>
      <c r="J30" s="117">
        <v>3.8649264189149157E-2</v>
      </c>
      <c r="K30" s="117">
        <v>3.6196556669958975E-2</v>
      </c>
      <c r="L30" s="117">
        <v>3.7353833042190102E-2</v>
      </c>
      <c r="M30" s="117">
        <v>3.7903475241497869E-2</v>
      </c>
      <c r="N30" s="117">
        <v>3.9979063748731197E-2</v>
      </c>
      <c r="O30" s="117">
        <v>4.0481700227508417E-2</v>
      </c>
      <c r="P30" s="117">
        <v>4.2267493420632012E-2</v>
      </c>
      <c r="Q30" s="117">
        <v>3.5891104435588926E-2</v>
      </c>
      <c r="R30" s="117">
        <v>3.8376031765395294E-2</v>
      </c>
      <c r="S30" s="117">
        <v>4.0055692017177208E-2</v>
      </c>
      <c r="T30" s="117">
        <v>3.9849925790112345E-2</v>
      </c>
      <c r="U30" s="117">
        <v>3.8054553984672002E-2</v>
      </c>
      <c r="V30" s="117">
        <v>3.7486333343551836E-2</v>
      </c>
      <c r="W30" s="117">
        <v>4.0651847097993285E-2</v>
      </c>
      <c r="X30" s="117">
        <v>3.8265217432628951E-2</v>
      </c>
      <c r="Y30" s="117">
        <v>4.1613821431185492E-2</v>
      </c>
      <c r="Z30" s="117">
        <v>3.9275608265782913E-2</v>
      </c>
      <c r="AA30" s="117">
        <v>3.6851001280019356E-2</v>
      </c>
      <c r="AB30" s="117">
        <v>4.1731881819598214E-2</v>
      </c>
      <c r="AC30" s="117">
        <v>3.79563785770793E-2</v>
      </c>
      <c r="AD30" s="117">
        <v>3.897441513389701E-2</v>
      </c>
      <c r="AE30" s="117">
        <v>3.7030387215235591E-2</v>
      </c>
      <c r="AF30" s="117">
        <v>3.9314408388449365E-2</v>
      </c>
      <c r="AG30" s="117">
        <v>3.8663120419421521E-2</v>
      </c>
      <c r="AH30" s="117">
        <v>3.7535118659866709E-2</v>
      </c>
      <c r="AI30" s="117">
        <v>3.8411167935309048E-2</v>
      </c>
      <c r="AJ30" s="117">
        <v>3.8174223363192171E-2</v>
      </c>
      <c r="AK30" s="117">
        <v>3.8169355258119916E-2</v>
      </c>
      <c r="AL30" s="117">
        <v>3.9984778452959058E-2</v>
      </c>
      <c r="AM30" s="117">
        <v>4.0292952119754602E-2</v>
      </c>
      <c r="AN30" s="117">
        <v>3.6367923506535907E-2</v>
      </c>
      <c r="AO30" s="117">
        <v>3.8386587876587441E-2</v>
      </c>
      <c r="AP30" s="117">
        <v>4.0280271345868424E-2</v>
      </c>
      <c r="AQ30" s="117">
        <v>3.7868415142382525E-2</v>
      </c>
      <c r="AR30" s="117">
        <v>4.1652238734531458E-2</v>
      </c>
      <c r="AS30" s="117">
        <v>3.9046919003643217E-2</v>
      </c>
      <c r="AT30" s="117">
        <v>3.775786436657641E-2</v>
      </c>
      <c r="AU30" s="117">
        <v>3.7597413811407701E-2</v>
      </c>
      <c r="AV30" s="117">
        <v>4.2162247781825223E-2</v>
      </c>
      <c r="AW30" s="117">
        <v>3.5412412427742901E-2</v>
      </c>
      <c r="AX30" s="117">
        <v>4.2134394506466256E-2</v>
      </c>
      <c r="AY30" s="117">
        <v>4.0029166727133719E-2</v>
      </c>
      <c r="AZ30" s="117">
        <v>3.8584700525510995E-2</v>
      </c>
      <c r="BA30" s="117">
        <v>3.8009737817395813E-2</v>
      </c>
      <c r="BB30" s="117">
        <v>4.1683062146130087E-2</v>
      </c>
      <c r="BC30" s="117">
        <v>4.1807232346647023E-2</v>
      </c>
      <c r="BD30" s="117">
        <v>3.7100078585755432E-2</v>
      </c>
      <c r="BE30" s="117">
        <v>3.8528201315707195E-2</v>
      </c>
      <c r="BF30" s="117">
        <v>3.8890515521819255E-2</v>
      </c>
      <c r="BG30" s="117">
        <v>3.8039826150908354E-2</v>
      </c>
      <c r="BH30" s="117">
        <v>3.9460291079432053E-2</v>
      </c>
      <c r="BI30" s="117">
        <v>3.4991734407037456E-2</v>
      </c>
      <c r="BJ30" s="117">
        <v>3.775775996301578E-2</v>
      </c>
      <c r="BK30" s="117">
        <v>3.7771669357813217E-2</v>
      </c>
      <c r="BL30" s="117">
        <v>3.8341709683661955E-2</v>
      </c>
      <c r="BM30" s="117">
        <v>3.788578685370201E-2</v>
      </c>
      <c r="BN30" s="117">
        <v>3.8169479707078784E-2</v>
      </c>
      <c r="BO30" s="117">
        <v>3.7148344242161208E-2</v>
      </c>
      <c r="BP30" s="117">
        <v>3.9280038054322994E-2</v>
      </c>
      <c r="BQ30" s="117">
        <v>4.1800176778079651E-2</v>
      </c>
      <c r="BR30" s="117">
        <v>3.5941442530584261E-2</v>
      </c>
      <c r="BS30" s="117">
        <v>3.6215973210040435E-2</v>
      </c>
      <c r="BT30" s="117">
        <v>3.9797236136394236E-2</v>
      </c>
      <c r="BU30" s="117">
        <v>4.1175410761992146E-2</v>
      </c>
      <c r="BV30" s="117">
        <v>3.9269267093078167E-2</v>
      </c>
      <c r="BW30" s="117">
        <v>3.9906070260872992E-2</v>
      </c>
      <c r="BX30" s="117">
        <v>3.9713958637715707E-2</v>
      </c>
      <c r="BY30" s="117">
        <v>3.8834207565644208E-2</v>
      </c>
      <c r="BZ30" s="117">
        <v>3.8371550826138724E-2</v>
      </c>
      <c r="CA30" s="117">
        <v>3.7992749533537436E-2</v>
      </c>
      <c r="CB30" s="117">
        <v>3.9023726504251011E-2</v>
      </c>
      <c r="CC30" s="117">
        <v>4.1858567298997368E-2</v>
      </c>
      <c r="CD30" s="117">
        <v>4.099970615959566E-2</v>
      </c>
      <c r="CE30" s="117">
        <v>3.5241686213471055E-2</v>
      </c>
      <c r="CF30" s="117">
        <v>3.76205418459057E-2</v>
      </c>
      <c r="CG30" s="117">
        <v>3.9725508782341837E-2</v>
      </c>
      <c r="CH30" s="117">
        <v>3.8354574611126138E-2</v>
      </c>
      <c r="CI30" s="117">
        <v>4.1045520433743557E-2</v>
      </c>
      <c r="CJ30" s="117">
        <v>4.2312432316087098E-2</v>
      </c>
      <c r="CK30" s="117">
        <v>3.9763224100958276E-2</v>
      </c>
      <c r="CL30" s="117">
        <v>4.1056110044831277E-2</v>
      </c>
      <c r="CM30" s="117">
        <v>3.6915543903688439E-2</v>
      </c>
      <c r="CN30" s="117">
        <v>4.0301606522034641E-2</v>
      </c>
      <c r="CO30" s="117">
        <v>4.0197385951074943E-2</v>
      </c>
      <c r="CP30" s="117">
        <v>3.7072560214090493E-2</v>
      </c>
      <c r="CQ30" s="117">
        <v>3.9961239677688803E-2</v>
      </c>
      <c r="CR30" s="117">
        <v>3.6750457069039198E-2</v>
      </c>
      <c r="CS30" s="117">
        <v>3.7629863548061061E-2</v>
      </c>
      <c r="CT30" s="117">
        <v>3.8602104315813075E-2</v>
      </c>
      <c r="CU30" s="117">
        <v>3.6372408213907401E-2</v>
      </c>
      <c r="CV30" s="117">
        <v>4.1559853453519272E-2</v>
      </c>
      <c r="CW30" s="117">
        <v>4.1954329928764807E-2</v>
      </c>
      <c r="CX30" s="117">
        <v>4.0957676598343436E-2</v>
      </c>
    </row>
    <row r="31" spans="1:102" s="115" customFormat="1">
      <c r="A31" s="252" t="str">
        <f t="shared" si="0"/>
        <v>High Yield</v>
      </c>
      <c r="B31" s="253"/>
      <c r="C31" s="117">
        <v>5.359278329995501E-2</v>
      </c>
      <c r="D31" s="117">
        <v>5.2216269797203653E-2</v>
      </c>
      <c r="E31" s="117">
        <v>5.2722705121637417E-2</v>
      </c>
      <c r="F31" s="117">
        <v>4.5140484678383719E-2</v>
      </c>
      <c r="G31" s="117">
        <v>4.8907463506586223E-2</v>
      </c>
      <c r="H31" s="117">
        <v>5.4751352249227475E-2</v>
      </c>
      <c r="I31" s="117">
        <v>4.9591652910324233E-2</v>
      </c>
      <c r="J31" s="117">
        <v>5.1494041660762227E-2</v>
      </c>
      <c r="K31" s="117">
        <v>5.1053360854011791E-2</v>
      </c>
      <c r="L31" s="117">
        <v>5.1066753393194289E-2</v>
      </c>
      <c r="M31" s="117">
        <v>4.9615945239980176E-2</v>
      </c>
      <c r="N31" s="117">
        <v>4.5877931991786393E-2</v>
      </c>
      <c r="O31" s="117">
        <v>5.0274381056634419E-2</v>
      </c>
      <c r="P31" s="117">
        <v>5.2002332801160983E-2</v>
      </c>
      <c r="Q31" s="117">
        <v>4.8345861085925299E-2</v>
      </c>
      <c r="R31" s="117">
        <v>5.24968932316731E-2</v>
      </c>
      <c r="S31" s="117">
        <v>4.8563284572004192E-2</v>
      </c>
      <c r="T31" s="117">
        <v>4.821081779733391E-2</v>
      </c>
      <c r="U31" s="117">
        <v>4.8300207014526461E-2</v>
      </c>
      <c r="V31" s="117">
        <v>4.8778002441674906E-2</v>
      </c>
      <c r="W31" s="117">
        <v>5.4799807764249836E-2</v>
      </c>
      <c r="X31" s="117">
        <v>4.6340193853457265E-2</v>
      </c>
      <c r="Y31" s="117">
        <v>5.6096287277120599E-2</v>
      </c>
      <c r="Z31" s="117">
        <v>4.4999348241192179E-2</v>
      </c>
      <c r="AA31" s="117">
        <v>5.0597068313357987E-2</v>
      </c>
      <c r="AB31" s="117">
        <v>4.9196648785323233E-2</v>
      </c>
      <c r="AC31" s="117">
        <v>5.3340426790997653E-2</v>
      </c>
      <c r="AD31" s="117">
        <v>5.2944226031592337E-2</v>
      </c>
      <c r="AE31" s="117">
        <v>5.1162302441264185E-2</v>
      </c>
      <c r="AF31" s="117">
        <v>4.6511172763200007E-2</v>
      </c>
      <c r="AG31" s="117">
        <v>5.1660602909269326E-2</v>
      </c>
      <c r="AH31" s="117">
        <v>5.4462998987735586E-2</v>
      </c>
      <c r="AI31" s="117">
        <v>5.0225105428306049E-2</v>
      </c>
      <c r="AJ31" s="117">
        <v>5.0870986073115659E-2</v>
      </c>
      <c r="AK31" s="117">
        <v>5.0817052069295862E-2</v>
      </c>
      <c r="AL31" s="117">
        <v>4.5267953280494065E-2</v>
      </c>
      <c r="AM31" s="117">
        <v>4.5292875406076349E-2</v>
      </c>
      <c r="AN31" s="117">
        <v>4.9289314894615847E-2</v>
      </c>
      <c r="AO31" s="117">
        <v>5.5805922137952421E-2</v>
      </c>
      <c r="AP31" s="117">
        <v>5.247046572645267E-2</v>
      </c>
      <c r="AQ31" s="117">
        <v>5.1459876898832795E-2</v>
      </c>
      <c r="AR31" s="117">
        <v>5.659636539509523E-2</v>
      </c>
      <c r="AS31" s="117">
        <v>4.7811441970562779E-2</v>
      </c>
      <c r="AT31" s="117">
        <v>5.3239013038792332E-2</v>
      </c>
      <c r="AU31" s="117">
        <v>5.0717433648175422E-2</v>
      </c>
      <c r="AV31" s="117">
        <v>5.270355258995553E-2</v>
      </c>
      <c r="AW31" s="117">
        <v>5.2288006478944757E-2</v>
      </c>
      <c r="AX31" s="117">
        <v>5.0791145086806627E-2</v>
      </c>
      <c r="AY31" s="117">
        <v>5.2595620731809588E-2</v>
      </c>
      <c r="AZ31" s="117">
        <v>5.3679760850226632E-2</v>
      </c>
      <c r="BA31" s="117">
        <v>5.223693747797805E-2</v>
      </c>
      <c r="BB31" s="117">
        <v>5.4627285938729273E-2</v>
      </c>
      <c r="BC31" s="117">
        <v>5.0266362839201523E-2</v>
      </c>
      <c r="BD31" s="117">
        <v>5.4821191732230039E-2</v>
      </c>
      <c r="BE31" s="117">
        <v>5.3296293596572397E-2</v>
      </c>
      <c r="BF31" s="117">
        <v>5.6807787068980695E-2</v>
      </c>
      <c r="BG31" s="117">
        <v>5.1683509862377033E-2</v>
      </c>
      <c r="BH31" s="117">
        <v>5.528150623169157E-2</v>
      </c>
      <c r="BI31" s="117">
        <v>5.287731281417217E-2</v>
      </c>
      <c r="BJ31" s="117">
        <v>5.18357641604172E-2</v>
      </c>
      <c r="BK31" s="117">
        <v>4.9434485334147543E-2</v>
      </c>
      <c r="BL31" s="117">
        <v>5.2786742629795609E-2</v>
      </c>
      <c r="BM31" s="117">
        <v>5.1196919128316011E-2</v>
      </c>
      <c r="BN31" s="117">
        <v>5.5113622172693597E-2</v>
      </c>
      <c r="BO31" s="117">
        <v>5.2177943487513312E-2</v>
      </c>
      <c r="BP31" s="117">
        <v>5.3130325670053803E-2</v>
      </c>
      <c r="BQ31" s="117">
        <v>5.1009689520561147E-2</v>
      </c>
      <c r="BR31" s="117">
        <v>5.1168538411055772E-2</v>
      </c>
      <c r="BS31" s="117">
        <v>5.307544066435782E-2</v>
      </c>
      <c r="BT31" s="117">
        <v>4.9706014295522093E-2</v>
      </c>
      <c r="BU31" s="117">
        <v>4.6522828815839953E-2</v>
      </c>
      <c r="BV31" s="117">
        <v>5.3352821118863608E-2</v>
      </c>
      <c r="BW31" s="117">
        <v>5.0133705965054121E-2</v>
      </c>
      <c r="BX31" s="117">
        <v>5.1028444322101255E-2</v>
      </c>
      <c r="BY31" s="117">
        <v>5.0135346189518856E-2</v>
      </c>
      <c r="BZ31" s="117">
        <v>4.5381498267787007E-2</v>
      </c>
      <c r="CA31" s="117">
        <v>5.2724461288184081E-2</v>
      </c>
      <c r="CB31" s="117">
        <v>5.4365800318282323E-2</v>
      </c>
      <c r="CC31" s="117">
        <v>4.8643107774780509E-2</v>
      </c>
      <c r="CD31" s="117">
        <v>5.6465769095832119E-2</v>
      </c>
      <c r="CE31" s="117">
        <v>5.2161306319543105E-2</v>
      </c>
      <c r="CF31" s="117">
        <v>5.3885821253588158E-2</v>
      </c>
      <c r="CG31" s="117">
        <v>5.618732723340332E-2</v>
      </c>
      <c r="CH31" s="117">
        <v>5.324373073492604E-2</v>
      </c>
      <c r="CI31" s="117">
        <v>5.0502996097800554E-2</v>
      </c>
      <c r="CJ31" s="117">
        <v>5.7578607322730832E-2</v>
      </c>
      <c r="CK31" s="117">
        <v>5.3070416153955663E-2</v>
      </c>
      <c r="CL31" s="117">
        <v>5.5130503006533688E-2</v>
      </c>
      <c r="CM31" s="117">
        <v>5.4272503985569369E-2</v>
      </c>
      <c r="CN31" s="117">
        <v>5.1322974811365912E-2</v>
      </c>
      <c r="CO31" s="117">
        <v>5.6977413084414001E-2</v>
      </c>
      <c r="CP31" s="117">
        <v>5.4494538377831865E-2</v>
      </c>
      <c r="CQ31" s="117">
        <v>5.333653076801359E-2</v>
      </c>
      <c r="CR31" s="117">
        <v>5.3830382313922141E-2</v>
      </c>
      <c r="CS31" s="117">
        <v>5.2335658228366819E-2</v>
      </c>
      <c r="CT31" s="117">
        <v>5.1033627108191704E-2</v>
      </c>
      <c r="CU31" s="117">
        <v>5.453326562013662E-2</v>
      </c>
      <c r="CV31" s="117">
        <v>4.5577176143140392E-2</v>
      </c>
      <c r="CW31" s="117">
        <v>5.1274893982809377E-2</v>
      </c>
      <c r="CX31" s="117">
        <v>5.2612777233034168E-2</v>
      </c>
    </row>
    <row r="32" spans="1:102" s="115" customFormat="1">
      <c r="A32" s="252" t="str">
        <f t="shared" si="0"/>
        <v>Emerging market debt</v>
      </c>
      <c r="B32" s="253"/>
      <c r="C32" s="117">
        <v>5.1056591935593185E-2</v>
      </c>
      <c r="D32" s="117">
        <v>5.4664897869710904E-2</v>
      </c>
      <c r="E32" s="117">
        <v>5.3201112832220836E-2</v>
      </c>
      <c r="F32" s="117">
        <v>5.2271708629750141E-2</v>
      </c>
      <c r="G32" s="117">
        <v>5.266381876318478E-2</v>
      </c>
      <c r="H32" s="117">
        <v>5.4196901685587925E-2</v>
      </c>
      <c r="I32" s="117">
        <v>5.2494557592907665E-2</v>
      </c>
      <c r="J32" s="117">
        <v>5.3197156016994096E-2</v>
      </c>
      <c r="K32" s="117">
        <v>5.3313425053074369E-2</v>
      </c>
      <c r="L32" s="117">
        <v>5.4935961612816671E-2</v>
      </c>
      <c r="M32" s="117">
        <v>5.1466283861054993E-2</v>
      </c>
      <c r="N32" s="117">
        <v>5.097621897105125E-2</v>
      </c>
      <c r="O32" s="117">
        <v>5.2300916994243253E-2</v>
      </c>
      <c r="P32" s="117">
        <v>5.4019664987821063E-2</v>
      </c>
      <c r="Q32" s="117">
        <v>4.8883697385371572E-2</v>
      </c>
      <c r="R32" s="117">
        <v>5.143628453902184E-2</v>
      </c>
      <c r="S32" s="117">
        <v>5.2836992638026409E-2</v>
      </c>
      <c r="T32" s="117">
        <v>5.3377823951670983E-2</v>
      </c>
      <c r="U32" s="117">
        <v>5.4429256326732442E-2</v>
      </c>
      <c r="V32" s="117">
        <v>5.5636469243302497E-2</v>
      </c>
      <c r="W32" s="117">
        <v>5.3861103934946794E-2</v>
      </c>
      <c r="X32" s="117">
        <v>5.5651111670188227E-2</v>
      </c>
      <c r="Y32" s="117">
        <v>5.4600417556815023E-2</v>
      </c>
      <c r="Z32" s="117">
        <v>5.3662972338750128E-2</v>
      </c>
      <c r="AA32" s="117">
        <v>5.0647593525578044E-2</v>
      </c>
      <c r="AB32" s="117">
        <v>5.4273189514241135E-2</v>
      </c>
      <c r="AC32" s="117">
        <v>5.4477412074607275E-2</v>
      </c>
      <c r="AD32" s="117">
        <v>5.2084799185870348E-2</v>
      </c>
      <c r="AE32" s="117">
        <v>4.9907127847635582E-2</v>
      </c>
      <c r="AF32" s="117">
        <v>5.4278812025198006E-2</v>
      </c>
      <c r="AG32" s="117">
        <v>5.500221713094447E-2</v>
      </c>
      <c r="AH32" s="117">
        <v>5.0684704541915482E-2</v>
      </c>
      <c r="AI32" s="117">
        <v>5.2340513790638005E-2</v>
      </c>
      <c r="AJ32" s="117">
        <v>5.1833579762396442E-2</v>
      </c>
      <c r="AK32" s="117">
        <v>5.1672255241387882E-2</v>
      </c>
      <c r="AL32" s="117">
        <v>5.3653838922674654E-2</v>
      </c>
      <c r="AM32" s="117">
        <v>5.1432937389065209E-2</v>
      </c>
      <c r="AN32" s="117">
        <v>5.7272925931522015E-2</v>
      </c>
      <c r="AO32" s="117">
        <v>5.6182080195523079E-2</v>
      </c>
      <c r="AP32" s="117">
        <v>5.8142540348818557E-2</v>
      </c>
      <c r="AQ32" s="117">
        <v>5.2475360347397179E-2</v>
      </c>
      <c r="AR32" s="117">
        <v>5.3853442415029623E-2</v>
      </c>
      <c r="AS32" s="117">
        <v>5.4357438840054187E-2</v>
      </c>
      <c r="AT32" s="117">
        <v>5.0669969701451309E-2</v>
      </c>
      <c r="AU32" s="117">
        <v>5.5374014920716086E-2</v>
      </c>
      <c r="AV32" s="117">
        <v>5.4982375040240505E-2</v>
      </c>
      <c r="AW32" s="117">
        <v>5.1519415474757142E-2</v>
      </c>
      <c r="AX32" s="117">
        <v>5.460456606010726E-2</v>
      </c>
      <c r="AY32" s="117">
        <v>5.4654339269627109E-2</v>
      </c>
      <c r="AZ32" s="117">
        <v>5.2300554225096899E-2</v>
      </c>
      <c r="BA32" s="117">
        <v>5.6573040911770789E-2</v>
      </c>
      <c r="BB32" s="117">
        <v>5.1032810250827731E-2</v>
      </c>
      <c r="BC32" s="117">
        <v>5.6076045750448805E-2</v>
      </c>
      <c r="BD32" s="117">
        <v>5.4981299865083225E-2</v>
      </c>
      <c r="BE32" s="117">
        <v>5.3552807736814312E-2</v>
      </c>
      <c r="BF32" s="117">
        <v>5.3082008989610241E-2</v>
      </c>
      <c r="BG32" s="117">
        <v>5.3807107588248047E-2</v>
      </c>
      <c r="BH32" s="117">
        <v>5.3446317999641849E-2</v>
      </c>
      <c r="BI32" s="117">
        <v>5.2884589374301301E-2</v>
      </c>
      <c r="BJ32" s="117">
        <v>5.3085139076271742E-2</v>
      </c>
      <c r="BK32" s="117">
        <v>5.2675974544204432E-2</v>
      </c>
      <c r="BL32" s="117">
        <v>5.0529847882667553E-2</v>
      </c>
      <c r="BM32" s="117">
        <v>5.3434593372072049E-2</v>
      </c>
      <c r="BN32" s="117">
        <v>5.4809164145486214E-2</v>
      </c>
      <c r="BO32" s="117">
        <v>5.6692970136717279E-2</v>
      </c>
      <c r="BP32" s="117">
        <v>5.4090211581415124E-2</v>
      </c>
      <c r="BQ32" s="117">
        <v>5.7165890000137283E-2</v>
      </c>
      <c r="BR32" s="117">
        <v>4.9525861237159505E-2</v>
      </c>
      <c r="BS32" s="117">
        <v>5.1488079343753906E-2</v>
      </c>
      <c r="BT32" s="117">
        <v>5.5224676230146014E-2</v>
      </c>
      <c r="BU32" s="117">
        <v>5.4075286109326298E-2</v>
      </c>
      <c r="BV32" s="117">
        <v>5.8250704632845152E-2</v>
      </c>
      <c r="BW32" s="117">
        <v>5.748706556669464E-2</v>
      </c>
      <c r="BX32" s="117">
        <v>5.215195438693699E-2</v>
      </c>
      <c r="BY32" s="117">
        <v>5.2605537703405168E-2</v>
      </c>
      <c r="BZ32" s="117">
        <v>5.5883465572713745E-2</v>
      </c>
      <c r="CA32" s="117">
        <v>5.2441893331003728E-2</v>
      </c>
      <c r="CB32" s="117">
        <v>5.9046641153305893E-2</v>
      </c>
      <c r="CC32" s="117">
        <v>5.5458537006376277E-2</v>
      </c>
      <c r="CD32" s="117">
        <v>5.3493175810188823E-2</v>
      </c>
      <c r="CE32" s="117">
        <v>4.876324883977947E-2</v>
      </c>
      <c r="CF32" s="117">
        <v>4.9986047408952947E-2</v>
      </c>
      <c r="CG32" s="117">
        <v>5.3510780085277793E-2</v>
      </c>
      <c r="CH32" s="117">
        <v>5.3501033930913725E-2</v>
      </c>
      <c r="CI32" s="117">
        <v>5.679347469144834E-2</v>
      </c>
      <c r="CJ32" s="117">
        <v>5.7441696370545511E-2</v>
      </c>
      <c r="CK32" s="117">
        <v>5.4867132706010124E-2</v>
      </c>
      <c r="CL32" s="117">
        <v>5.6012488876477702E-2</v>
      </c>
      <c r="CM32" s="117">
        <v>5.3762995223046561E-2</v>
      </c>
      <c r="CN32" s="117">
        <v>5.1600771405318289E-2</v>
      </c>
      <c r="CO32" s="117">
        <v>5.3273230119678466E-2</v>
      </c>
      <c r="CP32" s="117">
        <v>5.1429542335313175E-2</v>
      </c>
      <c r="CQ32" s="117">
        <v>5.8816172732709796E-2</v>
      </c>
      <c r="CR32" s="117">
        <v>5.5454750088131749E-2</v>
      </c>
      <c r="CS32" s="117">
        <v>5.0390447231861368E-2</v>
      </c>
      <c r="CT32" s="117">
        <v>5.1944395452050589E-2</v>
      </c>
      <c r="CU32" s="117">
        <v>5.1223103656460239E-2</v>
      </c>
      <c r="CV32" s="117">
        <v>5.5282896571461695E-2</v>
      </c>
      <c r="CW32" s="117">
        <v>5.5096767163775484E-2</v>
      </c>
      <c r="CX32" s="117">
        <v>5.4019185373481521E-2</v>
      </c>
    </row>
    <row r="33" spans="1:102" s="115" customFormat="1">
      <c r="A33" s="252" t="str">
        <f t="shared" si="0"/>
        <v>Aandelen ontwikkeld</v>
      </c>
      <c r="B33" s="253"/>
      <c r="C33" s="117">
        <v>5.4750304653406148E-2</v>
      </c>
      <c r="D33" s="117">
        <v>5.5833270331717325E-2</v>
      </c>
      <c r="E33" s="117">
        <v>5.8530384279412859E-2</v>
      </c>
      <c r="F33" s="117">
        <v>5.5267630110393165E-2</v>
      </c>
      <c r="G33" s="117">
        <v>6.1612421222245452E-2</v>
      </c>
      <c r="H33" s="117">
        <v>5.774182382173336E-2</v>
      </c>
      <c r="I33" s="117">
        <v>6.1550657783812746E-2</v>
      </c>
      <c r="J33" s="117">
        <v>6.1443782369682814E-2</v>
      </c>
      <c r="K33" s="117">
        <v>6.3663686351760312E-2</v>
      </c>
      <c r="L33" s="117">
        <v>5.6672146863327486E-2</v>
      </c>
      <c r="M33" s="117">
        <v>6.0365789178905144E-2</v>
      </c>
      <c r="N33" s="117">
        <v>5.0663408421743154E-2</v>
      </c>
      <c r="O33" s="117">
        <v>5.5654549247846422E-2</v>
      </c>
      <c r="P33" s="117">
        <v>5.4520482752493049E-2</v>
      </c>
      <c r="Q33" s="117">
        <v>6.387780637570846E-2</v>
      </c>
      <c r="R33" s="117">
        <v>6.2818197675359344E-2</v>
      </c>
      <c r="S33" s="117">
        <v>5.2375657718851047E-2</v>
      </c>
      <c r="T33" s="117">
        <v>5.7402777499281833E-2</v>
      </c>
      <c r="U33" s="117">
        <v>5.9030773435717387E-2</v>
      </c>
      <c r="V33" s="117">
        <v>5.7745408577032309E-2</v>
      </c>
      <c r="W33" s="117">
        <v>6.0828568544788797E-2</v>
      </c>
      <c r="X33" s="117">
        <v>5.4440774188320003E-2</v>
      </c>
      <c r="Y33" s="117">
        <v>5.8772539032788701E-2</v>
      </c>
      <c r="Z33" s="117">
        <v>5.521903534013247E-2</v>
      </c>
      <c r="AA33" s="117">
        <v>6.4637858418954669E-2</v>
      </c>
      <c r="AB33" s="117">
        <v>5.2444814676972415E-2</v>
      </c>
      <c r="AC33" s="117">
        <v>6.0787828422312173E-2</v>
      </c>
      <c r="AD33" s="117">
        <v>5.8834244947539679E-2</v>
      </c>
      <c r="AE33" s="117">
        <v>6.0190209348349163E-2</v>
      </c>
      <c r="AF33" s="117">
        <v>5.693133770277263E-2</v>
      </c>
      <c r="AG33" s="117">
        <v>5.8677589142503372E-2</v>
      </c>
      <c r="AH33" s="117">
        <v>6.5345089144519766E-2</v>
      </c>
      <c r="AI33" s="117">
        <v>6.0667469640071359E-2</v>
      </c>
      <c r="AJ33" s="117">
        <v>6.1133182023403135E-2</v>
      </c>
      <c r="AK33" s="117">
        <v>6.0009434069241072E-2</v>
      </c>
      <c r="AL33" s="117">
        <v>5.5981960626670907E-2</v>
      </c>
      <c r="AM33" s="117">
        <v>5.2718426109326935E-2</v>
      </c>
      <c r="AN33" s="117">
        <v>5.8048162286045799E-2</v>
      </c>
      <c r="AO33" s="117">
        <v>5.7148190399017473E-2</v>
      </c>
      <c r="AP33" s="117">
        <v>5.565527813786033E-2</v>
      </c>
      <c r="AQ33" s="117">
        <v>5.8750708062501787E-2</v>
      </c>
      <c r="AR33" s="117">
        <v>5.93856770167175E-2</v>
      </c>
      <c r="AS33" s="117">
        <v>5.80699974952672E-2</v>
      </c>
      <c r="AT33" s="117">
        <v>6.3502694194535136E-2</v>
      </c>
      <c r="AU33" s="117">
        <v>5.6543009918566964E-2</v>
      </c>
      <c r="AV33" s="117">
        <v>5.6584813766056494E-2</v>
      </c>
      <c r="AW33" s="117">
        <v>6.4749190410802612E-2</v>
      </c>
      <c r="AX33" s="117">
        <v>5.4422318358971981E-2</v>
      </c>
      <c r="AY33" s="117">
        <v>6.0247255776237948E-2</v>
      </c>
      <c r="AZ33" s="117">
        <v>6.3148101903896692E-2</v>
      </c>
      <c r="BA33" s="117">
        <v>5.4251753213635262E-2</v>
      </c>
      <c r="BB33" s="117">
        <v>5.5850139922813152E-2</v>
      </c>
      <c r="BC33" s="117">
        <v>5.248134587975152E-2</v>
      </c>
      <c r="BD33" s="117">
        <v>5.8854709780517878E-2</v>
      </c>
      <c r="BE33" s="117">
        <v>6.1467170529766489E-2</v>
      </c>
      <c r="BF33" s="117">
        <v>6.5490696685519142E-2</v>
      </c>
      <c r="BG33" s="117">
        <v>5.9418130715844092E-2</v>
      </c>
      <c r="BH33" s="117">
        <v>6.0482229020886943E-2</v>
      </c>
      <c r="BI33" s="117">
        <v>6.3610412362809093E-2</v>
      </c>
      <c r="BJ33" s="117">
        <v>6.5913992053317355E-2</v>
      </c>
      <c r="BK33" s="117">
        <v>6.5326892189068592E-2</v>
      </c>
      <c r="BL33" s="117">
        <v>6.2201836781509576E-2</v>
      </c>
      <c r="BM33" s="117">
        <v>6.2550619246292558E-2</v>
      </c>
      <c r="BN33" s="117">
        <v>6.1401075346352377E-2</v>
      </c>
      <c r="BO33" s="117">
        <v>5.832314525423378E-2</v>
      </c>
      <c r="BP33" s="117">
        <v>6.3665916414416185E-2</v>
      </c>
      <c r="BQ33" s="117">
        <v>5.5628582863790389E-2</v>
      </c>
      <c r="BR33" s="117">
        <v>6.6043373579445619E-2</v>
      </c>
      <c r="BS33" s="117">
        <v>6.4683921154413307E-2</v>
      </c>
      <c r="BT33" s="117">
        <v>5.6801109312368127E-2</v>
      </c>
      <c r="BU33" s="117">
        <v>5.309207885024067E-2</v>
      </c>
      <c r="BV33" s="117">
        <v>5.7145627392992004E-2</v>
      </c>
      <c r="BW33" s="117">
        <v>5.3645229591888777E-2</v>
      </c>
      <c r="BX33" s="117">
        <v>5.5466098686988236E-2</v>
      </c>
      <c r="BY33" s="117">
        <v>6.1748771771523908E-2</v>
      </c>
      <c r="BZ33" s="117">
        <v>5.1655524064736814E-2</v>
      </c>
      <c r="CA33" s="117">
        <v>6.4155514512239512E-2</v>
      </c>
      <c r="CB33" s="117">
        <v>5.5654402888982116E-2</v>
      </c>
      <c r="CC33" s="117">
        <v>5.5146991399341191E-2</v>
      </c>
      <c r="CD33" s="117">
        <v>5.8202240998255356E-2</v>
      </c>
      <c r="CE33" s="117">
        <v>6.6004679903273661E-2</v>
      </c>
      <c r="CF33" s="117">
        <v>6.5057552738131047E-2</v>
      </c>
      <c r="CG33" s="117">
        <v>6.5641455431459231E-2</v>
      </c>
      <c r="CH33" s="117">
        <v>6.3363698966512838E-2</v>
      </c>
      <c r="CI33" s="117">
        <v>5.7306716593037675E-2</v>
      </c>
      <c r="CJ33" s="117">
        <v>6.1303440263418003E-2</v>
      </c>
      <c r="CK33" s="117">
        <v>6.3749247523524719E-2</v>
      </c>
      <c r="CL33" s="117">
        <v>6.5329244471398179E-2</v>
      </c>
      <c r="CM33" s="117">
        <v>6.0829353018486861E-2</v>
      </c>
      <c r="CN33" s="117">
        <v>5.8147772139265905E-2</v>
      </c>
      <c r="CO33" s="117">
        <v>6.2653163687605928E-2</v>
      </c>
      <c r="CP33" s="117">
        <v>6.7523415846299423E-2</v>
      </c>
      <c r="CQ33" s="117">
        <v>6.1329270834439988E-2</v>
      </c>
      <c r="CR33" s="117">
        <v>6.428261280666675E-2</v>
      </c>
      <c r="CS33" s="117">
        <v>6.1384610911181893E-2</v>
      </c>
      <c r="CT33" s="117">
        <v>6.2755271160587572E-2</v>
      </c>
      <c r="CU33" s="117">
        <v>6.5816313992503706E-2</v>
      </c>
      <c r="CV33" s="117">
        <v>5.2231065705566529E-2</v>
      </c>
      <c r="CW33" s="117">
        <v>5.6769619721473097E-2</v>
      </c>
      <c r="CX33" s="117">
        <v>5.9911611878092741E-2</v>
      </c>
    </row>
    <row r="34" spans="1:102" s="115" customFormat="1">
      <c r="A34" s="252" t="str">
        <f t="shared" si="0"/>
        <v>Aandelen opkomend</v>
      </c>
      <c r="B34" s="253"/>
      <c r="C34" s="117">
        <v>7.4905376879623592E-2</v>
      </c>
      <c r="D34" s="117">
        <v>7.8399099576616949E-2</v>
      </c>
      <c r="E34" s="117">
        <v>8.1199318086801336E-2</v>
      </c>
      <c r="F34" s="117">
        <v>6.9884497690801309E-2</v>
      </c>
      <c r="G34" s="117">
        <v>7.877492092838223E-2</v>
      </c>
      <c r="H34" s="117">
        <v>8.078281578510739E-2</v>
      </c>
      <c r="I34" s="117">
        <v>8.5640910432673079E-2</v>
      </c>
      <c r="J34" s="117">
        <v>8.0258633287140169E-2</v>
      </c>
      <c r="K34" s="117">
        <v>8.4801000106443619E-2</v>
      </c>
      <c r="L34" s="117">
        <v>8.1338463417203494E-2</v>
      </c>
      <c r="M34" s="117">
        <v>8.3349719708425918E-2</v>
      </c>
      <c r="N34" s="117">
        <v>6.3979418718237688E-2</v>
      </c>
      <c r="O34" s="117">
        <v>7.6447733101207421E-2</v>
      </c>
      <c r="P34" s="117">
        <v>7.5908500481199542E-2</v>
      </c>
      <c r="Q34" s="117">
        <v>7.9785580764604805E-2</v>
      </c>
      <c r="R34" s="117">
        <v>8.2002383709399565E-2</v>
      </c>
      <c r="S34" s="117">
        <v>6.881676257616022E-2</v>
      </c>
      <c r="T34" s="117">
        <v>7.8401597726166783E-2</v>
      </c>
      <c r="U34" s="117">
        <v>7.7309827490269295E-2</v>
      </c>
      <c r="V34" s="117">
        <v>7.7248878747909699E-2</v>
      </c>
      <c r="W34" s="117">
        <v>8.3585806582737551E-2</v>
      </c>
      <c r="X34" s="117">
        <v>7.1518522588233199E-2</v>
      </c>
      <c r="Y34" s="117">
        <v>8.2152730907231825E-2</v>
      </c>
      <c r="Z34" s="117">
        <v>6.99208766168921E-2</v>
      </c>
      <c r="AA34" s="117">
        <v>8.8187512970739387E-2</v>
      </c>
      <c r="AB34" s="117">
        <v>7.4177551429047139E-2</v>
      </c>
      <c r="AC34" s="117">
        <v>8.6106499899998315E-2</v>
      </c>
      <c r="AD34" s="117">
        <v>8.6764436490528646E-2</v>
      </c>
      <c r="AE34" s="117">
        <v>9.3216331265060987E-2</v>
      </c>
      <c r="AF34" s="117">
        <v>7.3477134279252621E-2</v>
      </c>
      <c r="AG34" s="117">
        <v>8.0158322655883685E-2</v>
      </c>
      <c r="AH34" s="117">
        <v>9.0673980912090835E-2</v>
      </c>
      <c r="AI34" s="117">
        <v>8.5442449809211896E-2</v>
      </c>
      <c r="AJ34" s="117">
        <v>8.8013541762377842E-2</v>
      </c>
      <c r="AK34" s="117">
        <v>8.0160126459330863E-2</v>
      </c>
      <c r="AL34" s="117">
        <v>7.0793479860205621E-2</v>
      </c>
      <c r="AM34" s="117">
        <v>6.7991002688592442E-2</v>
      </c>
      <c r="AN34" s="117">
        <v>7.7010340413583012E-2</v>
      </c>
      <c r="AO34" s="117">
        <v>8.3968000881162019E-2</v>
      </c>
      <c r="AP34" s="117">
        <v>7.9716446896989673E-2</v>
      </c>
      <c r="AQ34" s="117">
        <v>9.0266392771332957E-2</v>
      </c>
      <c r="AR34" s="117">
        <v>8.2637530604860468E-2</v>
      </c>
      <c r="AS34" s="117">
        <v>7.4862902333088621E-2</v>
      </c>
      <c r="AT34" s="117">
        <v>8.381463524216673E-2</v>
      </c>
      <c r="AU34" s="117">
        <v>8.5372070763717597E-2</v>
      </c>
      <c r="AV34" s="117">
        <v>8.1242988012597328E-2</v>
      </c>
      <c r="AW34" s="117">
        <v>9.1245375546927576E-2</v>
      </c>
      <c r="AX34" s="117">
        <v>7.4698274237816109E-2</v>
      </c>
      <c r="AY34" s="117">
        <v>9.0170569836389741E-2</v>
      </c>
      <c r="AZ34" s="117">
        <v>8.4141989327841574E-2</v>
      </c>
      <c r="BA34" s="117">
        <v>7.6076611520239867E-2</v>
      </c>
      <c r="BB34" s="117">
        <v>7.8178670833377706E-2</v>
      </c>
      <c r="BC34" s="117">
        <v>7.3482581245292333E-2</v>
      </c>
      <c r="BD34" s="117">
        <v>9.0190464570716417E-2</v>
      </c>
      <c r="BE34" s="117">
        <v>9.4955238335721823E-2</v>
      </c>
      <c r="BF34" s="117">
        <v>8.988933967024175E-2</v>
      </c>
      <c r="BG34" s="117">
        <v>8.0390097075117573E-2</v>
      </c>
      <c r="BH34" s="117">
        <v>8.3530866110795771E-2</v>
      </c>
      <c r="BI34" s="117">
        <v>9.2109897439697663E-2</v>
      </c>
      <c r="BJ34" s="117">
        <v>8.9567670523733878E-2</v>
      </c>
      <c r="BK34" s="117">
        <v>8.2471125374153936E-2</v>
      </c>
      <c r="BL34" s="117">
        <v>8.4176910491572637E-2</v>
      </c>
      <c r="BM34" s="117">
        <v>8.4841304946428248E-2</v>
      </c>
      <c r="BN34" s="117">
        <v>8.5442413393372774E-2</v>
      </c>
      <c r="BO34" s="117">
        <v>8.8648898265884873E-2</v>
      </c>
      <c r="BP34" s="117">
        <v>9.1841632848589899E-2</v>
      </c>
      <c r="BQ34" s="117">
        <v>7.7285634101991685E-2</v>
      </c>
      <c r="BR34" s="117">
        <v>8.7997347719992389E-2</v>
      </c>
      <c r="BS34" s="117">
        <v>9.6347132805540081E-2</v>
      </c>
      <c r="BT34" s="117">
        <v>8.5468206394994334E-2</v>
      </c>
      <c r="BU34" s="117">
        <v>7.2728250703684424E-2</v>
      </c>
      <c r="BV34" s="117">
        <v>8.3561700307326819E-2</v>
      </c>
      <c r="BW34" s="117">
        <v>7.5093621144649236E-2</v>
      </c>
      <c r="BX34" s="117">
        <v>7.6732654022736768E-2</v>
      </c>
      <c r="BY34" s="117">
        <v>8.1379489377927952E-2</v>
      </c>
      <c r="BZ34" s="117">
        <v>6.7610038822676938E-2</v>
      </c>
      <c r="CA34" s="117">
        <v>9.5537745038459368E-2</v>
      </c>
      <c r="CB34" s="117">
        <v>7.9801172070175924E-2</v>
      </c>
      <c r="CC34" s="117">
        <v>7.4459783773194954E-2</v>
      </c>
      <c r="CD34" s="117">
        <v>8.1872472292526213E-2</v>
      </c>
      <c r="CE34" s="117">
        <v>9.3420729815386599E-2</v>
      </c>
      <c r="CF34" s="117">
        <v>8.607760926842023E-2</v>
      </c>
      <c r="CG34" s="117">
        <v>8.8338915511885566E-2</v>
      </c>
      <c r="CH34" s="117">
        <v>9.8620287644304527E-2</v>
      </c>
      <c r="CI34" s="117">
        <v>8.2401450929749431E-2</v>
      </c>
      <c r="CJ34" s="117">
        <v>8.7018559218591918E-2</v>
      </c>
      <c r="CK34" s="117">
        <v>9.235847641539599E-2</v>
      </c>
      <c r="CL34" s="117">
        <v>8.9049712001733353E-2</v>
      </c>
      <c r="CM34" s="117">
        <v>9.4645841219390972E-2</v>
      </c>
      <c r="CN34" s="117">
        <v>7.7013073160830697E-2</v>
      </c>
      <c r="CO34" s="117">
        <v>8.6709197696846638E-2</v>
      </c>
      <c r="CP34" s="117">
        <v>9.7214141031523135E-2</v>
      </c>
      <c r="CQ34" s="117">
        <v>8.5773068344133521E-2</v>
      </c>
      <c r="CR34" s="117">
        <v>9.324607651338801E-2</v>
      </c>
      <c r="CS34" s="117">
        <v>9.4440374268884894E-2</v>
      </c>
      <c r="CT34" s="117">
        <v>8.7173292654425416E-2</v>
      </c>
      <c r="CU34" s="117">
        <v>8.820063704813047E-2</v>
      </c>
      <c r="CV34" s="117">
        <v>6.9493452657370544E-2</v>
      </c>
      <c r="CW34" s="117">
        <v>7.5795540508524939E-2</v>
      </c>
      <c r="CX34" s="117">
        <v>7.9806750608214239E-2</v>
      </c>
    </row>
    <row r="35" spans="1:102" s="115" customFormat="1">
      <c r="A35" s="252" t="str">
        <f t="shared" si="0"/>
        <v>Hedge funds</v>
      </c>
      <c r="B35" s="253"/>
      <c r="C35" s="117">
        <v>4.9278693852195139E-2</v>
      </c>
      <c r="D35" s="117">
        <v>5.1978836825130395E-2</v>
      </c>
      <c r="E35" s="117">
        <v>5.0117044035505154E-2</v>
      </c>
      <c r="F35" s="117">
        <v>5.0887330709235457E-2</v>
      </c>
      <c r="G35" s="117">
        <v>5.0198531769398744E-2</v>
      </c>
      <c r="H35" s="117">
        <v>4.8501938547581766E-2</v>
      </c>
      <c r="I35" s="117">
        <v>5.0054454936224527E-2</v>
      </c>
      <c r="J35" s="117">
        <v>5.1738641110952374E-2</v>
      </c>
      <c r="K35" s="117">
        <v>4.9830484513860726E-2</v>
      </c>
      <c r="L35" s="117">
        <v>4.9906493484258074E-2</v>
      </c>
      <c r="M35" s="117">
        <v>5.0292083744513473E-2</v>
      </c>
      <c r="N35" s="117">
        <v>5.1450305636220328E-2</v>
      </c>
      <c r="O35" s="117">
        <v>5.1689007282059919E-2</v>
      </c>
      <c r="P35" s="117">
        <v>5.0806641936966976E-2</v>
      </c>
      <c r="Q35" s="117">
        <v>4.930065438953006E-2</v>
      </c>
      <c r="R35" s="117">
        <v>5.0394022211488212E-2</v>
      </c>
      <c r="S35" s="117">
        <v>5.1688739723808032E-2</v>
      </c>
      <c r="T35" s="117">
        <v>4.9926110191201856E-2</v>
      </c>
      <c r="U35" s="117">
        <v>5.057353875172034E-2</v>
      </c>
      <c r="V35" s="117">
        <v>5.018166372266239E-2</v>
      </c>
      <c r="W35" s="117">
        <v>5.019082475976569E-2</v>
      </c>
      <c r="X35" s="117">
        <v>5.1154416516747625E-2</v>
      </c>
      <c r="Y35" s="117">
        <v>5.2187318228286046E-2</v>
      </c>
      <c r="Z35" s="117">
        <v>5.2098486872097588E-2</v>
      </c>
      <c r="AA35" s="117">
        <v>4.9823486622040412E-2</v>
      </c>
      <c r="AB35" s="117">
        <v>4.9389549065943138E-2</v>
      </c>
      <c r="AC35" s="117">
        <v>5.0230793835386034E-2</v>
      </c>
      <c r="AD35" s="117">
        <v>4.8998202644363789E-2</v>
      </c>
      <c r="AE35" s="117">
        <v>4.7002253617484419E-2</v>
      </c>
      <c r="AF35" s="117">
        <v>5.1700927281672276E-2</v>
      </c>
      <c r="AG35" s="117">
        <v>5.0189868667434828E-2</v>
      </c>
      <c r="AH35" s="117">
        <v>4.7798542439410494E-2</v>
      </c>
      <c r="AI35" s="117">
        <v>4.9080569827631974E-2</v>
      </c>
      <c r="AJ35" s="117">
        <v>4.8150416926271519E-2</v>
      </c>
      <c r="AK35" s="117">
        <v>4.9100882674352718E-2</v>
      </c>
      <c r="AL35" s="117">
        <v>5.2596290866230078E-2</v>
      </c>
      <c r="AM35" s="117">
        <v>5.0972003878132235E-2</v>
      </c>
      <c r="AN35" s="117">
        <v>5.2228883706927957E-2</v>
      </c>
      <c r="AO35" s="117">
        <v>4.8817598309235405E-2</v>
      </c>
      <c r="AP35" s="117">
        <v>5.1796538977121206E-2</v>
      </c>
      <c r="AQ35" s="117">
        <v>4.7962503176802174E-2</v>
      </c>
      <c r="AR35" s="117">
        <v>5.1194638081031321E-2</v>
      </c>
      <c r="AS35" s="117">
        <v>5.2380389484894006E-2</v>
      </c>
      <c r="AT35" s="117">
        <v>4.8720952751276123E-2</v>
      </c>
      <c r="AU35" s="117">
        <v>4.8749467737480887E-2</v>
      </c>
      <c r="AV35" s="117">
        <v>5.0041023554369471E-2</v>
      </c>
      <c r="AW35" s="117">
        <v>4.7011772262782525E-2</v>
      </c>
      <c r="AX35" s="117">
        <v>5.1155813520328997E-2</v>
      </c>
      <c r="AY35" s="117">
        <v>5.0695569305106887E-2</v>
      </c>
      <c r="AZ35" s="117">
        <v>5.0011413177651107E-2</v>
      </c>
      <c r="BA35" s="117">
        <v>4.970622517204254E-2</v>
      </c>
      <c r="BB35" s="117">
        <v>4.9866149239806659E-2</v>
      </c>
      <c r="BC35" s="117">
        <v>5.034198606550358E-2</v>
      </c>
      <c r="BD35" s="117">
        <v>4.7480649252510741E-2</v>
      </c>
      <c r="BE35" s="117">
        <v>4.8510236016974476E-2</v>
      </c>
      <c r="BF35" s="117">
        <v>5.0293189583844412E-2</v>
      </c>
      <c r="BG35" s="117">
        <v>5.0884436145933583E-2</v>
      </c>
      <c r="BH35" s="117">
        <v>4.9736620976590179E-2</v>
      </c>
      <c r="BI35" s="117">
        <v>4.718145160602763E-2</v>
      </c>
      <c r="BJ35" s="117">
        <v>5.2257856974573386E-2</v>
      </c>
      <c r="BK35" s="117">
        <v>5.2314747984961565E-2</v>
      </c>
      <c r="BL35" s="117">
        <v>4.7683837475921254E-2</v>
      </c>
      <c r="BM35" s="117">
        <v>4.9837207798491566E-2</v>
      </c>
      <c r="BN35" s="117">
        <v>4.969840787799587E-2</v>
      </c>
      <c r="BO35" s="117">
        <v>4.9528183514675347E-2</v>
      </c>
      <c r="BP35" s="117">
        <v>5.2381211018065657E-2</v>
      </c>
      <c r="BQ35" s="117">
        <v>5.177936525570262E-2</v>
      </c>
      <c r="BR35" s="117">
        <v>4.8496420246241512E-2</v>
      </c>
      <c r="BS35" s="117">
        <v>4.7789283506781542E-2</v>
      </c>
      <c r="BT35" s="117">
        <v>4.9700360059226921E-2</v>
      </c>
      <c r="BU35" s="117">
        <v>5.2047521646525596E-2</v>
      </c>
      <c r="BV35" s="117">
        <v>5.1026110233909211E-2</v>
      </c>
      <c r="BW35" s="117">
        <v>5.0889827763428042E-2</v>
      </c>
      <c r="BX35" s="117">
        <v>5.0019854776004007E-2</v>
      </c>
      <c r="BY35" s="117">
        <v>5.2516001185056324E-2</v>
      </c>
      <c r="BZ35" s="117">
        <v>5.2418530531000318E-2</v>
      </c>
      <c r="CA35" s="117">
        <v>5.0297541658551173E-2</v>
      </c>
      <c r="CB35" s="117">
        <v>5.1242079259306912E-2</v>
      </c>
      <c r="CC35" s="117">
        <v>5.1399014324199598E-2</v>
      </c>
      <c r="CD35" s="117">
        <v>4.9727895008789998E-2</v>
      </c>
      <c r="CE35" s="117">
        <v>4.6366547707434168E-2</v>
      </c>
      <c r="CF35" s="117">
        <v>4.8832764473892898E-2</v>
      </c>
      <c r="CG35" s="117">
        <v>5.1630854543059768E-2</v>
      </c>
      <c r="CH35" s="117">
        <v>4.952056274968647E-2</v>
      </c>
      <c r="CI35" s="117">
        <v>5.290236453421715E-2</v>
      </c>
      <c r="CJ35" s="117">
        <v>5.302185463933265E-2</v>
      </c>
      <c r="CK35" s="117">
        <v>5.0713889854744523E-2</v>
      </c>
      <c r="CL35" s="117">
        <v>5.516364946869607E-2</v>
      </c>
      <c r="CM35" s="117">
        <v>4.7429170444340654E-2</v>
      </c>
      <c r="CN35" s="117">
        <v>5.1797187820755895E-2</v>
      </c>
      <c r="CO35" s="117">
        <v>5.0087585308052893E-2</v>
      </c>
      <c r="CP35" s="117">
        <v>4.9076090997852581E-2</v>
      </c>
      <c r="CQ35" s="117">
        <v>5.2494455112989294E-2</v>
      </c>
      <c r="CR35" s="117">
        <v>5.0143894725420982E-2</v>
      </c>
      <c r="CS35" s="117">
        <v>4.7721909384736534E-2</v>
      </c>
      <c r="CT35" s="117">
        <v>4.9582150380329149E-2</v>
      </c>
      <c r="CU35" s="117">
        <v>4.7826602128216142E-2</v>
      </c>
      <c r="CV35" s="117">
        <v>5.4051832749093448E-2</v>
      </c>
      <c r="CW35" s="117">
        <v>5.4912663841546978E-2</v>
      </c>
      <c r="CX35" s="117">
        <v>5.3158470149827358E-2</v>
      </c>
    </row>
    <row r="36" spans="1:102" s="115" customFormat="1">
      <c r="A36" s="252" t="str">
        <f t="shared" si="0"/>
        <v>Onroerend goed</v>
      </c>
      <c r="B36" s="253"/>
      <c r="C36" s="117">
        <v>4.1872702943194957E-2</v>
      </c>
      <c r="D36" s="117">
        <v>4.4432632565626393E-2</v>
      </c>
      <c r="E36" s="117">
        <v>4.2032510775890625E-2</v>
      </c>
      <c r="F36" s="117">
        <v>4.4873330810894146E-2</v>
      </c>
      <c r="G36" s="117">
        <v>4.2571752424770432E-2</v>
      </c>
      <c r="H36" s="117">
        <v>3.9537320146046689E-2</v>
      </c>
      <c r="I36" s="117">
        <v>4.2239082285602053E-2</v>
      </c>
      <c r="J36" s="117">
        <v>4.3810807262322976E-2</v>
      </c>
      <c r="K36" s="117">
        <v>4.1281483893341228E-2</v>
      </c>
      <c r="L36" s="117">
        <v>4.1965792215727757E-2</v>
      </c>
      <c r="M36" s="117">
        <v>4.2714360597516446E-2</v>
      </c>
      <c r="N36" s="117">
        <v>4.6179753899503143E-2</v>
      </c>
      <c r="O36" s="117">
        <v>4.4870084992769239E-2</v>
      </c>
      <c r="P36" s="117">
        <v>4.319714583556427E-2</v>
      </c>
      <c r="Q36" s="117">
        <v>4.2237241580709052E-2</v>
      </c>
      <c r="R36" s="117">
        <v>4.2184242247963244E-2</v>
      </c>
      <c r="S36" s="117">
        <v>4.5462965036909345E-2</v>
      </c>
      <c r="T36" s="117">
        <v>4.2523785580154481E-2</v>
      </c>
      <c r="U36" s="117">
        <v>4.2780176393312323E-2</v>
      </c>
      <c r="V36" s="117">
        <v>4.2092442605690575E-2</v>
      </c>
      <c r="W36" s="117">
        <v>4.106802952131372E-2</v>
      </c>
      <c r="X36" s="117">
        <v>4.4211722743975224E-2</v>
      </c>
      <c r="Y36" s="117">
        <v>4.3779565402838456E-2</v>
      </c>
      <c r="Z36" s="117">
        <v>4.6062173060391329E-2</v>
      </c>
      <c r="AA36" s="117">
        <v>4.1992111279557494E-2</v>
      </c>
      <c r="AB36" s="117">
        <v>4.2008165684289424E-2</v>
      </c>
      <c r="AC36" s="117">
        <v>4.1423770160520228E-2</v>
      </c>
      <c r="AD36" s="117">
        <v>4.0941675972247085E-2</v>
      </c>
      <c r="AE36" s="117">
        <v>3.9030935777277329E-2</v>
      </c>
      <c r="AF36" s="117">
        <v>4.4824642013111399E-2</v>
      </c>
      <c r="AG36" s="117">
        <v>4.1714762220718141E-2</v>
      </c>
      <c r="AH36" s="117">
        <v>3.862829137342122E-2</v>
      </c>
      <c r="AI36" s="117">
        <v>4.1000728140767023E-2</v>
      </c>
      <c r="AJ36" s="117">
        <v>3.9881130970653447E-2</v>
      </c>
      <c r="AK36" s="117">
        <v>4.1418597556071815E-2</v>
      </c>
      <c r="AL36" s="117">
        <v>4.6539666531371524E-2</v>
      </c>
      <c r="AM36" s="117">
        <v>4.5544684330295085E-2</v>
      </c>
      <c r="AN36" s="117">
        <v>4.4252821775952876E-2</v>
      </c>
      <c r="AO36" s="117">
        <v>3.9294223347941901E-2</v>
      </c>
      <c r="AP36" s="117">
        <v>4.3249638664510863E-2</v>
      </c>
      <c r="AQ36" s="117">
        <v>3.9774691085403074E-2</v>
      </c>
      <c r="AR36" s="117">
        <v>4.2389298843935469E-2</v>
      </c>
      <c r="AS36" s="117">
        <v>4.5118140660996106E-2</v>
      </c>
      <c r="AT36" s="117">
        <v>3.9938706743241535E-2</v>
      </c>
      <c r="AU36" s="117">
        <v>4.0312933155113154E-2</v>
      </c>
      <c r="AV36" s="117">
        <v>4.1624034710399264E-2</v>
      </c>
      <c r="AW36" s="117">
        <v>3.7817292353432293E-2</v>
      </c>
      <c r="AX36" s="117">
        <v>4.3496028684951837E-2</v>
      </c>
      <c r="AY36" s="117">
        <v>4.1879107070848111E-2</v>
      </c>
      <c r="AZ36" s="117">
        <v>4.1052246410384283E-2</v>
      </c>
      <c r="BA36" s="117">
        <v>4.1030360217693337E-2</v>
      </c>
      <c r="BB36" s="117">
        <v>4.2528889714225998E-2</v>
      </c>
      <c r="BC36" s="117">
        <v>4.2562060847668316E-2</v>
      </c>
      <c r="BD36" s="117">
        <v>3.7871621200071273E-2</v>
      </c>
      <c r="BE36" s="117">
        <v>3.9356934791022237E-2</v>
      </c>
      <c r="BF36" s="117">
        <v>4.0813629049690152E-2</v>
      </c>
      <c r="BG36" s="117">
        <v>4.3085420955069773E-2</v>
      </c>
      <c r="BH36" s="117">
        <v>4.0552557293627584E-2</v>
      </c>
      <c r="BI36" s="117">
        <v>3.7744664774694563E-2</v>
      </c>
      <c r="BJ36" s="117">
        <v>4.3950911789074142E-2</v>
      </c>
      <c r="BK36" s="117">
        <v>4.4584594841102193E-2</v>
      </c>
      <c r="BL36" s="117">
        <v>3.9266170302719602E-2</v>
      </c>
      <c r="BM36" s="117">
        <v>4.1394819928367514E-2</v>
      </c>
      <c r="BN36" s="117">
        <v>4.0192531142718313E-2</v>
      </c>
      <c r="BO36" s="117">
        <v>4.0444070960991667E-2</v>
      </c>
      <c r="BP36" s="117">
        <v>4.3774451849021227E-2</v>
      </c>
      <c r="BQ36" s="117">
        <v>4.3619133056362523E-2</v>
      </c>
      <c r="BR36" s="117">
        <v>4.0193759002630253E-2</v>
      </c>
      <c r="BS36" s="117">
        <v>3.8742801493308748E-2</v>
      </c>
      <c r="BT36" s="117">
        <v>4.1617066132418445E-2</v>
      </c>
      <c r="BU36" s="117">
        <v>4.5699013109099754E-2</v>
      </c>
      <c r="BV36" s="117">
        <v>4.1808972193098273E-2</v>
      </c>
      <c r="BW36" s="117">
        <v>4.2889680551909511E-2</v>
      </c>
      <c r="BX36" s="117">
        <v>4.2804480214197971E-2</v>
      </c>
      <c r="BY36" s="117">
        <v>4.5005192858342077E-2</v>
      </c>
      <c r="BZ36" s="117">
        <v>4.6416511746327063E-2</v>
      </c>
      <c r="CA36" s="117">
        <v>4.1710768584905758E-2</v>
      </c>
      <c r="CB36" s="117">
        <v>4.2039784539901398E-2</v>
      </c>
      <c r="CC36" s="117">
        <v>4.4003303265771399E-2</v>
      </c>
      <c r="CD36" s="117">
        <v>4.0569529082717493E-2</v>
      </c>
      <c r="CE36" s="117">
        <v>3.7632812350040859E-2</v>
      </c>
      <c r="CF36" s="117">
        <v>4.0390952330434916E-2</v>
      </c>
      <c r="CG36" s="117">
        <v>4.2261151907976649E-2</v>
      </c>
      <c r="CH36" s="117">
        <v>4.052424933694803E-2</v>
      </c>
      <c r="CI36" s="117">
        <v>4.4800964746425323E-2</v>
      </c>
      <c r="CJ36" s="117">
        <v>4.3460987238122882E-2</v>
      </c>
      <c r="CK36" s="117">
        <v>4.1518821794917844E-2</v>
      </c>
      <c r="CL36" s="117">
        <v>4.6407155040657996E-2</v>
      </c>
      <c r="CM36" s="117">
        <v>3.7858405265167233E-2</v>
      </c>
      <c r="CN36" s="117">
        <v>4.5007643454336346E-2</v>
      </c>
      <c r="CO36" s="117">
        <v>4.0401133433107778E-2</v>
      </c>
      <c r="CP36" s="117">
        <v>3.9795683703011772E-2</v>
      </c>
      <c r="CQ36" s="117">
        <v>4.2989839009810529E-2</v>
      </c>
      <c r="CR36" s="117">
        <v>4.038542670782666E-2</v>
      </c>
      <c r="CS36" s="117">
        <v>3.9578164977554495E-2</v>
      </c>
      <c r="CT36" s="117">
        <v>4.1380311558165524E-2</v>
      </c>
      <c r="CU36" s="117">
        <v>3.8401760889134551E-2</v>
      </c>
      <c r="CV36" s="117">
        <v>4.8251510960852104E-2</v>
      </c>
      <c r="CW36" s="117">
        <v>4.7780039339222972E-2</v>
      </c>
      <c r="CX36" s="117">
        <v>4.5191934948110996E-2</v>
      </c>
    </row>
    <row r="37" spans="1:102" s="116" customFormat="1">
      <c r="A37" s="254" t="str">
        <f t="shared" si="0"/>
        <v>Commodities</v>
      </c>
      <c r="B37" s="255"/>
      <c r="C37" s="118">
        <v>6.2542734389789023E-2</v>
      </c>
      <c r="D37" s="118">
        <v>7.539424274642198E-2</v>
      </c>
      <c r="E37" s="118">
        <v>7.2684946239859882E-2</v>
      </c>
      <c r="F37" s="118">
        <v>7.6609498513333069E-2</v>
      </c>
      <c r="G37" s="118">
        <v>6.6015898127860878E-2</v>
      </c>
      <c r="H37" s="118">
        <v>6.3048177599996383E-2</v>
      </c>
      <c r="I37" s="118">
        <v>7.2626177791830088E-2</v>
      </c>
      <c r="J37" s="118">
        <v>6.8504383396369911E-2</v>
      </c>
      <c r="K37" s="118">
        <v>6.7223448290274213E-2</v>
      </c>
      <c r="L37" s="118">
        <v>6.8938268672790348E-2</v>
      </c>
      <c r="M37" s="118">
        <v>6.5431879525634923E-2</v>
      </c>
      <c r="N37" s="118">
        <v>6.9155830558270681E-2</v>
      </c>
      <c r="O37" s="118">
        <v>6.8911287085945572E-2</v>
      </c>
      <c r="P37" s="118">
        <v>7.6043312587456752E-2</v>
      </c>
      <c r="Q37" s="118">
        <v>6.2610847662083996E-2</v>
      </c>
      <c r="R37" s="118">
        <v>6.3592754786349792E-2</v>
      </c>
      <c r="S37" s="118">
        <v>7.0190083914451668E-2</v>
      </c>
      <c r="T37" s="118">
        <v>7.9624205857728503E-2</v>
      </c>
      <c r="U37" s="118">
        <v>7.6607608894248905E-2</v>
      </c>
      <c r="V37" s="118">
        <v>7.6046064062923996E-2</v>
      </c>
      <c r="W37" s="118">
        <v>6.9840613946836771E-2</v>
      </c>
      <c r="X37" s="118">
        <v>8.0181275325399565E-2</v>
      </c>
      <c r="Y37" s="118">
        <v>6.8096490612911426E-2</v>
      </c>
      <c r="Z37" s="118">
        <v>8.1175805342869195E-2</v>
      </c>
      <c r="AA37" s="118">
        <v>6.4670840038960453E-2</v>
      </c>
      <c r="AB37" s="118">
        <v>8.1024260398640913E-2</v>
      </c>
      <c r="AC37" s="118">
        <v>6.6877024203538193E-2</v>
      </c>
      <c r="AD37" s="118">
        <v>6.573169063303716E-2</v>
      </c>
      <c r="AE37" s="118">
        <v>5.9721987440541233E-2</v>
      </c>
      <c r="AF37" s="118">
        <v>8.1102927607010267E-2</v>
      </c>
      <c r="AG37" s="118">
        <v>7.3068176877339797E-2</v>
      </c>
      <c r="AH37" s="118">
        <v>6.1139481697808334E-2</v>
      </c>
      <c r="AI37" s="118">
        <v>7.2004774597867527E-2</v>
      </c>
      <c r="AJ37" s="118">
        <v>7.0488872999499297E-2</v>
      </c>
      <c r="AK37" s="118">
        <v>6.9808041366609536E-2</v>
      </c>
      <c r="AL37" s="118">
        <v>8.292962256078687E-2</v>
      </c>
      <c r="AM37" s="118">
        <v>7.8313044168692642E-2</v>
      </c>
      <c r="AN37" s="118">
        <v>7.3041848797443437E-2</v>
      </c>
      <c r="AO37" s="118">
        <v>6.4871521712145219E-2</v>
      </c>
      <c r="AP37" s="118">
        <v>7.8872231627683628E-2</v>
      </c>
      <c r="AQ37" s="118">
        <v>6.7386135296802527E-2</v>
      </c>
      <c r="AR37" s="118">
        <v>6.6631840253103286E-2</v>
      </c>
      <c r="AS37" s="118">
        <v>7.6403426433085939E-2</v>
      </c>
      <c r="AT37" s="118">
        <v>6.0448722481423522E-2</v>
      </c>
      <c r="AU37" s="118">
        <v>7.2081759323257721E-2</v>
      </c>
      <c r="AV37" s="118">
        <v>7.9863209741246513E-2</v>
      </c>
      <c r="AW37" s="118">
        <v>6.1477892415540074E-2</v>
      </c>
      <c r="AX37" s="118">
        <v>7.8597062560267633E-2</v>
      </c>
      <c r="AY37" s="118">
        <v>7.2581737648615585E-2</v>
      </c>
      <c r="AZ37" s="118">
        <v>6.3756407436844464E-2</v>
      </c>
      <c r="BA37" s="118">
        <v>6.8111049880350216E-2</v>
      </c>
      <c r="BB37" s="118">
        <v>6.4946962862973523E-2</v>
      </c>
      <c r="BC37" s="118">
        <v>8.2244530462126347E-2</v>
      </c>
      <c r="BD37" s="118">
        <v>6.3119328367814365E-2</v>
      </c>
      <c r="BE37" s="118">
        <v>6.8191223474914228E-2</v>
      </c>
      <c r="BF37" s="118">
        <v>6.3440377463331449E-2</v>
      </c>
      <c r="BG37" s="118">
        <v>6.9592520492393423E-2</v>
      </c>
      <c r="BH37" s="118">
        <v>6.397650720294823E-2</v>
      </c>
      <c r="BI37" s="118">
        <v>6.0652565104681484E-2</v>
      </c>
      <c r="BJ37" s="118">
        <v>6.8067486955355805E-2</v>
      </c>
      <c r="BK37" s="118">
        <v>7.2890290310573091E-2</v>
      </c>
      <c r="BL37" s="118">
        <v>6.6411466349108716E-2</v>
      </c>
      <c r="BM37" s="118">
        <v>7.2913976191740643E-2</v>
      </c>
      <c r="BN37" s="118">
        <v>6.5373546274150179E-2</v>
      </c>
      <c r="BO37" s="118">
        <v>7.0415693282306679E-2</v>
      </c>
      <c r="BP37" s="118">
        <v>6.9014593921640055E-2</v>
      </c>
      <c r="BQ37" s="118">
        <v>8.4713837252354998E-2</v>
      </c>
      <c r="BR37" s="118">
        <v>6.0205168283284177E-2</v>
      </c>
      <c r="BS37" s="118">
        <v>6.0559198025468219E-2</v>
      </c>
      <c r="BT37" s="118">
        <v>7.9947895214883963E-2</v>
      </c>
      <c r="BU37" s="118">
        <v>8.1753083212607283E-2</v>
      </c>
      <c r="BV37" s="118">
        <v>7.5608151989163111E-2</v>
      </c>
      <c r="BW37" s="118">
        <v>8.1242201025025676E-2</v>
      </c>
      <c r="BX37" s="118">
        <v>6.8436792949981659E-2</v>
      </c>
      <c r="BY37" s="118">
        <v>6.9566724868705396E-2</v>
      </c>
      <c r="BZ37" s="118">
        <v>8.0051949684413148E-2</v>
      </c>
      <c r="CA37" s="118">
        <v>6.533707439796943E-2</v>
      </c>
      <c r="CB37" s="118">
        <v>7.3319097893972479E-2</v>
      </c>
      <c r="CC37" s="118">
        <v>8.6212631327449885E-2</v>
      </c>
      <c r="CD37" s="118">
        <v>6.3505808648946893E-2</v>
      </c>
      <c r="CE37" s="118">
        <v>5.6122663044189586E-2</v>
      </c>
      <c r="CF37" s="118">
        <v>6.1207837132048665E-2</v>
      </c>
      <c r="CG37" s="118">
        <v>6.6039702457572874E-2</v>
      </c>
      <c r="CH37" s="118">
        <v>6.8350271584902728E-2</v>
      </c>
      <c r="CI37" s="118">
        <v>8.0926199535064955E-2</v>
      </c>
      <c r="CJ37" s="118">
        <v>7.6061737432522369E-2</v>
      </c>
      <c r="CK37" s="118">
        <v>7.6466512451923818E-2</v>
      </c>
      <c r="CL37" s="118">
        <v>7.4325811155716376E-2</v>
      </c>
      <c r="CM37" s="118">
        <v>6.1754349027048676E-2</v>
      </c>
      <c r="CN37" s="118">
        <v>6.9641290879478873E-2</v>
      </c>
      <c r="CO37" s="118">
        <v>6.2787789650399037E-2</v>
      </c>
      <c r="CP37" s="118">
        <v>6.1300026214216034E-2</v>
      </c>
      <c r="CQ37" s="118">
        <v>8.1985071650763242E-2</v>
      </c>
      <c r="CR37" s="118">
        <v>6.6455384994016625E-2</v>
      </c>
      <c r="CS37" s="118">
        <v>6.2105713019302053E-2</v>
      </c>
      <c r="CT37" s="118">
        <v>7.1908419473935573E-2</v>
      </c>
      <c r="CU37" s="118">
        <v>5.9385941653550572E-2</v>
      </c>
      <c r="CV37" s="118">
        <v>8.4667866814693238E-2</v>
      </c>
      <c r="CW37" s="118">
        <v>7.4466373895057447E-2</v>
      </c>
      <c r="CX37" s="118">
        <v>7.1579617171768556E-2</v>
      </c>
    </row>
    <row r="38" spans="1:102" s="121" customFormat="1">
      <c r="A38" s="76" t="s">
        <v>132</v>
      </c>
      <c r="B38" s="119"/>
      <c r="C38" s="120">
        <v>2.9704015750859072</v>
      </c>
      <c r="D38" s="120">
        <v>3.4560712297656395</v>
      </c>
      <c r="E38" s="120">
        <v>3.2232273505721305</v>
      </c>
      <c r="F38" s="120">
        <v>3.0566817464791001</v>
      </c>
      <c r="G38" s="120">
        <v>3.1050931207200523</v>
      </c>
      <c r="H38" s="120">
        <v>3.0452318856873282</v>
      </c>
      <c r="I38" s="120">
        <v>3.3258779319015459</v>
      </c>
      <c r="J38" s="120">
        <v>3.3660764207465372</v>
      </c>
      <c r="K38" s="120">
        <v>3.2929446456131988</v>
      </c>
      <c r="L38" s="120">
        <v>3.0439986455808863</v>
      </c>
      <c r="M38" s="120">
        <v>3.0730762325484133</v>
      </c>
      <c r="N38" s="120">
        <v>2.9348700407689705</v>
      </c>
      <c r="O38" s="120">
        <v>3.176417961590047</v>
      </c>
      <c r="P38" s="120">
        <v>3.2947459001374773</v>
      </c>
      <c r="Q38" s="120">
        <v>3.1959228842204359</v>
      </c>
      <c r="R38" s="120">
        <v>3.2625990574492572</v>
      </c>
      <c r="S38" s="120">
        <v>3.0625080568580798</v>
      </c>
      <c r="T38" s="120">
        <v>3.3300251212394878</v>
      </c>
      <c r="U38" s="120">
        <v>3.2621033807624449</v>
      </c>
      <c r="V38" s="120">
        <v>3.2015788187945082</v>
      </c>
      <c r="W38" s="120">
        <v>3.3733628208250139</v>
      </c>
      <c r="X38" s="120">
        <v>3.2929428054163097</v>
      </c>
      <c r="Y38" s="120">
        <v>3.7803214414057127</v>
      </c>
      <c r="Z38" s="120">
        <v>3.4617893962234851</v>
      </c>
      <c r="AA38" s="120">
        <v>3.4306812530833781</v>
      </c>
      <c r="AB38" s="120">
        <v>3.2952921592846152</v>
      </c>
      <c r="AC38" s="120">
        <v>3.2700707111118898</v>
      </c>
      <c r="AD38" s="120">
        <v>3.1270194787937644</v>
      </c>
      <c r="AE38" s="120">
        <v>3.1874746814012411</v>
      </c>
      <c r="AF38" s="120">
        <v>3.4677659169478146</v>
      </c>
      <c r="AG38" s="120">
        <v>3.1906874797653519</v>
      </c>
      <c r="AH38" s="120">
        <v>3.3723391228337798</v>
      </c>
      <c r="AI38" s="120">
        <v>3.1949505062725696</v>
      </c>
      <c r="AJ38" s="120">
        <v>3.2260638747082515</v>
      </c>
      <c r="AK38" s="120">
        <v>3.0702494208764124</v>
      </c>
      <c r="AL38" s="120">
        <v>3.677890746430756</v>
      </c>
      <c r="AM38" s="120">
        <v>3.1547374020800891</v>
      </c>
      <c r="AN38" s="120">
        <v>3.4659261797100012</v>
      </c>
      <c r="AO38" s="120">
        <v>3.3462685298154011</v>
      </c>
      <c r="AP38" s="120">
        <v>3.6646183623503195</v>
      </c>
      <c r="AQ38" s="120">
        <v>3.1812839274154672</v>
      </c>
      <c r="AR38" s="120">
        <v>3.6328157136921297</v>
      </c>
      <c r="AS38" s="120">
        <v>3.3709787265153741</v>
      </c>
      <c r="AT38" s="120">
        <v>3.1279153749577024</v>
      </c>
      <c r="AU38" s="120">
        <v>3.1746193664093498</v>
      </c>
      <c r="AV38" s="120">
        <v>3.6079070931650632</v>
      </c>
      <c r="AW38" s="120">
        <v>3.2671943590349666</v>
      </c>
      <c r="AX38" s="120">
        <v>3.3407361870833294</v>
      </c>
      <c r="AY38" s="120">
        <v>3.5289715564113613</v>
      </c>
      <c r="AZ38" s="120">
        <v>3.2823949633859923</v>
      </c>
      <c r="BA38" s="120">
        <v>3.0925185876941059</v>
      </c>
      <c r="BB38" s="120">
        <v>3.3573445515666243</v>
      </c>
      <c r="BC38" s="120">
        <v>3.5184104415281303</v>
      </c>
      <c r="BD38" s="120">
        <v>3.2816354617830186</v>
      </c>
      <c r="BE38" s="120">
        <v>3.5402775356939702</v>
      </c>
      <c r="BF38" s="120">
        <v>3.7648731561219777</v>
      </c>
      <c r="BG38" s="120">
        <v>3.2706680517669251</v>
      </c>
      <c r="BH38" s="120">
        <v>3.2582219766068761</v>
      </c>
      <c r="BI38" s="120">
        <v>3.2829442683942274</v>
      </c>
      <c r="BJ38" s="120">
        <v>3.9017274487257851</v>
      </c>
      <c r="BK38" s="120">
        <v>3.8731573839192226</v>
      </c>
      <c r="BL38" s="120">
        <v>3.1498867228932865</v>
      </c>
      <c r="BM38" s="120">
        <v>3.4177716801855071</v>
      </c>
      <c r="BN38" s="120">
        <v>3.3421893082488316</v>
      </c>
      <c r="BO38" s="120">
        <v>3.4155942277109625</v>
      </c>
      <c r="BP38" s="120">
        <v>3.8707407608037183</v>
      </c>
      <c r="BQ38" s="120">
        <v>3.8686838237409638</v>
      </c>
      <c r="BR38" s="120">
        <v>3.3589943438991048</v>
      </c>
      <c r="BS38" s="120">
        <v>3.5356390585527251</v>
      </c>
      <c r="BT38" s="120">
        <v>3.5950543247522808</v>
      </c>
      <c r="BU38" s="120">
        <v>3.4483139334955921</v>
      </c>
      <c r="BV38" s="120">
        <v>3.6075320159465871</v>
      </c>
      <c r="BW38" s="120">
        <v>3.5341900793828405</v>
      </c>
      <c r="BX38" s="120">
        <v>2.9729135337036565</v>
      </c>
      <c r="BY38" s="120">
        <v>3.5419124793525176</v>
      </c>
      <c r="BZ38" s="120">
        <v>3.4440666038588432</v>
      </c>
      <c r="CA38" s="120">
        <v>3.7622592422268464</v>
      </c>
      <c r="CB38" s="120">
        <v>3.6980444176394327</v>
      </c>
      <c r="CC38" s="120">
        <v>3.8249733578866691</v>
      </c>
      <c r="CD38" s="120">
        <v>3.3546042104042968</v>
      </c>
      <c r="CE38" s="120">
        <v>3.3673138615402713</v>
      </c>
      <c r="CF38" s="120">
        <v>3.4209343819215192</v>
      </c>
      <c r="CG38" s="120">
        <v>3.8823916124252396</v>
      </c>
      <c r="CH38" s="120">
        <v>3.8985510824660885</v>
      </c>
      <c r="CI38" s="120">
        <v>3.770480802957517</v>
      </c>
      <c r="CJ38" s="120">
        <v>4.2211828843629178</v>
      </c>
      <c r="CK38" s="120">
        <v>3.9139329587252951</v>
      </c>
      <c r="CL38" s="120">
        <v>4.5105535094692213</v>
      </c>
      <c r="CM38" s="120">
        <v>3.4060602601384615</v>
      </c>
      <c r="CN38" s="120">
        <v>3.474272865360498</v>
      </c>
      <c r="CO38" s="120">
        <v>3.5653417462169279</v>
      </c>
      <c r="CP38" s="120">
        <v>3.8593989446693753</v>
      </c>
      <c r="CQ38" s="120">
        <v>4.1239723989340211</v>
      </c>
      <c r="CR38" s="120">
        <v>3.6666407694597916</v>
      </c>
      <c r="CS38" s="120">
        <v>3.4062349650893244</v>
      </c>
      <c r="CT38" s="120">
        <v>3.451128292961259</v>
      </c>
      <c r="CU38" s="120">
        <v>3.3814142720069968</v>
      </c>
      <c r="CV38" s="120">
        <v>3.9272274316605884</v>
      </c>
      <c r="CW38" s="120">
        <v>4.017773440088078</v>
      </c>
      <c r="CX38" s="120">
        <v>3.6659663396854936</v>
      </c>
    </row>
    <row r="40" spans="1:102">
      <c r="A40" s="144" t="s">
        <v>133</v>
      </c>
      <c r="B40" s="144"/>
    </row>
    <row r="41" spans="1:102" s="124" customFormat="1">
      <c r="A41" s="128" t="str">
        <f>Parameters!A40</f>
        <v>Basis</v>
      </c>
      <c r="B41" s="122" t="s">
        <v>29</v>
      </c>
      <c r="C41" s="123">
        <v>1.2191385943394594E-2</v>
      </c>
      <c r="D41" s="123">
        <v>1.1871755099308504E-2</v>
      </c>
      <c r="E41" s="123">
        <v>1.1825826202628599E-2</v>
      </c>
      <c r="F41" s="123">
        <v>1.1787451744087405E-2</v>
      </c>
      <c r="G41" s="123">
        <v>1.1773879555707079E-2</v>
      </c>
      <c r="H41" s="123">
        <v>1.1687057412125633E-2</v>
      </c>
      <c r="I41" s="123">
        <v>1.1685625508503716E-2</v>
      </c>
      <c r="J41" s="123">
        <v>1.1419928031583872E-2</v>
      </c>
      <c r="K41" s="123">
        <v>1.141407075822529E-2</v>
      </c>
      <c r="L41" s="123">
        <v>1.1405670753589276E-2</v>
      </c>
      <c r="M41" s="123">
        <v>1.1399999272720261E-2</v>
      </c>
      <c r="N41" s="123">
        <v>1.139646397161688E-2</v>
      </c>
      <c r="O41" s="123">
        <v>1.1377784788173036E-2</v>
      </c>
      <c r="P41" s="123">
        <v>1.1361455302780685E-2</v>
      </c>
      <c r="Q41" s="123">
        <v>1.1359198805704197E-2</v>
      </c>
      <c r="R41" s="123">
        <v>1.1353748402835274E-2</v>
      </c>
      <c r="S41" s="123">
        <v>1.1327402885067544E-2</v>
      </c>
      <c r="T41" s="123">
        <v>1.1256972051943669E-2</v>
      </c>
      <c r="U41" s="123">
        <v>1.1223317559544196E-2</v>
      </c>
      <c r="V41" s="123">
        <v>1.1202939831548395E-2</v>
      </c>
      <c r="W41" s="123">
        <v>1.1195173698895238E-2</v>
      </c>
      <c r="X41" s="123">
        <v>1.1180404957192761E-2</v>
      </c>
      <c r="Y41" s="123">
        <v>1.1155808039250198E-2</v>
      </c>
      <c r="Z41" s="123">
        <v>1.1141614412390271E-2</v>
      </c>
      <c r="AA41" s="123">
        <v>1.1114547020374758E-2</v>
      </c>
      <c r="AB41" s="123">
        <v>1.1111108559776237E-2</v>
      </c>
      <c r="AC41" s="123">
        <v>1.1100351037802257E-2</v>
      </c>
      <c r="AD41" s="123">
        <v>1.1062504887180405E-2</v>
      </c>
      <c r="AE41" s="123">
        <v>1.1031438960954654E-2</v>
      </c>
      <c r="AF41" s="123">
        <v>1.0977020114378311E-2</v>
      </c>
      <c r="AG41" s="123">
        <v>1.0959548812910586E-2</v>
      </c>
      <c r="AH41" s="123">
        <v>1.094625956793681E-2</v>
      </c>
      <c r="AI41" s="123">
        <v>1.0942183863660734E-2</v>
      </c>
      <c r="AJ41" s="123">
        <v>1.0846025902105334E-2</v>
      </c>
      <c r="AK41" s="123">
        <v>1.0831585291923237E-2</v>
      </c>
      <c r="AL41" s="123">
        <v>1.0819487461423232E-2</v>
      </c>
      <c r="AM41" s="123">
        <v>1.0814017030596108E-2</v>
      </c>
      <c r="AN41" s="123">
        <v>1.080832457942307E-2</v>
      </c>
      <c r="AO41" s="123">
        <v>1.0806049626764026E-2</v>
      </c>
      <c r="AP41" s="123">
        <v>1.0804329635466937E-2</v>
      </c>
      <c r="AQ41" s="123">
        <v>1.0796535277728486E-2</v>
      </c>
      <c r="AR41" s="123">
        <v>1.0794000070711702E-2</v>
      </c>
      <c r="AS41" s="123">
        <v>1.0769495036236296E-2</v>
      </c>
      <c r="AT41" s="123">
        <v>1.0746333186574576E-2</v>
      </c>
      <c r="AU41" s="123">
        <v>1.0737003892918109E-2</v>
      </c>
      <c r="AV41" s="123">
        <v>1.0725693739241881E-2</v>
      </c>
      <c r="AW41" s="123">
        <v>1.0724671044615332E-2</v>
      </c>
      <c r="AX41" s="123">
        <v>1.0717549741468557E-2</v>
      </c>
      <c r="AY41" s="123">
        <v>1.0708934300646802E-2</v>
      </c>
      <c r="AZ41" s="123">
        <v>1.0688746425234423E-2</v>
      </c>
      <c r="BA41" s="123">
        <v>1.0670694847570664E-2</v>
      </c>
      <c r="BB41" s="123">
        <v>1.0665891573243122E-2</v>
      </c>
      <c r="BC41" s="123">
        <v>1.0641995876992884E-2</v>
      </c>
      <c r="BD41" s="123">
        <v>1.0634811262888563E-2</v>
      </c>
      <c r="BE41" s="123">
        <v>1.0626083073878426E-2</v>
      </c>
      <c r="BF41" s="123">
        <v>1.0621174608967381E-2</v>
      </c>
      <c r="BG41" s="123">
        <v>1.0614770814619236E-2</v>
      </c>
      <c r="BH41" s="123">
        <v>1.0574910364488536E-2</v>
      </c>
      <c r="BI41" s="123">
        <v>1.0572371202599684E-2</v>
      </c>
      <c r="BJ41" s="123">
        <v>1.0559114746955079E-2</v>
      </c>
      <c r="BK41" s="123">
        <v>1.0553145251922117E-2</v>
      </c>
      <c r="BL41" s="123">
        <v>1.0550183887909103E-2</v>
      </c>
      <c r="BM41" s="123">
        <v>1.053808767055214E-2</v>
      </c>
      <c r="BN41" s="123">
        <v>1.0518226664881246E-2</v>
      </c>
      <c r="BO41" s="123">
        <v>1.0518011134169588E-2</v>
      </c>
      <c r="BP41" s="123">
        <v>1.0485740499095619E-2</v>
      </c>
      <c r="BQ41" s="123">
        <v>1.0455528107868976E-2</v>
      </c>
      <c r="BR41" s="123">
        <v>1.0444638629133779E-2</v>
      </c>
      <c r="BS41" s="123">
        <v>1.044359608353039E-2</v>
      </c>
      <c r="BT41" s="123">
        <v>1.0438323590513601E-2</v>
      </c>
      <c r="BU41" s="123">
        <v>1.0435722248663189E-2</v>
      </c>
      <c r="BV41" s="123">
        <v>1.041934245761781E-2</v>
      </c>
      <c r="BW41" s="123">
        <v>1.041538939859688E-2</v>
      </c>
      <c r="BX41" s="123">
        <v>1.0414552838541083E-2</v>
      </c>
      <c r="BY41" s="123">
        <v>1.0410669972108998E-2</v>
      </c>
      <c r="BZ41" s="123">
        <v>1.0391718785029487E-2</v>
      </c>
      <c r="CA41" s="123">
        <v>1.038935688505694E-2</v>
      </c>
      <c r="CB41" s="123">
        <v>1.0383311126617532E-2</v>
      </c>
      <c r="CC41" s="123">
        <v>1.0378429322971259E-2</v>
      </c>
      <c r="CD41" s="123">
        <v>1.0366400007225307E-2</v>
      </c>
      <c r="CE41" s="123">
        <v>1.0365106998683222E-2</v>
      </c>
      <c r="CF41" s="123">
        <v>1.0348346056187185E-2</v>
      </c>
      <c r="CG41" s="123">
        <v>1.0309250516977559E-2</v>
      </c>
      <c r="CH41" s="123">
        <v>1.0289156350793773E-2</v>
      </c>
      <c r="CI41" s="123">
        <v>1.0286725814017366E-2</v>
      </c>
      <c r="CJ41" s="123">
        <v>1.0275280242991049E-2</v>
      </c>
      <c r="CK41" s="123">
        <v>1.0257723033984721E-2</v>
      </c>
      <c r="CL41" s="123">
        <v>1.023915178204628E-2</v>
      </c>
      <c r="CM41" s="123">
        <v>1.0224435733424913E-2</v>
      </c>
      <c r="CN41" s="123">
        <v>1.0221607376194649E-2</v>
      </c>
      <c r="CO41" s="123">
        <v>1.0215177698647359E-2</v>
      </c>
      <c r="CP41" s="123">
        <v>1.0185870013772122E-2</v>
      </c>
      <c r="CQ41" s="123">
        <v>1.0135208959674812E-2</v>
      </c>
      <c r="CR41" s="123">
        <v>1.0124677682347857E-2</v>
      </c>
      <c r="CS41" s="123">
        <v>1.012128334309979E-2</v>
      </c>
      <c r="CT41" s="123">
        <v>1.0105003452238047E-2</v>
      </c>
      <c r="CU41" s="123">
        <v>1.0097331171139501E-2</v>
      </c>
      <c r="CV41" s="123">
        <v>1.009147447880003E-2</v>
      </c>
      <c r="CW41" s="123">
        <v>1.0047789569133046E-2</v>
      </c>
      <c r="CX41" s="123">
        <v>1.0028790009397569E-2</v>
      </c>
    </row>
    <row r="42" spans="1:102" s="23" customFormat="1">
      <c r="B42" s="14" t="s">
        <v>30</v>
      </c>
      <c r="C42" s="125">
        <v>5.9536735985515871E-2</v>
      </c>
      <c r="D42" s="125">
        <v>5.6322794740217876E-2</v>
      </c>
      <c r="E42" s="125">
        <v>5.8371159462347194E-2</v>
      </c>
      <c r="F42" s="125">
        <v>5.9787817712402956E-2</v>
      </c>
      <c r="G42" s="125">
        <v>5.9072043125658232E-2</v>
      </c>
      <c r="H42" s="125">
        <v>5.9525646332403578E-2</v>
      </c>
      <c r="I42" s="125">
        <v>5.8518207368336496E-2</v>
      </c>
      <c r="J42" s="125">
        <v>5.6818098137484521E-2</v>
      </c>
      <c r="K42" s="125">
        <v>5.8175287727730632E-2</v>
      </c>
      <c r="L42" s="125">
        <v>5.9434504389307197E-2</v>
      </c>
      <c r="M42" s="125">
        <v>5.9767584204185271E-2</v>
      </c>
      <c r="N42" s="125">
        <v>5.9877179625943029E-2</v>
      </c>
      <c r="O42" s="125">
        <v>5.7969183498972864E-2</v>
      </c>
      <c r="P42" s="125">
        <v>5.7759260537284474E-2</v>
      </c>
      <c r="Q42" s="125">
        <v>5.8497639180077644E-2</v>
      </c>
      <c r="R42" s="125">
        <v>5.7728397065876201E-2</v>
      </c>
      <c r="S42" s="125">
        <v>5.8650361460452258E-2</v>
      </c>
      <c r="T42" s="125">
        <v>5.8864854002851817E-2</v>
      </c>
      <c r="U42" s="125">
        <v>5.8898320463089321E-2</v>
      </c>
      <c r="V42" s="125">
        <v>5.9372189401153415E-2</v>
      </c>
      <c r="W42" s="125">
        <v>5.7544880093502788E-2</v>
      </c>
      <c r="X42" s="125">
        <v>5.8408066476422944E-2</v>
      </c>
      <c r="Y42" s="125">
        <v>5.3667918263768509E-2</v>
      </c>
      <c r="Z42" s="125">
        <v>5.6949016698794083E-2</v>
      </c>
      <c r="AA42" s="125">
        <v>5.7057528432002451E-2</v>
      </c>
      <c r="AB42" s="125">
        <v>5.9217342502605047E-2</v>
      </c>
      <c r="AC42" s="125">
        <v>5.7872114189783962E-2</v>
      </c>
      <c r="AD42" s="125">
        <v>5.893979513271401E-2</v>
      </c>
      <c r="AE42" s="125">
        <v>5.9935564641653546E-2</v>
      </c>
      <c r="AF42" s="125">
        <v>5.7308485252584598E-2</v>
      </c>
      <c r="AG42" s="125">
        <v>5.8753419021679638E-2</v>
      </c>
      <c r="AH42" s="125">
        <v>5.7905588017642999E-2</v>
      </c>
      <c r="AI42" s="125">
        <v>5.9536265103069946E-2</v>
      </c>
      <c r="AJ42" s="125">
        <v>5.9559210029777127E-2</v>
      </c>
      <c r="AK42" s="125">
        <v>5.9342634349752642E-2</v>
      </c>
      <c r="AL42" s="125">
        <v>5.5635834192087161E-2</v>
      </c>
      <c r="AM42" s="125">
        <v>5.8638818934794744E-2</v>
      </c>
      <c r="AN42" s="125">
        <v>5.63279811658631E-2</v>
      </c>
      <c r="AO42" s="125">
        <v>5.7527301966895976E-2</v>
      </c>
      <c r="AP42" s="125">
        <v>5.5534085287232512E-2</v>
      </c>
      <c r="AQ42" s="125">
        <v>5.959311933197365E-2</v>
      </c>
      <c r="AR42" s="125">
        <v>5.4829239842423889E-2</v>
      </c>
      <c r="AS42" s="125">
        <v>5.7443660397016115E-2</v>
      </c>
      <c r="AT42" s="125">
        <v>5.9239764927104831E-2</v>
      </c>
      <c r="AU42" s="125">
        <v>5.9755426522362286E-2</v>
      </c>
      <c r="AV42" s="125">
        <v>5.6695145812631666E-2</v>
      </c>
      <c r="AW42" s="125">
        <v>5.9446901181690097E-2</v>
      </c>
      <c r="AX42" s="125">
        <v>5.7825616068423236E-2</v>
      </c>
      <c r="AY42" s="125">
        <v>5.7289236121042413E-2</v>
      </c>
      <c r="AZ42" s="125">
        <v>5.7974039621005273E-2</v>
      </c>
      <c r="BA42" s="125">
        <v>5.9402177154621011E-2</v>
      </c>
      <c r="BB42" s="125">
        <v>5.6173562054721814E-2</v>
      </c>
      <c r="BC42" s="125">
        <v>5.7310259950325064E-2</v>
      </c>
      <c r="BD42" s="125">
        <v>5.8829741057530582E-2</v>
      </c>
      <c r="BE42" s="125">
        <v>5.7774406411831535E-2</v>
      </c>
      <c r="BF42" s="125">
        <v>5.4374699894916757E-2</v>
      </c>
      <c r="BG42" s="125">
        <v>5.7149858395750562E-2</v>
      </c>
      <c r="BH42" s="125">
        <v>5.7892910954425149E-2</v>
      </c>
      <c r="BI42" s="125">
        <v>5.9163402929362445E-2</v>
      </c>
      <c r="BJ42" s="125">
        <v>5.3916272980053338E-2</v>
      </c>
      <c r="BK42" s="125">
        <v>5.4244484508857431E-2</v>
      </c>
      <c r="BL42" s="125">
        <v>5.9207525147644061E-2</v>
      </c>
      <c r="BM42" s="125">
        <v>5.74130062117525E-2</v>
      </c>
      <c r="BN42" s="125">
        <v>5.742595919969367E-2</v>
      </c>
      <c r="BO42" s="125">
        <v>5.7923265718805288E-2</v>
      </c>
      <c r="BP42" s="125">
        <v>5.4254712191573733E-2</v>
      </c>
      <c r="BQ42" s="125">
        <v>5.5053776205571218E-2</v>
      </c>
      <c r="BR42" s="125">
        <v>5.7840803453877397E-2</v>
      </c>
      <c r="BS42" s="125">
        <v>5.7385842817493198E-2</v>
      </c>
      <c r="BT42" s="125">
        <v>5.7561459898169763E-2</v>
      </c>
      <c r="BU42" s="125">
        <v>5.7191659155487212E-2</v>
      </c>
      <c r="BV42" s="125">
        <v>5.6204708032263982E-2</v>
      </c>
      <c r="BW42" s="125">
        <v>5.6737956162588234E-2</v>
      </c>
      <c r="BX42" s="125">
        <v>5.9663980670091855E-2</v>
      </c>
      <c r="BY42" s="125">
        <v>5.5681692310576958E-2</v>
      </c>
      <c r="BZ42" s="125">
        <v>5.6314583061436732E-2</v>
      </c>
      <c r="CA42" s="125">
        <v>5.5409112904430076E-2</v>
      </c>
      <c r="CB42" s="125">
        <v>5.4993656796221126E-2</v>
      </c>
      <c r="CC42" s="125">
        <v>5.5650613550231279E-2</v>
      </c>
      <c r="CD42" s="125">
        <v>5.7102870111585373E-2</v>
      </c>
      <c r="CE42" s="125">
        <v>5.8615244746183057E-2</v>
      </c>
      <c r="CF42" s="125">
        <v>5.6480446663216319E-2</v>
      </c>
      <c r="CG42" s="125">
        <v>5.3697529514325229E-2</v>
      </c>
      <c r="CH42" s="125">
        <v>5.5403215369313329E-2</v>
      </c>
      <c r="CI42" s="125">
        <v>5.5368013026786622E-2</v>
      </c>
      <c r="CJ42" s="125">
        <v>5.1882950786534578E-2</v>
      </c>
      <c r="CK42" s="125">
        <v>5.5209505398893521E-2</v>
      </c>
      <c r="CL42" s="125">
        <v>5.0264786961840995E-2</v>
      </c>
      <c r="CM42" s="125">
        <v>5.843537267871058E-2</v>
      </c>
      <c r="CN42" s="125">
        <v>5.5318831967029018E-2</v>
      </c>
      <c r="CO42" s="125">
        <v>5.5940716488266921E-2</v>
      </c>
      <c r="CP42" s="125">
        <v>5.494612778472683E-2</v>
      </c>
      <c r="CQ42" s="125">
        <v>5.3642695577158568E-2</v>
      </c>
      <c r="CR42" s="125">
        <v>5.6186719311415417E-2</v>
      </c>
      <c r="CS42" s="125">
        <v>5.774462757818706E-2</v>
      </c>
      <c r="CT42" s="125">
        <v>5.7376855336733291E-2</v>
      </c>
      <c r="CU42" s="125">
        <v>5.7502852258882325E-2</v>
      </c>
      <c r="CV42" s="125">
        <v>5.3889931514092243E-2</v>
      </c>
      <c r="CW42" s="125">
        <v>5.2390382359139641E-2</v>
      </c>
      <c r="CX42" s="125">
        <v>5.4588823830280603E-2</v>
      </c>
    </row>
    <row r="43" spans="1:102" s="23" customFormat="1">
      <c r="B43" s="67" t="s">
        <v>56</v>
      </c>
      <c r="C43" s="125">
        <v>9.8934407098231231E-2</v>
      </c>
      <c r="D43" s="125">
        <v>9.7762421469645505E-2</v>
      </c>
      <c r="E43" s="125">
        <v>9.5931882691195111E-2</v>
      </c>
      <c r="F43" s="125">
        <v>9.9794544299658894E-2</v>
      </c>
      <c r="G43" s="125">
        <v>0.10600175651553514</v>
      </c>
      <c r="H43" s="125">
        <v>0.10496628247559904</v>
      </c>
      <c r="I43" s="125">
        <v>0.10091769701411873</v>
      </c>
      <c r="J43" s="125">
        <v>0.10172195647010425</v>
      </c>
      <c r="K43" s="125">
        <v>0.10503779261091788</v>
      </c>
      <c r="L43" s="125">
        <v>9.9274904561969149E-2</v>
      </c>
      <c r="M43" s="125">
        <v>0.10285096509185745</v>
      </c>
      <c r="N43" s="125">
        <v>0.1010438983895408</v>
      </c>
      <c r="O43" s="125">
        <v>9.7179835240713622E-2</v>
      </c>
      <c r="P43" s="125">
        <v>9.5638746775639952E-2</v>
      </c>
      <c r="Q43" s="125">
        <v>0.10311527236264841</v>
      </c>
      <c r="R43" s="125">
        <v>0.1025326941047954</v>
      </c>
      <c r="S43" s="125">
        <v>9.8734804654666122E-2</v>
      </c>
      <c r="T43" s="125">
        <v>9.9200571121573419E-2</v>
      </c>
      <c r="U43" s="125">
        <v>0.10353378623732211</v>
      </c>
      <c r="V43" s="125">
        <v>0.1053059239204456</v>
      </c>
      <c r="W43" s="125">
        <v>0.10104067249655212</v>
      </c>
      <c r="X43" s="125">
        <v>0.10368396955774813</v>
      </c>
      <c r="Y43" s="125">
        <v>9.9341900861776716E-2</v>
      </c>
      <c r="Z43" s="125">
        <v>0.10070051376379309</v>
      </c>
      <c r="AA43" s="125">
        <v>0.1007362712507034</v>
      </c>
      <c r="AB43" s="125">
        <v>9.9513965046225769E-2</v>
      </c>
      <c r="AC43" s="125">
        <v>0.10111845451054682</v>
      </c>
      <c r="AD43" s="125">
        <v>9.3619631469921763E-2</v>
      </c>
      <c r="AE43" s="125">
        <v>0.10335189367460458</v>
      </c>
      <c r="AF43" s="125">
        <v>0.10137038471127613</v>
      </c>
      <c r="AG43" s="125">
        <v>9.9321654482611627E-2</v>
      </c>
      <c r="AH43" s="125">
        <v>0.10227762978051307</v>
      </c>
      <c r="AI43" s="125">
        <v>9.745381359164984E-2</v>
      </c>
      <c r="AJ43" s="125">
        <v>9.722405958636593E-2</v>
      </c>
      <c r="AK43" s="125">
        <v>9.1368194203981332E-2</v>
      </c>
      <c r="AL43" s="125">
        <v>9.9784104356029898E-2</v>
      </c>
      <c r="AM43" s="125">
        <v>9.143800251681046E-2</v>
      </c>
      <c r="AN43" s="125">
        <v>0.10686002218127458</v>
      </c>
      <c r="AO43" s="125">
        <v>0.10602854171128653</v>
      </c>
      <c r="AP43" s="125">
        <v>0.10169327087999716</v>
      </c>
      <c r="AQ43" s="125">
        <v>9.7337667719866017E-2</v>
      </c>
      <c r="AR43" s="125">
        <v>9.8896131332039228E-2</v>
      </c>
      <c r="AS43" s="125">
        <v>0.10234276608728475</v>
      </c>
      <c r="AT43" s="125">
        <v>0.10351387887051718</v>
      </c>
      <c r="AU43" s="125">
        <v>0.10152757550673566</v>
      </c>
      <c r="AV43" s="125">
        <v>9.697386881056716E-2</v>
      </c>
      <c r="AW43" s="125">
        <v>0.10685824875201075</v>
      </c>
      <c r="AX43" s="125">
        <v>9.7114205559970204E-2</v>
      </c>
      <c r="AY43" s="125">
        <v>0.10133238633956757</v>
      </c>
      <c r="AZ43" s="125">
        <v>0.1033260503056892</v>
      </c>
      <c r="BA43" s="125">
        <v>0.10782584650696322</v>
      </c>
      <c r="BB43" s="125">
        <v>8.955552026165732E-2</v>
      </c>
      <c r="BC43" s="125">
        <v>0.10071152845215563</v>
      </c>
      <c r="BD43" s="125">
        <v>0.10634748731400413</v>
      </c>
      <c r="BE43" s="125">
        <v>0.10275443564871498</v>
      </c>
      <c r="BF43" s="125">
        <v>0.10050197356840407</v>
      </c>
      <c r="BG43" s="125">
        <v>9.3361808072437977E-2</v>
      </c>
      <c r="BH43" s="125">
        <v>0.10148730042668835</v>
      </c>
      <c r="BI43" s="125">
        <v>0.10820065378018826</v>
      </c>
      <c r="BJ43" s="125">
        <v>0.10219996306040682</v>
      </c>
      <c r="BK43" s="125">
        <v>0.10207783491108005</v>
      </c>
      <c r="BL43" s="125">
        <v>9.345037186713416E-2</v>
      </c>
      <c r="BM43" s="125">
        <v>9.7118227936433155E-2</v>
      </c>
      <c r="BN43" s="125">
        <v>0.10274361980345226</v>
      </c>
      <c r="BO43" s="125">
        <v>0.10526651816644254</v>
      </c>
      <c r="BP43" s="125">
        <v>0.1012694357197283</v>
      </c>
      <c r="BQ43" s="125">
        <v>0.10032513880724472</v>
      </c>
      <c r="BR43" s="125">
        <v>0.10328415296955289</v>
      </c>
      <c r="BS43" s="125">
        <v>0.10477889684127197</v>
      </c>
      <c r="BT43" s="125">
        <v>9.9709652460278395E-2</v>
      </c>
      <c r="BU43" s="125">
        <v>9.6871063694845397E-2</v>
      </c>
      <c r="BV43" s="125">
        <v>0.10357273804053545</v>
      </c>
      <c r="BW43" s="125">
        <v>0.10101664211535136</v>
      </c>
      <c r="BX43" s="125">
        <v>8.9695019817474839E-2</v>
      </c>
      <c r="BY43" s="125">
        <v>9.9355240706215417E-2</v>
      </c>
      <c r="BZ43" s="125">
        <v>9.9585939468906259E-2</v>
      </c>
      <c r="CA43" s="125">
        <v>0.10141036136973279</v>
      </c>
      <c r="CB43" s="125">
        <v>0.10531493783795942</v>
      </c>
      <c r="CC43" s="125">
        <v>9.9540543667582138E-2</v>
      </c>
      <c r="CD43" s="125">
        <v>0.10154360517583576</v>
      </c>
      <c r="CE43" s="125">
        <v>0.10595269084630445</v>
      </c>
      <c r="CF43" s="125">
        <v>9.6025749541827202E-2</v>
      </c>
      <c r="CG43" s="125">
        <v>0.10067026546819864</v>
      </c>
      <c r="CH43" s="125">
        <v>0.10197130261337224</v>
      </c>
      <c r="CI43" s="125">
        <v>0.1001874233231273</v>
      </c>
      <c r="CJ43" s="125">
        <v>9.7864065469765615E-2</v>
      </c>
      <c r="CK43" s="125">
        <v>9.9466022441127719E-2</v>
      </c>
      <c r="CL43" s="125">
        <v>9.9539513296522109E-2</v>
      </c>
      <c r="CM43" s="125">
        <v>0.10645347043186443</v>
      </c>
      <c r="CN43" s="125">
        <v>8.8898443526995649E-2</v>
      </c>
      <c r="CO43" s="125">
        <v>0.10299318814113809</v>
      </c>
      <c r="CP43" s="125">
        <v>0.10299244501812925</v>
      </c>
      <c r="CQ43" s="125">
        <v>0.10268588994914597</v>
      </c>
      <c r="CR43" s="125">
        <v>0.10619342592012807</v>
      </c>
      <c r="CS43" s="125">
        <v>9.6400104447359775E-2</v>
      </c>
      <c r="CT43" s="125">
        <v>9.4307307522286304E-2</v>
      </c>
      <c r="CU43" s="125">
        <v>0.10320404463464471</v>
      </c>
      <c r="CV43" s="125">
        <v>9.9529704233933022E-2</v>
      </c>
      <c r="CW43" s="125">
        <v>9.988984775720737E-2</v>
      </c>
      <c r="CX43" s="125">
        <v>9.6959950026491493E-2</v>
      </c>
    </row>
    <row r="44" spans="1:102" s="126" customFormat="1">
      <c r="B44" s="129" t="s">
        <v>114</v>
      </c>
      <c r="C44" s="127">
        <v>0.48531933046146702</v>
      </c>
      <c r="D44" s="127">
        <v>0.48674453520683941</v>
      </c>
      <c r="E44" s="127">
        <v>0.48752328180888799</v>
      </c>
      <c r="F44" s="127">
        <v>0.48807476357134283</v>
      </c>
      <c r="G44" s="127">
        <v>0.48802192755188756</v>
      </c>
      <c r="H44" s="127">
        <v>0.48869481508743673</v>
      </c>
      <c r="I44" s="127">
        <v>0.48850999832403103</v>
      </c>
      <c r="J44" s="127">
        <v>0.49003116282739084</v>
      </c>
      <c r="K44" s="127">
        <v>0.49030383710212411</v>
      </c>
      <c r="L44" s="127">
        <v>0.49056559440569525</v>
      </c>
      <c r="M44" s="127">
        <v>0.49065600795533576</v>
      </c>
      <c r="N44" s="127">
        <v>0.4906966556376729</v>
      </c>
      <c r="O44" s="127">
        <v>0.49051901671344084</v>
      </c>
      <c r="P44" s="127">
        <v>0.49059732089384228</v>
      </c>
      <c r="Q44" s="127">
        <v>0.49073136809303075</v>
      </c>
      <c r="R44" s="127">
        <v>0.49064554001568428</v>
      </c>
      <c r="S44" s="127">
        <v>0.49097171926677013</v>
      </c>
      <c r="T44" s="127">
        <v>0.49148182392947659</v>
      </c>
      <c r="U44" s="127">
        <v>0.49171456832176202</v>
      </c>
      <c r="V44" s="127">
        <v>0.49191758410125375</v>
      </c>
      <c r="W44" s="127">
        <v>0.49171479647646388</v>
      </c>
      <c r="X44" s="127">
        <v>0.49193807602238876</v>
      </c>
      <c r="Y44" s="127">
        <v>0.49140892607204778</v>
      </c>
      <c r="Z44" s="127">
        <v>0.49200323759555376</v>
      </c>
      <c r="AA44" s="127">
        <v>0.49220766010900019</v>
      </c>
      <c r="AB44" s="127">
        <v>0.49251499382032204</v>
      </c>
      <c r="AC44" s="127">
        <v>0.49241517075088354</v>
      </c>
      <c r="AD44" s="127">
        <v>0.49280867595863376</v>
      </c>
      <c r="AE44" s="127">
        <v>0.4931348890419337</v>
      </c>
      <c r="AF44" s="127">
        <v>0.49319898702169829</v>
      </c>
      <c r="AG44" s="127">
        <v>0.49348484596789871</v>
      </c>
      <c r="AH44" s="127">
        <v>0.49348100654954258</v>
      </c>
      <c r="AI44" s="127">
        <v>0.49368685137035651</v>
      </c>
      <c r="AJ44" s="127">
        <v>0.49433330038428575</v>
      </c>
      <c r="AK44" s="127">
        <v>0.49440969079364727</v>
      </c>
      <c r="AL44" s="127">
        <v>0.49412399615922381</v>
      </c>
      <c r="AM44" s="127">
        <v>0.49446210911879229</v>
      </c>
      <c r="AN44" s="127">
        <v>0.4942752469248563</v>
      </c>
      <c r="AO44" s="127">
        <v>0.49441036266979882</v>
      </c>
      <c r="AP44" s="127">
        <v>0.49422210919689241</v>
      </c>
      <c r="AQ44" s="127">
        <v>0.49466780490832551</v>
      </c>
      <c r="AR44" s="127">
        <v>0.49422298888559757</v>
      </c>
      <c r="AS44" s="127">
        <v>0.49465606958896552</v>
      </c>
      <c r="AT44" s="127">
        <v>0.49497405184681287</v>
      </c>
      <c r="AU44" s="127">
        <v>0.49507970109873806</v>
      </c>
      <c r="AV44" s="127">
        <v>0.49489370728675075</v>
      </c>
      <c r="AW44" s="127">
        <v>0.4951369246617312</v>
      </c>
      <c r="AX44" s="127">
        <v>0.49504970974112561</v>
      </c>
      <c r="AY44" s="127">
        <v>0.49506335452103067</v>
      </c>
      <c r="AZ44" s="127">
        <v>0.49526057511423216</v>
      </c>
      <c r="BA44" s="127">
        <v>0.49549574005722358</v>
      </c>
      <c r="BB44" s="127">
        <v>0.49527097674607218</v>
      </c>
      <c r="BC44" s="127">
        <v>0.49553109787183913</v>
      </c>
      <c r="BD44" s="127">
        <v>0.49569523622483569</v>
      </c>
      <c r="BE44" s="127">
        <v>0.49567687257696197</v>
      </c>
      <c r="BF44" s="127">
        <v>0.49544259691736214</v>
      </c>
      <c r="BG44" s="127">
        <v>0.49570859232904696</v>
      </c>
      <c r="BH44" s="127">
        <v>0.49603833563737487</v>
      </c>
      <c r="BI44" s="127">
        <v>0.49614052776528073</v>
      </c>
      <c r="BJ44" s="127">
        <v>0.49586302053008446</v>
      </c>
      <c r="BK44" s="127">
        <v>0.49593195131567847</v>
      </c>
      <c r="BL44" s="127">
        <v>0.49629289595319043</v>
      </c>
      <c r="BM44" s="127">
        <v>0.49626107751724591</v>
      </c>
      <c r="BN44" s="127">
        <v>0.49639989084591329</v>
      </c>
      <c r="BO44" s="127">
        <v>0.49643228354039254</v>
      </c>
      <c r="BP44" s="127">
        <v>0.49642833173735457</v>
      </c>
      <c r="BQ44" s="127">
        <v>0.4966990938485607</v>
      </c>
      <c r="BR44" s="127">
        <v>0.49693324796668309</v>
      </c>
      <c r="BS44" s="127">
        <v>0.49691618242347219</v>
      </c>
      <c r="BT44" s="127">
        <v>0.49696213190033145</v>
      </c>
      <c r="BU44" s="127">
        <v>0.49696063467147111</v>
      </c>
      <c r="BV44" s="127">
        <v>0.49702352542909245</v>
      </c>
      <c r="BW44" s="127">
        <v>0.4970792935672082</v>
      </c>
      <c r="BX44" s="127">
        <v>0.49722812118424858</v>
      </c>
      <c r="BY44" s="127">
        <v>0.49705770203663069</v>
      </c>
      <c r="BZ44" s="127">
        <v>0.49722501851763495</v>
      </c>
      <c r="CA44" s="127">
        <v>0.49719667691538794</v>
      </c>
      <c r="CB44" s="127">
        <v>0.49721935609155832</v>
      </c>
      <c r="CC44" s="127">
        <v>0.49728717647595461</v>
      </c>
      <c r="CD44" s="127">
        <v>0.49744020832713559</v>
      </c>
      <c r="CE44" s="127">
        <v>0.49751505470298923</v>
      </c>
      <c r="CF44" s="127">
        <v>0.49753951859094581</v>
      </c>
      <c r="CG44" s="127">
        <v>0.49770245622876691</v>
      </c>
      <c r="CH44" s="127">
        <v>0.49791787950381627</v>
      </c>
      <c r="CI44" s="127">
        <v>0.49793406819960573</v>
      </c>
      <c r="CJ44" s="127">
        <v>0.49788330441973855</v>
      </c>
      <c r="CK44" s="127">
        <v>0.49813770761512854</v>
      </c>
      <c r="CL44" s="127">
        <v>0.49810190387542813</v>
      </c>
      <c r="CM44" s="127">
        <v>0.49846776568608753</v>
      </c>
      <c r="CN44" s="127">
        <v>0.49840184052327952</v>
      </c>
      <c r="CO44" s="127">
        <v>0.49846545994595526</v>
      </c>
      <c r="CP44" s="127">
        <v>0.49865047331410373</v>
      </c>
      <c r="CQ44" s="127">
        <v>0.49899444811623356</v>
      </c>
      <c r="CR44" s="127">
        <v>0.49911475240586989</v>
      </c>
      <c r="CS44" s="127">
        <v>0.49916208624203312</v>
      </c>
      <c r="CT44" s="127">
        <v>0.49926990956445311</v>
      </c>
      <c r="CU44" s="127">
        <v>0.49932473782947995</v>
      </c>
      <c r="CV44" s="127">
        <v>0.49932282304650782</v>
      </c>
      <c r="CW44" s="127">
        <v>0.49963609204233927</v>
      </c>
      <c r="CX44" s="127">
        <v>0.49978959884709906</v>
      </c>
    </row>
    <row r="45" spans="1:102" s="124" customFormat="1">
      <c r="A45" s="108" t="str">
        <f>Parameters!A41</f>
        <v>Groei recessie</v>
      </c>
      <c r="B45" s="122" t="s">
        <v>29</v>
      </c>
      <c r="C45" s="123">
        <v>8.8738382940543557E-3</v>
      </c>
      <c r="D45" s="123">
        <v>5.2970289107820735E-3</v>
      </c>
      <c r="E45" s="123">
        <v>5.0790358100296744E-3</v>
      </c>
      <c r="F45" s="123">
        <v>2.6138066613290824E-3</v>
      </c>
      <c r="G45" s="123">
        <v>6.9724904238887943E-3</v>
      </c>
      <c r="H45" s="123">
        <v>9.96075747792847E-3</v>
      </c>
      <c r="I45" s="123">
        <v>4.1959967071404716E-3</v>
      </c>
      <c r="J45" s="123">
        <v>7.5077109575052928E-3</v>
      </c>
      <c r="K45" s="123">
        <v>6.7235099074269599E-3</v>
      </c>
      <c r="L45" s="123">
        <v>7.2602054986063451E-3</v>
      </c>
      <c r="M45" s="123">
        <v>8.7909519916527217E-3</v>
      </c>
      <c r="N45" s="123">
        <v>7.3808827333636364E-3</v>
      </c>
      <c r="O45" s="123">
        <v>7.6670872745243038E-3</v>
      </c>
      <c r="P45" s="123">
        <v>5.0928750188949838E-3</v>
      </c>
      <c r="Q45" s="123">
        <v>5.2477853149430313E-3</v>
      </c>
      <c r="R45" s="123">
        <v>8.5668446862646568E-3</v>
      </c>
      <c r="S45" s="123">
        <v>7.4158677981267362E-3</v>
      </c>
      <c r="T45" s="123">
        <v>2.1067143266754306E-3</v>
      </c>
      <c r="U45" s="123">
        <v>4.6384071894156713E-3</v>
      </c>
      <c r="V45" s="123">
        <v>5.5155870099961486E-3</v>
      </c>
      <c r="W45" s="123">
        <v>7.978055957736303E-3</v>
      </c>
      <c r="X45" s="123">
        <v>3.4395287109890587E-3</v>
      </c>
      <c r="Y45" s="123">
        <v>7.5109196920534358E-3</v>
      </c>
      <c r="Z45" s="123">
        <v>1.7476317697988043E-3</v>
      </c>
      <c r="AA45" s="123">
        <v>5.4738549168034424E-3</v>
      </c>
      <c r="AB45" s="123">
        <v>2.6705170803785986E-3</v>
      </c>
      <c r="AC45" s="123">
        <v>8.5391286865366123E-3</v>
      </c>
      <c r="AD45" s="123">
        <v>6.6414477871718884E-3</v>
      </c>
      <c r="AE45" s="123">
        <v>7.3337535040514604E-3</v>
      </c>
      <c r="AF45" s="123">
        <v>2.6475093228174994E-3</v>
      </c>
      <c r="AG45" s="123">
        <v>6.5062793916609591E-3</v>
      </c>
      <c r="AH45" s="123">
        <v>7.0868398469345817E-3</v>
      </c>
      <c r="AI45" s="123">
        <v>4.5415827878485839E-3</v>
      </c>
      <c r="AJ45" s="123">
        <v>4.0450299168816378E-3</v>
      </c>
      <c r="AK45" s="123">
        <v>3.8988172221260239E-3</v>
      </c>
      <c r="AL45" s="123">
        <v>1.1910879153701748E-3</v>
      </c>
      <c r="AM45" s="123">
        <v>1.0988893463691192E-3</v>
      </c>
      <c r="AN45" s="123">
        <v>7.4607076632475511E-3</v>
      </c>
      <c r="AO45" s="123">
        <v>9.9702134007986914E-3</v>
      </c>
      <c r="AP45" s="123">
        <v>5.6714940825030981E-3</v>
      </c>
      <c r="AQ45" s="123">
        <v>5.5808623794755489E-3</v>
      </c>
      <c r="AR45" s="123">
        <v>8.4698500966518542E-3</v>
      </c>
      <c r="AS45" s="123">
        <v>6.1168050122873546E-3</v>
      </c>
      <c r="AT45" s="123">
        <v>9.9281063331932463E-3</v>
      </c>
      <c r="AU45" s="123">
        <v>6.2619090819430326E-3</v>
      </c>
      <c r="AV45" s="123">
        <v>3.2953759441067491E-3</v>
      </c>
      <c r="AW45" s="123">
        <v>7.3663227768699588E-3</v>
      </c>
      <c r="AX45" s="123">
        <v>5.3737166958951095E-3</v>
      </c>
      <c r="AY45" s="123">
        <v>7.3648342633697451E-3</v>
      </c>
      <c r="AZ45" s="123">
        <v>9.993817632361587E-3</v>
      </c>
      <c r="BA45" s="123">
        <v>1.0998521772728328E-2</v>
      </c>
      <c r="BB45" s="123">
        <v>5.856665504423938E-3</v>
      </c>
      <c r="BC45" s="123">
        <v>3.4944420369234105E-3</v>
      </c>
      <c r="BD45" s="123">
        <v>9.4617766541632842E-3</v>
      </c>
      <c r="BE45" s="123">
        <v>6.5859399117470111E-3</v>
      </c>
      <c r="BF45" s="123">
        <v>7.5411021345697981E-3</v>
      </c>
      <c r="BG45" s="123">
        <v>5.741938863386831E-3</v>
      </c>
      <c r="BH45" s="123">
        <v>1.0522692951396911E-2</v>
      </c>
      <c r="BI45" s="123">
        <v>8.64859265621086E-3</v>
      </c>
      <c r="BJ45" s="123">
        <v>6.2779080854787825E-3</v>
      </c>
      <c r="BK45" s="123">
        <v>4.121750984414428E-3</v>
      </c>
      <c r="BL45" s="123">
        <v>4.4924075780160737E-3</v>
      </c>
      <c r="BM45" s="123">
        <v>4.0947789633393114E-3</v>
      </c>
      <c r="BN45" s="123">
        <v>9.6869389853258981E-3</v>
      </c>
      <c r="BO45" s="123">
        <v>7.9443469975354411E-3</v>
      </c>
      <c r="BP45" s="123">
        <v>7.5165856393495968E-3</v>
      </c>
      <c r="BQ45" s="123">
        <v>3.0350094705641917E-3</v>
      </c>
      <c r="BR45" s="123">
        <v>7.0141615398384479E-3</v>
      </c>
      <c r="BS45" s="123">
        <v>7.3316174085011291E-3</v>
      </c>
      <c r="BT45" s="123">
        <v>2.9222749493947246E-3</v>
      </c>
      <c r="BU45" s="123">
        <v>3.1773387040744056E-3</v>
      </c>
      <c r="BV45" s="123">
        <v>7.4048429314600428E-3</v>
      </c>
      <c r="BW45" s="123">
        <v>4.134628150207903E-3</v>
      </c>
      <c r="BX45" s="123">
        <v>6.9309014638207316E-3</v>
      </c>
      <c r="BY45" s="123">
        <v>7.1396930091030689E-3</v>
      </c>
      <c r="BZ45" s="123">
        <v>3.1203301902001726E-3</v>
      </c>
      <c r="CA45" s="123">
        <v>6.8293730906043865E-3</v>
      </c>
      <c r="CB45" s="123">
        <v>8.0720032186133404E-3</v>
      </c>
      <c r="CC45" s="123">
        <v>1.3818576671074732E-3</v>
      </c>
      <c r="CD45" s="123">
        <v>1.1026303816486845E-2</v>
      </c>
      <c r="CE45" s="123">
        <v>7.1687899764314496E-3</v>
      </c>
      <c r="CF45" s="123">
        <v>6.0018127587609374E-3</v>
      </c>
      <c r="CG45" s="123">
        <v>7.9564933449422434E-3</v>
      </c>
      <c r="CH45" s="123">
        <v>5.6575586375467333E-3</v>
      </c>
      <c r="CI45" s="123">
        <v>5.6440898481550225E-3</v>
      </c>
      <c r="CJ45" s="123">
        <v>5.9639585769715635E-3</v>
      </c>
      <c r="CK45" s="123">
        <v>4.2664767909271631E-3</v>
      </c>
      <c r="CL45" s="123">
        <v>5.8485526793998219E-3</v>
      </c>
      <c r="CM45" s="123">
        <v>9.3876543772753278E-3</v>
      </c>
      <c r="CN45" s="123">
        <v>4.579334699630136E-3</v>
      </c>
      <c r="CO45" s="123">
        <v>1.0664986286604256E-2</v>
      </c>
      <c r="CP45" s="123">
        <v>6.7928881379371274E-3</v>
      </c>
      <c r="CQ45" s="123">
        <v>4.7992345791252368E-3</v>
      </c>
      <c r="CR45" s="123">
        <v>8.9859426746188211E-3</v>
      </c>
      <c r="CS45" s="123">
        <v>5.8348517884543455E-3</v>
      </c>
      <c r="CT45" s="123">
        <v>3.9195289659842885E-3</v>
      </c>
      <c r="CU45" s="123">
        <v>8.3170989873409297E-3</v>
      </c>
      <c r="CV45" s="123">
        <v>2.653514533343569E-3</v>
      </c>
      <c r="CW45" s="123">
        <v>7.1790292065573519E-3</v>
      </c>
      <c r="CX45" s="123">
        <v>7.8662177118098524E-3</v>
      </c>
    </row>
    <row r="46" spans="1:102" s="23" customFormat="1">
      <c r="B46" s="14" t="s">
        <v>30</v>
      </c>
      <c r="C46" s="125">
        <v>5.4735540923205393E-2</v>
      </c>
      <c r="D46" s="125">
        <v>4.8742459101843091E-2</v>
      </c>
      <c r="E46" s="125">
        <v>4.9368683253238885E-2</v>
      </c>
      <c r="F46" s="125">
        <v>5.0717750490493686E-2</v>
      </c>
      <c r="G46" s="125">
        <v>4.9937085301205941E-2</v>
      </c>
      <c r="H46" s="125">
        <v>5.2788274286564164E-2</v>
      </c>
      <c r="I46" s="125">
        <v>4.9005550220231377E-2</v>
      </c>
      <c r="J46" s="125">
        <v>5.0681564488586218E-2</v>
      </c>
      <c r="K46" s="125">
        <v>4.8632900257691618E-2</v>
      </c>
      <c r="L46" s="125">
        <v>5.3020540471888714E-2</v>
      </c>
      <c r="M46" s="125">
        <v>5.6861710558133542E-2</v>
      </c>
      <c r="N46" s="125">
        <v>5.7609655920304439E-2</v>
      </c>
      <c r="O46" s="125">
        <v>5.5004238117230382E-2</v>
      </c>
      <c r="P46" s="125">
        <v>5.0750056390453074E-2</v>
      </c>
      <c r="Q46" s="125">
        <v>4.9226748151383302E-2</v>
      </c>
      <c r="R46" s="125">
        <v>5.2042487575304046E-2</v>
      </c>
      <c r="S46" s="125">
        <v>5.5610318135934152E-2</v>
      </c>
      <c r="T46" s="125">
        <v>4.9884440466677608E-2</v>
      </c>
      <c r="U46" s="125">
        <v>5.0662941425688418E-2</v>
      </c>
      <c r="V46" s="125">
        <v>5.1311300167473088E-2</v>
      </c>
      <c r="W46" s="125">
        <v>5.1123202452371085E-2</v>
      </c>
      <c r="X46" s="125">
        <v>4.9749229650580484E-2</v>
      </c>
      <c r="Y46" s="125">
        <v>4.8355760329415048E-2</v>
      </c>
      <c r="Z46" s="125">
        <v>4.8253530520836668E-2</v>
      </c>
      <c r="AA46" s="125">
        <v>4.840150244986894E-2</v>
      </c>
      <c r="AB46" s="125">
        <v>5.1125216422787452E-2</v>
      </c>
      <c r="AC46" s="125">
        <v>5.2428660434589561E-2</v>
      </c>
      <c r="AD46" s="125">
        <v>5.2624919758323833E-2</v>
      </c>
      <c r="AE46" s="125">
        <v>5.3530756061423081E-2</v>
      </c>
      <c r="AF46" s="125">
        <v>4.911270549817659E-2</v>
      </c>
      <c r="AG46" s="125">
        <v>5.2166619602725131E-2</v>
      </c>
      <c r="AH46" s="125">
        <v>4.8126452889686651E-2</v>
      </c>
      <c r="AI46" s="125">
        <v>5.1481757562196521E-2</v>
      </c>
      <c r="AJ46" s="125">
        <v>5.0497777255002201E-2</v>
      </c>
      <c r="AK46" s="125">
        <v>5.0595435143380135E-2</v>
      </c>
      <c r="AL46" s="125">
        <v>4.7311938249366796E-2</v>
      </c>
      <c r="AM46" s="125">
        <v>5.1221826502619944E-2</v>
      </c>
      <c r="AN46" s="125">
        <v>5.0424844120756054E-2</v>
      </c>
      <c r="AO46" s="125">
        <v>5.2412946067184531E-2</v>
      </c>
      <c r="AP46" s="125">
        <v>4.8417647609164546E-2</v>
      </c>
      <c r="AQ46" s="125">
        <v>5.2399386685258897E-2</v>
      </c>
      <c r="AR46" s="125">
        <v>5.0499763363908386E-2</v>
      </c>
      <c r="AS46" s="125">
        <v>5.3374066356411794E-2</v>
      </c>
      <c r="AT46" s="125">
        <v>5.5463389606594804E-2</v>
      </c>
      <c r="AU46" s="125">
        <v>5.3466944104703984E-2</v>
      </c>
      <c r="AV46" s="125">
        <v>4.8443794394230369E-2</v>
      </c>
      <c r="AW46" s="125">
        <v>4.9808360566453269E-2</v>
      </c>
      <c r="AX46" s="125">
        <v>5.2715570842299178E-2</v>
      </c>
      <c r="AY46" s="125">
        <v>5.3006139791456998E-2</v>
      </c>
      <c r="AZ46" s="125">
        <v>5.5463585615410177E-2</v>
      </c>
      <c r="BA46" s="125">
        <v>5.8808084915509158E-2</v>
      </c>
      <c r="BB46" s="125">
        <v>5.1544380736547067E-2</v>
      </c>
      <c r="BC46" s="125">
        <v>4.9796085869614946E-2</v>
      </c>
      <c r="BD46" s="125">
        <v>5.2841509812311047E-2</v>
      </c>
      <c r="BE46" s="125">
        <v>5.0666423176462777E-2</v>
      </c>
      <c r="BF46" s="125">
        <v>4.6745778175684767E-2</v>
      </c>
      <c r="BG46" s="125">
        <v>5.0771647677964611E-2</v>
      </c>
      <c r="BH46" s="125">
        <v>5.6162193246227614E-2</v>
      </c>
      <c r="BI46" s="125">
        <v>5.1070815082726831E-2</v>
      </c>
      <c r="BJ46" s="125">
        <v>4.7280546638310876E-2</v>
      </c>
      <c r="BK46" s="125">
        <v>4.5968878380782334E-2</v>
      </c>
      <c r="BL46" s="125">
        <v>4.9681581159408246E-2</v>
      </c>
      <c r="BM46" s="125">
        <v>4.8570281923645618E-2</v>
      </c>
      <c r="BN46" s="125">
        <v>5.3425052345975686E-2</v>
      </c>
      <c r="BO46" s="125">
        <v>5.2917009263173442E-2</v>
      </c>
      <c r="BP46" s="125">
        <v>5.008532994395181E-2</v>
      </c>
      <c r="BQ46" s="125">
        <v>4.717998479340213E-2</v>
      </c>
      <c r="BR46" s="125">
        <v>5.0351902592493447E-2</v>
      </c>
      <c r="BS46" s="125">
        <v>4.9642766279705847E-2</v>
      </c>
      <c r="BT46" s="125">
        <v>5.0202348181991936E-2</v>
      </c>
      <c r="BU46" s="125">
        <v>5.1760279145872085E-2</v>
      </c>
      <c r="BV46" s="125">
        <v>5.1074369838586736E-2</v>
      </c>
      <c r="BW46" s="125">
        <v>4.9433236879017975E-2</v>
      </c>
      <c r="BX46" s="125">
        <v>5.7299495218041403E-2</v>
      </c>
      <c r="BY46" s="125">
        <v>5.277289397745151E-2</v>
      </c>
      <c r="BZ46" s="125">
        <v>4.914076186392069E-2</v>
      </c>
      <c r="CA46" s="125">
        <v>4.970554956024717E-2</v>
      </c>
      <c r="CB46" s="125">
        <v>4.9653359465607012E-2</v>
      </c>
      <c r="CC46" s="125">
        <v>4.7808783606209465E-2</v>
      </c>
      <c r="CD46" s="125">
        <v>5.6700247541146484E-2</v>
      </c>
      <c r="CE46" s="125">
        <v>4.9476565981725604E-2</v>
      </c>
      <c r="CF46" s="125">
        <v>4.8274117425933682E-2</v>
      </c>
      <c r="CG46" s="125">
        <v>4.8299215762108529E-2</v>
      </c>
      <c r="CH46" s="125">
        <v>4.8463216831752955E-2</v>
      </c>
      <c r="CI46" s="125">
        <v>5.1338905671859079E-2</v>
      </c>
      <c r="CJ46" s="125">
        <v>4.5308337514256086E-2</v>
      </c>
      <c r="CK46" s="125">
        <v>4.7229181908148433E-2</v>
      </c>
      <c r="CL46" s="125">
        <v>4.4355429274024916E-2</v>
      </c>
      <c r="CM46" s="125">
        <v>5.3657433964308006E-2</v>
      </c>
      <c r="CN46" s="125">
        <v>5.0321172076524277E-2</v>
      </c>
      <c r="CO46" s="125">
        <v>5.4237472177899461E-2</v>
      </c>
      <c r="CP46" s="125">
        <v>4.7016402940808485E-2</v>
      </c>
      <c r="CQ46" s="125">
        <v>4.6020813082751445E-2</v>
      </c>
      <c r="CR46" s="125">
        <v>5.2037718208915049E-2</v>
      </c>
      <c r="CS46" s="125">
        <v>5.135356670309775E-2</v>
      </c>
      <c r="CT46" s="125">
        <v>4.9940425061705387E-2</v>
      </c>
      <c r="CU46" s="125">
        <v>5.0052122136003782E-2</v>
      </c>
      <c r="CV46" s="125">
        <v>4.7878936355959467E-2</v>
      </c>
      <c r="CW46" s="125">
        <v>5.0639469869826648E-2</v>
      </c>
      <c r="CX46" s="125">
        <v>5.3647686891212375E-2</v>
      </c>
    </row>
    <row r="47" spans="1:102" s="23" customFormat="1">
      <c r="B47" s="67" t="s">
        <v>56</v>
      </c>
      <c r="C47" s="125">
        <v>9.0115266941201144E-2</v>
      </c>
      <c r="D47" s="125">
        <v>8.7248895542576893E-2</v>
      </c>
      <c r="E47" s="125">
        <v>8.4895416648017183E-2</v>
      </c>
      <c r="F47" s="125">
        <v>8.8215076331208842E-2</v>
      </c>
      <c r="G47" s="125">
        <v>9.4588804761050513E-2</v>
      </c>
      <c r="H47" s="125">
        <v>9.4901893417930608E-2</v>
      </c>
      <c r="I47" s="125">
        <v>9.0230196000915044E-2</v>
      </c>
      <c r="J47" s="125">
        <v>9.2630961324041999E-2</v>
      </c>
      <c r="K47" s="125">
        <v>9.3895561721215201E-2</v>
      </c>
      <c r="L47" s="125">
        <v>8.9997578861828589E-2</v>
      </c>
      <c r="M47" s="125">
        <v>9.7254234847693702E-2</v>
      </c>
      <c r="N47" s="125">
        <v>9.4474222376377967E-2</v>
      </c>
      <c r="O47" s="125">
        <v>9.0788953486825669E-2</v>
      </c>
      <c r="P47" s="125">
        <v>8.5899811386980954E-2</v>
      </c>
      <c r="Q47" s="125">
        <v>9.1981195373135483E-2</v>
      </c>
      <c r="R47" s="125">
        <v>9.4053519869313207E-2</v>
      </c>
      <c r="S47" s="125">
        <v>9.146286819417708E-2</v>
      </c>
      <c r="T47" s="125">
        <v>8.8334647883343761E-2</v>
      </c>
      <c r="U47" s="125">
        <v>9.3087589031330617E-2</v>
      </c>
      <c r="V47" s="125">
        <v>9.4790219484303911E-2</v>
      </c>
      <c r="W47" s="125">
        <v>9.2239228585289559E-2</v>
      </c>
      <c r="X47" s="125">
        <v>9.229111449603139E-2</v>
      </c>
      <c r="Y47" s="125">
        <v>9.0066784844440514E-2</v>
      </c>
      <c r="Z47" s="125">
        <v>8.9271039612209391E-2</v>
      </c>
      <c r="AA47" s="125">
        <v>9.0712386728575081E-2</v>
      </c>
      <c r="AB47" s="125">
        <v>8.8992690833156154E-2</v>
      </c>
      <c r="AC47" s="125">
        <v>9.2990752239223581E-2</v>
      </c>
      <c r="AD47" s="125">
        <v>8.5502951618784295E-2</v>
      </c>
      <c r="AE47" s="125">
        <v>9.5840958796112152E-2</v>
      </c>
      <c r="AF47" s="125">
        <v>9.0704312267480103E-2</v>
      </c>
      <c r="AG47" s="125">
        <v>9.0157130078583878E-2</v>
      </c>
      <c r="AH47" s="125">
        <v>9.165494771454355E-2</v>
      </c>
      <c r="AI47" s="125">
        <v>8.8280554930458832E-2</v>
      </c>
      <c r="AJ47" s="125">
        <v>8.7397981675216646E-2</v>
      </c>
      <c r="AK47" s="125">
        <v>8.0645954883560508E-2</v>
      </c>
      <c r="AL47" s="125">
        <v>8.8665418565835374E-2</v>
      </c>
      <c r="AM47" s="125">
        <v>8.1233919416647593E-2</v>
      </c>
      <c r="AN47" s="125">
        <v>9.7254434467086731E-2</v>
      </c>
      <c r="AO47" s="125">
        <v>9.7219072555767269E-2</v>
      </c>
      <c r="AP47" s="125">
        <v>9.1499198183017535E-2</v>
      </c>
      <c r="AQ47" s="125">
        <v>8.900418599846395E-2</v>
      </c>
      <c r="AR47" s="125">
        <v>9.0893943466881066E-2</v>
      </c>
      <c r="AS47" s="125">
        <v>9.4955368519625757E-2</v>
      </c>
      <c r="AT47" s="125">
        <v>9.6926314772862426E-2</v>
      </c>
      <c r="AU47" s="125">
        <v>9.3136285196171037E-2</v>
      </c>
      <c r="AV47" s="125">
        <v>8.656574792872955E-2</v>
      </c>
      <c r="AW47" s="125">
        <v>9.6555213781472388E-2</v>
      </c>
      <c r="AX47" s="125">
        <v>8.9197267248156853E-2</v>
      </c>
      <c r="AY47" s="125">
        <v>9.4997316325242706E-2</v>
      </c>
      <c r="AZ47" s="125">
        <v>9.7462812727496823E-2</v>
      </c>
      <c r="BA47" s="125">
        <v>0.10200020929552274</v>
      </c>
      <c r="BB47" s="125">
        <v>8.1138381928617095E-2</v>
      </c>
      <c r="BC47" s="125">
        <v>9.0301600231850326E-2</v>
      </c>
      <c r="BD47" s="125">
        <v>9.7915867942401535E-2</v>
      </c>
      <c r="BE47" s="125">
        <v>9.4522543397737094E-2</v>
      </c>
      <c r="BF47" s="125">
        <v>9.0563976478798755E-2</v>
      </c>
      <c r="BG47" s="125">
        <v>8.406901094314434E-2</v>
      </c>
      <c r="BH47" s="125">
        <v>9.5992332346165318E-2</v>
      </c>
      <c r="BI47" s="125">
        <v>9.8784054985059155E-2</v>
      </c>
      <c r="BJ47" s="125">
        <v>9.3350590245822915E-2</v>
      </c>
      <c r="BK47" s="125">
        <v>9.1654160875425938E-2</v>
      </c>
      <c r="BL47" s="125">
        <v>8.2648060833511811E-2</v>
      </c>
      <c r="BM47" s="125">
        <v>8.6706254793091617E-2</v>
      </c>
      <c r="BN47" s="125">
        <v>9.5415811963255492E-2</v>
      </c>
      <c r="BO47" s="125">
        <v>9.7545458169136234E-2</v>
      </c>
      <c r="BP47" s="125">
        <v>9.4505870742373516E-2</v>
      </c>
      <c r="BQ47" s="125">
        <v>8.9697934695623441E-2</v>
      </c>
      <c r="BR47" s="125">
        <v>9.4374723072536915E-2</v>
      </c>
      <c r="BS47" s="125">
        <v>9.6027963391895912E-2</v>
      </c>
      <c r="BT47" s="125">
        <v>9.0556968308687383E-2</v>
      </c>
      <c r="BU47" s="125">
        <v>8.886675522534726E-2</v>
      </c>
      <c r="BV47" s="125">
        <v>9.517893333803637E-2</v>
      </c>
      <c r="BW47" s="125">
        <v>9.0627809217255648E-2</v>
      </c>
      <c r="BX47" s="125">
        <v>8.4456811345895513E-2</v>
      </c>
      <c r="BY47" s="125">
        <v>9.3200072092903805E-2</v>
      </c>
      <c r="BZ47" s="125">
        <v>8.8925667317252113E-2</v>
      </c>
      <c r="CA47" s="125">
        <v>9.4024327786648973E-2</v>
      </c>
      <c r="CB47" s="125">
        <v>9.586774682143813E-2</v>
      </c>
      <c r="CC47" s="125">
        <v>8.8933382691014251E-2</v>
      </c>
      <c r="CD47" s="125">
        <v>9.6774594144165518E-2</v>
      </c>
      <c r="CE47" s="125">
        <v>9.6309923242625717E-2</v>
      </c>
      <c r="CF47" s="125">
        <v>8.5925099452239459E-2</v>
      </c>
      <c r="CG47" s="125">
        <v>9.2424017848727488E-2</v>
      </c>
      <c r="CH47" s="125">
        <v>9.3759160804279512E-2</v>
      </c>
      <c r="CI47" s="125">
        <v>9.3294894490124403E-2</v>
      </c>
      <c r="CJ47" s="125">
        <v>8.8228785706447585E-2</v>
      </c>
      <c r="CK47" s="125">
        <v>9.0209891496205619E-2</v>
      </c>
      <c r="CL47" s="125">
        <v>9.0572281621246808E-2</v>
      </c>
      <c r="CM47" s="125">
        <v>9.9575547401360237E-2</v>
      </c>
      <c r="CN47" s="125">
        <v>8.0653714266177387E-2</v>
      </c>
      <c r="CO47" s="125">
        <v>9.7490543642167332E-2</v>
      </c>
      <c r="CP47" s="125">
        <v>9.3914499346556851E-2</v>
      </c>
      <c r="CQ47" s="125">
        <v>9.2614602970281484E-2</v>
      </c>
      <c r="CR47" s="125">
        <v>9.9309782335943675E-2</v>
      </c>
      <c r="CS47" s="125">
        <v>8.9050269530975029E-2</v>
      </c>
      <c r="CT47" s="125">
        <v>8.5697930619399384E-2</v>
      </c>
      <c r="CU47" s="125">
        <v>9.3948924303778839E-2</v>
      </c>
      <c r="CV47" s="125">
        <v>9.0381049926647472E-2</v>
      </c>
      <c r="CW47" s="125">
        <v>9.3631558638696433E-2</v>
      </c>
      <c r="CX47" s="125">
        <v>9.2027305349713401E-2</v>
      </c>
    </row>
    <row r="48" spans="1:102" s="23" customFormat="1">
      <c r="A48" s="126"/>
      <c r="B48" s="67" t="s">
        <v>114</v>
      </c>
      <c r="C48" s="125">
        <v>0.50820749765522266</v>
      </c>
      <c r="D48" s="125">
        <v>0.53843275413469349</v>
      </c>
      <c r="E48" s="125">
        <v>0.53969995684332828</v>
      </c>
      <c r="F48" s="125">
        <v>0.5578945604195289</v>
      </c>
      <c r="G48" s="125">
        <v>0.52417165682663469</v>
      </c>
      <c r="H48" s="125">
        <v>0.50029657154005391</v>
      </c>
      <c r="I48" s="125">
        <v>0.54713875274912738</v>
      </c>
      <c r="J48" s="125">
        <v>0.51961026454860448</v>
      </c>
      <c r="K48" s="125">
        <v>0.52685717399991083</v>
      </c>
      <c r="L48" s="125">
        <v>0.52060585608213383</v>
      </c>
      <c r="M48" s="125">
        <v>0.50848205271846525</v>
      </c>
      <c r="N48" s="125">
        <v>0.51813093252180176</v>
      </c>
      <c r="O48" s="125">
        <v>0.51691539766173555</v>
      </c>
      <c r="P48" s="125">
        <v>0.53851450756750729</v>
      </c>
      <c r="Q48" s="125">
        <v>0.53845305290054502</v>
      </c>
      <c r="R48" s="125">
        <v>0.51098475533746046</v>
      </c>
      <c r="S48" s="125">
        <v>0.51853160946564603</v>
      </c>
      <c r="T48" s="125">
        <v>0.56286277557792286</v>
      </c>
      <c r="U48" s="125">
        <v>0.54214086404974526</v>
      </c>
      <c r="V48" s="125">
        <v>0.53482170772845894</v>
      </c>
      <c r="W48" s="125">
        <v>0.51577422153055563</v>
      </c>
      <c r="X48" s="125">
        <v>0.55245676201848115</v>
      </c>
      <c r="Y48" s="125">
        <v>0.52052622132328219</v>
      </c>
      <c r="Z48" s="125">
        <v>0.56789638305028112</v>
      </c>
      <c r="AA48" s="125">
        <v>0.53725178677463448</v>
      </c>
      <c r="AB48" s="125">
        <v>0.55699839161988751</v>
      </c>
      <c r="AC48" s="125">
        <v>0.51111468273678962</v>
      </c>
      <c r="AD48" s="125">
        <v>0.52544344919423669</v>
      </c>
      <c r="AE48" s="125">
        <v>0.51986220448476383</v>
      </c>
      <c r="AF48" s="125">
        <v>0.5595019055733409</v>
      </c>
      <c r="AG48" s="125">
        <v>0.52669813856559644</v>
      </c>
      <c r="AH48" s="125">
        <v>0.52413378421753631</v>
      </c>
      <c r="AI48" s="125">
        <v>0.54221923371696612</v>
      </c>
      <c r="AJ48" s="125">
        <v>0.54693661239810243</v>
      </c>
      <c r="AK48" s="125">
        <v>0.54799115988070135</v>
      </c>
      <c r="AL48" s="125">
        <v>0.57385130750558366</v>
      </c>
      <c r="AM48" s="125">
        <v>0.5689791433605722</v>
      </c>
      <c r="AN48" s="125">
        <v>0.52008143196529422</v>
      </c>
      <c r="AO48" s="125">
        <v>0.50022672133628754</v>
      </c>
      <c r="AP48" s="125">
        <v>0.53561772746350966</v>
      </c>
      <c r="AQ48" s="125">
        <v>0.53360522537082677</v>
      </c>
      <c r="AR48" s="125">
        <v>0.5120861575665856</v>
      </c>
      <c r="AS48" s="125">
        <v>0.52899919711786603</v>
      </c>
      <c r="AT48" s="125">
        <v>0.50051712337730991</v>
      </c>
      <c r="AU48" s="125">
        <v>0.52786896723555954</v>
      </c>
      <c r="AV48" s="125">
        <v>0.55503787524176329</v>
      </c>
      <c r="AW48" s="125">
        <v>0.5210847293492411</v>
      </c>
      <c r="AX48" s="125">
        <v>0.53496601947594014</v>
      </c>
      <c r="AY48" s="125">
        <v>0.51982498915389941</v>
      </c>
      <c r="AZ48" s="125">
        <v>0.50004446895763188</v>
      </c>
      <c r="BA48" s="125">
        <v>0.49322655356380202</v>
      </c>
      <c r="BB48" s="125">
        <v>0.53203400458746142</v>
      </c>
      <c r="BC48" s="125">
        <v>0.55197151805624589</v>
      </c>
      <c r="BD48" s="125">
        <v>0.50406340274949624</v>
      </c>
      <c r="BE48" s="125">
        <v>0.52686163408485498</v>
      </c>
      <c r="BF48" s="125">
        <v>0.52097528752095956</v>
      </c>
      <c r="BG48" s="125">
        <v>0.53341887503520447</v>
      </c>
      <c r="BH48" s="125">
        <v>0.49628715875110035</v>
      </c>
      <c r="BI48" s="125">
        <v>0.51055535564939869</v>
      </c>
      <c r="BJ48" s="125">
        <v>0.53137373855709025</v>
      </c>
      <c r="BK48" s="125">
        <v>0.5508758687360481</v>
      </c>
      <c r="BL48" s="125">
        <v>0.54413545804657193</v>
      </c>
      <c r="BM48" s="125">
        <v>0.54838454952830384</v>
      </c>
      <c r="BN48" s="125">
        <v>0.5023377152640105</v>
      </c>
      <c r="BO48" s="125">
        <v>0.51549370785235638</v>
      </c>
      <c r="BP48" s="125">
        <v>0.51977291907772993</v>
      </c>
      <c r="BQ48" s="125">
        <v>0.55868101661674274</v>
      </c>
      <c r="BR48" s="125">
        <v>0.52364318720042613</v>
      </c>
      <c r="BS48" s="125">
        <v>0.52143350024650748</v>
      </c>
      <c r="BT48" s="125">
        <v>0.55605868680777049</v>
      </c>
      <c r="BU48" s="125">
        <v>0.55243377296818141</v>
      </c>
      <c r="BV48" s="125">
        <v>0.52026207193065266</v>
      </c>
      <c r="BW48" s="125">
        <v>0.54722462255878845</v>
      </c>
      <c r="BX48" s="125">
        <v>0.52135809340242434</v>
      </c>
      <c r="BY48" s="125">
        <v>0.52161221146962489</v>
      </c>
      <c r="BZ48" s="125">
        <v>0.5556697085526372</v>
      </c>
      <c r="CA48" s="125">
        <v>0.52543055789746074</v>
      </c>
      <c r="CB48" s="125">
        <v>0.51548669027489769</v>
      </c>
      <c r="CC48" s="125">
        <v>0.57152684721546076</v>
      </c>
      <c r="CD48" s="125">
        <v>0.49277933260220314</v>
      </c>
      <c r="CE48" s="125">
        <v>0.52281632211943663</v>
      </c>
      <c r="CF48" s="125">
        <v>0.53300369509601486</v>
      </c>
      <c r="CG48" s="125">
        <v>0.51687393952873029</v>
      </c>
      <c r="CH48" s="125">
        <v>0.53569858214374144</v>
      </c>
      <c r="CI48" s="125">
        <v>0.53380816115654417</v>
      </c>
      <c r="CJ48" s="125">
        <v>0.53549061232341244</v>
      </c>
      <c r="CK48" s="125">
        <v>0.54831205747228928</v>
      </c>
      <c r="CL48" s="125">
        <v>0.53728456741695663</v>
      </c>
      <c r="CM48" s="125">
        <v>0.50455268242588114</v>
      </c>
      <c r="CN48" s="125">
        <v>0.54289163899753523</v>
      </c>
      <c r="CO48" s="125">
        <v>0.4951088336433363</v>
      </c>
      <c r="CP48" s="125">
        <v>0.52719180806669663</v>
      </c>
      <c r="CQ48" s="125">
        <v>0.54498828446711112</v>
      </c>
      <c r="CR48" s="125">
        <v>0.50777368326490002</v>
      </c>
      <c r="CS48" s="125">
        <v>0.53232168267732549</v>
      </c>
      <c r="CT48" s="125">
        <v>0.54845327168476898</v>
      </c>
      <c r="CU48" s="125">
        <v>0.51341109748737002</v>
      </c>
      <c r="CV48" s="125">
        <v>0.5609738665803069</v>
      </c>
      <c r="CW48" s="125">
        <v>0.52221237156689981</v>
      </c>
      <c r="CX48" s="125">
        <v>0.51586334157063252</v>
      </c>
    </row>
    <row r="49" spans="1:102" s="124" customFormat="1">
      <c r="A49" s="108" t="str">
        <f>Parameters!A42</f>
        <v>Inflatie is een fiscaal verschijnsel</v>
      </c>
      <c r="B49" s="122" t="s">
        <v>29</v>
      </c>
      <c r="C49" s="123">
        <v>2.3011619843744099E-2</v>
      </c>
      <c r="D49" s="123">
        <v>2.5782328426480629E-2</v>
      </c>
      <c r="E49" s="123">
        <v>3.0316982294652489E-2</v>
      </c>
      <c r="F49" s="123">
        <v>3.5535355779127822E-2</v>
      </c>
      <c r="G49" s="123">
        <v>3.4047295127727674E-2</v>
      </c>
      <c r="H49" s="123">
        <v>2.609713220122134E-2</v>
      </c>
      <c r="I49" s="123">
        <v>3.0739199429477861E-2</v>
      </c>
      <c r="J49" s="123">
        <v>2.9554182625485946E-2</v>
      </c>
      <c r="K49" s="123">
        <v>3.1969414285489266E-2</v>
      </c>
      <c r="L49" s="123">
        <v>3.5392852619312784E-2</v>
      </c>
      <c r="M49" s="123">
        <v>2.9225094113592413E-2</v>
      </c>
      <c r="N49" s="123">
        <v>2.7648071836883607E-2</v>
      </c>
      <c r="O49" s="123">
        <v>2.8359727768082349E-2</v>
      </c>
      <c r="P49" s="123">
        <v>2.7702705198795828E-2</v>
      </c>
      <c r="Q49" s="123">
        <v>3.267954117206838E-2</v>
      </c>
      <c r="R49" s="123">
        <v>2.7883866991941304E-2</v>
      </c>
      <c r="S49" s="123">
        <v>2.9716096768864088E-2</v>
      </c>
      <c r="T49" s="123">
        <v>3.1547906608338158E-2</v>
      </c>
      <c r="U49" s="123">
        <v>3.2999519914922101E-2</v>
      </c>
      <c r="V49" s="123">
        <v>3.2930612835790567E-2</v>
      </c>
      <c r="W49" s="123">
        <v>2.5512439409952837E-2</v>
      </c>
      <c r="X49" s="123">
        <v>3.282461091723337E-2</v>
      </c>
      <c r="Y49" s="123">
        <v>2.1891048406548895E-2</v>
      </c>
      <c r="Z49" s="123">
        <v>3.204446457171016E-2</v>
      </c>
      <c r="AA49" s="123">
        <v>3.0828467537006059E-2</v>
      </c>
      <c r="AB49" s="123">
        <v>2.6693058884404302E-2</v>
      </c>
      <c r="AC49" s="123">
        <v>3.0722178662063761E-2</v>
      </c>
      <c r="AD49" s="123">
        <v>3.2881511290472107E-2</v>
      </c>
      <c r="AE49" s="123">
        <v>2.388352726859443E-2</v>
      </c>
      <c r="AF49" s="123">
        <v>3.1825334377561916E-2</v>
      </c>
      <c r="AG49" s="123">
        <v>3.4349534628094772E-2</v>
      </c>
      <c r="AH49" s="123">
        <v>2.6998228103690715E-2</v>
      </c>
      <c r="AI49" s="123">
        <v>3.4373406321643776E-2</v>
      </c>
      <c r="AJ49" s="123">
        <v>3.3553535363127857E-2</v>
      </c>
      <c r="AK49" s="123">
        <v>4.1005961087200574E-2</v>
      </c>
      <c r="AL49" s="123">
        <v>3.0741853656892297E-2</v>
      </c>
      <c r="AM49" s="123">
        <v>3.7292722099460773E-2</v>
      </c>
      <c r="AN49" s="123">
        <v>3.1605267433012472E-2</v>
      </c>
      <c r="AO49" s="123">
        <v>2.3294771884025289E-2</v>
      </c>
      <c r="AP49" s="123">
        <v>2.7214816046579118E-2</v>
      </c>
      <c r="AQ49" s="123">
        <v>3.1727032456543451E-2</v>
      </c>
      <c r="AR49" s="123">
        <v>2.2510561853772398E-2</v>
      </c>
      <c r="AS49" s="123">
        <v>3.1389309926560298E-2</v>
      </c>
      <c r="AT49" s="123">
        <v>2.8152821825970661E-2</v>
      </c>
      <c r="AU49" s="123">
        <v>3.2138799434494394E-2</v>
      </c>
      <c r="AV49" s="123">
        <v>2.6864516310785829E-2</v>
      </c>
      <c r="AW49" s="123">
        <v>2.844318320009924E-2</v>
      </c>
      <c r="AX49" s="123">
        <v>2.840144006968667E-2</v>
      </c>
      <c r="AY49" s="123">
        <v>2.5377875549444331E-2</v>
      </c>
      <c r="AZ49" s="123">
        <v>2.7169054430235096E-2</v>
      </c>
      <c r="BA49" s="123">
        <v>2.661079771978847E-2</v>
      </c>
      <c r="BB49" s="123">
        <v>2.869559476221225E-2</v>
      </c>
      <c r="BC49" s="123">
        <v>2.5873267461100302E-2</v>
      </c>
      <c r="BD49" s="123">
        <v>2.446438959930396E-2</v>
      </c>
      <c r="BE49" s="123">
        <v>2.4404894708435054E-2</v>
      </c>
      <c r="BF49" s="123">
        <v>2.5814631536806486E-2</v>
      </c>
      <c r="BG49" s="123">
        <v>3.8848199222829241E-2</v>
      </c>
      <c r="BH49" s="123">
        <v>2.6431857292115075E-2</v>
      </c>
      <c r="BI49" s="123">
        <v>2.7602908326469833E-2</v>
      </c>
      <c r="BJ49" s="123">
        <v>2.7481326996199117E-2</v>
      </c>
      <c r="BK49" s="123">
        <v>3.0224961241361304E-2</v>
      </c>
      <c r="BL49" s="123">
        <v>3.6519766081743579E-2</v>
      </c>
      <c r="BM49" s="123">
        <v>3.6217002023647457E-2</v>
      </c>
      <c r="BN49" s="123">
        <v>2.8686020612540809E-2</v>
      </c>
      <c r="BO49" s="123">
        <v>2.8091256754864319E-2</v>
      </c>
      <c r="BP49" s="123">
        <v>2.4987431496765598E-2</v>
      </c>
      <c r="BQ49" s="123">
        <v>2.6358419683308907E-2</v>
      </c>
      <c r="BR49" s="123">
        <v>3.0121601658712291E-2</v>
      </c>
      <c r="BS49" s="123">
        <v>2.5088036698595183E-2</v>
      </c>
      <c r="BT49" s="123">
        <v>2.879120006880153E-2</v>
      </c>
      <c r="BU49" s="123">
        <v>3.0673677294474067E-2</v>
      </c>
      <c r="BV49" s="123">
        <v>2.7058101791902149E-2</v>
      </c>
      <c r="BW49" s="123">
        <v>3.0123451022601583E-2</v>
      </c>
      <c r="BX49" s="123">
        <v>3.797402576495805E-2</v>
      </c>
      <c r="BY49" s="123">
        <v>3.0611780212568173E-2</v>
      </c>
      <c r="BZ49" s="123">
        <v>3.4899182817800169E-2</v>
      </c>
      <c r="CA49" s="123">
        <v>2.532974630642254E-2</v>
      </c>
      <c r="CB49" s="123">
        <v>2.4969845651001583E-2</v>
      </c>
      <c r="CC49" s="123">
        <v>2.7277879486240688E-2</v>
      </c>
      <c r="CD49" s="123">
        <v>2.1511973053367286E-2</v>
      </c>
      <c r="CE49" s="123">
        <v>2.5745959253768502E-2</v>
      </c>
      <c r="CF49" s="123">
        <v>3.3007520655210273E-2</v>
      </c>
      <c r="CG49" s="123">
        <v>2.5199116484775758E-2</v>
      </c>
      <c r="CH49" s="123">
        <v>2.3723611119541323E-2</v>
      </c>
      <c r="CI49" s="123">
        <v>2.7214346334984506E-2</v>
      </c>
      <c r="CJ49" s="123">
        <v>2.4279409688742183E-2</v>
      </c>
      <c r="CK49" s="123">
        <v>2.7969850892722265E-2</v>
      </c>
      <c r="CL49" s="123">
        <v>2.4132948623505835E-2</v>
      </c>
      <c r="CM49" s="123">
        <v>2.3046523329475009E-2</v>
      </c>
      <c r="CN49" s="123">
        <v>3.5429767724064323E-2</v>
      </c>
      <c r="CO49" s="123">
        <v>2.172418425805555E-2</v>
      </c>
      <c r="CP49" s="123">
        <v>2.4634548733167366E-2</v>
      </c>
      <c r="CQ49" s="123">
        <v>2.7166125086135105E-2</v>
      </c>
      <c r="CR49" s="123">
        <v>2.6562106741690961E-2</v>
      </c>
      <c r="CS49" s="123">
        <v>2.9281497818683461E-2</v>
      </c>
      <c r="CT49" s="123">
        <v>3.5577150571658972E-2</v>
      </c>
      <c r="CU49" s="123">
        <v>2.9651868537490727E-2</v>
      </c>
      <c r="CV49" s="123">
        <v>2.6701369999898979E-2</v>
      </c>
      <c r="CW49" s="123">
        <v>2.3183076322083166E-2</v>
      </c>
      <c r="CX49" s="123">
        <v>2.8714126150761302E-2</v>
      </c>
    </row>
    <row r="50" spans="1:102" s="23" customFormat="1">
      <c r="B50" s="14" t="s">
        <v>30</v>
      </c>
      <c r="C50" s="125">
        <v>5.3383670921843318E-2</v>
      </c>
      <c r="D50" s="125">
        <v>4.9520445779165687E-2</v>
      </c>
      <c r="E50" s="125">
        <v>4.357334081735393E-2</v>
      </c>
      <c r="F50" s="125">
        <v>5.3025991201931369E-2</v>
      </c>
      <c r="G50" s="125">
        <v>5.4300033732057433E-2</v>
      </c>
      <c r="H50" s="125">
        <v>4.8683019922938893E-2</v>
      </c>
      <c r="I50" s="125">
        <v>4.3546612589284835E-2</v>
      </c>
      <c r="J50" s="125">
        <v>4.9533790755281693E-2</v>
      </c>
      <c r="K50" s="125">
        <v>4.6536426814868297E-2</v>
      </c>
      <c r="L50" s="125">
        <v>5.1950191783296608E-2</v>
      </c>
      <c r="M50" s="125">
        <v>4.7201435622534399E-2</v>
      </c>
      <c r="N50" s="125">
        <v>6.4448678019377786E-2</v>
      </c>
      <c r="O50" s="125">
        <v>5.424761825661796E-2</v>
      </c>
      <c r="P50" s="125">
        <v>4.4409678367608306E-2</v>
      </c>
      <c r="Q50" s="125">
        <v>5.1891260551071794E-2</v>
      </c>
      <c r="R50" s="125">
        <v>4.6880788119638771E-2</v>
      </c>
      <c r="S50" s="125">
        <v>6.0073076288460842E-2</v>
      </c>
      <c r="T50" s="125">
        <v>4.2124692437717687E-2</v>
      </c>
      <c r="U50" s="125">
        <v>4.4801992717099538E-2</v>
      </c>
      <c r="V50" s="125">
        <v>4.6056017458387492E-2</v>
      </c>
      <c r="W50" s="125">
        <v>4.2299091499835129E-2</v>
      </c>
      <c r="X50" s="125">
        <v>4.888448375475473E-2</v>
      </c>
      <c r="Y50" s="125">
        <v>5.026577105645149E-2</v>
      </c>
      <c r="Z50" s="125">
        <v>5.1198711496354105E-2</v>
      </c>
      <c r="AA50" s="125">
        <v>4.6603492744110624E-2</v>
      </c>
      <c r="AB50" s="125">
        <v>4.2112040585481895E-2</v>
      </c>
      <c r="AC50" s="125">
        <v>4.5841895909490511E-2</v>
      </c>
      <c r="AD50" s="125">
        <v>4.4624401556997768E-2</v>
      </c>
      <c r="AE50" s="125">
        <v>4.1187103888543089E-2</v>
      </c>
      <c r="AF50" s="125">
        <v>4.5518246159639036E-2</v>
      </c>
      <c r="AG50" s="125">
        <v>4.5553067343018686E-2</v>
      </c>
      <c r="AH50" s="125">
        <v>4.1214598097944616E-2</v>
      </c>
      <c r="AI50" s="125">
        <v>4.2502369774810256E-2</v>
      </c>
      <c r="AJ50" s="125">
        <v>4.1648096790239314E-2</v>
      </c>
      <c r="AK50" s="125">
        <v>4.6620001143826272E-2</v>
      </c>
      <c r="AL50" s="125">
        <v>4.9219929465377336E-2</v>
      </c>
      <c r="AM50" s="125">
        <v>5.1971289274742476E-2</v>
      </c>
      <c r="AN50" s="125">
        <v>5.4131236153793089E-2</v>
      </c>
      <c r="AO50" s="125">
        <v>4.6629811547417369E-2</v>
      </c>
      <c r="AP50" s="125">
        <v>4.5455420488118611E-2</v>
      </c>
      <c r="AQ50" s="125">
        <v>4.1635507414191607E-2</v>
      </c>
      <c r="AR50" s="125">
        <v>4.4741820987548919E-2</v>
      </c>
      <c r="AS50" s="125">
        <v>4.6797997259471591E-2</v>
      </c>
      <c r="AT50" s="125">
        <v>4.474487852337504E-2</v>
      </c>
      <c r="AU50" s="125">
        <v>4.4492036647715553E-2</v>
      </c>
      <c r="AV50" s="125">
        <v>4.0343848523508481E-2</v>
      </c>
      <c r="AW50" s="125">
        <v>4.2689444949154151E-2</v>
      </c>
      <c r="AX50" s="125">
        <v>4.3249671693370011E-2</v>
      </c>
      <c r="AY50" s="125">
        <v>4.0598567144680159E-2</v>
      </c>
      <c r="AZ50" s="125">
        <v>4.4042990858908573E-2</v>
      </c>
      <c r="BA50" s="125">
        <v>5.0575239177677769E-2</v>
      </c>
      <c r="BB50" s="125">
        <v>5.0099274049266701E-2</v>
      </c>
      <c r="BC50" s="125">
        <v>4.2391255517298616E-2</v>
      </c>
      <c r="BD50" s="125">
        <v>4.3478666917093046E-2</v>
      </c>
      <c r="BE50" s="125">
        <v>3.888731768500428E-2</v>
      </c>
      <c r="BF50" s="125">
        <v>4.2655686814463925E-2</v>
      </c>
      <c r="BG50" s="125">
        <v>5.0646115051624967E-2</v>
      </c>
      <c r="BH50" s="125">
        <v>4.4709493088712263E-2</v>
      </c>
      <c r="BI50" s="125">
        <v>4.304774635018583E-2</v>
      </c>
      <c r="BJ50" s="125">
        <v>4.6428472496695537E-2</v>
      </c>
      <c r="BK50" s="125">
        <v>4.6356495335914585E-2</v>
      </c>
      <c r="BL50" s="125">
        <v>4.4457053407002303E-2</v>
      </c>
      <c r="BM50" s="125">
        <v>4.3381195011402376E-2</v>
      </c>
      <c r="BN50" s="125">
        <v>4.5119735299490045E-2</v>
      </c>
      <c r="BO50" s="125">
        <v>4.426062442898783E-2</v>
      </c>
      <c r="BP50" s="125">
        <v>4.3688505173641215E-2</v>
      </c>
      <c r="BQ50" s="125">
        <v>4.1088006040736751E-2</v>
      </c>
      <c r="BR50" s="125">
        <v>4.38207632383893E-2</v>
      </c>
      <c r="BS50" s="125">
        <v>3.971530452955678E-2</v>
      </c>
      <c r="BT50" s="125">
        <v>4.0887400278304863E-2</v>
      </c>
      <c r="BU50" s="125">
        <v>4.6215092830028982E-2</v>
      </c>
      <c r="BV50" s="125">
        <v>4.4365872146482833E-2</v>
      </c>
      <c r="BW50" s="125">
        <v>4.4787879259595299E-2</v>
      </c>
      <c r="BX50" s="125">
        <v>4.93664486959184E-2</v>
      </c>
      <c r="BY50" s="125">
        <v>4.7848045780648781E-2</v>
      </c>
      <c r="BZ50" s="125">
        <v>5.7579567330421987E-2</v>
      </c>
      <c r="CA50" s="125">
        <v>4.1549048863813387E-2</v>
      </c>
      <c r="CB50" s="125">
        <v>4.8108655190711183E-2</v>
      </c>
      <c r="CC50" s="125">
        <v>4.0604262206112227E-2</v>
      </c>
      <c r="CD50" s="125">
        <v>4.4309278722296092E-2</v>
      </c>
      <c r="CE50" s="125">
        <v>4.0815112127787559E-2</v>
      </c>
      <c r="CF50" s="125">
        <v>4.4650885006332915E-2</v>
      </c>
      <c r="CG50" s="125">
        <v>4.2092997802218965E-2</v>
      </c>
      <c r="CH50" s="125">
        <v>3.8523763898402008E-2</v>
      </c>
      <c r="CI50" s="125">
        <v>4.2599849256386858E-2</v>
      </c>
      <c r="CJ50" s="125">
        <v>4.1396152837559097E-2</v>
      </c>
      <c r="CK50" s="125">
        <v>3.907244622159723E-2</v>
      </c>
      <c r="CL50" s="125">
        <v>4.6380746408848261E-2</v>
      </c>
      <c r="CM50" s="125">
        <v>4.070914407750318E-2</v>
      </c>
      <c r="CN50" s="125">
        <v>5.2474973826668499E-2</v>
      </c>
      <c r="CO50" s="125">
        <v>4.2413390228008503E-2</v>
      </c>
      <c r="CP50" s="125">
        <v>3.9583191056322631E-2</v>
      </c>
      <c r="CQ50" s="125">
        <v>4.0829781136510167E-2</v>
      </c>
      <c r="CR50" s="125">
        <v>4.1990425120265275E-2</v>
      </c>
      <c r="CS50" s="125">
        <v>4.0070192322652985E-2</v>
      </c>
      <c r="CT50" s="125">
        <v>4.2072277952525827E-2</v>
      </c>
      <c r="CU50" s="125">
        <v>4.4340320819373384E-2</v>
      </c>
      <c r="CV50" s="125">
        <v>5.1552087116554665E-2</v>
      </c>
      <c r="CW50" s="125">
        <v>5.2246538828375953E-2</v>
      </c>
      <c r="CX50" s="125">
        <v>4.5584889835109145E-2</v>
      </c>
    </row>
    <row r="51" spans="1:102" s="23" customFormat="1">
      <c r="B51" s="67" t="s">
        <v>56</v>
      </c>
      <c r="C51" s="125">
        <v>0.10603077563647442</v>
      </c>
      <c r="D51" s="125">
        <v>0.10392060791567005</v>
      </c>
      <c r="E51" s="125">
        <v>9.5874792360216801E-2</v>
      </c>
      <c r="F51" s="125">
        <v>0.10318210443765788</v>
      </c>
      <c r="G51" s="125">
        <v>0.10860713155757579</v>
      </c>
      <c r="H51" s="125">
        <v>0.10527789894474567</v>
      </c>
      <c r="I51" s="125">
        <v>9.9969250422177275E-2</v>
      </c>
      <c r="J51" s="125">
        <v>0.10454802629321285</v>
      </c>
      <c r="K51" s="125">
        <v>0.1035110350909328</v>
      </c>
      <c r="L51" s="125">
        <v>0.1021737849531282</v>
      </c>
      <c r="M51" s="125">
        <v>0.10331252557617671</v>
      </c>
      <c r="N51" s="125">
        <v>0.11350714976690215</v>
      </c>
      <c r="O51" s="125">
        <v>0.1049466489334924</v>
      </c>
      <c r="P51" s="125">
        <v>9.6836269699730762E-2</v>
      </c>
      <c r="Q51" s="125">
        <v>0.105281605994916</v>
      </c>
      <c r="R51" s="125">
        <v>0.10306525918298493</v>
      </c>
      <c r="S51" s="125">
        <v>0.10889082141447905</v>
      </c>
      <c r="T51" s="125">
        <v>9.6159574332176645E-2</v>
      </c>
      <c r="U51" s="125">
        <v>0.10024349492619426</v>
      </c>
      <c r="V51" s="125">
        <v>0.10196448815575024</v>
      </c>
      <c r="W51" s="125">
        <v>9.8723913372319325E-2</v>
      </c>
      <c r="X51" s="125">
        <v>0.10394988512744774</v>
      </c>
      <c r="Y51" s="125">
        <v>0.10676802074189348</v>
      </c>
      <c r="Z51" s="125">
        <v>0.10447702361509968</v>
      </c>
      <c r="AA51" s="125">
        <v>0.1020600352791797</v>
      </c>
      <c r="AB51" s="125">
        <v>9.7018428006792751E-2</v>
      </c>
      <c r="AC51" s="125">
        <v>0.10080637223550493</v>
      </c>
      <c r="AD51" s="125">
        <v>9.4230812974860328E-2</v>
      </c>
      <c r="AE51" s="125">
        <v>0.10247294672421453</v>
      </c>
      <c r="AF51" s="125">
        <v>0.10074051747770371</v>
      </c>
      <c r="AG51" s="125">
        <v>9.6582960110909666E-2</v>
      </c>
      <c r="AH51" s="125">
        <v>9.8829439812424813E-2</v>
      </c>
      <c r="AI51" s="125">
        <v>9.3434674910148008E-2</v>
      </c>
      <c r="AJ51" s="125">
        <v>9.2832574819528529E-2</v>
      </c>
      <c r="AK51" s="125">
        <v>8.9295929327952661E-2</v>
      </c>
      <c r="AL51" s="125">
        <v>0.1032527966191666</v>
      </c>
      <c r="AM51" s="125">
        <v>9.6083083807104577E-2</v>
      </c>
      <c r="AN51" s="125">
        <v>0.11040465988154645</v>
      </c>
      <c r="AO51" s="125">
        <v>0.10591295067387449</v>
      </c>
      <c r="AP51" s="125">
        <v>0.1027435104720817</v>
      </c>
      <c r="AQ51" s="125">
        <v>9.5118533518009224E-2</v>
      </c>
      <c r="AR51" s="125">
        <v>0.10160789659204002</v>
      </c>
      <c r="AS51" s="125">
        <v>0.10197767693319862</v>
      </c>
      <c r="AT51" s="125">
        <v>9.9792277619023304E-2</v>
      </c>
      <c r="AU51" s="125">
        <v>9.874999393354629E-2</v>
      </c>
      <c r="AV51" s="125">
        <v>9.4696927351582652E-2</v>
      </c>
      <c r="AW51" s="125">
        <v>0.10166839867809882</v>
      </c>
      <c r="AX51" s="125">
        <v>9.571669228354715E-2</v>
      </c>
      <c r="AY51" s="125">
        <v>9.9439543645763281E-2</v>
      </c>
      <c r="AZ51" s="125">
        <v>0.10040442727203486</v>
      </c>
      <c r="BA51" s="125">
        <v>0.10739942256195091</v>
      </c>
      <c r="BB51" s="125">
        <v>9.6701371645405446E-2</v>
      </c>
      <c r="BC51" s="125">
        <v>9.8752580278121477E-2</v>
      </c>
      <c r="BD51" s="125">
        <v>0.10367885240413105</v>
      </c>
      <c r="BE51" s="125">
        <v>9.9705716381889187E-2</v>
      </c>
      <c r="BF51" s="125">
        <v>0.10057915550397155</v>
      </c>
      <c r="BG51" s="125">
        <v>9.6056849246369536E-2</v>
      </c>
      <c r="BH51" s="125">
        <v>9.9499906476538336E-2</v>
      </c>
      <c r="BI51" s="125">
        <v>0.10361219067955657</v>
      </c>
      <c r="BJ51" s="125">
        <v>0.10483630957507188</v>
      </c>
      <c r="BK51" s="125">
        <v>0.10313748036068818</v>
      </c>
      <c r="BL51" s="125">
        <v>8.9137624601719659E-2</v>
      </c>
      <c r="BM51" s="125">
        <v>9.3517604422206108E-2</v>
      </c>
      <c r="BN51" s="125">
        <v>0.10034831208688402</v>
      </c>
      <c r="BO51" s="125">
        <v>0.10337759767871953</v>
      </c>
      <c r="BP51" s="125">
        <v>0.1033543588105021</v>
      </c>
      <c r="BQ51" s="125">
        <v>9.8885504024218543E-2</v>
      </c>
      <c r="BR51" s="125">
        <v>0.10041556977992232</v>
      </c>
      <c r="BS51" s="125">
        <v>0.1019911219516406</v>
      </c>
      <c r="BT51" s="125">
        <v>9.6983725287583131E-2</v>
      </c>
      <c r="BU51" s="125">
        <v>9.8379407469238497E-2</v>
      </c>
      <c r="BV51" s="125">
        <v>0.10235047660664309</v>
      </c>
      <c r="BW51" s="125">
        <v>9.9716947906055634E-2</v>
      </c>
      <c r="BX51" s="125">
        <v>9.1183572317191958E-2</v>
      </c>
      <c r="BY51" s="125">
        <v>0.10166022569527963</v>
      </c>
      <c r="BZ51" s="125">
        <v>0.10704919634566427</v>
      </c>
      <c r="CA51" s="125">
        <v>0.10191197440026435</v>
      </c>
      <c r="CB51" s="125">
        <v>0.10694015791835784</v>
      </c>
      <c r="CC51" s="125">
        <v>9.7448735492623936E-2</v>
      </c>
      <c r="CD51" s="125">
        <v>0.1008943022335721</v>
      </c>
      <c r="CE51" s="125">
        <v>0.1017585221787343</v>
      </c>
      <c r="CF51" s="125">
        <v>9.4939091442494294E-2</v>
      </c>
      <c r="CG51" s="125">
        <v>0.10043765179826267</v>
      </c>
      <c r="CH51" s="125">
        <v>0.10097737428503699</v>
      </c>
      <c r="CI51" s="125">
        <v>9.9943500797353382E-2</v>
      </c>
      <c r="CJ51" s="125">
        <v>9.9416224229812208E-2</v>
      </c>
      <c r="CK51" s="125">
        <v>9.6363808017256261E-2</v>
      </c>
      <c r="CL51" s="125">
        <v>0.1049579027264904</v>
      </c>
      <c r="CM51" s="125">
        <v>0.10289791480290238</v>
      </c>
      <c r="CN51" s="125">
        <v>9.6147637485888851E-2</v>
      </c>
      <c r="CO51" s="125">
        <v>0.10106850860258637</v>
      </c>
      <c r="CP51" s="125">
        <v>0.10130332710816482</v>
      </c>
      <c r="CQ51" s="125">
        <v>0.10034363127108789</v>
      </c>
      <c r="CR51" s="125">
        <v>0.10307167082886071</v>
      </c>
      <c r="CS51" s="125">
        <v>9.5115574461770103E-2</v>
      </c>
      <c r="CT51" s="125">
        <v>9.053251757766935E-2</v>
      </c>
      <c r="CU51" s="125">
        <v>9.8944271179356141E-2</v>
      </c>
      <c r="CV51" s="125">
        <v>0.10618302128934853</v>
      </c>
      <c r="CW51" s="125">
        <v>0.10799470997955263</v>
      </c>
      <c r="CX51" s="125">
        <v>9.8752072336890068E-2</v>
      </c>
    </row>
    <row r="52" spans="1:102" s="23" customFormat="1">
      <c r="A52" s="126"/>
      <c r="B52" s="67" t="s">
        <v>114</v>
      </c>
      <c r="C52" s="125">
        <v>0.40371693824768762</v>
      </c>
      <c r="D52" s="125">
        <v>0.37497576412928146</v>
      </c>
      <c r="E52" s="125">
        <v>0.32051079077418082</v>
      </c>
      <c r="F52" s="125">
        <v>0.31505820526914818</v>
      </c>
      <c r="G52" s="125">
        <v>0.32893361933362009</v>
      </c>
      <c r="H52" s="125">
        <v>0.37045372577656333</v>
      </c>
      <c r="I52" s="125">
        <v>0.31694711712572488</v>
      </c>
      <c r="J52" s="125">
        <v>0.34650834457563645</v>
      </c>
      <c r="K52" s="125">
        <v>0.31843102534937939</v>
      </c>
      <c r="L52" s="125">
        <v>0.31249438252016754</v>
      </c>
      <c r="M52" s="125">
        <v>0.34189422514073325</v>
      </c>
      <c r="N52" s="125">
        <v>0.39210709529059051</v>
      </c>
      <c r="O52" s="125">
        <v>0.36751467963844209</v>
      </c>
      <c r="P52" s="125">
        <v>0.34508562223086492</v>
      </c>
      <c r="Q52" s="125">
        <v>0.33103428910785276</v>
      </c>
      <c r="R52" s="125">
        <v>0.35142526404956015</v>
      </c>
      <c r="S52" s="125">
        <v>0.37137951201770641</v>
      </c>
      <c r="T52" s="125">
        <v>0.30449113453673693</v>
      </c>
      <c r="U52" s="125">
        <v>0.30385000273860641</v>
      </c>
      <c r="V52" s="125">
        <v>0.3092824538986107</v>
      </c>
      <c r="W52" s="125">
        <v>0.35690938806399236</v>
      </c>
      <c r="X52" s="125">
        <v>0.32028245276390976</v>
      </c>
      <c r="Y52" s="125">
        <v>0.40649770670731433</v>
      </c>
      <c r="Z52" s="125">
        <v>0.33339169854967488</v>
      </c>
      <c r="AA52" s="125">
        <v>0.32746304503744816</v>
      </c>
      <c r="AB52" s="125">
        <v>0.34590633173899116</v>
      </c>
      <c r="AC52" s="125">
        <v>0.32562159160880311</v>
      </c>
      <c r="AD52" s="125">
        <v>0.30406036585189899</v>
      </c>
      <c r="AE52" s="125">
        <v>0.36802666532288952</v>
      </c>
      <c r="AF52" s="125">
        <v>0.31579667684505014</v>
      </c>
      <c r="AG52" s="125">
        <v>0.29648704318535757</v>
      </c>
      <c r="AH52" s="125">
        <v>0.34001132637767839</v>
      </c>
      <c r="AI52" s="125">
        <v>0.28316665865816859</v>
      </c>
      <c r="AJ52" s="125">
        <v>0.28585431809564166</v>
      </c>
      <c r="AK52" s="125">
        <v>0.25300013817781947</v>
      </c>
      <c r="AL52" s="125">
        <v>0.33672724219611305</v>
      </c>
      <c r="AM52" s="125">
        <v>0.29973946312953947</v>
      </c>
      <c r="AN52" s="125">
        <v>0.34489961327815943</v>
      </c>
      <c r="AO52" s="125">
        <v>0.38777873255962314</v>
      </c>
      <c r="AP52" s="125">
        <v>0.35244839666178096</v>
      </c>
      <c r="AQ52" s="125">
        <v>0.30089120895741223</v>
      </c>
      <c r="AR52" s="125">
        <v>0.38988578361303156</v>
      </c>
      <c r="AS52" s="125">
        <v>0.32381536300044156</v>
      </c>
      <c r="AT52" s="125">
        <v>0.34248296137443696</v>
      </c>
      <c r="AU52" s="125">
        <v>0.3093864719389211</v>
      </c>
      <c r="AV52" s="125">
        <v>0.33796642168567004</v>
      </c>
      <c r="AW52" s="125">
        <v>0.33285927432761742</v>
      </c>
      <c r="AX52" s="125">
        <v>0.33524702431163139</v>
      </c>
      <c r="AY52" s="125">
        <v>0.35242607486792943</v>
      </c>
      <c r="AZ52" s="125">
        <v>0.34833301563848729</v>
      </c>
      <c r="BA52" s="125">
        <v>0.37129050188177304</v>
      </c>
      <c r="BB52" s="125">
        <v>0.3545105998587309</v>
      </c>
      <c r="BC52" s="125">
        <v>0.35403598696251071</v>
      </c>
      <c r="BD52" s="125">
        <v>0.36968873414385861</v>
      </c>
      <c r="BE52" s="125">
        <v>0.35553234936880262</v>
      </c>
      <c r="BF52" s="125">
        <v>0.35541156147266861</v>
      </c>
      <c r="BG52" s="125">
        <v>0.2844733616679479</v>
      </c>
      <c r="BH52" s="125">
        <v>0.35661371661872721</v>
      </c>
      <c r="BI52" s="125">
        <v>0.3413006867974645</v>
      </c>
      <c r="BJ52" s="125">
        <v>0.35326454624178438</v>
      </c>
      <c r="BK52" s="125">
        <v>0.33131249609683738</v>
      </c>
      <c r="BL52" s="125">
        <v>0.27541211143717564</v>
      </c>
      <c r="BM52" s="125">
        <v>0.27280872737415807</v>
      </c>
      <c r="BN52" s="125">
        <v>0.33938470716540858</v>
      </c>
      <c r="BO52" s="125">
        <v>0.34136383569350282</v>
      </c>
      <c r="BP52" s="125">
        <v>0.3657796495340857</v>
      </c>
      <c r="BQ52" s="125">
        <v>0.3452667158040299</v>
      </c>
      <c r="BR52" s="125">
        <v>0.32305259017378074</v>
      </c>
      <c r="BS52" s="125">
        <v>0.35200802454706837</v>
      </c>
      <c r="BT52" s="125">
        <v>0.32290737812510695</v>
      </c>
      <c r="BU52" s="125">
        <v>0.32731621915230275</v>
      </c>
      <c r="BV52" s="125">
        <v>0.35030875875719542</v>
      </c>
      <c r="BW52" s="125">
        <v>0.32660556052004835</v>
      </c>
      <c r="BX52" s="125">
        <v>0.28547236737905651</v>
      </c>
      <c r="BY52" s="125">
        <v>0.33331569857371957</v>
      </c>
      <c r="BZ52" s="125">
        <v>0.33271414024096968</v>
      </c>
      <c r="CA52" s="125">
        <v>0.35608048106069556</v>
      </c>
      <c r="CB52" s="125">
        <v>0.37783667840760204</v>
      </c>
      <c r="CC52" s="125">
        <v>0.33522923689026729</v>
      </c>
      <c r="CD52" s="125">
        <v>0.39750534821447198</v>
      </c>
      <c r="CE52" s="125">
        <v>0.34982703419901295</v>
      </c>
      <c r="CF52" s="125">
        <v>0.30318015231974271</v>
      </c>
      <c r="CG52" s="125">
        <v>0.35901825166373574</v>
      </c>
      <c r="CH52" s="125">
        <v>0.36083133804547396</v>
      </c>
      <c r="CI52" s="125">
        <v>0.34307177387761173</v>
      </c>
      <c r="CJ52" s="125">
        <v>0.36506773482990862</v>
      </c>
      <c r="CK52" s="125">
        <v>0.32279002386208455</v>
      </c>
      <c r="CL52" s="125">
        <v>0.38029128793202888</v>
      </c>
      <c r="CM52" s="125">
        <v>0.37430171550612867</v>
      </c>
      <c r="CN52" s="125">
        <v>0.31397738379656093</v>
      </c>
      <c r="CO52" s="125">
        <v>0.3911102594870341</v>
      </c>
      <c r="CP52" s="125">
        <v>0.3557969634716619</v>
      </c>
      <c r="CQ52" s="125">
        <v>0.33708513960882469</v>
      </c>
      <c r="CR52" s="125">
        <v>0.34663335186522598</v>
      </c>
      <c r="CS52" s="125">
        <v>0.31518965208400096</v>
      </c>
      <c r="CT52" s="125">
        <v>0.27161576334711579</v>
      </c>
      <c r="CU52" s="125">
        <v>0.3288085955509637</v>
      </c>
      <c r="CV52" s="125">
        <v>0.37298007725791016</v>
      </c>
      <c r="CW52" s="125">
        <v>0.40039516661694668</v>
      </c>
      <c r="CX52" s="125">
        <v>0.34070730284788259</v>
      </c>
    </row>
    <row r="53" spans="1:102" s="124" customFormat="1">
      <c r="A53" s="108" t="str">
        <f>Parameters!A43</f>
        <v>Vermogenseffect &amp; innovatie</v>
      </c>
      <c r="B53" s="122" t="s">
        <v>29</v>
      </c>
      <c r="C53" s="123">
        <v>6.9168129632744796E-2</v>
      </c>
      <c r="D53" s="123">
        <v>7.4512298925786674E-2</v>
      </c>
      <c r="E53" s="123">
        <v>7.3678645904865975E-2</v>
      </c>
      <c r="F53" s="123">
        <v>8.3799122035040946E-2</v>
      </c>
      <c r="G53" s="123">
        <v>7.9128402698990741E-2</v>
      </c>
      <c r="H53" s="123">
        <v>5.8816788943287748E-2</v>
      </c>
      <c r="I53" s="123">
        <v>8.4069848015216192E-2</v>
      </c>
      <c r="J53" s="123">
        <v>7.3235566772020949E-2</v>
      </c>
      <c r="K53" s="123">
        <v>7.5210621852028051E-2</v>
      </c>
      <c r="L53" s="123">
        <v>6.5317309409230959E-2</v>
      </c>
      <c r="M53" s="123">
        <v>7.5424341939944822E-2</v>
      </c>
      <c r="N53" s="123">
        <v>7.178043110319457E-2</v>
      </c>
      <c r="O53" s="123">
        <v>7.1054162622170194E-2</v>
      </c>
      <c r="P53" s="123">
        <v>6.6111460839001157E-2</v>
      </c>
      <c r="Q53" s="123">
        <v>8.6263436098509602E-2</v>
      </c>
      <c r="R53" s="123">
        <v>7.2231594009186773E-2</v>
      </c>
      <c r="S53" s="123">
        <v>6.6973681239302044E-2</v>
      </c>
      <c r="T53" s="123">
        <v>7.7057537067233672E-2</v>
      </c>
      <c r="U53" s="123">
        <v>7.2228479744278581E-2</v>
      </c>
      <c r="V53" s="123">
        <v>6.6843876584784842E-2</v>
      </c>
      <c r="W53" s="123">
        <v>6.288650473583049E-2</v>
      </c>
      <c r="X53" s="123">
        <v>7.1236333478903624E-2</v>
      </c>
      <c r="Y53" s="123">
        <v>6.585684493797167E-2</v>
      </c>
      <c r="Z53" s="123">
        <v>8.0255832880248248E-2</v>
      </c>
      <c r="AA53" s="123">
        <v>8.241178960651524E-2</v>
      </c>
      <c r="AB53" s="123">
        <v>6.7201826994813307E-2</v>
      </c>
      <c r="AC53" s="123">
        <v>6.3937198535440706E-2</v>
      </c>
      <c r="AD53" s="123">
        <v>6.8017336503267536E-2</v>
      </c>
      <c r="AE53" s="123">
        <v>7.7521066607900799E-2</v>
      </c>
      <c r="AF53" s="123">
        <v>7.5453355274931883E-2</v>
      </c>
      <c r="AG53" s="123">
        <v>6.1131346386081989E-2</v>
      </c>
      <c r="AH53" s="123">
        <v>7.1473533375395332E-2</v>
      </c>
      <c r="AI53" s="123">
        <v>7.2757022847280972E-2</v>
      </c>
      <c r="AJ53" s="123">
        <v>7.3238876172909598E-2</v>
      </c>
      <c r="AK53" s="123">
        <v>6.9110400188037907E-2</v>
      </c>
      <c r="AL53" s="123">
        <v>7.9586168347437508E-2</v>
      </c>
      <c r="AM53" s="123">
        <v>7.6070480427443743E-2</v>
      </c>
      <c r="AN53" s="123">
        <v>6.2924533072588995E-2</v>
      </c>
      <c r="AO53" s="123">
        <v>5.0298652156521746E-2</v>
      </c>
      <c r="AP53" s="123">
        <v>5.9537347982717911E-2</v>
      </c>
      <c r="AQ53" s="123">
        <v>6.9586128515362167E-2</v>
      </c>
      <c r="AR53" s="123">
        <v>5.9320120657290663E-2</v>
      </c>
      <c r="AS53" s="123">
        <v>6.8282346787817985E-2</v>
      </c>
      <c r="AT53" s="123">
        <v>6.288883951818254E-2</v>
      </c>
      <c r="AU53" s="123">
        <v>6.1142476034821328E-2</v>
      </c>
      <c r="AV53" s="123">
        <v>6.4136040749298073E-2</v>
      </c>
      <c r="AW53" s="123">
        <v>6.9784113119462379E-2</v>
      </c>
      <c r="AX53" s="123">
        <v>5.9962450787635256E-2</v>
      </c>
      <c r="AY53" s="123">
        <v>6.5699533343068633E-2</v>
      </c>
      <c r="AZ53" s="123">
        <v>6.0827489075818864E-2</v>
      </c>
      <c r="BA53" s="123">
        <v>4.517609114168894E-2</v>
      </c>
      <c r="BB53" s="123">
        <v>6.2562763296480264E-2</v>
      </c>
      <c r="BC53" s="123">
        <v>5.9852828767115965E-2</v>
      </c>
      <c r="BD53" s="123">
        <v>5.4502013257167234E-2</v>
      </c>
      <c r="BE53" s="123">
        <v>6.8003201982309011E-2</v>
      </c>
      <c r="BF53" s="123">
        <v>6.5132933789600181E-2</v>
      </c>
      <c r="BG53" s="123">
        <v>6.3704587780407579E-2</v>
      </c>
      <c r="BH53" s="123">
        <v>5.2798294991396919E-2</v>
      </c>
      <c r="BI53" s="123">
        <v>6.4116787021904612E-2</v>
      </c>
      <c r="BJ53" s="123">
        <v>7.5422975165930495E-2</v>
      </c>
      <c r="BK53" s="123">
        <v>7.806647234681327E-2</v>
      </c>
      <c r="BL53" s="123">
        <v>6.6457738918674403E-2</v>
      </c>
      <c r="BM53" s="123">
        <v>6.8653756253041084E-2</v>
      </c>
      <c r="BN53" s="123">
        <v>5.3273214270800562E-2</v>
      </c>
      <c r="BO53" s="123">
        <v>5.8084497754673094E-2</v>
      </c>
      <c r="BP53" s="123">
        <v>6.986598792874002E-2</v>
      </c>
      <c r="BQ53" s="123">
        <v>6.2691309531753794E-2</v>
      </c>
      <c r="BR53" s="123">
        <v>7.3850442446672576E-2</v>
      </c>
      <c r="BS53" s="123">
        <v>7.1255658106433487E-2</v>
      </c>
      <c r="BT53" s="123">
        <v>6.781716712669672E-2</v>
      </c>
      <c r="BU53" s="123">
        <v>6.8375160160834669E-2</v>
      </c>
      <c r="BV53" s="123">
        <v>5.3139938196381339E-2</v>
      </c>
      <c r="BW53" s="123">
        <v>5.6924949595157467E-2</v>
      </c>
      <c r="BX53" s="123">
        <v>5.7017787918221922E-2</v>
      </c>
      <c r="BY53" s="123">
        <v>6.9222233625184093E-2</v>
      </c>
      <c r="BZ53" s="123">
        <v>6.5678326957070557E-2</v>
      </c>
      <c r="CA53" s="123">
        <v>7.2700101698730688E-2</v>
      </c>
      <c r="CB53" s="123">
        <v>4.9198066223480705E-2</v>
      </c>
      <c r="CC53" s="123">
        <v>6.7625484133301453E-2</v>
      </c>
      <c r="CD53" s="123">
        <v>4.7850901390704595E-2</v>
      </c>
      <c r="CE53" s="123">
        <v>7.3922102146675064E-2</v>
      </c>
      <c r="CF53" s="123">
        <v>6.8224851147818399E-2</v>
      </c>
      <c r="CG53" s="123">
        <v>6.2614669343002805E-2</v>
      </c>
      <c r="CH53" s="123">
        <v>7.1553795849605889E-2</v>
      </c>
      <c r="CI53" s="123">
        <v>6.2232417876299059E-2</v>
      </c>
      <c r="CJ53" s="123">
        <v>5.8315176067168878E-2</v>
      </c>
      <c r="CK53" s="123">
        <v>6.8066141479171491E-2</v>
      </c>
      <c r="CL53" s="123">
        <v>6.8767924076505657E-2</v>
      </c>
      <c r="CM53" s="123">
        <v>5.7498511566516218E-2</v>
      </c>
      <c r="CN53" s="123">
        <v>6.6339500331940846E-2</v>
      </c>
      <c r="CO53" s="123">
        <v>5.2309505787359198E-2</v>
      </c>
      <c r="CP53" s="123">
        <v>7.1130928457778075E-2</v>
      </c>
      <c r="CQ53" s="123">
        <v>5.9589568739497917E-2</v>
      </c>
      <c r="CR53" s="123">
        <v>5.903571109434938E-2</v>
      </c>
      <c r="CS53" s="123">
        <v>6.9943968065183937E-2</v>
      </c>
      <c r="CT53" s="123">
        <v>6.8411442811408263E-2</v>
      </c>
      <c r="CU53" s="123">
        <v>5.9825385220726675E-2</v>
      </c>
      <c r="CV53" s="123">
        <v>6.9109315290465989E-2</v>
      </c>
      <c r="CW53" s="123">
        <v>6.1585156114513609E-2</v>
      </c>
      <c r="CX53" s="123">
        <v>5.8259288882851555E-2</v>
      </c>
    </row>
    <row r="54" spans="1:102" s="23" customFormat="1">
      <c r="B54" s="14" t="s">
        <v>30</v>
      </c>
      <c r="C54" s="125">
        <v>5.6155130404295171E-2</v>
      </c>
      <c r="D54" s="125">
        <v>5.567919278571723E-2</v>
      </c>
      <c r="E54" s="125">
        <v>5.2008318039301386E-2</v>
      </c>
      <c r="F54" s="125">
        <v>6.1666331628035191E-2</v>
      </c>
      <c r="G54" s="125">
        <v>6.0838953116507381E-2</v>
      </c>
      <c r="H54" s="125">
        <v>5.4427130973727623E-2</v>
      </c>
      <c r="I54" s="125">
        <v>5.3549550547676246E-2</v>
      </c>
      <c r="J54" s="125">
        <v>5.4968075076779588E-2</v>
      </c>
      <c r="K54" s="125">
        <v>5.4212394936471356E-2</v>
      </c>
      <c r="L54" s="125">
        <v>6.0328392589724514E-2</v>
      </c>
      <c r="M54" s="125">
        <v>5.4125750347249986E-2</v>
      </c>
      <c r="N54" s="125">
        <v>6.6435622439972128E-2</v>
      </c>
      <c r="O54" s="125">
        <v>5.8004332507284324E-2</v>
      </c>
      <c r="P54" s="125">
        <v>5.2322961254487092E-2</v>
      </c>
      <c r="Q54" s="125">
        <v>5.7310473682577412E-2</v>
      </c>
      <c r="R54" s="125">
        <v>5.1646206678889861E-2</v>
      </c>
      <c r="S54" s="125">
        <v>6.3347731780761016E-2</v>
      </c>
      <c r="T54" s="125">
        <v>5.4198945226487362E-2</v>
      </c>
      <c r="U54" s="125">
        <v>5.5228906917355651E-2</v>
      </c>
      <c r="V54" s="125">
        <v>5.720107700776525E-2</v>
      </c>
      <c r="W54" s="125">
        <v>4.8727510047395985E-2</v>
      </c>
      <c r="X54" s="125">
        <v>5.950172764543056E-2</v>
      </c>
      <c r="Y54" s="125">
        <v>5.3374833730452168E-2</v>
      </c>
      <c r="Z54" s="125">
        <v>5.950840627580864E-2</v>
      </c>
      <c r="AA54" s="125">
        <v>5.3256726440804002E-2</v>
      </c>
      <c r="AB54" s="125">
        <v>5.4633473643510795E-2</v>
      </c>
      <c r="AC54" s="125">
        <v>5.3304036675913553E-2</v>
      </c>
      <c r="AD54" s="125">
        <v>5.2499568743124274E-2</v>
      </c>
      <c r="AE54" s="125">
        <v>5.0960354825863453E-2</v>
      </c>
      <c r="AF54" s="125">
        <v>5.5431098463619904E-2</v>
      </c>
      <c r="AG54" s="125">
        <v>5.4709051300431043E-2</v>
      </c>
      <c r="AH54" s="125">
        <v>4.7159775110625725E-2</v>
      </c>
      <c r="AI54" s="125">
        <v>5.3170775926078356E-2</v>
      </c>
      <c r="AJ54" s="125">
        <v>5.2624291784240933E-2</v>
      </c>
      <c r="AK54" s="125">
        <v>5.4412371315043666E-2</v>
      </c>
      <c r="AL54" s="125">
        <v>5.7290009705323372E-2</v>
      </c>
      <c r="AM54" s="125">
        <v>5.9637443122741329E-2</v>
      </c>
      <c r="AN54" s="125">
        <v>6.0999140395797048E-2</v>
      </c>
      <c r="AO54" s="125">
        <v>5.3157344640798895E-2</v>
      </c>
      <c r="AP54" s="125">
        <v>5.4518211746989766E-2</v>
      </c>
      <c r="AQ54" s="125">
        <v>5.3254140451765034E-2</v>
      </c>
      <c r="AR54" s="125">
        <v>4.8246048174253438E-2</v>
      </c>
      <c r="AS54" s="125">
        <v>5.4498901300648626E-2</v>
      </c>
      <c r="AT54" s="125">
        <v>4.8873844786374993E-2</v>
      </c>
      <c r="AU54" s="125">
        <v>5.7298083229645497E-2</v>
      </c>
      <c r="AV54" s="125">
        <v>5.089823748967582E-2</v>
      </c>
      <c r="AW54" s="125">
        <v>5.0919619236227232E-2</v>
      </c>
      <c r="AX54" s="125">
        <v>5.2229801597147026E-2</v>
      </c>
      <c r="AY54" s="125">
        <v>5.065242935374388E-2</v>
      </c>
      <c r="AZ54" s="125">
        <v>4.8776026980410246E-2</v>
      </c>
      <c r="BA54" s="125">
        <v>5.78464709634956E-2</v>
      </c>
      <c r="BB54" s="125">
        <v>5.3109884902238086E-2</v>
      </c>
      <c r="BC54" s="125">
        <v>5.3634932313494685E-2</v>
      </c>
      <c r="BD54" s="125">
        <v>5.3063379167802155E-2</v>
      </c>
      <c r="BE54" s="125">
        <v>5.0180712041090196E-2</v>
      </c>
      <c r="BF54" s="125">
        <v>4.7057851049233976E-2</v>
      </c>
      <c r="BG54" s="125">
        <v>5.7010337183842193E-2</v>
      </c>
      <c r="BH54" s="125">
        <v>4.9361640836414353E-2</v>
      </c>
      <c r="BI54" s="125">
        <v>5.2040512623464888E-2</v>
      </c>
      <c r="BJ54" s="125">
        <v>5.1971606480232503E-2</v>
      </c>
      <c r="BK54" s="125">
        <v>5.244903857399081E-2</v>
      </c>
      <c r="BL54" s="125">
        <v>5.0606698174217653E-2</v>
      </c>
      <c r="BM54" s="125">
        <v>5.2172899018502285E-2</v>
      </c>
      <c r="BN54" s="125">
        <v>5.107325540911814E-2</v>
      </c>
      <c r="BO54" s="125">
        <v>5.5470250992275705E-2</v>
      </c>
      <c r="BP54" s="125">
        <v>4.9725255221098434E-2</v>
      </c>
      <c r="BQ54" s="125">
        <v>5.170263519458039E-2</v>
      </c>
      <c r="BR54" s="125">
        <v>4.9459470221840877E-2</v>
      </c>
      <c r="BS54" s="125">
        <v>4.8621788122683925E-2</v>
      </c>
      <c r="BT54" s="125">
        <v>5.412791543286493E-2</v>
      </c>
      <c r="BU54" s="125">
        <v>5.4962857103251495E-2</v>
      </c>
      <c r="BV54" s="125">
        <v>5.398113043026341E-2</v>
      </c>
      <c r="BW54" s="125">
        <v>5.5781997068354648E-2</v>
      </c>
      <c r="BX54" s="125">
        <v>5.5504774931241826E-2</v>
      </c>
      <c r="BY54" s="125">
        <v>5.285758688919269E-2</v>
      </c>
      <c r="BZ54" s="125">
        <v>6.4283743476012428E-2</v>
      </c>
      <c r="CA54" s="125">
        <v>4.9054525133147474E-2</v>
      </c>
      <c r="CB54" s="125">
        <v>5.5084986220303785E-2</v>
      </c>
      <c r="CC54" s="125">
        <v>5.1821712799901561E-2</v>
      </c>
      <c r="CD54" s="125">
        <v>4.768854623483218E-2</v>
      </c>
      <c r="CE54" s="125">
        <v>4.7846409009558361E-2</v>
      </c>
      <c r="CF54" s="125">
        <v>4.8819912605061785E-2</v>
      </c>
      <c r="CG54" s="125">
        <v>4.622259398162807E-2</v>
      </c>
      <c r="CH54" s="125">
        <v>4.8357457271970619E-2</v>
      </c>
      <c r="CI54" s="125">
        <v>5.1866783330205564E-2</v>
      </c>
      <c r="CJ54" s="125">
        <v>4.7076002228513138E-2</v>
      </c>
      <c r="CK54" s="125">
        <v>4.8987821002412085E-2</v>
      </c>
      <c r="CL54" s="125">
        <v>5.0521662353981631E-2</v>
      </c>
      <c r="CM54" s="125">
        <v>5.1037252776101494E-2</v>
      </c>
      <c r="CN54" s="125">
        <v>5.6503307133527469E-2</v>
      </c>
      <c r="CO54" s="125">
        <v>4.5843228309641486E-2</v>
      </c>
      <c r="CP54" s="125">
        <v>4.6238166559874117E-2</v>
      </c>
      <c r="CQ54" s="125">
        <v>5.0429453127428532E-2</v>
      </c>
      <c r="CR54" s="125">
        <v>5.0440718314353733E-2</v>
      </c>
      <c r="CS54" s="125">
        <v>4.9078897257007266E-2</v>
      </c>
      <c r="CT54" s="125">
        <v>5.0674843958398413E-2</v>
      </c>
      <c r="CU54" s="125">
        <v>4.8109653302362068E-2</v>
      </c>
      <c r="CV54" s="125">
        <v>5.7038283863818567E-2</v>
      </c>
      <c r="CW54" s="125">
        <v>5.4567510923758319E-2</v>
      </c>
      <c r="CX54" s="125">
        <v>4.9917492676539353E-2</v>
      </c>
    </row>
    <row r="55" spans="1:102" s="23" customFormat="1">
      <c r="B55" s="67" t="s">
        <v>56</v>
      </c>
      <c r="C55" s="125">
        <v>0.10515238929117061</v>
      </c>
      <c r="D55" s="125">
        <v>0.10379072203144164</v>
      </c>
      <c r="E55" s="125">
        <v>9.7184086848766019E-2</v>
      </c>
      <c r="F55" s="125">
        <v>0.10467749361929755</v>
      </c>
      <c r="G55" s="125">
        <v>0.1106020396009942</v>
      </c>
      <c r="H55" s="125">
        <v>0.10608263176148618</v>
      </c>
      <c r="I55" s="125">
        <v>0.10245957183064995</v>
      </c>
      <c r="J55" s="125">
        <v>0.10559444861557621</v>
      </c>
      <c r="K55" s="125">
        <v>0.10587502404561404</v>
      </c>
      <c r="L55" s="125">
        <v>0.10364225413225379</v>
      </c>
      <c r="M55" s="125">
        <v>0.10483752342272888</v>
      </c>
      <c r="N55" s="125">
        <v>0.11162905929957295</v>
      </c>
      <c r="O55" s="125">
        <v>0.10419979713544743</v>
      </c>
      <c r="P55" s="125">
        <v>9.7227687764349174E-2</v>
      </c>
      <c r="Q55" s="125">
        <v>0.107557613292527</v>
      </c>
      <c r="R55" s="125">
        <v>0.10437272183921624</v>
      </c>
      <c r="S55" s="125">
        <v>0.10763327220945519</v>
      </c>
      <c r="T55" s="125">
        <v>9.8845334751029218E-2</v>
      </c>
      <c r="U55" s="125">
        <v>0.10273416444088229</v>
      </c>
      <c r="V55" s="125">
        <v>0.10464103525670579</v>
      </c>
      <c r="W55" s="125">
        <v>9.9783461850335778E-2</v>
      </c>
      <c r="X55" s="125">
        <v>0.10589817219311666</v>
      </c>
      <c r="Y55" s="125">
        <v>0.10630963024325352</v>
      </c>
      <c r="Z55" s="125">
        <v>0.10564995605974434</v>
      </c>
      <c r="AA55" s="125">
        <v>0.10425485561443966</v>
      </c>
      <c r="AB55" s="125">
        <v>9.9104839221228716E-2</v>
      </c>
      <c r="AC55" s="125">
        <v>0.10241928246744875</v>
      </c>
      <c r="AD55" s="125">
        <v>9.5712657531628539E-2</v>
      </c>
      <c r="AE55" s="125">
        <v>0.10512734053986882</v>
      </c>
      <c r="AF55" s="125">
        <v>0.10259496145037675</v>
      </c>
      <c r="AG55" s="125">
        <v>9.8561565430918555E-2</v>
      </c>
      <c r="AH55" s="125">
        <v>0.10097489951172119</v>
      </c>
      <c r="AI55" s="125">
        <v>9.6363689968011756E-2</v>
      </c>
      <c r="AJ55" s="125">
        <v>9.6038901733034435E-2</v>
      </c>
      <c r="AK55" s="125">
        <v>9.1356781813050097E-2</v>
      </c>
      <c r="AL55" s="125">
        <v>0.10435599012401341</v>
      </c>
      <c r="AM55" s="125">
        <v>9.6676385921256186E-2</v>
      </c>
      <c r="AN55" s="125">
        <v>0.11155693232426589</v>
      </c>
      <c r="AO55" s="125">
        <v>0.10681388255805624</v>
      </c>
      <c r="AP55" s="125">
        <v>0.10380209282739666</v>
      </c>
      <c r="AQ55" s="125">
        <v>9.8072478552781547E-2</v>
      </c>
      <c r="AR55" s="125">
        <v>0.10147359670312865</v>
      </c>
      <c r="AS55" s="125">
        <v>0.10317897450194036</v>
      </c>
      <c r="AT55" s="125">
        <v>0.10131561239647037</v>
      </c>
      <c r="AU55" s="125">
        <v>0.10192038669949693</v>
      </c>
      <c r="AV55" s="125">
        <v>9.64322360648458E-2</v>
      </c>
      <c r="AW55" s="125">
        <v>0.10475503315826185</v>
      </c>
      <c r="AX55" s="125">
        <v>9.6608055930472503E-2</v>
      </c>
      <c r="AY55" s="125">
        <v>0.10147341014013839</v>
      </c>
      <c r="AZ55" s="125">
        <v>0.10172932750005127</v>
      </c>
      <c r="BA55" s="125">
        <v>0.10831022867734605</v>
      </c>
      <c r="BB55" s="125">
        <v>9.6032622397472719E-2</v>
      </c>
      <c r="BC55" s="125">
        <v>0.10033764562517922</v>
      </c>
      <c r="BD55" s="125">
        <v>0.106084099636616</v>
      </c>
      <c r="BE55" s="125">
        <v>0.10260893453612467</v>
      </c>
      <c r="BF55" s="125">
        <v>0.10184960955196058</v>
      </c>
      <c r="BG55" s="125">
        <v>9.7246073288250939E-2</v>
      </c>
      <c r="BH55" s="125">
        <v>0.10027814065471087</v>
      </c>
      <c r="BI55" s="125">
        <v>0.10677730089900007</v>
      </c>
      <c r="BJ55" s="125">
        <v>0.10639854387253476</v>
      </c>
      <c r="BK55" s="125">
        <v>0.10495155737906438</v>
      </c>
      <c r="BL55" s="125">
        <v>9.103589252305673E-2</v>
      </c>
      <c r="BM55" s="125">
        <v>9.5991503888558927E-2</v>
      </c>
      <c r="BN55" s="125">
        <v>0.10169972591213659</v>
      </c>
      <c r="BO55" s="125">
        <v>0.10601444145593071</v>
      </c>
      <c r="BP55" s="125">
        <v>0.10447749142886897</v>
      </c>
      <c r="BQ55" s="125">
        <v>0.10044848624398688</v>
      </c>
      <c r="BR55" s="125">
        <v>0.10290658284604233</v>
      </c>
      <c r="BS55" s="125">
        <v>0.10493335878107939</v>
      </c>
      <c r="BT55" s="125">
        <v>9.990602757487492E-2</v>
      </c>
      <c r="BU55" s="125">
        <v>9.8977178895202439E-2</v>
      </c>
      <c r="BV55" s="125">
        <v>0.10398828617460555</v>
      </c>
      <c r="BW55" s="125">
        <v>0.10150465112626521</v>
      </c>
      <c r="BX55" s="125">
        <v>9.1598376880714691E-2</v>
      </c>
      <c r="BY55" s="125">
        <v>0.10255626531893934</v>
      </c>
      <c r="BZ55" s="125">
        <v>0.10718440266731566</v>
      </c>
      <c r="CA55" s="125">
        <v>0.10385259245963022</v>
      </c>
      <c r="CB55" s="125">
        <v>0.10757524860657257</v>
      </c>
      <c r="CC55" s="125">
        <v>9.9295327885490878E-2</v>
      </c>
      <c r="CD55" s="125">
        <v>0.10084718388683586</v>
      </c>
      <c r="CE55" s="125">
        <v>0.10485456214914771</v>
      </c>
      <c r="CF55" s="125">
        <v>9.6663247625660073E-2</v>
      </c>
      <c r="CG55" s="125">
        <v>0.10152849451740181</v>
      </c>
      <c r="CH55" s="125">
        <v>0.10339083884009648</v>
      </c>
      <c r="CI55" s="125">
        <v>0.10109050346599728</v>
      </c>
      <c r="CJ55" s="125">
        <v>9.9823836731230062E-2</v>
      </c>
      <c r="CK55" s="125">
        <v>9.8811699087274232E-2</v>
      </c>
      <c r="CL55" s="125">
        <v>0.10547404774614612</v>
      </c>
      <c r="CM55" s="125">
        <v>0.1058526189216951</v>
      </c>
      <c r="CN55" s="125">
        <v>9.6245493773109689E-2</v>
      </c>
      <c r="CO55" s="125">
        <v>0.10174698500168849</v>
      </c>
      <c r="CP55" s="125">
        <v>0.10371013215137698</v>
      </c>
      <c r="CQ55" s="125">
        <v>0.10223391168588319</v>
      </c>
      <c r="CR55" s="125">
        <v>0.10554060498621738</v>
      </c>
      <c r="CS55" s="125">
        <v>9.7634206085369185E-2</v>
      </c>
      <c r="CT55" s="125">
        <v>9.3024751336728773E-2</v>
      </c>
      <c r="CU55" s="125">
        <v>0.10072777677068623</v>
      </c>
      <c r="CV55" s="125">
        <v>0.10554929469672882</v>
      </c>
      <c r="CW55" s="125">
        <v>0.10692039921788349</v>
      </c>
      <c r="CX55" s="125">
        <v>9.8931206926932622E-2</v>
      </c>
    </row>
    <row r="56" spans="1:102" s="23" customFormat="1">
      <c r="A56" s="126"/>
      <c r="B56" s="67" t="s">
        <v>114</v>
      </c>
      <c r="C56" s="125">
        <v>0.14602046674061872</v>
      </c>
      <c r="D56" s="125">
        <v>0.1233008963224773</v>
      </c>
      <c r="E56" s="125">
        <v>0.11040191243947352</v>
      </c>
      <c r="F56" s="125">
        <v>0.11570219679529063</v>
      </c>
      <c r="G56" s="125">
        <v>0.12792548600438181</v>
      </c>
      <c r="H56" s="125">
        <v>0.18488077104986983</v>
      </c>
      <c r="I56" s="125">
        <v>8.3301460897494586E-2</v>
      </c>
      <c r="J56" s="125">
        <v>0.12498848210475787</v>
      </c>
      <c r="K56" s="125">
        <v>0.11451275033551236</v>
      </c>
      <c r="L56" s="125">
        <v>0.17958793951603733</v>
      </c>
      <c r="M56" s="125">
        <v>0.11338001675949429</v>
      </c>
      <c r="N56" s="125">
        <v>0.1762038486924439</v>
      </c>
      <c r="O56" s="125">
        <v>0.14626691269458841</v>
      </c>
      <c r="P56" s="125">
        <v>0.14176884314038934</v>
      </c>
      <c r="Q56" s="125">
        <v>9.1642755046017321E-2</v>
      </c>
      <c r="R56" s="125">
        <v>0.1141094437410331</v>
      </c>
      <c r="S56" s="125">
        <v>0.1842251516646026</v>
      </c>
      <c r="T56" s="125">
        <v>0.10799751154681576</v>
      </c>
      <c r="U56" s="125">
        <v>0.12992674413389119</v>
      </c>
      <c r="V56" s="125">
        <v>0.16017099308617791</v>
      </c>
      <c r="W56" s="125">
        <v>0.1388828722295857</v>
      </c>
      <c r="X56" s="125">
        <v>0.15170408170376681</v>
      </c>
      <c r="Y56" s="125">
        <v>0.1476647704213504</v>
      </c>
      <c r="Z56" s="125">
        <v>0.1188801357862635</v>
      </c>
      <c r="AA56" s="125">
        <v>8.6966544737051163E-2</v>
      </c>
      <c r="AB56" s="125">
        <v>0.14754734056515398</v>
      </c>
      <c r="AC56" s="125">
        <v>0.15579812064843876</v>
      </c>
      <c r="AD56" s="125">
        <v>0.13455786999386887</v>
      </c>
      <c r="AE56" s="125">
        <v>9.2590143172953845E-2</v>
      </c>
      <c r="AF56" s="125">
        <v>0.11883996586340233</v>
      </c>
      <c r="AG56" s="125">
        <v>0.17499598130427585</v>
      </c>
      <c r="AH56" s="125">
        <v>9.6199285514161903E-2</v>
      </c>
      <c r="AI56" s="125">
        <v>0.11894211901466435</v>
      </c>
      <c r="AJ56" s="125">
        <v>0.11473891568472046</v>
      </c>
      <c r="AK56" s="125">
        <v>0.13866403506174041</v>
      </c>
      <c r="AL56" s="125">
        <v>0.11225360789311319</v>
      </c>
      <c r="AM56" s="125">
        <v>0.13395917613847902</v>
      </c>
      <c r="AN56" s="125">
        <v>0.19279913717473848</v>
      </c>
      <c r="AO56" s="125">
        <v>0.2241951703132159</v>
      </c>
      <c r="AP56" s="125">
        <v>0.18177047964111781</v>
      </c>
      <c r="AQ56" s="125">
        <v>0.13159111801778986</v>
      </c>
      <c r="AR56" s="125">
        <v>0.15332836370389885</v>
      </c>
      <c r="AS56" s="125">
        <v>0.14243968517287262</v>
      </c>
      <c r="AT56" s="125">
        <v>0.13959290268142752</v>
      </c>
      <c r="AU56" s="125">
        <v>0.18604409184869541</v>
      </c>
      <c r="AV56" s="125">
        <v>0.1437519645105087</v>
      </c>
      <c r="AW56" s="125">
        <v>0.12017989285502587</v>
      </c>
      <c r="AX56" s="125">
        <v>0.16938738553593566</v>
      </c>
      <c r="AY56" s="125">
        <v>0.13574409051488734</v>
      </c>
      <c r="AZ56" s="125">
        <v>0.14869220480752954</v>
      </c>
      <c r="BA56" s="125">
        <v>0.27156257014161672</v>
      </c>
      <c r="BB56" s="125">
        <v>0.16116080081005457</v>
      </c>
      <c r="BC56" s="125">
        <v>0.1763190729198395</v>
      </c>
      <c r="BD56" s="125">
        <v>0.20083070172205322</v>
      </c>
      <c r="BE56" s="125">
        <v>0.1238638155747753</v>
      </c>
      <c r="BF56" s="125">
        <v>0.12067903395839638</v>
      </c>
      <c r="BG56" s="125">
        <v>0.17309250260536763</v>
      </c>
      <c r="BH56" s="125">
        <v>0.19296127924689155</v>
      </c>
      <c r="BI56" s="125">
        <v>0.14919381540849666</v>
      </c>
      <c r="BJ56" s="125">
        <v>0.10404740798984186</v>
      </c>
      <c r="BK56" s="125">
        <v>9.7184227623096406E-2</v>
      </c>
      <c r="BL56" s="125">
        <v>0.13229286092279469</v>
      </c>
      <c r="BM56" s="125">
        <v>0.13046009845566428</v>
      </c>
      <c r="BN56" s="125">
        <v>0.198420264523159</v>
      </c>
      <c r="BO56" s="125">
        <v>0.1930115544056337</v>
      </c>
      <c r="BP56" s="125">
        <v>0.11430730162766248</v>
      </c>
      <c r="BQ56" s="125">
        <v>0.15407244949631158</v>
      </c>
      <c r="BR56" s="125">
        <v>9.8357915999721046E-2</v>
      </c>
      <c r="BS56" s="125">
        <v>0.10386360071309925</v>
      </c>
      <c r="BT56" s="125">
        <v>0.14272461818733728</v>
      </c>
      <c r="BU56" s="125">
        <v>0.14409882177174607</v>
      </c>
      <c r="BV56" s="125">
        <v>0.21209679132367937</v>
      </c>
      <c r="BW56" s="125">
        <v>0.20011225860996484</v>
      </c>
      <c r="BX56" s="125">
        <v>0.19847123353518223</v>
      </c>
      <c r="BY56" s="125">
        <v>0.13126928206876415</v>
      </c>
      <c r="BZ56" s="125">
        <v>0.19320837894551046</v>
      </c>
      <c r="CA56" s="125">
        <v>0.10059446079080429</v>
      </c>
      <c r="CB56" s="125">
        <v>0.23835855853364107</v>
      </c>
      <c r="CC56" s="125">
        <v>0.1330701558452051</v>
      </c>
      <c r="CD56" s="125">
        <v>0.2136819838241367</v>
      </c>
      <c r="CE56" s="125">
        <v>9.0777028633136941E-2</v>
      </c>
      <c r="CF56" s="125">
        <v>0.11650411084029658</v>
      </c>
      <c r="CG56" s="125">
        <v>0.1274999170783539</v>
      </c>
      <c r="CH56" s="125">
        <v>0.10152827469030865</v>
      </c>
      <c r="CI56" s="125">
        <v>0.15695549527014455</v>
      </c>
      <c r="CJ56" s="125">
        <v>0.1523697185946111</v>
      </c>
      <c r="CK56" s="125">
        <v>0.11794588791774084</v>
      </c>
      <c r="CL56" s="125">
        <v>0.12236966136366824</v>
      </c>
      <c r="CM56" s="125">
        <v>0.17601381143520531</v>
      </c>
      <c r="CN56" s="125">
        <v>0.15935775979760808</v>
      </c>
      <c r="CO56" s="125">
        <v>0.17802516755034176</v>
      </c>
      <c r="CP56" s="125">
        <v>9.306941270539186E-2</v>
      </c>
      <c r="CQ56" s="125">
        <v>0.16271874624662389</v>
      </c>
      <c r="CR56" s="125">
        <v>0.16548911529587076</v>
      </c>
      <c r="CS56" s="125">
        <v>0.11097114766987014</v>
      </c>
      <c r="CT56" s="125">
        <v>0.12452264442175143</v>
      </c>
      <c r="CU56" s="125">
        <v>0.15017970762324315</v>
      </c>
      <c r="CV56" s="125">
        <v>0.15002888835486544</v>
      </c>
      <c r="CW56" s="125">
        <v>0.17224123377973413</v>
      </c>
      <c r="CX56" s="125">
        <v>0.1668267352761767</v>
      </c>
    </row>
    <row r="57" spans="1:102" s="124" customFormat="1">
      <c r="A57" s="108" t="str">
        <f>Parameters!A44</f>
        <v>Schuld deflatie</v>
      </c>
      <c r="B57" s="122" t="s">
        <v>29</v>
      </c>
      <c r="C57" s="123">
        <v>-0.11129898792232359</v>
      </c>
      <c r="D57" s="123">
        <v>-9.8557555936110305E-2</v>
      </c>
      <c r="E57" s="123">
        <v>-9.7624977965944298E-2</v>
      </c>
      <c r="F57" s="123">
        <v>-0.10390922964421637</v>
      </c>
      <c r="G57" s="123">
        <v>-0.10517316363114576</v>
      </c>
      <c r="H57" s="123">
        <v>-9.4199899409938698E-2</v>
      </c>
      <c r="I57" s="123">
        <v>-8.9415689191336786E-2</v>
      </c>
      <c r="J57" s="123">
        <v>-0.10545682865819653</v>
      </c>
      <c r="K57" s="123">
        <v>-9.4150706027240141E-2</v>
      </c>
      <c r="L57" s="123">
        <v>-9.3739395142282633E-2</v>
      </c>
      <c r="M57" s="123">
        <v>-9.8131676787067135E-2</v>
      </c>
      <c r="N57" s="123">
        <v>-0.11493964659649464</v>
      </c>
      <c r="O57" s="123">
        <v>-0.10685222537871514</v>
      </c>
      <c r="P57" s="123">
        <v>-9.4741188557720832E-2</v>
      </c>
      <c r="Q57" s="123">
        <v>-0.10728172635694852</v>
      </c>
      <c r="R57" s="123">
        <v>-0.10553430763222091</v>
      </c>
      <c r="S57" s="123">
        <v>-0.11077547774481603</v>
      </c>
      <c r="T57" s="123">
        <v>-8.3800112665121856E-2</v>
      </c>
      <c r="U57" s="123">
        <v>-8.970178210915393E-2</v>
      </c>
      <c r="V57" s="123">
        <v>-8.5483816811448204E-2</v>
      </c>
      <c r="W57" s="123">
        <v>-9.210948445623747E-2</v>
      </c>
      <c r="X57" s="123">
        <v>-8.8243292654593297E-2</v>
      </c>
      <c r="Y57" s="123">
        <v>-9.9290485465257122E-2</v>
      </c>
      <c r="Z57" s="123">
        <v>-9.5503951900905798E-2</v>
      </c>
      <c r="AA57" s="123">
        <v>-9.530398754830241E-2</v>
      </c>
      <c r="AB57" s="123">
        <v>-7.7434657341188678E-2</v>
      </c>
      <c r="AC57" s="123">
        <v>-9.2215699122595932E-2</v>
      </c>
      <c r="AD57" s="123">
        <v>-9.2283437758767295E-2</v>
      </c>
      <c r="AE57" s="123">
        <v>-7.4167029109527521E-2</v>
      </c>
      <c r="AF57" s="123">
        <v>-9.0322661173598731E-2</v>
      </c>
      <c r="AG57" s="123">
        <v>-9.1249586917933501E-2</v>
      </c>
      <c r="AH57" s="123">
        <v>-8.7682870235233995E-2</v>
      </c>
      <c r="AI57" s="123">
        <v>-8.497924841097329E-2</v>
      </c>
      <c r="AJ57" s="123">
        <v>-7.9909181276714397E-2</v>
      </c>
      <c r="AK57" s="123">
        <v>-0.10061082653026207</v>
      </c>
      <c r="AL57" s="123">
        <v>-9.3072598966329634E-2</v>
      </c>
      <c r="AM57" s="123">
        <v>-0.10236365962302842</v>
      </c>
      <c r="AN57" s="123">
        <v>-9.2113625942113642E-2</v>
      </c>
      <c r="AO57" s="123">
        <v>-7.9960580542292159E-2</v>
      </c>
      <c r="AP57" s="123">
        <v>-8.167032532719315E-2</v>
      </c>
      <c r="AQ57" s="123">
        <v>-7.5560552536141828E-2</v>
      </c>
      <c r="AR57" s="123">
        <v>-9.6917790582996946E-2</v>
      </c>
      <c r="AS57" s="123">
        <v>-9.6326155006681236E-2</v>
      </c>
      <c r="AT57" s="123">
        <v>-9.8051793233817214E-2</v>
      </c>
      <c r="AU57" s="123">
        <v>-7.2265828885246991E-2</v>
      </c>
      <c r="AV57" s="123">
        <v>-7.7984278051937556E-2</v>
      </c>
      <c r="AW57" s="123">
        <v>-7.7034618693857762E-2</v>
      </c>
      <c r="AX57" s="123">
        <v>-8.9146936634424981E-2</v>
      </c>
      <c r="AY57" s="123">
        <v>-7.7166064225260331E-2</v>
      </c>
      <c r="AZ57" s="123">
        <v>-9.6548232028375855E-2</v>
      </c>
      <c r="BA57" s="123">
        <v>-8.4657859647177175E-2</v>
      </c>
      <c r="BB57" s="123">
        <v>-0.10472155477047362</v>
      </c>
      <c r="BC57" s="123">
        <v>-7.6624584803135887E-2</v>
      </c>
      <c r="BD57" s="123">
        <v>-6.9517651113591178E-2</v>
      </c>
      <c r="BE57" s="123">
        <v>-6.8031542298482572E-2</v>
      </c>
      <c r="BF57" s="123">
        <v>-9.3260384851440559E-2</v>
      </c>
      <c r="BG57" s="123">
        <v>-0.10241387615564618</v>
      </c>
      <c r="BH57" s="123">
        <v>-9.3614394743713955E-2</v>
      </c>
      <c r="BI57" s="123">
        <v>-7.3434561355038494E-2</v>
      </c>
      <c r="BJ57" s="123">
        <v>-9.2560600138200805E-2</v>
      </c>
      <c r="BK57" s="123">
        <v>-9.5887691583232612E-2</v>
      </c>
      <c r="BL57" s="123">
        <v>-9.2760640687507515E-2</v>
      </c>
      <c r="BM57" s="123">
        <v>-8.8096539869996174E-2</v>
      </c>
      <c r="BN57" s="123">
        <v>-8.8622388662905477E-2</v>
      </c>
      <c r="BO57" s="123">
        <v>-7.0138458467732326E-2</v>
      </c>
      <c r="BP57" s="123">
        <v>-8.6940210480979579E-2</v>
      </c>
      <c r="BQ57" s="123">
        <v>-7.7269973674939596E-2</v>
      </c>
      <c r="BR57" s="123">
        <v>-9.1974568162481674E-2</v>
      </c>
      <c r="BS57" s="123">
        <v>-7.3547865252462194E-2</v>
      </c>
      <c r="BT57" s="123">
        <v>-6.7093880334852099E-2</v>
      </c>
      <c r="BU57" s="123">
        <v>-8.7367361208903094E-2</v>
      </c>
      <c r="BV57" s="123">
        <v>-7.5729129974644552E-2</v>
      </c>
      <c r="BW57" s="123">
        <v>-7.7801857770766952E-2</v>
      </c>
      <c r="BX57" s="123">
        <v>-0.10346526355889119</v>
      </c>
      <c r="BY57" s="123">
        <v>-0.10074652978119221</v>
      </c>
      <c r="BZ57" s="123">
        <v>-9.3086342450785092E-2</v>
      </c>
      <c r="CA57" s="123">
        <v>-7.970863784138546E-2</v>
      </c>
      <c r="CB57" s="123">
        <v>-7.9613469126770933E-2</v>
      </c>
      <c r="CC57" s="123">
        <v>-7.7492326233058267E-2</v>
      </c>
      <c r="CD57" s="123">
        <v>-9.1035321233832872E-2</v>
      </c>
      <c r="CE57" s="123">
        <v>-7.8038526047913934E-2</v>
      </c>
      <c r="CF57" s="123">
        <v>-9.9837701560040529E-2</v>
      </c>
      <c r="CG57" s="123">
        <v>-9.4208522846474546E-2</v>
      </c>
      <c r="CH57" s="123">
        <v>-6.8145179026014802E-2</v>
      </c>
      <c r="CI57" s="123">
        <v>-7.9829757875946289E-2</v>
      </c>
      <c r="CJ57" s="123">
        <v>-8.6183604277912079E-2</v>
      </c>
      <c r="CK57" s="123">
        <v>-7.4261039019929781E-2</v>
      </c>
      <c r="CL57" s="123">
        <v>-9.2999616481291764E-2</v>
      </c>
      <c r="CM57" s="123">
        <v>-6.4875375767339941E-2</v>
      </c>
      <c r="CN57" s="123">
        <v>-0.10842632380525269</v>
      </c>
      <c r="CO57" s="123">
        <v>-8.944083934848264E-2</v>
      </c>
      <c r="CP57" s="123">
        <v>-7.9442556529017438E-2</v>
      </c>
      <c r="CQ57" s="123">
        <v>-7.5073042313531457E-2</v>
      </c>
      <c r="CR57" s="123">
        <v>-7.52945267147134E-2</v>
      </c>
      <c r="CS57" s="123">
        <v>-7.5850544078010881E-2</v>
      </c>
      <c r="CT57" s="123">
        <v>-8.5261610397339094E-2</v>
      </c>
      <c r="CU57" s="123">
        <v>-8.823304805467104E-2</v>
      </c>
      <c r="CV57" s="123">
        <v>-8.7384111254992416E-2</v>
      </c>
      <c r="CW57" s="123">
        <v>-9.7597169285907476E-2</v>
      </c>
      <c r="CX57" s="123">
        <v>-9.9584289047534885E-2</v>
      </c>
    </row>
    <row r="58" spans="1:102" s="23" customFormat="1">
      <c r="B58" s="14" t="s">
        <v>30</v>
      </c>
      <c r="C58" s="125">
        <v>9.156941002035833E-2</v>
      </c>
      <c r="D58" s="125">
        <v>7.6153645651765772E-2</v>
      </c>
      <c r="E58" s="125">
        <v>8.0770601923439017E-2</v>
      </c>
      <c r="F58" s="125">
        <v>6.4629116730576974E-2</v>
      </c>
      <c r="G58" s="125">
        <v>7.0608064699923617E-2</v>
      </c>
      <c r="H58" s="125">
        <v>8.7438803923118771E-2</v>
      </c>
      <c r="I58" s="125">
        <v>6.8799921127100205E-2</v>
      </c>
      <c r="J58" s="125">
        <v>7.6229757318027544E-2</v>
      </c>
      <c r="K58" s="125">
        <v>7.2325334391563148E-2</v>
      </c>
      <c r="L58" s="125">
        <v>7.2143775004806551E-2</v>
      </c>
      <c r="M58" s="125">
        <v>7.4693907542359161E-2</v>
      </c>
      <c r="N58" s="125">
        <v>7.3017335689731414E-2</v>
      </c>
      <c r="O58" s="125">
        <v>7.6680646981548417E-2</v>
      </c>
      <c r="P58" s="125">
        <v>7.9324846741939611E-2</v>
      </c>
      <c r="Q58" s="125">
        <v>6.9384399287783532E-2</v>
      </c>
      <c r="R58" s="125">
        <v>8.1310897470512788E-2</v>
      </c>
      <c r="S58" s="125">
        <v>7.4863778784699062E-2</v>
      </c>
      <c r="T58" s="125">
        <v>6.7757942879924732E-2</v>
      </c>
      <c r="U58" s="125">
        <v>6.9295489417257813E-2</v>
      </c>
      <c r="V58" s="125">
        <v>6.9725947210957429E-2</v>
      </c>
      <c r="W58" s="125">
        <v>8.5487819559121131E-2</v>
      </c>
      <c r="X58" s="125">
        <v>6.2438066516352947E-2</v>
      </c>
      <c r="Y58" s="125">
        <v>7.9376547902628602E-2</v>
      </c>
      <c r="Z58" s="125">
        <v>5.9256216042344809E-2</v>
      </c>
      <c r="AA58" s="125">
        <v>6.7884189165645578E-2</v>
      </c>
      <c r="AB58" s="125">
        <v>7.1966196886251055E-2</v>
      </c>
      <c r="AC58" s="125">
        <v>7.7034539697391005E-2</v>
      </c>
      <c r="AD58" s="125">
        <v>7.6664208332558936E-2</v>
      </c>
      <c r="AE58" s="125">
        <v>6.8445885240608906E-2</v>
      </c>
      <c r="AF58" s="125">
        <v>6.3025851183554735E-2</v>
      </c>
      <c r="AG58" s="125">
        <v>7.6430636843432431E-2</v>
      </c>
      <c r="AH58" s="125">
        <v>7.9265889385368715E-2</v>
      </c>
      <c r="AI58" s="125">
        <v>7.1126475295518812E-2</v>
      </c>
      <c r="AJ58" s="125">
        <v>7.0524557192765333E-2</v>
      </c>
      <c r="AK58" s="125">
        <v>7.4463684604477193E-2</v>
      </c>
      <c r="AL58" s="125">
        <v>5.8114732215257446E-2</v>
      </c>
      <c r="AM58" s="125">
        <v>6.2827663046622406E-2</v>
      </c>
      <c r="AN58" s="125">
        <v>6.4241357354450829E-2</v>
      </c>
      <c r="AO58" s="125">
        <v>8.1290993787585711E-2</v>
      </c>
      <c r="AP58" s="125">
        <v>7.0033069838325912E-2</v>
      </c>
      <c r="AQ58" s="125">
        <v>6.8458766380090408E-2</v>
      </c>
      <c r="AR58" s="125">
        <v>8.3918569857963463E-2</v>
      </c>
      <c r="AS58" s="125">
        <v>6.8205178751815976E-2</v>
      </c>
      <c r="AT58" s="125">
        <v>8.5301902513455014E-2</v>
      </c>
      <c r="AU58" s="125">
        <v>6.7974156365356447E-2</v>
      </c>
      <c r="AV58" s="125">
        <v>7.403975844224174E-2</v>
      </c>
      <c r="AW58" s="125">
        <v>7.3036296676643978E-2</v>
      </c>
      <c r="AX58" s="125">
        <v>7.6458982362041267E-2</v>
      </c>
      <c r="AY58" s="125">
        <v>7.2450038542741332E-2</v>
      </c>
      <c r="AZ58" s="125">
        <v>8.3892659802002501E-2</v>
      </c>
      <c r="BA58" s="125">
        <v>7.957564991773837E-2</v>
      </c>
      <c r="BB58" s="125">
        <v>8.1786875234169679E-2</v>
      </c>
      <c r="BC58" s="125">
        <v>7.0949285417103311E-2</v>
      </c>
      <c r="BD58" s="125">
        <v>7.6480946173992551E-2</v>
      </c>
      <c r="BE58" s="125">
        <v>7.0039581566418249E-2</v>
      </c>
      <c r="BF58" s="125">
        <v>7.8731380273234286E-2</v>
      </c>
      <c r="BG58" s="125">
        <v>7.1915447789333176E-2</v>
      </c>
      <c r="BH58" s="125">
        <v>8.6941036172841893E-2</v>
      </c>
      <c r="BI58" s="125">
        <v>7.2075282747460473E-2</v>
      </c>
      <c r="BJ58" s="125">
        <v>6.5744555476089372E-2</v>
      </c>
      <c r="BK58" s="125">
        <v>6.3729132330255386E-2</v>
      </c>
      <c r="BL58" s="125">
        <v>7.8875663049749023E-2</v>
      </c>
      <c r="BM58" s="125">
        <v>6.9658956427497531E-2</v>
      </c>
      <c r="BN58" s="125">
        <v>8.180819989928402E-2</v>
      </c>
      <c r="BO58" s="125">
        <v>6.7665487707970776E-2</v>
      </c>
      <c r="BP58" s="125">
        <v>6.8614669229500311E-2</v>
      </c>
      <c r="BQ58" s="125">
        <v>6.739749563121375E-2</v>
      </c>
      <c r="BR58" s="125">
        <v>7.125753755953633E-2</v>
      </c>
      <c r="BS58" s="125">
        <v>6.8036524404876675E-2</v>
      </c>
      <c r="BT58" s="125">
        <v>6.2845201036602572E-2</v>
      </c>
      <c r="BU58" s="125">
        <v>6.2341152575525229E-2</v>
      </c>
      <c r="BV58" s="125">
        <v>7.1641715242263412E-2</v>
      </c>
      <c r="BW58" s="125">
        <v>6.6720012353384081E-2</v>
      </c>
      <c r="BX58" s="125">
        <v>7.8431002972061278E-2</v>
      </c>
      <c r="BY58" s="125">
        <v>6.9644483173494337E-2</v>
      </c>
      <c r="BZ58" s="125">
        <v>5.5392453450412903E-2</v>
      </c>
      <c r="CA58" s="125">
        <v>6.5875868917951094E-2</v>
      </c>
      <c r="CB58" s="125">
        <v>7.2372250840965935E-2</v>
      </c>
      <c r="CC58" s="125">
        <v>6.4196484407819748E-2</v>
      </c>
      <c r="CD58" s="125">
        <v>8.9369685975198232E-2</v>
      </c>
      <c r="CE58" s="125">
        <v>7.0153525755062007E-2</v>
      </c>
      <c r="CF58" s="125">
        <v>7.6701477394118117E-2</v>
      </c>
      <c r="CG58" s="125">
        <v>7.7993144466165301E-2</v>
      </c>
      <c r="CH58" s="125">
        <v>6.355153132680956E-2</v>
      </c>
      <c r="CI58" s="125">
        <v>6.6027915917755753E-2</v>
      </c>
      <c r="CJ58" s="125">
        <v>7.4619534468259682E-2</v>
      </c>
      <c r="CK58" s="125">
        <v>6.7551439593179455E-2</v>
      </c>
      <c r="CL58" s="125">
        <v>6.7201475840297814E-2</v>
      </c>
      <c r="CM58" s="125">
        <v>7.241907471523483E-2</v>
      </c>
      <c r="CN58" s="125">
        <v>7.1651858290806961E-2</v>
      </c>
      <c r="CO58" s="125">
        <v>8.6403359201482871E-2</v>
      </c>
      <c r="CP58" s="125">
        <v>6.8696293382345688E-2</v>
      </c>
      <c r="CQ58" s="125">
        <v>6.704572350087179E-2</v>
      </c>
      <c r="CR58" s="125">
        <v>7.0270628463396601E-2</v>
      </c>
      <c r="CS58" s="125">
        <v>6.6342031073743979E-2</v>
      </c>
      <c r="CT58" s="125">
        <v>6.8465238751605803E-2</v>
      </c>
      <c r="CU58" s="125">
        <v>7.8925596572494636E-2</v>
      </c>
      <c r="CV58" s="125">
        <v>5.5803454938364964E-2</v>
      </c>
      <c r="CW58" s="125">
        <v>6.829910469761169E-2</v>
      </c>
      <c r="CX58" s="125">
        <v>7.4994815879262419E-2</v>
      </c>
    </row>
    <row r="59" spans="1:102" s="23" customFormat="1">
      <c r="B59" s="67" t="s">
        <v>56</v>
      </c>
      <c r="C59" s="125">
        <v>8.7556150767324009E-2</v>
      </c>
      <c r="D59" s="125">
        <v>7.9929933561142585E-2</v>
      </c>
      <c r="E59" s="125">
        <v>8.4151613418170026E-2</v>
      </c>
      <c r="F59" s="125">
        <v>7.5713821166112777E-2</v>
      </c>
      <c r="G59" s="125">
        <v>8.0503071537353157E-2</v>
      </c>
      <c r="H59" s="125">
        <v>9.0993765085203279E-2</v>
      </c>
      <c r="I59" s="125">
        <v>8.0140338953446355E-2</v>
      </c>
      <c r="J59" s="125">
        <v>8.117772844496883E-2</v>
      </c>
      <c r="K59" s="125">
        <v>8.3342389422415106E-2</v>
      </c>
      <c r="L59" s="125">
        <v>7.7587224982231764E-2</v>
      </c>
      <c r="M59" s="125">
        <v>8.0193546663925572E-2</v>
      </c>
      <c r="N59" s="125">
        <v>7.4047486564660286E-2</v>
      </c>
      <c r="O59" s="125">
        <v>7.6344171439743161E-2</v>
      </c>
      <c r="P59" s="125">
        <v>8.2726899666417594E-2</v>
      </c>
      <c r="Q59" s="125">
        <v>7.7765422750897803E-2</v>
      </c>
      <c r="R59" s="125">
        <v>8.4703980677757265E-2</v>
      </c>
      <c r="S59" s="125">
        <v>7.5341541785423641E-2</v>
      </c>
      <c r="T59" s="125">
        <v>8.1585270215773623E-2</v>
      </c>
      <c r="U59" s="125">
        <v>8.3528256027982056E-2</v>
      </c>
      <c r="V59" s="125">
        <v>8.4845702787654714E-2</v>
      </c>
      <c r="W59" s="125">
        <v>9.0236624248775585E-2</v>
      </c>
      <c r="X59" s="125">
        <v>7.9214069140954357E-2</v>
      </c>
      <c r="Y59" s="125">
        <v>8.0716857071854692E-2</v>
      </c>
      <c r="Z59" s="125">
        <v>7.4636625533633968E-2</v>
      </c>
      <c r="AA59" s="125">
        <v>7.6301713832329671E-2</v>
      </c>
      <c r="AB59" s="125">
        <v>8.425859885829072E-2</v>
      </c>
      <c r="AC59" s="125">
        <v>8.2402862515824793E-2</v>
      </c>
      <c r="AD59" s="125">
        <v>7.7377851929988639E-2</v>
      </c>
      <c r="AE59" s="125">
        <v>7.7358311552882864E-2</v>
      </c>
      <c r="AF59" s="125">
        <v>7.8577328825997689E-2</v>
      </c>
      <c r="AG59" s="125">
        <v>8.4021331355786585E-2</v>
      </c>
      <c r="AH59" s="125">
        <v>8.6097013246634838E-2</v>
      </c>
      <c r="AI59" s="125">
        <v>8.0669029209604559E-2</v>
      </c>
      <c r="AJ59" s="125">
        <v>8.0652334959052469E-2</v>
      </c>
      <c r="AK59" s="125">
        <v>7.7642299735883505E-2</v>
      </c>
      <c r="AL59" s="125">
        <v>7.4077326878757149E-2</v>
      </c>
      <c r="AM59" s="125">
        <v>6.9308024848706129E-2</v>
      </c>
      <c r="AN59" s="125">
        <v>7.8293650336439272E-2</v>
      </c>
      <c r="AO59" s="125">
        <v>8.8277542088982225E-2</v>
      </c>
      <c r="AP59" s="125">
        <v>8.132435277414779E-2</v>
      </c>
      <c r="AQ59" s="125">
        <v>7.6722191918892055E-2</v>
      </c>
      <c r="AR59" s="125">
        <v>8.464173465261661E-2</v>
      </c>
      <c r="AS59" s="125">
        <v>7.9248568560219224E-2</v>
      </c>
      <c r="AT59" s="125">
        <v>8.9177268423569073E-2</v>
      </c>
      <c r="AU59" s="125">
        <v>8.0516917661299883E-2</v>
      </c>
      <c r="AV59" s="125">
        <v>8.3885394364106788E-2</v>
      </c>
      <c r="AW59" s="125">
        <v>8.6045894907880088E-2</v>
      </c>
      <c r="AX59" s="125">
        <v>8.2986891443673827E-2</v>
      </c>
      <c r="AY59" s="125">
        <v>8.2011425878346464E-2</v>
      </c>
      <c r="AZ59" s="125">
        <v>8.8323011435803109E-2</v>
      </c>
      <c r="BA59" s="125">
        <v>8.7841888425256975E-2</v>
      </c>
      <c r="BB59" s="125">
        <v>7.6375669699086976E-2</v>
      </c>
      <c r="BC59" s="125">
        <v>8.3955175479268576E-2</v>
      </c>
      <c r="BD59" s="125">
        <v>8.6412028312229411E-2</v>
      </c>
      <c r="BE59" s="125">
        <v>8.2062188071828066E-2</v>
      </c>
      <c r="BF59" s="125">
        <v>8.3273094365375569E-2</v>
      </c>
      <c r="BG59" s="125">
        <v>7.4211944568643703E-2</v>
      </c>
      <c r="BH59" s="125">
        <v>8.9175720486295226E-2</v>
      </c>
      <c r="BI59" s="125">
        <v>8.5370282659507607E-2</v>
      </c>
      <c r="BJ59" s="125">
        <v>7.5861993534160566E-2</v>
      </c>
      <c r="BK59" s="125">
        <v>7.6930744615948898E-2</v>
      </c>
      <c r="BL59" s="125">
        <v>8.2939969127246965E-2</v>
      </c>
      <c r="BM59" s="125">
        <v>7.9903732380384548E-2</v>
      </c>
      <c r="BN59" s="125">
        <v>8.7389109215057478E-2</v>
      </c>
      <c r="BO59" s="125">
        <v>8.1513954342079198E-2</v>
      </c>
      <c r="BP59" s="125">
        <v>7.6716673669585969E-2</v>
      </c>
      <c r="BQ59" s="125">
        <v>8.189979829475276E-2</v>
      </c>
      <c r="BR59" s="125">
        <v>8.0282154686123569E-2</v>
      </c>
      <c r="BS59" s="125">
        <v>7.9915061340098098E-2</v>
      </c>
      <c r="BT59" s="125">
        <v>7.9454872640282115E-2</v>
      </c>
      <c r="BU59" s="125">
        <v>7.3797023067278131E-2</v>
      </c>
      <c r="BV59" s="125">
        <v>8.3588501826925413E-2</v>
      </c>
      <c r="BW59" s="125">
        <v>8.0951006147824106E-2</v>
      </c>
      <c r="BX59" s="125">
        <v>7.5535646595045636E-2</v>
      </c>
      <c r="BY59" s="125">
        <v>7.5434189859762885E-2</v>
      </c>
      <c r="BZ59" s="125">
        <v>6.9722656113988327E-2</v>
      </c>
      <c r="CA59" s="125">
        <v>7.567223248942509E-2</v>
      </c>
      <c r="CB59" s="125">
        <v>8.3266082414065662E-2</v>
      </c>
      <c r="CC59" s="125">
        <v>8.0602811398802876E-2</v>
      </c>
      <c r="CD59" s="125">
        <v>9.0247442806843534E-2</v>
      </c>
      <c r="CE59" s="125">
        <v>8.1699119583361984E-2</v>
      </c>
      <c r="CF59" s="125">
        <v>7.9275905780763309E-2</v>
      </c>
      <c r="CG59" s="125">
        <v>8.2944879100212685E-2</v>
      </c>
      <c r="CH59" s="125">
        <v>7.7070730618316499E-2</v>
      </c>
      <c r="CI59" s="125">
        <v>7.8290226554829423E-2</v>
      </c>
      <c r="CJ59" s="125">
        <v>8.0994471909581478E-2</v>
      </c>
      <c r="CK59" s="125">
        <v>8.0989968655869091E-2</v>
      </c>
      <c r="CL59" s="125">
        <v>7.5122735329670828E-2</v>
      </c>
      <c r="CM59" s="125">
        <v>8.3888915814120363E-2</v>
      </c>
      <c r="CN59" s="125">
        <v>6.9496361944776458E-2</v>
      </c>
      <c r="CO59" s="125">
        <v>8.9709853643495832E-2</v>
      </c>
      <c r="CP59" s="125">
        <v>7.9121435891830003E-2</v>
      </c>
      <c r="CQ59" s="125">
        <v>8.2919005363389447E-2</v>
      </c>
      <c r="CR59" s="125">
        <v>8.3014877665855358E-2</v>
      </c>
      <c r="CS59" s="125">
        <v>7.2957055067158882E-2</v>
      </c>
      <c r="CT59" s="125">
        <v>7.7238481682431581E-2</v>
      </c>
      <c r="CU59" s="125">
        <v>8.6208354324056533E-2</v>
      </c>
      <c r="CV59" s="125">
        <v>7.0760109239431948E-2</v>
      </c>
      <c r="CW59" s="125">
        <v>7.3543162580055776E-2</v>
      </c>
      <c r="CX59" s="125">
        <v>7.7690013519965101E-2</v>
      </c>
    </row>
    <row r="60" spans="1:102" s="23" customFormat="1">
      <c r="A60" s="126"/>
      <c r="B60" s="67" t="s">
        <v>114</v>
      </c>
      <c r="C60" s="125">
        <v>0.90735921071219716</v>
      </c>
      <c r="D60" s="125">
        <v>0.92299465281311255</v>
      </c>
      <c r="E60" s="125">
        <v>0.90864827032434792</v>
      </c>
      <c r="F60" s="125">
        <v>0.96100810909185541</v>
      </c>
      <c r="G60" s="125">
        <v>0.94857188699391759</v>
      </c>
      <c r="H60" s="125">
        <v>0.88330848018100072</v>
      </c>
      <c r="I60" s="125">
        <v>0.92577065537050662</v>
      </c>
      <c r="J60" s="125">
        <v>0.93506186776898526</v>
      </c>
      <c r="K60" s="125">
        <v>0.92507065123993815</v>
      </c>
      <c r="L60" s="125">
        <v>0.92477637855679595</v>
      </c>
      <c r="M60" s="125">
        <v>0.92614447080691897</v>
      </c>
      <c r="N60" s="125">
        <v>0.9564682728855235</v>
      </c>
      <c r="O60" s="125">
        <v>0.93623085202348399</v>
      </c>
      <c r="P60" s="125">
        <v>0.90665063834199289</v>
      </c>
      <c r="Q60" s="125">
        <v>0.95451647101342785</v>
      </c>
      <c r="R60" s="125">
        <v>0.92232646382553474</v>
      </c>
      <c r="S60" s="125">
        <v>0.94665705391468691</v>
      </c>
      <c r="T60" s="125">
        <v>0.91687299948575651</v>
      </c>
      <c r="U60" s="125">
        <v>0.9248952401384557</v>
      </c>
      <c r="V60" s="125">
        <v>0.91456533771628756</v>
      </c>
      <c r="W60" s="125">
        <v>0.88384570940014373</v>
      </c>
      <c r="X60" s="125">
        <v>0.942192887991394</v>
      </c>
      <c r="Y60" s="125">
        <v>0.91572241057737858</v>
      </c>
      <c r="Z60" s="125">
        <v>0.96250051356805499</v>
      </c>
      <c r="AA60" s="125">
        <v>0.93957670674479432</v>
      </c>
      <c r="AB60" s="125">
        <v>0.88780563401819113</v>
      </c>
      <c r="AC60" s="125">
        <v>0.90772604363280052</v>
      </c>
      <c r="AD60" s="125">
        <v>0.90892667542057748</v>
      </c>
      <c r="AE60" s="125">
        <v>0.89059286944181071</v>
      </c>
      <c r="AF60" s="125">
        <v>0.94428180700709141</v>
      </c>
      <c r="AG60" s="125">
        <v>0.90736883592755224</v>
      </c>
      <c r="AH60" s="125">
        <v>0.8910897586324128</v>
      </c>
      <c r="AI60" s="125">
        <v>0.90912026139700086</v>
      </c>
      <c r="AJ60" s="125">
        <v>0.89882121353702049</v>
      </c>
      <c r="AK60" s="125">
        <v>0.93128544184393303</v>
      </c>
      <c r="AL60" s="125">
        <v>0.96193577250134699</v>
      </c>
      <c r="AM60" s="125">
        <v>0.96314767362171239</v>
      </c>
      <c r="AN60" s="125">
        <v>0.94402971413280268</v>
      </c>
      <c r="AO60" s="125">
        <v>0.86577709962572136</v>
      </c>
      <c r="AP60" s="125">
        <v>0.90472565847632569</v>
      </c>
      <c r="AQ60" s="125">
        <v>0.89431579035830144</v>
      </c>
      <c r="AR60" s="125">
        <v>0.89867997386276</v>
      </c>
      <c r="AS60" s="125">
        <v>0.94049188690318375</v>
      </c>
      <c r="AT60" s="125">
        <v>0.89736844438148899</v>
      </c>
      <c r="AU60" s="125">
        <v>0.88690881084580242</v>
      </c>
      <c r="AV60" s="125">
        <v>0.8826499159412986</v>
      </c>
      <c r="AW60" s="125">
        <v>0.88330320371996918</v>
      </c>
      <c r="AX60" s="125">
        <v>0.90263857957113047</v>
      </c>
      <c r="AY60" s="125">
        <v>0.88553498671590292</v>
      </c>
      <c r="AZ60" s="125">
        <v>0.89796735288832119</v>
      </c>
      <c r="BA60" s="125">
        <v>0.88288499864131242</v>
      </c>
      <c r="BB60" s="125">
        <v>0.91964520881257139</v>
      </c>
      <c r="BC60" s="125">
        <v>0.88894500192084502</v>
      </c>
      <c r="BD60" s="125">
        <v>0.85076159956385022</v>
      </c>
      <c r="BE60" s="125">
        <v>0.86738321675774421</v>
      </c>
      <c r="BF60" s="125">
        <v>0.90516451470102843</v>
      </c>
      <c r="BG60" s="125">
        <v>0.94099010516569936</v>
      </c>
      <c r="BH60" s="125">
        <v>0.88332580394886318</v>
      </c>
      <c r="BI60" s="125">
        <v>0.87648695160553369</v>
      </c>
      <c r="BJ60" s="125">
        <v>0.94061843038125637</v>
      </c>
      <c r="BK60" s="125">
        <v>0.95169620215249973</v>
      </c>
      <c r="BL60" s="125">
        <v>0.90368156336878158</v>
      </c>
      <c r="BM60" s="125">
        <v>0.92047001575452614</v>
      </c>
      <c r="BN60" s="125">
        <v>0.88600097042017256</v>
      </c>
      <c r="BO60" s="125">
        <v>0.88185933078515621</v>
      </c>
      <c r="BP60" s="125">
        <v>0.92114574374324731</v>
      </c>
      <c r="BQ60" s="125">
        <v>0.90231484578128474</v>
      </c>
      <c r="BR60" s="125">
        <v>0.92379501113814055</v>
      </c>
      <c r="BS60" s="125">
        <v>0.89027379387552819</v>
      </c>
      <c r="BT60" s="125">
        <v>0.89003731836782318</v>
      </c>
      <c r="BU60" s="125">
        <v>0.94083801776564113</v>
      </c>
      <c r="BV60" s="125">
        <v>0.88427597136071778</v>
      </c>
      <c r="BW60" s="125">
        <v>0.90590875673390581</v>
      </c>
      <c r="BX60" s="125">
        <v>0.92600796648402495</v>
      </c>
      <c r="BY60" s="125">
        <v>0.94410169308498137</v>
      </c>
      <c r="BZ60" s="125">
        <v>0.96862916922781161</v>
      </c>
      <c r="CA60" s="125">
        <v>0.91336680958905725</v>
      </c>
      <c r="CB60" s="125">
        <v>0.89218454564012795</v>
      </c>
      <c r="CC60" s="125">
        <v>0.91354037751478401</v>
      </c>
      <c r="CD60" s="125">
        <v>0.87087401278532794</v>
      </c>
      <c r="CE60" s="125">
        <v>0.89524988545835282</v>
      </c>
      <c r="CF60" s="125">
        <v>0.92393030179334723</v>
      </c>
      <c r="CG60" s="125">
        <v>0.90924564906028116</v>
      </c>
      <c r="CH60" s="125">
        <v>0.89058306714415636</v>
      </c>
      <c r="CI60" s="125">
        <v>0.91316119783561078</v>
      </c>
      <c r="CJ60" s="125">
        <v>0.90129868391025592</v>
      </c>
      <c r="CK60" s="125">
        <v>0.89386744116470263</v>
      </c>
      <c r="CL60" s="125">
        <v>0.93732494852109483</v>
      </c>
      <c r="CM60" s="125">
        <v>0.84941272087570141</v>
      </c>
      <c r="CN60" s="125">
        <v>0.95081440107725301</v>
      </c>
      <c r="CO60" s="125">
        <v>0.87511143785047185</v>
      </c>
      <c r="CP60" s="125">
        <v>0.90354176376870687</v>
      </c>
      <c r="CQ60" s="125">
        <v>0.89775823879009864</v>
      </c>
      <c r="CR60" s="125">
        <v>0.88758804979721873</v>
      </c>
      <c r="CS60" s="125">
        <v>0.90217758746228383</v>
      </c>
      <c r="CT60" s="125">
        <v>0.91794587520936632</v>
      </c>
      <c r="CU60" s="125">
        <v>0.89336583314489015</v>
      </c>
      <c r="CV60" s="125">
        <v>0.95951861041844211</v>
      </c>
      <c r="CW60" s="125">
        <v>0.94241583330820189</v>
      </c>
      <c r="CX60" s="125">
        <v>0.92802312808086806</v>
      </c>
    </row>
    <row r="61" spans="1:102" s="124" customFormat="1">
      <c r="A61" s="128" t="str">
        <f>Parameters!A45</f>
        <v>Kansgewogen</v>
      </c>
      <c r="B61" s="122" t="s">
        <v>29</v>
      </c>
      <c r="C61" s="123">
        <v>1.3058362173702051E-3</v>
      </c>
      <c r="D61" s="123">
        <v>2.1496616375687614E-3</v>
      </c>
      <c r="E61" s="123">
        <v>2.4871699063213066E-3</v>
      </c>
      <c r="F61" s="123">
        <v>2.1053034333339189E-3</v>
      </c>
      <c r="G61" s="123">
        <v>3.6815096272827912E-3</v>
      </c>
      <c r="H61" s="123">
        <v>3.2787011368815753E-3</v>
      </c>
      <c r="I61" s="123">
        <v>4.7896417908139793E-3</v>
      </c>
      <c r="J61" s="123">
        <v>2.6268555541254339E-3</v>
      </c>
      <c r="K61" s="123">
        <v>4.3900347467232884E-3</v>
      </c>
      <c r="L61" s="123">
        <v>3.6320957011373323E-3</v>
      </c>
      <c r="M61" s="123">
        <v>4.7909803792825284E-3</v>
      </c>
      <c r="N61" s="123">
        <v>7.1945449971153117E-4</v>
      </c>
      <c r="O61" s="123">
        <v>2.0665157280410781E-3</v>
      </c>
      <c r="P61" s="123">
        <v>1.531536373408623E-3</v>
      </c>
      <c r="Q61" s="123">
        <v>3.2638817674068205E-3</v>
      </c>
      <c r="R61" s="123">
        <v>2.9330864674978036E-3</v>
      </c>
      <c r="S61" s="123">
        <v>8.5086087993535553E-4</v>
      </c>
      <c r="T61" s="123">
        <v>3.4074329171558471E-3</v>
      </c>
      <c r="U61" s="123">
        <v>3.4620009504103119E-3</v>
      </c>
      <c r="V61" s="123">
        <v>3.8064224555772403E-3</v>
      </c>
      <c r="W61" s="123">
        <v>2.9546305575760207E-3</v>
      </c>
      <c r="X61" s="123">
        <v>2.79513444196332E-3</v>
      </c>
      <c r="Y61" s="123">
        <v>1.6806105767941328E-3</v>
      </c>
      <c r="Z61" s="123">
        <v>1.965807665951664E-3</v>
      </c>
      <c r="AA61" s="123">
        <v>4.4333300125145979E-3</v>
      </c>
      <c r="AB61" s="123">
        <v>2.7366915847112849E-3</v>
      </c>
      <c r="AC61" s="123">
        <v>3.9539199900550607E-3</v>
      </c>
      <c r="AD61" s="123">
        <v>3.6331046130253803E-3</v>
      </c>
      <c r="AE61" s="123">
        <v>7.2917104540463108E-3</v>
      </c>
      <c r="AF61" s="123">
        <v>2.540643146646664E-3</v>
      </c>
      <c r="AG61" s="123">
        <v>2.8209850180283239E-3</v>
      </c>
      <c r="AH61" s="123">
        <v>4.5205261895540222E-3</v>
      </c>
      <c r="AI61" s="123">
        <v>4.3289564703196809E-3</v>
      </c>
      <c r="AJ61" s="123">
        <v>4.7818257208710486E-3</v>
      </c>
      <c r="AK61" s="123">
        <v>1.714822490662047E-3</v>
      </c>
      <c r="AL61" s="123">
        <v>1.7658735220775147E-3</v>
      </c>
      <c r="AM61" s="123">
        <v>4.4462893842984932E-4</v>
      </c>
      <c r="AN61" s="123">
        <v>3.258587410821084E-3</v>
      </c>
      <c r="AO61" s="123">
        <v>3.8623159710161857E-3</v>
      </c>
      <c r="AP61" s="123">
        <v>2.8044314524884872E-3</v>
      </c>
      <c r="AQ61" s="123">
        <v>5.6250570702227254E-3</v>
      </c>
      <c r="AR61" s="123">
        <v>1.6933157545124123E-3</v>
      </c>
      <c r="AS61" s="123">
        <v>2.6024427671989575E-3</v>
      </c>
      <c r="AT61" s="123">
        <v>3.497702925167817E-3</v>
      </c>
      <c r="AU61" s="123">
        <v>5.3025224650514093E-3</v>
      </c>
      <c r="AV61" s="123">
        <v>2.5864416021467132E-3</v>
      </c>
      <c r="AW61" s="123">
        <v>6.1765361499725915E-3</v>
      </c>
      <c r="AX61" s="123">
        <v>1.6867011474872733E-3</v>
      </c>
      <c r="AY61" s="123">
        <v>5.2367084806375277E-3</v>
      </c>
      <c r="AZ61" s="123">
        <v>3.3550845795569158E-3</v>
      </c>
      <c r="BA61" s="123">
        <v>3.3379275597926064E-3</v>
      </c>
      <c r="BB61" s="123">
        <v>5.9740057776584915E-5</v>
      </c>
      <c r="BC61" s="123">
        <v>2.168228562861091E-3</v>
      </c>
      <c r="BD61" s="123">
        <v>5.8711592739647761E-3</v>
      </c>
      <c r="BE61" s="123">
        <v>6.3878023704656769E-3</v>
      </c>
      <c r="BF61" s="123">
        <v>2.8870067751464723E-3</v>
      </c>
      <c r="BG61" s="123">
        <v>1.5235899840292345E-3</v>
      </c>
      <c r="BH61" s="123">
        <v>2.8343865372021004E-3</v>
      </c>
      <c r="BI61" s="123">
        <v>6.5517802764034168E-3</v>
      </c>
      <c r="BJ61" s="123">
        <v>3.9442338050666341E-3</v>
      </c>
      <c r="BK61" s="123">
        <v>2.8223638293218864E-3</v>
      </c>
      <c r="BL61" s="123">
        <v>2.401985889659038E-3</v>
      </c>
      <c r="BM61" s="123">
        <v>3.1621500378250685E-3</v>
      </c>
      <c r="BN61" s="123">
        <v>3.3783892936338844E-3</v>
      </c>
      <c r="BO61" s="123">
        <v>5.7676397670488114E-3</v>
      </c>
      <c r="BP61" s="123">
        <v>4.4475611504503848E-3</v>
      </c>
      <c r="BQ61" s="123">
        <v>2.2700480291915378E-3</v>
      </c>
      <c r="BR61" s="123">
        <v>4.5020382324029318E-3</v>
      </c>
      <c r="BS61" s="123">
        <v>6.5639430430558905E-3</v>
      </c>
      <c r="BT61" s="123">
        <v>4.7409779952936821E-3</v>
      </c>
      <c r="BU61" s="123">
        <v>2.1249407946817853E-3</v>
      </c>
      <c r="BV61" s="123">
        <v>3.7603371713267587E-3</v>
      </c>
      <c r="BW61" s="123">
        <v>2.361585766043478E-3</v>
      </c>
      <c r="BX61" s="123">
        <v>9.8882210868785287E-4</v>
      </c>
      <c r="BY61" s="123">
        <v>2.6163494033174441E-3</v>
      </c>
      <c r="BZ61" s="123">
        <v>1.2509140718429406E-3</v>
      </c>
      <c r="CA61" s="123">
        <v>5.5793180636066701E-3</v>
      </c>
      <c r="CB61" s="123">
        <v>2.7778760607746287E-3</v>
      </c>
      <c r="CC61" s="123">
        <v>2.0768762339250313E-3</v>
      </c>
      <c r="CD61" s="123">
        <v>2.2893166187595939E-3</v>
      </c>
      <c r="CE61" s="123">
        <v>6.2584063260498904E-3</v>
      </c>
      <c r="CF61" s="123">
        <v>2.1599121589442722E-3</v>
      </c>
      <c r="CG61" s="123">
        <v>2.5547296299221621E-3</v>
      </c>
      <c r="CH61" s="123">
        <v>6.2781888180208347E-3</v>
      </c>
      <c r="CI61" s="123">
        <v>3.4682875424443794E-3</v>
      </c>
      <c r="CJ61" s="123">
        <v>1.8260518834456786E-3</v>
      </c>
      <c r="CK61" s="123">
        <v>4.4276365327147824E-3</v>
      </c>
      <c r="CL61" s="123">
        <v>2.2876726092725605E-3</v>
      </c>
      <c r="CM61" s="123">
        <v>6.8307153291891406E-3</v>
      </c>
      <c r="CN61" s="123">
        <v>-2.2445928812261321E-5</v>
      </c>
      <c r="CO61" s="123">
        <v>3.0017101635995912E-3</v>
      </c>
      <c r="CP61" s="123">
        <v>5.2924435453931083E-3</v>
      </c>
      <c r="CQ61" s="123">
        <v>3.2736322199836236E-3</v>
      </c>
      <c r="CR61" s="123">
        <v>5.6089539358857871E-3</v>
      </c>
      <c r="CS61" s="123">
        <v>5.5430744530169116E-3</v>
      </c>
      <c r="CT61" s="123">
        <v>3.3819072988668488E-3</v>
      </c>
      <c r="CU61" s="123">
        <v>3.6942968210619755E-3</v>
      </c>
      <c r="CV61" s="123">
        <v>1.5210263253170749E-3</v>
      </c>
      <c r="CW61" s="123">
        <v>1.2239231804336485E-3</v>
      </c>
      <c r="CX61" s="123">
        <v>1.3923932174595432E-3</v>
      </c>
    </row>
    <row r="62" spans="1:102" s="23" customFormat="1">
      <c r="B62" s="14" t="s">
        <v>30</v>
      </c>
      <c r="C62" s="125">
        <v>8.05454661364913E-2</v>
      </c>
      <c r="D62" s="125">
        <v>7.3308897640805185E-2</v>
      </c>
      <c r="E62" s="125">
        <v>7.3359510595345359E-2</v>
      </c>
      <c r="F62" s="125">
        <v>7.6291249495405708E-2</v>
      </c>
      <c r="G62" s="125">
        <v>7.6315469416294718E-2</v>
      </c>
      <c r="H62" s="125">
        <v>7.3939061779677295E-2</v>
      </c>
      <c r="I62" s="125">
        <v>7.150002356920733E-2</v>
      </c>
      <c r="J62" s="125">
        <v>7.5487447199804061E-2</v>
      </c>
      <c r="K62" s="125">
        <v>7.1759000915544713E-2</v>
      </c>
      <c r="L62" s="125">
        <v>7.3382137831811675E-2</v>
      </c>
      <c r="M62" s="125">
        <v>7.6457117091216942E-2</v>
      </c>
      <c r="N62" s="125">
        <v>8.2046410629594321E-2</v>
      </c>
      <c r="O62" s="125">
        <v>7.7958739381813372E-2</v>
      </c>
      <c r="P62" s="125">
        <v>7.2034956404491091E-2</v>
      </c>
      <c r="Q62" s="125">
        <v>7.6767929313192998E-2</v>
      </c>
      <c r="R62" s="125">
        <v>7.6177874330253359E-2</v>
      </c>
      <c r="S62" s="125">
        <v>7.932899731238352E-2</v>
      </c>
      <c r="T62" s="125">
        <v>6.9530215799942022E-2</v>
      </c>
      <c r="U62" s="125">
        <v>7.0837146406432724E-2</v>
      </c>
      <c r="V62" s="125">
        <v>6.9931543229565601E-2</v>
      </c>
      <c r="W62" s="125">
        <v>7.1831954744221466E-2</v>
      </c>
      <c r="X62" s="125">
        <v>6.9828797636454776E-2</v>
      </c>
      <c r="Y62" s="125">
        <v>7.2362720162919725E-2</v>
      </c>
      <c r="Z62" s="125">
        <v>7.1777493661769096E-2</v>
      </c>
      <c r="AA62" s="125">
        <v>7.220830263681334E-2</v>
      </c>
      <c r="AB62" s="125">
        <v>6.7934385630197894E-2</v>
      </c>
      <c r="AC62" s="125">
        <v>7.2020896621699651E-2</v>
      </c>
      <c r="AD62" s="125">
        <v>7.2447068483150412E-2</v>
      </c>
      <c r="AE62" s="125">
        <v>6.8876088823202189E-2</v>
      </c>
      <c r="AF62" s="125">
        <v>6.99135191894448E-2</v>
      </c>
      <c r="AG62" s="125">
        <v>7.1487689074289762E-2</v>
      </c>
      <c r="AH62" s="125">
        <v>6.9553780931702017E-2</v>
      </c>
      <c r="AI62" s="125">
        <v>7.0305272757337833E-2</v>
      </c>
      <c r="AJ62" s="125">
        <v>6.8752258879496389E-2</v>
      </c>
      <c r="AK62" s="125">
        <v>7.3744558204283439E-2</v>
      </c>
      <c r="AL62" s="125">
        <v>7.0185048516385962E-2</v>
      </c>
      <c r="AM62" s="125">
        <v>7.4493320838110874E-2</v>
      </c>
      <c r="AN62" s="125">
        <v>7.0605423463150033E-2</v>
      </c>
      <c r="AO62" s="125">
        <v>6.8690108468510105E-2</v>
      </c>
      <c r="AP62" s="125">
        <v>6.6426053599234522E-2</v>
      </c>
      <c r="AQ62" s="125">
        <v>6.7967717867630548E-2</v>
      </c>
      <c r="AR62" s="125">
        <v>7.1857207771536577E-2</v>
      </c>
      <c r="AS62" s="125">
        <v>7.2642809230240885E-2</v>
      </c>
      <c r="AT62" s="125">
        <v>7.5214504531239734E-2</v>
      </c>
      <c r="AU62" s="125">
        <v>6.7390869578879645E-2</v>
      </c>
      <c r="AV62" s="125">
        <v>6.620395720065049E-2</v>
      </c>
      <c r="AW62" s="125">
        <v>6.7496381472487724E-2</v>
      </c>
      <c r="AX62" s="125">
        <v>7.0477284067894691E-2</v>
      </c>
      <c r="AY62" s="125">
        <v>6.8066114294188074E-2</v>
      </c>
      <c r="AZ62" s="125">
        <v>7.4350404521949631E-2</v>
      </c>
      <c r="BA62" s="125">
        <v>7.2773771219701522E-2</v>
      </c>
      <c r="BB62" s="125">
        <v>7.4877076170178844E-2</v>
      </c>
      <c r="BC62" s="125">
        <v>6.5891496325901924E-2</v>
      </c>
      <c r="BD62" s="125">
        <v>6.643571621203026E-2</v>
      </c>
      <c r="BE62" s="125">
        <v>6.5097701983087189E-2</v>
      </c>
      <c r="BF62" s="125">
        <v>6.9198320628027526E-2</v>
      </c>
      <c r="BG62" s="125">
        <v>7.3599394544003716E-2</v>
      </c>
      <c r="BH62" s="125">
        <v>7.3842199185794252E-2</v>
      </c>
      <c r="BI62" s="125">
        <v>6.6628759848790117E-2</v>
      </c>
      <c r="BJ62" s="125">
        <v>6.9515218775750981E-2</v>
      </c>
      <c r="BK62" s="125">
        <v>6.9939449823199218E-2</v>
      </c>
      <c r="BL62" s="125">
        <v>7.1336132787734319E-2</v>
      </c>
      <c r="BM62" s="125">
        <v>6.8863433456304024E-2</v>
      </c>
      <c r="BN62" s="125">
        <v>7.1008812382831535E-2</v>
      </c>
      <c r="BO62" s="125">
        <v>6.5968605274677794E-2</v>
      </c>
      <c r="BP62" s="125">
        <v>6.8670321601745479E-2</v>
      </c>
      <c r="BQ62" s="125">
        <v>6.435610606037484E-2</v>
      </c>
      <c r="BR62" s="125">
        <v>7.0913742937066579E-2</v>
      </c>
      <c r="BS62" s="125">
        <v>6.5653910017587094E-2</v>
      </c>
      <c r="BT62" s="125">
        <v>6.4357593094731685E-2</v>
      </c>
      <c r="BU62" s="125">
        <v>6.9274971935595106E-2</v>
      </c>
      <c r="BV62" s="125">
        <v>6.5914706850891888E-2</v>
      </c>
      <c r="BW62" s="125">
        <v>6.5503588613899794E-2</v>
      </c>
      <c r="BX62" s="125">
        <v>7.657633396600648E-2</v>
      </c>
      <c r="BY62" s="125">
        <v>7.3520455786005939E-2</v>
      </c>
      <c r="BZ62" s="125">
        <v>7.0238285381598028E-2</v>
      </c>
      <c r="CA62" s="125">
        <v>6.6886056831876747E-2</v>
      </c>
      <c r="CB62" s="125">
        <v>6.6023275345068994E-2</v>
      </c>
      <c r="CC62" s="125">
        <v>6.4925040222115218E-2</v>
      </c>
      <c r="CD62" s="125">
        <v>7.3246206165394817E-2</v>
      </c>
      <c r="CE62" s="125">
        <v>6.7142319911988671E-2</v>
      </c>
      <c r="CF62" s="125">
        <v>7.1810907922392739E-2</v>
      </c>
      <c r="CG62" s="125">
        <v>6.9455900927283445E-2</v>
      </c>
      <c r="CH62" s="125">
        <v>6.3362693750161792E-2</v>
      </c>
      <c r="CI62" s="125">
        <v>6.6621003436766107E-2</v>
      </c>
      <c r="CJ62" s="125">
        <v>6.5359788498195584E-2</v>
      </c>
      <c r="CK62" s="125">
        <v>6.4243114294336309E-2</v>
      </c>
      <c r="CL62" s="125">
        <v>6.7350238001487317E-2</v>
      </c>
      <c r="CM62" s="125">
        <v>6.5246919257811287E-2</v>
      </c>
      <c r="CN62" s="125">
        <v>7.4869048705869773E-2</v>
      </c>
      <c r="CO62" s="125">
        <v>7.1391904611828233E-2</v>
      </c>
      <c r="CP62" s="125">
        <v>6.540299655275271E-2</v>
      </c>
      <c r="CQ62" s="125">
        <v>6.2834143415562732E-2</v>
      </c>
      <c r="CR62" s="125">
        <v>6.6212708527982694E-2</v>
      </c>
      <c r="CS62" s="125">
        <v>6.6608089566793885E-2</v>
      </c>
      <c r="CT62" s="125">
        <v>6.8399952108900458E-2</v>
      </c>
      <c r="CU62" s="125">
        <v>6.9294341395917988E-2</v>
      </c>
      <c r="CV62" s="125">
        <v>6.7315121187037738E-2</v>
      </c>
      <c r="CW62" s="125">
        <v>7.0984520825198197E-2</v>
      </c>
      <c r="CX62" s="125">
        <v>7.2569646924548661E-2</v>
      </c>
    </row>
    <row r="63" spans="1:102" s="23" customFormat="1">
      <c r="B63" s="67" t="s">
        <v>56</v>
      </c>
      <c r="C63" s="125">
        <v>0.10120468441547772</v>
      </c>
      <c r="D63" s="125">
        <v>9.793818567942493E-2</v>
      </c>
      <c r="E63" s="125">
        <v>9.4832728679061243E-2</v>
      </c>
      <c r="F63" s="125">
        <v>9.8159363935195962E-2</v>
      </c>
      <c r="G63" s="125">
        <v>0.10348929246409662</v>
      </c>
      <c r="H63" s="125">
        <v>0.10289589704445259</v>
      </c>
      <c r="I63" s="125">
        <v>9.9232332256613376E-2</v>
      </c>
      <c r="J63" s="125">
        <v>0.10116856557813493</v>
      </c>
      <c r="K63" s="125">
        <v>0.10171527676126653</v>
      </c>
      <c r="L63" s="125">
        <v>9.7301440966061956E-2</v>
      </c>
      <c r="M63" s="125">
        <v>0.10342595380844564</v>
      </c>
      <c r="N63" s="125">
        <v>0.10367704543310001</v>
      </c>
      <c r="O63" s="125">
        <v>9.938606535002989E-2</v>
      </c>
      <c r="P63" s="125">
        <v>9.483137582230701E-2</v>
      </c>
      <c r="Q63" s="125">
        <v>0.10174707903624175</v>
      </c>
      <c r="R63" s="125">
        <v>0.10214663305183763</v>
      </c>
      <c r="S63" s="125">
        <v>0.10029626255967908</v>
      </c>
      <c r="T63" s="125">
        <v>9.6652133498592877E-2</v>
      </c>
      <c r="U63" s="125">
        <v>0.10003790904494941</v>
      </c>
      <c r="V63" s="125">
        <v>0.10119380775661267</v>
      </c>
      <c r="W63" s="125">
        <v>9.9905531051354385E-2</v>
      </c>
      <c r="X63" s="125">
        <v>9.984815111431114E-2</v>
      </c>
      <c r="Y63" s="125">
        <v>9.9993034966567293E-2</v>
      </c>
      <c r="Z63" s="125">
        <v>9.862746655168167E-2</v>
      </c>
      <c r="AA63" s="125">
        <v>9.9472480252533718E-2</v>
      </c>
      <c r="AB63" s="125">
        <v>9.710655643640477E-2</v>
      </c>
      <c r="AC63" s="125">
        <v>9.9543400119514749E-2</v>
      </c>
      <c r="AD63" s="125">
        <v>9.3113338525176337E-2</v>
      </c>
      <c r="AE63" s="125">
        <v>0.10268210887714634</v>
      </c>
      <c r="AF63" s="125">
        <v>9.8500366941860415E-2</v>
      </c>
      <c r="AG63" s="125">
        <v>9.6558340745815568E-2</v>
      </c>
      <c r="AH63" s="125">
        <v>9.9649571549724592E-2</v>
      </c>
      <c r="AI63" s="125">
        <v>9.5235682070975991E-2</v>
      </c>
      <c r="AJ63" s="125">
        <v>9.4739610337812377E-2</v>
      </c>
      <c r="AK63" s="125">
        <v>8.8812515094208025E-2</v>
      </c>
      <c r="AL63" s="125">
        <v>9.7904956459726314E-2</v>
      </c>
      <c r="AM63" s="125">
        <v>9.0630998135020943E-2</v>
      </c>
      <c r="AN63" s="125">
        <v>0.1037114725244826</v>
      </c>
      <c r="AO63" s="125">
        <v>0.10371184773478889</v>
      </c>
      <c r="AP63" s="125">
        <v>9.8858637866974589E-2</v>
      </c>
      <c r="AQ63" s="125">
        <v>9.557470349393421E-2</v>
      </c>
      <c r="AR63" s="125">
        <v>9.9108763093545937E-2</v>
      </c>
      <c r="AS63" s="125">
        <v>0.10076131685394825</v>
      </c>
      <c r="AT63" s="125">
        <v>0.10267419624165246</v>
      </c>
      <c r="AU63" s="125">
        <v>9.8720280243347613E-2</v>
      </c>
      <c r="AV63" s="125">
        <v>9.4834799762754857E-2</v>
      </c>
      <c r="AW63" s="125">
        <v>0.10294998868635249</v>
      </c>
      <c r="AX63" s="125">
        <v>9.5892958867006314E-2</v>
      </c>
      <c r="AY63" s="125">
        <v>0.10084396196939814</v>
      </c>
      <c r="AZ63" s="125">
        <v>0.1029116677430191</v>
      </c>
      <c r="BA63" s="125">
        <v>0.10629191590192465</v>
      </c>
      <c r="BB63" s="125">
        <v>9.1135715042530263E-2</v>
      </c>
      <c r="BC63" s="125">
        <v>9.771315030927355E-2</v>
      </c>
      <c r="BD63" s="125">
        <v>0.10370749936753645</v>
      </c>
      <c r="BE63" s="125">
        <v>0.10112656917445265</v>
      </c>
      <c r="BF63" s="125">
        <v>9.8701947901461695E-2</v>
      </c>
      <c r="BG63" s="125">
        <v>9.1698457741473838E-2</v>
      </c>
      <c r="BH63" s="125">
        <v>0.10145384539130647</v>
      </c>
      <c r="BI63" s="125">
        <v>0.10436358753125875</v>
      </c>
      <c r="BJ63" s="125">
        <v>0.10112449751816062</v>
      </c>
      <c r="BK63" s="125">
        <v>9.991967629689319E-2</v>
      </c>
      <c r="BL63" s="125">
        <v>9.0555153177870842E-2</v>
      </c>
      <c r="BM63" s="125">
        <v>9.3725631109459112E-2</v>
      </c>
      <c r="BN63" s="125">
        <v>0.10091475616207683</v>
      </c>
      <c r="BO63" s="125">
        <v>0.10267580858528813</v>
      </c>
      <c r="BP63" s="125">
        <v>0.10115099312659233</v>
      </c>
      <c r="BQ63" s="125">
        <v>9.7286515800486931E-2</v>
      </c>
      <c r="BR63" s="125">
        <v>0.10085644245219236</v>
      </c>
      <c r="BS63" s="125">
        <v>0.10240479753992222</v>
      </c>
      <c r="BT63" s="125">
        <v>9.7498377570452724E-2</v>
      </c>
      <c r="BU63" s="125">
        <v>9.5585902520012297E-2</v>
      </c>
      <c r="BV63" s="125">
        <v>0.10090994848580129</v>
      </c>
      <c r="BW63" s="125">
        <v>9.7216557334059817E-2</v>
      </c>
      <c r="BX63" s="125">
        <v>9.0353152189153449E-2</v>
      </c>
      <c r="BY63" s="125">
        <v>9.9472399067692868E-2</v>
      </c>
      <c r="BZ63" s="125">
        <v>9.6878917440735221E-2</v>
      </c>
      <c r="CA63" s="125">
        <v>0.10066966408491233</v>
      </c>
      <c r="CB63" s="125">
        <v>0.10227463316812999</v>
      </c>
      <c r="CC63" s="125">
        <v>9.6653732216392521E-2</v>
      </c>
      <c r="CD63" s="125">
        <v>0.10245486816220783</v>
      </c>
      <c r="CE63" s="125">
        <v>0.10285464589444827</v>
      </c>
      <c r="CF63" s="125">
        <v>9.3946715160119751E-2</v>
      </c>
      <c r="CG63" s="125">
        <v>9.9534185385176666E-2</v>
      </c>
      <c r="CH63" s="125">
        <v>0.1006746818088224</v>
      </c>
      <c r="CI63" s="125">
        <v>9.8973876192935226E-2</v>
      </c>
      <c r="CJ63" s="125">
        <v>9.6244519058985414E-2</v>
      </c>
      <c r="CK63" s="125">
        <v>9.7242279305723434E-2</v>
      </c>
      <c r="CL63" s="125">
        <v>9.9129430248699163E-2</v>
      </c>
      <c r="CM63" s="125">
        <v>0.10459628730141234</v>
      </c>
      <c r="CN63" s="125">
        <v>8.9798386507746228E-2</v>
      </c>
      <c r="CO63" s="125">
        <v>0.1031029008327842</v>
      </c>
      <c r="CP63" s="125">
        <v>0.10086467488888842</v>
      </c>
      <c r="CQ63" s="125">
        <v>9.9225040346258495E-2</v>
      </c>
      <c r="CR63" s="125">
        <v>0.10391685611333194</v>
      </c>
      <c r="CS63" s="125">
        <v>9.5346105446815849E-2</v>
      </c>
      <c r="CT63" s="125">
        <v>9.2093830499461418E-2</v>
      </c>
      <c r="CU63" s="125">
        <v>9.9885798171049631E-2</v>
      </c>
      <c r="CV63" s="125">
        <v>9.8359108538249695E-2</v>
      </c>
      <c r="CW63" s="125">
        <v>0.10087482233205047</v>
      </c>
      <c r="CX63" s="125">
        <v>9.7591947494727174E-2</v>
      </c>
    </row>
    <row r="64" spans="1:102" s="126" customFormat="1">
      <c r="B64" s="129" t="s">
        <v>114</v>
      </c>
      <c r="C64" s="127">
        <v>0.50330314403582466</v>
      </c>
      <c r="D64" s="127">
        <v>0.51750156126408275</v>
      </c>
      <c r="E64" s="127">
        <v>0.50872858059798831</v>
      </c>
      <c r="F64" s="127">
        <v>0.52774910266170405</v>
      </c>
      <c r="G64" s="127">
        <v>0.50887096197908765</v>
      </c>
      <c r="H64" s="127">
        <v>0.49745170318631926</v>
      </c>
      <c r="I64" s="127">
        <v>0.51133878080224915</v>
      </c>
      <c r="J64" s="127">
        <v>0.50542454566778783</v>
      </c>
      <c r="K64" s="127">
        <v>0.50389491717120194</v>
      </c>
      <c r="L64" s="127">
        <v>0.50926759961222201</v>
      </c>
      <c r="M64" s="127">
        <v>0.49520732728011441</v>
      </c>
      <c r="N64" s="127">
        <v>0.51999008727883522</v>
      </c>
      <c r="O64" s="127">
        <v>0.50927537126859634</v>
      </c>
      <c r="P64" s="127">
        <v>0.51488018898594823</v>
      </c>
      <c r="Q64" s="127">
        <v>0.51309914456002903</v>
      </c>
      <c r="R64" s="127">
        <v>0.49719876574241745</v>
      </c>
      <c r="S64" s="127">
        <v>0.51788924771805167</v>
      </c>
      <c r="T64" s="127">
        <v>0.52189735545531324</v>
      </c>
      <c r="U64" s="127">
        <v>0.51389281634455974</v>
      </c>
      <c r="V64" s="127">
        <v>0.51303171964730621</v>
      </c>
      <c r="W64" s="127">
        <v>0.49856475896919206</v>
      </c>
      <c r="X64" s="127">
        <v>0.52758684794175381</v>
      </c>
      <c r="Y64" s="127">
        <v>0.51247358061451009</v>
      </c>
      <c r="Z64" s="127">
        <v>0.53628409708828384</v>
      </c>
      <c r="AA64" s="127">
        <v>0.5090788642908024</v>
      </c>
      <c r="AB64" s="127">
        <v>0.52409261433333332</v>
      </c>
      <c r="AC64" s="127">
        <v>0.49875959344513993</v>
      </c>
      <c r="AD64" s="127">
        <v>0.50219478791389882</v>
      </c>
      <c r="AE64" s="127">
        <v>0.4961974411153619</v>
      </c>
      <c r="AF64" s="127">
        <v>0.52674907695908357</v>
      </c>
      <c r="AG64" s="127">
        <v>0.50802231004266785</v>
      </c>
      <c r="AH64" s="127">
        <v>0.49657475979027588</v>
      </c>
      <c r="AI64" s="127">
        <v>0.50785756315774633</v>
      </c>
      <c r="AJ64" s="127">
        <v>0.5087814186316868</v>
      </c>
      <c r="AK64" s="127">
        <v>0.5145871312820538</v>
      </c>
      <c r="AL64" s="127">
        <v>0.53911191578213047</v>
      </c>
      <c r="AM64" s="127">
        <v>0.53592745979332601</v>
      </c>
      <c r="AN64" s="127">
        <v>0.5170631482031236</v>
      </c>
      <c r="AO64" s="127">
        <v>0.5024097465485754</v>
      </c>
      <c r="AP64" s="127">
        <v>0.51958989686190038</v>
      </c>
      <c r="AQ64" s="127">
        <v>0.50413829237465091</v>
      </c>
      <c r="AR64" s="127">
        <v>0.50404152353625331</v>
      </c>
      <c r="AS64" s="127">
        <v>0.51222079038217216</v>
      </c>
      <c r="AT64" s="127">
        <v>0.49010277222326709</v>
      </c>
      <c r="AU64" s="127">
        <v>0.50860296293940244</v>
      </c>
      <c r="AV64" s="127">
        <v>0.52077964938139609</v>
      </c>
      <c r="AW64" s="127">
        <v>0.49645922952855565</v>
      </c>
      <c r="AX64" s="127">
        <v>0.51530820888278706</v>
      </c>
      <c r="AY64" s="127">
        <v>0.5003294625637511</v>
      </c>
      <c r="AZ64" s="127">
        <v>0.49185891659280545</v>
      </c>
      <c r="BA64" s="127">
        <v>0.50623211764389775</v>
      </c>
      <c r="BB64" s="127">
        <v>0.51679236418174379</v>
      </c>
      <c r="BC64" s="127">
        <v>0.5263761207561013</v>
      </c>
      <c r="BD64" s="127">
        <v>0.4971457602569691</v>
      </c>
      <c r="BE64" s="127">
        <v>0.50035727023767118</v>
      </c>
      <c r="BF64" s="127">
        <v>0.50200286095875635</v>
      </c>
      <c r="BG64" s="127">
        <v>0.51561105235357751</v>
      </c>
      <c r="BH64" s="127">
        <v>0.49487672939189609</v>
      </c>
      <c r="BI64" s="127">
        <v>0.4943153971214902</v>
      </c>
      <c r="BJ64" s="127">
        <v>0.51085057351409735</v>
      </c>
      <c r="BK64" s="127">
        <v>0.52098883531765205</v>
      </c>
      <c r="BL64" s="127">
        <v>0.50941864961539718</v>
      </c>
      <c r="BM64" s="127">
        <v>0.51395111958592665</v>
      </c>
      <c r="BN64" s="127">
        <v>0.49800428511644684</v>
      </c>
      <c r="BO64" s="127">
        <v>0.50466324105938254</v>
      </c>
      <c r="BP64" s="127">
        <v>0.50375967320568305</v>
      </c>
      <c r="BQ64" s="127">
        <v>0.52819337584208803</v>
      </c>
      <c r="BR64" s="127">
        <v>0.49981411040831292</v>
      </c>
      <c r="BS64" s="127">
        <v>0.49718151179090547</v>
      </c>
      <c r="BT64" s="127">
        <v>0.52084024038044707</v>
      </c>
      <c r="BU64" s="127">
        <v>0.5269324116267472</v>
      </c>
      <c r="BV64" s="127">
        <v>0.51164403343677067</v>
      </c>
      <c r="BW64" s="127">
        <v>0.52689848188885857</v>
      </c>
      <c r="BX64" s="127">
        <v>0.51003397278224138</v>
      </c>
      <c r="BY64" s="127">
        <v>0.5076045430122087</v>
      </c>
      <c r="BZ64" s="127">
        <v>0.54094887138167747</v>
      </c>
      <c r="CA64" s="127">
        <v>0.50296057340152522</v>
      </c>
      <c r="CB64" s="127">
        <v>0.51665714763176418</v>
      </c>
      <c r="CC64" s="127">
        <v>0.53343061202230158</v>
      </c>
      <c r="CD64" s="127">
        <v>0.49810153387418876</v>
      </c>
      <c r="CE64" s="127">
        <v>0.49657653380528671</v>
      </c>
      <c r="CF64" s="127">
        <v>0.50618539418462971</v>
      </c>
      <c r="CG64" s="127">
        <v>0.50153802380440693</v>
      </c>
      <c r="CH64" s="127">
        <v>0.50631898436596201</v>
      </c>
      <c r="CI64" s="127">
        <v>0.51510957804755098</v>
      </c>
      <c r="CJ64" s="127">
        <v>0.5158514012527684</v>
      </c>
      <c r="CK64" s="127">
        <v>0.51303823623194855</v>
      </c>
      <c r="CL64" s="127">
        <v>0.51935406072609136</v>
      </c>
      <c r="CM64" s="127">
        <v>0.4939757608527775</v>
      </c>
      <c r="CN64" s="127">
        <v>0.52365854590940641</v>
      </c>
      <c r="CO64" s="127">
        <v>0.49414681694482721</v>
      </c>
      <c r="CP64" s="127">
        <v>0.50138645765829892</v>
      </c>
      <c r="CQ64" s="127">
        <v>0.51977303239665751</v>
      </c>
      <c r="CR64" s="127">
        <v>0.49728911990942604</v>
      </c>
      <c r="CS64" s="127">
        <v>0.50288428508461847</v>
      </c>
      <c r="CT64" s="127">
        <v>0.51260381729024063</v>
      </c>
      <c r="CU64" s="127">
        <v>0.49745934916273843</v>
      </c>
      <c r="CV64" s="127">
        <v>0.54031445248997123</v>
      </c>
      <c r="CW64" s="127">
        <v>0.52056549966502486</v>
      </c>
      <c r="CX64" s="127">
        <v>0.50781621473072447</v>
      </c>
    </row>
    <row r="65" spans="2:102" s="23" customFormat="1"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2:102">
      <c r="C66" s="132"/>
    </row>
    <row r="67" spans="2:102">
      <c r="C67" s="132"/>
    </row>
    <row r="68" spans="2:102">
      <c r="C68" s="132"/>
    </row>
    <row r="69" spans="2:102">
      <c r="C69" s="132"/>
    </row>
    <row r="70" spans="2:102">
      <c r="C70" s="132"/>
    </row>
    <row r="71" spans="2:102">
      <c r="C71" s="132"/>
    </row>
    <row r="77" spans="2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31" spans="3:3">
      <c r="C131" s="132"/>
    </row>
    <row r="141" spans="3:3">
      <c r="C141" s="132"/>
    </row>
    <row r="151" spans="3:3">
      <c r="C151" s="132"/>
    </row>
  </sheetData>
  <mergeCells count="33">
    <mergeCell ref="A23:B23"/>
    <mergeCell ref="A36:B36"/>
    <mergeCell ref="A37:B37"/>
    <mergeCell ref="A32:B32"/>
    <mergeCell ref="A33:B33"/>
    <mergeCell ref="A34:B34"/>
    <mergeCell ref="A35:B35"/>
    <mergeCell ref="A19:B19"/>
    <mergeCell ref="A24:B24"/>
    <mergeCell ref="A28:B28"/>
    <mergeCell ref="A29:B29"/>
    <mergeCell ref="A30:B30"/>
    <mergeCell ref="A31:B31"/>
    <mergeCell ref="A25:B25"/>
    <mergeCell ref="A20:B20"/>
    <mergeCell ref="A21:B21"/>
    <mergeCell ref="A22:B22"/>
    <mergeCell ref="A9:B9"/>
    <mergeCell ref="A10:B10"/>
    <mergeCell ref="A11:B11"/>
    <mergeCell ref="A12:B12"/>
    <mergeCell ref="A13:B13"/>
    <mergeCell ref="A27:B27"/>
    <mergeCell ref="A15:B15"/>
    <mergeCell ref="A16:B16"/>
    <mergeCell ref="A17:B17"/>
    <mergeCell ref="A18:B18"/>
    <mergeCell ref="A3:B3"/>
    <mergeCell ref="A4:B4"/>
    <mergeCell ref="A5:B5"/>
    <mergeCell ref="A6:B6"/>
    <mergeCell ref="A7:B7"/>
    <mergeCell ref="A8:B8"/>
  </mergeCells>
  <phoneticPr fontId="2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8" enableFormatConditionsCalculation="0">
    <tabColor indexed="52"/>
  </sheetPr>
  <dimension ref="A1:CX151"/>
  <sheetViews>
    <sheetView topLeftCell="A25" workbookViewId="0">
      <selection activeCell="D51" sqref="D51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Parameters!A41</f>
        <v>Groei recessie</v>
      </c>
      <c r="C2" s="2" t="s">
        <v>129</v>
      </c>
      <c r="D2" s="1">
        <v>2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0.52744094445277023</v>
      </c>
      <c r="D4" s="115">
        <v>0.55170712027161017</v>
      </c>
      <c r="E4" s="115">
        <v>0.53111326927928626</v>
      </c>
      <c r="F4" s="115">
        <v>0.58106099040326686</v>
      </c>
      <c r="G4" s="115">
        <v>0.54441098491990025</v>
      </c>
      <c r="H4" s="115">
        <v>0.56995173916040687</v>
      </c>
      <c r="I4" s="115">
        <v>0.59043128098055675</v>
      </c>
      <c r="J4" s="115">
        <v>0.61589744990145201</v>
      </c>
      <c r="K4" s="115">
        <v>0.58836555572187932</v>
      </c>
      <c r="L4" s="115">
        <v>0.56280643823453336</v>
      </c>
      <c r="M4" s="115">
        <v>0.62202558051418921</v>
      </c>
      <c r="N4" s="115">
        <v>0.57296982153535281</v>
      </c>
      <c r="O4" s="115">
        <v>0.54582549171250183</v>
      </c>
      <c r="P4" s="115">
        <v>0.57190892431947482</v>
      </c>
      <c r="Q4" s="115">
        <v>0.54496961333294325</v>
      </c>
      <c r="R4" s="115">
        <v>0.58020390045317205</v>
      </c>
      <c r="S4" s="115">
        <v>0.62170742347404273</v>
      </c>
      <c r="T4" s="115">
        <v>0.51902811641359625</v>
      </c>
      <c r="U4" s="115">
        <v>0.51668265918109935</v>
      </c>
      <c r="V4" s="115">
        <v>0.58862927044668978</v>
      </c>
      <c r="W4" s="115">
        <v>0.60187367795066016</v>
      </c>
      <c r="X4" s="115">
        <v>0.56407406471994459</v>
      </c>
      <c r="Y4" s="115">
        <v>0.68426612974118717</v>
      </c>
      <c r="Z4" s="115">
        <v>0.67629500293052069</v>
      </c>
      <c r="AA4" s="115">
        <v>0.6297224939379481</v>
      </c>
      <c r="AB4" s="115">
        <v>0.68764554976836834</v>
      </c>
      <c r="AC4" s="115">
        <v>0.4930360994666857</v>
      </c>
      <c r="AD4" s="115">
        <v>0.58059898422399259</v>
      </c>
      <c r="AE4" s="115">
        <v>0.64390708001677477</v>
      </c>
      <c r="AF4" s="115">
        <v>0.6132462947730748</v>
      </c>
      <c r="AG4" s="115">
        <v>0.58583716937360453</v>
      </c>
      <c r="AH4" s="115">
        <v>0.58174495186729303</v>
      </c>
      <c r="AI4" s="115">
        <v>0.48583985872654967</v>
      </c>
      <c r="AJ4" s="115">
        <v>0.55094989747675227</v>
      </c>
      <c r="AK4" s="115">
        <v>0.63139031665269907</v>
      </c>
      <c r="AL4" s="115">
        <v>0.61006488403651515</v>
      </c>
      <c r="AM4" s="115">
        <v>0.67114915006905218</v>
      </c>
      <c r="AN4" s="115">
        <v>0.56531349078650561</v>
      </c>
      <c r="AO4" s="115">
        <v>0.48168025011200433</v>
      </c>
      <c r="AP4" s="115">
        <v>0.66389853922329434</v>
      </c>
      <c r="AQ4" s="115">
        <v>0.64408106187480385</v>
      </c>
      <c r="AR4" s="115">
        <v>0.56613182264023321</v>
      </c>
      <c r="AS4" s="115">
        <v>0.58874859267716106</v>
      </c>
      <c r="AT4" s="115">
        <v>0.60188744772551439</v>
      </c>
      <c r="AU4" s="115">
        <v>0.66579628987965378</v>
      </c>
      <c r="AV4" s="115">
        <v>0.60054538813527258</v>
      </c>
      <c r="AW4" s="115">
        <v>0.51627319484950185</v>
      </c>
      <c r="AX4" s="115">
        <v>0.55723168364630515</v>
      </c>
      <c r="AY4" s="115">
        <v>0.60309805443732101</v>
      </c>
      <c r="AZ4" s="115">
        <v>0.56861528205238621</v>
      </c>
      <c r="BA4" s="115">
        <v>0.51980632349670364</v>
      </c>
      <c r="BB4" s="115">
        <v>0.6420665914543694</v>
      </c>
      <c r="BC4" s="115">
        <v>0.52797504306038046</v>
      </c>
      <c r="BD4" s="115">
        <v>0.55393192387240886</v>
      </c>
      <c r="BE4" s="115">
        <v>0.69954597843834576</v>
      </c>
      <c r="BF4" s="115">
        <v>0.50664372500086363</v>
      </c>
      <c r="BG4" s="115">
        <v>0.58506436803564776</v>
      </c>
      <c r="BH4" s="115">
        <v>0.61162752476973581</v>
      </c>
      <c r="BI4" s="115">
        <v>0.63473558574558919</v>
      </c>
      <c r="BJ4" s="115">
        <v>0.724790042860045</v>
      </c>
      <c r="BK4" s="115">
        <v>0.56134748729746153</v>
      </c>
      <c r="BL4" s="115">
        <v>0.6863945857740037</v>
      </c>
      <c r="BM4" s="115">
        <v>0.43326673390128856</v>
      </c>
      <c r="BN4" s="115">
        <v>0.59593052595823293</v>
      </c>
      <c r="BO4" s="115">
        <v>0.51081406510570793</v>
      </c>
      <c r="BP4" s="115">
        <v>0.62713223245669736</v>
      </c>
      <c r="BQ4" s="115">
        <v>0.61806998070946373</v>
      </c>
      <c r="BR4" s="115">
        <v>0.58785171069663433</v>
      </c>
      <c r="BS4" s="115">
        <v>0.42990702010768272</v>
      </c>
      <c r="BT4" s="115">
        <v>0.55404211064526476</v>
      </c>
      <c r="BU4" s="115">
        <v>0.61050702146620217</v>
      </c>
      <c r="BV4" s="115">
        <v>0.59408151062141912</v>
      </c>
      <c r="BW4" s="115">
        <v>0.596706513238076</v>
      </c>
      <c r="BX4" s="115">
        <v>0.60309406364846629</v>
      </c>
      <c r="BY4" s="115">
        <v>0.56357972278285917</v>
      </c>
      <c r="BZ4" s="115">
        <v>0.64809765032507949</v>
      </c>
      <c r="CA4" s="115">
        <v>0.66448064185744271</v>
      </c>
      <c r="CB4" s="115">
        <v>0.65868793324229979</v>
      </c>
      <c r="CC4" s="115">
        <v>0.60708499081266942</v>
      </c>
      <c r="CD4" s="115">
        <v>0.66826885068146691</v>
      </c>
      <c r="CE4" s="115">
        <v>0.59773646156719384</v>
      </c>
      <c r="CF4" s="115">
        <v>0.60976538732233565</v>
      </c>
      <c r="CG4" s="115">
        <v>0.57916409140109815</v>
      </c>
      <c r="CH4" s="115">
        <v>0.64163525803699994</v>
      </c>
      <c r="CI4" s="115">
        <v>0.60171678908175597</v>
      </c>
      <c r="CJ4" s="115">
        <v>0.51922633959887821</v>
      </c>
      <c r="CK4" s="115">
        <v>0.63068856036360965</v>
      </c>
      <c r="CL4" s="115">
        <v>0.55783644821421696</v>
      </c>
      <c r="CM4" s="115">
        <v>0.58441888200743919</v>
      </c>
      <c r="CN4" s="115">
        <v>0.61985740674306145</v>
      </c>
      <c r="CO4" s="115">
        <v>0.52928125975033857</v>
      </c>
      <c r="CP4" s="115">
        <v>0.5661868521053699</v>
      </c>
      <c r="CQ4" s="115">
        <v>0.66068721748521242</v>
      </c>
      <c r="CR4" s="115">
        <v>0.58137651190602946</v>
      </c>
      <c r="CS4" s="115">
        <v>0.52223610484747562</v>
      </c>
      <c r="CT4" s="115">
        <v>0.60391530973657104</v>
      </c>
      <c r="CU4" s="115">
        <v>0.61969797689858808</v>
      </c>
      <c r="CV4" s="115">
        <v>0.46945516391152831</v>
      </c>
      <c r="CW4" s="115">
        <v>0.62314117381310752</v>
      </c>
      <c r="CX4" s="115">
        <v>0.40075330321749614</v>
      </c>
    </row>
    <row r="5" spans="1:102" s="115" customFormat="1">
      <c r="A5" s="252" t="str">
        <f>Parameters!A51</f>
        <v>Reele matching</v>
      </c>
      <c r="B5" s="253"/>
      <c r="C5" s="115">
        <v>1.6525468125616331E-4</v>
      </c>
      <c r="D5" s="115">
        <v>6.25762446212669E-4</v>
      </c>
      <c r="E5" s="115">
        <v>2.1072884383726139E-3</v>
      </c>
      <c r="F5" s="115">
        <v>1.0037333774798859E-22</v>
      </c>
      <c r="G5" s="115">
        <v>1.3120021404808597E-2</v>
      </c>
      <c r="H5" s="115">
        <v>4.4211168992278165E-8</v>
      </c>
      <c r="I5" s="115">
        <v>1.8539295076595716E-6</v>
      </c>
      <c r="J5" s="115">
        <v>6.4918866081111241E-6</v>
      </c>
      <c r="K5" s="115">
        <v>1.0138630852755189E-4</v>
      </c>
      <c r="L5" s="115">
        <v>1.2356439692647598E-2</v>
      </c>
      <c r="M5" s="115">
        <v>5.3963138299973235E-9</v>
      </c>
      <c r="N5" s="115">
        <v>5.0823997696695049E-7</v>
      </c>
      <c r="O5" s="115">
        <v>3.4238030490017606E-2</v>
      </c>
      <c r="P5" s="115">
        <v>9.1466081735131974E-3</v>
      </c>
      <c r="Q5" s="115">
        <v>4.7991534231172396E-2</v>
      </c>
      <c r="R5" s="115">
        <v>3.2656748414855577E-4</v>
      </c>
      <c r="S5" s="115">
        <v>1.0191085717165822E-7</v>
      </c>
      <c r="T5" s="115">
        <v>2.0997078653627911E-5</v>
      </c>
      <c r="U5" s="115">
        <v>1.2700919691377347E-6</v>
      </c>
      <c r="V5" s="115">
        <v>1.9594331828279979E-4</v>
      </c>
      <c r="W5" s="115">
        <v>1.2154686337530926E-2</v>
      </c>
      <c r="X5" s="115">
        <v>2.1296300588700493E-10</v>
      </c>
      <c r="Y5" s="115">
        <v>1.594565135480851E-3</v>
      </c>
      <c r="Z5" s="115">
        <v>1.9291938805800059E-3</v>
      </c>
      <c r="AA5" s="115">
        <v>4.041118804804987E-4</v>
      </c>
      <c r="AB5" s="115">
        <v>1.638561935150072E-8</v>
      </c>
      <c r="AC5" s="115">
        <v>1.2172425756506984E-3</v>
      </c>
      <c r="AD5" s="115">
        <v>5.4199978567860736E-5</v>
      </c>
      <c r="AE5" s="115">
        <v>1.3921242435519857E-3</v>
      </c>
      <c r="AF5" s="115">
        <v>2.110941474759454E-4</v>
      </c>
      <c r="AG5" s="115">
        <v>9.9524719632393475E-5</v>
      </c>
      <c r="AH5" s="115">
        <v>1.6076618311969802E-4</v>
      </c>
      <c r="AI5" s="115">
        <v>1.6859969603787692E-2</v>
      </c>
      <c r="AJ5" s="115">
        <v>6.7039774080688849E-9</v>
      </c>
      <c r="AK5" s="115">
        <v>1.4226859924206618E-3</v>
      </c>
      <c r="AL5" s="115">
        <v>1.7605153030071787E-2</v>
      </c>
      <c r="AM5" s="115">
        <v>5.9226767155617906E-5</v>
      </c>
      <c r="AN5" s="115">
        <v>2.2206637817314997E-7</v>
      </c>
      <c r="AO5" s="115">
        <v>7.5075150299134917E-8</v>
      </c>
      <c r="AP5" s="115">
        <v>6.3349456211305997E-7</v>
      </c>
      <c r="AQ5" s="115">
        <v>4.5530189396884024E-3</v>
      </c>
      <c r="AR5" s="115">
        <v>2.9456506166097699E-3</v>
      </c>
      <c r="AS5" s="115">
        <v>1.2692405313041184E-12</v>
      </c>
      <c r="AT5" s="115">
        <v>8.0529236942275022E-7</v>
      </c>
      <c r="AU5" s="115">
        <v>3.9559482629804016E-10</v>
      </c>
      <c r="AV5" s="115">
        <v>2.7915602923979641E-3</v>
      </c>
      <c r="AW5" s="115">
        <v>2.2041620091549661E-6</v>
      </c>
      <c r="AX5" s="115">
        <v>8.4890019290660094E-3</v>
      </c>
      <c r="AY5" s="115">
        <v>9.9961441813809226E-3</v>
      </c>
      <c r="AZ5" s="115">
        <v>2.8745559321499144E-5</v>
      </c>
      <c r="BA5" s="115">
        <v>5.4911734086291221E-2</v>
      </c>
      <c r="BB5" s="115">
        <v>2.0276006645532894E-7</v>
      </c>
      <c r="BC5" s="115">
        <v>2.2810184153257456E-2</v>
      </c>
      <c r="BD5" s="115">
        <v>1.7837172534739622E-2</v>
      </c>
      <c r="BE5" s="115">
        <v>1.3721445671844995E-3</v>
      </c>
      <c r="BF5" s="115">
        <v>3.2155078282524986E-4</v>
      </c>
      <c r="BG5" s="115">
        <v>1.2038489942414479E-2</v>
      </c>
      <c r="BH5" s="115">
        <v>2.1256036533459463E-7</v>
      </c>
      <c r="BI5" s="115">
        <v>5.7120744346834094E-4</v>
      </c>
      <c r="BJ5" s="115">
        <v>1.0870524864582322E-5</v>
      </c>
      <c r="BK5" s="115">
        <v>2.9383598766193968E-5</v>
      </c>
      <c r="BL5" s="115">
        <v>1.0210307289946574E-7</v>
      </c>
      <c r="BM5" s="115">
        <v>7.9807079037676279E-6</v>
      </c>
      <c r="BN5" s="115">
        <v>2.0602036160163764E-3</v>
      </c>
      <c r="BO5" s="115">
        <v>3.2226874066287685E-3</v>
      </c>
      <c r="BP5" s="115">
        <v>4.4162946280772806E-3</v>
      </c>
      <c r="BQ5" s="115">
        <v>6.4144569437402238E-3</v>
      </c>
      <c r="BR5" s="115">
        <v>1.0951192793983698E-4</v>
      </c>
      <c r="BS5" s="115">
        <v>4.0066083654110886E-2</v>
      </c>
      <c r="BT5" s="115">
        <v>8.5386389726314682E-5</v>
      </c>
      <c r="BU5" s="115">
        <v>2.0745351814559997E-5</v>
      </c>
      <c r="BV5" s="115">
        <v>4.4161116007837369E-10</v>
      </c>
      <c r="BW5" s="115">
        <v>1.4148295591057384E-8</v>
      </c>
      <c r="BX5" s="115">
        <v>4.6247588816493391E-3</v>
      </c>
      <c r="BY5" s="115">
        <v>2.3441843953116343E-2</v>
      </c>
      <c r="BZ5" s="115">
        <v>1.5681055688390545E-2</v>
      </c>
      <c r="CA5" s="115">
        <v>1.2582610479767232E-3</v>
      </c>
      <c r="CB5" s="115">
        <v>9.0056424947489408E-14</v>
      </c>
      <c r="CC5" s="115">
        <v>7.8908082530666189E-3</v>
      </c>
      <c r="CD5" s="115">
        <v>1.0709152637971252E-3</v>
      </c>
      <c r="CE5" s="115">
        <v>8.4904612693712141E-3</v>
      </c>
      <c r="CF5" s="115">
        <v>1.820526484224032E-8</v>
      </c>
      <c r="CG5" s="115">
        <v>2.3466364443532169E-2</v>
      </c>
      <c r="CH5" s="115">
        <v>1.9476228550602673E-2</v>
      </c>
      <c r="CI5" s="115">
        <v>1.2238426149012294E-2</v>
      </c>
      <c r="CJ5" s="115">
        <v>8.3851885516754987E-2</v>
      </c>
      <c r="CK5" s="115">
        <v>4.0897834694790779E-6</v>
      </c>
      <c r="CL5" s="115">
        <v>7.4481781133686811E-6</v>
      </c>
      <c r="CM5" s="115">
        <v>5.011486520436482E-3</v>
      </c>
      <c r="CN5" s="115">
        <v>1.019626439959781E-2</v>
      </c>
      <c r="CO5" s="115">
        <v>9.4836322364076388E-3</v>
      </c>
      <c r="CP5" s="115">
        <v>2.6161609130217187E-4</v>
      </c>
      <c r="CQ5" s="115">
        <v>2.471502928637102E-2</v>
      </c>
      <c r="CR5" s="115">
        <v>2.496473879409913E-2</v>
      </c>
      <c r="CS5" s="115">
        <v>5.1353852445669271E-2</v>
      </c>
      <c r="CT5" s="115">
        <v>2.2335107626595993E-8</v>
      </c>
      <c r="CU5" s="115">
        <v>2.5537085803655808E-4</v>
      </c>
      <c r="CV5" s="115">
        <v>1.1618643300740947E-4</v>
      </c>
      <c r="CW5" s="115">
        <v>3.2169947320319636E-2</v>
      </c>
      <c r="CX5" s="115">
        <v>6.7262141922290966E-34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  <c r="BD6" s="115">
        <v>0</v>
      </c>
      <c r="BE6" s="115">
        <v>0</v>
      </c>
      <c r="BF6" s="115">
        <v>0</v>
      </c>
      <c r="BG6" s="115">
        <v>0</v>
      </c>
      <c r="BH6" s="115">
        <v>0</v>
      </c>
      <c r="BI6" s="115">
        <v>0</v>
      </c>
      <c r="BJ6" s="115">
        <v>0</v>
      </c>
      <c r="BK6" s="115">
        <v>0</v>
      </c>
      <c r="BL6" s="115">
        <v>0</v>
      </c>
      <c r="BM6" s="115">
        <v>0</v>
      </c>
      <c r="BN6" s="115">
        <v>0</v>
      </c>
      <c r="BO6" s="115">
        <v>0</v>
      </c>
      <c r="BP6" s="115">
        <v>0</v>
      </c>
      <c r="BQ6" s="115">
        <v>0</v>
      </c>
      <c r="BR6" s="115">
        <v>0</v>
      </c>
      <c r="BS6" s="115">
        <v>0</v>
      </c>
      <c r="BT6" s="115">
        <v>0</v>
      </c>
      <c r="BU6" s="115">
        <v>0</v>
      </c>
      <c r="BV6" s="115">
        <v>0</v>
      </c>
      <c r="BW6" s="115">
        <v>0</v>
      </c>
      <c r="BX6" s="115">
        <v>0</v>
      </c>
      <c r="BY6" s="115">
        <v>0</v>
      </c>
      <c r="BZ6" s="115">
        <v>0</v>
      </c>
      <c r="CA6" s="115">
        <v>0</v>
      </c>
      <c r="CB6" s="115">
        <v>0</v>
      </c>
      <c r="CC6" s="115">
        <v>0</v>
      </c>
      <c r="CD6" s="115">
        <v>0</v>
      </c>
      <c r="CE6" s="115">
        <v>0</v>
      </c>
      <c r="CF6" s="115">
        <v>0</v>
      </c>
      <c r="CG6" s="115">
        <v>0</v>
      </c>
      <c r="CH6" s="115">
        <v>0</v>
      </c>
      <c r="CI6" s="115">
        <v>0</v>
      </c>
      <c r="CJ6" s="115">
        <v>0</v>
      </c>
      <c r="CK6" s="115">
        <v>0</v>
      </c>
      <c r="CL6" s="115">
        <v>0</v>
      </c>
      <c r="CM6" s="115">
        <v>0</v>
      </c>
      <c r="CN6" s="115">
        <v>0</v>
      </c>
      <c r="CO6" s="115">
        <v>0</v>
      </c>
      <c r="CP6" s="115">
        <v>0</v>
      </c>
      <c r="CQ6" s="115">
        <v>0</v>
      </c>
      <c r="CR6" s="115">
        <v>0</v>
      </c>
      <c r="CS6" s="115">
        <v>0</v>
      </c>
      <c r="CT6" s="115">
        <v>0</v>
      </c>
      <c r="CU6" s="115">
        <v>0</v>
      </c>
      <c r="CV6" s="115">
        <v>0</v>
      </c>
      <c r="CW6" s="115">
        <v>0</v>
      </c>
      <c r="CX6" s="115">
        <v>0</v>
      </c>
    </row>
    <row r="7" spans="1:102" s="115" customFormat="1">
      <c r="A7" s="252" t="str">
        <f>Parameters!A53</f>
        <v>High Yield</v>
      </c>
      <c r="B7" s="253"/>
      <c r="C7" s="115">
        <v>0.22494429004688363</v>
      </c>
      <c r="D7" s="115">
        <v>0.14602319272265057</v>
      </c>
      <c r="E7" s="115">
        <v>0.19302083339393888</v>
      </c>
      <c r="F7" s="115">
        <v>0.19145768715535263</v>
      </c>
      <c r="G7" s="115">
        <v>0.21558438901675842</v>
      </c>
      <c r="H7" s="115">
        <v>0.21406933976734266</v>
      </c>
      <c r="I7" s="115">
        <v>0.17105570619085675</v>
      </c>
      <c r="J7" s="115">
        <v>0.13990508680022226</v>
      </c>
      <c r="K7" s="115">
        <v>0.1696974526278629</v>
      </c>
      <c r="L7" s="115">
        <v>0.19623766248941174</v>
      </c>
      <c r="M7" s="115">
        <v>0.13449459092760085</v>
      </c>
      <c r="N7" s="115">
        <v>0.15693819952321819</v>
      </c>
      <c r="O7" s="115">
        <v>0.19877330250607997</v>
      </c>
      <c r="P7" s="115">
        <v>0.14767564260534155</v>
      </c>
      <c r="Q7" s="115">
        <v>0.18441127798512541</v>
      </c>
      <c r="R7" s="115">
        <v>0.18614318994990112</v>
      </c>
      <c r="S7" s="115">
        <v>0.15939653856637059</v>
      </c>
      <c r="T7" s="115">
        <v>0.17864267772013012</v>
      </c>
      <c r="U7" s="115">
        <v>0.12406952706055353</v>
      </c>
      <c r="V7" s="115">
        <v>0.14483175422271918</v>
      </c>
      <c r="W7" s="115">
        <v>0.16378567652116255</v>
      </c>
      <c r="X7" s="115">
        <v>0.21439064899947266</v>
      </c>
      <c r="Y7" s="115">
        <v>8.2685075768275412E-2</v>
      </c>
      <c r="Z7" s="115">
        <v>0.11769838845330705</v>
      </c>
      <c r="AA7" s="115">
        <v>6.9246098095228303E-2</v>
      </c>
      <c r="AB7" s="115">
        <v>8.949724898734579E-2</v>
      </c>
      <c r="AC7" s="115">
        <v>0.23277805169397958</v>
      </c>
      <c r="AD7" s="115">
        <v>0.12327418303265278</v>
      </c>
      <c r="AE7" s="115">
        <v>0.14879291314853524</v>
      </c>
      <c r="AF7" s="115">
        <v>0.12859121304270832</v>
      </c>
      <c r="AG7" s="115">
        <v>0.20364342844111349</v>
      </c>
      <c r="AH7" s="115">
        <v>9.4560398357160028E-2</v>
      </c>
      <c r="AI7" s="115">
        <v>0.18532423708737195</v>
      </c>
      <c r="AJ7" s="115">
        <v>0.12492023890130195</v>
      </c>
      <c r="AK7" s="115">
        <v>7.1990235365772093E-2</v>
      </c>
      <c r="AL7" s="115">
        <v>0.1775518256088017</v>
      </c>
      <c r="AM7" s="115">
        <v>8.8659032188137241E-2</v>
      </c>
      <c r="AN7" s="115">
        <v>0.1140975709653321</v>
      </c>
      <c r="AO7" s="115">
        <v>0.13757324908683077</v>
      </c>
      <c r="AP7" s="115">
        <v>0.13698173218869741</v>
      </c>
      <c r="AQ7" s="115">
        <v>0.11867055806159159</v>
      </c>
      <c r="AR7" s="115">
        <v>8.8351302185401104E-2</v>
      </c>
      <c r="AS7" s="115">
        <v>5.2579525914770851E-2</v>
      </c>
      <c r="AT7" s="115">
        <v>0.1332989867983046</v>
      </c>
      <c r="AU7" s="115">
        <v>0.14016001193127856</v>
      </c>
      <c r="AV7" s="115">
        <v>0.16893796038913789</v>
      </c>
      <c r="AW7" s="115">
        <v>0.17904258139759072</v>
      </c>
      <c r="AX7" s="115">
        <v>1.2729781725918604E-2</v>
      </c>
      <c r="AY7" s="115">
        <v>0.18352038622969141</v>
      </c>
      <c r="AZ7" s="115">
        <v>0.19451989119661736</v>
      </c>
      <c r="BA7" s="115">
        <v>0.19079786453079001</v>
      </c>
      <c r="BB7" s="115">
        <v>1.8066151626753316E-4</v>
      </c>
      <c r="BC7" s="115">
        <v>0.13697764221902714</v>
      </c>
      <c r="BD7" s="115">
        <v>2.8519296722793536E-2</v>
      </c>
      <c r="BE7" s="115">
        <v>1.1480433194176673E-2</v>
      </c>
      <c r="BF7" s="115">
        <v>0.18912540823247104</v>
      </c>
      <c r="BG7" s="115">
        <v>0.13384498409814521</v>
      </c>
      <c r="BH7" s="115">
        <v>9.1289827722184441E-2</v>
      </c>
      <c r="BI7" s="115">
        <v>0.14374724923308943</v>
      </c>
      <c r="BJ7" s="115">
        <v>2.1107567727853403E-2</v>
      </c>
      <c r="BK7" s="115">
        <v>3.477142115642877E-7</v>
      </c>
      <c r="BL7" s="115">
        <v>6.7157676661768009E-8</v>
      </c>
      <c r="BM7" s="115">
        <v>0.2496838805591845</v>
      </c>
      <c r="BN7" s="115">
        <v>0.13807064273475556</v>
      </c>
      <c r="BO7" s="115">
        <v>0.15136629778041569</v>
      </c>
      <c r="BP7" s="115">
        <v>6.1961799946178314E-2</v>
      </c>
      <c r="BQ7" s="115">
        <v>0.14166798461779026</v>
      </c>
      <c r="BR7" s="115">
        <v>5.4880512128864682E-2</v>
      </c>
      <c r="BS7" s="115">
        <v>0.24012386825143753</v>
      </c>
      <c r="BT7" s="115">
        <v>0.21235252178778061</v>
      </c>
      <c r="BU7" s="115">
        <v>0.12246958693005414</v>
      </c>
      <c r="BV7" s="115">
        <v>0.18101534029626706</v>
      </c>
      <c r="BW7" s="115">
        <v>0.13407704287010147</v>
      </c>
      <c r="BX7" s="115">
        <v>0.11613043005450696</v>
      </c>
      <c r="BY7" s="115">
        <v>0.20398726552028132</v>
      </c>
      <c r="BZ7" s="115">
        <v>5.111384534573815E-3</v>
      </c>
      <c r="CA7" s="115">
        <v>1.3415835286869245E-2</v>
      </c>
      <c r="CB7" s="115">
        <v>1.9241069819079667E-3</v>
      </c>
      <c r="CC7" s="115">
        <v>0.12194575701496496</v>
      </c>
      <c r="CD7" s="115">
        <v>0.14498066428923798</v>
      </c>
      <c r="CE7" s="115">
        <v>8.8804952228957387E-2</v>
      </c>
      <c r="CF7" s="115">
        <v>7.0074539532909791E-2</v>
      </c>
      <c r="CG7" s="115">
        <v>6.1441491333526749E-2</v>
      </c>
      <c r="CH7" s="115">
        <v>9.3306389299017245E-2</v>
      </c>
      <c r="CI7" s="115">
        <v>6.1657650268281183E-2</v>
      </c>
      <c r="CJ7" s="115">
        <v>0.13431618516239835</v>
      </c>
      <c r="CK7" s="115">
        <v>0.15649567738952078</v>
      </c>
      <c r="CL7" s="115">
        <v>2.9993815255180543E-2</v>
      </c>
      <c r="CM7" s="115">
        <v>3.2118304888053197E-3</v>
      </c>
      <c r="CN7" s="115">
        <v>0.11700950000056988</v>
      </c>
      <c r="CO7" s="115">
        <v>0.13428330346514492</v>
      </c>
      <c r="CP7" s="115">
        <v>9.6457142685595146E-2</v>
      </c>
      <c r="CQ7" s="115">
        <v>0.13399975599448052</v>
      </c>
      <c r="CR7" s="115">
        <v>0.162827299585662</v>
      </c>
      <c r="CS7" s="115">
        <v>0.1591182747591432</v>
      </c>
      <c r="CT7" s="115">
        <v>2.0729530089382993E-4</v>
      </c>
      <c r="CU7" s="115">
        <v>5.0835395088153863E-3</v>
      </c>
      <c r="CV7" s="115">
        <v>0.14160249451563769</v>
      </c>
      <c r="CW7" s="115">
        <v>7.3212784564772274E-2</v>
      </c>
      <c r="CX7" s="115">
        <v>0.15114457443344287</v>
      </c>
    </row>
    <row r="8" spans="1:102" s="115" customFormat="1">
      <c r="A8" s="252" t="str">
        <f>Parameters!A54</f>
        <v>Emerging market debt</v>
      </c>
      <c r="B8" s="253"/>
      <c r="C8" s="115">
        <v>7.6460813753150197E-2</v>
      </c>
      <c r="D8" s="115">
        <v>0.22003031847901994</v>
      </c>
      <c r="E8" s="115">
        <v>7.6160290958524127E-3</v>
      </c>
      <c r="F8" s="115">
        <v>5.5461225295505767E-3</v>
      </c>
      <c r="G8" s="115">
        <v>7.9749396323209776E-14</v>
      </c>
      <c r="H8" s="115">
        <v>0.19509785307839397</v>
      </c>
      <c r="I8" s="115">
        <v>0.15206633142328188</v>
      </c>
      <c r="J8" s="115">
        <v>0.17961515529282782</v>
      </c>
      <c r="K8" s="115">
        <v>4.2328344086762275E-2</v>
      </c>
      <c r="L8" s="115">
        <v>6.1392685179761292E-2</v>
      </c>
      <c r="M8" s="115">
        <v>4.4351210908774349E-2</v>
      </c>
      <c r="N8" s="115">
        <v>1.8316560799321816E-2</v>
      </c>
      <c r="O8" s="115">
        <v>4.3754194640538611E-2</v>
      </c>
      <c r="P8" s="115">
        <v>0.15213309299164277</v>
      </c>
      <c r="Q8" s="115">
        <v>0.1406936132600968</v>
      </c>
      <c r="R8" s="115">
        <v>0.10484024562772595</v>
      </c>
      <c r="S8" s="115">
        <v>0.15953553420668104</v>
      </c>
      <c r="T8" s="115">
        <v>6.2738791881135278E-3</v>
      </c>
      <c r="U8" s="115">
        <v>9.3077499264686003E-2</v>
      </c>
      <c r="V8" s="115">
        <v>0.18122908136768548</v>
      </c>
      <c r="W8" s="115">
        <v>0.10796981057129312</v>
      </c>
      <c r="X8" s="115">
        <v>0.17975894034066911</v>
      </c>
      <c r="Y8" s="115">
        <v>9.8810083068533977E-2</v>
      </c>
      <c r="Z8" s="115">
        <v>1.0075152914185939E-2</v>
      </c>
      <c r="AA8" s="115">
        <v>4.5592450292811573E-3</v>
      </c>
      <c r="AB8" s="115">
        <v>5.7438035275530708E-2</v>
      </c>
      <c r="AC8" s="115">
        <v>1.6371683956442968E-2</v>
      </c>
      <c r="AD8" s="115">
        <v>2.9250341056165168E-3</v>
      </c>
      <c r="AE8" s="115">
        <v>2.3851700253855329E-2</v>
      </c>
      <c r="AF8" s="115">
        <v>0.17645942786187233</v>
      </c>
      <c r="AG8" s="115">
        <v>7.8830569620802871E-2</v>
      </c>
      <c r="AH8" s="115">
        <v>0.10221063473432924</v>
      </c>
      <c r="AI8" s="115">
        <v>0.153021839149037</v>
      </c>
      <c r="AJ8" s="115">
        <v>1.3311675156693114E-2</v>
      </c>
      <c r="AK8" s="115">
        <v>5.6541331367869645E-2</v>
      </c>
      <c r="AL8" s="115">
        <v>9.3416107861182665E-2</v>
      </c>
      <c r="AM8" s="115">
        <v>2.2220365025635052E-2</v>
      </c>
      <c r="AN8" s="115">
        <v>8.8609972112277752E-2</v>
      </c>
      <c r="AO8" s="115">
        <v>2.0585359719338798E-2</v>
      </c>
      <c r="AP8" s="115">
        <v>1.4098946092068573E-2</v>
      </c>
      <c r="AQ8" s="115">
        <v>6.5927940327148403E-7</v>
      </c>
      <c r="AR8" s="115">
        <v>7.7906138780131681E-2</v>
      </c>
      <c r="AS8" s="115">
        <v>0.2012353968030475</v>
      </c>
      <c r="AT8" s="115">
        <v>9.3162362048509847E-2</v>
      </c>
      <c r="AU8" s="115">
        <v>4.5666656291327935E-4</v>
      </c>
      <c r="AV8" s="115">
        <v>0.13850030208947645</v>
      </c>
      <c r="AW8" s="115">
        <v>1.0433404083946617E-2</v>
      </c>
      <c r="AX8" s="115">
        <v>0.19380166191909798</v>
      </c>
      <c r="AY8" s="115">
        <v>6.2794342844996937E-2</v>
      </c>
      <c r="AZ8" s="115">
        <v>1.466857424661041E-8</v>
      </c>
      <c r="BA8" s="115">
        <v>0.12306319548235752</v>
      </c>
      <c r="BB8" s="115">
        <v>0.17858862972487249</v>
      </c>
      <c r="BC8" s="115">
        <v>4.9234867439677719E-2</v>
      </c>
      <c r="BD8" s="115">
        <v>0.1121329607678616</v>
      </c>
      <c r="BE8" s="115">
        <v>8.9053362528382987E-2</v>
      </c>
      <c r="BF8" s="115">
        <v>0.12054751184837663</v>
      </c>
      <c r="BG8" s="115">
        <v>6.5775104761539929E-2</v>
      </c>
      <c r="BH8" s="115">
        <v>9.5412952431256956E-2</v>
      </c>
      <c r="BI8" s="115">
        <v>6.0090629896142757E-2</v>
      </c>
      <c r="BJ8" s="115">
        <v>9.3931465394378494E-2</v>
      </c>
      <c r="BK8" s="115">
        <v>0.16766184069479559</v>
      </c>
      <c r="BL8" s="115">
        <v>3.0556321061166864E-2</v>
      </c>
      <c r="BM8" s="115">
        <v>9.3077441911960501E-3</v>
      </c>
      <c r="BN8" s="115">
        <v>4.5740129837816584E-5</v>
      </c>
      <c r="BO8" s="115">
        <v>6.4973872639230218E-4</v>
      </c>
      <c r="BP8" s="115">
        <v>8.7411023956450572E-3</v>
      </c>
      <c r="BQ8" s="115">
        <v>0.11864276089011998</v>
      </c>
      <c r="BR8" s="115">
        <v>0.14397736635184974</v>
      </c>
      <c r="BS8" s="115">
        <v>7.1177888163621278E-2</v>
      </c>
      <c r="BT8" s="115">
        <v>5.8263770408452271E-3</v>
      </c>
      <c r="BU8" s="115">
        <v>4.4455268337574391E-2</v>
      </c>
      <c r="BV8" s="115">
        <v>4.3382463323941942E-3</v>
      </c>
      <c r="BW8" s="115">
        <v>3.664382520942297E-2</v>
      </c>
      <c r="BX8" s="115">
        <v>5.1716054698879792E-2</v>
      </c>
      <c r="BY8" s="115">
        <v>0.18553305904162312</v>
      </c>
      <c r="BZ8" s="115">
        <v>8.4348345391701787E-2</v>
      </c>
      <c r="CA8" s="115">
        <v>0.13127812308535219</v>
      </c>
      <c r="CB8" s="115">
        <v>0.16045504568084412</v>
      </c>
      <c r="CC8" s="115">
        <v>0.12275572034235277</v>
      </c>
      <c r="CD8" s="115">
        <v>1.3216202239473966E-3</v>
      </c>
      <c r="CE8" s="115">
        <v>0.15912924420683722</v>
      </c>
      <c r="CF8" s="115">
        <v>0.13594481902620426</v>
      </c>
      <c r="CG8" s="115">
        <v>5.2573974801784315E-2</v>
      </c>
      <c r="CH8" s="115">
        <v>2.4413736795105851E-2</v>
      </c>
      <c r="CI8" s="115">
        <v>0.14579350368943228</v>
      </c>
      <c r="CJ8" s="115">
        <v>0.17332214939242077</v>
      </c>
      <c r="CK8" s="115">
        <v>2.7425860522825904E-2</v>
      </c>
      <c r="CL8" s="115">
        <v>0.1363837820300885</v>
      </c>
      <c r="CM8" s="115">
        <v>0.20477292746432083</v>
      </c>
      <c r="CN8" s="115">
        <v>0.1359360364598253</v>
      </c>
      <c r="CO8" s="115">
        <v>2.9190851640458308E-2</v>
      </c>
      <c r="CP8" s="115">
        <v>7.9757408880592712E-2</v>
      </c>
      <c r="CQ8" s="115">
        <v>8.8150038132107901E-7</v>
      </c>
      <c r="CR8" s="115">
        <v>4.7263613386332309E-2</v>
      </c>
      <c r="CS8" s="115">
        <v>6.5949178058258881E-2</v>
      </c>
      <c r="CT8" s="115">
        <v>5.7949895376685677E-2</v>
      </c>
      <c r="CU8" s="115">
        <v>5.8171277223498102E-2</v>
      </c>
      <c r="CV8" s="115">
        <v>7.9837966214733255E-2</v>
      </c>
      <c r="CW8" s="115">
        <v>7.7621138765949431E-4</v>
      </c>
      <c r="CX8" s="115">
        <v>9.584848328596017E-2</v>
      </c>
    </row>
    <row r="9" spans="1:102" s="115" customFormat="1">
      <c r="A9" s="252" t="str">
        <f>Parameters!A55</f>
        <v>Aandelen ontwikkeld</v>
      </c>
      <c r="B9" s="253"/>
      <c r="C9" s="115">
        <v>0.12513599656975508</v>
      </c>
      <c r="D9" s="115">
        <v>6.8524852629679514E-2</v>
      </c>
      <c r="E9" s="115">
        <v>0.11940482654636983</v>
      </c>
      <c r="F9" s="115">
        <v>0.14672040364933081</v>
      </c>
      <c r="G9" s="115">
        <v>4.3563522940969476E-2</v>
      </c>
      <c r="H9" s="115">
        <v>1.422907933774354E-2</v>
      </c>
      <c r="I9" s="115">
        <v>1.7225737714999932E-2</v>
      </c>
      <c r="J9" s="115">
        <v>1.335371195006458E-2</v>
      </c>
      <c r="K9" s="115">
        <v>1.2705204050844108E-18</v>
      </c>
      <c r="L9" s="115">
        <v>0.12171456652690932</v>
      </c>
      <c r="M9" s="115">
        <v>8.920716713928864E-2</v>
      </c>
      <c r="N9" s="115">
        <v>4.9886576874248828E-2</v>
      </c>
      <c r="O9" s="115">
        <v>1.039167859742535E-2</v>
      </c>
      <c r="P9" s="115">
        <v>0.10335399672164862</v>
      </c>
      <c r="Q9" s="115">
        <v>2.2201158889595608E-2</v>
      </c>
      <c r="R9" s="115">
        <v>1.4352587237126407E-6</v>
      </c>
      <c r="S9" s="115">
        <v>1.3847733945424722E-2</v>
      </c>
      <c r="T9" s="115">
        <v>0.14141659870421977</v>
      </c>
      <c r="U9" s="115">
        <v>4.7866169053863566E-2</v>
      </c>
      <c r="V9" s="115">
        <v>1.1688993260992708E-2</v>
      </c>
      <c r="W9" s="115">
        <v>5.2372199365398468E-20</v>
      </c>
      <c r="X9" s="115">
        <v>3.8300274828611306E-7</v>
      </c>
      <c r="Y9" s="115">
        <v>1.6547427095118618E-2</v>
      </c>
      <c r="Z9" s="115">
        <v>5.9220915207770254E-4</v>
      </c>
      <c r="AA9" s="115">
        <v>5.8157821596664515E-2</v>
      </c>
      <c r="AB9" s="115">
        <v>3.2107683443624288E-2</v>
      </c>
      <c r="AC9" s="115">
        <v>0.11947955829781649</v>
      </c>
      <c r="AD9" s="115">
        <v>7.1082979705685528E-2</v>
      </c>
      <c r="AE9" s="115">
        <v>0.13503539657615352</v>
      </c>
      <c r="AF9" s="115">
        <v>5.5765484906723911E-5</v>
      </c>
      <c r="AG9" s="115">
        <v>5.5050628640081992E-4</v>
      </c>
      <c r="AH9" s="115">
        <v>1.2153049269186884E-2</v>
      </c>
      <c r="AI9" s="115">
        <v>1.2664396415196571E-3</v>
      </c>
      <c r="AJ9" s="115">
        <v>0.19491740239260175</v>
      </c>
      <c r="AK9" s="115">
        <v>4.0143993635142969E-2</v>
      </c>
      <c r="AL9" s="115">
        <v>3.4268736995630232E-5</v>
      </c>
      <c r="AM9" s="115">
        <v>0.12790380535017074</v>
      </c>
      <c r="AN9" s="115">
        <v>3.2935367334142474E-3</v>
      </c>
      <c r="AO9" s="115">
        <v>0.19404312452987771</v>
      </c>
      <c r="AP9" s="115">
        <v>1.2714265890491268E-4</v>
      </c>
      <c r="AQ9" s="115">
        <v>0.13859205440626549</v>
      </c>
      <c r="AR9" s="115">
        <v>6.0873134911220719E-2</v>
      </c>
      <c r="AS9" s="115">
        <v>0.13963699944980315</v>
      </c>
      <c r="AT9" s="115">
        <v>0.1288642533597662</v>
      </c>
      <c r="AU9" s="115">
        <v>0.14017573490588395</v>
      </c>
      <c r="AV9" s="115">
        <v>5.4165802157951914E-3</v>
      </c>
      <c r="AW9" s="115">
        <v>2.9121955822087817E-8</v>
      </c>
      <c r="AX9" s="115">
        <v>0.1032144780445719</v>
      </c>
      <c r="AY9" s="115">
        <v>0.13511527427747924</v>
      </c>
      <c r="AZ9" s="115">
        <v>0.1630433443566609</v>
      </c>
      <c r="BA9" s="115">
        <v>9.9868660685265107E-2</v>
      </c>
      <c r="BB9" s="115">
        <v>0.12609279700083884</v>
      </c>
      <c r="BC9" s="115">
        <v>8.3893024137915663E-6</v>
      </c>
      <c r="BD9" s="115">
        <v>0.18951352813912886</v>
      </c>
      <c r="BE9" s="115">
        <v>8.3912297984074888E-2</v>
      </c>
      <c r="BF9" s="115">
        <v>5.4044974631432395E-2</v>
      </c>
      <c r="BG9" s="115">
        <v>2.5998007488685637E-2</v>
      </c>
      <c r="BH9" s="115">
        <v>4.7050283543682522E-4</v>
      </c>
      <c r="BI9" s="115">
        <v>4.1672003050905529E-3</v>
      </c>
      <c r="BJ9" s="115">
        <v>2.804452570322161E-6</v>
      </c>
      <c r="BK9" s="115">
        <v>0.15869264856028875</v>
      </c>
      <c r="BL9" s="115">
        <v>3.8836266902769201E-2</v>
      </c>
      <c r="BM9" s="115">
        <v>9.8562455324078257E-2</v>
      </c>
      <c r="BN9" s="115">
        <v>9.0721756039372589E-2</v>
      </c>
      <c r="BO9" s="115">
        <v>0.17761832307671502</v>
      </c>
      <c r="BP9" s="115">
        <v>0.15166606521574513</v>
      </c>
      <c r="BQ9" s="115">
        <v>2.2899297586258961E-2</v>
      </c>
      <c r="BR9" s="115">
        <v>7.1726906778939318E-3</v>
      </c>
      <c r="BS9" s="115">
        <v>7.1791180675544672E-2</v>
      </c>
      <c r="BT9" s="115">
        <v>1.2137882326487971E-4</v>
      </c>
      <c r="BU9" s="115">
        <v>0.10830632195345974</v>
      </c>
      <c r="BV9" s="115">
        <v>3.8173740843572214E-4</v>
      </c>
      <c r="BW9" s="115">
        <v>0.12978343099094225</v>
      </c>
      <c r="BX9" s="115">
        <v>0.18682736279646073</v>
      </c>
      <c r="BY9" s="115">
        <v>1.1900736749637969E-3</v>
      </c>
      <c r="BZ9" s="115">
        <v>7.5072338118103515E-2</v>
      </c>
      <c r="CA9" s="115">
        <v>8.6460172356085774E-2</v>
      </c>
      <c r="CB9" s="115">
        <v>3.4783293172612265E-2</v>
      </c>
      <c r="CC9" s="115">
        <v>3.3824276326723706E-3</v>
      </c>
      <c r="CD9" s="115">
        <v>9.5503144836517784E-2</v>
      </c>
      <c r="CE9" s="115">
        <v>1.9661914461257375E-2</v>
      </c>
      <c r="CF9" s="115">
        <v>0.18418866423020386</v>
      </c>
      <c r="CG9" s="115">
        <v>8.5650014520222806E-2</v>
      </c>
      <c r="CH9" s="115">
        <v>8.2291095699555228E-2</v>
      </c>
      <c r="CI9" s="115">
        <v>4.0605215247312955E-2</v>
      </c>
      <c r="CJ9" s="115">
        <v>5.4263358895227674E-2</v>
      </c>
      <c r="CK9" s="115">
        <v>1.541764523262217E-2</v>
      </c>
      <c r="CL9" s="115">
        <v>0.11550421465245099</v>
      </c>
      <c r="CM9" s="115">
        <v>5.3014603814386704E-2</v>
      </c>
      <c r="CN9" s="115">
        <v>4.1679074509984447E-2</v>
      </c>
      <c r="CO9" s="115">
        <v>0.13274794314655838</v>
      </c>
      <c r="CP9" s="115">
        <v>0.20099373943048882</v>
      </c>
      <c r="CQ9" s="115">
        <v>0.10188993706298491</v>
      </c>
      <c r="CR9" s="115">
        <v>1.133560752800223E-2</v>
      </c>
      <c r="CS9" s="115">
        <v>2.8387918490907472E-2</v>
      </c>
      <c r="CT9" s="115">
        <v>9.4372997997330135E-2</v>
      </c>
      <c r="CU9" s="115">
        <v>3.0895185260239679E-2</v>
      </c>
      <c r="CV9" s="115">
        <v>0.10400919810909789</v>
      </c>
      <c r="CW9" s="115">
        <v>4.7522980211743428E-2</v>
      </c>
      <c r="CX9" s="115">
        <v>0.10900832636351092</v>
      </c>
    </row>
    <row r="10" spans="1:102" s="115" customFormat="1">
      <c r="A10" s="252" t="str">
        <f>Parameters!A56</f>
        <v>Aandelen opkomend</v>
      </c>
      <c r="B10" s="253"/>
      <c r="C10" s="115">
        <v>1.2306155050715564E-3</v>
      </c>
      <c r="D10" s="115">
        <v>4.9107753701019699E-3</v>
      </c>
      <c r="E10" s="115">
        <v>1.099416999562639E-4</v>
      </c>
      <c r="F10" s="115">
        <v>2.7285205089815995E-2</v>
      </c>
      <c r="G10" s="115">
        <v>2.3209494041789005E-3</v>
      </c>
      <c r="H10" s="115">
        <v>4.6062298652832555E-4</v>
      </c>
      <c r="I10" s="115">
        <v>2.925492258762195E-2</v>
      </c>
      <c r="J10" s="115">
        <v>4.2557905904234694E-2</v>
      </c>
      <c r="K10" s="115">
        <v>2.4164098168953426E-2</v>
      </c>
      <c r="L10" s="115">
        <v>2.4677900978199168E-3</v>
      </c>
      <c r="M10" s="115">
        <v>4.4512606003235367E-2</v>
      </c>
      <c r="N10" s="115">
        <v>1.3626072321384755E-9</v>
      </c>
      <c r="O10" s="115">
        <v>2.239500362481155E-2</v>
      </c>
      <c r="P10" s="115">
        <v>2.6463870374035071E-13</v>
      </c>
      <c r="Q10" s="115">
        <v>2.8839121502244464E-2</v>
      </c>
      <c r="R10" s="115">
        <v>2.9365911042610522E-7</v>
      </c>
      <c r="S10" s="115">
        <v>3.3285794686581022E-2</v>
      </c>
      <c r="T10" s="115">
        <v>2.7728056649427269E-4</v>
      </c>
      <c r="U10" s="115">
        <v>1.3279731222860032E-2</v>
      </c>
      <c r="V10" s="115">
        <v>2.526210826649318E-2</v>
      </c>
      <c r="W10" s="115">
        <v>5.5572191519732174E-2</v>
      </c>
      <c r="X10" s="115">
        <v>1.0750079827554682E-3</v>
      </c>
      <c r="Y10" s="115">
        <v>9.9848002001900998E-2</v>
      </c>
      <c r="Z10" s="115">
        <v>8.8974949214913085E-2</v>
      </c>
      <c r="AA10" s="115">
        <v>6.4354214588725811E-2</v>
      </c>
      <c r="AB10" s="115">
        <v>0.11008069437262039</v>
      </c>
      <c r="AC10" s="115">
        <v>8.8773193173500367E-3</v>
      </c>
      <c r="AD10" s="115">
        <v>1.2594257073887012E-2</v>
      </c>
      <c r="AE10" s="115">
        <v>4.400373878347294E-2</v>
      </c>
      <c r="AF10" s="115">
        <v>3.0597636161383071E-2</v>
      </c>
      <c r="AG10" s="115">
        <v>5.0819574542054796E-2</v>
      </c>
      <c r="AH10" s="115">
        <v>1.636776173165699E-3</v>
      </c>
      <c r="AI10" s="115">
        <v>2.0741063184578706E-7</v>
      </c>
      <c r="AJ10" s="115">
        <v>5.5631692103306136E-8</v>
      </c>
      <c r="AK10" s="115">
        <v>5.7586724348271195E-2</v>
      </c>
      <c r="AL10" s="115">
        <v>2.8510467066290193E-2</v>
      </c>
      <c r="AM10" s="115">
        <v>7.6058576736686992E-2</v>
      </c>
      <c r="AN10" s="115">
        <v>1.8584143872099813E-2</v>
      </c>
      <c r="AO10" s="115">
        <v>1.303954690693318E-4</v>
      </c>
      <c r="AP10" s="115">
        <v>6.5807117554523772E-2</v>
      </c>
      <c r="AQ10" s="115">
        <v>4.7334610016034645E-2</v>
      </c>
      <c r="AR10" s="115">
        <v>9.5591451326802876E-4</v>
      </c>
      <c r="AS10" s="115">
        <v>6.0224014577874964E-3</v>
      </c>
      <c r="AT10" s="115">
        <v>7.708782718512285E-5</v>
      </c>
      <c r="AU10" s="115">
        <v>5.2424056173078278E-2</v>
      </c>
      <c r="AV10" s="115">
        <v>2.6289451356923919E-2</v>
      </c>
      <c r="AW10" s="115">
        <v>3.7899784298699821E-2</v>
      </c>
      <c r="AX10" s="115">
        <v>1.397967749446281E-3</v>
      </c>
      <c r="AY10" s="115">
        <v>2.2797579160555907E-4</v>
      </c>
      <c r="AZ10" s="115">
        <v>1.1624639693560171E-4</v>
      </c>
      <c r="BA10" s="115">
        <v>7.524588813814915E-6</v>
      </c>
      <c r="BB10" s="115">
        <v>5.2843716723489476E-2</v>
      </c>
      <c r="BC10" s="115">
        <v>1.7918501353255536E-2</v>
      </c>
      <c r="BD10" s="115">
        <v>2.850100292954192E-10</v>
      </c>
      <c r="BE10" s="115">
        <v>0.10589300723016856</v>
      </c>
      <c r="BF10" s="115">
        <v>5.2989722221214513E-3</v>
      </c>
      <c r="BG10" s="115">
        <v>1.8493143656504287E-6</v>
      </c>
      <c r="BH10" s="115">
        <v>9.9619050955077545E-2</v>
      </c>
      <c r="BI10" s="115">
        <v>3.0954669224818175E-2</v>
      </c>
      <c r="BJ10" s="115">
        <v>0.12636855943071465</v>
      </c>
      <c r="BK10" s="115">
        <v>1.3506279266608114E-2</v>
      </c>
      <c r="BL10" s="115">
        <v>9.9392232537225095E-2</v>
      </c>
      <c r="BM10" s="115">
        <v>1.7943686274667955E-3</v>
      </c>
      <c r="BN10" s="115">
        <v>2.8113157607093114E-5</v>
      </c>
      <c r="BO10" s="115">
        <v>2.431020532363929E-2</v>
      </c>
      <c r="BP10" s="115">
        <v>4.4755079537203465E-2</v>
      </c>
      <c r="BQ10" s="115">
        <v>1.7055494426844831E-2</v>
      </c>
      <c r="BR10" s="115">
        <v>2.6952885725012789E-9</v>
      </c>
      <c r="BS10" s="115">
        <v>1.1491596004870076E-3</v>
      </c>
      <c r="BT10" s="115">
        <v>7.1968122422851E-2</v>
      </c>
      <c r="BU10" s="115">
        <v>9.9139809218608353E-4</v>
      </c>
      <c r="BV10" s="115">
        <v>1.2426764535313444E-2</v>
      </c>
      <c r="BW10" s="115">
        <v>1.5528679591863197E-2</v>
      </c>
      <c r="BX10" s="115">
        <v>1.7850462645890339E-2</v>
      </c>
      <c r="BY10" s="115">
        <v>4.8242857827911532E-5</v>
      </c>
      <c r="BZ10" s="115">
        <v>9.2485633262840677E-2</v>
      </c>
      <c r="CA10" s="115">
        <v>7.1781145031049765E-2</v>
      </c>
      <c r="CB10" s="115">
        <v>7.1034435142022387E-2</v>
      </c>
      <c r="CC10" s="115">
        <v>3.010913622760801E-2</v>
      </c>
      <c r="CD10" s="115">
        <v>4.7429769430499064E-2</v>
      </c>
      <c r="CE10" s="115">
        <v>6.0766845665023751E-2</v>
      </c>
      <c r="CF10" s="115">
        <v>1.2198343012084491E-18</v>
      </c>
      <c r="CG10" s="115">
        <v>6.3487744636350318E-2</v>
      </c>
      <c r="CH10" s="115">
        <v>8.2816253730685602E-2</v>
      </c>
      <c r="CI10" s="115">
        <v>7.3176694001612447E-2</v>
      </c>
      <c r="CJ10" s="115">
        <v>2.9957710546414745E-2</v>
      </c>
      <c r="CK10" s="115">
        <v>6.3208570149824506E-2</v>
      </c>
      <c r="CL10" s="115">
        <v>6.3713889386758588E-3</v>
      </c>
      <c r="CM10" s="115">
        <v>8.5607207399172429E-3</v>
      </c>
      <c r="CN10" s="115">
        <v>5.057064092149343E-2</v>
      </c>
      <c r="CO10" s="115">
        <v>1.9897472033250503E-4</v>
      </c>
      <c r="CP10" s="115">
        <v>3.9749940150387878E-3</v>
      </c>
      <c r="CQ10" s="115">
        <v>7.4639822027153732E-2</v>
      </c>
      <c r="CR10" s="115">
        <v>3.4207671657675152E-4</v>
      </c>
      <c r="CS10" s="115">
        <v>5.7595444435101208E-2</v>
      </c>
      <c r="CT10" s="115">
        <v>5.3296842103476925E-2</v>
      </c>
      <c r="CU10" s="115">
        <v>8.6999930350792926E-2</v>
      </c>
      <c r="CV10" s="115">
        <v>8.456881390762601E-4</v>
      </c>
      <c r="CW10" s="115">
        <v>8.2036632236954385E-2</v>
      </c>
      <c r="CX10" s="115">
        <v>5.6331272189396433E-3</v>
      </c>
    </row>
    <row r="11" spans="1:102" s="115" customFormat="1">
      <c r="A11" s="252" t="str">
        <f>Parameters!A57</f>
        <v>Hedge funds</v>
      </c>
      <c r="B11" s="253"/>
      <c r="C11" s="115">
        <v>3.9663819045586655E-3</v>
      </c>
      <c r="D11" s="115">
        <v>1.8375308817651119E-3</v>
      </c>
      <c r="E11" s="115">
        <v>0.11965819502998878</v>
      </c>
      <c r="F11" s="115">
        <v>3.26091877053424E-2</v>
      </c>
      <c r="G11" s="115">
        <v>0.17970772189400139</v>
      </c>
      <c r="H11" s="115">
        <v>1.4382776906767915E-3</v>
      </c>
      <c r="I11" s="115">
        <v>3.2038169030884356E-2</v>
      </c>
      <c r="J11" s="115">
        <v>8.6641958876631057E-3</v>
      </c>
      <c r="K11" s="115">
        <v>0.16543989386963906</v>
      </c>
      <c r="L11" s="115">
        <v>3.9120808384700792E-2</v>
      </c>
      <c r="M11" s="115">
        <v>6.4026937918492066E-2</v>
      </c>
      <c r="N11" s="115">
        <v>0.19919633639688555</v>
      </c>
      <c r="O11" s="115">
        <v>0.13055238529397573</v>
      </c>
      <c r="P11" s="115">
        <v>1.3777449008138378E-2</v>
      </c>
      <c r="Q11" s="115">
        <v>2.7554732573846566E-2</v>
      </c>
      <c r="R11" s="115">
        <v>0.12107251298325018</v>
      </c>
      <c r="S11" s="115">
        <v>4.2475139802261733E-3</v>
      </c>
      <c r="T11" s="115">
        <v>8.0044258160561405E-2</v>
      </c>
      <c r="U11" s="115">
        <v>0.12654281677201379</v>
      </c>
      <c r="V11" s="115">
        <v>2.024685648548194E-2</v>
      </c>
      <c r="W11" s="115">
        <v>2.8553340648140288E-2</v>
      </c>
      <c r="X11" s="115">
        <v>3.2267142031728156E-5</v>
      </c>
      <c r="Y11" s="115">
        <v>1.608824400507735E-2</v>
      </c>
      <c r="Z11" s="115">
        <v>0.10443510324310507</v>
      </c>
      <c r="AA11" s="115">
        <v>0.16602488882432392</v>
      </c>
      <c r="AB11" s="115">
        <v>7.6235831185954206E-3</v>
      </c>
      <c r="AC11" s="115">
        <v>1.6316922592534593E-5</v>
      </c>
      <c r="AD11" s="115">
        <v>0.19905957837325938</v>
      </c>
      <c r="AE11" s="115">
        <v>2.7324256574456605E-3</v>
      </c>
      <c r="AF11" s="115">
        <v>3.7934044815506024E-2</v>
      </c>
      <c r="AG11" s="115">
        <v>1.9020152351061351E-8</v>
      </c>
      <c r="AH11" s="115">
        <v>0.2056771695759356</v>
      </c>
      <c r="AI11" s="115">
        <v>6.1128332715755913E-2</v>
      </c>
      <c r="AJ11" s="115">
        <v>7.7524941068124478E-2</v>
      </c>
      <c r="AK11" s="115">
        <v>0.13050807402872533</v>
      </c>
      <c r="AL11" s="115">
        <v>7.2198301827486655E-2</v>
      </c>
      <c r="AM11" s="115">
        <v>1.1324464661927458E-2</v>
      </c>
      <c r="AN11" s="115">
        <v>0.16330924742417063</v>
      </c>
      <c r="AO11" s="115">
        <v>4.380967229740957E-2</v>
      </c>
      <c r="AP11" s="115">
        <v>0.11451985781956989</v>
      </c>
      <c r="AQ11" s="115">
        <v>4.6431230373307382E-2</v>
      </c>
      <c r="AR11" s="115">
        <v>0.18847099830718964</v>
      </c>
      <c r="AS11" s="115">
        <v>2.1083267539495419E-3</v>
      </c>
      <c r="AT11" s="115">
        <v>3.9672106611711902E-2</v>
      </c>
      <c r="AU11" s="115">
        <v>9.7424862581400179E-4</v>
      </c>
      <c r="AV11" s="115">
        <v>1.9593834066586178E-2</v>
      </c>
      <c r="AW11" s="115">
        <v>0.12072144740814147</v>
      </c>
      <c r="AX11" s="115">
        <v>0.11318473356319506</v>
      </c>
      <c r="AY11" s="115">
        <v>3.6710590311888492E-3</v>
      </c>
      <c r="AZ11" s="115">
        <v>2.0928579859937662E-2</v>
      </c>
      <c r="BA11" s="115">
        <v>2.7672920878757639E-4</v>
      </c>
      <c r="BB11" s="115">
        <v>2.2738287057676507E-4</v>
      </c>
      <c r="BC11" s="115">
        <v>0.18681071126148627</v>
      </c>
      <c r="BD11" s="115">
        <v>9.3527217635987148E-2</v>
      </c>
      <c r="BE11" s="115">
        <v>8.7328745315461802E-3</v>
      </c>
      <c r="BF11" s="115">
        <v>2.8253887657301132E-4</v>
      </c>
      <c r="BG11" s="115">
        <v>0.17702818981928048</v>
      </c>
      <c r="BH11" s="115">
        <v>1.2145376413259016E-3</v>
      </c>
      <c r="BI11" s="115">
        <v>0.12092560346530692</v>
      </c>
      <c r="BJ11" s="115">
        <v>3.3724594902544786E-2</v>
      </c>
      <c r="BK11" s="115">
        <v>6.076372184094285E-2</v>
      </c>
      <c r="BL11" s="115">
        <v>0.14478795126795158</v>
      </c>
      <c r="BM11" s="115">
        <v>1.0893862104055022E-3</v>
      </c>
      <c r="BN11" s="115">
        <v>0.1649202747406279</v>
      </c>
      <c r="BO11" s="115">
        <v>2.8124711860724769E-3</v>
      </c>
      <c r="BP11" s="115">
        <v>9.4863910755987615E-2</v>
      </c>
      <c r="BQ11" s="115">
        <v>7.2891576107631209E-2</v>
      </c>
      <c r="BR11" s="115">
        <v>0.20467772080162644</v>
      </c>
      <c r="BS11" s="115">
        <v>9.2366194643954122E-8</v>
      </c>
      <c r="BT11" s="115">
        <v>6.5963607249186067E-5</v>
      </c>
      <c r="BU11" s="115">
        <v>0.11305571113262952</v>
      </c>
      <c r="BV11" s="115">
        <v>0.16982154162997246</v>
      </c>
      <c r="BW11" s="115">
        <v>6.4694753643224398E-2</v>
      </c>
      <c r="BX11" s="115">
        <v>9.7330606576525694E-7</v>
      </c>
      <c r="BY11" s="115">
        <v>8.6719934816047929E-5</v>
      </c>
      <c r="BZ11" s="115">
        <v>6.3002042267794378E-2</v>
      </c>
      <c r="CA11" s="115">
        <v>2.8345815296209477E-2</v>
      </c>
      <c r="CB11" s="115">
        <v>6.74145222801254E-2</v>
      </c>
      <c r="CC11" s="115">
        <v>8.1205802988887577E-2</v>
      </c>
      <c r="CD11" s="115">
        <v>3.9883424372091122E-2</v>
      </c>
      <c r="CE11" s="115">
        <v>1.7892870441364484E-4</v>
      </c>
      <c r="CF11" s="115">
        <v>1.5795256452365536E-5</v>
      </c>
      <c r="CG11" s="115">
        <v>8.1814819137758288E-2</v>
      </c>
      <c r="CH11" s="115">
        <v>3.2184225733217588E-2</v>
      </c>
      <c r="CI11" s="115">
        <v>3.3706114039217745E-7</v>
      </c>
      <c r="CJ11" s="115">
        <v>3.8908687013584258E-3</v>
      </c>
      <c r="CK11" s="115">
        <v>5.0588718239080115E-2</v>
      </c>
      <c r="CL11" s="115">
        <v>0.10838180445030679</v>
      </c>
      <c r="CM11" s="115">
        <v>0.13429222121590792</v>
      </c>
      <c r="CN11" s="115">
        <v>3.7840971001687255E-6</v>
      </c>
      <c r="CO11" s="115">
        <v>8.9432010007900825E-2</v>
      </c>
      <c r="CP11" s="115">
        <v>1.9766860642186999E-4</v>
      </c>
      <c r="CQ11" s="115">
        <v>1.4047827447665002E-3</v>
      </c>
      <c r="CR11" s="115">
        <v>0.17152319641580974</v>
      </c>
      <c r="CS11" s="115">
        <v>3.1349930231988031E-2</v>
      </c>
      <c r="CT11" s="115">
        <v>0.14710284962006906</v>
      </c>
      <c r="CU11" s="115">
        <v>0.13406571022939115</v>
      </c>
      <c r="CV11" s="115">
        <v>5.8609708785862399E-2</v>
      </c>
      <c r="CW11" s="115">
        <v>0.12081523361899595</v>
      </c>
      <c r="CX11" s="115">
        <v>2.3103058377511553E-3</v>
      </c>
    </row>
    <row r="12" spans="1:102" s="115" customFormat="1">
      <c r="A12" s="252" t="str">
        <f>Parameters!A58</f>
        <v>Onroerend goed</v>
      </c>
      <c r="B12" s="253"/>
      <c r="C12" s="115">
        <v>4.0655456541949041E-2</v>
      </c>
      <c r="D12" s="115">
        <v>6.3404462656025222E-3</v>
      </c>
      <c r="E12" s="115">
        <v>2.6896745053951992E-2</v>
      </c>
      <c r="F12" s="115">
        <v>1.5279112406466509E-2</v>
      </c>
      <c r="G12" s="115">
        <v>1.0711047207044798E-3</v>
      </c>
      <c r="H12" s="115">
        <v>2.6905054583994655E-4</v>
      </c>
      <c r="I12" s="115">
        <v>2.1487516949361095E-3</v>
      </c>
      <c r="J12" s="115">
        <v>2.2490872531061915E-9</v>
      </c>
      <c r="K12" s="115">
        <v>9.820038759687396E-3</v>
      </c>
      <c r="L12" s="115">
        <v>6.8985568488839628E-4</v>
      </c>
      <c r="M12" s="115">
        <v>1.5031420955873966E-6</v>
      </c>
      <c r="N12" s="115">
        <v>2.2309074618651961E-3</v>
      </c>
      <c r="O12" s="115">
        <v>1.4069436688044199E-2</v>
      </c>
      <c r="P12" s="115">
        <v>1.1120578927084263E-3</v>
      </c>
      <c r="Q12" s="115">
        <v>6.6243153234735544E-7</v>
      </c>
      <c r="R12" s="115">
        <v>1.9781236765772633E-5</v>
      </c>
      <c r="S12" s="115">
        <v>7.9778405146732154E-3</v>
      </c>
      <c r="T12" s="115">
        <v>7.2273660669300022E-2</v>
      </c>
      <c r="U12" s="115">
        <v>7.7822753038207543E-2</v>
      </c>
      <c r="V12" s="115">
        <v>2.4704161280419933E-2</v>
      </c>
      <c r="W12" s="115">
        <v>2.4653013663881986E-2</v>
      </c>
      <c r="X12" s="115">
        <v>3.2763158350129606E-2</v>
      </c>
      <c r="Y12" s="115">
        <v>3.4766570560035517E-7</v>
      </c>
      <c r="Z12" s="115">
        <v>1.1942732032464929E-10</v>
      </c>
      <c r="AA12" s="115">
        <v>5.4109947660030161E-4</v>
      </c>
      <c r="AB12" s="115">
        <v>1.5606029117773179E-2</v>
      </c>
      <c r="AC12" s="115">
        <v>0.12464410345955629</v>
      </c>
      <c r="AD12" s="115">
        <v>8.0919220896433675E-4</v>
      </c>
      <c r="AE12" s="115">
        <v>2.8455979520633176E-4</v>
      </c>
      <c r="AF12" s="115">
        <v>1.0244133366171825E-2</v>
      </c>
      <c r="AG12" s="115">
        <v>7.8870732442529956E-2</v>
      </c>
      <c r="AH12" s="115">
        <v>2.6544483409376565E-6</v>
      </c>
      <c r="AI12" s="115">
        <v>9.6559015366747075E-2</v>
      </c>
      <c r="AJ12" s="115">
        <v>2.5229766984425084E-2</v>
      </c>
      <c r="AK12" s="115">
        <v>9.2431228759036702E-3</v>
      </c>
      <c r="AL12" s="115">
        <v>6.1895502452690863E-4</v>
      </c>
      <c r="AM12" s="115">
        <v>1.3623594566895929E-7</v>
      </c>
      <c r="AN12" s="115">
        <v>4.679180538661807E-2</v>
      </c>
      <c r="AO12" s="115">
        <v>0.12217787371031764</v>
      </c>
      <c r="AP12" s="115">
        <v>1.2237960467382966E-4</v>
      </c>
      <c r="AQ12" s="115">
        <v>3.3680704841193083E-4</v>
      </c>
      <c r="AR12" s="115">
        <v>5.611186932400457E-3</v>
      </c>
      <c r="AS12" s="115">
        <v>9.1830442212452092E-3</v>
      </c>
      <c r="AT12" s="115">
        <v>5.5671296955262507E-5</v>
      </c>
      <c r="AU12" s="115">
        <v>6.4256333298821624E-12</v>
      </c>
      <c r="AV12" s="115">
        <v>3.7924800910829178E-2</v>
      </c>
      <c r="AW12" s="115">
        <v>0.13517392401530651</v>
      </c>
      <c r="AX12" s="115">
        <v>9.9504754595092851E-3</v>
      </c>
      <c r="AY12" s="115">
        <v>2.5958854235337544E-5</v>
      </c>
      <c r="AZ12" s="115">
        <v>4.9965296063005551E-2</v>
      </c>
      <c r="BA12" s="115">
        <v>3.1852635096272942E-3</v>
      </c>
      <c r="BB12" s="115">
        <v>1.6639431567596503E-15</v>
      </c>
      <c r="BC12" s="115">
        <v>5.820587900346097E-2</v>
      </c>
      <c r="BD12" s="115">
        <v>4.141288201980127E-3</v>
      </c>
      <c r="BE12" s="115">
        <v>7.0404495404274256E-6</v>
      </c>
      <c r="BF12" s="115">
        <v>0.12372638995767647</v>
      </c>
      <c r="BG12" s="115">
        <v>2.490065363793362E-4</v>
      </c>
      <c r="BH12" s="115">
        <v>0.10032138679185143</v>
      </c>
      <c r="BI12" s="115">
        <v>5.0000822210122546E-5</v>
      </c>
      <c r="BJ12" s="115">
        <v>1.895622373807127E-6</v>
      </c>
      <c r="BK12" s="115">
        <v>3.7998287716693634E-2</v>
      </c>
      <c r="BL12" s="115">
        <v>3.2473196119653563E-5</v>
      </c>
      <c r="BM12" s="115">
        <v>0.20418897248811765</v>
      </c>
      <c r="BN12" s="115">
        <v>7.6353078280124399E-3</v>
      </c>
      <c r="BO12" s="115">
        <v>0.12920621139273206</v>
      </c>
      <c r="BP12" s="115">
        <v>1.0509575597852726E-4</v>
      </c>
      <c r="BQ12" s="115">
        <v>1.0090858010867414E-4</v>
      </c>
      <c r="BR12" s="115">
        <v>7.6680414292978834E-5</v>
      </c>
      <c r="BS12" s="115">
        <v>0.1457845291599299</v>
      </c>
      <c r="BT12" s="115">
        <v>0.15471313098287939</v>
      </c>
      <c r="BU12" s="115">
        <v>3.0075986331878568E-12</v>
      </c>
      <c r="BV12" s="115">
        <v>3.7877352213747738E-2</v>
      </c>
      <c r="BW12" s="115">
        <v>1.7889688558161871E-5</v>
      </c>
      <c r="BX12" s="115">
        <v>1.2062373667795423E-2</v>
      </c>
      <c r="BY12" s="115">
        <v>2.5968193964736905E-3</v>
      </c>
      <c r="BZ12" s="115">
        <v>1.6198470211598544E-2</v>
      </c>
      <c r="CA12" s="115">
        <v>7.814850075883954E-6</v>
      </c>
      <c r="CB12" s="115">
        <v>2.1710425852884893E-3</v>
      </c>
      <c r="CC12" s="115">
        <v>2.2976450028522496E-2</v>
      </c>
      <c r="CD12" s="115">
        <v>6.3806862296230955E-10</v>
      </c>
      <c r="CE12" s="115">
        <v>6.3071722453066095E-2</v>
      </c>
      <c r="CF12" s="115">
        <v>1.0946463700870783E-11</v>
      </c>
      <c r="CG12" s="115">
        <v>4.8540299025530066E-2</v>
      </c>
      <c r="CH12" s="115">
        <v>1.6341455349610748E-2</v>
      </c>
      <c r="CI12" s="115">
        <v>6.4785516466896301E-2</v>
      </c>
      <c r="CJ12" s="115">
        <v>1.1515708140130874E-3</v>
      </c>
      <c r="CK12" s="115">
        <v>4.7289599800695685E-2</v>
      </c>
      <c r="CL12" s="115">
        <v>4.5519804057173312E-2</v>
      </c>
      <c r="CM12" s="115">
        <v>6.1673051258669806E-3</v>
      </c>
      <c r="CN12" s="115">
        <v>4.6684268434402196E-4</v>
      </c>
      <c r="CO12" s="115">
        <v>7.5382016452566605E-2</v>
      </c>
      <c r="CP12" s="115">
        <v>4.7615535219685208E-2</v>
      </c>
      <c r="CQ12" s="115">
        <v>6.1896607404514142E-4</v>
      </c>
      <c r="CR12" s="115">
        <v>3.5692676424416018E-4</v>
      </c>
      <c r="CS12" s="115">
        <v>8.1857498109354082E-2</v>
      </c>
      <c r="CT12" s="115">
        <v>4.3125103902274094E-2</v>
      </c>
      <c r="CU12" s="115">
        <v>6.3389384448362188E-2</v>
      </c>
      <c r="CV12" s="115">
        <v>0.12679785868660873</v>
      </c>
      <c r="CW12" s="115">
        <v>2.032496987706283E-2</v>
      </c>
      <c r="CX12" s="115">
        <v>0.23529309996087697</v>
      </c>
    </row>
    <row r="13" spans="1:102" s="116" customFormat="1">
      <c r="A13" s="254" t="str">
        <f>Parameters!A59</f>
        <v>Commodities</v>
      </c>
      <c r="B13" s="255"/>
      <c r="C13" s="116">
        <v>2.4654460534758586E-7</v>
      </c>
      <c r="D13" s="116">
        <v>9.3335764395718821E-10</v>
      </c>
      <c r="E13" s="116">
        <v>7.2871462283284096E-5</v>
      </c>
      <c r="F13" s="116">
        <v>4.1291060874376403E-5</v>
      </c>
      <c r="G13" s="116">
        <v>2.2130569859895807E-4</v>
      </c>
      <c r="H13" s="116">
        <v>4.4839932218988772E-3</v>
      </c>
      <c r="I13" s="116">
        <v>5.777246447354667E-3</v>
      </c>
      <c r="J13" s="116">
        <v>1.2784027101103576E-10</v>
      </c>
      <c r="K13" s="116">
        <v>8.3230456687985647E-5</v>
      </c>
      <c r="L13" s="116">
        <v>3.213753709327661E-3</v>
      </c>
      <c r="M13" s="116">
        <v>1.38039805000997E-3</v>
      </c>
      <c r="N13" s="116">
        <v>4.6108780652352629E-4</v>
      </c>
      <c r="O13" s="116">
        <v>4.7644660518188452E-7</v>
      </c>
      <c r="P13" s="116">
        <v>8.9222828726769521E-4</v>
      </c>
      <c r="Q13" s="116">
        <v>3.3382857934430286E-3</v>
      </c>
      <c r="R13" s="116">
        <v>7.392073347202226E-3</v>
      </c>
      <c r="S13" s="116">
        <v>1.5187151429966902E-6</v>
      </c>
      <c r="T13" s="116">
        <v>2.0225314989308816E-3</v>
      </c>
      <c r="U13" s="116">
        <v>6.5757431474710855E-4</v>
      </c>
      <c r="V13" s="116">
        <v>3.2118313512350008E-3</v>
      </c>
      <c r="W13" s="116">
        <v>5.4376027875986319E-3</v>
      </c>
      <c r="X13" s="116">
        <v>7.9055292492854357E-3</v>
      </c>
      <c r="Y13" s="116">
        <v>1.6012551872002212E-4</v>
      </c>
      <c r="Z13" s="116">
        <v>9.1882842445489088E-11</v>
      </c>
      <c r="AA13" s="116">
        <v>6.9900265707472419E-3</v>
      </c>
      <c r="AB13" s="116">
        <v>1.1595305223577251E-6</v>
      </c>
      <c r="AC13" s="116">
        <v>3.5796243099257079E-3</v>
      </c>
      <c r="AD13" s="116">
        <v>9.601591297374085E-3</v>
      </c>
      <c r="AE13" s="116">
        <v>6.1525004273407787E-8</v>
      </c>
      <c r="AF13" s="116">
        <v>2.6603903469008877E-3</v>
      </c>
      <c r="AG13" s="116">
        <v>1.348475553708798E-3</v>
      </c>
      <c r="AH13" s="116">
        <v>1.8535993914689151E-3</v>
      </c>
      <c r="AI13" s="116">
        <v>1.0029859931881177E-7</v>
      </c>
      <c r="AJ13" s="116">
        <v>1.3146015684431724E-2</v>
      </c>
      <c r="AK13" s="116">
        <v>1.1735157331953443E-3</v>
      </c>
      <c r="AL13" s="116">
        <v>3.6808129350095399E-8</v>
      </c>
      <c r="AM13" s="116">
        <v>2.6252429652889506E-3</v>
      </c>
      <c r="AN13" s="116">
        <v>1.0653203604489114E-8</v>
      </c>
      <c r="AO13" s="116">
        <v>1.3443460871086601E-15</v>
      </c>
      <c r="AP13" s="116">
        <v>4.4436513637051631E-3</v>
      </c>
      <c r="AQ13" s="116">
        <v>4.9350455046422116E-13</v>
      </c>
      <c r="AR13" s="116">
        <v>8.7538511135452739E-3</v>
      </c>
      <c r="AS13" s="116">
        <v>4.8571272096593584E-4</v>
      </c>
      <c r="AT13" s="116">
        <v>2.9812790396833147E-3</v>
      </c>
      <c r="AU13" s="116">
        <v>1.2991519357942015E-5</v>
      </c>
      <c r="AV13" s="116">
        <v>1.225435807630216E-7</v>
      </c>
      <c r="AW13" s="116">
        <v>4.5343066284796732E-4</v>
      </c>
      <c r="AX13" s="116">
        <v>2.159628895472452E-7</v>
      </c>
      <c r="AY13" s="116">
        <v>1.5508043521007021E-3</v>
      </c>
      <c r="AZ13" s="116">
        <v>2.782599846561277E-3</v>
      </c>
      <c r="BA13" s="116">
        <v>8.0827044113636771E-3</v>
      </c>
      <c r="BB13" s="116">
        <v>1.7949517272257115E-8</v>
      </c>
      <c r="BC13" s="116">
        <v>5.8782207040985302E-5</v>
      </c>
      <c r="BD13" s="116">
        <v>3.9661184009025778E-4</v>
      </c>
      <c r="BE13" s="116">
        <v>2.861076580443646E-6</v>
      </c>
      <c r="BF13" s="116">
        <v>8.9284476599976957E-6</v>
      </c>
      <c r="BG13" s="116">
        <v>3.5414755333845654E-12</v>
      </c>
      <c r="BH13" s="116">
        <v>4.4004292765737435E-5</v>
      </c>
      <c r="BI13" s="116">
        <v>4.7578538642842868E-3</v>
      </c>
      <c r="BJ13" s="116">
        <v>6.2199084654949343E-5</v>
      </c>
      <c r="BK13" s="116">
        <v>3.3102317767773665E-9</v>
      </c>
      <c r="BL13" s="116">
        <v>1.4402685642025785E-14</v>
      </c>
      <c r="BM13" s="116">
        <v>2.0984779903591363E-3</v>
      </c>
      <c r="BN13" s="116">
        <v>5.8743579553730593E-4</v>
      </c>
      <c r="BO13" s="116">
        <v>1.6962686886625319E-12</v>
      </c>
      <c r="BP13" s="116">
        <v>6.3584193084873066E-3</v>
      </c>
      <c r="BQ13" s="116">
        <v>2.2575401380421135E-3</v>
      </c>
      <c r="BR13" s="116">
        <v>1.2538043056095599E-3</v>
      </c>
      <c r="BS13" s="116">
        <v>1.7802099139655573E-7</v>
      </c>
      <c r="BT13" s="116">
        <v>8.2500830013859617E-4</v>
      </c>
      <c r="BU13" s="116">
        <v>1.9394673307196914E-4</v>
      </c>
      <c r="BV13" s="116">
        <v>5.7506520838982235E-5</v>
      </c>
      <c r="BW13" s="116">
        <v>2.254785061951585E-2</v>
      </c>
      <c r="BX13" s="116">
        <v>7.6935203002852998E-3</v>
      </c>
      <c r="BY13" s="116">
        <v>1.9536252838038448E-2</v>
      </c>
      <c r="BZ13" s="116">
        <v>3.0801999171333803E-6</v>
      </c>
      <c r="CA13" s="116">
        <v>2.9721911889380543E-3</v>
      </c>
      <c r="CB13" s="116">
        <v>3.5296209148095634E-3</v>
      </c>
      <c r="CC13" s="116">
        <v>2.6489066992557903E-3</v>
      </c>
      <c r="CD13" s="116">
        <v>1.5416102643738651E-3</v>
      </c>
      <c r="CE13" s="116">
        <v>2.1594694438795132E-3</v>
      </c>
      <c r="CF13" s="116">
        <v>1.0776415682866907E-5</v>
      </c>
      <c r="CG13" s="116">
        <v>3.8612007001971897E-3</v>
      </c>
      <c r="CH13" s="116">
        <v>7.5353568052050589E-3</v>
      </c>
      <c r="CI13" s="116">
        <v>2.586803455597102E-5</v>
      </c>
      <c r="CJ13" s="116">
        <v>1.993137253388731E-5</v>
      </c>
      <c r="CK13" s="116">
        <v>8.8812785183515625E-3</v>
      </c>
      <c r="CL13" s="116">
        <v>1.2942237938353079E-6</v>
      </c>
      <c r="CM13" s="116">
        <v>5.5002262291950824E-4</v>
      </c>
      <c r="CN13" s="116">
        <v>2.4280450184023444E-2</v>
      </c>
      <c r="CO13" s="116">
        <v>8.580292373733057E-9</v>
      </c>
      <c r="CP13" s="116">
        <v>4.5550429655054417E-3</v>
      </c>
      <c r="CQ13" s="116">
        <v>2.0436078246044618E-3</v>
      </c>
      <c r="CR13" s="116">
        <v>1.0028903244269907E-5</v>
      </c>
      <c r="CS13" s="116">
        <v>2.1517986221022984E-3</v>
      </c>
      <c r="CT13" s="116">
        <v>2.9683627591666078E-5</v>
      </c>
      <c r="CU13" s="116">
        <v>1.4416252222759329E-3</v>
      </c>
      <c r="CV13" s="116">
        <v>1.8725735204448046E-2</v>
      </c>
      <c r="CW13" s="116">
        <v>6.6969384369234194E-8</v>
      </c>
      <c r="CX13" s="116">
        <v>8.7796820221768514E-6</v>
      </c>
    </row>
    <row r="15" spans="1:102" s="114" customFormat="1">
      <c r="A15" s="247" t="s">
        <v>140</v>
      </c>
      <c r="B15" s="248"/>
    </row>
    <row r="16" spans="1:102" s="115" customFormat="1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0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0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  <c r="CW16" s="146">
        <v>0</v>
      </c>
      <c r="CX16" s="146">
        <v>0</v>
      </c>
    </row>
    <row r="17" spans="1:102" s="115" customFormat="1">
      <c r="A17" s="252" t="s">
        <v>4</v>
      </c>
      <c r="B17" s="253"/>
      <c r="C17" s="146">
        <v>0.47617959768846391</v>
      </c>
      <c r="D17" s="146">
        <v>0.32618699718033556</v>
      </c>
      <c r="E17" s="146">
        <v>0.41351614040702778</v>
      </c>
      <c r="F17" s="146">
        <v>0.45700611012483167</v>
      </c>
      <c r="G17" s="146">
        <v>0.48723049998609924</v>
      </c>
      <c r="H17" s="146">
        <v>0.49777985697893412</v>
      </c>
      <c r="I17" s="146">
        <v>0.41765025633432301</v>
      </c>
      <c r="J17" s="146">
        <v>0.36424504706326388</v>
      </c>
      <c r="K17" s="146">
        <v>0.41235436459250691</v>
      </c>
      <c r="L17" s="146">
        <v>0.46191270087686837</v>
      </c>
      <c r="M17" s="146">
        <v>0.35582988137328037</v>
      </c>
      <c r="N17" s="146">
        <v>0.3675112304038482</v>
      </c>
      <c r="O17" s="146">
        <v>0.47334135759918605</v>
      </c>
      <c r="P17" s="146">
        <v>0.35249455252173678</v>
      </c>
      <c r="Q17" s="146">
        <v>0.45305571416962803</v>
      </c>
      <c r="R17" s="146">
        <v>0.44375854674013981</v>
      </c>
      <c r="S17" s="146">
        <v>0.42135794196950738</v>
      </c>
      <c r="T17" s="146">
        <v>0.3714364246571597</v>
      </c>
      <c r="U17" s="146">
        <v>0.25670474162786838</v>
      </c>
      <c r="V17" s="146">
        <v>0.35223889954169846</v>
      </c>
      <c r="W17" s="146">
        <v>0.42434640623036712</v>
      </c>
      <c r="X17" s="146">
        <v>0.49180521678866446</v>
      </c>
      <c r="Y17" s="146">
        <v>0.26321149381741005</v>
      </c>
      <c r="Z17" s="146">
        <v>0.36577762307444855</v>
      </c>
      <c r="AA17" s="146">
        <v>0.18721567753866419</v>
      </c>
      <c r="AB17" s="146">
        <v>0.28652466329793502</v>
      </c>
      <c r="AC17" s="146">
        <v>0.46026611947174845</v>
      </c>
      <c r="AD17" s="146">
        <v>0.2939671374354702</v>
      </c>
      <c r="AE17" s="146">
        <v>0.41948852366753436</v>
      </c>
      <c r="AF17" s="146">
        <v>0.33267021372781563</v>
      </c>
      <c r="AG17" s="146">
        <v>0.49181713408569694</v>
      </c>
      <c r="AH17" s="146">
        <v>0.22617003494097496</v>
      </c>
      <c r="AI17" s="146">
        <v>0.37266071408170681</v>
      </c>
      <c r="AJ17" s="146">
        <v>0.27818775692139869</v>
      </c>
      <c r="AK17" s="146">
        <v>0.19605878172258556</v>
      </c>
      <c r="AL17" s="146">
        <v>0.47686687423691099</v>
      </c>
      <c r="AM17" s="146">
        <v>0.26965112838039212</v>
      </c>
      <c r="AN17" s="146">
        <v>0.26248256349231602</v>
      </c>
      <c r="AO17" s="146">
        <v>0.2654216225469459</v>
      </c>
      <c r="AP17" s="146">
        <v>0.40756142523179967</v>
      </c>
      <c r="AQ17" s="146">
        <v>0.33774066174852319</v>
      </c>
      <c r="AR17" s="146">
        <v>0.20502827469509657</v>
      </c>
      <c r="AS17" s="146">
        <v>0.1278525130338517</v>
      </c>
      <c r="AT17" s="146">
        <v>0.33482806726698405</v>
      </c>
      <c r="AU17" s="146">
        <v>0.41938496747003057</v>
      </c>
      <c r="AV17" s="146">
        <v>0.42589789928627331</v>
      </c>
      <c r="AW17" s="146">
        <v>0.37013329698700048</v>
      </c>
      <c r="AX17" s="146">
        <v>2.9312429358474352E-2</v>
      </c>
      <c r="AY17" s="146">
        <v>0.47432833928698548</v>
      </c>
      <c r="AZ17" s="146">
        <v>0.45094980398582923</v>
      </c>
      <c r="BA17" s="146">
        <v>0.44863852776449525</v>
      </c>
      <c r="BB17" s="146">
        <v>5.0473527839092552E-4</v>
      </c>
      <c r="BC17" s="146">
        <v>0.30492684238630535</v>
      </c>
      <c r="BD17" s="146">
        <v>6.659794163269632E-2</v>
      </c>
      <c r="BE17" s="146">
        <v>3.8385586280070501E-2</v>
      </c>
      <c r="BF17" s="146">
        <v>0.3835944994200759</v>
      </c>
      <c r="BG17" s="146">
        <v>0.33220633789171267</v>
      </c>
      <c r="BH17" s="146">
        <v>0.2350575375661603</v>
      </c>
      <c r="BI17" s="146">
        <v>0.39415938259471961</v>
      </c>
      <c r="BJ17" s="146">
        <v>7.6699265202779102E-2</v>
      </c>
      <c r="BK17" s="146">
        <v>7.9274025579718841E-7</v>
      </c>
      <c r="BL17" s="146">
        <v>2.14147127187196E-7</v>
      </c>
      <c r="BM17" s="146">
        <v>0.44057303775850593</v>
      </c>
      <c r="BN17" s="146">
        <v>0.34345139003518715</v>
      </c>
      <c r="BO17" s="146">
        <v>0.31147684225700278</v>
      </c>
      <c r="BP17" s="146">
        <v>0.16816814289255042</v>
      </c>
      <c r="BQ17" s="146">
        <v>0.37726261924387844</v>
      </c>
      <c r="BR17" s="146">
        <v>0.13319259046063209</v>
      </c>
      <c r="BS17" s="146">
        <v>0.45304091161351218</v>
      </c>
      <c r="BT17" s="146">
        <v>0.47626287868315909</v>
      </c>
      <c r="BU17" s="146">
        <v>0.31445011093468478</v>
      </c>
      <c r="BV17" s="146">
        <v>0.44594012155079443</v>
      </c>
      <c r="BW17" s="146">
        <v>0.33245527630582983</v>
      </c>
      <c r="BX17" s="146">
        <v>0.29603875160036791</v>
      </c>
      <c r="BY17" s="146">
        <v>0.49394169063029159</v>
      </c>
      <c r="BZ17" s="146">
        <v>1.5202441445539713E-2</v>
      </c>
      <c r="CA17" s="146">
        <v>4.0135796248742583E-2</v>
      </c>
      <c r="CB17" s="146">
        <v>5.6373834074680117E-3</v>
      </c>
      <c r="CC17" s="146">
        <v>0.3167223169843939</v>
      </c>
      <c r="CD17" s="146">
        <v>0.4384581191134056</v>
      </c>
      <c r="CE17" s="146">
        <v>0.22552316900045194</v>
      </c>
      <c r="CF17" s="146">
        <v>0.17957029060340265</v>
      </c>
      <c r="CG17" s="146">
        <v>0.15462053455587271</v>
      </c>
      <c r="CH17" s="146">
        <v>0.27533063413533759</v>
      </c>
      <c r="CI17" s="146">
        <v>0.15971631453365873</v>
      </c>
      <c r="CJ17" s="146">
        <v>0.33839459979621406</v>
      </c>
      <c r="CK17" s="146">
        <v>0.42375457041904591</v>
      </c>
      <c r="CL17" s="146">
        <v>6.7835352741832528E-2</v>
      </c>
      <c r="CM17" s="146">
        <v>7.8228642417830282E-3</v>
      </c>
      <c r="CN17" s="146">
        <v>0.31628777169374545</v>
      </c>
      <c r="CO17" s="146">
        <v>0.29113851294530291</v>
      </c>
      <c r="CP17" s="146">
        <v>0.22248137905173165</v>
      </c>
      <c r="CQ17" s="146">
        <v>0.42593996498502873</v>
      </c>
      <c r="CR17" s="146">
        <v>0.41362550654660418</v>
      </c>
      <c r="CS17" s="146">
        <v>0.37315789691316548</v>
      </c>
      <c r="CT17" s="146">
        <v>5.2336108332106323E-4</v>
      </c>
      <c r="CU17" s="146">
        <v>1.3376093379083295E-2</v>
      </c>
      <c r="CV17" s="146">
        <v>0.26695860905630647</v>
      </c>
      <c r="CW17" s="146">
        <v>0.21240251442261512</v>
      </c>
      <c r="CX17" s="146">
        <v>0.2522242930081609</v>
      </c>
    </row>
    <row r="18" spans="1:102" s="115" customFormat="1">
      <c r="A18" s="252" t="s">
        <v>175</v>
      </c>
      <c r="B18" s="253"/>
      <c r="C18" s="146">
        <v>0.16185820731132641</v>
      </c>
      <c r="D18" s="146">
        <v>0.4915043119870886</v>
      </c>
      <c r="E18" s="146">
        <v>1.6316119361669948E-2</v>
      </c>
      <c r="F18" s="146">
        <v>1.3238496302574497E-2</v>
      </c>
      <c r="G18" s="146">
        <v>1.8023725382604857E-13</v>
      </c>
      <c r="H18" s="146">
        <v>0.45366506715912031</v>
      </c>
      <c r="I18" s="146">
        <v>0.37128572739860199</v>
      </c>
      <c r="J18" s="146">
        <v>0.46763082164649056</v>
      </c>
      <c r="K18" s="146">
        <v>0.10285527071774092</v>
      </c>
      <c r="L18" s="146">
        <v>0.14450875874551819</v>
      </c>
      <c r="M18" s="146">
        <v>0.11733918819773037</v>
      </c>
      <c r="N18" s="146">
        <v>4.2892946501082788E-2</v>
      </c>
      <c r="O18" s="146">
        <v>0.10419241231441576</v>
      </c>
      <c r="P18" s="146">
        <v>0.36313426907611907</v>
      </c>
      <c r="Q18" s="146">
        <v>0.34565155738360009</v>
      </c>
      <c r="R18" s="146">
        <v>0.2499353054611369</v>
      </c>
      <c r="S18" s="146">
        <v>0.42172537100824753</v>
      </c>
      <c r="T18" s="146">
        <v>1.3044739835431052E-2</v>
      </c>
      <c r="U18" s="146">
        <v>0.19258101458263693</v>
      </c>
      <c r="V18" s="146">
        <v>0.44075922803324558</v>
      </c>
      <c r="W18" s="146">
        <v>0.27973509082390263</v>
      </c>
      <c r="X18" s="146">
        <v>0.41236119689231793</v>
      </c>
      <c r="Y18" s="146">
        <v>0.31454224752213295</v>
      </c>
      <c r="Z18" s="146">
        <v>3.131109553402716E-2</v>
      </c>
      <c r="AA18" s="146">
        <v>1.2326501719242388E-2</v>
      </c>
      <c r="AB18" s="146">
        <v>0.18388736976868753</v>
      </c>
      <c r="AC18" s="146">
        <v>3.2371314172506993E-2</v>
      </c>
      <c r="AD18" s="146">
        <v>6.9752147755174987E-3</v>
      </c>
      <c r="AE18" s="146">
        <v>6.7244563700840643E-2</v>
      </c>
      <c r="AF18" s="146">
        <v>0.45650705201451425</v>
      </c>
      <c r="AG18" s="146">
        <v>0.19038289193042759</v>
      </c>
      <c r="AH18" s="146">
        <v>0.24446790866815418</v>
      </c>
      <c r="AI18" s="146">
        <v>0.30770518062616603</v>
      </c>
      <c r="AJ18" s="146">
        <v>2.9644075974210857E-2</v>
      </c>
      <c r="AK18" s="146">
        <v>0.15398511323978978</v>
      </c>
      <c r="AL18" s="146">
        <v>0.25089602546408285</v>
      </c>
      <c r="AM18" s="146">
        <v>6.7581907385048143E-2</v>
      </c>
      <c r="AN18" s="146">
        <v>0.20384809627612743</v>
      </c>
      <c r="AO18" s="146">
        <v>3.9715566897536254E-2</v>
      </c>
      <c r="AP18" s="146">
        <v>4.1948561109113401E-2</v>
      </c>
      <c r="AQ18" s="146">
        <v>1.8763328122424115E-6</v>
      </c>
      <c r="AR18" s="146">
        <v>0.18078919978710259</v>
      </c>
      <c r="AS18" s="146">
        <v>0.48932451833701696</v>
      </c>
      <c r="AT18" s="146">
        <v>0.23401058309564224</v>
      </c>
      <c r="AU18" s="146">
        <v>1.3664317589095205E-3</v>
      </c>
      <c r="AV18" s="146">
        <v>0.34916360760216042</v>
      </c>
      <c r="AW18" s="146">
        <v>2.1568892842385945E-2</v>
      </c>
      <c r="AX18" s="146">
        <v>0.44626040311375031</v>
      </c>
      <c r="AY18" s="146">
        <v>0.16229878854443103</v>
      </c>
      <c r="AZ18" s="146">
        <v>3.4005728877230505E-8</v>
      </c>
      <c r="BA18" s="146">
        <v>0.28936849465780839</v>
      </c>
      <c r="BB18" s="146">
        <v>0.49894401200615063</v>
      </c>
      <c r="BC18" s="146">
        <v>0.10960206658896507</v>
      </c>
      <c r="BD18" s="146">
        <v>0.26185163150783264</v>
      </c>
      <c r="BE18" s="146">
        <v>0.29775579658418916</v>
      </c>
      <c r="BF18" s="146">
        <v>0.24450105829764707</v>
      </c>
      <c r="BG18" s="146">
        <v>0.16325532723177882</v>
      </c>
      <c r="BH18" s="146">
        <v>0.24567396182037385</v>
      </c>
      <c r="BI18" s="146">
        <v>0.16477035703956464</v>
      </c>
      <c r="BJ18" s="146">
        <v>0.34132186465341185</v>
      </c>
      <c r="BK18" s="146">
        <v>0.38224578133254128</v>
      </c>
      <c r="BL18" s="146">
        <v>9.7435597803871815E-2</v>
      </c>
      <c r="BM18" s="146">
        <v>1.6423731975850564E-2</v>
      </c>
      <c r="BN18" s="146">
        <v>1.1377879368148693E-4</v>
      </c>
      <c r="BO18" s="146">
        <v>1.3370120677876913E-3</v>
      </c>
      <c r="BP18" s="146">
        <v>2.3723890493596259E-2</v>
      </c>
      <c r="BQ18" s="146">
        <v>0.31594632230062147</v>
      </c>
      <c r="BR18" s="146">
        <v>0.34942673907768113</v>
      </c>
      <c r="BS18" s="146">
        <v>0.13429108724254676</v>
      </c>
      <c r="BT18" s="146">
        <v>1.3067361189802876E-2</v>
      </c>
      <c r="BU18" s="146">
        <v>0.11414233044131381</v>
      </c>
      <c r="BV18" s="146">
        <v>1.0687481478745427E-2</v>
      </c>
      <c r="BW18" s="146">
        <v>9.0861438872156614E-2</v>
      </c>
      <c r="BX18" s="146">
        <v>0.13183414772137531</v>
      </c>
      <c r="BY18" s="146">
        <v>0.4492560484944465</v>
      </c>
      <c r="BZ18" s="146">
        <v>0.25087151498227545</v>
      </c>
      <c r="CA18" s="146">
        <v>0.39274125594162856</v>
      </c>
      <c r="CB18" s="146">
        <v>0.47011243172599143</v>
      </c>
      <c r="CC18" s="146">
        <v>0.31882598559904834</v>
      </c>
      <c r="CD18" s="146">
        <v>3.9969131084828958E-3</v>
      </c>
      <c r="CE18" s="146">
        <v>0.40411407847670294</v>
      </c>
      <c r="CF18" s="146">
        <v>0.34836690788524977</v>
      </c>
      <c r="CG18" s="146">
        <v>0.1323049931104637</v>
      </c>
      <c r="CH18" s="146">
        <v>7.2040614623595942E-2</v>
      </c>
      <c r="CI18" s="146">
        <v>0.37765956034501069</v>
      </c>
      <c r="CJ18" s="146">
        <v>0.43666576227246218</v>
      </c>
      <c r="CK18" s="146">
        <v>7.4262969674847898E-2</v>
      </c>
      <c r="CL18" s="146">
        <v>0.30845165523510071</v>
      </c>
      <c r="CM18" s="146">
        <v>0.49875322422190338</v>
      </c>
      <c r="CN18" s="146">
        <v>0.36744799409063778</v>
      </c>
      <c r="CO18" s="146">
        <v>6.3288442560663627E-2</v>
      </c>
      <c r="CP18" s="146">
        <v>0.18396292719540669</v>
      </c>
      <c r="CQ18" s="146">
        <v>2.8019919795201374E-6</v>
      </c>
      <c r="CR18" s="146">
        <v>0.12006239787732755</v>
      </c>
      <c r="CS18" s="146">
        <v>0.15466140909724552</v>
      </c>
      <c r="CT18" s="146">
        <v>0.14630683808031855</v>
      </c>
      <c r="CU18" s="146">
        <v>0.15306351701855328</v>
      </c>
      <c r="CV18" s="146">
        <v>0.15051593888563777</v>
      </c>
      <c r="CW18" s="146">
        <v>2.2519188614726427E-3</v>
      </c>
      <c r="CX18" s="146">
        <v>0.1599482880766688</v>
      </c>
    </row>
    <row r="19" spans="1:102" s="115" customFormat="1">
      <c r="A19" s="252" t="s">
        <v>176</v>
      </c>
      <c r="B19" s="253"/>
      <c r="C19" s="146">
        <v>0.26489762638790082</v>
      </c>
      <c r="D19" s="146">
        <v>0.15307099848141478</v>
      </c>
      <c r="E19" s="146">
        <v>0.25580566693883072</v>
      </c>
      <c r="F19" s="146">
        <v>0.3502190063192312</v>
      </c>
      <c r="G19" s="146">
        <v>9.8455538271996601E-2</v>
      </c>
      <c r="H19" s="146">
        <v>3.3087172060145838E-2</v>
      </c>
      <c r="I19" s="146">
        <v>4.205842606729765E-2</v>
      </c>
      <c r="J19" s="146">
        <v>3.4766594617579083E-2</v>
      </c>
      <c r="K19" s="146">
        <v>3.0872863807171608E-18</v>
      </c>
      <c r="L19" s="146">
        <v>0.28649701309775572</v>
      </c>
      <c r="M19" s="146">
        <v>0.23601377186913539</v>
      </c>
      <c r="N19" s="146">
        <v>0.11682227337506153</v>
      </c>
      <c r="O19" s="146">
        <v>2.4745834541282357E-2</v>
      </c>
      <c r="P19" s="146">
        <v>0.24670094663541228</v>
      </c>
      <c r="Q19" s="146">
        <v>5.454309522723675E-2</v>
      </c>
      <c r="R19" s="146">
        <v>3.4216042263068977E-6</v>
      </c>
      <c r="S19" s="146">
        <v>3.6605893256307399E-2</v>
      </c>
      <c r="T19" s="146">
        <v>0.29403542580213321</v>
      </c>
      <c r="U19" s="146">
        <v>9.9036990394030244E-2</v>
      </c>
      <c r="V19" s="146">
        <v>2.8428283183471473E-2</v>
      </c>
      <c r="W19" s="146">
        <v>1.3568924376739149E-19</v>
      </c>
      <c r="X19" s="146">
        <v>8.7859592072026162E-7</v>
      </c>
      <c r="Y19" s="146">
        <v>5.2675443108343427E-2</v>
      </c>
      <c r="Z19" s="146">
        <v>1.8404402885758477E-3</v>
      </c>
      <c r="AA19" s="146">
        <v>0.15723710467294319</v>
      </c>
      <c r="AB19" s="146">
        <v>0.10279246895356403</v>
      </c>
      <c r="AC19" s="146">
        <v>0.23624389092417522</v>
      </c>
      <c r="AD19" s="146">
        <v>0.16950880995844086</v>
      </c>
      <c r="AE19" s="146">
        <v>0.38070226567876231</v>
      </c>
      <c r="AF19" s="146">
        <v>1.4426736744752304E-4</v>
      </c>
      <c r="AG19" s="146">
        <v>1.32952202851025E-3</v>
      </c>
      <c r="AH19" s="146">
        <v>2.906772418057672E-2</v>
      </c>
      <c r="AI19" s="146">
        <v>2.5466302118248687E-3</v>
      </c>
      <c r="AJ19" s="146">
        <v>0.43406605233428203</v>
      </c>
      <c r="AK19" s="146">
        <v>0.10932847275183996</v>
      </c>
      <c r="AL19" s="146">
        <v>9.2038622746455628E-5</v>
      </c>
      <c r="AM19" s="146">
        <v>0.38901175194008408</v>
      </c>
      <c r="AN19" s="146">
        <v>7.57681305069459E-3</v>
      </c>
      <c r="AO19" s="146">
        <v>0.37436959073556819</v>
      </c>
      <c r="AP19" s="146">
        <v>3.7828725365850207E-4</v>
      </c>
      <c r="AQ19" s="146">
        <v>0.39443795439105778</v>
      </c>
      <c r="AR19" s="146">
        <v>0.1412623641917494</v>
      </c>
      <c r="AS19" s="146">
        <v>0.33954169387344324</v>
      </c>
      <c r="AT19" s="146">
        <v>0.32368864856819946</v>
      </c>
      <c r="AU19" s="146">
        <v>0.41943201355045362</v>
      </c>
      <c r="AV19" s="146">
        <v>1.3655368692204756E-2</v>
      </c>
      <c r="AW19" s="146">
        <v>6.0203586426196295E-8</v>
      </c>
      <c r="AX19" s="146">
        <v>0.2376684189559419</v>
      </c>
      <c r="AY19" s="146">
        <v>0.34922007836300772</v>
      </c>
      <c r="AZ19" s="146">
        <v>0.3779786412923351</v>
      </c>
      <c r="BA19" s="146">
        <v>0.2348292996351585</v>
      </c>
      <c r="BB19" s="146">
        <v>0.35228024380722128</v>
      </c>
      <c r="BC19" s="146">
        <v>1.8675482023342427E-5</v>
      </c>
      <c r="BD19" s="146">
        <v>0.44254986398485691</v>
      </c>
      <c r="BE19" s="146">
        <v>0.28056630788640641</v>
      </c>
      <c r="BF19" s="146">
        <v>0.10961697417425922</v>
      </c>
      <c r="BG19" s="146">
        <v>6.4527654274772792E-2</v>
      </c>
      <c r="BH19" s="146">
        <v>1.211473837504029E-3</v>
      </c>
      <c r="BI19" s="146">
        <v>1.1426591522037418E-2</v>
      </c>
      <c r="BJ19" s="146">
        <v>1.0190631825187094E-5</v>
      </c>
      <c r="BK19" s="146">
        <v>0.36179726519333683</v>
      </c>
      <c r="BL19" s="146">
        <v>0.12383803909401443</v>
      </c>
      <c r="BM19" s="146">
        <v>0.17391575400788864</v>
      </c>
      <c r="BN19" s="146">
        <v>0.22567080590776692</v>
      </c>
      <c r="BO19" s="146">
        <v>0.36549744038251386</v>
      </c>
      <c r="BP19" s="146">
        <v>0.41163104605268047</v>
      </c>
      <c r="BQ19" s="146">
        <v>6.0980954938722347E-2</v>
      </c>
      <c r="BR19" s="146">
        <v>1.7407804973070748E-2</v>
      </c>
      <c r="BS19" s="146">
        <v>0.13544818420550497</v>
      </c>
      <c r="BT19" s="146">
        <v>2.722276490649732E-4</v>
      </c>
      <c r="BU19" s="146">
        <v>0.27808483564694297</v>
      </c>
      <c r="BV19" s="146">
        <v>9.404287285248484E-4</v>
      </c>
      <c r="BW19" s="146">
        <v>0.32180890543517437</v>
      </c>
      <c r="BX19" s="146">
        <v>0.47625879987780839</v>
      </c>
      <c r="BY19" s="146">
        <v>2.8816848026612602E-3</v>
      </c>
      <c r="BZ19" s="146">
        <v>0.22328252094916731</v>
      </c>
      <c r="CA19" s="146">
        <v>0.2586605893045984</v>
      </c>
      <c r="CB19" s="146">
        <v>0.10191052869312799</v>
      </c>
      <c r="CC19" s="146">
        <v>8.7849740989394548E-3</v>
      </c>
      <c r="CD19" s="146">
        <v>0.2888256131237984</v>
      </c>
      <c r="CE19" s="146">
        <v>4.9932094400391716E-2</v>
      </c>
      <c r="CF19" s="146">
        <v>0.4719947099493535</v>
      </c>
      <c r="CG19" s="146">
        <v>0.21554247369983143</v>
      </c>
      <c r="CH19" s="146">
        <v>0.2428264530743012</v>
      </c>
      <c r="CI19" s="146">
        <v>0.10518265457616734</v>
      </c>
      <c r="CJ19" s="146">
        <v>0.1367104611759733</v>
      </c>
      <c r="CK19" s="146">
        <v>4.1747463836726652E-2</v>
      </c>
      <c r="CL19" s="146">
        <v>0.26122949272897328</v>
      </c>
      <c r="CM19" s="146">
        <v>0.12912451323859322</v>
      </c>
      <c r="CN19" s="146">
        <v>0.11266248982310292</v>
      </c>
      <c r="CO19" s="146">
        <v>0.28780971101346381</v>
      </c>
      <c r="CP19" s="146">
        <v>0.4635982684560449</v>
      </c>
      <c r="CQ19" s="146">
        <v>0.32387369590973125</v>
      </c>
      <c r="CR19" s="146">
        <v>2.8795517813748058E-2</v>
      </c>
      <c r="CS19" s="146">
        <v>6.6574225857113214E-2</v>
      </c>
      <c r="CT19" s="146">
        <v>0.23826470863146007</v>
      </c>
      <c r="CU19" s="146">
        <v>8.1293138823532965E-2</v>
      </c>
      <c r="CV19" s="146">
        <v>0.19608518162934113</v>
      </c>
      <c r="CW19" s="146">
        <v>0.13787210184445584</v>
      </c>
      <c r="CX19" s="146">
        <v>0.18190893157826679</v>
      </c>
    </row>
    <row r="20" spans="1:102" s="115" customFormat="1">
      <c r="A20" s="252" t="s">
        <v>177</v>
      </c>
      <c r="B20" s="253"/>
      <c r="C20" s="146">
        <v>2.6050627735072752E-3</v>
      </c>
      <c r="D20" s="146">
        <v>1.0969703113142812E-2</v>
      </c>
      <c r="E20" s="146">
        <v>2.3553243780124168E-4</v>
      </c>
      <c r="F20" s="146">
        <v>6.5129301556521246E-2</v>
      </c>
      <c r="G20" s="146">
        <v>5.2454509521680601E-3</v>
      </c>
      <c r="H20" s="146">
        <v>1.0710961439152275E-3</v>
      </c>
      <c r="I20" s="146">
        <v>7.1428929147376058E-2</v>
      </c>
      <c r="J20" s="146">
        <v>0.11080016312156918</v>
      </c>
      <c r="K20" s="146">
        <v>5.8717271191221852E-2</v>
      </c>
      <c r="L20" s="146">
        <v>5.8087911098242614E-3</v>
      </c>
      <c r="M20" s="146">
        <v>0.11776618824970425</v>
      </c>
      <c r="N20" s="146">
        <v>3.1908959192966039E-9</v>
      </c>
      <c r="O20" s="146">
        <v>5.3329502934040901E-2</v>
      </c>
      <c r="P20" s="146">
        <v>6.3167967180738889E-13</v>
      </c>
      <c r="Q20" s="146">
        <v>7.0851028912005704E-2</v>
      </c>
      <c r="R20" s="146">
        <v>7.0007256303474516E-7</v>
      </c>
      <c r="S20" s="146">
        <v>8.7989576637622052E-2</v>
      </c>
      <c r="T20" s="146">
        <v>5.7652574155262425E-4</v>
      </c>
      <c r="U20" s="146">
        <v>2.7476287314193069E-2</v>
      </c>
      <c r="V20" s="146">
        <v>6.1438855475085874E-2</v>
      </c>
      <c r="W20" s="146">
        <v>0.14397998810779433</v>
      </c>
      <c r="X20" s="146">
        <v>2.4660335535898223E-3</v>
      </c>
      <c r="Y20" s="146">
        <v>0.31784625601912614</v>
      </c>
      <c r="Z20" s="146">
        <v>0.27651224341029829</v>
      </c>
      <c r="AA20" s="146">
        <v>0.17398984517695326</v>
      </c>
      <c r="AB20" s="146">
        <v>0.35242238445985724</v>
      </c>
      <c r="AC20" s="146">
        <v>1.7552897636929434E-2</v>
      </c>
      <c r="AD20" s="146">
        <v>3.0033033754977911E-2</v>
      </c>
      <c r="AE20" s="146">
        <v>0.12405875405977025</v>
      </c>
      <c r="AF20" s="146">
        <v>7.9157213938036153E-2</v>
      </c>
      <c r="AG20" s="146">
        <v>0.12273382793668297</v>
      </c>
      <c r="AH20" s="146">
        <v>3.9148494581972221E-3</v>
      </c>
      <c r="AI20" s="146">
        <v>4.170733164024762E-7</v>
      </c>
      <c r="AJ20" s="146">
        <v>1.2388749634227066E-7</v>
      </c>
      <c r="AK20" s="146">
        <v>0.15683214482841434</v>
      </c>
      <c r="AL20" s="146">
        <v>7.6573120362566541E-2</v>
      </c>
      <c r="AM20" s="146">
        <v>0.23132759893580787</v>
      </c>
      <c r="AN20" s="146">
        <v>4.2753002387236907E-2</v>
      </c>
      <c r="AO20" s="146">
        <v>2.5157345052821879E-4</v>
      </c>
      <c r="AP20" s="146">
        <v>0.19579576190474901</v>
      </c>
      <c r="AQ20" s="146">
        <v>0.13471599671863382</v>
      </c>
      <c r="AR20" s="146">
        <v>2.2182978469301117E-3</v>
      </c>
      <c r="AS20" s="146">
        <v>1.4644087170450459E-2</v>
      </c>
      <c r="AT20" s="146">
        <v>1.9363364123135439E-4</v>
      </c>
      <c r="AU20" s="146">
        <v>0.15686258006009096</v>
      </c>
      <c r="AV20" s="146">
        <v>6.6276531813879214E-2</v>
      </c>
      <c r="AW20" s="146">
        <v>7.8349921052705995E-2</v>
      </c>
      <c r="AX20" s="146">
        <v>3.2190521238581924E-3</v>
      </c>
      <c r="AY20" s="146">
        <v>5.8922815525551517E-4</v>
      </c>
      <c r="AZ20" s="146">
        <v>2.6949063969597821E-4</v>
      </c>
      <c r="BA20" s="146">
        <v>1.769317730974049E-5</v>
      </c>
      <c r="BB20" s="146">
        <v>0.14763569255194461</v>
      </c>
      <c r="BC20" s="146">
        <v>3.9888495300614731E-2</v>
      </c>
      <c r="BD20" s="146">
        <v>6.6555222172007856E-10</v>
      </c>
      <c r="BE20" s="146">
        <v>0.35406026033508681</v>
      </c>
      <c r="BF20" s="146">
        <v>1.0747665350638896E-2</v>
      </c>
      <c r="BG20" s="146">
        <v>4.5900409130967055E-6</v>
      </c>
      <c r="BH20" s="146">
        <v>0.25650403113301062</v>
      </c>
      <c r="BI20" s="146">
        <v>8.4878655940704525E-2</v>
      </c>
      <c r="BJ20" s="146">
        <v>0.45918960337052672</v>
      </c>
      <c r="BK20" s="146">
        <v>3.0792446568435994E-2</v>
      </c>
      <c r="BL20" s="146">
        <v>0.31693414841859063</v>
      </c>
      <c r="BM20" s="146">
        <v>3.1662053444984671E-3</v>
      </c>
      <c r="BN20" s="146">
        <v>6.9931615202106345E-5</v>
      </c>
      <c r="BO20" s="146">
        <v>5.0024781605025458E-2</v>
      </c>
      <c r="BP20" s="146">
        <v>0.12146804349320882</v>
      </c>
      <c r="BQ20" s="146">
        <v>4.5418875106682632E-2</v>
      </c>
      <c r="BR20" s="146">
        <v>6.5413468840712702E-9</v>
      </c>
      <c r="BS20" s="146">
        <v>2.1681156345895103E-3</v>
      </c>
      <c r="BT20" s="146">
        <v>0.16140964500898786</v>
      </c>
      <c r="BU20" s="146">
        <v>2.54549107156208E-3</v>
      </c>
      <c r="BV20" s="146">
        <v>3.061394066542027E-2</v>
      </c>
      <c r="BW20" s="146">
        <v>3.8504663840022782E-2</v>
      </c>
      <c r="BX20" s="146">
        <v>4.5504254782300191E-2</v>
      </c>
      <c r="BY20" s="146">
        <v>1.1681689391530286E-4</v>
      </c>
      <c r="BZ20" s="146">
        <v>0.27507369377546304</v>
      </c>
      <c r="CA20" s="146">
        <v>0.21474573516025708</v>
      </c>
      <c r="CB20" s="146">
        <v>0.20812166360490539</v>
      </c>
      <c r="CC20" s="146">
        <v>7.8200632985012286E-2</v>
      </c>
      <c r="CD20" s="146">
        <v>0.14343959311009186</v>
      </c>
      <c r="CE20" s="146">
        <v>0.15431945246932799</v>
      </c>
      <c r="CF20" s="146">
        <v>3.1258999547635568E-18</v>
      </c>
      <c r="CG20" s="146">
        <v>0.15977003162458489</v>
      </c>
      <c r="CH20" s="146">
        <v>0.24437610144049207</v>
      </c>
      <c r="CI20" s="146">
        <v>0.18955493478653193</v>
      </c>
      <c r="CJ20" s="146">
        <v>7.547509973506028E-2</v>
      </c>
      <c r="CK20" s="146">
        <v>0.17115437906935171</v>
      </c>
      <c r="CL20" s="146">
        <v>1.4409817905237519E-2</v>
      </c>
      <c r="CM20" s="146">
        <v>2.0850837674530897E-2</v>
      </c>
      <c r="CN20" s="146">
        <v>0.13669723680646267</v>
      </c>
      <c r="CO20" s="146">
        <v>4.3139543559374353E-4</v>
      </c>
      <c r="CP20" s="146">
        <v>9.1684464785652363E-3</v>
      </c>
      <c r="CQ20" s="146">
        <v>0.23725478412098122</v>
      </c>
      <c r="CR20" s="146">
        <v>8.6896764567062342E-4</v>
      </c>
      <c r="CS20" s="146">
        <v>0.13507056276040016</v>
      </c>
      <c r="CT20" s="146">
        <v>0.13455921528657083</v>
      </c>
      <c r="CU20" s="146">
        <v>0.22891908095293426</v>
      </c>
      <c r="CV20" s="146">
        <v>1.5943485323154582E-3</v>
      </c>
      <c r="CW20" s="146">
        <v>0.23800197008592874</v>
      </c>
      <c r="CX20" s="146">
        <v>9.4003475516598149E-3</v>
      </c>
    </row>
    <row r="21" spans="1:102" s="115" customFormat="1">
      <c r="A21" s="252" t="s">
        <v>5</v>
      </c>
      <c r="B21" s="253"/>
      <c r="C21" s="146">
        <v>8.3963462206482209E-3</v>
      </c>
      <c r="D21" s="146">
        <v>4.1046813822755339E-3</v>
      </c>
      <c r="E21" s="146">
        <v>0.25634846822926483</v>
      </c>
      <c r="F21" s="146">
        <v>7.7837553816560767E-2</v>
      </c>
      <c r="G21" s="146">
        <v>0.40614760460680099</v>
      </c>
      <c r="H21" s="146">
        <v>3.3444568191745598E-3</v>
      </c>
      <c r="I21" s="146">
        <v>7.8224514143372365E-2</v>
      </c>
      <c r="J21" s="146">
        <v>2.2557367362729598E-2</v>
      </c>
      <c r="K21" s="146">
        <v>0.40200875887317628</v>
      </c>
      <c r="L21" s="146">
        <v>9.2084251474604639E-2</v>
      </c>
      <c r="M21" s="146">
        <v>0.16939489957997989</v>
      </c>
      <c r="N21" s="146">
        <v>0.46646954599684753</v>
      </c>
      <c r="O21" s="146">
        <v>0.31088603204634235</v>
      </c>
      <c r="P21" s="146">
        <v>3.2886098461027594E-2</v>
      </c>
      <c r="Q21" s="146">
        <v>6.7695583379689561E-2</v>
      </c>
      <c r="R21" s="146">
        <v>0.28863243627706164</v>
      </c>
      <c r="S21" s="146">
        <v>1.1228121797949799E-2</v>
      </c>
      <c r="T21" s="146">
        <v>0.16642917272026184</v>
      </c>
      <c r="U21" s="146">
        <v>0.26182207552438108</v>
      </c>
      <c r="V21" s="146">
        <v>4.9241483581410166E-2</v>
      </c>
      <c r="W21" s="146">
        <v>7.3977821182331746E-2</v>
      </c>
      <c r="X21" s="146">
        <v>7.4019780508727904E-5</v>
      </c>
      <c r="Y21" s="146">
        <v>5.1213725066212433E-2</v>
      </c>
      <c r="Z21" s="146">
        <v>0.32455859703595008</v>
      </c>
      <c r="AA21" s="146">
        <v>0.44886950896182076</v>
      </c>
      <c r="AB21" s="146">
        <v>2.4406834968617008E-2</v>
      </c>
      <c r="AC21" s="146">
        <v>3.2263035920843373E-5</v>
      </c>
      <c r="AD21" s="146">
        <v>0.47468961459674613</v>
      </c>
      <c r="AE21" s="146">
        <v>7.7034663870646581E-3</v>
      </c>
      <c r="AF21" s="146">
        <v>9.81367738722837E-2</v>
      </c>
      <c r="AG21" s="146">
        <v>4.5935372875915308E-8</v>
      </c>
      <c r="AH21" s="146">
        <v>0.49193968551030209</v>
      </c>
      <c r="AI21" s="146">
        <v>0.12292039335220878</v>
      </c>
      <c r="AJ21" s="146">
        <v>0.17264207666337084</v>
      </c>
      <c r="AK21" s="146">
        <v>0.35542673070907072</v>
      </c>
      <c r="AL21" s="146">
        <v>0.19390945939099308</v>
      </c>
      <c r="AM21" s="146">
        <v>3.4442679995791793E-2</v>
      </c>
      <c r="AN21" s="146">
        <v>0.37569450027049006</v>
      </c>
      <c r="AO21" s="146">
        <v>8.4522495336933429E-2</v>
      </c>
      <c r="AP21" s="146">
        <v>0.34073066331203905</v>
      </c>
      <c r="AQ21" s="146">
        <v>0.13214494587562273</v>
      </c>
      <c r="AR21" s="146">
        <v>0.43736631670574994</v>
      </c>
      <c r="AS21" s="146">
        <v>5.1266128611712645E-3</v>
      </c>
      <c r="AT21" s="146">
        <v>9.9650680776053602E-2</v>
      </c>
      <c r="AU21" s="146">
        <v>2.9151340857837492E-3</v>
      </c>
      <c r="AV21" s="146">
        <v>4.9396670521537935E-2</v>
      </c>
      <c r="AW21" s="146">
        <v>0.24956648299765558</v>
      </c>
      <c r="AX21" s="146">
        <v>0.26062658248678522</v>
      </c>
      <c r="AY21" s="146">
        <v>9.488250158262674E-3</v>
      </c>
      <c r="AZ21" s="146">
        <v>4.8518117748694183E-2</v>
      </c>
      <c r="BA21" s="146">
        <v>6.5069588239472659E-4</v>
      </c>
      <c r="BB21" s="146">
        <v>6.3526620861488025E-4</v>
      </c>
      <c r="BC21" s="146">
        <v>0.41586056955061379</v>
      </c>
      <c r="BD21" s="146">
        <v>0.21840370896003772</v>
      </c>
      <c r="BE21" s="146">
        <v>2.919894250799971E-2</v>
      </c>
      <c r="BF21" s="146">
        <v>5.7306080625885473E-4</v>
      </c>
      <c r="BG21" s="146">
        <v>0.43938805058498343</v>
      </c>
      <c r="BH21" s="146">
        <v>3.1272512433726776E-3</v>
      </c>
      <c r="BI21" s="146">
        <v>0.33158172734485558</v>
      </c>
      <c r="BJ21" s="146">
        <v>0.12254617309000727</v>
      </c>
      <c r="BK21" s="146">
        <v>0.13853287209249507</v>
      </c>
      <c r="BL21" s="146">
        <v>0.46168845255784186</v>
      </c>
      <c r="BM21" s="146">
        <v>1.9222474071441376E-3</v>
      </c>
      <c r="BN21" s="146">
        <v>0.41023997920736477</v>
      </c>
      <c r="BO21" s="146">
        <v>5.7874154076721094E-3</v>
      </c>
      <c r="BP21" s="146">
        <v>0.25746649892702206</v>
      </c>
      <c r="BQ21" s="146">
        <v>0.19411066655158854</v>
      </c>
      <c r="BR21" s="146">
        <v>0.49674383101844771</v>
      </c>
      <c r="BS21" s="146">
        <v>1.7426699531572938E-7</v>
      </c>
      <c r="BT21" s="146">
        <v>1.4794275675340921E-4</v>
      </c>
      <c r="BU21" s="146">
        <v>0.29027925870084675</v>
      </c>
      <c r="BV21" s="146">
        <v>0.41836365245324425</v>
      </c>
      <c r="BW21" s="146">
        <v>0.16041606928065658</v>
      </c>
      <c r="BX21" s="146">
        <v>2.481143938750357E-6</v>
      </c>
      <c r="BY21" s="146">
        <v>2.0998659453145418E-4</v>
      </c>
      <c r="BZ21" s="146">
        <v>0.18738266550814725</v>
      </c>
      <c r="CA21" s="146">
        <v>8.480141883872569E-2</v>
      </c>
      <c r="CB21" s="146">
        <v>0.19751578934946121</v>
      </c>
      <c r="CC21" s="146">
        <v>0.21091090583875272</v>
      </c>
      <c r="CD21" s="146">
        <v>0.120617541102596</v>
      </c>
      <c r="CE21" s="146">
        <v>4.543954749333476E-4</v>
      </c>
      <c r="CF21" s="146">
        <v>4.0476310086554087E-5</v>
      </c>
      <c r="CG21" s="146">
        <v>0.20589101590978756</v>
      </c>
      <c r="CH21" s="146">
        <v>9.4969951649120143E-2</v>
      </c>
      <c r="CI21" s="146">
        <v>8.7311408854717356E-7</v>
      </c>
      <c r="CJ21" s="146">
        <v>9.8026083413839671E-3</v>
      </c>
      <c r="CK21" s="146">
        <v>0.13698270088376907</v>
      </c>
      <c r="CL21" s="146">
        <v>0.245121131577718</v>
      </c>
      <c r="CM21" s="146">
        <v>0.32708756547432466</v>
      </c>
      <c r="CN21" s="146">
        <v>1.0228773216527726E-5</v>
      </c>
      <c r="CO21" s="146">
        <v>0.1938967967835851</v>
      </c>
      <c r="CP21" s="146">
        <v>4.5592874646222751E-4</v>
      </c>
      <c r="CQ21" s="146">
        <v>4.4653298707653015E-3</v>
      </c>
      <c r="CR21" s="146">
        <v>0.43571544318744737</v>
      </c>
      <c r="CS21" s="146">
        <v>7.3520618869523699E-2</v>
      </c>
      <c r="CT21" s="146">
        <v>0.37139243583821308</v>
      </c>
      <c r="CU21" s="146">
        <v>0.35276119244312598</v>
      </c>
      <c r="CV21" s="146">
        <v>0.11049499084171237</v>
      </c>
      <c r="CW21" s="146">
        <v>0.35050516865025649</v>
      </c>
      <c r="CX21" s="146">
        <v>3.8553501423632848E-3</v>
      </c>
    </row>
    <row r="22" spans="1:102" s="115" customFormat="1">
      <c r="A22" s="252" t="s">
        <v>178</v>
      </c>
      <c r="B22" s="253"/>
      <c r="C22" s="146">
        <v>8.6062637713325355E-2</v>
      </c>
      <c r="D22" s="146">
        <v>1.416330577080549E-2</v>
      </c>
      <c r="E22" s="146">
        <v>5.7621957219107602E-2</v>
      </c>
      <c r="F22" s="146">
        <v>3.6470970848892864E-2</v>
      </c>
      <c r="G22" s="146">
        <v>2.4207452635438601E-3</v>
      </c>
      <c r="H22" s="146">
        <v>6.2562879099767332E-4</v>
      </c>
      <c r="I22" s="146">
        <v>5.2464002293356191E-3</v>
      </c>
      <c r="J22" s="146">
        <v>5.8555332839817101E-9</v>
      </c>
      <c r="K22" s="146">
        <v>2.3862089738640065E-2</v>
      </c>
      <c r="L22" s="146">
        <v>1.623812160110979E-3</v>
      </c>
      <c r="M22" s="146">
        <v>3.9768355728742054E-6</v>
      </c>
      <c r="N22" s="146">
        <v>5.2242446308039033E-3</v>
      </c>
      <c r="O22" s="146">
        <v>3.3503725996457373E-2</v>
      </c>
      <c r="P22" s="146">
        <v>2.6544279229318455E-3</v>
      </c>
      <c r="Q22" s="146">
        <v>1.6274405462355707E-6</v>
      </c>
      <c r="R22" s="146">
        <v>4.7157743897396607E-5</v>
      </c>
      <c r="S22" s="146">
        <v>2.1089080671748507E-2</v>
      </c>
      <c r="T22" s="146">
        <v>0.15027243466394022</v>
      </c>
      <c r="U22" s="146">
        <v>0.16101834338170923</v>
      </c>
      <c r="V22" s="146">
        <v>6.0081897303642148E-2</v>
      </c>
      <c r="W22" s="146">
        <v>6.3872604572138822E-2</v>
      </c>
      <c r="X22" s="146">
        <v>7.5157625905160008E-2</v>
      </c>
      <c r="Y22" s="146">
        <v>1.1067246279922231E-6</v>
      </c>
      <c r="Z22" s="146">
        <v>3.7115071780129867E-10</v>
      </c>
      <c r="AA22" s="146">
        <v>1.4629316006835439E-3</v>
      </c>
      <c r="AB22" s="146">
        <v>4.9962566324468438E-2</v>
      </c>
      <c r="AC22" s="146">
        <v>0.24645561468048352</v>
      </c>
      <c r="AD22" s="146">
        <v>1.9296491078048556E-3</v>
      </c>
      <c r="AE22" s="146">
        <v>8.0225304996264974E-4</v>
      </c>
      <c r="AF22" s="146">
        <v>2.6501951072261637E-2</v>
      </c>
      <c r="AG22" s="146">
        <v>0.19047988874505509</v>
      </c>
      <c r="AH22" s="146">
        <v>6.348922851945921E-6</v>
      </c>
      <c r="AI22" s="146">
        <v>0.19416646296854179</v>
      </c>
      <c r="AJ22" s="146">
        <v>5.6184749138945375E-2</v>
      </c>
      <c r="AK22" s="146">
        <v>2.5172794631859851E-2</v>
      </c>
      <c r="AL22" s="146">
        <v>1.6623830638030099E-3</v>
      </c>
      <c r="AM22" s="146">
        <v>4.1435345693430708E-7</v>
      </c>
      <c r="AN22" s="146">
        <v>0.10764500001533688</v>
      </c>
      <c r="AO22" s="146">
        <v>0.23571915103248509</v>
      </c>
      <c r="AP22" s="146">
        <v>3.6411574962026704E-4</v>
      </c>
      <c r="AQ22" s="146">
        <v>9.5856493194523341E-4</v>
      </c>
      <c r="AR22" s="146">
        <v>1.302133581831728E-2</v>
      </c>
      <c r="AS22" s="146">
        <v>2.2329514398633322E-2</v>
      </c>
      <c r="AT22" s="146">
        <v>1.398383679388474E-4</v>
      </c>
      <c r="AU22" s="146">
        <v>1.922669660122647E-11</v>
      </c>
      <c r="AV22" s="146">
        <v>9.560961314773167E-2</v>
      </c>
      <c r="AW22" s="146">
        <v>0.27944397233276785</v>
      </c>
      <c r="AX22" s="146">
        <v>2.2912616670891971E-2</v>
      </c>
      <c r="AY22" s="146">
        <v>6.7093473767158442E-5</v>
      </c>
      <c r="AZ22" s="146">
        <v>0.11583309206630946</v>
      </c>
      <c r="BA22" s="146">
        <v>7.489769002475122E-3</v>
      </c>
      <c r="BB22" s="146">
        <v>4.6487532586080035E-15</v>
      </c>
      <c r="BC22" s="146">
        <v>0.12957249522856301</v>
      </c>
      <c r="BD22" s="146">
        <v>9.6706897312519337E-3</v>
      </c>
      <c r="BE22" s="146">
        <v>2.3540207822614395E-5</v>
      </c>
      <c r="BF22" s="146">
        <v>0.25094863278512913</v>
      </c>
      <c r="BG22" s="146">
        <v>6.1803996704890441E-4</v>
      </c>
      <c r="BH22" s="146">
        <v>0.25831243998266851</v>
      </c>
      <c r="BI22" s="146">
        <v>1.3710379375408291E-4</v>
      </c>
      <c r="BJ22" s="146">
        <v>6.8881855573105693E-6</v>
      </c>
      <c r="BK22" s="146">
        <v>8.6630834526064737E-2</v>
      </c>
      <c r="BL22" s="146">
        <v>1.0354797850785474E-4</v>
      </c>
      <c r="BM22" s="146">
        <v>0.36029621008935753</v>
      </c>
      <c r="BN22" s="146">
        <v>1.8992865064843437E-2</v>
      </c>
      <c r="BO22" s="146">
        <v>0.26587650827650727</v>
      </c>
      <c r="BP22" s="146">
        <v>2.8523635730642887E-4</v>
      </c>
      <c r="BQ22" s="146">
        <v>2.687201017130764E-4</v>
      </c>
      <c r="BR22" s="146">
        <v>1.8609999471751672E-4</v>
      </c>
      <c r="BS22" s="146">
        <v>0.27505119116523269</v>
      </c>
      <c r="BT22" s="146">
        <v>0.34698962136945433</v>
      </c>
      <c r="BU22" s="146">
        <v>7.7222414769233008E-12</v>
      </c>
      <c r="BV22" s="146">
        <v>9.3312705003760654E-2</v>
      </c>
      <c r="BW22" s="146">
        <v>4.4358983650848523E-5</v>
      </c>
      <c r="BX22" s="146">
        <v>3.0749305244760196E-2</v>
      </c>
      <c r="BY22" s="146">
        <v>6.2880266554101076E-3</v>
      </c>
      <c r="BZ22" s="146">
        <v>4.8178002111453129E-2</v>
      </c>
      <c r="CA22" s="146">
        <v>2.3379478329399219E-5</v>
      </c>
      <c r="CB22" s="146">
        <v>6.3608726345743263E-3</v>
      </c>
      <c r="CC22" s="146">
        <v>5.9675339817003625E-2</v>
      </c>
      <c r="CD22" s="146">
        <v>1.9296805519610402E-9</v>
      </c>
      <c r="CE22" s="146">
        <v>0.16017276474919651</v>
      </c>
      <c r="CF22" s="146">
        <v>2.8050982296099324E-11</v>
      </c>
      <c r="CG22" s="146">
        <v>0.12215404964843257</v>
      </c>
      <c r="CH22" s="146">
        <v>4.8220741343701544E-2</v>
      </c>
      <c r="CI22" s="146">
        <v>0.16781865478541186</v>
      </c>
      <c r="CJ22" s="146">
        <v>2.9012538159403525E-3</v>
      </c>
      <c r="CK22" s="146">
        <v>0.12804944125679896</v>
      </c>
      <c r="CL22" s="146">
        <v>0.10294962273677791</v>
      </c>
      <c r="CM22" s="146">
        <v>1.5021337802685743E-2</v>
      </c>
      <c r="CN22" s="146">
        <v>1.2619200352277221E-3</v>
      </c>
      <c r="CO22" s="146">
        <v>0.16343512265853025</v>
      </c>
      <c r="CP22" s="146">
        <v>0.10982670277194413</v>
      </c>
      <c r="CQ22" s="146">
        <v>1.9674840894230265E-3</v>
      </c>
      <c r="CR22" s="146">
        <v>9.0669079470216338E-4</v>
      </c>
      <c r="CS22" s="146">
        <v>0.19196897331432874</v>
      </c>
      <c r="CT22" s="146">
        <v>0.10887849844790848</v>
      </c>
      <c r="CU22" s="146">
        <v>0.16679369249585888</v>
      </c>
      <c r="CV22" s="146">
        <v>0.23904790732734599</v>
      </c>
      <c r="CW22" s="146">
        <v>5.8966131845903019E-2</v>
      </c>
      <c r="CX22" s="146">
        <v>0.39264813844485208</v>
      </c>
    </row>
    <row r="23" spans="1:102" s="115" customFormat="1">
      <c r="A23" s="252" t="s">
        <v>6</v>
      </c>
      <c r="B23" s="253"/>
      <c r="C23" s="146">
        <v>5.2190482791186101E-7</v>
      </c>
      <c r="D23" s="146">
        <v>2.0849367932665602E-9</v>
      </c>
      <c r="E23" s="146">
        <v>1.5611540629761973E-4</v>
      </c>
      <c r="F23" s="146">
        <v>9.8561031387654202E-5</v>
      </c>
      <c r="G23" s="146">
        <v>5.0016091921090545E-4</v>
      </c>
      <c r="H23" s="146">
        <v>1.0426722047712141E-2</v>
      </c>
      <c r="I23" s="146">
        <v>1.4105746679693085E-2</v>
      </c>
      <c r="J23" s="146">
        <v>3.3283411344069264E-10</v>
      </c>
      <c r="K23" s="146">
        <v>2.0224488671365806E-4</v>
      </c>
      <c r="L23" s="146">
        <v>7.5646725353176823E-3</v>
      </c>
      <c r="M23" s="146">
        <v>3.6520938945965764E-3</v>
      </c>
      <c r="N23" s="146">
        <v>1.0797559014598143E-3</v>
      </c>
      <c r="O23" s="146">
        <v>1.1345682748990825E-6</v>
      </c>
      <c r="P23" s="146">
        <v>2.1297053821405613E-3</v>
      </c>
      <c r="Q23" s="146">
        <v>8.2013934872933701E-3</v>
      </c>
      <c r="R23" s="146">
        <v>1.7622432100974767E-2</v>
      </c>
      <c r="S23" s="146">
        <v>4.0146586170976121E-6</v>
      </c>
      <c r="T23" s="146">
        <v>4.2052765795209529E-3</v>
      </c>
      <c r="U23" s="146">
        <v>1.3605471751810027E-3</v>
      </c>
      <c r="V23" s="146">
        <v>7.8113528814461848E-3</v>
      </c>
      <c r="W23" s="146">
        <v>1.4088089083464914E-2</v>
      </c>
      <c r="X23" s="146">
        <v>1.8135028483838002E-2</v>
      </c>
      <c r="Y23" s="146">
        <v>5.0972774214661334E-4</v>
      </c>
      <c r="Z23" s="146">
        <v>2.8554925987256137E-10</v>
      </c>
      <c r="AA23" s="146">
        <v>1.8898430329692295E-2</v>
      </c>
      <c r="AB23" s="146">
        <v>3.7122268702270523E-6</v>
      </c>
      <c r="AC23" s="146">
        <v>7.0779000782351369E-3</v>
      </c>
      <c r="AD23" s="146">
        <v>2.2896540371042221E-2</v>
      </c>
      <c r="AE23" s="146">
        <v>1.7345606497754525E-7</v>
      </c>
      <c r="AF23" s="146">
        <v>6.8825280076407298E-3</v>
      </c>
      <c r="AG23" s="146">
        <v>3.2566893382540915E-3</v>
      </c>
      <c r="AH23" s="146">
        <v>4.433448318942608E-3</v>
      </c>
      <c r="AI23" s="146">
        <v>2.016862350601323E-7</v>
      </c>
      <c r="AJ23" s="146">
        <v>2.9275165080295665E-2</v>
      </c>
      <c r="AK23" s="146">
        <v>3.1959621164394337E-3</v>
      </c>
      <c r="AL23" s="146">
        <v>9.8858896716507584E-8</v>
      </c>
      <c r="AM23" s="146">
        <v>7.9845190094187668E-3</v>
      </c>
      <c r="AN23" s="146">
        <v>2.4507797737092212E-8</v>
      </c>
      <c r="AO23" s="146">
        <v>2.5936620823704521E-15</v>
      </c>
      <c r="AP23" s="146">
        <v>1.3221185439019728E-2</v>
      </c>
      <c r="AQ23" s="146">
        <v>1.4045316392898918E-12</v>
      </c>
      <c r="AR23" s="146">
        <v>2.0314210955053726E-2</v>
      </c>
      <c r="AS23" s="146">
        <v>1.1810603254328624E-3</v>
      </c>
      <c r="AT23" s="146">
        <v>7.4885482839501267E-3</v>
      </c>
      <c r="AU23" s="146">
        <v>3.8873055504505782E-5</v>
      </c>
      <c r="AV23" s="146">
        <v>3.0893621242833692E-7</v>
      </c>
      <c r="AW23" s="146">
        <v>9.373735838974983E-4</v>
      </c>
      <c r="AX23" s="146">
        <v>4.9729029768173907E-7</v>
      </c>
      <c r="AY23" s="146">
        <v>4.0082220182901173E-3</v>
      </c>
      <c r="AZ23" s="146">
        <v>6.4508202614069069E-3</v>
      </c>
      <c r="BA23" s="146">
        <v>1.9005519880358049E-2</v>
      </c>
      <c r="BB23" s="146">
        <v>5.0147672756046483E-8</v>
      </c>
      <c r="BC23" s="146">
        <v>1.3085546291448643E-4</v>
      </c>
      <c r="BD23" s="146">
        <v>9.2616351777204695E-4</v>
      </c>
      <c r="BE23" s="146">
        <v>9.5661984243082169E-6</v>
      </c>
      <c r="BF23" s="146">
        <v>1.8109165990670633E-5</v>
      </c>
      <c r="BG23" s="146">
        <v>8.7900239639618285E-12</v>
      </c>
      <c r="BH23" s="146">
        <v>1.13304416909761E-4</v>
      </c>
      <c r="BI23" s="146">
        <v>1.304618176436384E-2</v>
      </c>
      <c r="BJ23" s="146">
        <v>2.2601486589214086E-4</v>
      </c>
      <c r="BK23" s="146">
        <v>7.5468700967527185E-9</v>
      </c>
      <c r="BL23" s="146">
        <v>4.5926153305656954E-14</v>
      </c>
      <c r="BM23" s="146">
        <v>3.702813416754552E-3</v>
      </c>
      <c r="BN23" s="146">
        <v>1.4612493759538873E-3</v>
      </c>
      <c r="BO23" s="146">
        <v>3.4905287538346071E-12</v>
      </c>
      <c r="BP23" s="146">
        <v>1.7257141783635296E-2</v>
      </c>
      <c r="BQ23" s="146">
        <v>6.0118417567931043E-3</v>
      </c>
      <c r="BR23" s="146">
        <v>3.0429279341035553E-3</v>
      </c>
      <c r="BS23" s="146">
        <v>3.3587161832736298E-7</v>
      </c>
      <c r="BT23" s="146">
        <v>1.8503233427770735E-3</v>
      </c>
      <c r="BU23" s="146">
        <v>4.979731969270996E-4</v>
      </c>
      <c r="BV23" s="146">
        <v>1.4167011950990915E-4</v>
      </c>
      <c r="BW23" s="146">
        <v>5.5909287282508553E-2</v>
      </c>
      <c r="BX23" s="146">
        <v>1.9612259629448913E-2</v>
      </c>
      <c r="BY23" s="146">
        <v>4.7305745928743384E-2</v>
      </c>
      <c r="BZ23" s="146">
        <v>9.1612279538034935E-6</v>
      </c>
      <c r="CA23" s="146">
        <v>8.8918250277179606E-3</v>
      </c>
      <c r="CB23" s="146">
        <v>1.0341330584471235E-2</v>
      </c>
      <c r="CC23" s="146">
        <v>6.879844676849399E-3</v>
      </c>
      <c r="CD23" s="146">
        <v>4.6622185119444218E-3</v>
      </c>
      <c r="CE23" s="146">
        <v>5.4840454289952064E-3</v>
      </c>
      <c r="CF23" s="146">
        <v>2.7615223856400297E-5</v>
      </c>
      <c r="CG23" s="146">
        <v>9.7169014510268461E-3</v>
      </c>
      <c r="CH23" s="146">
        <v>2.2235503733451106E-2</v>
      </c>
      <c r="CI23" s="146">
        <v>6.7007859130733546E-5</v>
      </c>
      <c r="CJ23" s="146">
        <v>5.0214862965615339E-5</v>
      </c>
      <c r="CK23" s="146">
        <v>2.4048474859459448E-2</v>
      </c>
      <c r="CL23" s="146">
        <v>2.9270743596557633E-6</v>
      </c>
      <c r="CM23" s="146">
        <v>1.3396573461786875E-3</v>
      </c>
      <c r="CN23" s="146">
        <v>6.5632358777606647E-2</v>
      </c>
      <c r="CO23" s="146">
        <v>1.8602860503599167E-8</v>
      </c>
      <c r="CP23" s="146">
        <v>1.0506347299844726E-2</v>
      </c>
      <c r="CQ23" s="146">
        <v>6.4959390320905464E-3</v>
      </c>
      <c r="CR23" s="146">
        <v>2.5476134500011685E-5</v>
      </c>
      <c r="CS23" s="146">
        <v>5.0463131882229105E-3</v>
      </c>
      <c r="CT23" s="146">
        <v>7.4942632207712357E-5</v>
      </c>
      <c r="CU23" s="146">
        <v>3.7932848869110425E-3</v>
      </c>
      <c r="CV23" s="146">
        <v>3.5303023727340503E-2</v>
      </c>
      <c r="CW23" s="146">
        <v>1.9428936781902287E-7</v>
      </c>
      <c r="CX23" s="146">
        <v>1.4651198027985839E-5</v>
      </c>
    </row>
    <row r="24" spans="1:102" s="115" customFormat="1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16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6" spans="1:102" s="121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247" t="s">
        <v>131</v>
      </c>
      <c r="B27" s="248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4"/>
      <c r="CC27" s="114"/>
      <c r="CD27" s="114"/>
      <c r="CE27" s="114"/>
      <c r="CF27" s="114"/>
      <c r="CG27" s="114"/>
      <c r="CH27" s="114"/>
      <c r="CI27" s="114"/>
      <c r="CJ27" s="114"/>
      <c r="CK27" s="114"/>
      <c r="CL27" s="114"/>
      <c r="CM27" s="114"/>
      <c r="CN27" s="114"/>
      <c r="CO27" s="114"/>
      <c r="CP27" s="114"/>
      <c r="CQ27" s="114"/>
      <c r="CR27" s="114"/>
      <c r="CS27" s="114"/>
      <c r="CT27" s="114"/>
      <c r="CU27" s="114"/>
      <c r="CV27" s="114"/>
      <c r="CW27" s="114"/>
      <c r="CX27" s="114"/>
    </row>
    <row r="28" spans="1:102">
      <c r="A28" s="250" t="str">
        <f t="shared" ref="A28:A37" si="0">A4</f>
        <v>Nominale matching</v>
      </c>
      <c r="B28" s="251"/>
      <c r="C28" s="117">
        <v>2.5000000000000001E-2</v>
      </c>
      <c r="D28" s="117">
        <v>2.5000000000000001E-2</v>
      </c>
      <c r="E28" s="117">
        <v>2.5000000000000001E-2</v>
      </c>
      <c r="F28" s="117">
        <v>2.5000000000000001E-2</v>
      </c>
      <c r="G28" s="117">
        <v>2.5000000000000001E-2</v>
      </c>
      <c r="H28" s="117">
        <v>2.5000000000000001E-2</v>
      </c>
      <c r="I28" s="117">
        <v>2.5000000000000001E-2</v>
      </c>
      <c r="J28" s="117">
        <v>2.5000000000000001E-2</v>
      </c>
      <c r="K28" s="117">
        <v>2.5000000000000001E-2</v>
      </c>
      <c r="L28" s="117">
        <v>2.5000000000000001E-2</v>
      </c>
      <c r="M28" s="117">
        <v>2.5000000000000001E-2</v>
      </c>
      <c r="N28" s="117">
        <v>2.5000000000000001E-2</v>
      </c>
      <c r="O28" s="117">
        <v>2.5000000000000001E-2</v>
      </c>
      <c r="P28" s="117">
        <v>2.5000000000000001E-2</v>
      </c>
      <c r="Q28" s="117">
        <v>2.5000000000000001E-2</v>
      </c>
      <c r="R28" s="117">
        <v>2.5000000000000001E-2</v>
      </c>
      <c r="S28" s="117">
        <v>2.5000000000000001E-2</v>
      </c>
      <c r="T28" s="117">
        <v>2.5000000000000001E-2</v>
      </c>
      <c r="U28" s="117">
        <v>2.5000000000000001E-2</v>
      </c>
      <c r="V28" s="117">
        <v>2.5000000000000001E-2</v>
      </c>
      <c r="W28" s="117">
        <v>2.5000000000000001E-2</v>
      </c>
      <c r="X28" s="117">
        <v>2.5000000000000001E-2</v>
      </c>
      <c r="Y28" s="117">
        <v>2.5000000000000001E-2</v>
      </c>
      <c r="Z28" s="117">
        <v>2.5000000000000001E-2</v>
      </c>
      <c r="AA28" s="117">
        <v>2.5000000000000001E-2</v>
      </c>
      <c r="AB28" s="117">
        <v>2.5000000000000001E-2</v>
      </c>
      <c r="AC28" s="117">
        <v>2.5000000000000001E-2</v>
      </c>
      <c r="AD28" s="117">
        <v>2.5000000000000001E-2</v>
      </c>
      <c r="AE28" s="117">
        <v>2.5000000000000001E-2</v>
      </c>
      <c r="AF28" s="117">
        <v>2.5000000000000001E-2</v>
      </c>
      <c r="AG28" s="117">
        <v>2.5000000000000001E-2</v>
      </c>
      <c r="AH28" s="117">
        <v>2.5000000000000001E-2</v>
      </c>
      <c r="AI28" s="117">
        <v>2.5000000000000001E-2</v>
      </c>
      <c r="AJ28" s="117">
        <v>2.5000000000000001E-2</v>
      </c>
      <c r="AK28" s="117">
        <v>2.5000000000000001E-2</v>
      </c>
      <c r="AL28" s="117">
        <v>2.5000000000000001E-2</v>
      </c>
      <c r="AM28" s="117">
        <v>2.5000000000000001E-2</v>
      </c>
      <c r="AN28" s="117">
        <v>2.5000000000000001E-2</v>
      </c>
      <c r="AO28" s="117">
        <v>2.5000000000000001E-2</v>
      </c>
      <c r="AP28" s="117">
        <v>2.5000000000000001E-2</v>
      </c>
      <c r="AQ28" s="117">
        <v>2.5000000000000001E-2</v>
      </c>
      <c r="AR28" s="117">
        <v>2.5000000000000001E-2</v>
      </c>
      <c r="AS28" s="117">
        <v>2.5000000000000001E-2</v>
      </c>
      <c r="AT28" s="117">
        <v>2.5000000000000001E-2</v>
      </c>
      <c r="AU28" s="117">
        <v>2.5000000000000001E-2</v>
      </c>
      <c r="AV28" s="117">
        <v>2.5000000000000001E-2</v>
      </c>
      <c r="AW28" s="117">
        <v>2.5000000000000001E-2</v>
      </c>
      <c r="AX28" s="117">
        <v>2.5000000000000001E-2</v>
      </c>
      <c r="AY28" s="117">
        <v>2.5000000000000001E-2</v>
      </c>
      <c r="AZ28" s="117">
        <v>2.5000000000000001E-2</v>
      </c>
      <c r="BA28" s="117">
        <v>2.5000000000000001E-2</v>
      </c>
      <c r="BB28" s="117">
        <v>2.5000000000000001E-2</v>
      </c>
      <c r="BC28" s="117">
        <v>2.5000000000000001E-2</v>
      </c>
      <c r="BD28" s="117">
        <v>2.5000000000000001E-2</v>
      </c>
      <c r="BE28" s="117">
        <v>2.5000000000000001E-2</v>
      </c>
      <c r="BF28" s="117">
        <v>2.5000000000000001E-2</v>
      </c>
      <c r="BG28" s="117">
        <v>2.5000000000000001E-2</v>
      </c>
      <c r="BH28" s="117">
        <v>2.5000000000000001E-2</v>
      </c>
      <c r="BI28" s="117">
        <v>2.5000000000000001E-2</v>
      </c>
      <c r="BJ28" s="117">
        <v>2.5000000000000001E-2</v>
      </c>
      <c r="BK28" s="117">
        <v>2.5000000000000001E-2</v>
      </c>
      <c r="BL28" s="117">
        <v>2.5000000000000001E-2</v>
      </c>
      <c r="BM28" s="117">
        <v>2.5000000000000001E-2</v>
      </c>
      <c r="BN28" s="117">
        <v>2.5000000000000001E-2</v>
      </c>
      <c r="BO28" s="117">
        <v>2.5000000000000001E-2</v>
      </c>
      <c r="BP28" s="117">
        <v>2.5000000000000001E-2</v>
      </c>
      <c r="BQ28" s="117">
        <v>2.5000000000000001E-2</v>
      </c>
      <c r="BR28" s="117">
        <v>2.5000000000000001E-2</v>
      </c>
      <c r="BS28" s="117">
        <v>2.5000000000000001E-2</v>
      </c>
      <c r="BT28" s="117">
        <v>2.5000000000000001E-2</v>
      </c>
      <c r="BU28" s="117">
        <v>2.5000000000000001E-2</v>
      </c>
      <c r="BV28" s="117">
        <v>2.5000000000000001E-2</v>
      </c>
      <c r="BW28" s="117">
        <v>2.5000000000000001E-2</v>
      </c>
      <c r="BX28" s="117">
        <v>2.5000000000000001E-2</v>
      </c>
      <c r="BY28" s="117">
        <v>2.5000000000000001E-2</v>
      </c>
      <c r="BZ28" s="117">
        <v>2.5000000000000001E-2</v>
      </c>
      <c r="CA28" s="117">
        <v>2.5000000000000001E-2</v>
      </c>
      <c r="CB28" s="117">
        <v>2.5000000000000001E-2</v>
      </c>
      <c r="CC28" s="117">
        <v>2.5000000000000001E-2</v>
      </c>
      <c r="CD28" s="117">
        <v>2.5000000000000001E-2</v>
      </c>
      <c r="CE28" s="117">
        <v>2.5000000000000001E-2</v>
      </c>
      <c r="CF28" s="117">
        <v>2.5000000000000001E-2</v>
      </c>
      <c r="CG28" s="117">
        <v>2.5000000000000001E-2</v>
      </c>
      <c r="CH28" s="117">
        <v>2.5000000000000001E-2</v>
      </c>
      <c r="CI28" s="117">
        <v>2.5000000000000001E-2</v>
      </c>
      <c r="CJ28" s="117">
        <v>2.5000000000000001E-2</v>
      </c>
      <c r="CK28" s="117">
        <v>2.5000000000000001E-2</v>
      </c>
      <c r="CL28" s="117">
        <v>2.5000000000000001E-2</v>
      </c>
      <c r="CM28" s="117">
        <v>2.5000000000000001E-2</v>
      </c>
      <c r="CN28" s="117">
        <v>2.5000000000000001E-2</v>
      </c>
      <c r="CO28" s="117">
        <v>2.5000000000000001E-2</v>
      </c>
      <c r="CP28" s="117">
        <v>2.5000000000000001E-2</v>
      </c>
      <c r="CQ28" s="117">
        <v>2.5000000000000001E-2</v>
      </c>
      <c r="CR28" s="117">
        <v>2.5000000000000001E-2</v>
      </c>
      <c r="CS28" s="117">
        <v>2.5000000000000001E-2</v>
      </c>
      <c r="CT28" s="117">
        <v>2.5000000000000001E-2</v>
      </c>
      <c r="CU28" s="117">
        <v>2.5000000000000001E-2</v>
      </c>
      <c r="CV28" s="117">
        <v>2.5000000000000001E-2</v>
      </c>
      <c r="CW28" s="117">
        <v>2.5000000000000001E-2</v>
      </c>
      <c r="CX28" s="117">
        <v>2.5000000000000001E-2</v>
      </c>
    </row>
    <row r="29" spans="1:102" s="131" customFormat="1">
      <c r="A29" s="252" t="str">
        <f t="shared" si="0"/>
        <v>Reele matching</v>
      </c>
      <c r="B29" s="253"/>
      <c r="C29" s="117">
        <v>3.1512733480827684E-2</v>
      </c>
      <c r="D29" s="117">
        <v>3.0396167760053161E-2</v>
      </c>
      <c r="E29" s="117">
        <v>3.1406880111781194E-2</v>
      </c>
      <c r="F29" s="117">
        <v>3.1417727900642865E-2</v>
      </c>
      <c r="G29" s="117">
        <v>3.1461976842330167E-2</v>
      </c>
      <c r="H29" s="117">
        <v>3.0619733361180637E-2</v>
      </c>
      <c r="I29" s="117">
        <v>3.0932282885112312E-2</v>
      </c>
      <c r="J29" s="117">
        <v>3.0656402652712984E-2</v>
      </c>
      <c r="K29" s="117">
        <v>3.1182987555101765E-2</v>
      </c>
      <c r="L29" s="117">
        <v>3.1878768233914716E-2</v>
      </c>
      <c r="M29" s="117">
        <v>3.1510810511155299E-2</v>
      </c>
      <c r="N29" s="117">
        <v>3.1121775481205625E-2</v>
      </c>
      <c r="O29" s="117">
        <v>3.2167073435352959E-2</v>
      </c>
      <c r="P29" s="117">
        <v>3.146025316600095E-2</v>
      </c>
      <c r="Q29" s="117">
        <v>3.2097838488306371E-2</v>
      </c>
      <c r="R29" s="117">
        <v>3.1096413074661915E-2</v>
      </c>
      <c r="S29" s="117">
        <v>3.1167980676662738E-2</v>
      </c>
      <c r="T29" s="117">
        <v>3.1977217011807044E-2</v>
      </c>
      <c r="U29" s="117">
        <v>3.1224634775362241E-2</v>
      </c>
      <c r="V29" s="117">
        <v>3.1005197947485304E-2</v>
      </c>
      <c r="W29" s="117">
        <v>3.1777795618315716E-2</v>
      </c>
      <c r="X29" s="117">
        <v>3.1211170000881031E-2</v>
      </c>
      <c r="Y29" s="117">
        <v>3.0911635504819908E-2</v>
      </c>
      <c r="Z29" s="117">
        <v>3.1467526459895395E-2</v>
      </c>
      <c r="AA29" s="117">
        <v>3.1152136724445632E-2</v>
      </c>
      <c r="AB29" s="117">
        <v>3.1107106119997667E-2</v>
      </c>
      <c r="AC29" s="117">
        <v>3.2624940629314557E-2</v>
      </c>
      <c r="AD29" s="117">
        <v>3.1325657162085525E-2</v>
      </c>
      <c r="AE29" s="117">
        <v>3.1728813836183797E-2</v>
      </c>
      <c r="AF29" s="117">
        <v>3.0878309227932117E-2</v>
      </c>
      <c r="AG29" s="117">
        <v>3.2243893310473705E-2</v>
      </c>
      <c r="AH29" s="117">
        <v>3.025989475428191E-2</v>
      </c>
      <c r="AI29" s="117">
        <v>3.164819483727014E-2</v>
      </c>
      <c r="AJ29" s="117">
        <v>3.1584558431068131E-2</v>
      </c>
      <c r="AK29" s="117">
        <v>3.1225262353202665E-2</v>
      </c>
      <c r="AL29" s="117">
        <v>3.2017393421617669E-2</v>
      </c>
      <c r="AM29" s="117">
        <v>3.1335926977485717E-2</v>
      </c>
      <c r="AN29" s="117">
        <v>3.1004590915332621E-2</v>
      </c>
      <c r="AO29" s="117">
        <v>3.1852495028339839E-2</v>
      </c>
      <c r="AP29" s="117">
        <v>3.1884607987404327E-2</v>
      </c>
      <c r="AQ29" s="117">
        <v>3.1771187678173905E-2</v>
      </c>
      <c r="AR29" s="117">
        <v>3.0841386723237999E-2</v>
      </c>
      <c r="AS29" s="117">
        <v>3.0735095356366381E-2</v>
      </c>
      <c r="AT29" s="117">
        <v>3.1778132854740473E-2</v>
      </c>
      <c r="AU29" s="117">
        <v>3.173388084035679E-2</v>
      </c>
      <c r="AV29" s="117">
        <v>3.1784025312351007E-2</v>
      </c>
      <c r="AW29" s="117">
        <v>3.2285884545558897E-2</v>
      </c>
      <c r="AX29" s="117">
        <v>3.0066482682230569E-2</v>
      </c>
      <c r="AY29" s="117">
        <v>3.238671413690003E-2</v>
      </c>
      <c r="AZ29" s="117">
        <v>3.2395664048260213E-2</v>
      </c>
      <c r="BA29" s="117">
        <v>3.2895899545121926E-2</v>
      </c>
      <c r="BB29" s="117">
        <v>3.0468964254582256E-2</v>
      </c>
      <c r="BC29" s="117">
        <v>3.1750994656763301E-2</v>
      </c>
      <c r="BD29" s="117">
        <v>3.0876243349788425E-2</v>
      </c>
      <c r="BE29" s="117">
        <v>3.0686414242562139E-2</v>
      </c>
      <c r="BF29" s="117">
        <v>3.2455880230738518E-2</v>
      </c>
      <c r="BG29" s="117">
        <v>3.1435064771926424E-2</v>
      </c>
      <c r="BH29" s="117">
        <v>3.1657120297054871E-2</v>
      </c>
      <c r="BI29" s="117">
        <v>3.1807462920910051E-2</v>
      </c>
      <c r="BJ29" s="117">
        <v>3.0499816578294928E-2</v>
      </c>
      <c r="BK29" s="117">
        <v>3.0436097673295567E-2</v>
      </c>
      <c r="BL29" s="117">
        <v>3.0623780961660862E-2</v>
      </c>
      <c r="BM29" s="117">
        <v>3.2971059996515832E-2</v>
      </c>
      <c r="BN29" s="117">
        <v>3.1846142818253875E-2</v>
      </c>
      <c r="BO29" s="117">
        <v>3.2327672186039526E-2</v>
      </c>
      <c r="BP29" s="117">
        <v>3.1446336477993275E-2</v>
      </c>
      <c r="BQ29" s="117">
        <v>3.1717982435274947E-2</v>
      </c>
      <c r="BR29" s="117">
        <v>2.9722777305280126E-2</v>
      </c>
      <c r="BS29" s="117">
        <v>3.326891762200801E-2</v>
      </c>
      <c r="BT29" s="117">
        <v>3.2867884678929156E-2</v>
      </c>
      <c r="BU29" s="117">
        <v>3.1789929219791783E-2</v>
      </c>
      <c r="BV29" s="117">
        <v>3.2109617757860781E-2</v>
      </c>
      <c r="BW29" s="117">
        <v>3.2222874349915477E-2</v>
      </c>
      <c r="BX29" s="117">
        <v>3.1939128818807158E-2</v>
      </c>
      <c r="BY29" s="117">
        <v>3.1844930716085393E-2</v>
      </c>
      <c r="BZ29" s="117">
        <v>3.1115222710260407E-2</v>
      </c>
      <c r="CA29" s="117">
        <v>3.0863793454793932E-2</v>
      </c>
      <c r="CB29" s="117">
        <v>3.0401010024653161E-2</v>
      </c>
      <c r="CC29" s="117">
        <v>3.1682688412315238E-2</v>
      </c>
      <c r="CD29" s="117">
        <v>3.2336902819242681E-2</v>
      </c>
      <c r="CE29" s="117">
        <v>3.1701249368943474E-2</v>
      </c>
      <c r="CF29" s="117">
        <v>3.1250754478634714E-2</v>
      </c>
      <c r="CG29" s="117">
        <v>3.2023647718832357E-2</v>
      </c>
      <c r="CH29" s="117">
        <v>3.2182747562219866E-2</v>
      </c>
      <c r="CI29" s="117">
        <v>3.1675472428368934E-2</v>
      </c>
      <c r="CJ29" s="117">
        <v>3.2803746181444056E-2</v>
      </c>
      <c r="CK29" s="117">
        <v>3.2607948169319799E-2</v>
      </c>
      <c r="CL29" s="117">
        <v>3.0731118487188281E-2</v>
      </c>
      <c r="CM29" s="117">
        <v>2.9723733381395053E-2</v>
      </c>
      <c r="CN29" s="117">
        <v>3.1996637169300145E-2</v>
      </c>
      <c r="CO29" s="117">
        <v>3.238232333233753E-2</v>
      </c>
      <c r="CP29" s="117">
        <v>3.1826364800450577E-2</v>
      </c>
      <c r="CQ29" s="117">
        <v>3.2372005613092357E-2</v>
      </c>
      <c r="CR29" s="117">
        <v>3.2160271165109437E-2</v>
      </c>
      <c r="CS29" s="117">
        <v>3.3138864428691128E-2</v>
      </c>
      <c r="CT29" s="117">
        <v>3.081676495127704E-2</v>
      </c>
      <c r="CU29" s="117">
        <v>3.0950960984969068E-2</v>
      </c>
      <c r="CV29" s="117">
        <v>3.2253129250094631E-2</v>
      </c>
      <c r="CW29" s="117">
        <v>3.224066486866236E-2</v>
      </c>
      <c r="CX29" s="117">
        <v>3.238183294101165E-2</v>
      </c>
    </row>
    <row r="30" spans="1:102" s="115" customFormat="1">
      <c r="A30" s="252" t="str">
        <f t="shared" si="0"/>
        <v>Credits</v>
      </c>
      <c r="B30" s="253"/>
      <c r="C30" s="117">
        <v>3.0663398901262993E-2</v>
      </c>
      <c r="D30" s="117">
        <v>2.8439770315939944E-2</v>
      </c>
      <c r="E30" s="117">
        <v>3.0691440909814689E-2</v>
      </c>
      <c r="F30" s="117">
        <v>3.0769915108358824E-2</v>
      </c>
      <c r="G30" s="117">
        <v>3.1186763300272379E-2</v>
      </c>
      <c r="H30" s="117">
        <v>2.9611373800102581E-2</v>
      </c>
      <c r="I30" s="117">
        <v>2.9937047003187563E-2</v>
      </c>
      <c r="J30" s="117">
        <v>2.9382192480559864E-2</v>
      </c>
      <c r="K30" s="117">
        <v>3.0973208101526605E-2</v>
      </c>
      <c r="L30" s="117">
        <v>3.0607841261423234E-2</v>
      </c>
      <c r="M30" s="117">
        <v>3.0543471389295657E-2</v>
      </c>
      <c r="N30" s="117">
        <v>3.0508108284399284E-2</v>
      </c>
      <c r="O30" s="117">
        <v>3.138841401663775E-2</v>
      </c>
      <c r="P30" s="117">
        <v>2.9299798881037391E-2</v>
      </c>
      <c r="Q30" s="117">
        <v>3.0338841891983444E-2</v>
      </c>
      <c r="R30" s="117">
        <v>3.0445770839776138E-2</v>
      </c>
      <c r="S30" s="117">
        <v>3.0090961918922722E-2</v>
      </c>
      <c r="T30" s="117">
        <v>3.1074312541430504E-2</v>
      </c>
      <c r="U30" s="117">
        <v>3.000115266526935E-2</v>
      </c>
      <c r="V30" s="117">
        <v>2.9619031660779071E-2</v>
      </c>
      <c r="W30" s="117">
        <v>3.100441702002675E-2</v>
      </c>
      <c r="X30" s="117">
        <v>3.0362945878430032E-2</v>
      </c>
      <c r="Y30" s="117">
        <v>2.9984895813062896E-2</v>
      </c>
      <c r="Z30" s="117">
        <v>3.1414506186951047E-2</v>
      </c>
      <c r="AA30" s="117">
        <v>3.0179716158032936E-2</v>
      </c>
      <c r="AB30" s="117">
        <v>3.0511961337813046E-2</v>
      </c>
      <c r="AC30" s="117">
        <v>3.2254672872675527E-2</v>
      </c>
      <c r="AD30" s="117">
        <v>3.0398178916100475E-2</v>
      </c>
      <c r="AE30" s="117">
        <v>3.075714145768885E-2</v>
      </c>
      <c r="AF30" s="117">
        <v>2.9474476552131961E-2</v>
      </c>
      <c r="AG30" s="117">
        <v>3.2309607113890706E-2</v>
      </c>
      <c r="AH30" s="117">
        <v>2.8881348687256201E-2</v>
      </c>
      <c r="AI30" s="117">
        <v>3.0444988361826131E-2</v>
      </c>
      <c r="AJ30" s="117">
        <v>2.9866560718922734E-2</v>
      </c>
      <c r="AK30" s="117">
        <v>3.0004019863751934E-2</v>
      </c>
      <c r="AL30" s="117">
        <v>3.1201000015925733E-2</v>
      </c>
      <c r="AM30" s="117">
        <v>3.0152133564889463E-2</v>
      </c>
      <c r="AN30" s="117">
        <v>3.0012196724855777E-2</v>
      </c>
      <c r="AO30" s="117">
        <v>3.0344685978423158E-2</v>
      </c>
      <c r="AP30" s="117">
        <v>3.1881091035713793E-2</v>
      </c>
      <c r="AQ30" s="117">
        <v>3.0616833317947512E-2</v>
      </c>
      <c r="AR30" s="117">
        <v>2.9141159564484678E-2</v>
      </c>
      <c r="AS30" s="117">
        <v>2.7432509975431649E-2</v>
      </c>
      <c r="AT30" s="117">
        <v>2.97978996538628E-2</v>
      </c>
      <c r="AU30" s="117">
        <v>3.0922852055538581E-2</v>
      </c>
      <c r="AV30" s="117">
        <v>3.0881778219405243E-2</v>
      </c>
      <c r="AW30" s="117">
        <v>3.2437551337404065E-2</v>
      </c>
      <c r="AX30" s="117">
        <v>2.6926390301583798E-2</v>
      </c>
      <c r="AY30" s="117">
        <v>3.0873572890267369E-2</v>
      </c>
      <c r="AZ30" s="117">
        <v>3.1542157321466674E-2</v>
      </c>
      <c r="BA30" s="117">
        <v>3.0426889954487796E-2</v>
      </c>
      <c r="BB30" s="117">
        <v>2.739553503078012E-2</v>
      </c>
      <c r="BC30" s="117">
        <v>3.0745713945187245E-2</v>
      </c>
      <c r="BD30" s="117">
        <v>2.7625376323092855E-2</v>
      </c>
      <c r="BE30" s="117">
        <v>2.8927256254140086E-2</v>
      </c>
      <c r="BF30" s="117">
        <v>3.1468573284820223E-2</v>
      </c>
      <c r="BG30" s="117">
        <v>3.0183528158031804E-2</v>
      </c>
      <c r="BH30" s="117">
        <v>3.0960357331806163E-2</v>
      </c>
      <c r="BI30" s="117">
        <v>3.1265331007972977E-2</v>
      </c>
      <c r="BJ30" s="117">
        <v>2.9438834175008033E-2</v>
      </c>
      <c r="BK30" s="117">
        <v>2.7202693984598101E-2</v>
      </c>
      <c r="BL30" s="117">
        <v>2.9356749875908784E-2</v>
      </c>
      <c r="BM30" s="117">
        <v>3.2907546823554609E-2</v>
      </c>
      <c r="BN30" s="117">
        <v>3.0866806802741127E-2</v>
      </c>
      <c r="BO30" s="117">
        <v>3.1185554563567069E-2</v>
      </c>
      <c r="BP30" s="117">
        <v>2.9650939211982308E-2</v>
      </c>
      <c r="BQ30" s="117">
        <v>3.035317945267928E-2</v>
      </c>
      <c r="BR30" s="117">
        <v>2.7858708239641192E-2</v>
      </c>
      <c r="BS30" s="117">
        <v>3.2125305132551671E-2</v>
      </c>
      <c r="BT30" s="117">
        <v>3.3583644122334312E-2</v>
      </c>
      <c r="BU30" s="117">
        <v>3.0224077214391316E-2</v>
      </c>
      <c r="BV30" s="117">
        <v>3.2332313635320915E-2</v>
      </c>
      <c r="BW30" s="117">
        <v>3.0682697664281174E-2</v>
      </c>
      <c r="BX30" s="117">
        <v>2.9862359031485854E-2</v>
      </c>
      <c r="BY30" s="117">
        <v>3.0269565238167026E-2</v>
      </c>
      <c r="BZ30" s="117">
        <v>2.9025823249097173E-2</v>
      </c>
      <c r="CA30" s="117">
        <v>2.8465570897987295E-2</v>
      </c>
      <c r="CB30" s="117">
        <v>2.8119693731638112E-2</v>
      </c>
      <c r="CC30" s="117">
        <v>3.0328881606887136E-2</v>
      </c>
      <c r="CD30" s="117">
        <v>3.1760697311552046E-2</v>
      </c>
      <c r="CE30" s="117">
        <v>2.9965347775038995E-2</v>
      </c>
      <c r="CF30" s="117">
        <v>2.8040424196289035E-2</v>
      </c>
      <c r="CG30" s="117">
        <v>3.0120191896008473E-2</v>
      </c>
      <c r="CH30" s="117">
        <v>3.0870902536410977E-2</v>
      </c>
      <c r="CI30" s="117">
        <v>2.9717344615003749E-2</v>
      </c>
      <c r="CJ30" s="117">
        <v>2.9642782619218773E-2</v>
      </c>
      <c r="CK30" s="117">
        <v>3.2544778273514138E-2</v>
      </c>
      <c r="CL30" s="117">
        <v>2.7997489745520229E-2</v>
      </c>
      <c r="CM30" s="117">
        <v>2.6799448106055029E-2</v>
      </c>
      <c r="CN30" s="117">
        <v>3.0241133976056475E-2</v>
      </c>
      <c r="CO30" s="117">
        <v>3.0780963862871005E-2</v>
      </c>
      <c r="CP30" s="117">
        <v>2.9343090690418634E-2</v>
      </c>
      <c r="CQ30" s="117">
        <v>3.1337007173917041E-2</v>
      </c>
      <c r="CR30" s="117">
        <v>3.109441619821356E-2</v>
      </c>
      <c r="CS30" s="117">
        <v>3.1688361035409764E-2</v>
      </c>
      <c r="CT30" s="117">
        <v>2.8804516694048155E-2</v>
      </c>
      <c r="CU30" s="117">
        <v>2.9547004753115634E-2</v>
      </c>
      <c r="CV30" s="117">
        <v>3.0747758206956213E-2</v>
      </c>
      <c r="CW30" s="117">
        <v>3.0894993382018315E-2</v>
      </c>
      <c r="CX30" s="117">
        <v>3.1055455798534023E-2</v>
      </c>
    </row>
    <row r="31" spans="1:102" s="115" customFormat="1">
      <c r="A31" s="252" t="str">
        <f t="shared" si="0"/>
        <v>High Yield</v>
      </c>
      <c r="B31" s="253"/>
      <c r="C31" s="117">
        <v>4.8054658391078524E-2</v>
      </c>
      <c r="D31" s="117">
        <v>4.6340248125799399E-2</v>
      </c>
      <c r="E31" s="117">
        <v>4.661820613150755E-2</v>
      </c>
      <c r="F31" s="117">
        <v>4.7050670665632677E-2</v>
      </c>
      <c r="G31" s="117">
        <v>4.7306692191362354E-2</v>
      </c>
      <c r="H31" s="117">
        <v>4.8104331418888806E-2</v>
      </c>
      <c r="I31" s="117">
        <v>4.7698508358414972E-2</v>
      </c>
      <c r="J31" s="117">
        <v>4.752776082895141E-2</v>
      </c>
      <c r="K31" s="117">
        <v>4.7599422086472304E-2</v>
      </c>
      <c r="L31" s="117">
        <v>4.8606453265678973E-2</v>
      </c>
      <c r="M31" s="117">
        <v>4.7844630774533915E-2</v>
      </c>
      <c r="N31" s="117">
        <v>4.6756883624199039E-2</v>
      </c>
      <c r="O31" s="117">
        <v>4.7910248877946246E-2</v>
      </c>
      <c r="P31" s="117">
        <v>4.8499982949368373E-2</v>
      </c>
      <c r="Q31" s="117">
        <v>4.7555832566539766E-2</v>
      </c>
      <c r="R31" s="117">
        <v>4.8015206952373421E-2</v>
      </c>
      <c r="S31" s="117">
        <v>4.9422251936293279E-2</v>
      </c>
      <c r="T31" s="117">
        <v>4.6710714890693658E-2</v>
      </c>
      <c r="U31" s="117">
        <v>4.5040308499807058E-2</v>
      </c>
      <c r="V31" s="117">
        <v>4.768874281469003E-2</v>
      </c>
      <c r="W31" s="117">
        <v>4.8148338167506632E-2</v>
      </c>
      <c r="X31" s="117">
        <v>4.8752761202795328E-2</v>
      </c>
      <c r="Y31" s="117">
        <v>4.6217378118886855E-2</v>
      </c>
      <c r="Z31" s="117">
        <v>4.7543575409706426E-2</v>
      </c>
      <c r="AA31" s="117">
        <v>4.4550214044959111E-2</v>
      </c>
      <c r="AB31" s="117">
        <v>4.5963410259509799E-2</v>
      </c>
      <c r="AC31" s="117">
        <v>4.8018256629650112E-2</v>
      </c>
      <c r="AD31" s="117">
        <v>4.5540009658054159E-2</v>
      </c>
      <c r="AE31" s="117">
        <v>4.8325991045602396E-2</v>
      </c>
      <c r="AF31" s="117">
        <v>4.7711516369625798E-2</v>
      </c>
      <c r="AG31" s="117">
        <v>4.9784678255053491E-2</v>
      </c>
      <c r="AH31" s="117">
        <v>4.414538078085424E-2</v>
      </c>
      <c r="AI31" s="117">
        <v>4.6397680738405209E-2</v>
      </c>
      <c r="AJ31" s="117">
        <v>4.4751007999004416E-2</v>
      </c>
      <c r="AK31" s="117">
        <v>4.5924210094915596E-2</v>
      </c>
      <c r="AL31" s="117">
        <v>5.0113110234188539E-2</v>
      </c>
      <c r="AM31" s="117">
        <v>4.5871143304753614E-2</v>
      </c>
      <c r="AN31" s="117">
        <v>4.5491227682536446E-2</v>
      </c>
      <c r="AO31" s="117">
        <v>4.4408662574418854E-2</v>
      </c>
      <c r="AP31" s="117">
        <v>4.907480957349529E-2</v>
      </c>
      <c r="AQ31" s="117">
        <v>4.7257987791072889E-2</v>
      </c>
      <c r="AR31" s="117">
        <v>4.4123955255429351E-2</v>
      </c>
      <c r="AS31" s="117">
        <v>4.5657262573152085E-2</v>
      </c>
      <c r="AT31" s="117">
        <v>4.9193332078492975E-2</v>
      </c>
      <c r="AU31" s="117">
        <v>4.8012806293116758E-2</v>
      </c>
      <c r="AV31" s="117">
        <v>5.009187719257599E-2</v>
      </c>
      <c r="AW31" s="117">
        <v>4.6767536693619688E-2</v>
      </c>
      <c r="AX31" s="117">
        <v>4.1970331047477875E-2</v>
      </c>
      <c r="AY31" s="117">
        <v>5.0735026196638375E-2</v>
      </c>
      <c r="AZ31" s="117">
        <v>4.8758645614881128E-2</v>
      </c>
      <c r="BA31" s="117">
        <v>4.8287347027250044E-2</v>
      </c>
      <c r="BB31" s="117">
        <v>4.4015502867649242E-2</v>
      </c>
      <c r="BC31" s="117">
        <v>4.5333776681573762E-2</v>
      </c>
      <c r="BD31" s="117">
        <v>4.2695481178899944E-2</v>
      </c>
      <c r="BE31" s="117">
        <v>4.3860991458576679E-2</v>
      </c>
      <c r="BF31" s="117">
        <v>4.8971956284178345E-2</v>
      </c>
      <c r="BG31" s="117">
        <v>4.732137685448673E-2</v>
      </c>
      <c r="BH31" s="117">
        <v>4.5722576451668329E-2</v>
      </c>
      <c r="BI31" s="117">
        <v>4.9624342457595713E-2</v>
      </c>
      <c r="BJ31" s="117">
        <v>4.4100122063493293E-2</v>
      </c>
      <c r="BK31" s="117">
        <v>4.2238545746651243E-2</v>
      </c>
      <c r="BL31" s="117">
        <v>4.305813943249362E-2</v>
      </c>
      <c r="BM31" s="117">
        <v>4.7283391662301055E-2</v>
      </c>
      <c r="BN31" s="117">
        <v>4.804667041181352E-2</v>
      </c>
      <c r="BO31" s="117">
        <v>4.5456316271792446E-2</v>
      </c>
      <c r="BP31" s="117">
        <v>4.4604641980733661E-2</v>
      </c>
      <c r="BQ31" s="117">
        <v>4.9801074169809785E-2</v>
      </c>
      <c r="BR31" s="117">
        <v>4.2373333477916594E-2</v>
      </c>
      <c r="BS31" s="117">
        <v>4.765352900957727E-2</v>
      </c>
      <c r="BT31" s="117">
        <v>4.8476731693403205E-2</v>
      </c>
      <c r="BU31" s="117">
        <v>4.8809163567685859E-2</v>
      </c>
      <c r="BV31" s="117">
        <v>4.9596901159185927E-2</v>
      </c>
      <c r="BW31" s="117">
        <v>4.7306609430127912E-2</v>
      </c>
      <c r="BX31" s="117">
        <v>4.6841263079407655E-2</v>
      </c>
      <c r="BY31" s="117">
        <v>4.8142295949682529E-2</v>
      </c>
      <c r="BZ31" s="117">
        <v>4.3351380718817396E-2</v>
      </c>
      <c r="CA31" s="117">
        <v>4.4696728671871064E-2</v>
      </c>
      <c r="CB31" s="117">
        <v>4.3662518013267565E-2</v>
      </c>
      <c r="CC31" s="117">
        <v>4.8289347388788803E-2</v>
      </c>
      <c r="CD31" s="117">
        <v>5.0221702315781991E-2</v>
      </c>
      <c r="CE31" s="117">
        <v>4.6707378510982847E-2</v>
      </c>
      <c r="CF31" s="117">
        <v>4.6938688347933195E-2</v>
      </c>
      <c r="CG31" s="117">
        <v>4.4562743522910633E-2</v>
      </c>
      <c r="CH31" s="117">
        <v>4.6141798777944248E-2</v>
      </c>
      <c r="CI31" s="117">
        <v>4.5716016726973549E-2</v>
      </c>
      <c r="CJ31" s="117">
        <v>4.661645974885037E-2</v>
      </c>
      <c r="CK31" s="117">
        <v>4.9559255619823203E-2</v>
      </c>
      <c r="CL31" s="117">
        <v>4.3240918262461472E-2</v>
      </c>
      <c r="CM31" s="117">
        <v>4.1532469852295556E-2</v>
      </c>
      <c r="CN31" s="117">
        <v>4.7101836460873139E-2</v>
      </c>
      <c r="CO31" s="117">
        <v>4.6782157511393078E-2</v>
      </c>
      <c r="CP31" s="117">
        <v>4.5984930857498746E-2</v>
      </c>
      <c r="CQ31" s="117">
        <v>4.7567964116635747E-2</v>
      </c>
      <c r="CR31" s="117">
        <v>4.8712207091600651E-2</v>
      </c>
      <c r="CS31" s="117">
        <v>4.6950024493871853E-2</v>
      </c>
      <c r="CT31" s="117">
        <v>4.2304935282928918E-2</v>
      </c>
      <c r="CU31" s="117">
        <v>4.2454399418492161E-2</v>
      </c>
      <c r="CV31" s="117">
        <v>4.4836119464745083E-2</v>
      </c>
      <c r="CW31" s="117">
        <v>4.5434577129995782E-2</v>
      </c>
      <c r="CX31" s="117">
        <v>4.4416933797915489E-2</v>
      </c>
    </row>
    <row r="32" spans="1:102" s="116" customFormat="1">
      <c r="A32" s="252" t="str">
        <f t="shared" si="0"/>
        <v>Emerging market debt</v>
      </c>
      <c r="B32" s="253"/>
      <c r="C32" s="117">
        <v>4.4383698778365413E-2</v>
      </c>
      <c r="D32" s="117">
        <v>4.8746879096607507E-2</v>
      </c>
      <c r="E32" s="117">
        <v>4.4185726533238587E-2</v>
      </c>
      <c r="F32" s="117">
        <v>4.2146919595212065E-2</v>
      </c>
      <c r="G32" s="117">
        <v>4.5691416242680763E-2</v>
      </c>
      <c r="H32" s="117">
        <v>4.8889034944282636E-2</v>
      </c>
      <c r="I32" s="117">
        <v>4.8774559488658116E-2</v>
      </c>
      <c r="J32" s="117">
        <v>4.9306226464373465E-2</v>
      </c>
      <c r="K32" s="117">
        <v>4.8430345810653613E-2</v>
      </c>
      <c r="L32" s="117">
        <v>4.5401935600775906E-2</v>
      </c>
      <c r="M32" s="117">
        <v>4.6140592646026546E-2</v>
      </c>
      <c r="N32" s="117">
        <v>4.7652393398719073E-2</v>
      </c>
      <c r="O32" s="117">
        <v>4.6964437054385806E-2</v>
      </c>
      <c r="P32" s="117">
        <v>4.8901974188930802E-2</v>
      </c>
      <c r="Q32" s="117">
        <v>4.7333718130897928E-2</v>
      </c>
      <c r="R32" s="117">
        <v>4.9926116294635996E-2</v>
      </c>
      <c r="S32" s="117">
        <v>5.0208774129660003E-2</v>
      </c>
      <c r="T32" s="117">
        <v>4.396170508164926E-2</v>
      </c>
      <c r="U32" s="117">
        <v>4.7920394419066689E-2</v>
      </c>
      <c r="V32" s="117">
        <v>5.0386694876415422E-2</v>
      </c>
      <c r="W32" s="117">
        <v>4.8048853307790296E-2</v>
      </c>
      <c r="X32" s="117">
        <v>4.9752917659367381E-2</v>
      </c>
      <c r="Y32" s="117">
        <v>4.6574158254862115E-2</v>
      </c>
      <c r="Z32" s="117">
        <v>4.6501933650589931E-2</v>
      </c>
      <c r="AA32" s="117">
        <v>4.6100422059509726E-2</v>
      </c>
      <c r="AB32" s="117">
        <v>4.4638268077560529E-2</v>
      </c>
      <c r="AC32" s="117">
        <v>4.320508661330702E-2</v>
      </c>
      <c r="AD32" s="117">
        <v>4.6982100830978819E-2</v>
      </c>
      <c r="AE32" s="117">
        <v>4.3409206718974545E-2</v>
      </c>
      <c r="AF32" s="117">
        <v>5.1109174963079998E-2</v>
      </c>
      <c r="AG32" s="117">
        <v>4.7408318222748047E-2</v>
      </c>
      <c r="AH32" s="117">
        <v>4.9716119083897517E-2</v>
      </c>
      <c r="AI32" s="117">
        <v>4.8696499144848998E-2</v>
      </c>
      <c r="AJ32" s="117">
        <v>4.3180473763771578E-2</v>
      </c>
      <c r="AK32" s="117">
        <v>4.8346063121821881E-2</v>
      </c>
      <c r="AL32" s="117">
        <v>4.9821624079033913E-2</v>
      </c>
      <c r="AM32" s="117">
        <v>4.291405179060008E-2</v>
      </c>
      <c r="AN32" s="117">
        <v>4.9598568613184249E-2</v>
      </c>
      <c r="AO32" s="117">
        <v>4.2385281216295506E-2</v>
      </c>
      <c r="AP32" s="117">
        <v>4.8332022970360405E-2</v>
      </c>
      <c r="AQ32" s="117">
        <v>4.3404241609026041E-2</v>
      </c>
      <c r="AR32" s="117">
        <v>4.863293779543492E-2</v>
      </c>
      <c r="AS32" s="117">
        <v>4.9744069450078594E-2</v>
      </c>
      <c r="AT32" s="117">
        <v>4.8537109122690672E-2</v>
      </c>
      <c r="AU32" s="117">
        <v>4.2305217464728276E-2</v>
      </c>
      <c r="AV32" s="117">
        <v>5.0807674028049046E-2</v>
      </c>
      <c r="AW32" s="117">
        <v>4.6572617839857937E-2</v>
      </c>
      <c r="AX32" s="117">
        <v>4.8883412516323943E-2</v>
      </c>
      <c r="AY32" s="117">
        <v>4.6156969825240715E-2</v>
      </c>
      <c r="AZ32" s="117">
        <v>4.306002880182587E-2</v>
      </c>
      <c r="BA32" s="117">
        <v>4.6523472643419564E-2</v>
      </c>
      <c r="BB32" s="117">
        <v>4.8072463141486707E-2</v>
      </c>
      <c r="BC32" s="117">
        <v>4.8010103483495319E-2</v>
      </c>
      <c r="BD32" s="117">
        <v>4.5659162833071948E-2</v>
      </c>
      <c r="BE32" s="117">
        <v>4.4849567690557229E-2</v>
      </c>
      <c r="BF32" s="117">
        <v>4.8724429747243045E-2</v>
      </c>
      <c r="BG32" s="117">
        <v>5.0124715328334589E-2</v>
      </c>
      <c r="BH32" s="117">
        <v>4.6628561085120229E-2</v>
      </c>
      <c r="BI32" s="117">
        <v>5.088309275908031E-2</v>
      </c>
      <c r="BJ32" s="117">
        <v>4.6174583756359855E-2</v>
      </c>
      <c r="BK32" s="117">
        <v>4.7450200763658912E-2</v>
      </c>
      <c r="BL32" s="117">
        <v>4.6139465732189369E-2</v>
      </c>
      <c r="BM32" s="117">
        <v>4.2995207076231515E-2</v>
      </c>
      <c r="BN32" s="117">
        <v>4.7644018542854494E-2</v>
      </c>
      <c r="BO32" s="117">
        <v>4.1558799058439809E-2</v>
      </c>
      <c r="BP32" s="117">
        <v>4.4109140775783179E-2</v>
      </c>
      <c r="BQ32" s="117">
        <v>5.1691446403779887E-2</v>
      </c>
      <c r="BR32" s="117">
        <v>5.0052871871006002E-2</v>
      </c>
      <c r="BS32" s="117">
        <v>4.4681132651340105E-2</v>
      </c>
      <c r="BT32" s="117">
        <v>4.4369937012956905E-2</v>
      </c>
      <c r="BU32" s="117">
        <v>4.8751918138191415E-2</v>
      </c>
      <c r="BV32" s="117">
        <v>4.9412114950978192E-2</v>
      </c>
      <c r="BW32" s="117">
        <v>4.6487946895863212E-2</v>
      </c>
      <c r="BX32" s="117">
        <v>4.4024957602008224E-2</v>
      </c>
      <c r="BY32" s="117">
        <v>4.9752649735481151E-2</v>
      </c>
      <c r="BZ32" s="117">
        <v>4.5790060357041133E-2</v>
      </c>
      <c r="CA32" s="117">
        <v>4.8035293320228656E-2</v>
      </c>
      <c r="CB32" s="117">
        <v>4.9613892508003535E-2</v>
      </c>
      <c r="CC32" s="117">
        <v>5.1412386469026933E-2</v>
      </c>
      <c r="CD32" s="117">
        <v>4.5436005863436518E-2</v>
      </c>
      <c r="CE32" s="117">
        <v>4.9624771463477976E-2</v>
      </c>
      <c r="CF32" s="117">
        <v>4.7848945544812838E-2</v>
      </c>
      <c r="CG32" s="117">
        <v>4.5768224142563277E-2</v>
      </c>
      <c r="CH32" s="117">
        <v>4.4320033280441443E-2</v>
      </c>
      <c r="CI32" s="117">
        <v>4.8368116931933935E-2</v>
      </c>
      <c r="CJ32" s="117">
        <v>4.7319852443847302E-2</v>
      </c>
      <c r="CK32" s="117">
        <v>4.7742021703462159E-2</v>
      </c>
      <c r="CL32" s="117">
        <v>4.8702232175658958E-2</v>
      </c>
      <c r="CM32" s="117">
        <v>5.0067658878417701E-2</v>
      </c>
      <c r="CN32" s="117">
        <v>4.893833747887321E-2</v>
      </c>
      <c r="CO32" s="117">
        <v>4.5880588124221786E-2</v>
      </c>
      <c r="CP32" s="117">
        <v>4.487785209593094E-2</v>
      </c>
      <c r="CQ32" s="117">
        <v>4.2389468907290714E-2</v>
      </c>
      <c r="CR32" s="117">
        <v>4.9988180443225227E-2</v>
      </c>
      <c r="CS32" s="117">
        <v>4.5702381813211262E-2</v>
      </c>
      <c r="CT32" s="117">
        <v>4.6554367130226718E-2</v>
      </c>
      <c r="CU32" s="117">
        <v>4.6752686469113895E-2</v>
      </c>
      <c r="CV32" s="117">
        <v>4.6470204358139221E-2</v>
      </c>
      <c r="CW32" s="117">
        <v>4.5314283974766334E-2</v>
      </c>
      <c r="CX32" s="117">
        <v>4.5062130615586574E-2</v>
      </c>
    </row>
    <row r="33" spans="1:102" s="131" customFormat="1">
      <c r="A33" s="252" t="str">
        <f t="shared" si="0"/>
        <v>Aandelen ontwikkeld</v>
      </c>
      <c r="B33" s="253"/>
      <c r="C33" s="117">
        <v>4.850726184761088E-2</v>
      </c>
      <c r="D33" s="117">
        <v>4.4931159774735573E-2</v>
      </c>
      <c r="E33" s="117">
        <v>4.9133104750071141E-2</v>
      </c>
      <c r="F33" s="117">
        <v>5.0355909405455243E-2</v>
      </c>
      <c r="G33" s="117">
        <v>4.6660850503327675E-2</v>
      </c>
      <c r="H33" s="117">
        <v>4.2665147439039791E-2</v>
      </c>
      <c r="I33" s="117">
        <v>4.4724175379218259E-2</v>
      </c>
      <c r="J33" s="117">
        <v>4.4756673687062827E-2</v>
      </c>
      <c r="K33" s="117">
        <v>4.5998911377006971E-2</v>
      </c>
      <c r="L33" s="117">
        <v>4.9955604011776393E-2</v>
      </c>
      <c r="M33" s="117">
        <v>5.059516565930991E-2</v>
      </c>
      <c r="N33" s="117">
        <v>4.7827904791821939E-2</v>
      </c>
      <c r="O33" s="117">
        <v>4.5766686488711655E-2</v>
      </c>
      <c r="P33" s="117">
        <v>4.9109154060414509E-2</v>
      </c>
      <c r="Q33" s="117">
        <v>4.4620515700331445E-2</v>
      </c>
      <c r="R33" s="117">
        <v>4.4359530118028526E-2</v>
      </c>
      <c r="S33" s="117">
        <v>4.5769850439030382E-2</v>
      </c>
      <c r="T33" s="117">
        <v>5.0550663184192171E-2</v>
      </c>
      <c r="U33" s="117">
        <v>4.6092011478125652E-2</v>
      </c>
      <c r="V33" s="117">
        <v>4.4529916539173368E-2</v>
      </c>
      <c r="W33" s="117">
        <v>4.5480914105483404E-2</v>
      </c>
      <c r="X33" s="117">
        <v>4.2617446097723527E-2</v>
      </c>
      <c r="Y33" s="117">
        <v>4.697216554183567E-2</v>
      </c>
      <c r="Z33" s="117">
        <v>4.8209348672474055E-2</v>
      </c>
      <c r="AA33" s="117">
        <v>4.9134175446524E-2</v>
      </c>
      <c r="AB33" s="117">
        <v>4.7780190538264052E-2</v>
      </c>
      <c r="AC33" s="117">
        <v>4.9170882822273547E-2</v>
      </c>
      <c r="AD33" s="117">
        <v>4.8879226130921945E-2</v>
      </c>
      <c r="AE33" s="117">
        <v>5.2438421626863525E-2</v>
      </c>
      <c r="AF33" s="117">
        <v>4.4546771069118841E-2</v>
      </c>
      <c r="AG33" s="117">
        <v>4.6025796051593536E-2</v>
      </c>
      <c r="AH33" s="117">
        <v>4.4396453685769707E-2</v>
      </c>
      <c r="AI33" s="117">
        <v>4.2673150791741693E-2</v>
      </c>
      <c r="AJ33" s="117">
        <v>5.1754733926302643E-2</v>
      </c>
      <c r="AK33" s="117">
        <v>4.8947400666072227E-2</v>
      </c>
      <c r="AL33" s="117">
        <v>4.6435258213965186E-2</v>
      </c>
      <c r="AM33" s="117">
        <v>5.1690604419409612E-2</v>
      </c>
      <c r="AN33" s="117">
        <v>4.512873365233569E-2</v>
      </c>
      <c r="AO33" s="117">
        <v>5.0829509758451269E-2</v>
      </c>
      <c r="AP33" s="117">
        <v>4.8809891710311692E-2</v>
      </c>
      <c r="AQ33" s="117">
        <v>5.3105300069530764E-2</v>
      </c>
      <c r="AR33" s="117">
        <v>4.6842989472696085E-2</v>
      </c>
      <c r="AS33" s="117">
        <v>5.0183917123219991E-2</v>
      </c>
      <c r="AT33" s="117">
        <v>5.2596827146119518E-2</v>
      </c>
      <c r="AU33" s="117">
        <v>5.3038465446627804E-2</v>
      </c>
      <c r="AV33" s="117">
        <v>4.5963854749426131E-2</v>
      </c>
      <c r="AW33" s="117">
        <v>4.5842101317448973E-2</v>
      </c>
      <c r="AX33" s="117">
        <v>4.6320738559562695E-2</v>
      </c>
      <c r="AY33" s="117">
        <v>5.2811679337442116E-2</v>
      </c>
      <c r="AZ33" s="117">
        <v>5.2898838986468744E-2</v>
      </c>
      <c r="BA33" s="117">
        <v>4.7833488555644149E-2</v>
      </c>
      <c r="BB33" s="117">
        <v>5.011440593422354E-2</v>
      </c>
      <c r="BC33" s="117">
        <v>4.4922920034055652E-2</v>
      </c>
      <c r="BD33" s="117">
        <v>5.0753210366687132E-2</v>
      </c>
      <c r="BE33" s="117">
        <v>4.9420226466283954E-2</v>
      </c>
      <c r="BF33" s="117">
        <v>4.7080623653762241E-2</v>
      </c>
      <c r="BG33" s="117">
        <v>4.7126656442997697E-2</v>
      </c>
      <c r="BH33" s="117">
        <v>4.6012734420512569E-2</v>
      </c>
      <c r="BI33" s="117">
        <v>4.8083390331085163E-2</v>
      </c>
      <c r="BJ33" s="117">
        <v>4.634887657165921E-2</v>
      </c>
      <c r="BK33" s="117">
        <v>4.9463598906999182E-2</v>
      </c>
      <c r="BL33" s="117">
        <v>4.8683750413472081E-2</v>
      </c>
      <c r="BM33" s="117">
        <v>4.7487580606081353E-2</v>
      </c>
      <c r="BN33" s="117">
        <v>5.1722878682325155E-2</v>
      </c>
      <c r="BO33" s="117">
        <v>5.1333733055061753E-2</v>
      </c>
      <c r="BP33" s="117">
        <v>5.2563413036460407E-2</v>
      </c>
      <c r="BQ33" s="117">
        <v>4.7716433421511564E-2</v>
      </c>
      <c r="BR33" s="117">
        <v>4.2944673575877494E-2</v>
      </c>
      <c r="BS33" s="117">
        <v>4.6075501446233923E-2</v>
      </c>
      <c r="BT33" s="117">
        <v>4.6253388420004524E-2</v>
      </c>
      <c r="BU33" s="117">
        <v>5.2936543507381022E-2</v>
      </c>
      <c r="BV33" s="117">
        <v>4.7692827916019712E-2</v>
      </c>
      <c r="BW33" s="117">
        <v>5.1829374053945804E-2</v>
      </c>
      <c r="BX33" s="117">
        <v>5.3600776999658269E-2</v>
      </c>
      <c r="BY33" s="117">
        <v>4.2319167994242318E-2</v>
      </c>
      <c r="BZ33" s="117">
        <v>4.8949265970328573E-2</v>
      </c>
      <c r="CA33" s="117">
        <v>4.990172732813708E-2</v>
      </c>
      <c r="CB33" s="117">
        <v>4.6788778983263869E-2</v>
      </c>
      <c r="CC33" s="117">
        <v>4.6408464521495302E-2</v>
      </c>
      <c r="CD33" s="117">
        <v>5.3628688287597259E-2</v>
      </c>
      <c r="CE33" s="117">
        <v>4.6342818992285803E-2</v>
      </c>
      <c r="CF33" s="117">
        <v>5.4078118830014343E-2</v>
      </c>
      <c r="CG33" s="117">
        <v>4.9434248820077013E-2</v>
      </c>
      <c r="CH33" s="117">
        <v>5.0249887588426731E-2</v>
      </c>
      <c r="CI33" s="117">
        <v>4.7383378107930835E-2</v>
      </c>
      <c r="CJ33" s="117">
        <v>4.5666568392493209E-2</v>
      </c>
      <c r="CK33" s="117">
        <v>4.8954359981910549E-2</v>
      </c>
      <c r="CL33" s="117">
        <v>4.8856937305387968E-2</v>
      </c>
      <c r="CM33" s="117">
        <v>4.4289556547497146E-2</v>
      </c>
      <c r="CN33" s="117">
        <v>4.6955158424459645E-2</v>
      </c>
      <c r="CO33" s="117">
        <v>5.1597228897701006E-2</v>
      </c>
      <c r="CP33" s="117">
        <v>5.3552363421361882E-2</v>
      </c>
      <c r="CQ33" s="117">
        <v>5.1226996655218585E-2</v>
      </c>
      <c r="CR33" s="117">
        <v>4.7006892804632661E-2</v>
      </c>
      <c r="CS33" s="117">
        <v>4.6480299445358579E-2</v>
      </c>
      <c r="CT33" s="117">
        <v>4.9423855913910561E-2</v>
      </c>
      <c r="CU33" s="117">
        <v>4.7230631715122887E-2</v>
      </c>
      <c r="CV33" s="117">
        <v>4.7523719797599853E-2</v>
      </c>
      <c r="CW33" s="117">
        <v>4.948931544357503E-2</v>
      </c>
      <c r="CX33" s="117">
        <v>4.6785904767500011E-2</v>
      </c>
    </row>
    <row r="34" spans="1:102" s="115" customFormat="1">
      <c r="A34" s="252" t="str">
        <f t="shared" si="0"/>
        <v>Aandelen opkomend</v>
      </c>
      <c r="B34" s="253"/>
      <c r="C34" s="117">
        <v>6.8913322023609502E-2</v>
      </c>
      <c r="D34" s="117">
        <v>6.7423735665517667E-2</v>
      </c>
      <c r="E34" s="117">
        <v>6.7335811222375974E-2</v>
      </c>
      <c r="F34" s="117">
        <v>7.1560321543529579E-2</v>
      </c>
      <c r="G34" s="117">
        <v>6.6099673894375294E-2</v>
      </c>
      <c r="H34" s="117">
        <v>6.6113666158409037E-2</v>
      </c>
      <c r="I34" s="117">
        <v>7.0657175013359302E-2</v>
      </c>
      <c r="J34" s="117">
        <v>7.2778519325243846E-2</v>
      </c>
      <c r="K34" s="117">
        <v>6.9601521770844929E-2</v>
      </c>
      <c r="L34" s="117">
        <v>7.1031327297364305E-2</v>
      </c>
      <c r="M34" s="117">
        <v>7.6387427623750781E-2</v>
      </c>
      <c r="N34" s="117">
        <v>6.7052062979724547E-2</v>
      </c>
      <c r="O34" s="117">
        <v>6.9048526392553461E-2</v>
      </c>
      <c r="P34" s="117">
        <v>7.1857440244202125E-2</v>
      </c>
      <c r="Q34" s="117">
        <v>6.9768697482147674E-2</v>
      </c>
      <c r="R34" s="117">
        <v>6.6672745516945381E-2</v>
      </c>
      <c r="S34" s="117">
        <v>7.4581456812462907E-2</v>
      </c>
      <c r="T34" s="117">
        <v>6.8639289168443196E-2</v>
      </c>
      <c r="U34" s="117">
        <v>6.6610632209570933E-2</v>
      </c>
      <c r="V34" s="117">
        <v>7.0971929351089896E-2</v>
      </c>
      <c r="W34" s="117">
        <v>7.4453017748944306E-2</v>
      </c>
      <c r="X34" s="117">
        <v>6.6791959275666085E-2</v>
      </c>
      <c r="Y34" s="117">
        <v>7.9288032163437078E-2</v>
      </c>
      <c r="Z34" s="117">
        <v>7.9473398544975482E-2</v>
      </c>
      <c r="AA34" s="117">
        <v>7.3930300747570565E-2</v>
      </c>
      <c r="AB34" s="117">
        <v>7.984060245758022E-2</v>
      </c>
      <c r="AC34" s="117">
        <v>6.9387948365454866E-2</v>
      </c>
      <c r="AD34" s="117">
        <v>6.847198200737975E-2</v>
      </c>
      <c r="AE34" s="117">
        <v>7.7764673816744304E-2</v>
      </c>
      <c r="AF34" s="117">
        <v>7.2025589391787923E-2</v>
      </c>
      <c r="AG34" s="117">
        <v>7.5388239926418965E-2</v>
      </c>
      <c r="AH34" s="117">
        <v>6.3643885497927849E-2</v>
      </c>
      <c r="AI34" s="117">
        <v>6.3909297977006452E-2</v>
      </c>
      <c r="AJ34" s="117">
        <v>6.8389245363113305E-2</v>
      </c>
      <c r="AK34" s="117">
        <v>7.572164525240932E-2</v>
      </c>
      <c r="AL34" s="117">
        <v>7.4144879337884967E-2</v>
      </c>
      <c r="AM34" s="117">
        <v>7.8722843698887407E-2</v>
      </c>
      <c r="AN34" s="117">
        <v>6.7254205388024471E-2</v>
      </c>
      <c r="AO34" s="117">
        <v>6.6894401857140018E-2</v>
      </c>
      <c r="AP34" s="117">
        <v>7.9420103566191086E-2</v>
      </c>
      <c r="AQ34" s="117">
        <v>7.7609197373716882E-2</v>
      </c>
      <c r="AR34" s="117">
        <v>6.5356336471020127E-2</v>
      </c>
      <c r="AS34" s="117">
        <v>7.2303930478093331E-2</v>
      </c>
      <c r="AT34" s="117">
        <v>7.4815949591373221E-2</v>
      </c>
      <c r="AU34" s="117">
        <v>7.875843099896139E-2</v>
      </c>
      <c r="AV34" s="117">
        <v>7.4314977319364886E-2</v>
      </c>
      <c r="AW34" s="117">
        <v>6.942174832407344E-2</v>
      </c>
      <c r="AX34" s="117">
        <v>6.4588189848561406E-2</v>
      </c>
      <c r="AY34" s="117">
        <v>7.530642416331651E-2</v>
      </c>
      <c r="AZ34" s="117">
        <v>7.2152337461813362E-2</v>
      </c>
      <c r="BA34" s="117">
        <v>6.9735156557840058E-2</v>
      </c>
      <c r="BB34" s="117">
        <v>7.6174871118180776E-2</v>
      </c>
      <c r="BC34" s="117">
        <v>6.5894973557660386E-2</v>
      </c>
      <c r="BD34" s="117">
        <v>6.7461139658369002E-2</v>
      </c>
      <c r="BE34" s="117">
        <v>7.9679012907655972E-2</v>
      </c>
      <c r="BF34" s="117">
        <v>7.0373674218077581E-2</v>
      </c>
      <c r="BG34" s="117">
        <v>6.8083742407319667E-2</v>
      </c>
      <c r="BH34" s="117">
        <v>7.7492721973383194E-2</v>
      </c>
      <c r="BI34" s="117">
        <v>7.5660473279495571E-2</v>
      </c>
      <c r="BJ34" s="117">
        <v>7.998238825344299E-2</v>
      </c>
      <c r="BK34" s="117">
        <v>6.8518206162288792E-2</v>
      </c>
      <c r="BL34" s="117">
        <v>7.7026374443352905E-2</v>
      </c>
      <c r="BM34" s="117">
        <v>6.6151427882190778E-2</v>
      </c>
      <c r="BN34" s="117">
        <v>7.1358493051181249E-2</v>
      </c>
      <c r="BO34" s="117">
        <v>7.0590233926832169E-2</v>
      </c>
      <c r="BP34" s="117">
        <v>7.4682673924934273E-2</v>
      </c>
      <c r="BQ34" s="117">
        <v>7.4469141065699435E-2</v>
      </c>
      <c r="BR34" s="117">
        <v>6.1318139910744911E-2</v>
      </c>
      <c r="BS34" s="117">
        <v>6.6300186617980122E-2</v>
      </c>
      <c r="BT34" s="117">
        <v>7.5068456273372275E-2</v>
      </c>
      <c r="BU34" s="117">
        <v>7.416449896000446E-2</v>
      </c>
      <c r="BV34" s="117">
        <v>7.1060220096716933E-2</v>
      </c>
      <c r="BW34" s="117">
        <v>7.3724578995845821E-2</v>
      </c>
      <c r="BX34" s="117">
        <v>7.4778305767921938E-2</v>
      </c>
      <c r="BY34" s="117">
        <v>6.6262379221380396E-2</v>
      </c>
      <c r="BZ34" s="117">
        <v>7.6967533284222317E-2</v>
      </c>
      <c r="CA34" s="117">
        <v>7.8615464324907125E-2</v>
      </c>
      <c r="CB34" s="117">
        <v>7.5229234162625946E-2</v>
      </c>
      <c r="CC34" s="117">
        <v>7.3741095681974567E-2</v>
      </c>
      <c r="CD34" s="117">
        <v>8.1775861902438796E-2</v>
      </c>
      <c r="CE34" s="117">
        <v>7.611570545858086E-2</v>
      </c>
      <c r="CF34" s="117">
        <v>7.4899002076325938E-2</v>
      </c>
      <c r="CG34" s="117">
        <v>7.4546892758687588E-2</v>
      </c>
      <c r="CH34" s="117">
        <v>7.8794845465336716E-2</v>
      </c>
      <c r="CI34" s="117">
        <v>7.7062789333806447E-2</v>
      </c>
      <c r="CJ34" s="117">
        <v>7.0533504882673209E-2</v>
      </c>
      <c r="CK34" s="117">
        <v>7.9680409596230573E-2</v>
      </c>
      <c r="CL34" s="117">
        <v>6.7847636519035276E-2</v>
      </c>
      <c r="CM34" s="117">
        <v>6.3687923653489603E-2</v>
      </c>
      <c r="CN34" s="117">
        <v>7.5504050158525987E-2</v>
      </c>
      <c r="CO34" s="117">
        <v>7.0312494922543947E-2</v>
      </c>
      <c r="CP34" s="117">
        <v>7.2654088298653469E-2</v>
      </c>
      <c r="CQ34" s="117">
        <v>7.9451937997888633E-2</v>
      </c>
      <c r="CR34" s="117">
        <v>6.8851248905187651E-2</v>
      </c>
      <c r="CS34" s="117">
        <v>7.303326777583416E-2</v>
      </c>
      <c r="CT34" s="117">
        <v>7.176228324156339E-2</v>
      </c>
      <c r="CU34" s="117">
        <v>7.3691080452916821E-2</v>
      </c>
      <c r="CV34" s="117">
        <v>6.6083034699547516E-2</v>
      </c>
      <c r="CW34" s="117">
        <v>7.7125052371230851E-2</v>
      </c>
      <c r="CX34" s="117">
        <v>6.5074929766083617E-2</v>
      </c>
    </row>
    <row r="35" spans="1:102" s="115" customFormat="1">
      <c r="A35" s="252" t="str">
        <f t="shared" si="0"/>
        <v>Hedge funds</v>
      </c>
      <c r="B35" s="253"/>
      <c r="C35" s="117">
        <v>4.4600471542006304E-2</v>
      </c>
      <c r="D35" s="117">
        <v>4.6509129328766718E-2</v>
      </c>
      <c r="E35" s="117">
        <v>4.6543797551915067E-2</v>
      </c>
      <c r="F35" s="117">
        <v>4.3551963535433245E-2</v>
      </c>
      <c r="G35" s="117">
        <v>4.756444461820384E-2</v>
      </c>
      <c r="H35" s="117">
        <v>4.5670201987742756E-2</v>
      </c>
      <c r="I35" s="117">
        <v>4.6531552046056801E-2</v>
      </c>
      <c r="J35" s="117">
        <v>4.6383360949805774E-2</v>
      </c>
      <c r="K35" s="117">
        <v>4.9239222740628336E-2</v>
      </c>
      <c r="L35" s="117">
        <v>4.5950917955388922E-2</v>
      </c>
      <c r="M35" s="117">
        <v>4.6779758997498769E-2</v>
      </c>
      <c r="N35" s="117">
        <v>5.0113498597137783E-2</v>
      </c>
      <c r="O35" s="117">
        <v>4.7414853051073361E-2</v>
      </c>
      <c r="P35" s="117">
        <v>4.7912756390974337E-2</v>
      </c>
      <c r="Q35" s="117">
        <v>4.541556493025152E-2</v>
      </c>
      <c r="R35" s="117">
        <v>4.9214523978006644E-2</v>
      </c>
      <c r="S35" s="117">
        <v>4.7243688385320386E-2</v>
      </c>
      <c r="T35" s="117">
        <v>4.677185212139362E-2</v>
      </c>
      <c r="U35" s="117">
        <v>4.9183981438580646E-2</v>
      </c>
      <c r="V35" s="117">
        <v>4.7804614380819871E-2</v>
      </c>
      <c r="W35" s="117">
        <v>4.6133114660424301E-2</v>
      </c>
      <c r="X35" s="117">
        <v>4.6600360229630211E-2</v>
      </c>
      <c r="Y35" s="117">
        <v>4.4724539791419354E-2</v>
      </c>
      <c r="Z35" s="117">
        <v>4.6611818172065569E-2</v>
      </c>
      <c r="AA35" s="117">
        <v>4.8165744870099475E-2</v>
      </c>
      <c r="AB35" s="117">
        <v>4.3501717305309821E-2</v>
      </c>
      <c r="AC35" s="117">
        <v>4.4766531017045266E-2</v>
      </c>
      <c r="AD35" s="117">
        <v>4.9832731182884255E-2</v>
      </c>
      <c r="AE35" s="117">
        <v>4.4125885773772744E-2</v>
      </c>
      <c r="AF35" s="117">
        <v>4.8453840060205269E-2</v>
      </c>
      <c r="AG35" s="117">
        <v>4.5819496269194432E-2</v>
      </c>
      <c r="AH35" s="117">
        <v>5.0858354822176211E-2</v>
      </c>
      <c r="AI35" s="117">
        <v>4.7843836332088933E-2</v>
      </c>
      <c r="AJ35" s="117">
        <v>4.6168448999405892E-2</v>
      </c>
      <c r="AK35" s="117">
        <v>4.9354274437785492E-2</v>
      </c>
      <c r="AL35" s="117">
        <v>4.8439850468850423E-2</v>
      </c>
      <c r="AM35" s="117">
        <v>4.3657243223960508E-2</v>
      </c>
      <c r="AN35" s="117">
        <v>5.0552786216308404E-2</v>
      </c>
      <c r="AO35" s="117">
        <v>4.575441637875758E-2</v>
      </c>
      <c r="AP35" s="117">
        <v>4.8557257191062575E-2</v>
      </c>
      <c r="AQ35" s="117">
        <v>4.5251432556445204E-2</v>
      </c>
      <c r="AR35" s="117">
        <v>5.0552540690646713E-2</v>
      </c>
      <c r="AS35" s="117">
        <v>4.9014537861683451E-2</v>
      </c>
      <c r="AT35" s="117">
        <v>4.9182254562079364E-2</v>
      </c>
      <c r="AU35" s="117">
        <v>4.3381162197424036E-2</v>
      </c>
      <c r="AV35" s="117">
        <v>4.8489822766415211E-2</v>
      </c>
      <c r="AW35" s="117">
        <v>4.8330078452938574E-2</v>
      </c>
      <c r="AX35" s="117">
        <v>4.9468215207853661E-2</v>
      </c>
      <c r="AY35" s="117">
        <v>4.6548064179316777E-2</v>
      </c>
      <c r="AZ35" s="117">
        <v>4.5441850364154615E-2</v>
      </c>
      <c r="BA35" s="117">
        <v>4.5618038773552812E-2</v>
      </c>
      <c r="BB35" s="117">
        <v>4.7286002597510979E-2</v>
      </c>
      <c r="BC35" s="117">
        <v>4.9711960240444601E-2</v>
      </c>
      <c r="BD35" s="117">
        <v>4.8005120021310022E-2</v>
      </c>
      <c r="BE35" s="117">
        <v>4.4308499529487025E-2</v>
      </c>
      <c r="BF35" s="117">
        <v>4.8339910455905417E-2</v>
      </c>
      <c r="BG35" s="117">
        <v>5.15757343201452E-2</v>
      </c>
      <c r="BH35" s="117">
        <v>4.5448396920540542E-2</v>
      </c>
      <c r="BI35" s="117">
        <v>5.0842048536265477E-2</v>
      </c>
      <c r="BJ35" s="117">
        <v>4.452579427969762E-2</v>
      </c>
      <c r="BK35" s="117">
        <v>4.8696128237595324E-2</v>
      </c>
      <c r="BL35" s="117">
        <v>4.7536382218662111E-2</v>
      </c>
      <c r="BM35" s="117">
        <v>4.5101999644885829E-2</v>
      </c>
      <c r="BN35" s="117">
        <v>5.1038925101272399E-2</v>
      </c>
      <c r="BO35" s="117">
        <v>4.4417731499608433E-2</v>
      </c>
      <c r="BP35" s="117">
        <v>4.6784611066541588E-2</v>
      </c>
      <c r="BQ35" s="117">
        <v>5.048376361098101E-2</v>
      </c>
      <c r="BR35" s="117">
        <v>5.0784344441748321E-2</v>
      </c>
      <c r="BS35" s="117">
        <v>4.5266724937121798E-2</v>
      </c>
      <c r="BT35" s="117">
        <v>4.4427882405562363E-2</v>
      </c>
      <c r="BU35" s="117">
        <v>5.1089087667872804E-2</v>
      </c>
      <c r="BV35" s="117">
        <v>5.1396772086138118E-2</v>
      </c>
      <c r="BW35" s="117">
        <v>4.7861873698297058E-2</v>
      </c>
      <c r="BX35" s="117">
        <v>4.5534606798164887E-2</v>
      </c>
      <c r="BY35" s="117">
        <v>4.6275532154899768E-2</v>
      </c>
      <c r="BZ35" s="117">
        <v>4.6198144281977244E-2</v>
      </c>
      <c r="CA35" s="117">
        <v>4.7412149677518681E-2</v>
      </c>
      <c r="CB35" s="117">
        <v>4.8487218480230021E-2</v>
      </c>
      <c r="CC35" s="117">
        <v>5.0304604061543121E-2</v>
      </c>
      <c r="CD35" s="117">
        <v>4.6481645518285757E-2</v>
      </c>
      <c r="CE35" s="117">
        <v>4.7654209382657048E-2</v>
      </c>
      <c r="CF35" s="117">
        <v>4.8566456552471778E-2</v>
      </c>
      <c r="CG35" s="117">
        <v>4.7172910330083889E-2</v>
      </c>
      <c r="CH35" s="117">
        <v>4.4763040323343786E-2</v>
      </c>
      <c r="CI35" s="117">
        <v>4.7042382161310112E-2</v>
      </c>
      <c r="CJ35" s="117">
        <v>4.5523907323839763E-2</v>
      </c>
      <c r="CK35" s="117">
        <v>4.7490681060407547E-2</v>
      </c>
      <c r="CL35" s="117">
        <v>5.0414613226512681E-2</v>
      </c>
      <c r="CM35" s="117">
        <v>5.0064479823576376E-2</v>
      </c>
      <c r="CN35" s="117">
        <v>4.6640843322264057E-2</v>
      </c>
      <c r="CO35" s="117">
        <v>4.8976390603195939E-2</v>
      </c>
      <c r="CP35" s="117">
        <v>4.6853125377958618E-2</v>
      </c>
      <c r="CQ35" s="117">
        <v>4.2785096857608396E-2</v>
      </c>
      <c r="CR35" s="117">
        <v>5.13005987049606E-2</v>
      </c>
      <c r="CS35" s="117">
        <v>4.5544333586995597E-2</v>
      </c>
      <c r="CT35" s="117">
        <v>4.9142884493064046E-2</v>
      </c>
      <c r="CU35" s="117">
        <v>4.8209029852712082E-2</v>
      </c>
      <c r="CV35" s="117">
        <v>4.8093080190462378E-2</v>
      </c>
      <c r="CW35" s="117">
        <v>4.6970060372315339E-2</v>
      </c>
      <c r="CX35" s="117">
        <v>4.6960853766934069E-2</v>
      </c>
    </row>
    <row r="36" spans="1:102" s="115" customFormat="1">
      <c r="A36" s="252" t="str">
        <f t="shared" si="0"/>
        <v>Onroerend goed</v>
      </c>
      <c r="B36" s="253"/>
      <c r="C36" s="117">
        <v>3.1331860802779755E-2</v>
      </c>
      <c r="D36" s="117">
        <v>3.1589727593051301E-2</v>
      </c>
      <c r="E36" s="117">
        <v>3.2519979858451696E-2</v>
      </c>
      <c r="F36" s="117">
        <v>3.0693012535239095E-2</v>
      </c>
      <c r="G36" s="117">
        <v>3.2821644445530429E-2</v>
      </c>
      <c r="H36" s="117">
        <v>3.1131184915767107E-2</v>
      </c>
      <c r="I36" s="117">
        <v>3.1678135981630461E-2</v>
      </c>
      <c r="J36" s="117">
        <v>3.1317458616927703E-2</v>
      </c>
      <c r="K36" s="117">
        <v>3.3446452438208422E-2</v>
      </c>
      <c r="L36" s="117">
        <v>3.1513254223857638E-2</v>
      </c>
      <c r="M36" s="117">
        <v>3.1791595849568491E-2</v>
      </c>
      <c r="N36" s="117">
        <v>3.3935801945681549E-2</v>
      </c>
      <c r="O36" s="117">
        <v>3.2892424420499312E-2</v>
      </c>
      <c r="P36" s="117">
        <v>3.2062015417066228E-2</v>
      </c>
      <c r="Q36" s="117">
        <v>3.1568387286466763E-2</v>
      </c>
      <c r="R36" s="117">
        <v>3.3229601052082058E-2</v>
      </c>
      <c r="S36" s="117">
        <v>3.164280136607546E-2</v>
      </c>
      <c r="T36" s="117">
        <v>3.3282946552025489E-2</v>
      </c>
      <c r="U36" s="117">
        <v>3.4540993422084353E-2</v>
      </c>
      <c r="V36" s="117">
        <v>3.2485317439480049E-2</v>
      </c>
      <c r="W36" s="117">
        <v>3.1969769326129417E-2</v>
      </c>
      <c r="X36" s="117">
        <v>3.2135586455401939E-2</v>
      </c>
      <c r="Y36" s="117">
        <v>3.077959577506225E-2</v>
      </c>
      <c r="Z36" s="117">
        <v>3.1890720777726866E-2</v>
      </c>
      <c r="AA36" s="117">
        <v>3.3183057089954955E-2</v>
      </c>
      <c r="AB36" s="117">
        <v>3.0540761394562597E-2</v>
      </c>
      <c r="AC36" s="117">
        <v>3.2954517853453151E-2</v>
      </c>
      <c r="AD36" s="117">
        <v>3.4079528802702541E-2</v>
      </c>
      <c r="AE36" s="117">
        <v>3.0403499874078352E-2</v>
      </c>
      <c r="AF36" s="117">
        <v>3.2544997478361259E-2</v>
      </c>
      <c r="AG36" s="117">
        <v>3.2440704072487524E-2</v>
      </c>
      <c r="AH36" s="117">
        <v>3.4409311380126491E-2</v>
      </c>
      <c r="AI36" s="117">
        <v>3.4087943267438692E-2</v>
      </c>
      <c r="AJ36" s="117">
        <v>3.2604038037016704E-2</v>
      </c>
      <c r="AK36" s="117">
        <v>3.3447928918908985E-2</v>
      </c>
      <c r="AL36" s="117">
        <v>3.2502052153672925E-2</v>
      </c>
      <c r="AM36" s="117">
        <v>3.0470902508467464E-2</v>
      </c>
      <c r="AN36" s="117">
        <v>3.4782939096431154E-2</v>
      </c>
      <c r="AO36" s="117">
        <v>3.3555220485423934E-2</v>
      </c>
      <c r="AP36" s="117">
        <v>3.275371576835439E-2</v>
      </c>
      <c r="AQ36" s="117">
        <v>3.1189420700197742E-2</v>
      </c>
      <c r="AR36" s="117">
        <v>3.4495008587135646E-2</v>
      </c>
      <c r="AS36" s="117">
        <v>3.2685853215287226E-2</v>
      </c>
      <c r="AT36" s="117">
        <v>3.2613539349561994E-2</v>
      </c>
      <c r="AU36" s="117">
        <v>3.0105386049626821E-2</v>
      </c>
      <c r="AV36" s="117">
        <v>3.2843052106919707E-2</v>
      </c>
      <c r="AW36" s="117">
        <v>3.5118554193752496E-2</v>
      </c>
      <c r="AX36" s="117">
        <v>3.3736387805868864E-2</v>
      </c>
      <c r="AY36" s="117">
        <v>3.1343008042017839E-2</v>
      </c>
      <c r="AZ36" s="117">
        <v>3.208283534459596E-2</v>
      </c>
      <c r="BA36" s="117">
        <v>3.1766855217275361E-2</v>
      </c>
      <c r="BB36" s="117">
        <v>3.1893591080428899E-2</v>
      </c>
      <c r="BC36" s="117">
        <v>3.4914277675137273E-2</v>
      </c>
      <c r="BD36" s="117">
        <v>3.3042305178347255E-2</v>
      </c>
      <c r="BE36" s="117">
        <v>3.0766582359176439E-2</v>
      </c>
      <c r="BF36" s="117">
        <v>3.4402952993595567E-2</v>
      </c>
      <c r="BG36" s="117">
        <v>3.4492238040862634E-2</v>
      </c>
      <c r="BH36" s="117">
        <v>3.2771591509027267E-2</v>
      </c>
      <c r="BI36" s="117">
        <v>3.3726333533648345E-2</v>
      </c>
      <c r="BJ36" s="117">
        <v>3.0909870889140219E-2</v>
      </c>
      <c r="BK36" s="117">
        <v>3.3578410653978111E-2</v>
      </c>
      <c r="BL36" s="117">
        <v>3.2739970720119672E-2</v>
      </c>
      <c r="BM36" s="117">
        <v>3.4392334148166157E-2</v>
      </c>
      <c r="BN36" s="117">
        <v>3.4277795989964055E-2</v>
      </c>
      <c r="BO36" s="117">
        <v>3.2963674309959515E-2</v>
      </c>
      <c r="BP36" s="117">
        <v>3.2374065124033312E-2</v>
      </c>
      <c r="BQ36" s="117">
        <v>3.3291510892543195E-2</v>
      </c>
      <c r="BR36" s="117">
        <v>3.4476229363506521E-2</v>
      </c>
      <c r="BS36" s="117">
        <v>3.3695582150802511E-2</v>
      </c>
      <c r="BT36" s="117">
        <v>3.3266730954057099E-2</v>
      </c>
      <c r="BU36" s="117">
        <v>3.3760082762106243E-2</v>
      </c>
      <c r="BV36" s="117">
        <v>3.4943830273177275E-2</v>
      </c>
      <c r="BW36" s="117">
        <v>3.2866202142955506E-2</v>
      </c>
      <c r="BX36" s="117">
        <v>3.1546318528231254E-2</v>
      </c>
      <c r="BY36" s="117">
        <v>3.2016328347843022E-2</v>
      </c>
      <c r="BZ36" s="117">
        <v>3.2218617516539323E-2</v>
      </c>
      <c r="CA36" s="117">
        <v>3.2102116651041873E-2</v>
      </c>
      <c r="CB36" s="117">
        <v>3.2830505474987573E-2</v>
      </c>
      <c r="CC36" s="117">
        <v>3.3847973727660859E-2</v>
      </c>
      <c r="CD36" s="117">
        <v>3.1411613696555735E-2</v>
      </c>
      <c r="CE36" s="117">
        <v>3.3145942527377362E-2</v>
      </c>
      <c r="CF36" s="117">
        <v>3.2228447523269643E-2</v>
      </c>
      <c r="CG36" s="117">
        <v>3.3345306624036189E-2</v>
      </c>
      <c r="CH36" s="117">
        <v>3.1567375603243672E-2</v>
      </c>
      <c r="CI36" s="117">
        <v>3.2946220730504405E-2</v>
      </c>
      <c r="CJ36" s="117">
        <v>3.1829625590828171E-2</v>
      </c>
      <c r="CK36" s="117">
        <v>3.3043557355599079E-2</v>
      </c>
      <c r="CL36" s="117">
        <v>3.460356921403776E-2</v>
      </c>
      <c r="CM36" s="117">
        <v>3.4026134407731404E-2</v>
      </c>
      <c r="CN36" s="117">
        <v>3.2134710323874896E-2</v>
      </c>
      <c r="CO36" s="117">
        <v>3.4438406188408835E-2</v>
      </c>
      <c r="CP36" s="117">
        <v>3.2687925732678827E-2</v>
      </c>
      <c r="CQ36" s="117">
        <v>3.0197776651110939E-2</v>
      </c>
      <c r="CR36" s="117">
        <v>3.4428877281167516E-2</v>
      </c>
      <c r="CS36" s="117">
        <v>3.3047554098214423E-2</v>
      </c>
      <c r="CT36" s="117">
        <v>3.4227552262839682E-2</v>
      </c>
      <c r="CU36" s="117">
        <v>3.4092483451494938E-2</v>
      </c>
      <c r="CV36" s="117">
        <v>3.5046303030513037E-2</v>
      </c>
      <c r="CW36" s="117">
        <v>3.2918310458531011E-2</v>
      </c>
      <c r="CX36" s="117">
        <v>3.5585859059744568E-2</v>
      </c>
    </row>
    <row r="37" spans="1:102" s="131" customFormat="1">
      <c r="A37" s="254" t="str">
        <f t="shared" si="0"/>
        <v>Commodities</v>
      </c>
      <c r="B37" s="255"/>
      <c r="C37" s="118">
        <v>4.0793813976085225E-2</v>
      </c>
      <c r="D37" s="118">
        <v>4.6346260813320397E-2</v>
      </c>
      <c r="E37" s="118">
        <v>4.1427173401297077E-2</v>
      </c>
      <c r="F37" s="118">
        <v>3.819540182463016E-2</v>
      </c>
      <c r="G37" s="118">
        <v>4.2388429599589356E-2</v>
      </c>
      <c r="H37" s="118">
        <v>4.5449534936959558E-2</v>
      </c>
      <c r="I37" s="118">
        <v>4.6174071668410234E-2</v>
      </c>
      <c r="J37" s="118">
        <v>4.6081871901298824E-2</v>
      </c>
      <c r="K37" s="118">
        <v>4.5503944470236174E-2</v>
      </c>
      <c r="L37" s="118">
        <v>4.2061626846479461E-2</v>
      </c>
      <c r="M37" s="118">
        <v>4.2928006028547669E-2</v>
      </c>
      <c r="N37" s="118">
        <v>4.5253968786023765E-2</v>
      </c>
      <c r="O37" s="118">
        <v>4.4517736195110034E-2</v>
      </c>
      <c r="P37" s="118">
        <v>4.6232366310847081E-2</v>
      </c>
      <c r="Q37" s="118">
        <v>4.5478939977229793E-2</v>
      </c>
      <c r="R37" s="118">
        <v>4.7822937968236195E-2</v>
      </c>
      <c r="S37" s="118">
        <v>4.6438753191361135E-2</v>
      </c>
      <c r="T37" s="118">
        <v>4.2646686551337826E-2</v>
      </c>
      <c r="U37" s="118">
        <v>4.8176385867613483E-2</v>
      </c>
      <c r="V37" s="118">
        <v>4.8566724338662839E-2</v>
      </c>
      <c r="W37" s="118">
        <v>4.600411857355155E-2</v>
      </c>
      <c r="X37" s="118">
        <v>4.759900460066626E-2</v>
      </c>
      <c r="Y37" s="118">
        <v>4.372940374773307E-2</v>
      </c>
      <c r="Z37" s="118">
        <v>4.3048240712596678E-2</v>
      </c>
      <c r="AA37" s="118">
        <v>4.5680265570504246E-2</v>
      </c>
      <c r="AB37" s="118">
        <v>4.1739032893267206E-2</v>
      </c>
      <c r="AC37" s="118">
        <v>4.1970236618712034E-2</v>
      </c>
      <c r="AD37" s="118">
        <v>4.6648692586750681E-2</v>
      </c>
      <c r="AE37" s="118">
        <v>3.9068144369323619E-2</v>
      </c>
      <c r="AF37" s="118">
        <v>4.909222295240085E-2</v>
      </c>
      <c r="AG37" s="118">
        <v>4.4610134645954494E-2</v>
      </c>
      <c r="AH37" s="118">
        <v>4.9295260008088794E-2</v>
      </c>
      <c r="AI37" s="118">
        <v>4.860871311404933E-2</v>
      </c>
      <c r="AJ37" s="118">
        <v>4.3468731632131663E-2</v>
      </c>
      <c r="AK37" s="118">
        <v>4.718522103065783E-2</v>
      </c>
      <c r="AL37" s="118">
        <v>4.6163978143868641E-2</v>
      </c>
      <c r="AM37" s="118">
        <v>4.0219798276234862E-2</v>
      </c>
      <c r="AN37" s="118">
        <v>4.9254890254170736E-2</v>
      </c>
      <c r="AO37" s="118">
        <v>4.2795322826440899E-2</v>
      </c>
      <c r="AP37" s="118">
        <v>4.5309770777020093E-2</v>
      </c>
      <c r="AQ37" s="118">
        <v>4.0049893068557156E-2</v>
      </c>
      <c r="AR37" s="118">
        <v>4.9514520210386548E-2</v>
      </c>
      <c r="AS37" s="118">
        <v>4.9229114087232587E-2</v>
      </c>
      <c r="AT37" s="118">
        <v>4.5932505976285995E-2</v>
      </c>
      <c r="AU37" s="118">
        <v>3.7835328269615748E-2</v>
      </c>
      <c r="AV37" s="118">
        <v>4.7868931310860272E-2</v>
      </c>
      <c r="AW37" s="118">
        <v>4.6638016213224109E-2</v>
      </c>
      <c r="AX37" s="118">
        <v>5.0118069411146708E-2</v>
      </c>
      <c r="AY37" s="118">
        <v>4.1895216292838877E-2</v>
      </c>
      <c r="AZ37" s="118">
        <v>4.0216639397113785E-2</v>
      </c>
      <c r="BA37" s="118">
        <v>4.560606024027887E-2</v>
      </c>
      <c r="BB37" s="118">
        <v>4.7701490380111816E-2</v>
      </c>
      <c r="BC37" s="118">
        <v>4.82126745948432E-2</v>
      </c>
      <c r="BD37" s="118">
        <v>4.6321903883679114E-2</v>
      </c>
      <c r="BE37" s="118">
        <v>4.3379526719298789E-2</v>
      </c>
      <c r="BF37" s="118">
        <v>4.8197315513636659E-2</v>
      </c>
      <c r="BG37" s="118">
        <v>4.8424303551289599E-2</v>
      </c>
      <c r="BH37" s="118">
        <v>4.634789596316366E-2</v>
      </c>
      <c r="BI37" s="118">
        <v>4.8398310967215974E-2</v>
      </c>
      <c r="BJ37" s="118">
        <v>4.4415687886327666E-2</v>
      </c>
      <c r="BK37" s="118">
        <v>4.892601792687537E-2</v>
      </c>
      <c r="BL37" s="118">
        <v>4.5582089478760718E-2</v>
      </c>
      <c r="BM37" s="118">
        <v>4.3420974098760411E-2</v>
      </c>
      <c r="BN37" s="118">
        <v>4.5352761590208623E-2</v>
      </c>
      <c r="BO37" s="118">
        <v>4.1405344568327923E-2</v>
      </c>
      <c r="BP37" s="118">
        <v>4.3624505108676388E-2</v>
      </c>
      <c r="BQ37" s="118">
        <v>4.907190658614928E-2</v>
      </c>
      <c r="BR37" s="118">
        <v>5.0569911156920402E-2</v>
      </c>
      <c r="BS37" s="118">
        <v>4.4778659724218045E-2</v>
      </c>
      <c r="BT37" s="118">
        <v>4.3136291506160829E-2</v>
      </c>
      <c r="BU37" s="118">
        <v>4.6122263035686534E-2</v>
      </c>
      <c r="BV37" s="118">
        <v>4.6720891598453371E-2</v>
      </c>
      <c r="BW37" s="118">
        <v>4.7351332068233006E-2</v>
      </c>
      <c r="BX37" s="118">
        <v>4.2757738920838055E-2</v>
      </c>
      <c r="BY37" s="118">
        <v>4.9759449088996294E-2</v>
      </c>
      <c r="BZ37" s="118">
        <v>4.5822175339507318E-2</v>
      </c>
      <c r="CA37" s="118">
        <v>4.7680392669954871E-2</v>
      </c>
      <c r="CB37" s="118">
        <v>5.0044427199932087E-2</v>
      </c>
      <c r="CC37" s="118">
        <v>5.0225113584804019E-2</v>
      </c>
      <c r="CD37" s="118">
        <v>4.1033632294533981E-2</v>
      </c>
      <c r="CE37" s="118">
        <v>4.9657138773548007E-2</v>
      </c>
      <c r="CF37" s="118">
        <v>4.6206615627329042E-2</v>
      </c>
      <c r="CG37" s="118">
        <v>4.6697324593421394E-2</v>
      </c>
      <c r="CH37" s="118">
        <v>4.3507542813973052E-2</v>
      </c>
      <c r="CI37" s="118">
        <v>4.8582527643619186E-2</v>
      </c>
      <c r="CJ37" s="118">
        <v>4.6993233488102901E-2</v>
      </c>
      <c r="CK37" s="118">
        <v>4.6290894080787015E-2</v>
      </c>
      <c r="CL37" s="118">
        <v>5.0126938766964176E-2</v>
      </c>
      <c r="CM37" s="118">
        <v>5.1532340003833423E-2</v>
      </c>
      <c r="CN37" s="118">
        <v>5.0368036229849686E-2</v>
      </c>
      <c r="CO37" s="118">
        <v>4.5699342631705539E-2</v>
      </c>
      <c r="CP37" s="118">
        <v>4.475969970102725E-2</v>
      </c>
      <c r="CQ37" s="118">
        <v>3.915741657744496E-2</v>
      </c>
      <c r="CR37" s="118">
        <v>4.7852534772510613E-2</v>
      </c>
      <c r="CS37" s="118">
        <v>4.5907346880515211E-2</v>
      </c>
      <c r="CT37" s="118">
        <v>4.7858714129410812E-2</v>
      </c>
      <c r="CU37" s="118">
        <v>4.8256058534629102E-2</v>
      </c>
      <c r="CV37" s="118">
        <v>5.017551087250352E-2</v>
      </c>
      <c r="CW37" s="118">
        <v>4.4680346223579873E-2</v>
      </c>
      <c r="CX37" s="118">
        <v>4.8114284094468905E-2</v>
      </c>
    </row>
    <row r="38" spans="1:102" s="115" customFormat="1">
      <c r="A38" s="76" t="s">
        <v>132</v>
      </c>
      <c r="B38" s="119"/>
      <c r="C38" s="120">
        <v>3.0825051281446996</v>
      </c>
      <c r="D38" s="120">
        <v>3.0754823194933483</v>
      </c>
      <c r="E38" s="120">
        <v>3.0372924115690689</v>
      </c>
      <c r="F38" s="120">
        <v>3.0521155440261545</v>
      </c>
      <c r="G38" s="120">
        <v>3.100038350205589</v>
      </c>
      <c r="H38" s="120">
        <v>3.2319340072735354</v>
      </c>
      <c r="I38" s="120">
        <v>3.2454487481092773</v>
      </c>
      <c r="J38" s="120">
        <v>3.3342594144715139</v>
      </c>
      <c r="K38" s="120">
        <v>3.3864982500730889</v>
      </c>
      <c r="L38" s="120">
        <v>3.3437636090085512</v>
      </c>
      <c r="M38" s="120">
        <v>3.4462088470126995</v>
      </c>
      <c r="N38" s="120">
        <v>3.397398809032584</v>
      </c>
      <c r="O38" s="120">
        <v>3.2013252393956568</v>
      </c>
      <c r="P38" s="120">
        <v>3.5663098047675712</v>
      </c>
      <c r="Q38" s="120">
        <v>3.0724977558732931</v>
      </c>
      <c r="R38" s="120">
        <v>3.4925545671435279</v>
      </c>
      <c r="S38" s="120">
        <v>3.7042029450782934</v>
      </c>
      <c r="T38" s="120">
        <v>3.2020067867975066</v>
      </c>
      <c r="U38" s="120">
        <v>3.1087001477354659</v>
      </c>
      <c r="V38" s="120">
        <v>3.4659119530565778</v>
      </c>
      <c r="W38" s="120">
        <v>3.3412629719212679</v>
      </c>
      <c r="X38" s="120">
        <v>3.4539333882439984</v>
      </c>
      <c r="Y38" s="120">
        <v>3.2999009545606435</v>
      </c>
      <c r="Z38" s="120">
        <v>3.4861223615084089</v>
      </c>
      <c r="AA38" s="120">
        <v>3.1719424250817259</v>
      </c>
      <c r="AB38" s="120">
        <v>3.2265485016068061</v>
      </c>
      <c r="AC38" s="120">
        <v>3.1824505467596071</v>
      </c>
      <c r="AD38" s="120">
        <v>3.2939824909443707</v>
      </c>
      <c r="AE38" s="120">
        <v>3.5538574519294293</v>
      </c>
      <c r="AF38" s="120">
        <v>3.595422538275272</v>
      </c>
      <c r="AG38" s="120">
        <v>3.5553995017784863</v>
      </c>
      <c r="AH38" s="120">
        <v>3.2896593801209835</v>
      </c>
      <c r="AI38" s="120">
        <v>3.1354841323997569</v>
      </c>
      <c r="AJ38" s="120">
        <v>3.0894499624633935</v>
      </c>
      <c r="AK38" s="120">
        <v>3.4714402242437563</v>
      </c>
      <c r="AL38" s="120">
        <v>3.7912622227954231</v>
      </c>
      <c r="AM38" s="120">
        <v>3.3142145802314236</v>
      </c>
      <c r="AN38" s="120">
        <v>3.372567410458819</v>
      </c>
      <c r="AO38" s="120">
        <v>2.9689289357555695</v>
      </c>
      <c r="AP38" s="120">
        <v>3.8017666360160489</v>
      </c>
      <c r="AQ38" s="120">
        <v>3.5320059991121262</v>
      </c>
      <c r="AR38" s="120">
        <v>3.2462418151000425</v>
      </c>
      <c r="AS38" s="120">
        <v>3.5712387340099618</v>
      </c>
      <c r="AT38" s="120">
        <v>3.9385950158589695</v>
      </c>
      <c r="AU38" s="120">
        <v>3.6043478914320337</v>
      </c>
      <c r="AV38" s="120">
        <v>3.8840237191756883</v>
      </c>
      <c r="AW38" s="120">
        <v>3.2463427202455781</v>
      </c>
      <c r="AX38" s="120">
        <v>3.0612433247224899</v>
      </c>
      <c r="AY38" s="120">
        <v>3.9576394486027993</v>
      </c>
      <c r="AZ38" s="120">
        <v>3.6084796141591151</v>
      </c>
      <c r="BA38" s="120">
        <v>3.2460296542380687</v>
      </c>
      <c r="BB38" s="120">
        <v>3.3859527558936735</v>
      </c>
      <c r="BC38" s="120">
        <v>3.1843433216319461</v>
      </c>
      <c r="BD38" s="120">
        <v>3.0779741269013394</v>
      </c>
      <c r="BE38" s="120">
        <v>3.2233427190364492</v>
      </c>
      <c r="BF38" s="120">
        <v>3.6002349854394242</v>
      </c>
      <c r="BG38" s="120">
        <v>3.7099546508264925</v>
      </c>
      <c r="BH38" s="120">
        <v>3.2222124644420163</v>
      </c>
      <c r="BI38" s="120">
        <v>4.0169347104598776</v>
      </c>
      <c r="BJ38" s="120">
        <v>3.246970229989377</v>
      </c>
      <c r="BK38" s="120">
        <v>3.133000269370338</v>
      </c>
      <c r="BL38" s="120">
        <v>3.2252083891494241</v>
      </c>
      <c r="BM38" s="120">
        <v>3.0939792583963652</v>
      </c>
      <c r="BN38" s="120">
        <v>3.8607877395853092</v>
      </c>
      <c r="BO38" s="120">
        <v>3.0766364050163388</v>
      </c>
      <c r="BP38" s="120">
        <v>3.3025491729018186</v>
      </c>
      <c r="BQ38" s="120">
        <v>4.0421640089566626</v>
      </c>
      <c r="BR38" s="120">
        <v>3.2111719456787591</v>
      </c>
      <c r="BS38" s="120">
        <v>3.046864070496115</v>
      </c>
      <c r="BT38" s="120">
        <v>3.3284172206818661</v>
      </c>
      <c r="BU38" s="120">
        <v>4.0605760152723409</v>
      </c>
      <c r="BV38" s="120">
        <v>3.9742620780457885</v>
      </c>
      <c r="BW38" s="120">
        <v>3.530572477562492</v>
      </c>
      <c r="BX38" s="120">
        <v>3.5145765668367175</v>
      </c>
      <c r="BY38" s="120">
        <v>3.3899315558467809</v>
      </c>
      <c r="BZ38" s="120">
        <v>3.1298680286655123</v>
      </c>
      <c r="CA38" s="120">
        <v>3.475719178110225</v>
      </c>
      <c r="CB38" s="120">
        <v>3.3726315651902001</v>
      </c>
      <c r="CC38" s="120">
        <v>3.8274263380451621</v>
      </c>
      <c r="CD38" s="120">
        <v>4.0702208995493452</v>
      </c>
      <c r="CE38" s="120">
        <v>3.4933127566380779</v>
      </c>
      <c r="CF38" s="120">
        <v>3.8690842962571961</v>
      </c>
      <c r="CG38" s="120">
        <v>3.1397106795889345</v>
      </c>
      <c r="CH38" s="120">
        <v>3.2940471984424979</v>
      </c>
      <c r="CI38" s="120">
        <v>3.3654711050595694</v>
      </c>
      <c r="CJ38" s="120">
        <v>3.0488314311056199</v>
      </c>
      <c r="CK38" s="120">
        <v>3.8033790892243129</v>
      </c>
      <c r="CL38" s="120">
        <v>3.3303837698737544</v>
      </c>
      <c r="CM38" s="120">
        <v>3.1509915237115331</v>
      </c>
      <c r="CN38" s="120">
        <v>3.4264540081931223</v>
      </c>
      <c r="CO38" s="120">
        <v>3.5160390754741067</v>
      </c>
      <c r="CP38" s="120">
        <v>3.4995263722408501</v>
      </c>
      <c r="CQ38" s="120">
        <v>3.4431079684021952</v>
      </c>
      <c r="CR38" s="120">
        <v>3.8324342818883608</v>
      </c>
      <c r="CS38" s="120">
        <v>3.0930612353755973</v>
      </c>
      <c r="CT38" s="120">
        <v>3.1810289795562516</v>
      </c>
      <c r="CU38" s="120">
        <v>3.0995555874648888</v>
      </c>
      <c r="CV38" s="120">
        <v>3.0603974715266467</v>
      </c>
      <c r="CW38" s="120">
        <v>3.2715890018179898</v>
      </c>
      <c r="CX38" s="120">
        <v>2.9260541353394927</v>
      </c>
    </row>
    <row r="39" spans="1:102" s="11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115" customFormat="1">
      <c r="A40" s="144" t="s">
        <v>133</v>
      </c>
      <c r="B40" s="14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31" customFormat="1">
      <c r="A41" s="128" t="str">
        <f>Parameters!A40</f>
        <v>Basis</v>
      </c>
      <c r="B41" s="122" t="s">
        <v>29</v>
      </c>
      <c r="C41" s="123">
        <v>1.3163548815943445E-2</v>
      </c>
      <c r="D41" s="123">
        <v>1.2513210548901886E-2</v>
      </c>
      <c r="E41" s="123">
        <v>1.2431962139260004E-2</v>
      </c>
      <c r="F41" s="123">
        <v>1.2901007594291827E-2</v>
      </c>
      <c r="G41" s="123">
        <v>1.1180055191331138E-2</v>
      </c>
      <c r="H41" s="123">
        <v>1.162860497190937E-2</v>
      </c>
      <c r="I41" s="123">
        <v>1.1968695199044185E-2</v>
      </c>
      <c r="J41" s="123">
        <v>1.1733696074234998E-2</v>
      </c>
      <c r="K41" s="123">
        <v>1.0780656981791419E-2</v>
      </c>
      <c r="L41" s="123">
        <v>1.2164616195384019E-2</v>
      </c>
      <c r="M41" s="123">
        <v>1.1968890133997361E-2</v>
      </c>
      <c r="N41" s="123">
        <v>1.0630951650486799E-2</v>
      </c>
      <c r="O41" s="123">
        <v>1.1170284081091671E-2</v>
      </c>
      <c r="P41" s="123">
        <v>1.185581972457353E-2</v>
      </c>
      <c r="Q41" s="123">
        <v>1.1909283171631219E-2</v>
      </c>
      <c r="R41" s="123">
        <v>1.0649469388148824E-2</v>
      </c>
      <c r="S41" s="123">
        <v>1.121089921549333E-2</v>
      </c>
      <c r="T41" s="123">
        <v>1.2843399486488284E-2</v>
      </c>
      <c r="U41" s="123">
        <v>1.2297478882397378E-2</v>
      </c>
      <c r="V41" s="123">
        <v>1.1628795552404479E-2</v>
      </c>
      <c r="W41" s="123">
        <v>1.1940033919836996E-2</v>
      </c>
      <c r="X41" s="123">
        <v>1.1496273464036418E-2</v>
      </c>
      <c r="Y41" s="123">
        <v>1.1875629296566655E-2</v>
      </c>
      <c r="Z41" s="123">
        <v>1.1090894238970198E-2</v>
      </c>
      <c r="AA41" s="123">
        <v>1.1790371598875533E-2</v>
      </c>
      <c r="AB41" s="123">
        <v>1.2211025247189901E-2</v>
      </c>
      <c r="AC41" s="123">
        <v>1.3631919335835303E-2</v>
      </c>
      <c r="AD41" s="123">
        <v>1.1272241883712697E-2</v>
      </c>
      <c r="AE41" s="123">
        <v>1.1986246891614621E-2</v>
      </c>
      <c r="AF41" s="123">
        <v>1.1091731800716039E-2</v>
      </c>
      <c r="AG41" s="123">
        <v>1.209256708989016E-2</v>
      </c>
      <c r="AH41" s="123">
        <v>1.0176814916551397E-2</v>
      </c>
      <c r="AI41" s="123">
        <v>1.2006208610072608E-2</v>
      </c>
      <c r="AJ41" s="123">
        <v>1.3112784132357799E-2</v>
      </c>
      <c r="AK41" s="123">
        <v>1.1312697706413636E-2</v>
      </c>
      <c r="AL41" s="123">
        <v>1.0475799293963549E-2</v>
      </c>
      <c r="AM41" s="123">
        <v>1.2388381225373311E-2</v>
      </c>
      <c r="AN41" s="123">
        <v>1.0906864646111323E-2</v>
      </c>
      <c r="AO41" s="123">
        <v>1.3944025382665357E-2</v>
      </c>
      <c r="AP41" s="123">
        <v>1.07081709303249E-2</v>
      </c>
      <c r="AQ41" s="123">
        <v>1.1807128683466206E-2</v>
      </c>
      <c r="AR41" s="123">
        <v>1.1086363951002768E-2</v>
      </c>
      <c r="AS41" s="123">
        <v>1.2130835449538861E-2</v>
      </c>
      <c r="AT41" s="123">
        <v>1.1426853855594721E-2</v>
      </c>
      <c r="AU41" s="123">
        <v>1.1790335872391124E-2</v>
      </c>
      <c r="AV41" s="123">
        <v>1.1037109190155676E-2</v>
      </c>
      <c r="AW41" s="123">
        <v>1.2309617924728709E-2</v>
      </c>
      <c r="AX41" s="123">
        <v>1.1678102255684199E-2</v>
      </c>
      <c r="AY41" s="123">
        <v>1.1341650314589835E-2</v>
      </c>
      <c r="AZ41" s="123">
        <v>1.2227122019192264E-2</v>
      </c>
      <c r="BA41" s="123">
        <v>1.2225679361168154E-2</v>
      </c>
      <c r="BB41" s="123">
        <v>1.2332471086690441E-2</v>
      </c>
      <c r="BC41" s="123">
        <v>1.101546890957374E-2</v>
      </c>
      <c r="BD41" s="123">
        <v>1.2311209068766711E-2</v>
      </c>
      <c r="BE41" s="123">
        <v>1.2253328773336481E-2</v>
      </c>
      <c r="BF41" s="123">
        <v>1.2577942962386946E-2</v>
      </c>
      <c r="BG41" s="123">
        <v>9.9305064765918254E-3</v>
      </c>
      <c r="BH41" s="123">
        <v>1.2893960743494498E-2</v>
      </c>
      <c r="BI41" s="123">
        <v>1.0250866661362283E-2</v>
      </c>
      <c r="BJ41" s="123">
        <v>1.1546644896703066E-2</v>
      </c>
      <c r="BK41" s="123">
        <v>1.2684941867510308E-2</v>
      </c>
      <c r="BL41" s="123">
        <v>1.1324306199480601E-2</v>
      </c>
      <c r="BM41" s="123">
        <v>1.4086166493151368E-2</v>
      </c>
      <c r="BN41" s="123">
        <v>1.0428226643991364E-2</v>
      </c>
      <c r="BO41" s="123">
        <v>1.3962214530719856E-2</v>
      </c>
      <c r="BP41" s="123">
        <v>1.217047467365354E-2</v>
      </c>
      <c r="BQ41" s="123">
        <v>1.0395205065060203E-2</v>
      </c>
      <c r="BR41" s="123">
        <v>9.9111756156223113E-3</v>
      </c>
      <c r="BS41" s="123">
        <v>1.3355894487217497E-2</v>
      </c>
      <c r="BT41" s="123">
        <v>1.2984534003772258E-2</v>
      </c>
      <c r="BU41" s="123">
        <v>1.0605687814394364E-2</v>
      </c>
      <c r="BV41" s="123">
        <v>9.9488032280234673E-3</v>
      </c>
      <c r="BW41" s="123">
        <v>1.2456572266496E-2</v>
      </c>
      <c r="BX41" s="123">
        <v>1.2571272181946563E-2</v>
      </c>
      <c r="BY41" s="123">
        <v>1.1414128646443623E-2</v>
      </c>
      <c r="BZ41" s="123">
        <v>1.2262875616650288E-2</v>
      </c>
      <c r="CA41" s="123">
        <v>1.1978213927761796E-2</v>
      </c>
      <c r="CB41" s="123">
        <v>1.1518583389795608E-2</v>
      </c>
      <c r="CC41" s="123">
        <v>1.0713452088264731E-2</v>
      </c>
      <c r="CD41" s="123">
        <v>1.0999041811692166E-2</v>
      </c>
      <c r="CE41" s="123">
        <v>1.221573612023745E-2</v>
      </c>
      <c r="CF41" s="123">
        <v>1.1792028934385202E-2</v>
      </c>
      <c r="CG41" s="123">
        <v>1.2654744013893493E-2</v>
      </c>
      <c r="CH41" s="123">
        <v>1.2397665618284542E-2</v>
      </c>
      <c r="CI41" s="123">
        <v>1.2543811818150985E-2</v>
      </c>
      <c r="CJ41" s="123">
        <v>1.1968899961586961E-2</v>
      </c>
      <c r="CK41" s="123">
        <v>1.1650000676225413E-2</v>
      </c>
      <c r="CL41" s="123">
        <v>1.1865846569346174E-2</v>
      </c>
      <c r="CM41" s="123">
        <v>1.0840722480094484E-2</v>
      </c>
      <c r="CN41" s="123">
        <v>1.2497677872115007E-2</v>
      </c>
      <c r="CO41" s="123">
        <v>1.2123402803881847E-2</v>
      </c>
      <c r="CP41" s="123">
        <v>1.2896838538242765E-2</v>
      </c>
      <c r="CQ41" s="123">
        <v>1.179081834221014E-2</v>
      </c>
      <c r="CR41" s="123">
        <v>9.6106182331166835E-3</v>
      </c>
      <c r="CS41" s="123">
        <v>1.2700761106846408E-2</v>
      </c>
      <c r="CT41" s="123">
        <v>1.1936351390323065E-2</v>
      </c>
      <c r="CU41" s="123">
        <v>1.2118776293453438E-2</v>
      </c>
      <c r="CV41" s="123">
        <v>1.3922219603641747E-2</v>
      </c>
      <c r="CW41" s="123">
        <v>1.1554961827247967E-2</v>
      </c>
      <c r="CX41" s="123">
        <v>1.483339019006575E-2</v>
      </c>
    </row>
    <row r="42" spans="1:102" s="115" customFormat="1">
      <c r="A42" s="23"/>
      <c r="B42" s="14" t="s">
        <v>30</v>
      </c>
      <c r="C42" s="125">
        <v>6.9256071133785749E-2</v>
      </c>
      <c r="D42" s="125">
        <v>6.6935129532433538E-2</v>
      </c>
      <c r="E42" s="125">
        <v>6.5851112473393411E-2</v>
      </c>
      <c r="F42" s="125">
        <v>7.0683217986428154E-2</v>
      </c>
      <c r="G42" s="125">
        <v>6.1113244376153397E-2</v>
      </c>
      <c r="H42" s="125">
        <v>6.4091479382298394E-2</v>
      </c>
      <c r="I42" s="125">
        <v>6.4350771525762532E-2</v>
      </c>
      <c r="J42" s="125">
        <v>6.4143600808936607E-2</v>
      </c>
      <c r="K42" s="125">
        <v>5.8261079631837111E-2</v>
      </c>
      <c r="L42" s="125">
        <v>6.5962189992462644E-2</v>
      </c>
      <c r="M42" s="125">
        <v>6.4894191856701075E-2</v>
      </c>
      <c r="N42" s="125">
        <v>5.7500459838619872E-2</v>
      </c>
      <c r="O42" s="125">
        <v>6.1193604680794614E-2</v>
      </c>
      <c r="P42" s="125">
        <v>6.3685487139609295E-2</v>
      </c>
      <c r="Q42" s="125">
        <v>6.5738679534324954E-2</v>
      </c>
      <c r="R42" s="125">
        <v>5.8145270416843656E-2</v>
      </c>
      <c r="S42" s="125">
        <v>6.1369106166800108E-2</v>
      </c>
      <c r="T42" s="125">
        <v>6.6181119111823436E-2</v>
      </c>
      <c r="U42" s="125">
        <v>6.2539011452885943E-2</v>
      </c>
      <c r="V42" s="125">
        <v>6.2185168577844702E-2</v>
      </c>
      <c r="W42" s="125">
        <v>6.4064877258864936E-2</v>
      </c>
      <c r="X42" s="125">
        <v>6.2057706302507794E-2</v>
      </c>
      <c r="Y42" s="125">
        <v>6.64707661298191E-2</v>
      </c>
      <c r="Z42" s="125">
        <v>6.2218175236770409E-2</v>
      </c>
      <c r="AA42" s="125">
        <v>6.3335916400817427E-2</v>
      </c>
      <c r="AB42" s="125">
        <v>6.8424237587612652E-2</v>
      </c>
      <c r="AC42" s="125">
        <v>6.8334132684924248E-2</v>
      </c>
      <c r="AD42" s="125">
        <v>5.9897290280923866E-2</v>
      </c>
      <c r="AE42" s="125">
        <v>6.7535539289736768E-2</v>
      </c>
      <c r="AF42" s="125">
        <v>6.0397758757222329E-2</v>
      </c>
      <c r="AG42" s="125">
        <v>6.2997069792187499E-2</v>
      </c>
      <c r="AH42" s="125">
        <v>5.6272006140470829E-2</v>
      </c>
      <c r="AI42" s="125">
        <v>6.2412568421523595E-2</v>
      </c>
      <c r="AJ42" s="125">
        <v>6.9128214222370685E-2</v>
      </c>
      <c r="AK42" s="125">
        <v>6.0687118659437586E-2</v>
      </c>
      <c r="AL42" s="125">
        <v>5.828970345729996E-2</v>
      </c>
      <c r="AM42" s="125">
        <v>6.9855595538119847E-2</v>
      </c>
      <c r="AN42" s="125">
        <v>5.7763940104009037E-2</v>
      </c>
      <c r="AO42" s="125">
        <v>7.0418007323921103E-2</v>
      </c>
      <c r="AP42" s="125">
        <v>5.9079288415659847E-2</v>
      </c>
      <c r="AQ42" s="125">
        <v>6.6456795076167613E-2</v>
      </c>
      <c r="AR42" s="125">
        <v>5.9115124465935039E-2</v>
      </c>
      <c r="AS42" s="125">
        <v>6.4774355835751127E-2</v>
      </c>
      <c r="AT42" s="125">
        <v>6.146303481211389E-2</v>
      </c>
      <c r="AU42" s="125">
        <v>6.7741763804738953E-2</v>
      </c>
      <c r="AV42" s="125">
        <v>5.9168735337506592E-2</v>
      </c>
      <c r="AW42" s="125">
        <v>6.1551136095355591E-2</v>
      </c>
      <c r="AX42" s="125">
        <v>6.3203996404960466E-2</v>
      </c>
      <c r="AY42" s="125">
        <v>6.2876215003325214E-2</v>
      </c>
      <c r="AZ42" s="125">
        <v>6.5545777099661529E-2</v>
      </c>
      <c r="BA42" s="125">
        <v>6.6659376750358962E-2</v>
      </c>
      <c r="BB42" s="125">
        <v>6.7171955553976051E-2</v>
      </c>
      <c r="BC42" s="125">
        <v>5.8676529271896878E-2</v>
      </c>
      <c r="BD42" s="125">
        <v>6.6640373645210832E-2</v>
      </c>
      <c r="BE42" s="125">
        <v>6.9196006346207276E-2</v>
      </c>
      <c r="BF42" s="125">
        <v>6.2420646428957997E-2</v>
      </c>
      <c r="BG42" s="125">
        <v>5.4763035774655779E-2</v>
      </c>
      <c r="BH42" s="125">
        <v>6.6514969809605681E-2</v>
      </c>
      <c r="BI42" s="125">
        <v>5.590481261645542E-2</v>
      </c>
      <c r="BJ42" s="125">
        <v>6.618615850520787E-2</v>
      </c>
      <c r="BK42" s="125">
        <v>6.6719185875378673E-2</v>
      </c>
      <c r="BL42" s="125">
        <v>6.3192060210857603E-2</v>
      </c>
      <c r="BM42" s="125">
        <v>6.7693031622507768E-2</v>
      </c>
      <c r="BN42" s="125">
        <v>5.6661138695473234E-2</v>
      </c>
      <c r="BO42" s="125">
        <v>7.1013101774042325E-2</v>
      </c>
      <c r="BP42" s="125">
        <v>6.6615098756640193E-2</v>
      </c>
      <c r="BQ42" s="125">
        <v>5.6850372379138252E-2</v>
      </c>
      <c r="BR42" s="125">
        <v>5.6346556016774553E-2</v>
      </c>
      <c r="BS42" s="125">
        <v>6.7090436890053076E-2</v>
      </c>
      <c r="BT42" s="125">
        <v>6.5193389437290528E-2</v>
      </c>
      <c r="BU42" s="125">
        <v>5.7538652001695244E-2</v>
      </c>
      <c r="BV42" s="125">
        <v>5.3905686353137909E-2</v>
      </c>
      <c r="BW42" s="125">
        <v>6.5227663117816803E-2</v>
      </c>
      <c r="BX42" s="125">
        <v>6.8240237102692447E-2</v>
      </c>
      <c r="BY42" s="125">
        <v>6.2875050516632683E-2</v>
      </c>
      <c r="BZ42" s="125">
        <v>6.7251717219050183E-2</v>
      </c>
      <c r="CA42" s="125">
        <v>6.5375017610400196E-2</v>
      </c>
      <c r="CB42" s="125">
        <v>6.2868289281951886E-2</v>
      </c>
      <c r="CC42" s="125">
        <v>5.7644005163683489E-2</v>
      </c>
      <c r="CD42" s="125">
        <v>6.2109735309530005E-2</v>
      </c>
      <c r="CE42" s="125">
        <v>6.3689468100800298E-2</v>
      </c>
      <c r="CF42" s="125">
        <v>6.4234742354728147E-2</v>
      </c>
      <c r="CG42" s="125">
        <v>6.6519664473858875E-2</v>
      </c>
      <c r="CH42" s="125">
        <v>6.8125383245478954E-2</v>
      </c>
      <c r="CI42" s="125">
        <v>6.553940231444888E-2</v>
      </c>
      <c r="CJ42" s="125">
        <v>6.6923348897209287E-2</v>
      </c>
      <c r="CK42" s="125">
        <v>6.1420603896410561E-2</v>
      </c>
      <c r="CL42" s="125">
        <v>6.2107979017366741E-2</v>
      </c>
      <c r="CM42" s="125">
        <v>6.0347314130222623E-2</v>
      </c>
      <c r="CN42" s="125">
        <v>6.6014326605361384E-2</v>
      </c>
      <c r="CO42" s="125">
        <v>6.2525038568043298E-2</v>
      </c>
      <c r="CP42" s="125">
        <v>6.7737449435702382E-2</v>
      </c>
      <c r="CQ42" s="125">
        <v>6.8384943658986827E-2</v>
      </c>
      <c r="CR42" s="125">
        <v>5.3984102703079233E-2</v>
      </c>
      <c r="CS42" s="125">
        <v>6.6579772801444281E-2</v>
      </c>
      <c r="CT42" s="125">
        <v>6.3156894482634618E-2</v>
      </c>
      <c r="CU42" s="125">
        <v>6.376240018286207E-2</v>
      </c>
      <c r="CV42" s="125">
        <v>6.7516782787567356E-2</v>
      </c>
      <c r="CW42" s="125">
        <v>6.3922428966112041E-2</v>
      </c>
      <c r="CX42" s="125">
        <v>6.9688401016345408E-2</v>
      </c>
    </row>
    <row r="43" spans="1:102" s="115" customFormat="1">
      <c r="A43" s="23"/>
      <c r="B43" s="67" t="s">
        <v>56</v>
      </c>
      <c r="C43" s="125">
        <v>0.10847367145318991</v>
      </c>
      <c r="D43" s="125">
        <v>0.11093957206555503</v>
      </c>
      <c r="E43" s="125">
        <v>0.10546146195570148</v>
      </c>
      <c r="F43" s="125">
        <v>0.10863962222148109</v>
      </c>
      <c r="G43" s="125">
        <v>0.10234574506302749</v>
      </c>
      <c r="H43" s="125">
        <v>0.1094316396537207</v>
      </c>
      <c r="I43" s="125">
        <v>0.10798582502841926</v>
      </c>
      <c r="J43" s="125">
        <v>0.10917255029491044</v>
      </c>
      <c r="K43" s="125">
        <v>0.10344908635586425</v>
      </c>
      <c r="L43" s="125">
        <v>0.10653201432123421</v>
      </c>
      <c r="M43" s="125">
        <v>0.10685648969176106</v>
      </c>
      <c r="N43" s="125">
        <v>0.1033023644637639</v>
      </c>
      <c r="O43" s="125">
        <v>0.10082280687490686</v>
      </c>
      <c r="P43" s="125">
        <v>0.10813840057953233</v>
      </c>
      <c r="Q43" s="125">
        <v>0.10360424296476325</v>
      </c>
      <c r="R43" s="125">
        <v>0.10504568314937637</v>
      </c>
      <c r="S43" s="125">
        <v>0.10799489801907394</v>
      </c>
      <c r="T43" s="125">
        <v>0.10530758447117046</v>
      </c>
      <c r="U43" s="125">
        <v>0.10482743519389688</v>
      </c>
      <c r="V43" s="125">
        <v>0.10795039881256488</v>
      </c>
      <c r="W43" s="125">
        <v>0.10527278883332156</v>
      </c>
      <c r="X43" s="125">
        <v>0.10772623165448245</v>
      </c>
      <c r="Y43" s="125">
        <v>0.1084846057446819</v>
      </c>
      <c r="Z43" s="125">
        <v>0.10465202867457246</v>
      </c>
      <c r="AA43" s="125">
        <v>0.10444963032003243</v>
      </c>
      <c r="AB43" s="125">
        <v>0.10849139514865577</v>
      </c>
      <c r="AC43" s="125">
        <v>0.10498021646260269</v>
      </c>
      <c r="AD43" s="125">
        <v>0.10319874646224798</v>
      </c>
      <c r="AE43" s="125">
        <v>0.10866242518652348</v>
      </c>
      <c r="AF43" s="125">
        <v>0.1076897849603566</v>
      </c>
      <c r="AG43" s="125">
        <v>0.10488031906765306</v>
      </c>
      <c r="AH43" s="125">
        <v>0.10499969749301129</v>
      </c>
      <c r="AI43" s="125">
        <v>0.10429600265788923</v>
      </c>
      <c r="AJ43" s="125">
        <v>0.10757352255231703</v>
      </c>
      <c r="AK43" s="125">
        <v>0.10488160528842576</v>
      </c>
      <c r="AL43" s="125">
        <v>0.10371210063743661</v>
      </c>
      <c r="AM43" s="125">
        <v>0.10945461907632267</v>
      </c>
      <c r="AN43" s="125">
        <v>0.10401376621096915</v>
      </c>
      <c r="AO43" s="125">
        <v>0.1070691883955061</v>
      </c>
      <c r="AP43" s="125">
        <v>0.10362053280559709</v>
      </c>
      <c r="AQ43" s="125">
        <v>0.10737123586984851</v>
      </c>
      <c r="AR43" s="125">
        <v>0.10450921641128591</v>
      </c>
      <c r="AS43" s="125">
        <v>0.11099159830936331</v>
      </c>
      <c r="AT43" s="125">
        <v>0.10745557945482782</v>
      </c>
      <c r="AU43" s="125">
        <v>0.10885489472465745</v>
      </c>
      <c r="AV43" s="125">
        <v>0.10595796235819195</v>
      </c>
      <c r="AW43" s="125">
        <v>0.10127623101381912</v>
      </c>
      <c r="AX43" s="125">
        <v>0.10902608675678675</v>
      </c>
      <c r="AY43" s="125">
        <v>0.10683065451480991</v>
      </c>
      <c r="AZ43" s="125">
        <v>0.10646343772461048</v>
      </c>
      <c r="BA43" s="125">
        <v>0.10337029799464675</v>
      </c>
      <c r="BB43" s="125">
        <v>0.11158445221440437</v>
      </c>
      <c r="BC43" s="125">
        <v>0.10058060093240234</v>
      </c>
      <c r="BD43" s="125">
        <v>0.10827031913214885</v>
      </c>
      <c r="BE43" s="125">
        <v>0.11031645867208423</v>
      </c>
      <c r="BF43" s="125">
        <v>0.10509708143505656</v>
      </c>
      <c r="BG43" s="125">
        <v>0.10275234026984469</v>
      </c>
      <c r="BH43" s="125">
        <v>0.10613531916990276</v>
      </c>
      <c r="BI43" s="125">
        <v>0.1037168787671801</v>
      </c>
      <c r="BJ43" s="125">
        <v>0.10881287281140198</v>
      </c>
      <c r="BK43" s="125">
        <v>0.110425409365439</v>
      </c>
      <c r="BL43" s="125">
        <v>0.10605154382993427</v>
      </c>
      <c r="BM43" s="125">
        <v>0.1030208497359562</v>
      </c>
      <c r="BN43" s="125">
        <v>0.10324231308830231</v>
      </c>
      <c r="BO43" s="125">
        <v>0.1065364326650747</v>
      </c>
      <c r="BP43" s="125">
        <v>0.10693758569133277</v>
      </c>
      <c r="BQ43" s="125">
        <v>0.10518660054365067</v>
      </c>
      <c r="BR43" s="125">
        <v>0.10652588849944229</v>
      </c>
      <c r="BS43" s="125">
        <v>0.1009912847876141</v>
      </c>
      <c r="BT43" s="125">
        <v>0.10248940597276049</v>
      </c>
      <c r="BU43" s="125">
        <v>0.1051769514834948</v>
      </c>
      <c r="BV43" s="125">
        <v>0.10156357448955183</v>
      </c>
      <c r="BW43" s="125">
        <v>0.10592298903673862</v>
      </c>
      <c r="BX43" s="125">
        <v>0.10878906799287733</v>
      </c>
      <c r="BY43" s="125">
        <v>0.10582627947162157</v>
      </c>
      <c r="BZ43" s="125">
        <v>0.10706684075547415</v>
      </c>
      <c r="CA43" s="125">
        <v>0.10926484459474438</v>
      </c>
      <c r="CB43" s="125">
        <v>0.10859241416774849</v>
      </c>
      <c r="CC43" s="125">
        <v>0.10460458203856733</v>
      </c>
      <c r="CD43" s="125">
        <v>0.10601128901465286</v>
      </c>
      <c r="CE43" s="125">
        <v>0.10653582897169032</v>
      </c>
      <c r="CF43" s="125">
        <v>0.11040442036655475</v>
      </c>
      <c r="CG43" s="125">
        <v>0.10397512312817121</v>
      </c>
      <c r="CH43" s="125">
        <v>0.10542720286192156</v>
      </c>
      <c r="CI43" s="125">
        <v>0.10672800101378216</v>
      </c>
      <c r="CJ43" s="125">
        <v>0.10172652327997145</v>
      </c>
      <c r="CK43" s="125">
        <v>0.10360293256935368</v>
      </c>
      <c r="CL43" s="125">
        <v>0.10764019471856194</v>
      </c>
      <c r="CM43" s="125">
        <v>0.10882413573568554</v>
      </c>
      <c r="CN43" s="125">
        <v>0.10664652173643024</v>
      </c>
      <c r="CO43" s="125">
        <v>0.10386148000271135</v>
      </c>
      <c r="CP43" s="125">
        <v>0.10910646286638824</v>
      </c>
      <c r="CQ43" s="125">
        <v>0.10608975145709182</v>
      </c>
      <c r="CR43" s="125">
        <v>0.10081002823763478</v>
      </c>
      <c r="CS43" s="125">
        <v>0.10023916515577921</v>
      </c>
      <c r="CT43" s="125">
        <v>0.106010163223348</v>
      </c>
      <c r="CU43" s="125">
        <v>0.10512747506495186</v>
      </c>
      <c r="CV43" s="125">
        <v>0.10482126230946341</v>
      </c>
      <c r="CW43" s="125">
        <v>0.10176905331320678</v>
      </c>
      <c r="CX43" s="125">
        <v>0.1052083656446334</v>
      </c>
    </row>
    <row r="44" spans="1:102" s="115" customFormat="1">
      <c r="A44" s="126"/>
      <c r="B44" s="129" t="s">
        <v>114</v>
      </c>
      <c r="C44" s="127">
        <v>0.48178304668011579</v>
      </c>
      <c r="D44" s="127">
        <v>0.48502444941889788</v>
      </c>
      <c r="E44" s="127">
        <v>0.48526992206473085</v>
      </c>
      <c r="F44" s="127">
        <v>0.48363105440149895</v>
      </c>
      <c r="G44" s="127">
        <v>0.49229717451907551</v>
      </c>
      <c r="H44" s="127">
        <v>0.48986371552437452</v>
      </c>
      <c r="I44" s="127">
        <v>0.48779698772195401</v>
      </c>
      <c r="J44" s="127">
        <v>0.48921855875793974</v>
      </c>
      <c r="K44" s="127">
        <v>0.49465461746567274</v>
      </c>
      <c r="L44" s="127">
        <v>0.48691065360991037</v>
      </c>
      <c r="M44" s="127">
        <v>0.48789794575955558</v>
      </c>
      <c r="N44" s="127">
        <v>0.49562250041562672</v>
      </c>
      <c r="O44" s="127">
        <v>0.49237097822625142</v>
      </c>
      <c r="P44" s="127">
        <v>0.48837631275380144</v>
      </c>
      <c r="Q44" s="127">
        <v>0.4884149374987608</v>
      </c>
      <c r="R44" s="127">
        <v>0.49554399851838077</v>
      </c>
      <c r="S44" s="127">
        <v>0.49212881561604349</v>
      </c>
      <c r="T44" s="127">
        <v>0.48286515241688605</v>
      </c>
      <c r="U44" s="127">
        <v>0.48534746038274235</v>
      </c>
      <c r="V44" s="127">
        <v>0.48955183148720965</v>
      </c>
      <c r="W44" s="127">
        <v>0.48792094333503455</v>
      </c>
      <c r="X44" s="127">
        <v>0.49038203388137602</v>
      </c>
      <c r="Y44" s="127">
        <v>0.48874439717421547</v>
      </c>
      <c r="Z44" s="127">
        <v>0.49300555607071844</v>
      </c>
      <c r="AA44" s="127">
        <v>0.48872425225978938</v>
      </c>
      <c r="AB44" s="127">
        <v>0.48711102958294739</v>
      </c>
      <c r="AC44" s="127">
        <v>0.47880642886570479</v>
      </c>
      <c r="AD44" s="127">
        <v>0.49152694696965255</v>
      </c>
      <c r="AE44" s="127">
        <v>0.48826864116345803</v>
      </c>
      <c r="AF44" s="127">
        <v>0.49278923147151843</v>
      </c>
      <c r="AG44" s="127">
        <v>0.48675081241147911</v>
      </c>
      <c r="AH44" s="127">
        <v>0.49874646676414519</v>
      </c>
      <c r="AI44" s="127">
        <v>0.48717848584493262</v>
      </c>
      <c r="AJ44" s="127">
        <v>0.48204204051741495</v>
      </c>
      <c r="AK44" s="127">
        <v>0.49137131909816523</v>
      </c>
      <c r="AL44" s="127">
        <v>0.49674360416631191</v>
      </c>
      <c r="AM44" s="127">
        <v>0.48636271526252828</v>
      </c>
      <c r="AN44" s="127">
        <v>0.49373706523495281</v>
      </c>
      <c r="AO44" s="127">
        <v>0.47766741369669763</v>
      </c>
      <c r="AP44" s="127">
        <v>0.49521807780631949</v>
      </c>
      <c r="AQ44" s="127">
        <v>0.48915308511239425</v>
      </c>
      <c r="AR44" s="127">
        <v>0.49266901452292378</v>
      </c>
      <c r="AS44" s="127">
        <v>0.48687864902601941</v>
      </c>
      <c r="AT44" s="127">
        <v>0.49073945490019305</v>
      </c>
      <c r="AU44" s="127">
        <v>0.48945764773921502</v>
      </c>
      <c r="AV44" s="127">
        <v>0.49300770046841969</v>
      </c>
      <c r="AW44" s="127">
        <v>0.48503377646207907</v>
      </c>
      <c r="AX44" s="127">
        <v>0.48940909859720366</v>
      </c>
      <c r="AY44" s="127">
        <v>0.49148803053580026</v>
      </c>
      <c r="AZ44" s="127">
        <v>0.48644730075285419</v>
      </c>
      <c r="BA44" s="127">
        <v>0.48668225396968001</v>
      </c>
      <c r="BB44" s="127">
        <v>0.48614995849488396</v>
      </c>
      <c r="BC44" s="127">
        <v>0.49309616185332222</v>
      </c>
      <c r="BD44" s="127">
        <v>0.48616673111405023</v>
      </c>
      <c r="BE44" s="127">
        <v>0.48701096621590861</v>
      </c>
      <c r="BF44" s="127">
        <v>0.48352855641677855</v>
      </c>
      <c r="BG44" s="127">
        <v>0.50050625201595689</v>
      </c>
      <c r="BH44" s="127">
        <v>0.482648129338692</v>
      </c>
      <c r="BI44" s="127">
        <v>0.49820979666340653</v>
      </c>
      <c r="BJ44" s="127">
        <v>0.49067832452317162</v>
      </c>
      <c r="BK44" s="127">
        <v>0.48394992717195917</v>
      </c>
      <c r="BL44" s="127">
        <v>0.49164004047751347</v>
      </c>
      <c r="BM44" s="127">
        <v>0.47593319256884103</v>
      </c>
      <c r="BN44" s="127">
        <v>0.49698495138824494</v>
      </c>
      <c r="BO44" s="127">
        <v>0.47775234303326347</v>
      </c>
      <c r="BP44" s="127">
        <v>0.48700383321861923</v>
      </c>
      <c r="BQ44" s="127">
        <v>0.49722670699555321</v>
      </c>
      <c r="BR44" s="127">
        <v>0.50062889003849509</v>
      </c>
      <c r="BS44" s="127">
        <v>0.48005304216737132</v>
      </c>
      <c r="BT44" s="127">
        <v>0.48174291826681159</v>
      </c>
      <c r="BU44" s="127">
        <v>0.49580056176197035</v>
      </c>
      <c r="BV44" s="127">
        <v>0.50037889423681858</v>
      </c>
      <c r="BW44" s="127">
        <v>0.48497878251431886</v>
      </c>
      <c r="BX44" s="127">
        <v>0.48497152773956187</v>
      </c>
      <c r="BY44" s="127">
        <v>0.49102810823997756</v>
      </c>
      <c r="BZ44" s="127">
        <v>0.48657898298854102</v>
      </c>
      <c r="CA44" s="127">
        <v>0.48793005669095679</v>
      </c>
      <c r="CB44" s="127">
        <v>0.4903644870961989</v>
      </c>
      <c r="CC44" s="127">
        <v>0.49506247118709101</v>
      </c>
      <c r="CD44" s="127">
        <v>0.49358324696386896</v>
      </c>
      <c r="CE44" s="127">
        <v>0.48612372549996236</v>
      </c>
      <c r="CF44" s="127">
        <v>0.48887170155793447</v>
      </c>
      <c r="CG44" s="127">
        <v>0.48408277366236241</v>
      </c>
      <c r="CH44" s="127">
        <v>0.48596216699313327</v>
      </c>
      <c r="CI44" s="127">
        <v>0.48451955153874365</v>
      </c>
      <c r="CJ44" s="127">
        <v>0.48826472140751243</v>
      </c>
      <c r="CK44" s="127">
        <v>0.48928411925029769</v>
      </c>
      <c r="CL44" s="127">
        <v>0.48801678713860963</v>
      </c>
      <c r="CM44" s="127">
        <v>0.49444235589829094</v>
      </c>
      <c r="CN44" s="127">
        <v>0.48490946323235828</v>
      </c>
      <c r="CO44" s="127">
        <v>0.48645418908568072</v>
      </c>
      <c r="CP44" s="127">
        <v>0.48294415851220879</v>
      </c>
      <c r="CQ44" s="127">
        <v>0.48955396514803828</v>
      </c>
      <c r="CR44" s="127">
        <v>0.50287750458564862</v>
      </c>
      <c r="CS44" s="127">
        <v>0.48382162721145733</v>
      </c>
      <c r="CT44" s="127">
        <v>0.48777059196499628</v>
      </c>
      <c r="CU44" s="127">
        <v>0.48674588920419637</v>
      </c>
      <c r="CV44" s="127">
        <v>0.47683746891304662</v>
      </c>
      <c r="CW44" s="127">
        <v>0.49029638184155061</v>
      </c>
      <c r="CX44" s="127">
        <v>0.47235266057793474</v>
      </c>
    </row>
    <row r="45" spans="1:102" s="131" customFormat="1">
      <c r="A45" s="108" t="str">
        <f>Parameters!A41</f>
        <v>Groei recessie</v>
      </c>
      <c r="B45" s="122" t="s">
        <v>29</v>
      </c>
      <c r="C45" s="123">
        <v>1.1942964981309374E-2</v>
      </c>
      <c r="D45" s="123">
        <v>1.1881826569994357E-2</v>
      </c>
      <c r="E45" s="123">
        <v>1.1767313521748288E-2</v>
      </c>
      <c r="F45" s="123">
        <v>1.1727405928972789E-2</v>
      </c>
      <c r="G45" s="123">
        <v>1.172379228661557E-2</v>
      </c>
      <c r="H45" s="123">
        <v>1.1650118319016106E-2</v>
      </c>
      <c r="I45" s="123">
        <v>1.1548588125343652E-2</v>
      </c>
      <c r="J45" s="123">
        <v>1.1420412586637698E-2</v>
      </c>
      <c r="K45" s="123">
        <v>1.1302568681756078E-2</v>
      </c>
      <c r="L45" s="123">
        <v>1.1286264614579896E-2</v>
      </c>
      <c r="M45" s="123">
        <v>1.1162865297343455E-2</v>
      </c>
      <c r="N45" s="123">
        <v>1.1114769976526325E-2</v>
      </c>
      <c r="O45" s="123">
        <v>1.1043607095152699E-2</v>
      </c>
      <c r="P45" s="123">
        <v>1.0993366668709236E-2</v>
      </c>
      <c r="Q45" s="123">
        <v>1.0976273344198274E-2</v>
      </c>
      <c r="R45" s="123">
        <v>1.0958352740785122E-2</v>
      </c>
      <c r="S45" s="123">
        <v>1.0933116574743659E-2</v>
      </c>
      <c r="T45" s="123">
        <v>1.0929013985782342E-2</v>
      </c>
      <c r="U45" s="123">
        <v>1.0912010547548827E-2</v>
      </c>
      <c r="V45" s="123">
        <v>1.0901018387862036E-2</v>
      </c>
      <c r="W45" s="123">
        <v>1.0894499348231113E-2</v>
      </c>
      <c r="X45" s="123">
        <v>1.0871035570995662E-2</v>
      </c>
      <c r="Y45" s="123">
        <v>1.0866902877188242E-2</v>
      </c>
      <c r="Z45" s="123">
        <v>1.0824725769585137E-2</v>
      </c>
      <c r="AA45" s="123">
        <v>1.0783447616042972E-2</v>
      </c>
      <c r="AB45" s="123">
        <v>1.077967259402866E-2</v>
      </c>
      <c r="AC45" s="123">
        <v>1.0769282169688437E-2</v>
      </c>
      <c r="AD45" s="123">
        <v>1.0767137812703331E-2</v>
      </c>
      <c r="AE45" s="123">
        <v>1.0748569541005573E-2</v>
      </c>
      <c r="AF45" s="123">
        <v>1.0704382325743906E-2</v>
      </c>
      <c r="AG45" s="123">
        <v>1.0693770007791341E-2</v>
      </c>
      <c r="AH45" s="123">
        <v>1.0613088392023101E-2</v>
      </c>
      <c r="AI45" s="123">
        <v>1.0608816113420877E-2</v>
      </c>
      <c r="AJ45" s="123">
        <v>1.0601298216444257E-2</v>
      </c>
      <c r="AK45" s="123">
        <v>1.05928787674541E-2</v>
      </c>
      <c r="AL45" s="123">
        <v>1.0575195506830268E-2</v>
      </c>
      <c r="AM45" s="123">
        <v>1.056453512462836E-2</v>
      </c>
      <c r="AN45" s="123">
        <v>1.0538566049917396E-2</v>
      </c>
      <c r="AO45" s="123">
        <v>1.0535076435490022E-2</v>
      </c>
      <c r="AP45" s="123">
        <v>1.0502591263446541E-2</v>
      </c>
      <c r="AQ45" s="123">
        <v>1.0494696256597732E-2</v>
      </c>
      <c r="AR45" s="123">
        <v>1.045689472115429E-2</v>
      </c>
      <c r="AS45" s="123">
        <v>1.0452740099443285E-2</v>
      </c>
      <c r="AT45" s="123">
        <v>1.0449444295017603E-2</v>
      </c>
      <c r="AU45" s="123">
        <v>1.0446526679383408E-2</v>
      </c>
      <c r="AV45" s="123">
        <v>1.0442815434990196E-2</v>
      </c>
      <c r="AW45" s="123">
        <v>1.0433157649177262E-2</v>
      </c>
      <c r="AX45" s="123">
        <v>1.0427169299002306E-2</v>
      </c>
      <c r="AY45" s="123">
        <v>1.0380183545700765E-2</v>
      </c>
      <c r="AZ45" s="123">
        <v>1.0372871537492136E-2</v>
      </c>
      <c r="BA45" s="123">
        <v>1.0367141479265669E-2</v>
      </c>
      <c r="BB45" s="123">
        <v>1.035253686787432E-2</v>
      </c>
      <c r="BC45" s="123">
        <v>1.0336625352121875E-2</v>
      </c>
      <c r="BD45" s="123">
        <v>1.0334144012114067E-2</v>
      </c>
      <c r="BE45" s="123">
        <v>1.0314354904638237E-2</v>
      </c>
      <c r="BF45" s="123">
        <v>1.0313527642119681E-2</v>
      </c>
      <c r="BG45" s="123">
        <v>1.0313268599454119E-2</v>
      </c>
      <c r="BH45" s="123">
        <v>1.0300391556851651E-2</v>
      </c>
      <c r="BI45" s="123">
        <v>1.0297735347628605E-2</v>
      </c>
      <c r="BJ45" s="123">
        <v>1.0293405921306472E-2</v>
      </c>
      <c r="BK45" s="123">
        <v>1.0290992900764601E-2</v>
      </c>
      <c r="BL45" s="123">
        <v>1.0281718009794437E-2</v>
      </c>
      <c r="BM45" s="123">
        <v>1.027599321152823E-2</v>
      </c>
      <c r="BN45" s="123">
        <v>1.0271517483979323E-2</v>
      </c>
      <c r="BO45" s="123">
        <v>1.0269297970100139E-2</v>
      </c>
      <c r="BP45" s="123">
        <v>1.026338671958171E-2</v>
      </c>
      <c r="BQ45" s="123">
        <v>1.0262923945588798E-2</v>
      </c>
      <c r="BR45" s="123">
        <v>1.0243514021706453E-2</v>
      </c>
      <c r="BS45" s="123">
        <v>1.0236203791870697E-2</v>
      </c>
      <c r="BT45" s="123">
        <v>1.0218775549567379E-2</v>
      </c>
      <c r="BU45" s="123">
        <v>1.0213294019875321E-2</v>
      </c>
      <c r="BV45" s="123">
        <v>1.0202141800571283E-2</v>
      </c>
      <c r="BW45" s="123">
        <v>1.0196554728003649E-2</v>
      </c>
      <c r="BX45" s="123">
        <v>1.0190663841438569E-2</v>
      </c>
      <c r="BY45" s="123">
        <v>1.0166649880826739E-2</v>
      </c>
      <c r="BZ45" s="123">
        <v>1.0161371106853091E-2</v>
      </c>
      <c r="CA45" s="123">
        <v>1.0156490834545239E-2</v>
      </c>
      <c r="CB45" s="123">
        <v>1.0145187105014712E-2</v>
      </c>
      <c r="CC45" s="123">
        <v>1.0128100897291497E-2</v>
      </c>
      <c r="CD45" s="123">
        <v>1.0120563102332348E-2</v>
      </c>
      <c r="CE45" s="123">
        <v>1.0113757699708226E-2</v>
      </c>
      <c r="CF45" s="123">
        <v>1.010579519915881E-2</v>
      </c>
      <c r="CG45" s="123">
        <v>1.0099936709339254E-2</v>
      </c>
      <c r="CH45" s="123">
        <v>1.0099822090917851E-2</v>
      </c>
      <c r="CI45" s="123">
        <v>1.0098879071370838E-2</v>
      </c>
      <c r="CJ45" s="123">
        <v>1.0097696100948367E-2</v>
      </c>
      <c r="CK45" s="123">
        <v>1.0096162316755534E-2</v>
      </c>
      <c r="CL45" s="123">
        <v>1.0087015270257437E-2</v>
      </c>
      <c r="CM45" s="123">
        <v>1.0073568794007996E-2</v>
      </c>
      <c r="CN45" s="123">
        <v>1.0064831602404331E-2</v>
      </c>
      <c r="CO45" s="123">
        <v>1.0058705457626861E-2</v>
      </c>
      <c r="CP45" s="123">
        <v>1.0054322868585007E-2</v>
      </c>
      <c r="CQ45" s="123">
        <v>1.004963652426406E-2</v>
      </c>
      <c r="CR45" s="123">
        <v>1.0046788214970508E-2</v>
      </c>
      <c r="CS45" s="123">
        <v>1.0042168503538522E-2</v>
      </c>
      <c r="CT45" s="123">
        <v>1.0038734768503255E-2</v>
      </c>
      <c r="CU45" s="123">
        <v>1.000963545065724E-2</v>
      </c>
      <c r="CV45" s="123">
        <v>1.0008770671352279E-2</v>
      </c>
      <c r="CW45" s="123">
        <v>1.0006735412892051E-2</v>
      </c>
      <c r="CX45" s="123">
        <v>1.0000692055490945E-2</v>
      </c>
    </row>
    <row r="46" spans="1:102" s="115" customFormat="1">
      <c r="A46" s="23"/>
      <c r="B46" s="14" t="s">
        <v>30</v>
      </c>
      <c r="C46" s="125">
        <v>5.9114204848785525E-2</v>
      </c>
      <c r="D46" s="125">
        <v>5.9375630836811563E-2</v>
      </c>
      <c r="E46" s="125">
        <v>5.9550677998408671E-2</v>
      </c>
      <c r="F46" s="125">
        <v>5.9835479615617707E-2</v>
      </c>
      <c r="G46" s="125">
        <v>5.9098785566726354E-2</v>
      </c>
      <c r="H46" s="125">
        <v>5.8193496800639767E-2</v>
      </c>
      <c r="I46" s="125">
        <v>5.8266509976232173E-2</v>
      </c>
      <c r="J46" s="125">
        <v>5.7797607739628366E-2</v>
      </c>
      <c r="K46" s="125">
        <v>5.7135447709987762E-2</v>
      </c>
      <c r="L46" s="125">
        <v>5.7235089109835061E-2</v>
      </c>
      <c r="M46" s="125">
        <v>5.7008452380787021E-2</v>
      </c>
      <c r="N46" s="125">
        <v>5.6911275977237046E-2</v>
      </c>
      <c r="O46" s="125">
        <v>5.824855616897457E-2</v>
      </c>
      <c r="P46" s="125">
        <v>5.5663866228213912E-2</v>
      </c>
      <c r="Q46" s="125">
        <v>5.9363680292001661E-2</v>
      </c>
      <c r="R46" s="125">
        <v>5.6269056539748744E-2</v>
      </c>
      <c r="S46" s="125">
        <v>5.5204204644683327E-2</v>
      </c>
      <c r="T46" s="125">
        <v>5.8012866184679317E-2</v>
      </c>
      <c r="U46" s="125">
        <v>5.8796627779068709E-2</v>
      </c>
      <c r="V46" s="125">
        <v>5.6542723048892823E-2</v>
      </c>
      <c r="W46" s="125">
        <v>5.7611109665615785E-2</v>
      </c>
      <c r="X46" s="125">
        <v>5.6405774611070873E-2</v>
      </c>
      <c r="Y46" s="125">
        <v>5.8751973540500095E-2</v>
      </c>
      <c r="Z46" s="125">
        <v>5.7272658630636526E-2</v>
      </c>
      <c r="AA46" s="125">
        <v>5.9241352683459793E-2</v>
      </c>
      <c r="AB46" s="125">
        <v>5.9370513016676695E-2</v>
      </c>
      <c r="AC46" s="125">
        <v>5.7974219396432755E-2</v>
      </c>
      <c r="AD46" s="125">
        <v>5.7786023481870244E-2</v>
      </c>
      <c r="AE46" s="125">
        <v>5.6453523428183765E-2</v>
      </c>
      <c r="AF46" s="125">
        <v>5.5854974916364653E-2</v>
      </c>
      <c r="AG46" s="125">
        <v>5.5870458432220202E-2</v>
      </c>
      <c r="AH46" s="125">
        <v>5.7830899096733848E-2</v>
      </c>
      <c r="AI46" s="125">
        <v>5.8326600362233749E-2</v>
      </c>
      <c r="AJ46" s="125">
        <v>5.9245365540080669E-2</v>
      </c>
      <c r="AK46" s="125">
        <v>5.6916069320657479E-2</v>
      </c>
      <c r="AL46" s="125">
        <v>5.4524161427651756E-2</v>
      </c>
      <c r="AM46" s="125">
        <v>5.8503873427020507E-2</v>
      </c>
      <c r="AN46" s="125">
        <v>5.7032635557702049E-2</v>
      </c>
      <c r="AO46" s="125">
        <v>5.9808296386984899E-2</v>
      </c>
      <c r="AP46" s="125">
        <v>5.5018553480473319E-2</v>
      </c>
      <c r="AQ46" s="125">
        <v>5.6609427651894841E-2</v>
      </c>
      <c r="AR46" s="125">
        <v>5.804263748897244E-2</v>
      </c>
      <c r="AS46" s="125">
        <v>5.5786299888853814E-2</v>
      </c>
      <c r="AT46" s="125">
        <v>5.3525863859937302E-2</v>
      </c>
      <c r="AU46" s="125">
        <v>5.6332789739754426E-2</v>
      </c>
      <c r="AV46" s="125">
        <v>5.3844645702406699E-2</v>
      </c>
      <c r="AW46" s="125">
        <v>5.762181619548979E-2</v>
      </c>
      <c r="AX46" s="125">
        <v>5.954970914288877E-2</v>
      </c>
      <c r="AY46" s="125">
        <v>5.3424743244480169E-2</v>
      </c>
      <c r="AZ46" s="125">
        <v>5.5337521147255674E-2</v>
      </c>
      <c r="BA46" s="125">
        <v>5.7676503908077284E-2</v>
      </c>
      <c r="BB46" s="125">
        <v>5.7657636406865755E-2</v>
      </c>
      <c r="BC46" s="125">
        <v>5.8238432813223232E-2</v>
      </c>
      <c r="BD46" s="125">
        <v>5.9374515361929156E-2</v>
      </c>
      <c r="BE46" s="125">
        <v>5.9521418578124652E-2</v>
      </c>
      <c r="BF46" s="125">
        <v>5.4850849076532836E-2</v>
      </c>
      <c r="BG46" s="125">
        <v>5.480557867204483E-2</v>
      </c>
      <c r="BH46" s="125">
        <v>5.8652681781319868E-2</v>
      </c>
      <c r="BI46" s="125">
        <v>5.3404691350078339E-2</v>
      </c>
      <c r="BJ46" s="125">
        <v>5.9603546207342914E-2</v>
      </c>
      <c r="BK46" s="125">
        <v>5.8952765377583254E-2</v>
      </c>
      <c r="BL46" s="125">
        <v>5.9368330103221845E-2</v>
      </c>
      <c r="BM46" s="125">
        <v>5.8318365712484603E-2</v>
      </c>
      <c r="BN46" s="125">
        <v>5.3942271708849722E-2</v>
      </c>
      <c r="BO46" s="125">
        <v>5.9035159699595871E-2</v>
      </c>
      <c r="BP46" s="125">
        <v>5.8154508900311611E-2</v>
      </c>
      <c r="BQ46" s="125">
        <v>5.3082660637423056E-2</v>
      </c>
      <c r="BR46" s="125">
        <v>5.8524700214344666E-2</v>
      </c>
      <c r="BS46" s="125">
        <v>5.8735388468114214E-2</v>
      </c>
      <c r="BT46" s="125">
        <v>5.7277372821401142E-2</v>
      </c>
      <c r="BU46" s="125">
        <v>5.2897558833933107E-2</v>
      </c>
      <c r="BV46" s="125">
        <v>5.3233729298519342E-2</v>
      </c>
      <c r="BW46" s="125">
        <v>5.6150286213247198E-2</v>
      </c>
      <c r="BX46" s="125">
        <v>5.632639190228346E-2</v>
      </c>
      <c r="BY46" s="125">
        <v>5.6888193219045834E-2</v>
      </c>
      <c r="BZ46" s="125">
        <v>5.9776849245423966E-2</v>
      </c>
      <c r="CA46" s="125">
        <v>5.7223115076927428E-2</v>
      </c>
      <c r="CB46" s="125">
        <v>5.7926906714707967E-2</v>
      </c>
      <c r="CC46" s="125">
        <v>5.4263014525539569E-2</v>
      </c>
      <c r="CD46" s="125">
        <v>5.3467701217991097E-2</v>
      </c>
      <c r="CE46" s="125">
        <v>5.6429045271911227E-2</v>
      </c>
      <c r="CF46" s="125">
        <v>5.4029837390300109E-2</v>
      </c>
      <c r="CG46" s="125">
        <v>5.9054130987384691E-2</v>
      </c>
      <c r="CH46" s="125">
        <v>5.8366487169502823E-2</v>
      </c>
      <c r="CI46" s="125">
        <v>5.7422502508225011E-2</v>
      </c>
      <c r="CJ46" s="125">
        <v>5.940462617902139E-2</v>
      </c>
      <c r="CK46" s="125">
        <v>5.4655577858874815E-2</v>
      </c>
      <c r="CL46" s="125">
        <v>5.7295028675132011E-2</v>
      </c>
      <c r="CM46" s="125">
        <v>5.9000150094588491E-2</v>
      </c>
      <c r="CN46" s="125">
        <v>5.7134608681543013E-2</v>
      </c>
      <c r="CO46" s="125">
        <v>5.5644543246749709E-2</v>
      </c>
      <c r="CP46" s="125">
        <v>5.6089574809599245E-2</v>
      </c>
      <c r="CQ46" s="125">
        <v>5.7426120457243622E-2</v>
      </c>
      <c r="CR46" s="125">
        <v>5.3982101891790167E-2</v>
      </c>
      <c r="CS46" s="125">
        <v>5.8998932181170791E-2</v>
      </c>
      <c r="CT46" s="125">
        <v>5.8922654437996248E-2</v>
      </c>
      <c r="CU46" s="125">
        <v>5.9765308071938097E-2</v>
      </c>
      <c r="CV46" s="125">
        <v>5.887188440602744E-2</v>
      </c>
      <c r="CW46" s="125">
        <v>5.836972252821105E-2</v>
      </c>
      <c r="CX46" s="125">
        <v>5.9683453783037001E-2</v>
      </c>
    </row>
    <row r="47" spans="1:102" s="115" customFormat="1">
      <c r="A47" s="23"/>
      <c r="B47" s="67" t="s">
        <v>56</v>
      </c>
      <c r="C47" s="125">
        <v>9.6611447294216377E-2</v>
      </c>
      <c r="D47" s="125">
        <v>0.1004052124140959</v>
      </c>
      <c r="E47" s="125">
        <v>9.6914221753722302E-2</v>
      </c>
      <c r="F47" s="125">
        <v>9.7158369501460048E-2</v>
      </c>
      <c r="G47" s="125">
        <v>9.6894757577416835E-2</v>
      </c>
      <c r="H47" s="125">
        <v>9.9868651850868254E-2</v>
      </c>
      <c r="I47" s="125">
        <v>9.9015778700338036E-2</v>
      </c>
      <c r="J47" s="125">
        <v>0.1000627694622503</v>
      </c>
      <c r="K47" s="125">
        <v>9.8375812709151439E-2</v>
      </c>
      <c r="L47" s="125">
        <v>9.6053953979035045E-2</v>
      </c>
      <c r="M47" s="125">
        <v>9.7654093085444107E-2</v>
      </c>
      <c r="N47" s="125">
        <v>9.8488502658012012E-2</v>
      </c>
      <c r="O47" s="125">
        <v>9.4764028300794917E-2</v>
      </c>
      <c r="P47" s="125">
        <v>9.767509906152172E-2</v>
      </c>
      <c r="Q47" s="125">
        <v>9.4703220058485457E-2</v>
      </c>
      <c r="R47" s="125">
        <v>9.869148373734582E-2</v>
      </c>
      <c r="S47" s="125">
        <v>9.8904685843744261E-2</v>
      </c>
      <c r="T47" s="125">
        <v>9.524892836359948E-2</v>
      </c>
      <c r="U47" s="125">
        <v>9.7556560148261931E-2</v>
      </c>
      <c r="V47" s="125">
        <v>9.8978185333224181E-2</v>
      </c>
      <c r="W47" s="125">
        <v>9.6575913896669321E-2</v>
      </c>
      <c r="X47" s="125">
        <v>9.8234041885781234E-2</v>
      </c>
      <c r="Y47" s="125">
        <v>9.9668303863062274E-2</v>
      </c>
      <c r="Z47" s="125">
        <v>9.8156045700341338E-2</v>
      </c>
      <c r="AA47" s="125">
        <v>9.8464886399087098E-2</v>
      </c>
      <c r="AB47" s="125">
        <v>9.9016241913288117E-2</v>
      </c>
      <c r="AC47" s="125">
        <v>9.2919513427604641E-2</v>
      </c>
      <c r="AD47" s="125">
        <v>9.7792549293471115E-2</v>
      </c>
      <c r="AE47" s="125">
        <v>9.7288885955137266E-2</v>
      </c>
      <c r="AF47" s="125">
        <v>9.9573020908642382E-2</v>
      </c>
      <c r="AG47" s="125">
        <v>9.5454348384570523E-2</v>
      </c>
      <c r="AH47" s="125">
        <v>0.10105182203337283</v>
      </c>
      <c r="AI47" s="125">
        <v>9.6053463711904458E-2</v>
      </c>
      <c r="AJ47" s="125">
        <v>9.6500247595268124E-2</v>
      </c>
      <c r="AK47" s="125">
        <v>9.857876757626774E-2</v>
      </c>
      <c r="AL47" s="125">
        <v>9.6622463239281545E-2</v>
      </c>
      <c r="AM47" s="125">
        <v>9.8306206651449596E-2</v>
      </c>
      <c r="AN47" s="125">
        <v>9.8776374784616233E-2</v>
      </c>
      <c r="AO47" s="125">
        <v>9.5004137679213466E-2</v>
      </c>
      <c r="AP47" s="125">
        <v>9.7314646688246229E-2</v>
      </c>
      <c r="AQ47" s="125">
        <v>9.7135639890524858E-2</v>
      </c>
      <c r="AR47" s="125">
        <v>9.9171467584593428E-2</v>
      </c>
      <c r="AS47" s="125">
        <v>9.9825750518748799E-2</v>
      </c>
      <c r="AT47" s="125">
        <v>9.7406403763225957E-2</v>
      </c>
      <c r="AU47" s="125">
        <v>9.747689167219567E-2</v>
      </c>
      <c r="AV47" s="125">
        <v>9.7318249230817819E-2</v>
      </c>
      <c r="AW47" s="125">
        <v>9.4321230896781905E-2</v>
      </c>
      <c r="AX47" s="125">
        <v>0.10149374138224307</v>
      </c>
      <c r="AY47" s="125">
        <v>9.5844705895802615E-2</v>
      </c>
      <c r="AZ47" s="125">
        <v>9.5016248217870455E-2</v>
      </c>
      <c r="BA47" s="125">
        <v>9.2339125406229794E-2</v>
      </c>
      <c r="BB47" s="125">
        <v>0.10079142872010123</v>
      </c>
      <c r="BC47" s="125">
        <v>9.6002557553883525E-2</v>
      </c>
      <c r="BD47" s="125">
        <v>9.8853287820562893E-2</v>
      </c>
      <c r="BE47" s="125">
        <v>0.10039631980527737</v>
      </c>
      <c r="BF47" s="125">
        <v>9.4507267713812862E-2</v>
      </c>
      <c r="BG47" s="125">
        <v>9.7976858339763773E-2</v>
      </c>
      <c r="BH47" s="125">
        <v>9.6814318152667916E-2</v>
      </c>
      <c r="BI47" s="125">
        <v>9.7609284813501479E-2</v>
      </c>
      <c r="BJ47" s="125">
        <v>0.10114255010723265</v>
      </c>
      <c r="BK47" s="125">
        <v>0.10034990496687586</v>
      </c>
      <c r="BL47" s="125">
        <v>0.10050920951200396</v>
      </c>
      <c r="BM47" s="125">
        <v>9.1177291357785281E-2</v>
      </c>
      <c r="BN47" s="125">
        <v>9.7098720455232879E-2</v>
      </c>
      <c r="BO47" s="125">
        <v>9.3736933449394558E-2</v>
      </c>
      <c r="BP47" s="125">
        <v>9.7688204422029676E-2</v>
      </c>
      <c r="BQ47" s="125">
        <v>9.776864925355068E-2</v>
      </c>
      <c r="BR47" s="125">
        <v>0.10270621888669898</v>
      </c>
      <c r="BS47" s="125">
        <v>8.9927289437069152E-2</v>
      </c>
      <c r="BT47" s="125">
        <v>9.283257718591173E-2</v>
      </c>
      <c r="BU47" s="125">
        <v>9.7563962725250031E-2</v>
      </c>
      <c r="BV47" s="125">
        <v>9.6544771532195053E-2</v>
      </c>
      <c r="BW47" s="125">
        <v>9.5530787960344088E-2</v>
      </c>
      <c r="BX47" s="125">
        <v>9.6378342320888474E-2</v>
      </c>
      <c r="BY47" s="125">
        <v>9.6243291294536445E-2</v>
      </c>
      <c r="BZ47" s="125">
        <v>9.8643346100296875E-2</v>
      </c>
      <c r="CA47" s="125">
        <v>9.9826005553560831E-2</v>
      </c>
      <c r="CB47" s="125">
        <v>0.10108201470960235</v>
      </c>
      <c r="CC47" s="125">
        <v>9.7556993703257974E-2</v>
      </c>
      <c r="CD47" s="125">
        <v>9.6532514869209371E-2</v>
      </c>
      <c r="CE47" s="125">
        <v>9.701811549992792E-2</v>
      </c>
      <c r="CF47" s="125">
        <v>9.8757217730843561E-2</v>
      </c>
      <c r="CG47" s="125">
        <v>9.5279643737497671E-2</v>
      </c>
      <c r="CH47" s="125">
        <v>9.5448902639135427E-2</v>
      </c>
      <c r="CI47" s="125">
        <v>9.6928845963140706E-2</v>
      </c>
      <c r="CJ47" s="125">
        <v>9.2057758980365334E-2</v>
      </c>
      <c r="CK47" s="125">
        <v>9.5139370243262328E-2</v>
      </c>
      <c r="CL47" s="125">
        <v>9.9528373260538788E-2</v>
      </c>
      <c r="CM47" s="125">
        <v>0.10270179650475772</v>
      </c>
      <c r="CN47" s="125">
        <v>9.615281080573522E-2</v>
      </c>
      <c r="CO47" s="125">
        <v>9.4667742130375529E-2</v>
      </c>
      <c r="CP47" s="125">
        <v>9.6486402754308101E-2</v>
      </c>
      <c r="CQ47" s="125">
        <v>9.5291509227133989E-2</v>
      </c>
      <c r="CR47" s="125">
        <v>9.6136832829731067E-2</v>
      </c>
      <c r="CS47" s="125">
        <v>9.1011579403901352E-2</v>
      </c>
      <c r="CT47" s="125">
        <v>9.9396243295014064E-2</v>
      </c>
      <c r="CU47" s="125">
        <v>9.8979317203267622E-2</v>
      </c>
      <c r="CV47" s="125">
        <v>9.3759268578411339E-2</v>
      </c>
      <c r="CW47" s="125">
        <v>9.5107978466683396E-2</v>
      </c>
      <c r="CX47" s="125">
        <v>9.26359499355493E-2</v>
      </c>
    </row>
    <row r="48" spans="1:102" s="115" customFormat="1">
      <c r="A48" s="126"/>
      <c r="B48" s="67" t="s">
        <v>114</v>
      </c>
      <c r="C48" s="125">
        <v>0.48688993039720085</v>
      </c>
      <c r="D48" s="125">
        <v>0.48735820559409909</v>
      </c>
      <c r="E48" s="125">
        <v>0.48816213975574951</v>
      </c>
      <c r="F48" s="125">
        <v>0.4884844317773861</v>
      </c>
      <c r="G48" s="125">
        <v>0.48836530869525113</v>
      </c>
      <c r="H48" s="125">
        <v>0.48868922140167675</v>
      </c>
      <c r="I48" s="125">
        <v>0.48939829151300729</v>
      </c>
      <c r="J48" s="125">
        <v>0.4901967291840944</v>
      </c>
      <c r="K48" s="125">
        <v>0.49090573837391371</v>
      </c>
      <c r="L48" s="125">
        <v>0.49103518216481962</v>
      </c>
      <c r="M48" s="125">
        <v>0.4918628914685122</v>
      </c>
      <c r="N48" s="125">
        <v>0.49218607505593986</v>
      </c>
      <c r="O48" s="125">
        <v>0.49285275466434963</v>
      </c>
      <c r="P48" s="125">
        <v>0.49288093053846788</v>
      </c>
      <c r="Q48" s="125">
        <v>0.49343943709710258</v>
      </c>
      <c r="R48" s="125">
        <v>0.4932056983329316</v>
      </c>
      <c r="S48" s="125">
        <v>0.49325700042422271</v>
      </c>
      <c r="T48" s="125">
        <v>0.49361163924138668</v>
      </c>
      <c r="U48" s="125">
        <v>0.49381214549342817</v>
      </c>
      <c r="V48" s="125">
        <v>0.49364305256567453</v>
      </c>
      <c r="W48" s="125">
        <v>0.49380606840483188</v>
      </c>
      <c r="X48" s="125">
        <v>0.49383965366884375</v>
      </c>
      <c r="Y48" s="125">
        <v>0.4941137013649769</v>
      </c>
      <c r="Z48" s="125">
        <v>0.49425543328008475</v>
      </c>
      <c r="AA48" s="125">
        <v>0.49472427191187918</v>
      </c>
      <c r="AB48" s="125">
        <v>0.49476111276935497</v>
      </c>
      <c r="AC48" s="125">
        <v>0.49470643709929812</v>
      </c>
      <c r="AD48" s="125">
        <v>0.49470400105899959</v>
      </c>
      <c r="AE48" s="125">
        <v>0.49471020991229098</v>
      </c>
      <c r="AF48" s="125">
        <v>0.49496910626942592</v>
      </c>
      <c r="AG48" s="125">
        <v>0.49504627160563636</v>
      </c>
      <c r="AH48" s="125">
        <v>0.49577073323096671</v>
      </c>
      <c r="AI48" s="125">
        <v>0.49583589517069726</v>
      </c>
      <c r="AJ48" s="125">
        <v>0.49595108982400121</v>
      </c>
      <c r="AK48" s="125">
        <v>0.49584440505264993</v>
      </c>
      <c r="AL48" s="125">
        <v>0.49579148867249295</v>
      </c>
      <c r="AM48" s="125">
        <v>0.49615045258169821</v>
      </c>
      <c r="AN48" s="125">
        <v>0.4962327959628291</v>
      </c>
      <c r="AO48" s="125">
        <v>0.49643090041576632</v>
      </c>
      <c r="AP48" s="125">
        <v>0.49635573631972546</v>
      </c>
      <c r="AQ48" s="125">
        <v>0.49651378314429373</v>
      </c>
      <c r="AR48" s="125">
        <v>0.49685967510335366</v>
      </c>
      <c r="AS48" s="125">
        <v>0.49676237381920257</v>
      </c>
      <c r="AT48" s="125">
        <v>0.49665021333451509</v>
      </c>
      <c r="AU48" s="125">
        <v>0.49683778298313214</v>
      </c>
      <c r="AV48" s="125">
        <v>0.49671915738652866</v>
      </c>
      <c r="AW48" s="125">
        <v>0.49700107903130769</v>
      </c>
      <c r="AX48" s="125">
        <v>0.49713828270158072</v>
      </c>
      <c r="AY48" s="125">
        <v>0.49716105307461744</v>
      </c>
      <c r="AZ48" s="125">
        <v>0.49731189448399832</v>
      </c>
      <c r="BA48" s="125">
        <v>0.4974605383492115</v>
      </c>
      <c r="BB48" s="125">
        <v>0.49756075700544145</v>
      </c>
      <c r="BC48" s="125">
        <v>0.49769407706659241</v>
      </c>
      <c r="BD48" s="125">
        <v>0.49775487059201834</v>
      </c>
      <c r="BE48" s="125">
        <v>0.49789304619237812</v>
      </c>
      <c r="BF48" s="125">
        <v>0.49771965696955339</v>
      </c>
      <c r="BG48" s="125">
        <v>0.49771965898497617</v>
      </c>
      <c r="BH48" s="125">
        <v>0.49795681347947202</v>
      </c>
      <c r="BI48" s="125">
        <v>0.4977758769832174</v>
      </c>
      <c r="BJ48" s="125">
        <v>0.49803616459019018</v>
      </c>
      <c r="BK48" s="125">
        <v>0.49803081502180424</v>
      </c>
      <c r="BL48" s="125">
        <v>0.49810692328255207</v>
      </c>
      <c r="BM48" s="125">
        <v>0.49811200213110957</v>
      </c>
      <c r="BN48" s="125">
        <v>0.4979919394678724</v>
      </c>
      <c r="BO48" s="125">
        <v>0.49818016967765544</v>
      </c>
      <c r="BP48" s="125">
        <v>0.49819316264044572</v>
      </c>
      <c r="BQ48" s="125">
        <v>0.49802400542325131</v>
      </c>
      <c r="BR48" s="125">
        <v>0.49834005542180737</v>
      </c>
      <c r="BS48" s="125">
        <v>0.49839566183463113</v>
      </c>
      <c r="BT48" s="125">
        <v>0.49847621145802568</v>
      </c>
      <c r="BU48" s="125">
        <v>0.49839138565218655</v>
      </c>
      <c r="BV48" s="125">
        <v>0.4984851199014686</v>
      </c>
      <c r="BW48" s="125">
        <v>0.49860350077337245</v>
      </c>
      <c r="BX48" s="125">
        <v>0.49864959000804032</v>
      </c>
      <c r="BY48" s="125">
        <v>0.49883132888153198</v>
      </c>
      <c r="BZ48" s="125">
        <v>0.49892303324818532</v>
      </c>
      <c r="CA48" s="125">
        <v>0.49890899451221565</v>
      </c>
      <c r="CB48" s="125">
        <v>0.49900009827209402</v>
      </c>
      <c r="CC48" s="125">
        <v>0.49905820166710035</v>
      </c>
      <c r="CD48" s="125">
        <v>0.49910043489578704</v>
      </c>
      <c r="CE48" s="125">
        <v>0.49919575592362536</v>
      </c>
      <c r="CF48" s="125">
        <v>0.49921883623797453</v>
      </c>
      <c r="CG48" s="125">
        <v>0.49932487433100353</v>
      </c>
      <c r="CH48" s="125">
        <v>0.49931770378683726</v>
      </c>
      <c r="CI48" s="125">
        <v>0.49931303894815954</v>
      </c>
      <c r="CJ48" s="125">
        <v>0.49934390483979979</v>
      </c>
      <c r="CK48" s="125">
        <v>0.49929809187560831</v>
      </c>
      <c r="CL48" s="125">
        <v>0.49939411746875445</v>
      </c>
      <c r="CM48" s="125">
        <v>0.49950254881054912</v>
      </c>
      <c r="CN48" s="125">
        <v>0.49954731357487592</v>
      </c>
      <c r="CO48" s="125">
        <v>0.49957911264202093</v>
      </c>
      <c r="CP48" s="125">
        <v>0.49961362364117001</v>
      </c>
      <c r="CQ48" s="125">
        <v>0.49965517249715435</v>
      </c>
      <c r="CR48" s="125">
        <v>0.49965422252589181</v>
      </c>
      <c r="CS48" s="125">
        <v>0.49971486267787335</v>
      </c>
      <c r="CT48" s="125">
        <v>0.49973774202958277</v>
      </c>
      <c r="CU48" s="125">
        <v>0.49993568194048937</v>
      </c>
      <c r="CV48" s="125">
        <v>0.49994056599933417</v>
      </c>
      <c r="CW48" s="125">
        <v>0.49995396515768364</v>
      </c>
      <c r="CX48" s="125">
        <v>0.49999537409150752</v>
      </c>
    </row>
    <row r="49" spans="1:102" s="131" customFormat="1">
      <c r="A49" s="108" t="str">
        <f>Parameters!A42</f>
        <v>Inflatie is een fiscaal verschijnsel</v>
      </c>
      <c r="B49" s="122" t="s">
        <v>29</v>
      </c>
      <c r="C49" s="123">
        <v>2.8172206683105362E-2</v>
      </c>
      <c r="D49" s="123">
        <v>3.0462069655890885E-2</v>
      </c>
      <c r="E49" s="123">
        <v>2.7336072056650867E-2</v>
      </c>
      <c r="F49" s="123">
        <v>2.7161529094990783E-2</v>
      </c>
      <c r="G49" s="123">
        <v>2.360728234984431E-2</v>
      </c>
      <c r="H49" s="123">
        <v>2.4899012906557903E-2</v>
      </c>
      <c r="I49" s="123">
        <v>2.5955567406549123E-2</v>
      </c>
      <c r="J49" s="123">
        <v>2.6079498924173383E-2</v>
      </c>
      <c r="K49" s="123">
        <v>2.21498408400689E-2</v>
      </c>
      <c r="L49" s="123">
        <v>2.7755264882076913E-2</v>
      </c>
      <c r="M49" s="123">
        <v>2.6232462582556619E-2</v>
      </c>
      <c r="N49" s="123">
        <v>2.3552180764655466E-2</v>
      </c>
      <c r="O49" s="123">
        <v>2.5516322530889438E-2</v>
      </c>
      <c r="P49" s="123">
        <v>2.9317888546833138E-2</v>
      </c>
      <c r="Q49" s="123">
        <v>2.9957854480506203E-2</v>
      </c>
      <c r="R49" s="123">
        <v>2.2817220773291066E-2</v>
      </c>
      <c r="S49" s="123">
        <v>2.4093075398321558E-2</v>
      </c>
      <c r="T49" s="123">
        <v>2.8862921004302051E-2</v>
      </c>
      <c r="U49" s="123">
        <v>2.9293987136316032E-2</v>
      </c>
      <c r="V49" s="123">
        <v>2.6469245774759485E-2</v>
      </c>
      <c r="W49" s="123">
        <v>2.563486352561186E-2</v>
      </c>
      <c r="X49" s="123">
        <v>2.4286471692191388E-2</v>
      </c>
      <c r="Y49" s="123">
        <v>2.5601315019545046E-2</v>
      </c>
      <c r="Z49" s="123">
        <v>2.1862673945135046E-2</v>
      </c>
      <c r="AA49" s="123">
        <v>2.7267670445032959E-2</v>
      </c>
      <c r="AB49" s="123">
        <v>2.5294699138237571E-2</v>
      </c>
      <c r="AC49" s="123">
        <v>2.8288116374328612E-2</v>
      </c>
      <c r="AD49" s="123">
        <v>2.6188204515273657E-2</v>
      </c>
      <c r="AE49" s="123">
        <v>2.5800451234722147E-2</v>
      </c>
      <c r="AF49" s="123">
        <v>2.5345652411149132E-2</v>
      </c>
      <c r="AG49" s="123">
        <v>2.3041382504298307E-2</v>
      </c>
      <c r="AH49" s="123">
        <v>2.5360513713989744E-2</v>
      </c>
      <c r="AI49" s="123">
        <v>2.8390703019566796E-2</v>
      </c>
      <c r="AJ49" s="123">
        <v>3.2336279922966171E-2</v>
      </c>
      <c r="AK49" s="123">
        <v>2.6480779981360926E-2</v>
      </c>
      <c r="AL49" s="123">
        <v>2.2799391609914531E-2</v>
      </c>
      <c r="AM49" s="123">
        <v>2.7719398836954005E-2</v>
      </c>
      <c r="AN49" s="123">
        <v>2.5432929743416984E-2</v>
      </c>
      <c r="AO49" s="123">
        <v>3.3877619620497498E-2</v>
      </c>
      <c r="AP49" s="123">
        <v>2.1019859499532834E-2</v>
      </c>
      <c r="AQ49" s="123">
        <v>2.6608240277259707E-2</v>
      </c>
      <c r="AR49" s="123">
        <v>2.8520895269160934E-2</v>
      </c>
      <c r="AS49" s="123">
        <v>3.3394839258505664E-2</v>
      </c>
      <c r="AT49" s="123">
        <v>2.7519847917825777E-2</v>
      </c>
      <c r="AU49" s="123">
        <v>2.490249840838113E-2</v>
      </c>
      <c r="AV49" s="123">
        <v>2.3610672200032511E-2</v>
      </c>
      <c r="AW49" s="123">
        <v>2.484482607431121E-2</v>
      </c>
      <c r="AX49" s="123">
        <v>3.480645219813551E-2</v>
      </c>
      <c r="AY49" s="123">
        <v>2.5892718067107912E-2</v>
      </c>
      <c r="AZ49" s="123">
        <v>2.650022558116806E-2</v>
      </c>
      <c r="BA49" s="123">
        <v>3.2902202446267403E-2</v>
      </c>
      <c r="BB49" s="123">
        <v>3.3612427200661335E-2</v>
      </c>
      <c r="BC49" s="123">
        <v>2.6777336819414868E-2</v>
      </c>
      <c r="BD49" s="123">
        <v>3.6643643374988627E-2</v>
      </c>
      <c r="BE49" s="123">
        <v>2.9547670359625119E-2</v>
      </c>
      <c r="BF49" s="123">
        <v>2.7775144552049002E-2</v>
      </c>
      <c r="BG49" s="123">
        <v>2.4015585930579647E-2</v>
      </c>
      <c r="BH49" s="123">
        <v>2.7667374080920543E-2</v>
      </c>
      <c r="BI49" s="123">
        <v>2.1634940957888017E-2</v>
      </c>
      <c r="BJ49" s="123">
        <v>2.571871814532848E-2</v>
      </c>
      <c r="BK49" s="123">
        <v>3.6638357144120226E-2</v>
      </c>
      <c r="BL49" s="123">
        <v>2.7145952149923068E-2</v>
      </c>
      <c r="BM49" s="123">
        <v>2.8800780395103771E-2</v>
      </c>
      <c r="BN49" s="123">
        <v>2.3980957284553937E-2</v>
      </c>
      <c r="BO49" s="123">
        <v>3.2180676871150539E-2</v>
      </c>
      <c r="BP49" s="123">
        <v>3.0363559766434567E-2</v>
      </c>
      <c r="BQ49" s="123">
        <v>2.3856368184993357E-2</v>
      </c>
      <c r="BR49" s="123">
        <v>2.6667368086772614E-2</v>
      </c>
      <c r="BS49" s="123">
        <v>3.1633050388909692E-2</v>
      </c>
      <c r="BT49" s="123">
        <v>2.34269934421912E-2</v>
      </c>
      <c r="BU49" s="123">
        <v>2.5247367778539684E-2</v>
      </c>
      <c r="BV49" s="123">
        <v>1.9605265780648213E-2</v>
      </c>
      <c r="BW49" s="123">
        <v>2.9341201313999463E-2</v>
      </c>
      <c r="BX49" s="123">
        <v>3.0917591709146573E-2</v>
      </c>
      <c r="BY49" s="123">
        <v>2.7079395304921702E-2</v>
      </c>
      <c r="BZ49" s="123">
        <v>3.1907689263701411E-2</v>
      </c>
      <c r="CA49" s="123">
        <v>3.0770056801640824E-2</v>
      </c>
      <c r="CB49" s="123">
        <v>2.9933306683883762E-2</v>
      </c>
      <c r="CC49" s="123">
        <v>2.5000063586497825E-2</v>
      </c>
      <c r="CD49" s="123">
        <v>2.2721411726997136E-2</v>
      </c>
      <c r="CE49" s="123">
        <v>2.9310549462413776E-2</v>
      </c>
      <c r="CF49" s="123">
        <v>3.1711872218410937E-2</v>
      </c>
      <c r="CG49" s="123">
        <v>3.265008766012259E-2</v>
      </c>
      <c r="CH49" s="123">
        <v>2.9012696620058162E-2</v>
      </c>
      <c r="CI49" s="123">
        <v>3.1096803124742299E-2</v>
      </c>
      <c r="CJ49" s="123">
        <v>3.6105636283384021E-2</v>
      </c>
      <c r="CK49" s="123">
        <v>2.3010161112348704E-2</v>
      </c>
      <c r="CL49" s="123">
        <v>3.3060047901164014E-2</v>
      </c>
      <c r="CM49" s="123">
        <v>3.2072900603102972E-2</v>
      </c>
      <c r="CN49" s="123">
        <v>2.9767514431526965E-2</v>
      </c>
      <c r="CO49" s="123">
        <v>2.9811912433173493E-2</v>
      </c>
      <c r="CP49" s="123">
        <v>3.311161500062125E-2</v>
      </c>
      <c r="CQ49" s="123">
        <v>2.6374718666482215E-2</v>
      </c>
      <c r="CR49" s="123">
        <v>2.296330130085452E-2</v>
      </c>
      <c r="CS49" s="123">
        <v>3.146537207431184E-2</v>
      </c>
      <c r="CT49" s="123">
        <v>3.153127101798555E-2</v>
      </c>
      <c r="CU49" s="123">
        <v>2.9872111219759571E-2</v>
      </c>
      <c r="CV49" s="123">
        <v>3.3847302849869573E-2</v>
      </c>
      <c r="CW49" s="123">
        <v>2.8527725197244447E-2</v>
      </c>
      <c r="CX49" s="123">
        <v>3.5503927824167947E-2</v>
      </c>
    </row>
    <row r="50" spans="1:102" s="115" customFormat="1">
      <c r="A50" s="23"/>
      <c r="B50" s="14" t="s">
        <v>30</v>
      </c>
      <c r="C50" s="125">
        <v>5.1320754813430465E-2</v>
      </c>
      <c r="D50" s="125">
        <v>5.4189893307048646E-2</v>
      </c>
      <c r="E50" s="125">
        <v>4.8466905764559184E-2</v>
      </c>
      <c r="F50" s="125">
        <v>4.9708534497962545E-2</v>
      </c>
      <c r="G50" s="125">
        <v>4.5877788321418894E-2</v>
      </c>
      <c r="H50" s="125">
        <v>5.2054265758531428E-2</v>
      </c>
      <c r="I50" s="125">
        <v>4.9288852902285095E-2</v>
      </c>
      <c r="J50" s="125">
        <v>4.9167920892113505E-2</v>
      </c>
      <c r="K50" s="125">
        <v>4.4267499984470375E-2</v>
      </c>
      <c r="L50" s="125">
        <v>4.9215325784950241E-2</v>
      </c>
      <c r="M50" s="125">
        <v>4.5774979275782786E-2</v>
      </c>
      <c r="N50" s="125">
        <v>4.4286926122712567E-2</v>
      </c>
      <c r="O50" s="125">
        <v>4.5727962256938516E-2</v>
      </c>
      <c r="P50" s="125">
        <v>5.0063537894371138E-2</v>
      </c>
      <c r="Q50" s="125">
        <v>4.9863877742246591E-2</v>
      </c>
      <c r="R50" s="125">
        <v>4.6631005227129464E-2</v>
      </c>
      <c r="S50" s="125">
        <v>4.7279487896394454E-2</v>
      </c>
      <c r="T50" s="125">
        <v>4.881802180125757E-2</v>
      </c>
      <c r="U50" s="125">
        <v>5.0398438506704828E-2</v>
      </c>
      <c r="V50" s="125">
        <v>4.9497998783681149E-2</v>
      </c>
      <c r="W50" s="125">
        <v>4.629766736706669E-2</v>
      </c>
      <c r="X50" s="125">
        <v>5.0606479809147259E-2</v>
      </c>
      <c r="Y50" s="125">
        <v>4.4677721999271239E-2</v>
      </c>
      <c r="Z50" s="125">
        <v>4.1577776737079145E-2</v>
      </c>
      <c r="AA50" s="125">
        <v>4.4035067167325817E-2</v>
      </c>
      <c r="AB50" s="125">
        <v>4.3923232649464669E-2</v>
      </c>
      <c r="AC50" s="125">
        <v>4.9722761849365166E-2</v>
      </c>
      <c r="AD50" s="125">
        <v>4.4661114409202757E-2</v>
      </c>
      <c r="AE50" s="125">
        <v>4.72498600050597E-2</v>
      </c>
      <c r="AF50" s="125">
        <v>4.8077748608481165E-2</v>
      </c>
      <c r="AG50" s="125">
        <v>4.520517641493571E-2</v>
      </c>
      <c r="AH50" s="125">
        <v>4.6570797075967639E-2</v>
      </c>
      <c r="AI50" s="125">
        <v>5.3159734859045682E-2</v>
      </c>
      <c r="AJ50" s="125">
        <v>5.075109360235143E-2</v>
      </c>
      <c r="AK50" s="125">
        <v>4.3762877778933514E-2</v>
      </c>
      <c r="AL50" s="125">
        <v>4.4347157593551907E-2</v>
      </c>
      <c r="AM50" s="125">
        <v>4.6782399817469976E-2</v>
      </c>
      <c r="AN50" s="125">
        <v>4.7059590154260429E-2</v>
      </c>
      <c r="AO50" s="125">
        <v>5.3421205085660402E-2</v>
      </c>
      <c r="AP50" s="125">
        <v>4.1131510291471461E-2</v>
      </c>
      <c r="AQ50" s="125">
        <v>4.6196548320687814E-2</v>
      </c>
      <c r="AR50" s="125">
        <v>4.6941878571926728E-2</v>
      </c>
      <c r="AS50" s="125">
        <v>5.2188551835173083E-2</v>
      </c>
      <c r="AT50" s="125">
        <v>4.7179445948751883E-2</v>
      </c>
      <c r="AU50" s="125">
        <v>4.6762316908787398E-2</v>
      </c>
      <c r="AV50" s="125">
        <v>4.6191628193083249E-2</v>
      </c>
      <c r="AW50" s="125">
        <v>4.8125860517739878E-2</v>
      </c>
      <c r="AX50" s="125">
        <v>5.2792734503286115E-2</v>
      </c>
      <c r="AY50" s="125">
        <v>4.7457924019515374E-2</v>
      </c>
      <c r="AZ50" s="125">
        <v>4.765499109041206E-2</v>
      </c>
      <c r="BA50" s="125">
        <v>5.116864469294316E-2</v>
      </c>
      <c r="BB50" s="125">
        <v>5.0332987163432055E-2</v>
      </c>
      <c r="BC50" s="125">
        <v>4.7042501143594234E-2</v>
      </c>
      <c r="BD50" s="125">
        <v>5.1990291343567301E-2</v>
      </c>
      <c r="BE50" s="125">
        <v>4.590619002348803E-2</v>
      </c>
      <c r="BF50" s="125">
        <v>5.0838884724423869E-2</v>
      </c>
      <c r="BG50" s="125">
        <v>4.3834354467249488E-2</v>
      </c>
      <c r="BH50" s="125">
        <v>4.633605391356712E-2</v>
      </c>
      <c r="BI50" s="125">
        <v>4.2271815171838062E-2</v>
      </c>
      <c r="BJ50" s="125">
        <v>4.3467149710045998E-2</v>
      </c>
      <c r="BK50" s="125">
        <v>5.3537789784923379E-2</v>
      </c>
      <c r="BL50" s="125">
        <v>4.2967316549135916E-2</v>
      </c>
      <c r="BM50" s="125">
        <v>5.3362526141581781E-2</v>
      </c>
      <c r="BN50" s="125">
        <v>4.29117907371779E-2</v>
      </c>
      <c r="BO50" s="125">
        <v>5.1061022539913167E-2</v>
      </c>
      <c r="BP50" s="125">
        <v>4.6858548637679666E-2</v>
      </c>
      <c r="BQ50" s="125">
        <v>4.4647514724618913E-2</v>
      </c>
      <c r="BR50" s="125">
        <v>4.8437909970757337E-2</v>
      </c>
      <c r="BS50" s="125">
        <v>5.2447245427955085E-2</v>
      </c>
      <c r="BT50" s="125">
        <v>4.5131502606531378E-2</v>
      </c>
      <c r="BU50" s="125">
        <v>4.3963447484446493E-2</v>
      </c>
      <c r="BV50" s="125">
        <v>4.1696437718836896E-2</v>
      </c>
      <c r="BW50" s="125">
        <v>4.7256628220089358E-2</v>
      </c>
      <c r="BX50" s="125">
        <v>4.9729696358587962E-2</v>
      </c>
      <c r="BY50" s="125">
        <v>5.087905913998525E-2</v>
      </c>
      <c r="BZ50" s="125">
        <v>4.6068323676510196E-2</v>
      </c>
      <c r="CA50" s="125">
        <v>4.681563070704569E-2</v>
      </c>
      <c r="CB50" s="125">
        <v>4.7187126967189193E-2</v>
      </c>
      <c r="CC50" s="125">
        <v>4.5266851071765361E-2</v>
      </c>
      <c r="CD50" s="125">
        <v>4.3206111496277691E-2</v>
      </c>
      <c r="CE50" s="125">
        <v>4.8234701770042097E-2</v>
      </c>
      <c r="CF50" s="125">
        <v>5.0281337795316579E-2</v>
      </c>
      <c r="CG50" s="125">
        <v>4.6848993094219131E-2</v>
      </c>
      <c r="CH50" s="125">
        <v>4.4926568832409967E-2</v>
      </c>
      <c r="CI50" s="125">
        <v>4.8071193206538743E-2</v>
      </c>
      <c r="CJ50" s="125">
        <v>5.1478179283916237E-2</v>
      </c>
      <c r="CK50" s="125">
        <v>4.2136909900496157E-2</v>
      </c>
      <c r="CL50" s="125">
        <v>5.0761610469883069E-2</v>
      </c>
      <c r="CM50" s="125">
        <v>5.170109003693326E-2</v>
      </c>
      <c r="CN50" s="125">
        <v>4.7933991619025812E-2</v>
      </c>
      <c r="CO50" s="125">
        <v>4.7680313227848714E-2</v>
      </c>
      <c r="CP50" s="125">
        <v>5.1039204587589392E-2</v>
      </c>
      <c r="CQ50" s="125">
        <v>4.5629509969842899E-2</v>
      </c>
      <c r="CR50" s="125">
        <v>4.2856999333447512E-2</v>
      </c>
      <c r="CS50" s="125">
        <v>4.7312635265277111E-2</v>
      </c>
      <c r="CT50" s="125">
        <v>4.7101509128538756E-2</v>
      </c>
      <c r="CU50" s="125">
        <v>4.6513684570843206E-2</v>
      </c>
      <c r="CV50" s="125">
        <v>5.411988747235924E-2</v>
      </c>
      <c r="CW50" s="125">
        <v>4.3054908570974749E-2</v>
      </c>
      <c r="CX50" s="125">
        <v>6.1699662194787702E-2</v>
      </c>
    </row>
    <row r="51" spans="1:102" s="115" customFormat="1">
      <c r="A51" s="23"/>
      <c r="B51" s="67" t="s">
        <v>56</v>
      </c>
      <c r="C51" s="125">
        <v>0.10357284462626444</v>
      </c>
      <c r="D51" s="125">
        <v>0.10785590801909066</v>
      </c>
      <c r="E51" s="125">
        <v>0.10130753463862147</v>
      </c>
      <c r="F51" s="125">
        <v>0.10173572795673594</v>
      </c>
      <c r="G51" s="125">
        <v>9.999116457365162E-2</v>
      </c>
      <c r="H51" s="125">
        <v>0.10731422499521866</v>
      </c>
      <c r="I51" s="125">
        <v>0.10504088860262603</v>
      </c>
      <c r="J51" s="125">
        <v>0.1059783757174364</v>
      </c>
      <c r="K51" s="125">
        <v>0.10226458458538579</v>
      </c>
      <c r="L51" s="125">
        <v>0.10160439774474513</v>
      </c>
      <c r="M51" s="125">
        <v>0.10163874174029448</v>
      </c>
      <c r="N51" s="125">
        <v>0.10164591686174572</v>
      </c>
      <c r="O51" s="125">
        <v>9.8824317230730194E-2</v>
      </c>
      <c r="P51" s="125">
        <v>0.10439352972417253</v>
      </c>
      <c r="Q51" s="125">
        <v>0.10009038345996848</v>
      </c>
      <c r="R51" s="125">
        <v>0.10411269844283629</v>
      </c>
      <c r="S51" s="125">
        <v>0.10540270890432535</v>
      </c>
      <c r="T51" s="125">
        <v>0.10167911959777189</v>
      </c>
      <c r="U51" s="125">
        <v>0.10481102372153177</v>
      </c>
      <c r="V51" s="125">
        <v>0.10629759249358726</v>
      </c>
      <c r="W51" s="125">
        <v>0.10213319653336449</v>
      </c>
      <c r="X51" s="125">
        <v>0.10680008183700261</v>
      </c>
      <c r="Y51" s="125">
        <v>0.10267416947574444</v>
      </c>
      <c r="Z51" s="125">
        <v>0.10050023219773188</v>
      </c>
      <c r="AA51" s="125">
        <v>0.10023077894230892</v>
      </c>
      <c r="AB51" s="125">
        <v>0.10164951112784268</v>
      </c>
      <c r="AC51" s="125">
        <v>0.10198369453468678</v>
      </c>
      <c r="AD51" s="125">
        <v>0.1005952934996984</v>
      </c>
      <c r="AE51" s="125">
        <v>0.1018631227452996</v>
      </c>
      <c r="AF51" s="125">
        <v>0.1060667776134043</v>
      </c>
      <c r="AG51" s="125">
        <v>0.10295067577297549</v>
      </c>
      <c r="AH51" s="125">
        <v>0.10460899896851421</v>
      </c>
      <c r="AI51" s="125">
        <v>0.10602916623172637</v>
      </c>
      <c r="AJ51" s="125">
        <v>0.10157463410158947</v>
      </c>
      <c r="AK51" s="125">
        <v>0.10176107389333872</v>
      </c>
      <c r="AL51" s="125">
        <v>0.1017590622682079</v>
      </c>
      <c r="AM51" s="125">
        <v>0.10146292188681492</v>
      </c>
      <c r="AN51" s="125">
        <v>0.10451740194779519</v>
      </c>
      <c r="AO51" s="125">
        <v>0.10350824272174225</v>
      </c>
      <c r="AP51" s="125">
        <v>0.1007503956504658</v>
      </c>
      <c r="AQ51" s="125">
        <v>0.10078356758901481</v>
      </c>
      <c r="AR51" s="125">
        <v>0.10285608547440085</v>
      </c>
      <c r="AS51" s="125">
        <v>0.10700167892936673</v>
      </c>
      <c r="AT51" s="125">
        <v>0.10337218464208844</v>
      </c>
      <c r="AU51" s="125">
        <v>0.10167453603720056</v>
      </c>
      <c r="AV51" s="125">
        <v>0.10472436471102205</v>
      </c>
      <c r="AW51" s="125">
        <v>0.10318585883815917</v>
      </c>
      <c r="AX51" s="125">
        <v>0.1066718654281069</v>
      </c>
      <c r="AY51" s="125">
        <v>0.10209353739891841</v>
      </c>
      <c r="AZ51" s="125">
        <v>0.10156093066552135</v>
      </c>
      <c r="BA51" s="125">
        <v>9.8921223900402019E-2</v>
      </c>
      <c r="BB51" s="125">
        <v>0.10578759937634748</v>
      </c>
      <c r="BC51" s="125">
        <v>0.10135113449911896</v>
      </c>
      <c r="BD51" s="125">
        <v>0.10301995097921703</v>
      </c>
      <c r="BE51" s="125">
        <v>0.10260901741221093</v>
      </c>
      <c r="BF51" s="125">
        <v>0.10576470511639252</v>
      </c>
      <c r="BG51" s="125">
        <v>0.10187548618974815</v>
      </c>
      <c r="BH51" s="125">
        <v>0.10345010764236895</v>
      </c>
      <c r="BI51" s="125">
        <v>0.10221145087214883</v>
      </c>
      <c r="BJ51" s="125">
        <v>0.10283357773659332</v>
      </c>
      <c r="BK51" s="125">
        <v>0.10673403193111125</v>
      </c>
      <c r="BL51" s="125">
        <v>0.10134580487667973</v>
      </c>
      <c r="BM51" s="125">
        <v>0.10414326505541496</v>
      </c>
      <c r="BN51" s="125">
        <v>0.10081968446715217</v>
      </c>
      <c r="BO51" s="125">
        <v>0.1019496552974816</v>
      </c>
      <c r="BP51" s="125">
        <v>0.10054292376050088</v>
      </c>
      <c r="BQ51" s="125">
        <v>0.10344195782222808</v>
      </c>
      <c r="BR51" s="125">
        <v>0.10647645716431363</v>
      </c>
      <c r="BS51" s="125">
        <v>0.10076134704198893</v>
      </c>
      <c r="BT51" s="125">
        <v>0.1015998083759105</v>
      </c>
      <c r="BU51" s="125">
        <v>0.10205408224900395</v>
      </c>
      <c r="BV51" s="125">
        <v>0.10173336808546156</v>
      </c>
      <c r="BW51" s="125">
        <v>0.1007932891648031</v>
      </c>
      <c r="BX51" s="125">
        <v>0.10215897990959683</v>
      </c>
      <c r="BY51" s="125">
        <v>0.10407704222689494</v>
      </c>
      <c r="BZ51" s="125">
        <v>0.10103985757435521</v>
      </c>
      <c r="CA51" s="125">
        <v>0.10370917307583466</v>
      </c>
      <c r="CB51" s="125">
        <v>0.10504429693506731</v>
      </c>
      <c r="CC51" s="125">
        <v>0.10360061090812012</v>
      </c>
      <c r="CD51" s="125">
        <v>0.10085792803134092</v>
      </c>
      <c r="CE51" s="125">
        <v>0.10452690358059023</v>
      </c>
      <c r="CF51" s="125">
        <v>0.10519621188175884</v>
      </c>
      <c r="CG51" s="125">
        <v>9.9495848621258792E-2</v>
      </c>
      <c r="CH51" s="125">
        <v>9.8645068935703142E-2</v>
      </c>
      <c r="CI51" s="125">
        <v>0.103586439677819</v>
      </c>
      <c r="CJ51" s="125">
        <v>9.7557803220724854E-2</v>
      </c>
      <c r="CK51" s="125">
        <v>0.10074323012604545</v>
      </c>
      <c r="CL51" s="125">
        <v>0.1057886978511772</v>
      </c>
      <c r="CM51" s="125">
        <v>0.10765606912949158</v>
      </c>
      <c r="CN51" s="125">
        <v>0.10215182400628837</v>
      </c>
      <c r="CO51" s="125">
        <v>0.1014617863288674</v>
      </c>
      <c r="CP51" s="125">
        <v>0.10370328604849537</v>
      </c>
      <c r="CQ51" s="125">
        <v>9.8615297253468195E-2</v>
      </c>
      <c r="CR51" s="125">
        <v>0.1001411399001427</v>
      </c>
      <c r="CS51" s="125">
        <v>9.7320141323730278E-2</v>
      </c>
      <c r="CT51" s="125">
        <v>0.10295436540149212</v>
      </c>
      <c r="CU51" s="125">
        <v>0.1029940445078618</v>
      </c>
      <c r="CV51" s="125">
        <v>0.10458088783325997</v>
      </c>
      <c r="CW51" s="125">
        <v>9.7124523984594063E-2</v>
      </c>
      <c r="CX51" s="125">
        <v>0.10961338891760458</v>
      </c>
    </row>
    <row r="52" spans="1:102" s="116" customFormat="1">
      <c r="A52" s="126"/>
      <c r="B52" s="67" t="s">
        <v>114</v>
      </c>
      <c r="C52" s="125">
        <v>0.36163542153245409</v>
      </c>
      <c r="D52" s="125">
        <v>0.35286411581703647</v>
      </c>
      <c r="E52" s="125">
        <v>0.36028808701574833</v>
      </c>
      <c r="F52" s="125">
        <v>0.36495580548904943</v>
      </c>
      <c r="G52" s="125">
        <v>0.38338653516715493</v>
      </c>
      <c r="H52" s="125">
        <v>0.38735451189627024</v>
      </c>
      <c r="I52" s="125">
        <v>0.37307670405948312</v>
      </c>
      <c r="J52" s="125">
        <v>0.37182172253496415</v>
      </c>
      <c r="K52" s="125">
        <v>0.39186398309661868</v>
      </c>
      <c r="L52" s="125">
        <v>0.35913682118462464</v>
      </c>
      <c r="M52" s="125">
        <v>0.3614392779861122</v>
      </c>
      <c r="N52" s="125">
        <v>0.37979904458683439</v>
      </c>
      <c r="O52" s="125">
        <v>0.36718507696048536</v>
      </c>
      <c r="P52" s="125">
        <v>0.34979742775020928</v>
      </c>
      <c r="Q52" s="125">
        <v>0.3444873961186255</v>
      </c>
      <c r="R52" s="125">
        <v>0.39171006519280427</v>
      </c>
      <c r="S52" s="125">
        <v>0.3828210073274616</v>
      </c>
      <c r="T52" s="125">
        <v>0.34960297523970341</v>
      </c>
      <c r="U52" s="125">
        <v>0.35092325439833794</v>
      </c>
      <c r="V52" s="125">
        <v>0.36967075423698781</v>
      </c>
      <c r="W52" s="125">
        <v>0.36779348765758713</v>
      </c>
      <c r="X52" s="125">
        <v>0.38885475471658865</v>
      </c>
      <c r="Y52" s="125">
        <v>0.36347080549406319</v>
      </c>
      <c r="Z52" s="125">
        <v>0.38770223477301741</v>
      </c>
      <c r="AA52" s="125">
        <v>0.34747940697430035</v>
      </c>
      <c r="AB52" s="125">
        <v>0.36383961239079748</v>
      </c>
      <c r="AC52" s="125">
        <v>0.3565105503838838</v>
      </c>
      <c r="AD52" s="125">
        <v>0.35850133599624823</v>
      </c>
      <c r="AE52" s="125">
        <v>0.36903808686751693</v>
      </c>
      <c r="AF52" s="125">
        <v>0.37479346063273833</v>
      </c>
      <c r="AG52" s="125">
        <v>0.38648464708272318</v>
      </c>
      <c r="AH52" s="125">
        <v>0.37076365961883195</v>
      </c>
      <c r="AI52" s="125">
        <v>0.36468949009774121</v>
      </c>
      <c r="AJ52" s="125">
        <v>0.32992717775436681</v>
      </c>
      <c r="AK52" s="125">
        <v>0.35323815952720838</v>
      </c>
      <c r="AL52" s="125">
        <v>0.38643682796605522</v>
      </c>
      <c r="AM52" s="125">
        <v>0.35243227614095302</v>
      </c>
      <c r="AN52" s="125">
        <v>0.37147684553603438</v>
      </c>
      <c r="AO52" s="125">
        <v>0.32744874165126303</v>
      </c>
      <c r="AP52" s="125">
        <v>0.39438133575534295</v>
      </c>
      <c r="AQ52" s="125">
        <v>0.35960583424546289</v>
      </c>
      <c r="AR52" s="125">
        <v>0.34658769021517233</v>
      </c>
      <c r="AS52" s="125">
        <v>0.32697725853802273</v>
      </c>
      <c r="AT52" s="125">
        <v>0.35519031965531556</v>
      </c>
      <c r="AU52" s="125">
        <v>0.37498229422068119</v>
      </c>
      <c r="AV52" s="125">
        <v>0.38412807622292766</v>
      </c>
      <c r="AW52" s="125">
        <v>0.3788667738678852</v>
      </c>
      <c r="AX52" s="125">
        <v>0.31921900936637682</v>
      </c>
      <c r="AY52" s="125">
        <v>0.36885773746119921</v>
      </c>
      <c r="AZ52" s="125">
        <v>0.36457990491831449</v>
      </c>
      <c r="BA52" s="125">
        <v>0.32722717922222821</v>
      </c>
      <c r="BB52" s="125">
        <v>0.31949039654622824</v>
      </c>
      <c r="BC52" s="125">
        <v>0.36067987467203411</v>
      </c>
      <c r="BD52" s="125">
        <v>0.30415985259910461</v>
      </c>
      <c r="BE52" s="125">
        <v>0.33512032745218778</v>
      </c>
      <c r="BF52" s="125">
        <v>0.36330564786799879</v>
      </c>
      <c r="BG52" s="125">
        <v>0.37458280868937699</v>
      </c>
      <c r="BH52" s="125">
        <v>0.35149483647346091</v>
      </c>
      <c r="BI52" s="125">
        <v>0.39156550586891159</v>
      </c>
      <c r="BJ52" s="125">
        <v>0.35881691261465953</v>
      </c>
      <c r="BK52" s="125">
        <v>0.30939647957907468</v>
      </c>
      <c r="BL52" s="125">
        <v>0.34492951490203272</v>
      </c>
      <c r="BM52" s="125">
        <v>0.36229847656461067</v>
      </c>
      <c r="BN52" s="125">
        <v>0.37228523097012756</v>
      </c>
      <c r="BO52" s="125">
        <v>0.3320006434691527</v>
      </c>
      <c r="BP52" s="125">
        <v>0.3319354259196583</v>
      </c>
      <c r="BQ52" s="125">
        <v>0.37814730407611957</v>
      </c>
      <c r="BR52" s="125">
        <v>0.36538644762547989</v>
      </c>
      <c r="BS52" s="125">
        <v>0.33999653894761361</v>
      </c>
      <c r="BT52" s="125">
        <v>0.38303926296460272</v>
      </c>
      <c r="BU52" s="125">
        <v>0.36436357514543266</v>
      </c>
      <c r="BV52" s="125">
        <v>0.40890532727131362</v>
      </c>
      <c r="BW52" s="125">
        <v>0.34116702941197063</v>
      </c>
      <c r="BX52" s="125">
        <v>0.3370141873085199</v>
      </c>
      <c r="BY52" s="125">
        <v>0.36855377682977331</v>
      </c>
      <c r="BZ52" s="125">
        <v>0.31719829127619659</v>
      </c>
      <c r="CA52" s="125">
        <v>0.32864549095536288</v>
      </c>
      <c r="CB52" s="125">
        <v>0.33635521609187713</v>
      </c>
      <c r="CC52" s="125">
        <v>0.37018261850208589</v>
      </c>
      <c r="CD52" s="125">
        <v>0.38421258332721359</v>
      </c>
      <c r="CE52" s="125">
        <v>0.34445100187265149</v>
      </c>
      <c r="CF52" s="125">
        <v>0.33294056682910056</v>
      </c>
      <c r="CG52" s="125">
        <v>0.31438099032319355</v>
      </c>
      <c r="CH52" s="125">
        <v>0.33607651898586277</v>
      </c>
      <c r="CI52" s="125">
        <v>0.33037938598492711</v>
      </c>
      <c r="CJ52" s="125">
        <v>0.30603516141147602</v>
      </c>
      <c r="CK52" s="125">
        <v>0.37875233090784022</v>
      </c>
      <c r="CL52" s="125">
        <v>0.32481320449609552</v>
      </c>
      <c r="CM52" s="125">
        <v>0.33471407047918766</v>
      </c>
      <c r="CN52" s="125">
        <v>0.34002667632383682</v>
      </c>
      <c r="CO52" s="125">
        <v>0.33888226048853465</v>
      </c>
      <c r="CP52" s="125">
        <v>0.32533888143985057</v>
      </c>
      <c r="CQ52" s="125">
        <v>0.35984898820936206</v>
      </c>
      <c r="CR52" s="125">
        <v>0.38114383446127498</v>
      </c>
      <c r="CS52" s="125">
        <v>0.32502520234578991</v>
      </c>
      <c r="CT52" s="125">
        <v>0.32379064938889779</v>
      </c>
      <c r="CU52" s="125">
        <v>0.33460536008563085</v>
      </c>
      <c r="CV52" s="125">
        <v>0.32973738434418642</v>
      </c>
      <c r="CW52" s="125">
        <v>0.33347859428327864</v>
      </c>
      <c r="CX52" s="125">
        <v>0.33967288987661909</v>
      </c>
    </row>
    <row r="53" spans="1:102" s="115" customFormat="1">
      <c r="A53" s="108" t="str">
        <f>Parameters!A43</f>
        <v>Vermogenseffect &amp; innovatie</v>
      </c>
      <c r="B53" s="122" t="s">
        <v>29</v>
      </c>
      <c r="C53" s="123">
        <v>6.9927015726916453E-2</v>
      </c>
      <c r="D53" s="123">
        <v>5.7859470094168482E-2</v>
      </c>
      <c r="E53" s="123">
        <v>6.8436497004867647E-2</v>
      </c>
      <c r="F53" s="123">
        <v>7.4747139216178607E-2</v>
      </c>
      <c r="G53" s="123">
        <v>5.481102527158211E-2</v>
      </c>
      <c r="H53" s="123">
        <v>4.7822206998767824E-2</v>
      </c>
      <c r="I53" s="123">
        <v>5.5638634806786741E-2</v>
      </c>
      <c r="J53" s="123">
        <v>5.4667594716958992E-2</v>
      </c>
      <c r="K53" s="123">
        <v>5.1950541527712085E-2</v>
      </c>
      <c r="L53" s="123">
        <v>6.4013741167130822E-2</v>
      </c>
      <c r="M53" s="123">
        <v>6.6906111484402259E-2</v>
      </c>
      <c r="N53" s="123">
        <v>5.342426600566403E-2</v>
      </c>
      <c r="O53" s="123">
        <v>5.3830247536734474E-2</v>
      </c>
      <c r="P53" s="123">
        <v>5.8773338896526889E-2</v>
      </c>
      <c r="Q53" s="123">
        <v>5.5327383012646246E-2</v>
      </c>
      <c r="R53" s="123">
        <v>4.6216250786544448E-2</v>
      </c>
      <c r="S53" s="123">
        <v>5.1754233936371456E-2</v>
      </c>
      <c r="T53" s="123">
        <v>7.5474258980457079E-2</v>
      </c>
      <c r="U53" s="123">
        <v>6.5775950814711867E-2</v>
      </c>
      <c r="V53" s="123">
        <v>5.3923049972797996E-2</v>
      </c>
      <c r="W53" s="123">
        <v>5.9852928517688184E-2</v>
      </c>
      <c r="X53" s="123">
        <v>4.8935209850444736E-2</v>
      </c>
      <c r="Y53" s="123">
        <v>6.5742940604199177E-2</v>
      </c>
      <c r="Z53" s="123">
        <v>6.1796561104211431E-2</v>
      </c>
      <c r="AA53" s="123">
        <v>6.9645979397181285E-2</v>
      </c>
      <c r="AB53" s="123">
        <v>7.1786757165102411E-2</v>
      </c>
      <c r="AC53" s="123">
        <v>7.9901922815096643E-2</v>
      </c>
      <c r="AD53" s="123">
        <v>6.1753306404237068E-2</v>
      </c>
      <c r="AE53" s="123">
        <v>7.0443451561489845E-2</v>
      </c>
      <c r="AF53" s="123">
        <v>5.0587699677429737E-2</v>
      </c>
      <c r="AG53" s="123">
        <v>6.2925940494561045E-2</v>
      </c>
      <c r="AH53" s="123">
        <v>4.7276947552634244E-2</v>
      </c>
      <c r="AI53" s="123">
        <v>5.656324493957432E-2</v>
      </c>
      <c r="AJ53" s="123">
        <v>8.0277409218042092E-2</v>
      </c>
      <c r="AK53" s="123">
        <v>6.3210407230824994E-2</v>
      </c>
      <c r="AL53" s="123">
        <v>4.8027290829635395E-2</v>
      </c>
      <c r="AM53" s="123">
        <v>7.7107196144787421E-2</v>
      </c>
      <c r="AN53" s="123">
        <v>5.4466673606364716E-2</v>
      </c>
      <c r="AO53" s="123">
        <v>8.8419781918941689E-2</v>
      </c>
      <c r="AP53" s="123">
        <v>5.7284246558295143E-2</v>
      </c>
      <c r="AQ53" s="123">
        <v>7.1925132935348801E-2</v>
      </c>
      <c r="AR53" s="123">
        <v>5.7448745628531535E-2</v>
      </c>
      <c r="AS53" s="123">
        <v>6.4890280750281359E-2</v>
      </c>
      <c r="AT53" s="123">
        <v>6.1175616561072191E-2</v>
      </c>
      <c r="AU53" s="123">
        <v>7.1703581950226747E-2</v>
      </c>
      <c r="AV53" s="123">
        <v>5.1859273090608567E-2</v>
      </c>
      <c r="AW53" s="123">
        <v>6.9422982973549957E-2</v>
      </c>
      <c r="AX53" s="123">
        <v>6.1057779012544972E-2</v>
      </c>
      <c r="AY53" s="123">
        <v>6.0646828940903917E-2</v>
      </c>
      <c r="AZ53" s="123">
        <v>7.2295193943957531E-2</v>
      </c>
      <c r="BA53" s="123">
        <v>6.0933041127657746E-2</v>
      </c>
      <c r="BB53" s="123">
        <v>7.1174768877860117E-2</v>
      </c>
      <c r="BC53" s="123">
        <v>5.6188410372720529E-2</v>
      </c>
      <c r="BD53" s="123">
        <v>7.2676881614752012E-2</v>
      </c>
      <c r="BE53" s="123">
        <v>7.5650212258912636E-2</v>
      </c>
      <c r="BF53" s="123">
        <v>6.6481184180501418E-2</v>
      </c>
      <c r="BG53" s="123">
        <v>4.6842232592449538E-2</v>
      </c>
      <c r="BH53" s="123">
        <v>7.5577549736920588E-2</v>
      </c>
      <c r="BI53" s="123">
        <v>5.0073746613024217E-2</v>
      </c>
      <c r="BJ53" s="123">
        <v>6.7381942548557047E-2</v>
      </c>
      <c r="BK53" s="123">
        <v>7.4381803848393518E-2</v>
      </c>
      <c r="BL53" s="123">
        <v>6.9602285101439509E-2</v>
      </c>
      <c r="BM53" s="123">
        <v>8.438295852387509E-2</v>
      </c>
      <c r="BN53" s="123">
        <v>5.6892736899604952E-2</v>
      </c>
      <c r="BO53" s="123">
        <v>9.0284970838622386E-2</v>
      </c>
      <c r="BP53" s="123">
        <v>7.6485051104043411E-2</v>
      </c>
      <c r="BQ53" s="123">
        <v>4.8518965580814616E-2</v>
      </c>
      <c r="BR53" s="123">
        <v>4.5000369550513272E-2</v>
      </c>
      <c r="BS53" s="123">
        <v>7.2978610367000735E-2</v>
      </c>
      <c r="BT53" s="123">
        <v>7.6350058242176666E-2</v>
      </c>
      <c r="BU53" s="123">
        <v>5.7476706933069645E-2</v>
      </c>
      <c r="BV53" s="123">
        <v>4.9303218482111694E-2</v>
      </c>
      <c r="BW53" s="123">
        <v>7.1790824386942564E-2</v>
      </c>
      <c r="BX53" s="123">
        <v>7.6094678922648248E-2</v>
      </c>
      <c r="BY53" s="123">
        <v>4.783133667923696E-2</v>
      </c>
      <c r="BZ53" s="123">
        <v>7.5171878254407395E-2</v>
      </c>
      <c r="CA53" s="123">
        <v>6.9873440348904095E-2</v>
      </c>
      <c r="CB53" s="123">
        <v>6.3157910424804051E-2</v>
      </c>
      <c r="CC53" s="123">
        <v>5.1805951174752535E-2</v>
      </c>
      <c r="CD53" s="123">
        <v>6.389488084068029E-2</v>
      </c>
      <c r="CE53" s="123">
        <v>6.5531369120861868E-2</v>
      </c>
      <c r="CF53" s="123">
        <v>6.710984249308756E-2</v>
      </c>
      <c r="CG53" s="123">
        <v>7.6974415569264654E-2</v>
      </c>
      <c r="CH53" s="123">
        <v>7.5663794929847511E-2</v>
      </c>
      <c r="CI53" s="123">
        <v>7.1140612149900112E-2</v>
      </c>
      <c r="CJ53" s="123">
        <v>5.8139395778611463E-2</v>
      </c>
      <c r="CK53" s="123">
        <v>6.5044092974845147E-2</v>
      </c>
      <c r="CL53" s="123">
        <v>6.70813064014322E-2</v>
      </c>
      <c r="CM53" s="123">
        <v>5.3486004613771884E-2</v>
      </c>
      <c r="CN53" s="123">
        <v>6.5855999108920676E-2</v>
      </c>
      <c r="CO53" s="123">
        <v>7.1633474595808447E-2</v>
      </c>
      <c r="CP53" s="123">
        <v>7.8890807032978225E-2</v>
      </c>
      <c r="CQ53" s="123">
        <v>7.1424586110900981E-2</v>
      </c>
      <c r="CR53" s="123">
        <v>4.396616879560989E-2</v>
      </c>
      <c r="CS53" s="123">
        <v>7.0821742880723501E-2</v>
      </c>
      <c r="CT53" s="123">
        <v>7.400572104855227E-2</v>
      </c>
      <c r="CU53" s="123">
        <v>7.4648344129940009E-2</v>
      </c>
      <c r="CV53" s="123">
        <v>8.1435057174949935E-2</v>
      </c>
      <c r="CW53" s="123">
        <v>6.9856841481318724E-2</v>
      </c>
      <c r="CX53" s="123">
        <v>9.0802831855743671E-2</v>
      </c>
    </row>
    <row r="54" spans="1:102">
      <c r="A54" s="23"/>
      <c r="B54" s="14" t="s">
        <v>30</v>
      </c>
      <c r="C54" s="125">
        <v>5.5629076951879748E-2</v>
      </c>
      <c r="D54" s="125">
        <v>6.2320436421625477E-2</v>
      </c>
      <c r="E54" s="125">
        <v>5.2370991029788865E-2</v>
      </c>
      <c r="F54" s="125">
        <v>5.3636414134738047E-2</v>
      </c>
      <c r="G54" s="125">
        <v>4.9262429773556042E-2</v>
      </c>
      <c r="H54" s="125">
        <v>5.8515212566756278E-2</v>
      </c>
      <c r="I54" s="125">
        <v>5.7236981654953063E-2</v>
      </c>
      <c r="J54" s="125">
        <v>5.8062061261405125E-2</v>
      </c>
      <c r="K54" s="125">
        <v>4.9539520601118103E-2</v>
      </c>
      <c r="L54" s="125">
        <v>5.3142861110708053E-2</v>
      </c>
      <c r="M54" s="125">
        <v>5.2375766948956778E-2</v>
      </c>
      <c r="N54" s="125">
        <v>4.8435077596953501E-2</v>
      </c>
      <c r="O54" s="125">
        <v>5.0900055703025075E-2</v>
      </c>
      <c r="P54" s="125">
        <v>5.6184327522221439E-2</v>
      </c>
      <c r="Q54" s="125">
        <v>5.7406695055252255E-2</v>
      </c>
      <c r="R54" s="125">
        <v>5.2031560333173583E-2</v>
      </c>
      <c r="S54" s="125">
        <v>5.4792607172233145E-2</v>
      </c>
      <c r="T54" s="125">
        <v>5.3336296868790191E-2</v>
      </c>
      <c r="U54" s="125">
        <v>5.7279422049547279E-2</v>
      </c>
      <c r="V54" s="125">
        <v>5.7746217848759551E-2</v>
      </c>
      <c r="W54" s="125">
        <v>5.4853389902694727E-2</v>
      </c>
      <c r="X54" s="125">
        <v>5.7067710300787826E-2</v>
      </c>
      <c r="Y54" s="125">
        <v>5.5915423710353906E-2</v>
      </c>
      <c r="Z54" s="125">
        <v>5.0009265319026247E-2</v>
      </c>
      <c r="AA54" s="125">
        <v>5.2479735169144157E-2</v>
      </c>
      <c r="AB54" s="125">
        <v>5.498818330430881E-2</v>
      </c>
      <c r="AC54" s="125">
        <v>5.4580935296482308E-2</v>
      </c>
      <c r="AD54" s="125">
        <v>5.0162282553817959E-2</v>
      </c>
      <c r="AE54" s="125">
        <v>5.1992217127756063E-2</v>
      </c>
      <c r="AF54" s="125">
        <v>5.6382836347371984E-2</v>
      </c>
      <c r="AG54" s="125">
        <v>5.2175865499711371E-2</v>
      </c>
      <c r="AH54" s="125">
        <v>5.2548491656804454E-2</v>
      </c>
      <c r="AI54" s="125">
        <v>5.9468716766119159E-2</v>
      </c>
      <c r="AJ54" s="125">
        <v>5.573196733515768E-2</v>
      </c>
      <c r="AK54" s="125">
        <v>5.2168087991303132E-2</v>
      </c>
      <c r="AL54" s="125">
        <v>5.0187845595467052E-2</v>
      </c>
      <c r="AM54" s="125">
        <v>5.4516830273116892E-2</v>
      </c>
      <c r="AN54" s="125">
        <v>5.3268833521590779E-2</v>
      </c>
      <c r="AO54" s="125">
        <v>5.9122114883313613E-2</v>
      </c>
      <c r="AP54" s="125">
        <v>4.820359673034183E-2</v>
      </c>
      <c r="AQ54" s="125">
        <v>5.1378851251794172E-2</v>
      </c>
      <c r="AR54" s="125">
        <v>5.3520285719934488E-2</v>
      </c>
      <c r="AS54" s="125">
        <v>6.0463339234154791E-2</v>
      </c>
      <c r="AT54" s="125">
        <v>5.2106178800852117E-2</v>
      </c>
      <c r="AU54" s="125">
        <v>5.1293008635925535E-2</v>
      </c>
      <c r="AV54" s="125">
        <v>5.2932929254373831E-2</v>
      </c>
      <c r="AW54" s="125">
        <v>5.3538154586260059E-2</v>
      </c>
      <c r="AX54" s="125">
        <v>6.1558607555019018E-2</v>
      </c>
      <c r="AY54" s="125">
        <v>5.0376221851037878E-2</v>
      </c>
      <c r="AZ54" s="125">
        <v>5.0460949383547629E-2</v>
      </c>
      <c r="BA54" s="125">
        <v>5.6796373053582171E-2</v>
      </c>
      <c r="BB54" s="125">
        <v>6.0936678050618434E-2</v>
      </c>
      <c r="BC54" s="125">
        <v>5.255851452592189E-2</v>
      </c>
      <c r="BD54" s="125">
        <v>5.8899573924814118E-2</v>
      </c>
      <c r="BE54" s="125">
        <v>5.7801687092406122E-2</v>
      </c>
      <c r="BF54" s="125">
        <v>5.704712521399638E-2</v>
      </c>
      <c r="BG54" s="125">
        <v>4.8642617718684486E-2</v>
      </c>
      <c r="BH54" s="125">
        <v>5.7464715898553814E-2</v>
      </c>
      <c r="BI54" s="125">
        <v>4.8254683519773793E-2</v>
      </c>
      <c r="BJ54" s="125">
        <v>5.6589976437166491E-2</v>
      </c>
      <c r="BK54" s="125">
        <v>6.2565105542526284E-2</v>
      </c>
      <c r="BL54" s="125">
        <v>5.3571833594033912E-2</v>
      </c>
      <c r="BM54" s="125">
        <v>5.8300032112476807E-2</v>
      </c>
      <c r="BN54" s="125">
        <v>4.6626437415710625E-2</v>
      </c>
      <c r="BO54" s="125">
        <v>5.7040962630977327E-2</v>
      </c>
      <c r="BP54" s="125">
        <v>5.3716171475076097E-2</v>
      </c>
      <c r="BQ54" s="125">
        <v>5.092518131320517E-2</v>
      </c>
      <c r="BR54" s="125">
        <v>5.5027185510577684E-2</v>
      </c>
      <c r="BS54" s="125">
        <v>5.7888065478711698E-2</v>
      </c>
      <c r="BT54" s="125">
        <v>5.2020792983384044E-2</v>
      </c>
      <c r="BU54" s="125">
        <v>4.8279605341546981E-2</v>
      </c>
      <c r="BV54" s="125">
        <v>4.5234460563906419E-2</v>
      </c>
      <c r="BW54" s="125">
        <v>5.3567978072104359E-2</v>
      </c>
      <c r="BX54" s="125">
        <v>5.4755868578506291E-2</v>
      </c>
      <c r="BY54" s="125">
        <v>5.8274125976456717E-2</v>
      </c>
      <c r="BZ54" s="125">
        <v>5.7597172967648512E-2</v>
      </c>
      <c r="CA54" s="125">
        <v>5.7780086762494437E-2</v>
      </c>
      <c r="CB54" s="125">
        <v>5.8700797582477322E-2</v>
      </c>
      <c r="CC54" s="125">
        <v>5.2615684794399514E-2</v>
      </c>
      <c r="CD54" s="125">
        <v>4.8008060599100288E-2</v>
      </c>
      <c r="CE54" s="125">
        <v>5.8483401336676531E-2</v>
      </c>
      <c r="CF54" s="125">
        <v>5.5968436448977428E-2</v>
      </c>
      <c r="CG54" s="125">
        <v>5.6319990325770689E-2</v>
      </c>
      <c r="CH54" s="125">
        <v>5.4169330794599124E-2</v>
      </c>
      <c r="CI54" s="125">
        <v>5.9088665453304143E-2</v>
      </c>
      <c r="CJ54" s="125">
        <v>6.0072908879635158E-2</v>
      </c>
      <c r="CK54" s="125">
        <v>4.9710467724250217E-2</v>
      </c>
      <c r="CL54" s="125">
        <v>5.8617178461789127E-2</v>
      </c>
      <c r="CM54" s="125">
        <v>6.0504261851828472E-2</v>
      </c>
      <c r="CN54" s="125">
        <v>5.8510920996821099E-2</v>
      </c>
      <c r="CO54" s="125">
        <v>5.2808232095456875E-2</v>
      </c>
      <c r="CP54" s="125">
        <v>5.6803883919088395E-2</v>
      </c>
      <c r="CQ54" s="125">
        <v>5.198388728075741E-2</v>
      </c>
      <c r="CR54" s="125">
        <v>4.6904645058856304E-2</v>
      </c>
      <c r="CS54" s="125">
        <v>5.5704812801598717E-2</v>
      </c>
      <c r="CT54" s="125">
        <v>5.5944129839130829E-2</v>
      </c>
      <c r="CU54" s="125">
        <v>5.6751758190683718E-2</v>
      </c>
      <c r="CV54" s="125">
        <v>6.1914392669033716E-2</v>
      </c>
      <c r="CW54" s="125">
        <v>5.1794972677660277E-2</v>
      </c>
      <c r="CX54" s="125">
        <v>6.8824105896325413E-2</v>
      </c>
    </row>
    <row r="55" spans="1:102">
      <c r="A55" s="23"/>
      <c r="B55" s="67" t="s">
        <v>56</v>
      </c>
      <c r="C55" s="125">
        <v>0.10484716870894283</v>
      </c>
      <c r="D55" s="125">
        <v>0.10994740765843752</v>
      </c>
      <c r="E55" s="125">
        <v>0.10245254294291925</v>
      </c>
      <c r="F55" s="125">
        <v>0.10357358272373493</v>
      </c>
      <c r="G55" s="125">
        <v>0.10036184083601365</v>
      </c>
      <c r="H55" s="125">
        <v>0.10836411325514753</v>
      </c>
      <c r="I55" s="125">
        <v>0.10677955036818365</v>
      </c>
      <c r="J55" s="125">
        <v>0.10821387730312983</v>
      </c>
      <c r="K55" s="125">
        <v>0.10286219192700154</v>
      </c>
      <c r="L55" s="125">
        <v>0.10286416900674442</v>
      </c>
      <c r="M55" s="125">
        <v>0.10389775128107365</v>
      </c>
      <c r="N55" s="125">
        <v>0.10222645472386037</v>
      </c>
      <c r="O55" s="125">
        <v>9.9490772615520334E-2</v>
      </c>
      <c r="P55" s="125">
        <v>0.10609268648680499</v>
      </c>
      <c r="Q55" s="125">
        <v>0.10178942035599617</v>
      </c>
      <c r="R55" s="125">
        <v>0.10452388367256256</v>
      </c>
      <c r="S55" s="125">
        <v>0.10708856596188579</v>
      </c>
      <c r="T55" s="125">
        <v>0.10313192719577047</v>
      </c>
      <c r="U55" s="125">
        <v>0.10588758602087414</v>
      </c>
      <c r="V55" s="125">
        <v>0.10795601808930608</v>
      </c>
      <c r="W55" s="125">
        <v>0.10408705077654988</v>
      </c>
      <c r="X55" s="125">
        <v>0.10757180830099354</v>
      </c>
      <c r="Y55" s="125">
        <v>0.10635525731046895</v>
      </c>
      <c r="Z55" s="125">
        <v>0.10295985219607613</v>
      </c>
      <c r="AA55" s="125">
        <v>0.10271408006079379</v>
      </c>
      <c r="AB55" s="125">
        <v>0.10555855342277656</v>
      </c>
      <c r="AC55" s="125">
        <v>0.10331748657520927</v>
      </c>
      <c r="AD55" s="125">
        <v>0.10174607771293805</v>
      </c>
      <c r="AE55" s="125">
        <v>0.10417252813977285</v>
      </c>
      <c r="AF55" s="125">
        <v>0.10771412842097375</v>
      </c>
      <c r="AG55" s="125">
        <v>0.10425039937901975</v>
      </c>
      <c r="AH55" s="125">
        <v>0.10513036660208062</v>
      </c>
      <c r="AI55" s="125">
        <v>0.1063988102522648</v>
      </c>
      <c r="AJ55" s="125">
        <v>0.10362743160519622</v>
      </c>
      <c r="AK55" s="125">
        <v>0.10396632265687543</v>
      </c>
      <c r="AL55" s="125">
        <v>0.10275209889051901</v>
      </c>
      <c r="AM55" s="125">
        <v>0.10495053757425511</v>
      </c>
      <c r="AN55" s="125">
        <v>0.10505742300043103</v>
      </c>
      <c r="AO55" s="125">
        <v>0.10571848667525843</v>
      </c>
      <c r="AP55" s="125">
        <v>0.10246612304320407</v>
      </c>
      <c r="AQ55" s="125">
        <v>0.10329117099100911</v>
      </c>
      <c r="AR55" s="125">
        <v>0.10396789249834437</v>
      </c>
      <c r="AS55" s="125">
        <v>0.10971321050862833</v>
      </c>
      <c r="AT55" s="125">
        <v>0.10498858217388791</v>
      </c>
      <c r="AU55" s="125">
        <v>0.10415909825770094</v>
      </c>
      <c r="AV55" s="125">
        <v>0.10587044494775213</v>
      </c>
      <c r="AW55" s="125">
        <v>0.10344786747720879</v>
      </c>
      <c r="AX55" s="125">
        <v>0.10898262559416548</v>
      </c>
      <c r="AY55" s="125">
        <v>0.10332143926370244</v>
      </c>
      <c r="AZ55" s="125">
        <v>0.10294447449891238</v>
      </c>
      <c r="BA55" s="125">
        <v>0.10037140929973286</v>
      </c>
      <c r="BB55" s="125">
        <v>0.10968778227686306</v>
      </c>
      <c r="BC55" s="125">
        <v>0.10157496565225983</v>
      </c>
      <c r="BD55" s="125">
        <v>0.105623480565356</v>
      </c>
      <c r="BE55" s="125">
        <v>0.1072566711426842</v>
      </c>
      <c r="BF55" s="125">
        <v>0.10672447757355795</v>
      </c>
      <c r="BG55" s="125">
        <v>0.10237841879664331</v>
      </c>
      <c r="BH55" s="125">
        <v>0.10640825591950795</v>
      </c>
      <c r="BI55" s="125">
        <v>0.10320101784028143</v>
      </c>
      <c r="BJ55" s="125">
        <v>0.10719506731257281</v>
      </c>
      <c r="BK55" s="125">
        <v>0.10977350486722962</v>
      </c>
      <c r="BL55" s="125">
        <v>0.10472360667309204</v>
      </c>
      <c r="BM55" s="125">
        <v>0.1050506146994533</v>
      </c>
      <c r="BN55" s="125">
        <v>0.1018231772547953</v>
      </c>
      <c r="BO55" s="125">
        <v>0.10441503499831033</v>
      </c>
      <c r="BP55" s="125">
        <v>0.1034183094700729</v>
      </c>
      <c r="BQ55" s="125">
        <v>0.104595261308566</v>
      </c>
      <c r="BR55" s="125">
        <v>0.1070566528084235</v>
      </c>
      <c r="BS55" s="125">
        <v>0.10156996998555246</v>
      </c>
      <c r="BT55" s="125">
        <v>0.10285258612047385</v>
      </c>
      <c r="BU55" s="125">
        <v>0.10338874779279383</v>
      </c>
      <c r="BV55" s="125">
        <v>0.10181222073130564</v>
      </c>
      <c r="BW55" s="125">
        <v>0.10280228115632251</v>
      </c>
      <c r="BX55" s="125">
        <v>0.10448332442318535</v>
      </c>
      <c r="BY55" s="125">
        <v>0.10517222815955762</v>
      </c>
      <c r="BZ55" s="125">
        <v>0.10511058907533026</v>
      </c>
      <c r="CA55" s="125">
        <v>0.10749659019432815</v>
      </c>
      <c r="CB55" s="125">
        <v>0.10836071960479064</v>
      </c>
      <c r="CC55" s="125">
        <v>0.10483194397964503</v>
      </c>
      <c r="CD55" s="125">
        <v>0.10292732220832358</v>
      </c>
      <c r="CE55" s="125">
        <v>0.1070972218747521</v>
      </c>
      <c r="CF55" s="125">
        <v>0.10750557512999061</v>
      </c>
      <c r="CG55" s="125">
        <v>0.10250414061079455</v>
      </c>
      <c r="CH55" s="125">
        <v>0.10207521398731302</v>
      </c>
      <c r="CI55" s="125">
        <v>0.10677219879880556</v>
      </c>
      <c r="CJ55" s="125">
        <v>9.9996074555914166E-2</v>
      </c>
      <c r="CK55" s="125">
        <v>0.1025202793459792</v>
      </c>
      <c r="CL55" s="125">
        <v>0.1078666451575412</v>
      </c>
      <c r="CM55" s="125">
        <v>0.10951197931507942</v>
      </c>
      <c r="CN55" s="125">
        <v>0.10510957491204367</v>
      </c>
      <c r="CO55" s="125">
        <v>0.10298400674096199</v>
      </c>
      <c r="CP55" s="125">
        <v>0.10611730377036548</v>
      </c>
      <c r="CQ55" s="125">
        <v>0.10154786509447616</v>
      </c>
      <c r="CR55" s="125">
        <v>0.10038290880814246</v>
      </c>
      <c r="CS55" s="125">
        <v>9.9327868020373147E-2</v>
      </c>
      <c r="CT55" s="125">
        <v>0.10557566562209225</v>
      </c>
      <c r="CU55" s="125">
        <v>0.10565940015735611</v>
      </c>
      <c r="CV55" s="125">
        <v>0.10627011297212917</v>
      </c>
      <c r="CW55" s="125">
        <v>9.9917453217139837E-2</v>
      </c>
      <c r="CX55" s="125">
        <v>0.11114577674229974</v>
      </c>
    </row>
    <row r="56" spans="1:102">
      <c r="A56" s="126"/>
      <c r="B56" s="67" t="s">
        <v>114</v>
      </c>
      <c r="C56" s="125">
        <v>0.14068191778348341</v>
      </c>
      <c r="D56" s="125">
        <v>0.22125610512042718</v>
      </c>
      <c r="E56" s="125">
        <v>0.13225001328399275</v>
      </c>
      <c r="F56" s="125">
        <v>0.11368739961728287</v>
      </c>
      <c r="G56" s="125">
        <v>0.18150647307549592</v>
      </c>
      <c r="H56" s="125">
        <v>0.25902138111908501</v>
      </c>
      <c r="I56" s="125">
        <v>0.21262020484411767</v>
      </c>
      <c r="J56" s="125">
        <v>0.22085531362589464</v>
      </c>
      <c r="K56" s="125">
        <v>0.19855062877010196</v>
      </c>
      <c r="L56" s="125">
        <v>0.15472244151242914</v>
      </c>
      <c r="M56" s="125">
        <v>0.13862959292817778</v>
      </c>
      <c r="N56" s="125">
        <v>0.18498066194406496</v>
      </c>
      <c r="O56" s="125">
        <v>0.19459035087237891</v>
      </c>
      <c r="P56" s="125">
        <v>0.1926711391930733</v>
      </c>
      <c r="Q56" s="125">
        <v>0.21488550437157378</v>
      </c>
      <c r="R56" s="125">
        <v>0.24320066514451125</v>
      </c>
      <c r="S56" s="125">
        <v>0.22301765399909543</v>
      </c>
      <c r="T56" s="125">
        <v>0.10980343642025886</v>
      </c>
      <c r="U56" s="125">
        <v>0.16508984984404759</v>
      </c>
      <c r="V56" s="125">
        <v>0.22344140535997961</v>
      </c>
      <c r="W56" s="125">
        <v>0.18171742130844298</v>
      </c>
      <c r="X56" s="125">
        <v>0.24753620700116272</v>
      </c>
      <c r="Y56" s="125">
        <v>0.15940281571124457</v>
      </c>
      <c r="Z56" s="125">
        <v>0.15016189290364049</v>
      </c>
      <c r="AA56" s="125">
        <v>0.12786268260688261</v>
      </c>
      <c r="AB56" s="125">
        <v>0.13058352705001836</v>
      </c>
      <c r="AC56" s="125">
        <v>0.10014914690697886</v>
      </c>
      <c r="AD56" s="125">
        <v>0.15110223072880416</v>
      </c>
      <c r="AE56" s="125">
        <v>0.1225064557574035</v>
      </c>
      <c r="AF56" s="125">
        <v>0.2358058661256035</v>
      </c>
      <c r="AG56" s="125">
        <v>0.15520170989263996</v>
      </c>
      <c r="AH56" s="125">
        <v>0.23904376607839287</v>
      </c>
      <c r="AI56" s="125">
        <v>0.21681730982606745</v>
      </c>
      <c r="AJ56" s="125">
        <v>0.10365636812827055</v>
      </c>
      <c r="AK56" s="125">
        <v>0.15386896923520488</v>
      </c>
      <c r="AL56" s="125">
        <v>0.22431553680271352</v>
      </c>
      <c r="AM56" s="125">
        <v>0.1091717983749131</v>
      </c>
      <c r="AN56" s="125">
        <v>0.2019265202407346</v>
      </c>
      <c r="AO56" s="125">
        <v>9.2353034981771068E-2</v>
      </c>
      <c r="AP56" s="125">
        <v>0.16331418143710258</v>
      </c>
      <c r="AQ56" s="125">
        <v>0.11405050159083226</v>
      </c>
      <c r="AR56" s="125">
        <v>0.18765891941326293</v>
      </c>
      <c r="AS56" s="125">
        <v>0.18198468924431954</v>
      </c>
      <c r="AT56" s="125">
        <v>0.16301518509461216</v>
      </c>
      <c r="AU56" s="125">
        <v>0.11449535567298691</v>
      </c>
      <c r="AV56" s="125">
        <v>0.21453083660452846</v>
      </c>
      <c r="AW56" s="125">
        <v>0.13351709503773454</v>
      </c>
      <c r="AX56" s="125">
        <v>0.20343413502566496</v>
      </c>
      <c r="AY56" s="125">
        <v>0.15735894538458492</v>
      </c>
      <c r="AZ56" s="125">
        <v>0.10850407282051305</v>
      </c>
      <c r="BA56" s="125">
        <v>0.18492196825511459</v>
      </c>
      <c r="BB56" s="125">
        <v>0.1577116767021122</v>
      </c>
      <c r="BC56" s="125">
        <v>0.18975492604671085</v>
      </c>
      <c r="BD56" s="125">
        <v>0.14363460613643364</v>
      </c>
      <c r="BE56" s="125">
        <v>0.12802355667510035</v>
      </c>
      <c r="BF56" s="125">
        <v>0.16106765277999799</v>
      </c>
      <c r="BG56" s="125">
        <v>0.2244031953825627</v>
      </c>
      <c r="BH56" s="125">
        <v>0.12689763848685551</v>
      </c>
      <c r="BI56" s="125">
        <v>0.20313842769430457</v>
      </c>
      <c r="BJ56" s="125">
        <v>0.15529261379368084</v>
      </c>
      <c r="BK56" s="125">
        <v>0.15173116175676568</v>
      </c>
      <c r="BL56" s="125">
        <v>0.13294709598374529</v>
      </c>
      <c r="BM56" s="125">
        <v>0.10100165889932534</v>
      </c>
      <c r="BN56" s="125">
        <v>0.15727722306112224</v>
      </c>
      <c r="BO56" s="125">
        <v>7.9640066719260841E-2</v>
      </c>
      <c r="BP56" s="125">
        <v>0.1079117755671667</v>
      </c>
      <c r="BQ56" s="125">
        <v>0.2247096565485602</v>
      </c>
      <c r="BR56" s="125">
        <v>0.26236997292608599</v>
      </c>
      <c r="BS56" s="125">
        <v>0.13831129985338128</v>
      </c>
      <c r="BT56" s="125">
        <v>0.10107453679560932</v>
      </c>
      <c r="BU56" s="125">
        <v>0.1627127285438966</v>
      </c>
      <c r="BV56" s="125">
        <v>0.19245698725987084</v>
      </c>
      <c r="BW56" s="125">
        <v>0.12435198972064661</v>
      </c>
      <c r="BX56" s="125">
        <v>0.11370079096269683</v>
      </c>
      <c r="BY56" s="125">
        <v>0.2581058085385517</v>
      </c>
      <c r="BZ56" s="125">
        <v>0.12891987936678198</v>
      </c>
      <c r="CA56" s="125">
        <v>0.15004750355647722</v>
      </c>
      <c r="CB56" s="125">
        <v>0.18258071327065176</v>
      </c>
      <c r="CC56" s="125">
        <v>0.21343677829169597</v>
      </c>
      <c r="CD56" s="125">
        <v>0.13079914081364949</v>
      </c>
      <c r="CE56" s="125">
        <v>0.17117719028483244</v>
      </c>
      <c r="CF56" s="125">
        <v>0.15377087950379609</v>
      </c>
      <c r="CG56" s="125">
        <v>0.11718508692758889</v>
      </c>
      <c r="CH56" s="125">
        <v>0.11271886194877344</v>
      </c>
      <c r="CI56" s="125">
        <v>0.15039831187624866</v>
      </c>
      <c r="CJ56" s="125">
        <v>0.2114646695344774</v>
      </c>
      <c r="CK56" s="125">
        <v>0.1340834608573877</v>
      </c>
      <c r="CL56" s="125">
        <v>0.16507835857415629</v>
      </c>
      <c r="CM56" s="125">
        <v>0.23615478584648419</v>
      </c>
      <c r="CN56" s="125">
        <v>0.1698836367385704</v>
      </c>
      <c r="CO56" s="125">
        <v>0.12158122079271928</v>
      </c>
      <c r="CP56" s="125">
        <v>0.11260632332099785</v>
      </c>
      <c r="CQ56" s="125">
        <v>0.11868060440487535</v>
      </c>
      <c r="CR56" s="125">
        <v>0.23448571258905626</v>
      </c>
      <c r="CS56" s="125">
        <v>0.13744777076859357</v>
      </c>
      <c r="CT56" s="125">
        <v>0.12629092781934451</v>
      </c>
      <c r="CU56" s="125">
        <v>0.12732184554757922</v>
      </c>
      <c r="CV56" s="125">
        <v>0.1242969457293653</v>
      </c>
      <c r="CW56" s="125">
        <v>0.12391224759901941</v>
      </c>
      <c r="CX56" s="125">
        <v>0.1201878186013698</v>
      </c>
    </row>
    <row r="57" spans="1:102">
      <c r="A57" s="108" t="str">
        <f>Parameters!A44</f>
        <v>Schuld deflatie</v>
      </c>
      <c r="B57" s="122" t="s">
        <v>29</v>
      </c>
      <c r="C57" s="123">
        <v>-0.10570670750362338</v>
      </c>
      <c r="D57" s="123">
        <v>-9.2673922396495467E-2</v>
      </c>
      <c r="E57" s="123">
        <v>-0.10777206699696248</v>
      </c>
      <c r="F57" s="123">
        <v>-0.10228152185770463</v>
      </c>
      <c r="G57" s="123">
        <v>-9.8068017390805784E-2</v>
      </c>
      <c r="H57" s="123">
        <v>-8.4287237914489957E-2</v>
      </c>
      <c r="I57" s="123">
        <v>-8.5612746612207774E-2</v>
      </c>
      <c r="J57" s="123">
        <v>-7.9843161565636186E-2</v>
      </c>
      <c r="K57" s="123">
        <v>-8.7691157569206493E-2</v>
      </c>
      <c r="L57" s="123">
        <v>-9.8707285368755809E-2</v>
      </c>
      <c r="M57" s="123">
        <v>-9.0457687039543683E-2</v>
      </c>
      <c r="N57" s="123">
        <v>-9.4081401402799303E-2</v>
      </c>
      <c r="O57" s="123">
        <v>-9.2873702183277285E-2</v>
      </c>
      <c r="P57" s="123">
        <v>-9.2405675354370428E-2</v>
      </c>
      <c r="Q57" s="123">
        <v>-9.0125699634814427E-2</v>
      </c>
      <c r="R57" s="123">
        <v>-8.5360198275107158E-2</v>
      </c>
      <c r="S57" s="123">
        <v>-7.7932041273780228E-2</v>
      </c>
      <c r="T57" s="123">
        <v>-0.11214599785210522</v>
      </c>
      <c r="U57" s="123">
        <v>-0.10381146830407141</v>
      </c>
      <c r="V57" s="123">
        <v>-8.3717034101953414E-2</v>
      </c>
      <c r="W57" s="123">
        <v>-8.4305769778159428E-2</v>
      </c>
      <c r="X57" s="123">
        <v>-8.4905522216340304E-2</v>
      </c>
      <c r="Y57" s="123">
        <v>-7.4993402534493353E-2</v>
      </c>
      <c r="Z57" s="123">
        <v>-7.7171493867195934E-2</v>
      </c>
      <c r="AA57" s="123">
        <v>-9.1831194796188773E-2</v>
      </c>
      <c r="AB57" s="123">
        <v>-7.7895224963280885E-2</v>
      </c>
      <c r="AC57" s="123">
        <v>-0.11449412630277328</v>
      </c>
      <c r="AD57" s="123">
        <v>-9.7857321556738652E-2</v>
      </c>
      <c r="AE57" s="123">
        <v>-8.9440983620744374E-2</v>
      </c>
      <c r="AF57" s="123">
        <v>-7.863547540960189E-2</v>
      </c>
      <c r="AG57" s="123">
        <v>-8.7601673548045794E-2</v>
      </c>
      <c r="AH57" s="123">
        <v>-8.7394021681480472E-2</v>
      </c>
      <c r="AI57" s="123">
        <v>-9.9434845063863381E-2</v>
      </c>
      <c r="AJ57" s="123">
        <v>-0.11255793442020837</v>
      </c>
      <c r="AK57" s="123">
        <v>-8.6159836568721365E-2</v>
      </c>
      <c r="AL57" s="123">
        <v>-7.9226840211889665E-2</v>
      </c>
      <c r="AM57" s="123">
        <v>-8.7857525490412675E-2</v>
      </c>
      <c r="AN57" s="123">
        <v>-9.0990717678272853E-2</v>
      </c>
      <c r="AO57" s="123">
        <v>-0.12354838863092175</v>
      </c>
      <c r="AP57" s="123">
        <v>-7.7804763117424042E-2</v>
      </c>
      <c r="AQ57" s="123">
        <v>-9.1196455795573186E-2</v>
      </c>
      <c r="AR57" s="123">
        <v>-9.6205468500579552E-2</v>
      </c>
      <c r="AS57" s="123">
        <v>-9.3026985091518646E-2</v>
      </c>
      <c r="AT57" s="123">
        <v>-9.1895492548115562E-2</v>
      </c>
      <c r="AU57" s="123">
        <v>-8.7161502585029277E-2</v>
      </c>
      <c r="AV57" s="123">
        <v>-8.0930047549195402E-2</v>
      </c>
      <c r="AW57" s="123">
        <v>-0.10356689310784933</v>
      </c>
      <c r="AX57" s="123">
        <v>-9.6581660839538494E-2</v>
      </c>
      <c r="AY57" s="123">
        <v>-9.0969814193677209E-2</v>
      </c>
      <c r="AZ57" s="123">
        <v>-0.10342831431770044</v>
      </c>
      <c r="BA57" s="123">
        <v>-9.9292007247447439E-2</v>
      </c>
      <c r="BB57" s="123">
        <v>-8.6969964895363794E-2</v>
      </c>
      <c r="BC57" s="123">
        <v>-9.7035366272722565E-2</v>
      </c>
      <c r="BD57" s="123">
        <v>-0.10606862773353444</v>
      </c>
      <c r="BE57" s="123">
        <v>-7.9445999923190541E-2</v>
      </c>
      <c r="BF57" s="123">
        <v>-0.10227551385905545</v>
      </c>
      <c r="BG57" s="123">
        <v>-8.6608361766907449E-2</v>
      </c>
      <c r="BH57" s="123">
        <v>-8.779844253628552E-2</v>
      </c>
      <c r="BI57" s="123">
        <v>-7.9057419995048422E-2</v>
      </c>
      <c r="BJ57" s="123">
        <v>-6.9010604405308915E-2</v>
      </c>
      <c r="BK57" s="123">
        <v>-0.10307962066811069</v>
      </c>
      <c r="BL57" s="123">
        <v>-8.0816399833773783E-2</v>
      </c>
      <c r="BM57" s="123">
        <v>-0.12356782945559382</v>
      </c>
      <c r="BN57" s="123">
        <v>-9.3069029691148275E-2</v>
      </c>
      <c r="BO57" s="123">
        <v>-0.11823722983415175</v>
      </c>
      <c r="BP57" s="123">
        <v>-9.7345359175371682E-2</v>
      </c>
      <c r="BQ57" s="123">
        <v>-7.9504754578637038E-2</v>
      </c>
      <c r="BR57" s="123">
        <v>-8.4538053793940179E-2</v>
      </c>
      <c r="BS57" s="123">
        <v>-0.11590547561986543</v>
      </c>
      <c r="BT57" s="123">
        <v>-9.7839894781391851E-2</v>
      </c>
      <c r="BU57" s="123">
        <v>-9.024722200384834E-2</v>
      </c>
      <c r="BV57" s="123">
        <v>-8.6031375200713592E-2</v>
      </c>
      <c r="BW57" s="123">
        <v>-9.9443676749276413E-2</v>
      </c>
      <c r="BX57" s="123">
        <v>-9.9863229596481223E-2</v>
      </c>
      <c r="BY57" s="123">
        <v>-8.428617870212185E-2</v>
      </c>
      <c r="BZ57" s="123">
        <v>-8.6991410137005704E-2</v>
      </c>
      <c r="CA57" s="123">
        <v>-8.2624982685606169E-2</v>
      </c>
      <c r="CB57" s="123">
        <v>-7.8933507555042054E-2</v>
      </c>
      <c r="CC57" s="123">
        <v>-8.1311597780558728E-2</v>
      </c>
      <c r="CD57" s="123">
        <v>-8.2483502775257483E-2</v>
      </c>
      <c r="CE57" s="123">
        <v>-8.6006788592086186E-2</v>
      </c>
      <c r="CF57" s="123">
        <v>-9.3748823124984199E-2</v>
      </c>
      <c r="CG57" s="123">
        <v>-9.9168073075560553E-2</v>
      </c>
      <c r="CH57" s="123">
        <v>-8.9178098854720514E-2</v>
      </c>
      <c r="CI57" s="123">
        <v>-8.8362541246289908E-2</v>
      </c>
      <c r="CJ57" s="123">
        <v>-9.3405168775700279E-2</v>
      </c>
      <c r="CK57" s="123">
        <v>-8.4784120822250036E-2</v>
      </c>
      <c r="CL57" s="123">
        <v>-0.10018710825920496</v>
      </c>
      <c r="CM57" s="123">
        <v>-8.7616711085166998E-2</v>
      </c>
      <c r="CN57" s="123">
        <v>-8.6168699053354586E-2</v>
      </c>
      <c r="CO57" s="123">
        <v>-0.10769888056177998</v>
      </c>
      <c r="CP57" s="123">
        <v>-0.10640490283399175</v>
      </c>
      <c r="CQ57" s="123">
        <v>-8.4871445122455702E-2</v>
      </c>
      <c r="CR57" s="123">
        <v>-8.4889529694249788E-2</v>
      </c>
      <c r="CS57" s="123">
        <v>-9.9798423804030756E-2</v>
      </c>
      <c r="CT57" s="123">
        <v>-9.6837368300331711E-2</v>
      </c>
      <c r="CU57" s="123">
        <v>-9.129851014605711E-2</v>
      </c>
      <c r="CV57" s="123">
        <v>-0.11898404609408231</v>
      </c>
      <c r="CW57" s="123">
        <v>-8.9152254884989748E-2</v>
      </c>
      <c r="CX57" s="123">
        <v>-0.12955670066246378</v>
      </c>
    </row>
    <row r="58" spans="1:102">
      <c r="A58" s="23"/>
      <c r="B58" s="14" t="s">
        <v>30</v>
      </c>
      <c r="C58" s="125">
        <v>0.10580831728013314</v>
      </c>
      <c r="D58" s="125">
        <v>9.3507826636157462E-2</v>
      </c>
      <c r="E58" s="125">
        <v>0.10155042547915905</v>
      </c>
      <c r="F58" s="125">
        <v>0.10488846834460494</v>
      </c>
      <c r="G58" s="125">
        <v>9.6733578234667716E-2</v>
      </c>
      <c r="H58" s="125">
        <v>9.3127789309418563E-2</v>
      </c>
      <c r="I58" s="125">
        <v>9.2447527007226665E-2</v>
      </c>
      <c r="J58" s="125">
        <v>8.8423997763754966E-2</v>
      </c>
      <c r="K58" s="125">
        <v>8.7870795571942092E-2</v>
      </c>
      <c r="L58" s="125">
        <v>9.9914399796981648E-2</v>
      </c>
      <c r="M58" s="125">
        <v>9.3500938873781178E-2</v>
      </c>
      <c r="N58" s="125">
        <v>8.7852151919056307E-2</v>
      </c>
      <c r="O58" s="125">
        <v>9.3179785294887421E-2</v>
      </c>
      <c r="P58" s="125">
        <v>9.1795211294291357E-2</v>
      </c>
      <c r="Q58" s="125">
        <v>9.4922015372764151E-2</v>
      </c>
      <c r="R58" s="125">
        <v>8.6587252846736781E-2</v>
      </c>
      <c r="S58" s="125">
        <v>8.6607879307137633E-2</v>
      </c>
      <c r="T58" s="125">
        <v>0.10006216935617582</v>
      </c>
      <c r="U58" s="125">
        <v>8.8932730546239375E-2</v>
      </c>
      <c r="V58" s="125">
        <v>8.6259499938812295E-2</v>
      </c>
      <c r="W58" s="125">
        <v>9.1162516489659909E-2</v>
      </c>
      <c r="X58" s="125">
        <v>8.9962514774327498E-2</v>
      </c>
      <c r="Y58" s="125">
        <v>8.6413364348119109E-2</v>
      </c>
      <c r="Z58" s="125">
        <v>8.6507455151667009E-2</v>
      </c>
      <c r="AA58" s="125">
        <v>8.7541378048017635E-2</v>
      </c>
      <c r="AB58" s="125">
        <v>8.9137085762487425E-2</v>
      </c>
      <c r="AC58" s="125">
        <v>0.10511466147279763</v>
      </c>
      <c r="AD58" s="125">
        <v>8.8908635095933997E-2</v>
      </c>
      <c r="AE58" s="125">
        <v>9.5758502138974314E-2</v>
      </c>
      <c r="AF58" s="125">
        <v>8.2537713888406181E-2</v>
      </c>
      <c r="AG58" s="125">
        <v>9.2691913430976713E-2</v>
      </c>
      <c r="AH58" s="125">
        <v>7.758965369561005E-2</v>
      </c>
      <c r="AI58" s="125">
        <v>8.9049482058540672E-2</v>
      </c>
      <c r="AJ58" s="125">
        <v>9.971392287334703E-2</v>
      </c>
      <c r="AK58" s="125">
        <v>8.3192680446790956E-2</v>
      </c>
      <c r="AL58" s="125">
        <v>8.5811670375097737E-2</v>
      </c>
      <c r="AM58" s="125">
        <v>9.307627232859593E-2</v>
      </c>
      <c r="AN58" s="125">
        <v>8.0969546904251163E-2</v>
      </c>
      <c r="AO58" s="125">
        <v>0.1012175124507191</v>
      </c>
      <c r="AP58" s="125">
        <v>8.5100480441367671E-2</v>
      </c>
      <c r="AQ58" s="125">
        <v>9.3036660953589534E-2</v>
      </c>
      <c r="AR58" s="125">
        <v>8.2908901386022985E-2</v>
      </c>
      <c r="AS58" s="125">
        <v>8.4685903318252986E-2</v>
      </c>
      <c r="AT58" s="125">
        <v>8.9292306857042356E-2</v>
      </c>
      <c r="AU58" s="125">
        <v>9.4380026849175083E-2</v>
      </c>
      <c r="AV58" s="125">
        <v>8.4835958025244892E-2</v>
      </c>
      <c r="AW58" s="125">
        <v>9.130591515889265E-2</v>
      </c>
      <c r="AX58" s="125">
        <v>7.899785246995758E-2</v>
      </c>
      <c r="AY58" s="125">
        <v>9.3770328427577959E-2</v>
      </c>
      <c r="AZ58" s="125">
        <v>9.8733432661495743E-2</v>
      </c>
      <c r="BA58" s="125">
        <v>9.8318549153557727E-2</v>
      </c>
      <c r="BB58" s="125">
        <v>8.2579074764588617E-2</v>
      </c>
      <c r="BC58" s="125">
        <v>8.4477465724835596E-2</v>
      </c>
      <c r="BD58" s="125">
        <v>8.7735432312679371E-2</v>
      </c>
      <c r="BE58" s="125">
        <v>8.424728403068843E-2</v>
      </c>
      <c r="BF58" s="125">
        <v>9.1917063635531468E-2</v>
      </c>
      <c r="BG58" s="125">
        <v>8.041645407517313E-2</v>
      </c>
      <c r="BH58" s="125">
        <v>8.6992680981352474E-2</v>
      </c>
      <c r="BI58" s="125">
        <v>8.1858601798551811E-2</v>
      </c>
      <c r="BJ58" s="125">
        <v>7.9425554835822157E-2</v>
      </c>
      <c r="BK58" s="125">
        <v>8.3491742654669354E-2</v>
      </c>
      <c r="BL58" s="125">
        <v>7.887099037612981E-2</v>
      </c>
      <c r="BM58" s="125">
        <v>0.10477556607990539</v>
      </c>
      <c r="BN58" s="125">
        <v>8.5478892623882086E-2</v>
      </c>
      <c r="BO58" s="125">
        <v>0.10189352268787184</v>
      </c>
      <c r="BP58" s="125">
        <v>9.0398274997430417E-2</v>
      </c>
      <c r="BQ58" s="125">
        <v>8.1717355957351329E-2</v>
      </c>
      <c r="BR58" s="125">
        <v>7.1861500402512102E-2</v>
      </c>
      <c r="BS58" s="125">
        <v>0.10224698883820313</v>
      </c>
      <c r="BT58" s="125">
        <v>9.6168070719205828E-2</v>
      </c>
      <c r="BU58" s="125">
        <v>8.4683480467103181E-2</v>
      </c>
      <c r="BV58" s="125">
        <v>8.2815072401792214E-2</v>
      </c>
      <c r="BW58" s="125">
        <v>9.5144227862849581E-2</v>
      </c>
      <c r="BX58" s="125">
        <v>9.5546748139124657E-2</v>
      </c>
      <c r="BY58" s="125">
        <v>8.9674656082704765E-2</v>
      </c>
      <c r="BZ58" s="125">
        <v>8.3280001300951534E-2</v>
      </c>
      <c r="CA58" s="125">
        <v>8.1578272695832912E-2</v>
      </c>
      <c r="CB58" s="125">
        <v>7.6399704997981238E-2</v>
      </c>
      <c r="CC58" s="125">
        <v>8.0359493284987579E-2</v>
      </c>
      <c r="CD58" s="125">
        <v>8.9135940768292635E-2</v>
      </c>
      <c r="CE58" s="125">
        <v>8.3677235634612088E-2</v>
      </c>
      <c r="CF58" s="125">
        <v>8.6621822429671244E-2</v>
      </c>
      <c r="CG58" s="125">
        <v>8.9063513266845293E-2</v>
      </c>
      <c r="CH58" s="125">
        <v>9.1734176075887602E-2</v>
      </c>
      <c r="CI58" s="125">
        <v>8.4314016099401284E-2</v>
      </c>
      <c r="CJ58" s="125">
        <v>9.1951127337940031E-2</v>
      </c>
      <c r="CK58" s="125">
        <v>8.875884227164077E-2</v>
      </c>
      <c r="CL58" s="125">
        <v>8.054687416756702E-2</v>
      </c>
      <c r="CM58" s="125">
        <v>7.2241928909014902E-2</v>
      </c>
      <c r="CN58" s="125">
        <v>9.0221130578098316E-2</v>
      </c>
      <c r="CO58" s="125">
        <v>9.1506505200961805E-2</v>
      </c>
      <c r="CP58" s="125">
        <v>9.3693627997525952E-2</v>
      </c>
      <c r="CQ58" s="125">
        <v>9.3573544423234276E-2</v>
      </c>
      <c r="CR58" s="125">
        <v>8.1222913940144165E-2</v>
      </c>
      <c r="CS58" s="125">
        <v>9.4773789875881934E-2</v>
      </c>
      <c r="CT58" s="125">
        <v>8.0367705011175142E-2</v>
      </c>
      <c r="CU58" s="125">
        <v>7.9483180834582334E-2</v>
      </c>
      <c r="CV58" s="125">
        <v>9.6524477195055775E-2</v>
      </c>
      <c r="CW58" s="125">
        <v>8.6279154715318065E-2</v>
      </c>
      <c r="CX58" s="125">
        <v>9.8071140659380468E-2</v>
      </c>
    </row>
    <row r="59" spans="1:102">
      <c r="A59" s="23"/>
      <c r="B59" s="67" t="s">
        <v>56</v>
      </c>
      <c r="C59" s="125">
        <v>0.10511117352766426</v>
      </c>
      <c r="D59" s="125">
        <v>9.8572128280267485E-2</v>
      </c>
      <c r="E59" s="125">
        <v>0.10038374300606175</v>
      </c>
      <c r="F59" s="125">
        <v>0.10421234474070941</v>
      </c>
      <c r="G59" s="125">
        <v>9.5696951084219106E-2</v>
      </c>
      <c r="H59" s="125">
        <v>9.7780993700156457E-2</v>
      </c>
      <c r="I59" s="125">
        <v>9.6518058086423039E-2</v>
      </c>
      <c r="J59" s="125">
        <v>9.4539711805023963E-2</v>
      </c>
      <c r="K59" s="125">
        <v>9.0460973536317962E-2</v>
      </c>
      <c r="L59" s="125">
        <v>0.10073465178888956</v>
      </c>
      <c r="M59" s="125">
        <v>9.6314032164032587E-2</v>
      </c>
      <c r="N59" s="125">
        <v>9.0466537600814009E-2</v>
      </c>
      <c r="O59" s="125">
        <v>9.2526856761602883E-2</v>
      </c>
      <c r="P59" s="125">
        <v>9.6545428714675155E-2</v>
      </c>
      <c r="Q59" s="125">
        <v>9.5687618109356845E-2</v>
      </c>
      <c r="R59" s="125">
        <v>9.1139674885211575E-2</v>
      </c>
      <c r="S59" s="125">
        <v>9.3014883288182387E-2</v>
      </c>
      <c r="T59" s="125">
        <v>9.8941722820001313E-2</v>
      </c>
      <c r="U59" s="125">
        <v>9.0884773022776824E-2</v>
      </c>
      <c r="V59" s="125">
        <v>9.2432555468314401E-2</v>
      </c>
      <c r="W59" s="125">
        <v>9.3871237640763494E-2</v>
      </c>
      <c r="X59" s="125">
        <v>9.4659566160271102E-2</v>
      </c>
      <c r="Y59" s="125">
        <v>9.229800458415878E-2</v>
      </c>
      <c r="Z59" s="125">
        <v>9.0129926438740529E-2</v>
      </c>
      <c r="AA59" s="125">
        <v>9.0698505811190308E-2</v>
      </c>
      <c r="AB59" s="125">
        <v>9.3433027356199405E-2</v>
      </c>
      <c r="AC59" s="125">
        <v>0.10204005756498263</v>
      </c>
      <c r="AD59" s="125">
        <v>9.1294668278717558E-2</v>
      </c>
      <c r="AE59" s="125">
        <v>9.8547627448571248E-2</v>
      </c>
      <c r="AF59" s="125">
        <v>9.0236816045335164E-2</v>
      </c>
      <c r="AG59" s="125">
        <v>9.4078343024023278E-2</v>
      </c>
      <c r="AH59" s="125">
        <v>8.4967504055551146E-2</v>
      </c>
      <c r="AI59" s="125">
        <v>9.0518250814394297E-2</v>
      </c>
      <c r="AJ59" s="125">
        <v>0.10047010659314003</v>
      </c>
      <c r="AK59" s="125">
        <v>8.8492179295668646E-2</v>
      </c>
      <c r="AL59" s="125">
        <v>9.0064875882809994E-2</v>
      </c>
      <c r="AM59" s="125">
        <v>9.6755622880554296E-2</v>
      </c>
      <c r="AN59" s="125">
        <v>8.585510087513222E-2</v>
      </c>
      <c r="AO59" s="125">
        <v>9.9592505469723105E-2</v>
      </c>
      <c r="AP59" s="125">
        <v>8.9281166559703959E-2</v>
      </c>
      <c r="AQ59" s="125">
        <v>9.5899260457625313E-2</v>
      </c>
      <c r="AR59" s="125">
        <v>8.8170042987086555E-2</v>
      </c>
      <c r="AS59" s="125">
        <v>9.3543223183417595E-2</v>
      </c>
      <c r="AT59" s="125">
        <v>9.4747253765046169E-2</v>
      </c>
      <c r="AU59" s="125">
        <v>9.752847820797042E-2</v>
      </c>
      <c r="AV59" s="125">
        <v>9.0474490328629253E-2</v>
      </c>
      <c r="AW59" s="125">
        <v>8.9692334054093534E-2</v>
      </c>
      <c r="AX59" s="125">
        <v>8.813428468147716E-2</v>
      </c>
      <c r="AY59" s="125">
        <v>9.7178432311841437E-2</v>
      </c>
      <c r="AZ59" s="125">
        <v>9.9220797025830865E-2</v>
      </c>
      <c r="BA59" s="125">
        <v>9.8376314696903486E-2</v>
      </c>
      <c r="BB59" s="125">
        <v>9.2266099387064704E-2</v>
      </c>
      <c r="BC59" s="125">
        <v>8.5650205606293495E-2</v>
      </c>
      <c r="BD59" s="125">
        <v>9.2995234414841255E-2</v>
      </c>
      <c r="BE59" s="125">
        <v>9.1650451582448486E-2</v>
      </c>
      <c r="BF59" s="125">
        <v>9.3333904354391858E-2</v>
      </c>
      <c r="BG59" s="125">
        <v>8.5851436209891357E-2</v>
      </c>
      <c r="BH59" s="125">
        <v>9.0069555456710665E-2</v>
      </c>
      <c r="BI59" s="125">
        <v>8.7767510918462688E-2</v>
      </c>
      <c r="BJ59" s="125">
        <v>8.7971966366588744E-2</v>
      </c>
      <c r="BK59" s="125">
        <v>9.1258985596415015E-2</v>
      </c>
      <c r="BL59" s="125">
        <v>8.5928140399240793E-2</v>
      </c>
      <c r="BM59" s="125">
        <v>9.9786433959870191E-2</v>
      </c>
      <c r="BN59" s="125">
        <v>8.9251743505019243E-2</v>
      </c>
      <c r="BO59" s="125">
        <v>9.9789191508642738E-2</v>
      </c>
      <c r="BP59" s="125">
        <v>9.3980084768862188E-2</v>
      </c>
      <c r="BQ59" s="125">
        <v>8.8757902413113501E-2</v>
      </c>
      <c r="BR59" s="125">
        <v>8.2442250293611782E-2</v>
      </c>
      <c r="BS59" s="125">
        <v>9.7706853329526985E-2</v>
      </c>
      <c r="BT59" s="125">
        <v>9.3786610060866582E-2</v>
      </c>
      <c r="BU59" s="125">
        <v>9.0325417550086051E-2</v>
      </c>
      <c r="BV59" s="125">
        <v>8.6052654872990852E-2</v>
      </c>
      <c r="BW59" s="125">
        <v>9.7809982286206187E-2</v>
      </c>
      <c r="BX59" s="125">
        <v>9.879758910095518E-2</v>
      </c>
      <c r="BY59" s="125">
        <v>9.4185244429529483E-2</v>
      </c>
      <c r="BZ59" s="125">
        <v>8.9065901364764236E-2</v>
      </c>
      <c r="CA59" s="125">
        <v>9.0380315871546255E-2</v>
      </c>
      <c r="CB59" s="125">
        <v>8.6960494461634619E-2</v>
      </c>
      <c r="CC59" s="125">
        <v>8.7055886251814166E-2</v>
      </c>
      <c r="CD59" s="125">
        <v>9.3257351469182112E-2</v>
      </c>
      <c r="CE59" s="125">
        <v>8.9464607982374378E-2</v>
      </c>
      <c r="CF59" s="125">
        <v>9.4577026078972351E-2</v>
      </c>
      <c r="CG59" s="125">
        <v>9.0882602533317244E-2</v>
      </c>
      <c r="CH59" s="125">
        <v>9.3873451937448726E-2</v>
      </c>
      <c r="CI59" s="125">
        <v>8.9640113288945472E-2</v>
      </c>
      <c r="CJ59" s="125">
        <v>9.2687040698760978E-2</v>
      </c>
      <c r="CK59" s="125">
        <v>9.1369670548309329E-2</v>
      </c>
      <c r="CL59" s="125">
        <v>8.7981768426301024E-2</v>
      </c>
      <c r="CM59" s="125">
        <v>8.4286561455107545E-2</v>
      </c>
      <c r="CN59" s="125">
        <v>9.5142952394696528E-2</v>
      </c>
      <c r="CO59" s="125">
        <v>9.2547048479688754E-2</v>
      </c>
      <c r="CP59" s="125">
        <v>9.7341811779625781E-2</v>
      </c>
      <c r="CQ59" s="125">
        <v>9.5390892430211566E-2</v>
      </c>
      <c r="CR59" s="125">
        <v>8.5268151714219947E-2</v>
      </c>
      <c r="CS59" s="125">
        <v>9.2548322667394531E-2</v>
      </c>
      <c r="CT59" s="125">
        <v>8.6415085878505576E-2</v>
      </c>
      <c r="CU59" s="125">
        <v>8.4895412751226432E-2</v>
      </c>
      <c r="CV59" s="125">
        <v>9.5985092934735852E-2</v>
      </c>
      <c r="CW59" s="125">
        <v>8.7939241439148746E-2</v>
      </c>
      <c r="CX59" s="125">
        <v>9.516690429528904E-2</v>
      </c>
    </row>
    <row r="60" spans="1:102">
      <c r="A60" s="126"/>
      <c r="B60" s="67" t="s">
        <v>114</v>
      </c>
      <c r="C60" s="125">
        <v>0.86292385165176211</v>
      </c>
      <c r="D60" s="125">
        <v>0.86390319269101701</v>
      </c>
      <c r="E60" s="125">
        <v>0.87692261338656141</v>
      </c>
      <c r="F60" s="125">
        <v>0.85779944956250365</v>
      </c>
      <c r="G60" s="125">
        <v>0.86803954379920611</v>
      </c>
      <c r="H60" s="125">
        <v>0.84433854861170166</v>
      </c>
      <c r="I60" s="125">
        <v>0.84948754626230016</v>
      </c>
      <c r="J60" s="125">
        <v>0.84519710002850135</v>
      </c>
      <c r="K60" s="125">
        <v>0.86687913159366226</v>
      </c>
      <c r="L60" s="125">
        <v>0.86170337053769885</v>
      </c>
      <c r="M60" s="125">
        <v>0.85867894550462043</v>
      </c>
      <c r="N60" s="125">
        <v>0.8819386150884625</v>
      </c>
      <c r="O60" s="125">
        <v>0.86521092436501379</v>
      </c>
      <c r="P60" s="125">
        <v>0.86770082586937658</v>
      </c>
      <c r="Q60" s="125">
        <v>0.85424631519464644</v>
      </c>
      <c r="R60" s="125">
        <v>0.86462110667230629</v>
      </c>
      <c r="S60" s="125">
        <v>0.84501599561071283</v>
      </c>
      <c r="T60" s="125">
        <v>0.88890038998648957</v>
      </c>
      <c r="U60" s="125">
        <v>0.89968308019917731</v>
      </c>
      <c r="V60" s="125">
        <v>0.86136105097757443</v>
      </c>
      <c r="W60" s="125">
        <v>0.84954401143282121</v>
      </c>
      <c r="X60" s="125">
        <v>0.8542748034933132</v>
      </c>
      <c r="Y60" s="125">
        <v>0.83733596771140961</v>
      </c>
      <c r="Z60" s="125">
        <v>0.84319500563315308</v>
      </c>
      <c r="AA60" s="125">
        <v>0.87763291491883832</v>
      </c>
      <c r="AB60" s="125">
        <v>0.83795011932399044</v>
      </c>
      <c r="AC60" s="125">
        <v>0.88186569615140131</v>
      </c>
      <c r="AD60" s="125">
        <v>0.88745905569092109</v>
      </c>
      <c r="AE60" s="125">
        <v>0.85047107694989865</v>
      </c>
      <c r="AF60" s="125">
        <v>0.8585614270238453</v>
      </c>
      <c r="AG60" s="125">
        <v>0.85382230637622936</v>
      </c>
      <c r="AH60" s="125">
        <v>0.89530507542416671</v>
      </c>
      <c r="AI60" s="125">
        <v>0.89044942653276937</v>
      </c>
      <c r="AJ60" s="125">
        <v>0.89048199991522525</v>
      </c>
      <c r="AK60" s="125">
        <v>0.87613261850395396</v>
      </c>
      <c r="AL60" s="125">
        <v>0.85078322087092451</v>
      </c>
      <c r="AM60" s="125">
        <v>0.85345547080590789</v>
      </c>
      <c r="AN60" s="125">
        <v>0.89385036046189059</v>
      </c>
      <c r="AO60" s="125">
        <v>0.90648559472505352</v>
      </c>
      <c r="AP60" s="125">
        <v>0.84891182497038453</v>
      </c>
      <c r="AQ60" s="125">
        <v>0.86163735453536372</v>
      </c>
      <c r="AR60" s="125">
        <v>0.89990139994356821</v>
      </c>
      <c r="AS60" s="125">
        <v>0.88811754232697571</v>
      </c>
      <c r="AT60" s="125">
        <v>0.87309525988598613</v>
      </c>
      <c r="AU60" s="125">
        <v>0.84837080469208148</v>
      </c>
      <c r="AV60" s="125">
        <v>0.85810265642712324</v>
      </c>
      <c r="AW60" s="125">
        <v>0.89321461095352039</v>
      </c>
      <c r="AX60" s="125">
        <v>0.9113590764210443</v>
      </c>
      <c r="AY60" s="125">
        <v>0.85921024215429509</v>
      </c>
      <c r="AZ60" s="125">
        <v>0.87468776065420517</v>
      </c>
      <c r="BA60" s="125">
        <v>0.8668473375226895</v>
      </c>
      <c r="BB60" s="125">
        <v>0.87985615159281239</v>
      </c>
      <c r="BC60" s="125">
        <v>0.89742747057344807</v>
      </c>
      <c r="BD60" s="125">
        <v>0.90707217282040342</v>
      </c>
      <c r="BE60" s="125">
        <v>0.85581582498687725</v>
      </c>
      <c r="BF60" s="125">
        <v>0.88904918962858603</v>
      </c>
      <c r="BG60" s="125">
        <v>0.8851924004307673</v>
      </c>
      <c r="BH60" s="125">
        <v>0.86953900260375272</v>
      </c>
      <c r="BI60" s="125">
        <v>0.86168966780136214</v>
      </c>
      <c r="BJ60" s="125">
        <v>0.84007729335479819</v>
      </c>
      <c r="BK60" s="125">
        <v>0.91219255429950341</v>
      </c>
      <c r="BL60" s="125">
        <v>0.87522746039469701</v>
      </c>
      <c r="BM60" s="125">
        <v>0.89880987458231476</v>
      </c>
      <c r="BN60" s="125">
        <v>0.88604949094028673</v>
      </c>
      <c r="BO60" s="125">
        <v>0.89590201099012434</v>
      </c>
      <c r="BP60" s="125">
        <v>0.88247911914753197</v>
      </c>
      <c r="BQ60" s="125">
        <v>0.86330667504295355</v>
      </c>
      <c r="BR60" s="125">
        <v>0.90583897260828494</v>
      </c>
      <c r="BS60" s="125">
        <v>0.89091067076210662</v>
      </c>
      <c r="BT60" s="125">
        <v>0.86893459030963072</v>
      </c>
      <c r="BU60" s="125">
        <v>0.88175134897123186</v>
      </c>
      <c r="BV60" s="125">
        <v>0.87689173260662123</v>
      </c>
      <c r="BW60" s="125">
        <v>0.87498825817871162</v>
      </c>
      <c r="BX60" s="125">
        <v>0.87489458707047185</v>
      </c>
      <c r="BY60" s="125">
        <v>0.85346828939432551</v>
      </c>
      <c r="BZ60" s="125">
        <v>0.8779180878748285</v>
      </c>
      <c r="CA60" s="125">
        <v>0.87189871746816938</v>
      </c>
      <c r="CB60" s="125">
        <v>0.87779926808981013</v>
      </c>
      <c r="CC60" s="125">
        <v>0.87208215623875529</v>
      </c>
      <c r="CD60" s="125">
        <v>0.85026152267416788</v>
      </c>
      <c r="CE60" s="125">
        <v>0.87438079124263568</v>
      </c>
      <c r="CF60" s="125">
        <v>0.88448728086962702</v>
      </c>
      <c r="CG60" s="125">
        <v>0.8898503861651692</v>
      </c>
      <c r="CH60" s="125">
        <v>0.86018406159245608</v>
      </c>
      <c r="CI60" s="125">
        <v>0.87831836514102679</v>
      </c>
      <c r="CJ60" s="125">
        <v>0.86961363806918957</v>
      </c>
      <c r="CK60" s="125">
        <v>0.85721351180247396</v>
      </c>
      <c r="CL60" s="125">
        <v>0.91434198855077586</v>
      </c>
      <c r="CM60" s="125">
        <v>0.91169188564039483</v>
      </c>
      <c r="CN60" s="125">
        <v>0.85677057630836517</v>
      </c>
      <c r="CO60" s="125">
        <v>0.90081949089239188</v>
      </c>
      <c r="CP60" s="125">
        <v>0.89295537294101279</v>
      </c>
      <c r="CQ60" s="125">
        <v>0.84467769685078475</v>
      </c>
      <c r="CR60" s="125">
        <v>0.87864916735539733</v>
      </c>
      <c r="CS60" s="125">
        <v>0.87667640385813339</v>
      </c>
      <c r="CT60" s="125">
        <v>0.90813488540144294</v>
      </c>
      <c r="CU60" s="125">
        <v>0.8987506166539635</v>
      </c>
      <c r="CV60" s="125">
        <v>0.90927165217103401</v>
      </c>
      <c r="CW60" s="125">
        <v>0.87476383750434428</v>
      </c>
      <c r="CX60" s="125">
        <v>0.92263409125668194</v>
      </c>
    </row>
    <row r="61" spans="1:102">
      <c r="A61" s="128" t="str">
        <f>Parameters!A45</f>
        <v>Kansgewogen</v>
      </c>
      <c r="B61" s="122" t="s">
        <v>29</v>
      </c>
      <c r="C61" s="123">
        <v>4.6160458905901251E-3</v>
      </c>
      <c r="D61" s="123">
        <v>4.9531350622366559E-3</v>
      </c>
      <c r="E61" s="123">
        <v>3.8936598198998367E-3</v>
      </c>
      <c r="F61" s="123">
        <v>5.6224390706538525E-3</v>
      </c>
      <c r="G61" s="123">
        <v>2.9064547890702225E-3</v>
      </c>
      <c r="H61" s="123">
        <v>4.0102176447071357E-3</v>
      </c>
      <c r="I61" s="123">
        <v>5.0285928450479519E-3</v>
      </c>
      <c r="J61" s="123">
        <v>5.683862417098378E-3</v>
      </c>
      <c r="K61" s="123">
        <v>3.635432886836377E-3</v>
      </c>
      <c r="L61" s="123">
        <v>4.3432536267118804E-3</v>
      </c>
      <c r="M61" s="123">
        <v>5.7882291033905207E-3</v>
      </c>
      <c r="N61" s="123">
        <v>2.9255097528110524E-3</v>
      </c>
      <c r="O61" s="123">
        <v>3.3212783131991415E-3</v>
      </c>
      <c r="P61" s="123">
        <v>4.4829583872323265E-3</v>
      </c>
      <c r="Q61" s="123">
        <v>4.3618019612443604E-3</v>
      </c>
      <c r="R61" s="123">
        <v>2.9851415985157736E-3</v>
      </c>
      <c r="S61" s="123">
        <v>5.0425063840670373E-3</v>
      </c>
      <c r="T61" s="123">
        <v>3.9429396611523936E-3</v>
      </c>
      <c r="U61" s="123">
        <v>3.77127741875697E-3</v>
      </c>
      <c r="V61" s="123">
        <v>4.7184379908198609E-3</v>
      </c>
      <c r="W61" s="123">
        <v>5.4322597724291667E-3</v>
      </c>
      <c r="X61" s="123">
        <v>3.5557216569322017E-3</v>
      </c>
      <c r="Y61" s="123">
        <v>7.6927039387233269E-3</v>
      </c>
      <c r="Z61" s="123">
        <v>6.3748629418169129E-3</v>
      </c>
      <c r="AA61" s="123">
        <v>5.8690533042779543E-3</v>
      </c>
      <c r="AB61" s="123">
        <v>8.0810033005141845E-3</v>
      </c>
      <c r="AC61" s="123">
        <v>4.1015504160944348E-3</v>
      </c>
      <c r="AD61" s="123">
        <v>3.663500866274128E-3</v>
      </c>
      <c r="AE61" s="123">
        <v>6.1795570391873778E-3</v>
      </c>
      <c r="AF61" s="123">
        <v>4.7500282767354348E-3</v>
      </c>
      <c r="AG61" s="123">
        <v>5.0190402970819231E-3</v>
      </c>
      <c r="AH61" s="123">
        <v>2.8863432872859003E-3</v>
      </c>
      <c r="AI61" s="123">
        <v>2.7736199513658478E-3</v>
      </c>
      <c r="AJ61" s="123">
        <v>4.7523281418382288E-3</v>
      </c>
      <c r="AK61" s="123">
        <v>5.5613908579240975E-3</v>
      </c>
      <c r="AL61" s="123">
        <v>3.9451240577514767E-3</v>
      </c>
      <c r="AM61" s="123">
        <v>7.4981115566286286E-3</v>
      </c>
      <c r="AN61" s="123">
        <v>3.3878259935059161E-3</v>
      </c>
      <c r="AO61" s="123">
        <v>4.4395168165467548E-3</v>
      </c>
      <c r="AP61" s="123">
        <v>5.3254632241518749E-3</v>
      </c>
      <c r="AQ61" s="123">
        <v>6.0669433526509527E-3</v>
      </c>
      <c r="AR61" s="123">
        <v>3.3127179288014669E-3</v>
      </c>
      <c r="AS61" s="123">
        <v>5.390622334330946E-3</v>
      </c>
      <c r="AT61" s="123">
        <v>4.4136699707366328E-3</v>
      </c>
      <c r="AU61" s="123">
        <v>6.4394777532477791E-3</v>
      </c>
      <c r="AV61" s="123">
        <v>4.2661403122093433E-3</v>
      </c>
      <c r="AW61" s="123">
        <v>3.622790676792575E-3</v>
      </c>
      <c r="AX61" s="123">
        <v>4.4083645251659061E-3</v>
      </c>
      <c r="AY61" s="123">
        <v>4.2689341462152572E-3</v>
      </c>
      <c r="AZ61" s="123">
        <v>4.2037774245506495E-3</v>
      </c>
      <c r="BA61" s="123">
        <v>3.7566602142176898E-3</v>
      </c>
      <c r="BB61" s="123">
        <v>7.2034854381651768E-3</v>
      </c>
      <c r="BC61" s="123">
        <v>2.7526655082143058E-3</v>
      </c>
      <c r="BD61" s="123">
        <v>4.8560888269499397E-3</v>
      </c>
      <c r="BE61" s="123">
        <v>8.5740118291037677E-3</v>
      </c>
      <c r="BF61" s="123">
        <v>3.5964815886936063E-3</v>
      </c>
      <c r="BG61" s="123">
        <v>2.6246003765617505E-3</v>
      </c>
      <c r="BH61" s="123">
        <v>7.1138384222983039E-3</v>
      </c>
      <c r="BI61" s="123">
        <v>3.9945842970623329E-3</v>
      </c>
      <c r="BJ61" s="123">
        <v>8.5036160888039523E-3</v>
      </c>
      <c r="BK61" s="123">
        <v>5.5337589319132113E-3</v>
      </c>
      <c r="BL61" s="123">
        <v>7.2015088110188299E-3</v>
      </c>
      <c r="BM61" s="123">
        <v>3.167943326669506E-3</v>
      </c>
      <c r="BN61" s="123">
        <v>3.1345623001114925E-3</v>
      </c>
      <c r="BO61" s="123">
        <v>5.1868076198457362E-3</v>
      </c>
      <c r="BP61" s="123">
        <v>6.0653417976932397E-3</v>
      </c>
      <c r="BQ61" s="123">
        <v>3.8955228361792511E-3</v>
      </c>
      <c r="BR61" s="123">
        <v>2.882192585187098E-3</v>
      </c>
      <c r="BS61" s="123">
        <v>2.8659975260836852E-3</v>
      </c>
      <c r="BT61" s="123">
        <v>5.2504891930772743E-3</v>
      </c>
      <c r="BU61" s="123">
        <v>3.7371359291623603E-3</v>
      </c>
      <c r="BV61" s="123">
        <v>2.5725881506173057E-3</v>
      </c>
      <c r="BW61" s="123">
        <v>4.9041251138520576E-3</v>
      </c>
      <c r="BX61" s="123">
        <v>5.6408748747028541E-3</v>
      </c>
      <c r="BY61" s="123">
        <v>3.3397031555554798E-3</v>
      </c>
      <c r="BZ61" s="123">
        <v>7.51466180809225E-3</v>
      </c>
      <c r="CA61" s="123">
        <v>7.2581688303859134E-3</v>
      </c>
      <c r="CB61" s="123">
        <v>6.7141033618615033E-3</v>
      </c>
      <c r="CC61" s="123">
        <v>4.151019906153755E-3</v>
      </c>
      <c r="CD61" s="123">
        <v>5.5561857439125478E-3</v>
      </c>
      <c r="CE61" s="123">
        <v>5.9279966453826697E-3</v>
      </c>
      <c r="CF61" s="123">
        <v>5.2388172465518846E-3</v>
      </c>
      <c r="CG61" s="123">
        <v>5.9959221656714261E-3</v>
      </c>
      <c r="CH61" s="123">
        <v>6.9340173278255798E-3</v>
      </c>
      <c r="CI61" s="123">
        <v>6.5857183908382645E-3</v>
      </c>
      <c r="CJ61" s="123">
        <v>4.3793153393441031E-3</v>
      </c>
      <c r="CK61" s="123">
        <v>5.3977093241774588E-3</v>
      </c>
      <c r="CL61" s="123">
        <v>4.3923436736049495E-3</v>
      </c>
      <c r="CM61" s="123">
        <v>4.1318253660058276E-3</v>
      </c>
      <c r="CN61" s="123">
        <v>5.9687454129302101E-3</v>
      </c>
      <c r="CO61" s="123">
        <v>3.6066036229977384E-3</v>
      </c>
      <c r="CP61" s="123">
        <v>5.2166408510610999E-3</v>
      </c>
      <c r="CQ61" s="123">
        <v>6.6502249294734493E-3</v>
      </c>
      <c r="CR61" s="123">
        <v>2.1858989242717706E-3</v>
      </c>
      <c r="CS61" s="123">
        <v>4.8253361710582096E-3</v>
      </c>
      <c r="CT61" s="123">
        <v>5.7516208751335904E-3</v>
      </c>
      <c r="CU61" s="123">
        <v>6.4954674899527342E-3</v>
      </c>
      <c r="CV61" s="123">
        <v>3.7576443499284682E-3</v>
      </c>
      <c r="CW61" s="123">
        <v>5.9625017569090236E-3</v>
      </c>
      <c r="CX61" s="123">
        <v>3.7377276947033475E-3</v>
      </c>
    </row>
    <row r="62" spans="1:102">
      <c r="A62" s="23"/>
      <c r="B62" s="14" t="s">
        <v>30</v>
      </c>
      <c r="C62" s="125">
        <v>8.4004577669267541E-2</v>
      </c>
      <c r="D62" s="125">
        <v>7.9034545427457484E-2</v>
      </c>
      <c r="E62" s="125">
        <v>8.3116536665566704E-2</v>
      </c>
      <c r="F62" s="125">
        <v>8.3719841882773705E-2</v>
      </c>
      <c r="G62" s="125">
        <v>7.8081315319604189E-2</v>
      </c>
      <c r="H62" s="125">
        <v>7.518923774950699E-2</v>
      </c>
      <c r="I62" s="125">
        <v>7.5757559062681737E-2</v>
      </c>
      <c r="J62" s="125">
        <v>7.3777179088614156E-2</v>
      </c>
      <c r="K62" s="125">
        <v>7.3155564374389734E-2</v>
      </c>
      <c r="L62" s="125">
        <v>7.9621092049567382E-2</v>
      </c>
      <c r="M62" s="125">
        <v>7.6754736163132456E-2</v>
      </c>
      <c r="N62" s="125">
        <v>7.433651127215167E-2</v>
      </c>
      <c r="O62" s="125">
        <v>7.6102375731568792E-2</v>
      </c>
      <c r="P62" s="125">
        <v>7.6055952074171623E-2</v>
      </c>
      <c r="Q62" s="125">
        <v>7.7649851834393921E-2</v>
      </c>
      <c r="R62" s="125">
        <v>7.1947293340011723E-2</v>
      </c>
      <c r="S62" s="125">
        <v>7.1025607045535954E-2</v>
      </c>
      <c r="T62" s="125">
        <v>8.4062979974541235E-2</v>
      </c>
      <c r="U62" s="125">
        <v>8.0095253630596441E-2</v>
      </c>
      <c r="V62" s="125">
        <v>7.3389953576010594E-2</v>
      </c>
      <c r="W62" s="125">
        <v>7.4930573337479683E-2</v>
      </c>
      <c r="X62" s="125">
        <v>7.3656996964461263E-2</v>
      </c>
      <c r="Y62" s="125">
        <v>7.368105339070985E-2</v>
      </c>
      <c r="Z62" s="125">
        <v>7.1987758132657884E-2</v>
      </c>
      <c r="AA62" s="125">
        <v>7.7230044783980129E-2</v>
      </c>
      <c r="AB62" s="125">
        <v>7.5529853949666131E-2</v>
      </c>
      <c r="AC62" s="125">
        <v>8.6167486853732836E-2</v>
      </c>
      <c r="AD62" s="125">
        <v>7.6806867361455478E-2</v>
      </c>
      <c r="AE62" s="125">
        <v>7.7190551118168693E-2</v>
      </c>
      <c r="AF62" s="125">
        <v>7.0877107844832435E-2</v>
      </c>
      <c r="AG62" s="125">
        <v>7.493961109409232E-2</v>
      </c>
      <c r="AH62" s="125">
        <v>7.1730379150733742E-2</v>
      </c>
      <c r="AI62" s="125">
        <v>7.8403977524265853E-2</v>
      </c>
      <c r="AJ62" s="125">
        <v>8.5658550004561865E-2</v>
      </c>
      <c r="AK62" s="125">
        <v>7.34911051888478E-2</v>
      </c>
      <c r="AL62" s="125">
        <v>6.9669304202917989E-2</v>
      </c>
      <c r="AM62" s="125">
        <v>7.8453954323494335E-2</v>
      </c>
      <c r="AN62" s="125">
        <v>7.3408930472691647E-2</v>
      </c>
      <c r="AO62" s="125">
        <v>9.0092482081424605E-2</v>
      </c>
      <c r="AP62" s="125">
        <v>7.0018012549349404E-2</v>
      </c>
      <c r="AQ62" s="125">
        <v>7.7162863221045971E-2</v>
      </c>
      <c r="AR62" s="125">
        <v>7.5642741289435045E-2</v>
      </c>
      <c r="AS62" s="125">
        <v>7.6429658824539684E-2</v>
      </c>
      <c r="AT62" s="125">
        <v>7.4126110493913641E-2</v>
      </c>
      <c r="AU62" s="125">
        <v>7.6487187678717733E-2</v>
      </c>
      <c r="AV62" s="125">
        <v>7.029655594576395E-2</v>
      </c>
      <c r="AW62" s="125">
        <v>7.9686886418186192E-2</v>
      </c>
      <c r="AX62" s="125">
        <v>7.7693549369181256E-2</v>
      </c>
      <c r="AY62" s="125">
        <v>7.4456989319616168E-2</v>
      </c>
      <c r="AZ62" s="125">
        <v>8.0089626707193468E-2</v>
      </c>
      <c r="BA62" s="125">
        <v>7.9912549374253891E-2</v>
      </c>
      <c r="BB62" s="125">
        <v>7.6470306935178672E-2</v>
      </c>
      <c r="BC62" s="125">
        <v>7.5863940997540125E-2</v>
      </c>
      <c r="BD62" s="125">
        <v>8.1945969914083192E-2</v>
      </c>
      <c r="BE62" s="125">
        <v>7.6059390979312719E-2</v>
      </c>
      <c r="BF62" s="125">
        <v>7.8607465001349228E-2</v>
      </c>
      <c r="BG62" s="125">
        <v>6.9915358573485756E-2</v>
      </c>
      <c r="BH62" s="125">
        <v>7.7536788925328115E-2</v>
      </c>
      <c r="BI62" s="125">
        <v>6.8208678222973149E-2</v>
      </c>
      <c r="BJ62" s="125">
        <v>7.2110611633113442E-2</v>
      </c>
      <c r="BK62" s="125">
        <v>8.1212945057559924E-2</v>
      </c>
      <c r="BL62" s="125">
        <v>7.3855172033741381E-2</v>
      </c>
      <c r="BM62" s="125">
        <v>8.931176301554726E-2</v>
      </c>
      <c r="BN62" s="125">
        <v>7.2442273642143021E-2</v>
      </c>
      <c r="BO62" s="125">
        <v>8.8638882786214637E-2</v>
      </c>
      <c r="BP62" s="125">
        <v>7.9528941586679919E-2</v>
      </c>
      <c r="BQ62" s="125">
        <v>6.8460681612939681E-2</v>
      </c>
      <c r="BR62" s="125">
        <v>7.0852242919034608E-2</v>
      </c>
      <c r="BS62" s="125">
        <v>8.5933186792283983E-2</v>
      </c>
      <c r="BT62" s="125">
        <v>7.9784322236427327E-2</v>
      </c>
      <c r="BU62" s="125">
        <v>7.1603665192325638E-2</v>
      </c>
      <c r="BV62" s="125">
        <v>6.9129809292004768E-2</v>
      </c>
      <c r="BW62" s="125">
        <v>7.9272893423758553E-2</v>
      </c>
      <c r="BX62" s="125">
        <v>8.0377543084704892E-2</v>
      </c>
      <c r="BY62" s="125">
        <v>7.381891458727817E-2</v>
      </c>
      <c r="BZ62" s="125">
        <v>7.7357485205510959E-2</v>
      </c>
      <c r="CA62" s="125">
        <v>7.4452422664347317E-2</v>
      </c>
      <c r="CB62" s="125">
        <v>7.2578042310083968E-2</v>
      </c>
      <c r="CC62" s="125">
        <v>6.9689552157410906E-2</v>
      </c>
      <c r="CD62" s="125">
        <v>7.1795372147402392E-2</v>
      </c>
      <c r="CE62" s="125">
        <v>7.4648515604938306E-2</v>
      </c>
      <c r="CF62" s="125">
        <v>7.5683600900957743E-2</v>
      </c>
      <c r="CG62" s="125">
        <v>8.0456924695424495E-2</v>
      </c>
      <c r="CH62" s="125">
        <v>7.8084617262446782E-2</v>
      </c>
      <c r="CI62" s="125">
        <v>7.6448671972191837E-2</v>
      </c>
      <c r="CJ62" s="125">
        <v>7.8612844368300488E-2</v>
      </c>
      <c r="CK62" s="125">
        <v>7.2939110170408827E-2</v>
      </c>
      <c r="CL62" s="125">
        <v>7.7765857856266121E-2</v>
      </c>
      <c r="CM62" s="125">
        <v>7.3587753716651244E-2</v>
      </c>
      <c r="CN62" s="125">
        <v>7.6164070077031396E-2</v>
      </c>
      <c r="CO62" s="125">
        <v>8.0034913087562096E-2</v>
      </c>
      <c r="CP62" s="125">
        <v>8.1999045607119542E-2</v>
      </c>
      <c r="CQ62" s="125">
        <v>7.6401832278739076E-2</v>
      </c>
      <c r="CR62" s="125">
        <v>6.8782978502630029E-2</v>
      </c>
      <c r="CS62" s="125">
        <v>8.0670220278124163E-2</v>
      </c>
      <c r="CT62" s="125">
        <v>7.8091259867619334E-2</v>
      </c>
      <c r="CU62" s="125">
        <v>7.7353513818705213E-2</v>
      </c>
      <c r="CV62" s="125">
        <v>8.7314779116640234E-2</v>
      </c>
      <c r="CW62" s="125">
        <v>7.6018004073822781E-2</v>
      </c>
      <c r="CX62" s="125">
        <v>9.2724128908499667E-2</v>
      </c>
    </row>
    <row r="63" spans="1:102">
      <c r="A63" s="23"/>
      <c r="B63" s="67" t="s">
        <v>56</v>
      </c>
      <c r="C63" s="125">
        <v>0.10640706155646881</v>
      </c>
      <c r="D63" s="125">
        <v>0.10747496125514944</v>
      </c>
      <c r="E63" s="125">
        <v>0.10534259961365894</v>
      </c>
      <c r="F63" s="125">
        <v>0.10653632149809886</v>
      </c>
      <c r="G63" s="125">
        <v>0.10341658898591152</v>
      </c>
      <c r="H63" s="125">
        <v>0.10666457591156095</v>
      </c>
      <c r="I63" s="125">
        <v>0.10582031590559994</v>
      </c>
      <c r="J63" s="125">
        <v>0.10637149759222031</v>
      </c>
      <c r="K63" s="125">
        <v>0.10394596597536424</v>
      </c>
      <c r="L63" s="125">
        <v>0.10436660903290332</v>
      </c>
      <c r="M63" s="125">
        <v>0.10494721353875083</v>
      </c>
      <c r="N63" s="125">
        <v>0.10386946981417403</v>
      </c>
      <c r="O63" s="125">
        <v>0.10118147524903651</v>
      </c>
      <c r="P63" s="125">
        <v>0.10483665319932525</v>
      </c>
      <c r="Q63" s="125">
        <v>0.10169905137569431</v>
      </c>
      <c r="R63" s="125">
        <v>0.1042917434948635</v>
      </c>
      <c r="S63" s="125">
        <v>0.1053096575647797</v>
      </c>
      <c r="T63" s="125">
        <v>0.10490566771570484</v>
      </c>
      <c r="U63" s="125">
        <v>0.10472756800602701</v>
      </c>
      <c r="V63" s="125">
        <v>0.10538694345334411</v>
      </c>
      <c r="W63" s="125">
        <v>0.10362515986580317</v>
      </c>
      <c r="X63" s="125">
        <v>0.10521602784977543</v>
      </c>
      <c r="Y63" s="125">
        <v>0.10590342768996353</v>
      </c>
      <c r="Z63" s="125">
        <v>0.10414397644531037</v>
      </c>
      <c r="AA63" s="125">
        <v>0.10444599930144295</v>
      </c>
      <c r="AB63" s="125">
        <v>0.10588771963261723</v>
      </c>
      <c r="AC63" s="125">
        <v>0.10467892253208182</v>
      </c>
      <c r="AD63" s="125">
        <v>0.10371554087598082</v>
      </c>
      <c r="AE63" s="125">
        <v>0.10537276942197454</v>
      </c>
      <c r="AF63" s="125">
        <v>0.10530986181589361</v>
      </c>
      <c r="AG63" s="125">
        <v>0.10357743745203728</v>
      </c>
      <c r="AH63" s="125">
        <v>0.10481719928589721</v>
      </c>
      <c r="AI63" s="125">
        <v>0.10340211763474479</v>
      </c>
      <c r="AJ63" s="125">
        <v>0.10598972087396967</v>
      </c>
      <c r="AK63" s="125">
        <v>0.10412059188073731</v>
      </c>
      <c r="AL63" s="125">
        <v>0.10254084204363227</v>
      </c>
      <c r="AM63" s="125">
        <v>0.10606945558090124</v>
      </c>
      <c r="AN63" s="125">
        <v>0.10397049246821079</v>
      </c>
      <c r="AO63" s="125">
        <v>0.10674942648139417</v>
      </c>
      <c r="AP63" s="125">
        <v>0.103316854884795</v>
      </c>
      <c r="AQ63" s="125">
        <v>0.10473940048040312</v>
      </c>
      <c r="AR63" s="125">
        <v>0.1041328908335396</v>
      </c>
      <c r="AS63" s="125">
        <v>0.10647714356227395</v>
      </c>
      <c r="AT63" s="125">
        <v>0.10443864908070633</v>
      </c>
      <c r="AU63" s="125">
        <v>0.10544950120024937</v>
      </c>
      <c r="AV63" s="125">
        <v>0.10384889108647327</v>
      </c>
      <c r="AW63" s="125">
        <v>0.10286773488441509</v>
      </c>
      <c r="AX63" s="125">
        <v>0.1063026024758371</v>
      </c>
      <c r="AY63" s="125">
        <v>0.10362308271215794</v>
      </c>
      <c r="AZ63" s="125">
        <v>0.10438165751841609</v>
      </c>
      <c r="BA63" s="125">
        <v>0.10067425322296866</v>
      </c>
      <c r="BB63" s="125">
        <v>0.10704323227371167</v>
      </c>
      <c r="BC63" s="125">
        <v>0.10159071981212171</v>
      </c>
      <c r="BD63" s="125">
        <v>0.10546997274687406</v>
      </c>
      <c r="BE63" s="125">
        <v>0.10667311617475056</v>
      </c>
      <c r="BF63" s="125">
        <v>0.10369668142590514</v>
      </c>
      <c r="BG63" s="125">
        <v>0.10255137308202951</v>
      </c>
      <c r="BH63" s="125">
        <v>0.10464169940959536</v>
      </c>
      <c r="BI63" s="125">
        <v>0.10310423687743707</v>
      </c>
      <c r="BJ63" s="125">
        <v>0.10646198116715727</v>
      </c>
      <c r="BK63" s="125">
        <v>0.10711229757378742</v>
      </c>
      <c r="BL63" s="125">
        <v>0.10529767093330793</v>
      </c>
      <c r="BM63" s="125">
        <v>0.10473019955560915</v>
      </c>
      <c r="BN63" s="125">
        <v>0.10287682953349102</v>
      </c>
      <c r="BO63" s="125">
        <v>0.10577300685591326</v>
      </c>
      <c r="BP63" s="125">
        <v>0.1049267352504832</v>
      </c>
      <c r="BQ63" s="125">
        <v>0.10337579847308799</v>
      </c>
      <c r="BR63" s="125">
        <v>0.1057178205573784</v>
      </c>
      <c r="BS63" s="125">
        <v>0.10123630520204045</v>
      </c>
      <c r="BT63" s="125">
        <v>0.10286702456888651</v>
      </c>
      <c r="BU63" s="125">
        <v>0.1035149544956451</v>
      </c>
      <c r="BV63" s="125">
        <v>0.10217524463389546</v>
      </c>
      <c r="BW63" s="125">
        <v>0.10396070451442276</v>
      </c>
      <c r="BX63" s="125">
        <v>0.10516346536440949</v>
      </c>
      <c r="BY63" s="125">
        <v>0.10306299469452758</v>
      </c>
      <c r="BZ63" s="125">
        <v>0.10468999137750802</v>
      </c>
      <c r="CA63" s="125">
        <v>0.10582070857370544</v>
      </c>
      <c r="CB63" s="125">
        <v>0.10599875834128004</v>
      </c>
      <c r="CC63" s="125">
        <v>0.10313029516266113</v>
      </c>
      <c r="CD63" s="125">
        <v>0.10370043329132783</v>
      </c>
      <c r="CE63" s="125">
        <v>0.10399844558013673</v>
      </c>
      <c r="CF63" s="125">
        <v>0.10578068378274647</v>
      </c>
      <c r="CG63" s="125">
        <v>0.10282272030741917</v>
      </c>
      <c r="CH63" s="125">
        <v>0.10317035771040173</v>
      </c>
      <c r="CI63" s="125">
        <v>0.1040860781783719</v>
      </c>
      <c r="CJ63" s="125">
        <v>9.8929191728047094E-2</v>
      </c>
      <c r="CK63" s="125">
        <v>0.10265644028157148</v>
      </c>
      <c r="CL63" s="125">
        <v>0.10550586112761519</v>
      </c>
      <c r="CM63" s="125">
        <v>0.1063678246323006</v>
      </c>
      <c r="CN63" s="125">
        <v>0.10371331859867225</v>
      </c>
      <c r="CO63" s="125">
        <v>0.10305454450559558</v>
      </c>
      <c r="CP63" s="125">
        <v>0.10566993131269792</v>
      </c>
      <c r="CQ63" s="125">
        <v>0.1030736052724746</v>
      </c>
      <c r="CR63" s="125">
        <v>0.10090786171010219</v>
      </c>
      <c r="CS63" s="125">
        <v>9.9627328070080123E-2</v>
      </c>
      <c r="CT63" s="125">
        <v>0.10515539324765168</v>
      </c>
      <c r="CU63" s="125">
        <v>0.10482758293559648</v>
      </c>
      <c r="CV63" s="125">
        <v>0.10483570132389679</v>
      </c>
      <c r="CW63" s="125">
        <v>0.10131797473406359</v>
      </c>
      <c r="CX63" s="125">
        <v>0.10679915998850102</v>
      </c>
    </row>
    <row r="64" spans="1:102">
      <c r="A64" s="126"/>
      <c r="B64" s="129" t="s">
        <v>114</v>
      </c>
      <c r="C64" s="127">
        <v>0.47883836580685279</v>
      </c>
      <c r="D64" s="127">
        <v>0.49047522960987977</v>
      </c>
      <c r="E64" s="127">
        <v>0.48030198655560763</v>
      </c>
      <c r="F64" s="127">
        <v>0.47530926699230458</v>
      </c>
      <c r="G64" s="127">
        <v>0.48878974126507146</v>
      </c>
      <c r="H64" s="127">
        <v>0.49745297349025103</v>
      </c>
      <c r="I64" s="127">
        <v>0.49026280797971533</v>
      </c>
      <c r="J64" s="127">
        <v>0.49120807181211246</v>
      </c>
      <c r="K64" s="127">
        <v>0.49354430538857469</v>
      </c>
      <c r="L64" s="127">
        <v>0.48299866322487339</v>
      </c>
      <c r="M64" s="127">
        <v>0.48085794344463828</v>
      </c>
      <c r="N64" s="127">
        <v>0.49332944104712639</v>
      </c>
      <c r="O64" s="127">
        <v>0.49140035178026725</v>
      </c>
      <c r="P64" s="127">
        <v>0.48976409585746905</v>
      </c>
      <c r="Q64" s="127">
        <v>0.49088217480505714</v>
      </c>
      <c r="R64" s="127">
        <v>0.5012676912915619</v>
      </c>
      <c r="S64" s="127">
        <v>0.49444134842875104</v>
      </c>
      <c r="T64" s="127">
        <v>0.48093285502981464</v>
      </c>
      <c r="U64" s="127">
        <v>0.49109555224237444</v>
      </c>
      <c r="V64" s="127">
        <v>0.4958732754137366</v>
      </c>
      <c r="W64" s="127">
        <v>0.48775220471984748</v>
      </c>
      <c r="X64" s="127">
        <v>0.50046091924713654</v>
      </c>
      <c r="Y64" s="127">
        <v>0.48232611888179056</v>
      </c>
      <c r="Z64" s="127">
        <v>0.4843270182258716</v>
      </c>
      <c r="AA64" s="127">
        <v>0.48240684347341567</v>
      </c>
      <c r="AB64" s="127">
        <v>0.47852067585679403</v>
      </c>
      <c r="AC64" s="127">
        <v>0.47977714375672431</v>
      </c>
      <c r="AD64" s="127">
        <v>0.48845672719798328</v>
      </c>
      <c r="AE64" s="127">
        <v>0.47967656454022156</v>
      </c>
      <c r="AF64" s="127">
        <v>0.49861590379734666</v>
      </c>
      <c r="AG64" s="127">
        <v>0.48702983011198453</v>
      </c>
      <c r="AH64" s="127">
        <v>0.50469113212584715</v>
      </c>
      <c r="AI64" s="127">
        <v>0.50006049656601792</v>
      </c>
      <c r="AJ64" s="127">
        <v>0.47968412687636175</v>
      </c>
      <c r="AK64" s="127">
        <v>0.48733069714518462</v>
      </c>
      <c r="AL64" s="127">
        <v>0.49738338965114692</v>
      </c>
      <c r="AM64" s="127">
        <v>0.47732758954023735</v>
      </c>
      <c r="AN64" s="127">
        <v>0.49925389423669464</v>
      </c>
      <c r="AO64" s="127">
        <v>0.48042920887060975</v>
      </c>
      <c r="AP64" s="127">
        <v>0.4890854763284927</v>
      </c>
      <c r="AQ64" s="127">
        <v>0.48022203173005185</v>
      </c>
      <c r="AR64" s="127">
        <v>0.49590862198705404</v>
      </c>
      <c r="AS64" s="127">
        <v>0.4912704848810181</v>
      </c>
      <c r="AT64" s="127">
        <v>0.4889257267133304</v>
      </c>
      <c r="AU64" s="127">
        <v>0.48003082326670765</v>
      </c>
      <c r="AV64" s="127">
        <v>0.49733932600895769</v>
      </c>
      <c r="AW64" s="127">
        <v>0.49009708070426133</v>
      </c>
      <c r="AX64" s="127">
        <v>0.4974238522745924</v>
      </c>
      <c r="AY64" s="127">
        <v>0.48766778372172237</v>
      </c>
      <c r="AZ64" s="127">
        <v>0.48232390220343813</v>
      </c>
      <c r="BA64" s="127">
        <v>0.48896443679842028</v>
      </c>
      <c r="BB64" s="127">
        <v>0.48612066810212634</v>
      </c>
      <c r="BC64" s="127">
        <v>0.49776179320018266</v>
      </c>
      <c r="BD64" s="127">
        <v>0.48667492445864702</v>
      </c>
      <c r="BE64" s="127">
        <v>0.47982376770994228</v>
      </c>
      <c r="BF64" s="127">
        <v>0.49247988532981951</v>
      </c>
      <c r="BG64" s="127">
        <v>0.50252941563192288</v>
      </c>
      <c r="BH64" s="127">
        <v>0.48338906789862052</v>
      </c>
      <c r="BI64" s="127">
        <v>0.49754629110117155</v>
      </c>
      <c r="BJ64" s="127">
        <v>0.48400887608785192</v>
      </c>
      <c r="BK64" s="127">
        <v>0.48934669437943035</v>
      </c>
      <c r="BL64" s="127">
        <v>0.48458328891650082</v>
      </c>
      <c r="BM64" s="127">
        <v>0.48506877895737283</v>
      </c>
      <c r="BN64" s="127">
        <v>0.49252269387794756</v>
      </c>
      <c r="BO64" s="127">
        <v>0.4784394778099163</v>
      </c>
      <c r="BP64" s="127">
        <v>0.480668074383438</v>
      </c>
      <c r="BQ64" s="127">
        <v>0.49983158340028977</v>
      </c>
      <c r="BR64" s="127">
        <v>0.51077401984578796</v>
      </c>
      <c r="BS64" s="127">
        <v>0.48742034658786315</v>
      </c>
      <c r="BT64" s="127">
        <v>0.48289102223706171</v>
      </c>
      <c r="BU64" s="127">
        <v>0.49214080053312448</v>
      </c>
      <c r="BV64" s="127">
        <v>0.50038391264798632</v>
      </c>
      <c r="BW64" s="127">
        <v>0.48317984059012425</v>
      </c>
      <c r="BX64" s="127">
        <v>0.48118047944065145</v>
      </c>
      <c r="BY64" s="127">
        <v>0.50289028970182803</v>
      </c>
      <c r="BZ64" s="127">
        <v>0.48209934416277245</v>
      </c>
      <c r="CA64" s="127">
        <v>0.4855018789565626</v>
      </c>
      <c r="CB64" s="127">
        <v>0.49209257777651338</v>
      </c>
      <c r="CC64" s="127">
        <v>0.49928102303003646</v>
      </c>
      <c r="CD64" s="127">
        <v>0.48504061879336613</v>
      </c>
      <c r="CE64" s="127">
        <v>0.49079625097056057</v>
      </c>
      <c r="CF64" s="127">
        <v>0.48856408248170824</v>
      </c>
      <c r="CG64" s="127">
        <v>0.48208834459483518</v>
      </c>
      <c r="CH64" s="127">
        <v>0.47913371270187305</v>
      </c>
      <c r="CI64" s="127">
        <v>0.48693326351997973</v>
      </c>
      <c r="CJ64" s="127">
        <v>0.49237160518557754</v>
      </c>
      <c r="CK64" s="127">
        <v>0.48614863411512821</v>
      </c>
      <c r="CL64" s="127">
        <v>0.49403084299960198</v>
      </c>
      <c r="CM64" s="127">
        <v>0.50534993705728004</v>
      </c>
      <c r="CN64" s="127">
        <v>0.48772918773434953</v>
      </c>
      <c r="CO64" s="127">
        <v>0.48699580038683266</v>
      </c>
      <c r="CP64" s="127">
        <v>0.48313631676798863</v>
      </c>
      <c r="CQ64" s="127">
        <v>0.48028174750757779</v>
      </c>
      <c r="CR64" s="127">
        <v>0.50487714895333058</v>
      </c>
      <c r="CS64" s="127">
        <v>0.48445006403531199</v>
      </c>
      <c r="CT64" s="127">
        <v>0.48738558213975752</v>
      </c>
      <c r="CU64" s="127">
        <v>0.48733281450308807</v>
      </c>
      <c r="CV64" s="127">
        <v>0.48797336771907907</v>
      </c>
      <c r="CW64" s="127">
        <v>0.48312165128844259</v>
      </c>
      <c r="CX64" s="127">
        <v>0.49038779992127413</v>
      </c>
    </row>
    <row r="65" spans="1:102">
      <c r="A65" s="23"/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1:102">
      <c r="C66" s="132"/>
    </row>
    <row r="67" spans="1:102">
      <c r="C67" s="132"/>
    </row>
    <row r="68" spans="1:102">
      <c r="C68" s="132"/>
    </row>
    <row r="69" spans="1:102">
      <c r="C69" s="132"/>
    </row>
    <row r="70" spans="1:102">
      <c r="C70" s="132"/>
    </row>
    <row r="71" spans="1:102">
      <c r="C71" s="132"/>
    </row>
    <row r="77" spans="1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31" spans="3:3">
      <c r="C131" s="132"/>
    </row>
    <row r="141" spans="3:3">
      <c r="C141" s="132"/>
    </row>
    <row r="151" spans="3:3">
      <c r="C151" s="13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7:B7"/>
    <mergeCell ref="A8:B8"/>
    <mergeCell ref="A9:B9"/>
    <mergeCell ref="A10:B10"/>
    <mergeCell ref="A3:B3"/>
    <mergeCell ref="A4:B4"/>
    <mergeCell ref="A5:B5"/>
    <mergeCell ref="A6:B6"/>
    <mergeCell ref="A16:B16"/>
    <mergeCell ref="A17:B17"/>
    <mergeCell ref="A18:B18"/>
    <mergeCell ref="A19:B19"/>
    <mergeCell ref="A11:B11"/>
    <mergeCell ref="A12:B12"/>
    <mergeCell ref="A13:B13"/>
    <mergeCell ref="A15:B15"/>
    <mergeCell ref="A24:B24"/>
    <mergeCell ref="A25:B25"/>
    <mergeCell ref="A28:B28"/>
    <mergeCell ref="A20:B20"/>
    <mergeCell ref="A21:B21"/>
    <mergeCell ref="A22:B22"/>
    <mergeCell ref="A23:B23"/>
    <mergeCell ref="A27:B27"/>
  </mergeCells>
  <phoneticPr fontId="2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9" enableFormatConditionsCalculation="0">
    <tabColor indexed="52"/>
  </sheetPr>
  <dimension ref="A1:CX151"/>
  <sheetViews>
    <sheetView topLeftCell="A25" workbookViewId="0">
      <selection activeCell="L49" sqref="L49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Parameters!A42</f>
        <v>Inflatie is een fiscaal verschijnsel</v>
      </c>
      <c r="C2" s="2" t="s">
        <v>129</v>
      </c>
      <c r="D2" s="1">
        <v>3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0.34992868251486231</v>
      </c>
      <c r="D4" s="115">
        <v>0.36948516084286981</v>
      </c>
      <c r="E4" s="115">
        <v>0.41122739047458279</v>
      </c>
      <c r="F4" s="115">
        <v>0.3944232853076366</v>
      </c>
      <c r="G4" s="115">
        <v>0.31465339348296623</v>
      </c>
      <c r="H4" s="115">
        <v>0.40006388425434408</v>
      </c>
      <c r="I4" s="115">
        <v>0.37756010677572438</v>
      </c>
      <c r="J4" s="115">
        <v>0.38135016861262011</v>
      </c>
      <c r="K4" s="115">
        <v>0.36479570887697482</v>
      </c>
      <c r="L4" s="115">
        <v>0.36893375370410264</v>
      </c>
      <c r="M4" s="115">
        <v>0.32339266087345758</v>
      </c>
      <c r="N4" s="115">
        <v>0.36516711432628057</v>
      </c>
      <c r="O4" s="115">
        <v>0.35421151241352311</v>
      </c>
      <c r="P4" s="115">
        <v>0.36481856942403673</v>
      </c>
      <c r="Q4" s="115">
        <v>0.38543182286150379</v>
      </c>
      <c r="R4" s="115">
        <v>0.36861060386571609</v>
      </c>
      <c r="S4" s="115">
        <v>0.3457965387505918</v>
      </c>
      <c r="T4" s="115">
        <v>0.35397736993978013</v>
      </c>
      <c r="U4" s="115">
        <v>0.38565631127118211</v>
      </c>
      <c r="V4" s="115">
        <v>0.38432804020182476</v>
      </c>
      <c r="W4" s="115">
        <v>0.34250263209873305</v>
      </c>
      <c r="X4" s="115">
        <v>0.33832029811192399</v>
      </c>
      <c r="Y4" s="115">
        <v>0.42507941629425028</v>
      </c>
      <c r="Z4" s="115">
        <v>0.45479200012651011</v>
      </c>
      <c r="AA4" s="115">
        <v>0.41072313142284445</v>
      </c>
      <c r="AB4" s="115">
        <v>0.39519694154901225</v>
      </c>
      <c r="AC4" s="115">
        <v>0.36894483844682613</v>
      </c>
      <c r="AD4" s="115">
        <v>0.37662753690397038</v>
      </c>
      <c r="AE4" s="115">
        <v>0.36203074629514043</v>
      </c>
      <c r="AF4" s="115">
        <v>0.41945544248851335</v>
      </c>
      <c r="AG4" s="115">
        <v>0.41157272079142265</v>
      </c>
      <c r="AH4" s="115">
        <v>0.38290734690760792</v>
      </c>
      <c r="AI4" s="115">
        <v>0.34262573696991994</v>
      </c>
      <c r="AJ4" s="115">
        <v>0.42758310639090319</v>
      </c>
      <c r="AK4" s="115">
        <v>0.35722683070584144</v>
      </c>
      <c r="AL4" s="115">
        <v>0.3643890122262784</v>
      </c>
      <c r="AM4" s="115">
        <v>0.38906223862926992</v>
      </c>
      <c r="AN4" s="115">
        <v>0.4517281314406178</v>
      </c>
      <c r="AO4" s="115">
        <v>0.36786477070724932</v>
      </c>
      <c r="AP4" s="115">
        <v>0.40068370667910569</v>
      </c>
      <c r="AQ4" s="115">
        <v>0.35670938947578779</v>
      </c>
      <c r="AR4" s="115">
        <v>0.34651912498917758</v>
      </c>
      <c r="AS4" s="115">
        <v>0.36736124165717282</v>
      </c>
      <c r="AT4" s="115">
        <v>0.38930315982827313</v>
      </c>
      <c r="AU4" s="115">
        <v>0.35135373855429158</v>
      </c>
      <c r="AV4" s="115">
        <v>0.3438799933227521</v>
      </c>
      <c r="AW4" s="115">
        <v>0.36694130113577345</v>
      </c>
      <c r="AX4" s="115">
        <v>0.354945663111289</v>
      </c>
      <c r="AY4" s="115">
        <v>0.34638472134271303</v>
      </c>
      <c r="AZ4" s="115">
        <v>0.38143947672898082</v>
      </c>
      <c r="BA4" s="115">
        <v>0.3940302152456015</v>
      </c>
      <c r="BB4" s="115">
        <v>0.40774818019485504</v>
      </c>
      <c r="BC4" s="115">
        <v>0.36566026076407421</v>
      </c>
      <c r="BD4" s="115">
        <v>0.38543425186673674</v>
      </c>
      <c r="BE4" s="115">
        <v>0.37387656199606334</v>
      </c>
      <c r="BF4" s="115">
        <v>0.37158398822440042</v>
      </c>
      <c r="BG4" s="115">
        <v>0.36550793079887212</v>
      </c>
      <c r="BH4" s="115">
        <v>0.38773444010388758</v>
      </c>
      <c r="BI4" s="115">
        <v>0.34386021110258097</v>
      </c>
      <c r="BJ4" s="115">
        <v>0.36054434882921371</v>
      </c>
      <c r="BK4" s="115">
        <v>0.35330364348560339</v>
      </c>
      <c r="BL4" s="115">
        <v>0.32881727407492584</v>
      </c>
      <c r="BM4" s="115">
        <v>0.35936408148374138</v>
      </c>
      <c r="BN4" s="115">
        <v>0.37269605188304616</v>
      </c>
      <c r="BO4" s="115">
        <v>0.33486420888479351</v>
      </c>
      <c r="BP4" s="115">
        <v>0.32318572676721236</v>
      </c>
      <c r="BQ4" s="115">
        <v>0.36973043434779551</v>
      </c>
      <c r="BR4" s="115">
        <v>0.41342038494087141</v>
      </c>
      <c r="BS4" s="115">
        <v>0.41450166395588323</v>
      </c>
      <c r="BT4" s="115">
        <v>0.38749635344788436</v>
      </c>
      <c r="BU4" s="115">
        <v>0.40897718759477697</v>
      </c>
      <c r="BV4" s="115">
        <v>0.35977302228347885</v>
      </c>
      <c r="BW4" s="115">
        <v>0.3823399593273395</v>
      </c>
      <c r="BX4" s="115">
        <v>0.38820528408644306</v>
      </c>
      <c r="BY4" s="115">
        <v>0.39281713727308326</v>
      </c>
      <c r="BZ4" s="115">
        <v>0.41594463720458763</v>
      </c>
      <c r="CA4" s="115">
        <v>0.4100193167238082</v>
      </c>
      <c r="CB4" s="115">
        <v>0.35858554687583666</v>
      </c>
      <c r="CC4" s="115">
        <v>0.4206665223299827</v>
      </c>
      <c r="CD4" s="115">
        <v>0.38396393357622838</v>
      </c>
      <c r="CE4" s="115">
        <v>0.33633714640546136</v>
      </c>
      <c r="CF4" s="115">
        <v>0.3713942071868403</v>
      </c>
      <c r="CG4" s="115">
        <v>0.36385510606374111</v>
      </c>
      <c r="CH4" s="115">
        <v>0.44560169950017381</v>
      </c>
      <c r="CI4" s="115">
        <v>0.32452739901154304</v>
      </c>
      <c r="CJ4" s="115">
        <v>0.36671073511950841</v>
      </c>
      <c r="CK4" s="115">
        <v>0.38403833299723156</v>
      </c>
      <c r="CL4" s="115">
        <v>0.37020779870108439</v>
      </c>
      <c r="CM4" s="115">
        <v>0.33771883532276747</v>
      </c>
      <c r="CN4" s="115">
        <v>0.34241537835396396</v>
      </c>
      <c r="CO4" s="115">
        <v>0.37221068068535196</v>
      </c>
      <c r="CP4" s="115">
        <v>0.41504527524503548</v>
      </c>
      <c r="CQ4" s="115">
        <v>0.31100264199835931</v>
      </c>
      <c r="CR4" s="115">
        <v>0.35885417725191482</v>
      </c>
      <c r="CS4" s="115">
        <v>0.35532220923560248</v>
      </c>
      <c r="CT4" s="115">
        <v>0.39099759219933478</v>
      </c>
      <c r="CU4" s="115">
        <v>0.34706445374469019</v>
      </c>
      <c r="CV4" s="115">
        <v>0.32620488468235576</v>
      </c>
      <c r="CW4" s="115">
        <v>0.37119328349038433</v>
      </c>
      <c r="CX4" s="115">
        <v>0.39893998353990645</v>
      </c>
    </row>
    <row r="5" spans="1:102" s="115" customFormat="1">
      <c r="A5" s="252" t="str">
        <f>Parameters!A51</f>
        <v>Reele matching</v>
      </c>
      <c r="B5" s="253"/>
      <c r="C5" s="115">
        <v>0.38995898629673109</v>
      </c>
      <c r="D5" s="115">
        <v>0.30654393397473378</v>
      </c>
      <c r="E5" s="115">
        <v>0.27624665168442197</v>
      </c>
      <c r="F5" s="115">
        <v>0.4119746868708305</v>
      </c>
      <c r="G5" s="115">
        <v>0.37511102555746667</v>
      </c>
      <c r="H5" s="115">
        <v>0.30376704551624811</v>
      </c>
      <c r="I5" s="115">
        <v>0.35260329769686399</v>
      </c>
      <c r="J5" s="115">
        <v>0.34162071917057862</v>
      </c>
      <c r="K5" s="115">
        <v>0.43891615602805956</v>
      </c>
      <c r="L5" s="115">
        <v>0.41396663163358111</v>
      </c>
      <c r="M5" s="115">
        <v>0.34246431937259048</v>
      </c>
      <c r="N5" s="115">
        <v>0.41677543738499823</v>
      </c>
      <c r="O5" s="115">
        <v>0.42543251763244588</v>
      </c>
      <c r="P5" s="115">
        <v>0.3889694897943558</v>
      </c>
      <c r="Q5" s="115">
        <v>0.40921951857198902</v>
      </c>
      <c r="R5" s="115">
        <v>0.36515793060937712</v>
      </c>
      <c r="S5" s="115">
        <v>0.4430635901131848</v>
      </c>
      <c r="T5" s="115">
        <v>0.36137763611197221</v>
      </c>
      <c r="U5" s="115">
        <v>0.28597232778180415</v>
      </c>
      <c r="V5" s="115">
        <v>0.43089056172772833</v>
      </c>
      <c r="W5" s="115">
        <v>0.40171002084586932</v>
      </c>
      <c r="X5" s="115">
        <v>0.3281808864043721</v>
      </c>
      <c r="Y5" s="115">
        <v>0.41260543498186458</v>
      </c>
      <c r="Z5" s="115">
        <v>0.24802498136193096</v>
      </c>
      <c r="AA5" s="115">
        <v>0.35216605928738842</v>
      </c>
      <c r="AB5" s="115">
        <v>0.38362376301500423</v>
      </c>
      <c r="AC5" s="115">
        <v>0.43095780230447572</v>
      </c>
      <c r="AD5" s="115">
        <v>0.31860882344607117</v>
      </c>
      <c r="AE5" s="115">
        <v>0.38242757190828774</v>
      </c>
      <c r="AF5" s="115">
        <v>0.38434443303162902</v>
      </c>
      <c r="AG5" s="115">
        <v>0.35972897975817414</v>
      </c>
      <c r="AH5" s="115">
        <v>0.35728274768559043</v>
      </c>
      <c r="AI5" s="115">
        <v>0.43441002595927075</v>
      </c>
      <c r="AJ5" s="115">
        <v>0.35890307815600686</v>
      </c>
      <c r="AK5" s="115">
        <v>0.35819548451098093</v>
      </c>
      <c r="AL5" s="115">
        <v>0.42433268229094634</v>
      </c>
      <c r="AM5" s="115">
        <v>0.37169577968056933</v>
      </c>
      <c r="AN5" s="115">
        <v>0.30759262532935738</v>
      </c>
      <c r="AO5" s="115">
        <v>0.37699231644414916</v>
      </c>
      <c r="AP5" s="115">
        <v>0.43222870441788819</v>
      </c>
      <c r="AQ5" s="115">
        <v>0.45856001430629784</v>
      </c>
      <c r="AR5" s="115">
        <v>0.38738363346557525</v>
      </c>
      <c r="AS5" s="115">
        <v>0.36878163710669865</v>
      </c>
      <c r="AT5" s="115">
        <v>0.38131016650866073</v>
      </c>
      <c r="AU5" s="115">
        <v>0.35505067610577556</v>
      </c>
      <c r="AV5" s="115">
        <v>0.39348043248491765</v>
      </c>
      <c r="AW5" s="115">
        <v>0.37832240365113057</v>
      </c>
      <c r="AX5" s="115">
        <v>0.44458239494441948</v>
      </c>
      <c r="AY5" s="115">
        <v>0.33214186026690157</v>
      </c>
      <c r="AZ5" s="115">
        <v>0.38389823001087431</v>
      </c>
      <c r="BA5" s="115">
        <v>0.47069170181541919</v>
      </c>
      <c r="BB5" s="115">
        <v>0.38969688062135094</v>
      </c>
      <c r="BC5" s="115">
        <v>0.43945083477172292</v>
      </c>
      <c r="BD5" s="115">
        <v>0.34703965840897744</v>
      </c>
      <c r="BE5" s="115">
        <v>0.35839943963228749</v>
      </c>
      <c r="BF5" s="115">
        <v>0.42412724591180689</v>
      </c>
      <c r="BG5" s="115">
        <v>0.4424706529473571</v>
      </c>
      <c r="BH5" s="115">
        <v>0.41582280541566718</v>
      </c>
      <c r="BI5" s="115">
        <v>0.40821857455755478</v>
      </c>
      <c r="BJ5" s="115">
        <v>0.36240513668855817</v>
      </c>
      <c r="BK5" s="115">
        <v>0.39809861601611546</v>
      </c>
      <c r="BL5" s="115">
        <v>0.40229982894420707</v>
      </c>
      <c r="BM5" s="115">
        <v>0.43317483056986966</v>
      </c>
      <c r="BN5" s="115">
        <v>0.42431711740057609</v>
      </c>
      <c r="BO5" s="115">
        <v>0.32951802396935825</v>
      </c>
      <c r="BP5" s="115">
        <v>0.38132754656934531</v>
      </c>
      <c r="BQ5" s="115">
        <v>0.35975536148609827</v>
      </c>
      <c r="BR5" s="115">
        <v>0.368791502892241</v>
      </c>
      <c r="BS5" s="115">
        <v>0.37826223066037024</v>
      </c>
      <c r="BT5" s="115">
        <v>0.45353549563739171</v>
      </c>
      <c r="BU5" s="115">
        <v>0.35720374396650773</v>
      </c>
      <c r="BV5" s="115">
        <v>0.36236873513820844</v>
      </c>
      <c r="BW5" s="115">
        <v>0.38349256114303787</v>
      </c>
      <c r="BX5" s="115">
        <v>0.39585287249207285</v>
      </c>
      <c r="BY5" s="115">
        <v>0.34978937298218704</v>
      </c>
      <c r="BZ5" s="115">
        <v>0.32764199506884156</v>
      </c>
      <c r="CA5" s="115">
        <v>0.35393762035632559</v>
      </c>
      <c r="CB5" s="115">
        <v>0.45828896706911332</v>
      </c>
      <c r="CC5" s="115">
        <v>0.38887605939652226</v>
      </c>
      <c r="CD5" s="115">
        <v>0.43718553796988907</v>
      </c>
      <c r="CE5" s="115">
        <v>0.41298889820720169</v>
      </c>
      <c r="CF5" s="115">
        <v>0.4387129583338224</v>
      </c>
      <c r="CG5" s="115">
        <v>0.31467418931874347</v>
      </c>
      <c r="CH5" s="115">
        <v>0.263584946597753</v>
      </c>
      <c r="CI5" s="115">
        <v>0.35865534776388053</v>
      </c>
      <c r="CJ5" s="115">
        <v>0.34824475382540382</v>
      </c>
      <c r="CK5" s="115">
        <v>0.40074333034569898</v>
      </c>
      <c r="CL5" s="115">
        <v>0.38229341516200244</v>
      </c>
      <c r="CM5" s="115">
        <v>0.39580235049582302</v>
      </c>
      <c r="CN5" s="115">
        <v>0.46768309919452272</v>
      </c>
      <c r="CO5" s="115">
        <v>0.37618282700769529</v>
      </c>
      <c r="CP5" s="115">
        <v>0.3926742045242364</v>
      </c>
      <c r="CQ5" s="115">
        <v>0.43334469961361688</v>
      </c>
      <c r="CR5" s="115">
        <v>0.38612545528806919</v>
      </c>
      <c r="CS5" s="115">
        <v>0.4419820298353912</v>
      </c>
      <c r="CT5" s="115">
        <v>0.37156988786007633</v>
      </c>
      <c r="CU5" s="115">
        <v>0.26847392917181612</v>
      </c>
      <c r="CV5" s="115">
        <v>0.42718255975830821</v>
      </c>
      <c r="CW5" s="115">
        <v>0.38996273348033789</v>
      </c>
      <c r="CX5" s="115">
        <v>0.40825992727345317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  <c r="BD6" s="115">
        <v>0</v>
      </c>
      <c r="BE6" s="115">
        <v>0</v>
      </c>
      <c r="BF6" s="115">
        <v>0</v>
      </c>
      <c r="BG6" s="115">
        <v>0</v>
      </c>
      <c r="BH6" s="115">
        <v>0</v>
      </c>
      <c r="BI6" s="115">
        <v>0</v>
      </c>
      <c r="BJ6" s="115">
        <v>0</v>
      </c>
      <c r="BK6" s="115">
        <v>0</v>
      </c>
      <c r="BL6" s="115">
        <v>0</v>
      </c>
      <c r="BM6" s="115">
        <v>0</v>
      </c>
      <c r="BN6" s="115">
        <v>0</v>
      </c>
      <c r="BO6" s="115">
        <v>0</v>
      </c>
      <c r="BP6" s="115">
        <v>0</v>
      </c>
      <c r="BQ6" s="115">
        <v>0</v>
      </c>
      <c r="BR6" s="115">
        <v>0</v>
      </c>
      <c r="BS6" s="115">
        <v>0</v>
      </c>
      <c r="BT6" s="115">
        <v>0</v>
      </c>
      <c r="BU6" s="115">
        <v>0</v>
      </c>
      <c r="BV6" s="115">
        <v>0</v>
      </c>
      <c r="BW6" s="115">
        <v>0</v>
      </c>
      <c r="BX6" s="115">
        <v>0</v>
      </c>
      <c r="BY6" s="115">
        <v>0</v>
      </c>
      <c r="BZ6" s="115">
        <v>0</v>
      </c>
      <c r="CA6" s="115">
        <v>0</v>
      </c>
      <c r="CB6" s="115">
        <v>0</v>
      </c>
      <c r="CC6" s="115">
        <v>0</v>
      </c>
      <c r="CD6" s="115">
        <v>0</v>
      </c>
      <c r="CE6" s="115">
        <v>0</v>
      </c>
      <c r="CF6" s="115">
        <v>0</v>
      </c>
      <c r="CG6" s="115">
        <v>0</v>
      </c>
      <c r="CH6" s="115">
        <v>0</v>
      </c>
      <c r="CI6" s="115">
        <v>0</v>
      </c>
      <c r="CJ6" s="115">
        <v>0</v>
      </c>
      <c r="CK6" s="115">
        <v>0</v>
      </c>
      <c r="CL6" s="115">
        <v>0</v>
      </c>
      <c r="CM6" s="115">
        <v>0</v>
      </c>
      <c r="CN6" s="115">
        <v>0</v>
      </c>
      <c r="CO6" s="115">
        <v>0</v>
      </c>
      <c r="CP6" s="115">
        <v>0</v>
      </c>
      <c r="CQ6" s="115">
        <v>0</v>
      </c>
      <c r="CR6" s="115">
        <v>0</v>
      </c>
      <c r="CS6" s="115">
        <v>0</v>
      </c>
      <c r="CT6" s="115">
        <v>0</v>
      </c>
      <c r="CU6" s="115">
        <v>0</v>
      </c>
      <c r="CV6" s="115">
        <v>0</v>
      </c>
      <c r="CW6" s="115">
        <v>0</v>
      </c>
      <c r="CX6" s="115">
        <v>0</v>
      </c>
    </row>
    <row r="7" spans="1:102" s="115" customFormat="1">
      <c r="A7" s="252" t="str">
        <f>Parameters!A53</f>
        <v>High Yield</v>
      </c>
      <c r="B7" s="253"/>
      <c r="C7" s="115">
        <v>1.4029552914036399E-2</v>
      </c>
      <c r="D7" s="115">
        <v>1.2076279096847557E-2</v>
      </c>
      <c r="E7" s="115">
        <v>3.1158396344812736E-11</v>
      </c>
      <c r="F7" s="115">
        <v>3.863172352827774E-5</v>
      </c>
      <c r="G7" s="115">
        <v>3.4532746666472982E-5</v>
      </c>
      <c r="H7" s="115">
        <v>2.2908367606254428E-2</v>
      </c>
      <c r="I7" s="115">
        <v>1.6262749219783797E-3</v>
      </c>
      <c r="J7" s="115">
        <v>2.590641691579545E-6</v>
      </c>
      <c r="K7" s="115">
        <v>9.5333650646279851E-4</v>
      </c>
      <c r="L7" s="115">
        <v>5.4541189148807978E-3</v>
      </c>
      <c r="M7" s="115">
        <v>7.2540341621873203E-3</v>
      </c>
      <c r="N7" s="115">
        <v>2.4185369987978825E-2</v>
      </c>
      <c r="O7" s="115">
        <v>5.26329202085385E-3</v>
      </c>
      <c r="P7" s="115">
        <v>1.503659271563885E-2</v>
      </c>
      <c r="Q7" s="115">
        <v>5.2627744457983466E-4</v>
      </c>
      <c r="R7" s="115">
        <v>2.3402352192456962E-3</v>
      </c>
      <c r="S7" s="115">
        <v>1.4223197176478557E-2</v>
      </c>
      <c r="T7" s="115">
        <v>1.9383150034798607E-2</v>
      </c>
      <c r="U7" s="115">
        <v>2.8214048454889736E-3</v>
      </c>
      <c r="V7" s="115">
        <v>1.2466050606395468E-2</v>
      </c>
      <c r="W7" s="115">
        <v>2.1374196071866712E-2</v>
      </c>
      <c r="X7" s="115">
        <v>2.2320450822494894E-2</v>
      </c>
      <c r="Y7" s="115">
        <v>6.9081934077749212E-4</v>
      </c>
      <c r="Z7" s="115">
        <v>8.3794599256278989E-6</v>
      </c>
      <c r="AA7" s="115">
        <v>3.3992899526038904E-5</v>
      </c>
      <c r="AB7" s="115">
        <v>1.5644446481511327E-3</v>
      </c>
      <c r="AC7" s="115">
        <v>4.0872099685476665E-4</v>
      </c>
      <c r="AD7" s="115">
        <v>1.7216665543045351E-2</v>
      </c>
      <c r="AE7" s="115">
        <v>1.576676626527021E-3</v>
      </c>
      <c r="AF7" s="115">
        <v>5.1344382855587171E-3</v>
      </c>
      <c r="AG7" s="115">
        <v>2.3164998771566287E-3</v>
      </c>
      <c r="AH7" s="115">
        <v>1.8307469039714648E-2</v>
      </c>
      <c r="AI7" s="115">
        <v>1.8229652743353235E-3</v>
      </c>
      <c r="AJ7" s="115">
        <v>9.1619161030252825E-4</v>
      </c>
      <c r="AK7" s="115">
        <v>8.5347874812556916E-4</v>
      </c>
      <c r="AL7" s="115">
        <v>6.9538937660793953E-3</v>
      </c>
      <c r="AM7" s="115">
        <v>5.8438877324922043E-4</v>
      </c>
      <c r="AN7" s="115">
        <v>2.8561128020764931E-5</v>
      </c>
      <c r="AO7" s="115">
        <v>4.1404974914000705E-7</v>
      </c>
      <c r="AP7" s="115">
        <v>3.7168964222590051E-5</v>
      </c>
      <c r="AQ7" s="115">
        <v>4.8162711444400847E-10</v>
      </c>
      <c r="AR7" s="115">
        <v>5.7498741386000363E-3</v>
      </c>
      <c r="AS7" s="115">
        <v>1.9194286996491868E-3</v>
      </c>
      <c r="AT7" s="115">
        <v>4.0293990630827974E-5</v>
      </c>
      <c r="AU7" s="115">
        <v>3.5760883657300561E-2</v>
      </c>
      <c r="AV7" s="115">
        <v>4.3835230391897524E-3</v>
      </c>
      <c r="AW7" s="115">
        <v>9.1496188276198442E-3</v>
      </c>
      <c r="AX7" s="115">
        <v>6.6437705124380818E-3</v>
      </c>
      <c r="AY7" s="115">
        <v>4.2754957734616988E-2</v>
      </c>
      <c r="AZ7" s="115">
        <v>8.7599801947004543E-5</v>
      </c>
      <c r="BA7" s="115">
        <v>2.4973648998488571E-3</v>
      </c>
      <c r="BB7" s="115">
        <v>4.4679377768524989E-3</v>
      </c>
      <c r="BC7" s="115">
        <v>1.1416442204449609E-2</v>
      </c>
      <c r="BD7" s="115">
        <v>1.4821662012077285E-2</v>
      </c>
      <c r="BE7" s="115">
        <v>5.0186160369462385E-2</v>
      </c>
      <c r="BF7" s="115">
        <v>2.9559485430644104E-2</v>
      </c>
      <c r="BG7" s="115">
        <v>1.864513709572223E-3</v>
      </c>
      <c r="BH7" s="115">
        <v>2.6362461094121104E-4</v>
      </c>
      <c r="BI7" s="115">
        <v>3.2552668531597244E-3</v>
      </c>
      <c r="BJ7" s="115">
        <v>4.8460748609343133E-8</v>
      </c>
      <c r="BK7" s="115">
        <v>1.7870455841971452E-5</v>
      </c>
      <c r="BL7" s="115">
        <v>1.8725062504199374E-2</v>
      </c>
      <c r="BM7" s="115">
        <v>2.453587419971755E-4</v>
      </c>
      <c r="BN7" s="115">
        <v>6.9076488739048305E-7</v>
      </c>
      <c r="BO7" s="115">
        <v>3.7815111586279697E-4</v>
      </c>
      <c r="BP7" s="115">
        <v>2.4245132233161534E-2</v>
      </c>
      <c r="BQ7" s="115">
        <v>5.9798580188006557E-3</v>
      </c>
      <c r="BR7" s="115">
        <v>1.8176246277921823E-5</v>
      </c>
      <c r="BS7" s="115">
        <v>8.9499410758260426E-4</v>
      </c>
      <c r="BT7" s="115">
        <v>6.639295430323662E-4</v>
      </c>
      <c r="BU7" s="115">
        <v>2.3642625907848436E-2</v>
      </c>
      <c r="BV7" s="115">
        <v>3.1067688998465362E-2</v>
      </c>
      <c r="BW7" s="115">
        <v>5.565912443989484E-2</v>
      </c>
      <c r="BX7" s="115">
        <v>1.1759164635250901E-2</v>
      </c>
      <c r="BY7" s="115">
        <v>3.1496223967336347E-2</v>
      </c>
      <c r="BZ7" s="115">
        <v>1.0027132627028256E-3</v>
      </c>
      <c r="CA7" s="115">
        <v>2.0370383525786673E-2</v>
      </c>
      <c r="CB7" s="115">
        <v>1.7704291485614768E-2</v>
      </c>
      <c r="CC7" s="115">
        <v>5.4593590801398197E-3</v>
      </c>
      <c r="CD7" s="115">
        <v>6.4406238358280792E-10</v>
      </c>
      <c r="CE7" s="115">
        <v>4.1429807546998501E-2</v>
      </c>
      <c r="CF7" s="115">
        <v>1.667299875533439E-2</v>
      </c>
      <c r="CG7" s="115">
        <v>1.5444124128733996E-2</v>
      </c>
      <c r="CH7" s="115">
        <v>1.3974945537805209E-2</v>
      </c>
      <c r="CI7" s="115">
        <v>6.0677460388056416E-2</v>
      </c>
      <c r="CJ7" s="115">
        <v>4.580085155744683E-3</v>
      </c>
      <c r="CK7" s="115">
        <v>1.6360604185899876E-10</v>
      </c>
      <c r="CL7" s="115">
        <v>1.2431109669169485E-2</v>
      </c>
      <c r="CM7" s="115">
        <v>5.2628485559041913E-2</v>
      </c>
      <c r="CN7" s="115">
        <v>1.0400749159829158E-4</v>
      </c>
      <c r="CO7" s="115">
        <v>2.2283231267548342E-2</v>
      </c>
      <c r="CP7" s="115">
        <v>2.25721350103038E-2</v>
      </c>
      <c r="CQ7" s="115">
        <v>2.2235073711718043E-2</v>
      </c>
      <c r="CR7" s="115">
        <v>2.0249635440990502E-4</v>
      </c>
      <c r="CS7" s="115">
        <v>3.4342882355508704E-2</v>
      </c>
      <c r="CT7" s="115">
        <v>3.9880490493967042E-3</v>
      </c>
      <c r="CU7" s="115">
        <v>5.5351044354371715E-2</v>
      </c>
      <c r="CV7" s="115">
        <v>2.0292804898178803E-5</v>
      </c>
      <c r="CW7" s="115">
        <v>5.6016899836184263E-2</v>
      </c>
      <c r="CX7" s="115">
        <v>6.4877364231148184E-3</v>
      </c>
    </row>
    <row r="8" spans="1:102" s="115" customFormat="1">
      <c r="A8" s="252" t="str">
        <f>Parameters!A54</f>
        <v>Emerging market debt</v>
      </c>
      <c r="B8" s="253"/>
      <c r="C8" s="115">
        <v>8.2537849004293895E-2</v>
      </c>
      <c r="D8" s="115">
        <v>0.11243550510808992</v>
      </c>
      <c r="E8" s="115">
        <v>7.6940385911831444E-2</v>
      </c>
      <c r="F8" s="115">
        <v>2.214972758628584E-2</v>
      </c>
      <c r="G8" s="115">
        <v>0.1189576011566599</v>
      </c>
      <c r="H8" s="115">
        <v>6.0185320418218752E-2</v>
      </c>
      <c r="I8" s="115">
        <v>0.11117168207396573</v>
      </c>
      <c r="J8" s="115">
        <v>9.1335341141670604E-4</v>
      </c>
      <c r="K8" s="115">
        <v>2.9067675054104191E-2</v>
      </c>
      <c r="L8" s="115">
        <v>7.34194245346836E-2</v>
      </c>
      <c r="M8" s="115">
        <v>9.7415484751351145E-2</v>
      </c>
      <c r="N8" s="115">
        <v>5.1798100986615532E-2</v>
      </c>
      <c r="O8" s="115">
        <v>6.7675112341020138E-2</v>
      </c>
      <c r="P8" s="115">
        <v>0.10840911841344077</v>
      </c>
      <c r="Q8" s="115">
        <v>9.3143250188726212E-2</v>
      </c>
      <c r="R8" s="115">
        <v>3.436860092686559E-2</v>
      </c>
      <c r="S8" s="115">
        <v>9.4767793204093374E-3</v>
      </c>
      <c r="T8" s="115">
        <v>9.5753593375801763E-2</v>
      </c>
      <c r="U8" s="115">
        <v>3.1621090241545663E-4</v>
      </c>
      <c r="V8" s="115">
        <v>2.4400914357206543E-8</v>
      </c>
      <c r="W8" s="115">
        <v>1.8378981928201496E-4</v>
      </c>
      <c r="X8" s="115">
        <v>0.11278346053018649</v>
      </c>
      <c r="Y8" s="115">
        <v>1.4255251862922182E-3</v>
      </c>
      <c r="Z8" s="115">
        <v>6.2635959762883803E-3</v>
      </c>
      <c r="AA8" s="115">
        <v>6.9836504222242192E-3</v>
      </c>
      <c r="AB8" s="115">
        <v>9.7573619273141904E-5</v>
      </c>
      <c r="AC8" s="115">
        <v>3.7500803596947345E-2</v>
      </c>
      <c r="AD8" s="115">
        <v>3.7088754056184989E-2</v>
      </c>
      <c r="AE8" s="115">
        <v>0.10532174191570715</v>
      </c>
      <c r="AF8" s="115">
        <v>3.8515711981312499E-3</v>
      </c>
      <c r="AG8" s="115">
        <v>9.2014405635379604E-2</v>
      </c>
      <c r="AH8" s="115">
        <v>1.1459014751554977E-4</v>
      </c>
      <c r="AI8" s="115">
        <v>3.7109467338975112E-2</v>
      </c>
      <c r="AJ8" s="115">
        <v>1.1623785789634737E-2</v>
      </c>
      <c r="AK8" s="115">
        <v>2.5301808032721852E-3</v>
      </c>
      <c r="AL8" s="115">
        <v>1.3472629279044282E-4</v>
      </c>
      <c r="AM8" s="115">
        <v>3.2729156501230448E-2</v>
      </c>
      <c r="AN8" s="115">
        <v>2.1554350408350527E-6</v>
      </c>
      <c r="AO8" s="115">
        <v>0.11834311325827498</v>
      </c>
      <c r="AP8" s="115">
        <v>4.8452839313360578E-2</v>
      </c>
      <c r="AQ8" s="115">
        <v>4.3151602259277264E-2</v>
      </c>
      <c r="AR8" s="115">
        <v>0.11966726995028387</v>
      </c>
      <c r="AS8" s="115">
        <v>6.672027441605799E-2</v>
      </c>
      <c r="AT8" s="115">
        <v>8.1061705331030201E-2</v>
      </c>
      <c r="AU8" s="115">
        <v>8.2403575006722066E-4</v>
      </c>
      <c r="AV8" s="115">
        <v>2.8979873816986E-4</v>
      </c>
      <c r="AW8" s="115">
        <v>0.11293483765980289</v>
      </c>
      <c r="AX8" s="115">
        <v>3.8855215265078513E-2</v>
      </c>
      <c r="AY8" s="115">
        <v>1.19850550191993E-7</v>
      </c>
      <c r="AZ8" s="115">
        <v>4.2201032610475898E-2</v>
      </c>
      <c r="BA8" s="115">
        <v>6.1547041520319215E-2</v>
      </c>
      <c r="BB8" s="115">
        <v>7.4003623164445892E-2</v>
      </c>
      <c r="BC8" s="115">
        <v>4.1221140972903164E-2</v>
      </c>
      <c r="BD8" s="115">
        <v>3.9706138338779909E-2</v>
      </c>
      <c r="BE8" s="115">
        <v>1.8997010566922318E-3</v>
      </c>
      <c r="BF8" s="115">
        <v>5.8896238797945075E-2</v>
      </c>
      <c r="BG8" s="115">
        <v>6.1569172339149401E-2</v>
      </c>
      <c r="BH8" s="115">
        <v>7.0998913394367619E-2</v>
      </c>
      <c r="BI8" s="115">
        <v>7.6641864154664674E-2</v>
      </c>
      <c r="BJ8" s="115">
        <v>6.4194131248595535E-2</v>
      </c>
      <c r="BK8" s="115">
        <v>8.8938913678292167E-2</v>
      </c>
      <c r="BL8" s="115">
        <v>0.10847051838321316</v>
      </c>
      <c r="BM8" s="115">
        <v>3.4412187431433018E-2</v>
      </c>
      <c r="BN8" s="115">
        <v>1.3073711128060375E-2</v>
      </c>
      <c r="BO8" s="115">
        <v>9.1535024422558786E-3</v>
      </c>
      <c r="BP8" s="115">
        <v>2.1426676562538174E-2</v>
      </c>
      <c r="BQ8" s="115">
        <v>0.13467228714801002</v>
      </c>
      <c r="BR8" s="115">
        <v>5.4389514817140452E-2</v>
      </c>
      <c r="BS8" s="115">
        <v>5.8739660676129977E-2</v>
      </c>
      <c r="BT8" s="115">
        <v>5.674190174326204E-2</v>
      </c>
      <c r="BU8" s="115">
        <v>7.9853259245198122E-2</v>
      </c>
      <c r="BV8" s="115">
        <v>5.5576914582876086E-4</v>
      </c>
      <c r="BW8" s="115">
        <v>5.6772005679935525E-2</v>
      </c>
      <c r="BX8" s="115">
        <v>0.10403802099951677</v>
      </c>
      <c r="BY8" s="115">
        <v>3.9472056179654005E-2</v>
      </c>
      <c r="BZ8" s="115">
        <v>6.3147743278474708E-2</v>
      </c>
      <c r="CA8" s="115">
        <v>3.4646747561543755E-2</v>
      </c>
      <c r="CB8" s="115">
        <v>3.2260922751238756E-2</v>
      </c>
      <c r="CC8" s="115">
        <v>1.8691605385414971E-2</v>
      </c>
      <c r="CD8" s="115">
        <v>7.2766225984881056E-2</v>
      </c>
      <c r="CE8" s="115">
        <v>6.1039409244782586E-2</v>
      </c>
      <c r="CF8" s="115">
        <v>7.320470882872282E-2</v>
      </c>
      <c r="CG8" s="115">
        <v>0.12793629810146145</v>
      </c>
      <c r="CH8" s="115">
        <v>2.3346721807973236E-3</v>
      </c>
      <c r="CI8" s="115">
        <v>2.2702469268961766E-3</v>
      </c>
      <c r="CJ8" s="115">
        <v>1.4497542241571524E-2</v>
      </c>
      <c r="CK8" s="115">
        <v>7.2481267427149068E-2</v>
      </c>
      <c r="CL8" s="115">
        <v>7.6217278446742004E-2</v>
      </c>
      <c r="CM8" s="115">
        <v>0.10233784444491947</v>
      </c>
      <c r="CN8" s="115">
        <v>6.9785583056044806E-2</v>
      </c>
      <c r="CO8" s="115">
        <v>7.4689776907976846E-2</v>
      </c>
      <c r="CP8" s="115">
        <v>4.3067907704470688E-4</v>
      </c>
      <c r="CQ8" s="115">
        <v>9.8567576902837736E-3</v>
      </c>
      <c r="CR8" s="115">
        <v>2.1890243295475727E-2</v>
      </c>
      <c r="CS8" s="115">
        <v>5.770371482296769E-2</v>
      </c>
      <c r="CT8" s="115">
        <v>2.2186101791222195E-9</v>
      </c>
      <c r="CU8" s="115">
        <v>3.5775513773806111E-3</v>
      </c>
      <c r="CV8" s="115">
        <v>0.12142804378877936</v>
      </c>
      <c r="CW8" s="115">
        <v>1.5672427259436874E-2</v>
      </c>
      <c r="CX8" s="115">
        <v>5.9036282452317831E-2</v>
      </c>
    </row>
    <row r="9" spans="1:102" s="115" customFormat="1">
      <c r="A9" s="252" t="str">
        <f>Parameters!A55</f>
        <v>Aandelen ontwikkeld</v>
      </c>
      <c r="B9" s="253"/>
      <c r="C9" s="115">
        <v>8.1247924346003642E-2</v>
      </c>
      <c r="D9" s="115">
        <v>0.11892125358827048</v>
      </c>
      <c r="E9" s="115">
        <v>0.14180566234568173</v>
      </c>
      <c r="F9" s="115">
        <v>9.6641592414263053E-2</v>
      </c>
      <c r="G9" s="115">
        <v>8.1918101659120959E-2</v>
      </c>
      <c r="H9" s="115">
        <v>0.12292052652987337</v>
      </c>
      <c r="I9" s="115">
        <v>3.8263915685085123E-2</v>
      </c>
      <c r="J9" s="115">
        <v>0.12371968363125314</v>
      </c>
      <c r="K9" s="115">
        <v>8.3303319254446395E-2</v>
      </c>
      <c r="L9" s="115">
        <v>2.5949456722287562E-2</v>
      </c>
      <c r="M9" s="115">
        <v>0.11148528679560225</v>
      </c>
      <c r="N9" s="115">
        <v>3.8650522127286584E-2</v>
      </c>
      <c r="O9" s="115">
        <v>9.2735014297049098E-2</v>
      </c>
      <c r="P9" s="115">
        <v>1.1648640010458954E-5</v>
      </c>
      <c r="Q9" s="115">
        <v>4.5448225954830609E-3</v>
      </c>
      <c r="R9" s="115">
        <v>0.12208515258352781</v>
      </c>
      <c r="S9" s="115">
        <v>8.7353976573508144E-2</v>
      </c>
      <c r="T9" s="115">
        <v>3.5053902161392592E-2</v>
      </c>
      <c r="U9" s="115">
        <v>0.13766643838124984</v>
      </c>
      <c r="V9" s="115">
        <v>7.075793045245396E-2</v>
      </c>
      <c r="W9" s="115">
        <v>0.12041327051157352</v>
      </c>
      <c r="X9" s="115">
        <v>9.5664125354999505E-2</v>
      </c>
      <c r="Y9" s="115">
        <v>7.8939800760156831E-2</v>
      </c>
      <c r="Z9" s="115">
        <v>0.1350116072958471</v>
      </c>
      <c r="AA9" s="115">
        <v>7.3878300511689407E-2</v>
      </c>
      <c r="AB9" s="115">
        <v>4.2674153292500218E-2</v>
      </c>
      <c r="AC9" s="115">
        <v>4.4931981697628284E-2</v>
      </c>
      <c r="AD9" s="115">
        <v>9.8165752281960006E-2</v>
      </c>
      <c r="AE9" s="115">
        <v>4.5501570658964034E-2</v>
      </c>
      <c r="AF9" s="115">
        <v>3.863298018174436E-2</v>
      </c>
      <c r="AG9" s="115">
        <v>2.67760056240622E-2</v>
      </c>
      <c r="AH9" s="115">
        <v>4.7940157904952922E-2</v>
      </c>
      <c r="AI9" s="115">
        <v>4.1743705803822376E-2</v>
      </c>
      <c r="AJ9" s="115">
        <v>2.4651541261084303E-2</v>
      </c>
      <c r="AK9" s="115">
        <v>4.3336513250561981E-2</v>
      </c>
      <c r="AL9" s="115">
        <v>9.3202372623557267E-2</v>
      </c>
      <c r="AM9" s="115">
        <v>3.1933422099813501E-2</v>
      </c>
      <c r="AN9" s="115">
        <v>0.11318909401054184</v>
      </c>
      <c r="AO9" s="115">
        <v>0.10835852523236672</v>
      </c>
      <c r="AP9" s="115">
        <v>4.1763753346439517E-2</v>
      </c>
      <c r="AQ9" s="115">
        <v>3.5989220979880686E-2</v>
      </c>
      <c r="AR9" s="115">
        <v>8.5316915335159033E-2</v>
      </c>
      <c r="AS9" s="115">
        <v>9.1824072918097466E-2</v>
      </c>
      <c r="AT9" s="115">
        <v>4.0028178653435508E-3</v>
      </c>
      <c r="AU9" s="115">
        <v>0.1176005473143264</v>
      </c>
      <c r="AV9" s="115">
        <v>6.0275366492099497E-2</v>
      </c>
      <c r="AW9" s="115">
        <v>1.5536513932417181E-3</v>
      </c>
      <c r="AX9" s="115">
        <v>3.446180392637959E-2</v>
      </c>
      <c r="AY9" s="115">
        <v>8.3362441705024229E-2</v>
      </c>
      <c r="AZ9" s="115">
        <v>8.7262172916166263E-3</v>
      </c>
      <c r="BA9" s="115">
        <v>2.5914067850252364E-2</v>
      </c>
      <c r="BB9" s="115">
        <v>3.6477028457025433E-2</v>
      </c>
      <c r="BC9" s="115">
        <v>4.0870388979383256E-2</v>
      </c>
      <c r="BD9" s="115">
        <v>4.0773752441153145E-2</v>
      </c>
      <c r="BE9" s="115">
        <v>0.11996576106768726</v>
      </c>
      <c r="BF9" s="115">
        <v>8.9350512314115033E-2</v>
      </c>
      <c r="BG9" s="115">
        <v>7.5560610262901838E-3</v>
      </c>
      <c r="BH9" s="115">
        <v>1.7139601040715825E-4</v>
      </c>
      <c r="BI9" s="115">
        <v>5.2476840575639214E-3</v>
      </c>
      <c r="BJ9" s="115">
        <v>2.3412409006864232E-4</v>
      </c>
      <c r="BK9" s="115">
        <v>3.823318247051355E-5</v>
      </c>
      <c r="BL9" s="115">
        <v>4.9265387662101407E-3</v>
      </c>
      <c r="BM9" s="115">
        <v>0.10254058045028357</v>
      </c>
      <c r="BN9" s="115">
        <v>9.8906525070391646E-2</v>
      </c>
      <c r="BO9" s="115">
        <v>0.15458012302771579</v>
      </c>
      <c r="BP9" s="115">
        <v>5.678358299483257E-2</v>
      </c>
      <c r="BQ9" s="115">
        <v>3.4443119812288765E-2</v>
      </c>
      <c r="BR9" s="115">
        <v>7.0863336199894614E-2</v>
      </c>
      <c r="BS9" s="115">
        <v>3.1140545387177497E-2</v>
      </c>
      <c r="BT9" s="115">
        <v>6.9110308806743292E-2</v>
      </c>
      <c r="BU9" s="115">
        <v>2.7712125177534547E-2</v>
      </c>
      <c r="BV9" s="115">
        <v>2.6308584882841608E-2</v>
      </c>
      <c r="BW9" s="115">
        <v>2.1166021385408469E-2</v>
      </c>
      <c r="BX9" s="115">
        <v>1.0940307612646329E-3</v>
      </c>
      <c r="BY9" s="115">
        <v>5.6903950817566815E-2</v>
      </c>
      <c r="BZ9" s="115">
        <v>2.8976682628559659E-2</v>
      </c>
      <c r="CA9" s="115">
        <v>1.7217858341878813E-8</v>
      </c>
      <c r="CB9" s="115">
        <v>4.7850269999183848E-2</v>
      </c>
      <c r="CC9" s="115">
        <v>3.8388548552651225E-2</v>
      </c>
      <c r="CD9" s="115">
        <v>6.2250584980011415E-4</v>
      </c>
      <c r="CE9" s="115">
        <v>6.6793825974918147E-2</v>
      </c>
      <c r="CF9" s="115">
        <v>9.3690365654637314E-2</v>
      </c>
      <c r="CG9" s="115">
        <v>9.7367593232843885E-2</v>
      </c>
      <c r="CH9" s="115">
        <v>6.1952801123626451E-2</v>
      </c>
      <c r="CI9" s="115">
        <v>9.9371129488997401E-2</v>
      </c>
      <c r="CJ9" s="115">
        <v>2.4331169266613929E-2</v>
      </c>
      <c r="CK9" s="115">
        <v>1.6777150476540895E-2</v>
      </c>
      <c r="CL9" s="115">
        <v>1.1996305790110726E-2</v>
      </c>
      <c r="CM9" s="115">
        <v>3.8754566949599882E-2</v>
      </c>
      <c r="CN9" s="115">
        <v>2.5801434560946624E-2</v>
      </c>
      <c r="CO9" s="115">
        <v>3.1734891073064819E-2</v>
      </c>
      <c r="CP9" s="115">
        <v>7.0114385854096288E-3</v>
      </c>
      <c r="CQ9" s="115">
        <v>5.7353707035276112E-2</v>
      </c>
      <c r="CR9" s="115">
        <v>3.0588998876350474E-2</v>
      </c>
      <c r="CS9" s="115">
        <v>4.1429316741917431E-3</v>
      </c>
      <c r="CT9" s="115">
        <v>2.6104076856357478E-2</v>
      </c>
      <c r="CU9" s="115">
        <v>0.15267007242055772</v>
      </c>
      <c r="CV9" s="115">
        <v>9.0315250915892521E-3</v>
      </c>
      <c r="CW9" s="115">
        <v>7.4893069731316014E-2</v>
      </c>
      <c r="CX9" s="115">
        <v>4.2518860206045492E-2</v>
      </c>
    </row>
    <row r="10" spans="1:102" s="115" customFormat="1">
      <c r="A10" s="252" t="str">
        <f>Parameters!A56</f>
        <v>Aandelen opkomend</v>
      </c>
      <c r="B10" s="253"/>
      <c r="C10" s="115">
        <v>2.5510476879365144E-2</v>
      </c>
      <c r="D10" s="115">
        <v>1.6792741827085653E-2</v>
      </c>
      <c r="E10" s="115">
        <v>1.9193578759923945E-3</v>
      </c>
      <c r="F10" s="115">
        <v>2.3182062056736025E-2</v>
      </c>
      <c r="G10" s="115">
        <v>1.225408158915523E-2</v>
      </c>
      <c r="H10" s="115">
        <v>4.6765332783309426E-7</v>
      </c>
      <c r="I10" s="115">
        <v>8.2294040320338074E-2</v>
      </c>
      <c r="J10" s="115">
        <v>2.3216138657460902E-2</v>
      </c>
      <c r="K10" s="115">
        <v>2.7085672346407647E-2</v>
      </c>
      <c r="L10" s="115">
        <v>3.9915345817331097E-2</v>
      </c>
      <c r="M10" s="115">
        <v>3.5912829695965353E-3</v>
      </c>
      <c r="N10" s="115">
        <v>6.7187544744388627E-3</v>
      </c>
      <c r="O10" s="115">
        <v>1.7814539624686357E-6</v>
      </c>
      <c r="P10" s="115">
        <v>5.5887116459612987E-2</v>
      </c>
      <c r="Q10" s="115">
        <v>5.1386913963562188E-2</v>
      </c>
      <c r="R10" s="115">
        <v>8.985517449900275E-4</v>
      </c>
      <c r="S10" s="115">
        <v>2.973531572290113E-3</v>
      </c>
      <c r="T10" s="115">
        <v>8.8242207898927838E-2</v>
      </c>
      <c r="U10" s="115">
        <v>5.060598528056303E-3</v>
      </c>
      <c r="V10" s="115">
        <v>2.6142883367824173E-2</v>
      </c>
      <c r="W10" s="115">
        <v>3.6254309253083455E-2</v>
      </c>
      <c r="X10" s="115">
        <v>4.8223889872475195E-2</v>
      </c>
      <c r="Y10" s="115">
        <v>5.0123918742345046E-4</v>
      </c>
      <c r="Z10" s="115">
        <v>4.6659596425984214E-3</v>
      </c>
      <c r="AA10" s="115">
        <v>0.10483855166728645</v>
      </c>
      <c r="AB10" s="115">
        <v>8.5455552701633464E-2</v>
      </c>
      <c r="AC10" s="115">
        <v>1.1832455225740206E-2</v>
      </c>
      <c r="AD10" s="115">
        <v>3.2247210917686231E-2</v>
      </c>
      <c r="AE10" s="115">
        <v>5.9609664697711819E-2</v>
      </c>
      <c r="AF10" s="115">
        <v>6.8746130662604904E-2</v>
      </c>
      <c r="AG10" s="115">
        <v>3.850840605923263E-5</v>
      </c>
      <c r="AH10" s="115">
        <v>1.2058310524982862E-2</v>
      </c>
      <c r="AI10" s="115">
        <v>2.243052671832688E-2</v>
      </c>
      <c r="AJ10" s="115">
        <v>9.1251671350994379E-2</v>
      </c>
      <c r="AK10" s="115">
        <v>7.7051183946550264E-2</v>
      </c>
      <c r="AL10" s="115">
        <v>4.9009855929447359E-3</v>
      </c>
      <c r="AM10" s="115">
        <v>3.5386658645366643E-2</v>
      </c>
      <c r="AN10" s="115">
        <v>6.3489368790035708E-3</v>
      </c>
      <c r="AO10" s="115">
        <v>1.8560642040099906E-6</v>
      </c>
      <c r="AP10" s="115">
        <v>7.2500751118528245E-2</v>
      </c>
      <c r="AQ10" s="115">
        <v>2.5993813530810643E-2</v>
      </c>
      <c r="AR10" s="115">
        <v>1.7858908208652885E-3</v>
      </c>
      <c r="AS10" s="115">
        <v>3.4555340532924722E-2</v>
      </c>
      <c r="AT10" s="115">
        <v>0.11232277357153227</v>
      </c>
      <c r="AU10" s="115">
        <v>4.8308051747766749E-2</v>
      </c>
      <c r="AV10" s="115">
        <v>7.4642107498879451E-2</v>
      </c>
      <c r="AW10" s="115">
        <v>2.4143327206147192E-2</v>
      </c>
      <c r="AX10" s="115">
        <v>1.1637247410020446E-6</v>
      </c>
      <c r="AY10" s="115">
        <v>1.41196758168004E-2</v>
      </c>
      <c r="AZ10" s="115">
        <v>0.11449955750578465</v>
      </c>
      <c r="BA10" s="115">
        <v>1.3810179848493906E-2</v>
      </c>
      <c r="BB10" s="115">
        <v>4.9652701508965287E-2</v>
      </c>
      <c r="BC10" s="115">
        <v>2.2854096055367923E-2</v>
      </c>
      <c r="BD10" s="115">
        <v>2.207063861500861E-2</v>
      </c>
      <c r="BE10" s="115">
        <v>1.8137120291934869E-4</v>
      </c>
      <c r="BF10" s="115">
        <v>1.2809167050052825E-3</v>
      </c>
      <c r="BG10" s="115">
        <v>5.2724318470066929E-2</v>
      </c>
      <c r="BH10" s="115">
        <v>9.0004561550384554E-2</v>
      </c>
      <c r="BI10" s="115">
        <v>6.5018719873539813E-2</v>
      </c>
      <c r="BJ10" s="115">
        <v>7.8354387201889378E-2</v>
      </c>
      <c r="BK10" s="115">
        <v>5.9364457749809391E-2</v>
      </c>
      <c r="BL10" s="115">
        <v>3.153982835476949E-2</v>
      </c>
      <c r="BM10" s="115">
        <v>5.3790317027712703E-3</v>
      </c>
      <c r="BN10" s="115">
        <v>3.476278742816407E-2</v>
      </c>
      <c r="BO10" s="115">
        <v>1.5125193883758093E-2</v>
      </c>
      <c r="BP10" s="115">
        <v>5.9308420022294944E-2</v>
      </c>
      <c r="BQ10" s="115">
        <v>6.2222231400110892E-2</v>
      </c>
      <c r="BR10" s="115">
        <v>5.6497799045089427E-2</v>
      </c>
      <c r="BS10" s="115">
        <v>1.549536129873933E-3</v>
      </c>
      <c r="BT10" s="115">
        <v>8.3357613239624386E-5</v>
      </c>
      <c r="BU10" s="115">
        <v>2.5650974506406046E-2</v>
      </c>
      <c r="BV10" s="115">
        <v>8.052756954041683E-2</v>
      </c>
      <c r="BW10" s="115">
        <v>8.3630415694349557E-3</v>
      </c>
      <c r="BX10" s="115">
        <v>3.286161708930959E-2</v>
      </c>
      <c r="BY10" s="115">
        <v>7.982311407926863E-3</v>
      </c>
      <c r="BZ10" s="115">
        <v>1.1572709962674461E-2</v>
      </c>
      <c r="CA10" s="115">
        <v>5.8399967682090007E-2</v>
      </c>
      <c r="CB10" s="115">
        <v>1.7559220697148999E-2</v>
      </c>
      <c r="CC10" s="115">
        <v>1.0998449685415312E-2</v>
      </c>
      <c r="CD10" s="115">
        <v>4.9475034099588623E-2</v>
      </c>
      <c r="CE10" s="115">
        <v>1.5163843933054637E-3</v>
      </c>
      <c r="CF10" s="115">
        <v>1.8466399379394697E-5</v>
      </c>
      <c r="CG10" s="115">
        <v>4.5272894002735757E-2</v>
      </c>
      <c r="CH10" s="115">
        <v>4.1747377106092297E-2</v>
      </c>
      <c r="CI10" s="115">
        <v>2.627123504157468E-6</v>
      </c>
      <c r="CJ10" s="115">
        <v>0.11870561687854903</v>
      </c>
      <c r="CK10" s="115">
        <v>7.359822926480776E-2</v>
      </c>
      <c r="CL10" s="115">
        <v>4.263112923963746E-4</v>
      </c>
      <c r="CM10" s="115">
        <v>3.7180980703563189E-2</v>
      </c>
      <c r="CN10" s="115">
        <v>5.4573189765071018E-3</v>
      </c>
      <c r="CO10" s="115">
        <v>2.0881214242944868E-2</v>
      </c>
      <c r="CP10" s="115">
        <v>7.3916279639432592E-2</v>
      </c>
      <c r="CQ10" s="115">
        <v>5.4684242623409475E-5</v>
      </c>
      <c r="CR10" s="115">
        <v>6.9285029456171363E-2</v>
      </c>
      <c r="CS10" s="115">
        <v>5.1764542588873551E-2</v>
      </c>
      <c r="CT10" s="115">
        <v>5.7536537057492863E-2</v>
      </c>
      <c r="CU10" s="115">
        <v>3.2739761148427946E-3</v>
      </c>
      <c r="CV10" s="115">
        <v>5.539958955935803E-7</v>
      </c>
      <c r="CW10" s="115">
        <v>5.7971847426186086E-5</v>
      </c>
      <c r="CX10" s="115">
        <v>5.8321698795065283E-2</v>
      </c>
    </row>
    <row r="11" spans="1:102" s="115" customFormat="1">
      <c r="A11" s="252" t="str">
        <f>Parameters!A57</f>
        <v>Hedge funds</v>
      </c>
      <c r="B11" s="253"/>
      <c r="C11" s="115">
        <v>1.7957925399192859E-2</v>
      </c>
      <c r="D11" s="115">
        <v>2.2525496477672933E-5</v>
      </c>
      <c r="E11" s="115">
        <v>5.378093441504811E-4</v>
      </c>
      <c r="F11" s="115">
        <v>2.1421000086158898E-5</v>
      </c>
      <c r="G11" s="115">
        <v>1.7018954166365462E-2</v>
      </c>
      <c r="H11" s="115">
        <v>1.5741570995854235E-3</v>
      </c>
      <c r="I11" s="115">
        <v>1.5695325862009358E-12</v>
      </c>
      <c r="J11" s="115">
        <v>7.2760977288413381E-2</v>
      </c>
      <c r="K11" s="115">
        <v>6.5363569201153107E-5</v>
      </c>
      <c r="L11" s="115">
        <v>2.852610199287584E-3</v>
      </c>
      <c r="M11" s="115">
        <v>5.3243981607165279E-3</v>
      </c>
      <c r="N11" s="115">
        <v>8.3143298878295153E-3</v>
      </c>
      <c r="O11" s="115">
        <v>4.9317989520841224E-2</v>
      </c>
      <c r="P11" s="115">
        <v>5.6508468521994249E-3</v>
      </c>
      <c r="Q11" s="115">
        <v>4.3062233180637677E-3</v>
      </c>
      <c r="R11" s="115">
        <v>2.7399119414779953E-2</v>
      </c>
      <c r="S11" s="115">
        <v>4.3813848561159212E-2</v>
      </c>
      <c r="T11" s="115">
        <v>1.4864309792032597E-3</v>
      </c>
      <c r="U11" s="115">
        <v>0.10470863213183876</v>
      </c>
      <c r="V11" s="115">
        <v>7.8556747764149165E-6</v>
      </c>
      <c r="W11" s="115">
        <v>1.8645267769753516E-5</v>
      </c>
      <c r="X11" s="115">
        <v>1.9170299671351809E-2</v>
      </c>
      <c r="Y11" s="115">
        <v>5.0223527979695107E-3</v>
      </c>
      <c r="Z11" s="115">
        <v>1.2695451676502339E-3</v>
      </c>
      <c r="AA11" s="115">
        <v>1.6403426139277356E-3</v>
      </c>
      <c r="AB11" s="115">
        <v>1.934508850744119E-2</v>
      </c>
      <c r="AC11" s="115">
        <v>4.4960281680054889E-3</v>
      </c>
      <c r="AD11" s="115">
        <v>4.9373463400890522E-2</v>
      </c>
      <c r="AE11" s="115">
        <v>5.8072220268483975E-3</v>
      </c>
      <c r="AF11" s="115">
        <v>1.9507902228219983E-3</v>
      </c>
      <c r="AG11" s="115">
        <v>4.6444397640891377E-3</v>
      </c>
      <c r="AH11" s="115">
        <v>9.8323228237550839E-2</v>
      </c>
      <c r="AI11" s="115">
        <v>7.5856835746686793E-2</v>
      </c>
      <c r="AJ11" s="115">
        <v>5.9300903523883007E-3</v>
      </c>
      <c r="AK11" s="115">
        <v>7.0423582655863889E-2</v>
      </c>
      <c r="AL11" s="115">
        <v>6.4298715952508315E-2</v>
      </c>
      <c r="AM11" s="115">
        <v>8.2525783558966656E-2</v>
      </c>
      <c r="AN11" s="115">
        <v>2.1914096442281128E-3</v>
      </c>
      <c r="AO11" s="115">
        <v>2.2665389780858025E-5</v>
      </c>
      <c r="AP11" s="115">
        <v>1.2754756583282529E-3</v>
      </c>
      <c r="AQ11" s="115">
        <v>2.0863935502940286E-13</v>
      </c>
      <c r="AR11" s="115">
        <v>5.357165946877273E-2</v>
      </c>
      <c r="AS11" s="115">
        <v>6.0543782888862252E-2</v>
      </c>
      <c r="AT11" s="115">
        <v>1.9395698717391652E-2</v>
      </c>
      <c r="AU11" s="115">
        <v>1.855523350736794E-2</v>
      </c>
      <c r="AV11" s="115">
        <v>6.5123809922696344E-3</v>
      </c>
      <c r="AW11" s="115">
        <v>1.1032813576783831E-2</v>
      </c>
      <c r="AX11" s="115">
        <v>7.5870969746049247E-2</v>
      </c>
      <c r="AY11" s="115">
        <v>0.11609964546139846</v>
      </c>
      <c r="AZ11" s="115">
        <v>3.1918122760212803E-2</v>
      </c>
      <c r="BA11" s="115">
        <v>7.1052686716541911E-3</v>
      </c>
      <c r="BB11" s="115">
        <v>4.9805291608737742E-5</v>
      </c>
      <c r="BC11" s="115">
        <v>3.1592588666901046E-2</v>
      </c>
      <c r="BD11" s="115">
        <v>7.9678887664958495E-2</v>
      </c>
      <c r="BE11" s="115">
        <v>1.3351018226387859E-2</v>
      </c>
      <c r="BF11" s="115">
        <v>7.4157082717422237E-7</v>
      </c>
      <c r="BG11" s="115">
        <v>5.6033783808958591E-2</v>
      </c>
      <c r="BH11" s="115">
        <v>3.4648726931956884E-2</v>
      </c>
      <c r="BI11" s="115">
        <v>1.0533747594041191E-2</v>
      </c>
      <c r="BJ11" s="115">
        <v>6.6115896180826444E-2</v>
      </c>
      <c r="BK11" s="115">
        <v>9.8974501283484076E-2</v>
      </c>
      <c r="BL11" s="115">
        <v>0.10012177322470417</v>
      </c>
      <c r="BM11" s="115">
        <v>2.0152931764961787E-2</v>
      </c>
      <c r="BN11" s="115">
        <v>2.1851576179903027E-3</v>
      </c>
      <c r="BO11" s="115">
        <v>6.5991058845490919E-2</v>
      </c>
      <c r="BP11" s="115">
        <v>3.640358450762303E-2</v>
      </c>
      <c r="BQ11" s="115">
        <v>7.7452398044533981E-3</v>
      </c>
      <c r="BR11" s="115">
        <v>1.9327651438664852E-4</v>
      </c>
      <c r="BS11" s="115">
        <v>3.0636958136778535E-2</v>
      </c>
      <c r="BT11" s="115">
        <v>8.7449619261034306E-5</v>
      </c>
      <c r="BU11" s="115">
        <v>2.9920239219662537E-4</v>
      </c>
      <c r="BV11" s="115">
        <v>2.4370880986352698E-2</v>
      </c>
      <c r="BW11" s="115">
        <v>9.3815030658611273E-4</v>
      </c>
      <c r="BX11" s="115">
        <v>2.3052231849734123E-2</v>
      </c>
      <c r="BY11" s="115">
        <v>2.7999713955437665E-2</v>
      </c>
      <c r="BZ11" s="115">
        <v>1.5924724487320022E-2</v>
      </c>
      <c r="CA11" s="115">
        <v>3.156770724850002E-2</v>
      </c>
      <c r="CB11" s="115">
        <v>6.5243245149692555E-2</v>
      </c>
      <c r="CC11" s="115">
        <v>1.2456020881790981E-4</v>
      </c>
      <c r="CD11" s="115">
        <v>4.2989222613962458E-2</v>
      </c>
      <c r="CE11" s="115">
        <v>1.1531200704526014E-2</v>
      </c>
      <c r="CF11" s="115">
        <v>6.3018968873084467E-3</v>
      </c>
      <c r="CG11" s="115">
        <v>3.1494354355615331E-2</v>
      </c>
      <c r="CH11" s="115">
        <v>4.1852331666178598E-2</v>
      </c>
      <c r="CI11" s="115">
        <v>4.9428427045870578E-5</v>
      </c>
      <c r="CJ11" s="115">
        <v>1.7859907383758545E-4</v>
      </c>
      <c r="CK11" s="115">
        <v>2.6132287171291069E-2</v>
      </c>
      <c r="CL11" s="115">
        <v>7.9861944847644417E-2</v>
      </c>
      <c r="CM11" s="115">
        <v>1.1860172277844078E-3</v>
      </c>
      <c r="CN11" s="115">
        <v>1.0733909305592947E-2</v>
      </c>
      <c r="CO11" s="115">
        <v>5.9556560561725827E-2</v>
      </c>
      <c r="CP11" s="115">
        <v>1.1781530101809196E-3</v>
      </c>
      <c r="CQ11" s="115">
        <v>0.12424903996761161</v>
      </c>
      <c r="CR11" s="115">
        <v>0.1085474992718614</v>
      </c>
      <c r="CS11" s="115">
        <v>1.710533708060203E-2</v>
      </c>
      <c r="CT11" s="115">
        <v>2.7835847328539691E-4</v>
      </c>
      <c r="CU11" s="115">
        <v>3.6862588363103972E-2</v>
      </c>
      <c r="CV11" s="115">
        <v>7.7508869152076887E-2</v>
      </c>
      <c r="CW11" s="115">
        <v>3.6580823719224484E-2</v>
      </c>
      <c r="CX11" s="115">
        <v>2.5350041967076922E-3</v>
      </c>
    </row>
    <row r="12" spans="1:102" s="115" customFormat="1">
      <c r="A12" s="252" t="str">
        <f>Parameters!A58</f>
        <v>Onroerend goed</v>
      </c>
      <c r="B12" s="253"/>
      <c r="C12" s="115">
        <v>2.1219632986093771E-2</v>
      </c>
      <c r="D12" s="115">
        <v>1.606363958330052E-2</v>
      </c>
      <c r="E12" s="115">
        <v>3.1424417201734515E-7</v>
      </c>
      <c r="F12" s="115">
        <v>1.3477366226126577E-2</v>
      </c>
      <c r="G12" s="115">
        <v>8.0052294772628638E-2</v>
      </c>
      <c r="H12" s="115">
        <v>2.9849565343881313E-7</v>
      </c>
      <c r="I12" s="115">
        <v>1.9808151385447583E-2</v>
      </c>
      <c r="J12" s="115">
        <v>6.0068338986638868E-3</v>
      </c>
      <c r="K12" s="115">
        <v>4.5536957812970014E-2</v>
      </c>
      <c r="L12" s="115">
        <v>3.8787220085721212E-2</v>
      </c>
      <c r="M12" s="115">
        <v>8.8524215334842435E-2</v>
      </c>
      <c r="N12" s="115">
        <v>3.8014843646276754E-2</v>
      </c>
      <c r="O12" s="115">
        <v>6.4557870489196365E-4</v>
      </c>
      <c r="P12" s="115">
        <v>3.2716089837587017E-2</v>
      </c>
      <c r="Q12" s="115">
        <v>2.0229889455962005E-2</v>
      </c>
      <c r="R12" s="115">
        <v>3.9966471027724701E-2</v>
      </c>
      <c r="S12" s="115">
        <v>4.0775902415964911E-2</v>
      </c>
      <c r="T12" s="115">
        <v>4.4156197993776028E-2</v>
      </c>
      <c r="U12" s="115">
        <v>5.4149739871797887E-10</v>
      </c>
      <c r="V12" s="115">
        <v>3.9307510173340415E-2</v>
      </c>
      <c r="W12" s="115">
        <v>7.7543127142069554E-2</v>
      </c>
      <c r="X12" s="115">
        <v>3.5335461187425803E-2</v>
      </c>
      <c r="Y12" s="115">
        <v>4.8939579859166827E-4</v>
      </c>
      <c r="Z12" s="115">
        <v>1.0248881979153912E-2</v>
      </c>
      <c r="AA12" s="115">
        <v>2.5502194896876915E-2</v>
      </c>
      <c r="AB12" s="115">
        <v>4.083206123440785E-2</v>
      </c>
      <c r="AC12" s="115">
        <v>6.4927371765559322E-2</v>
      </c>
      <c r="AD12" s="115">
        <v>1.8383534602373058E-2</v>
      </c>
      <c r="AE12" s="115">
        <v>3.7724484203842779E-2</v>
      </c>
      <c r="AF12" s="115">
        <v>2.076826405742092E-2</v>
      </c>
      <c r="AG12" s="115">
        <v>1.1249636834535535E-2</v>
      </c>
      <c r="AH12" s="115">
        <v>2.1496892468885584E-3</v>
      </c>
      <c r="AI12" s="115">
        <v>3.7834756647317211E-2</v>
      </c>
      <c r="AJ12" s="115">
        <v>1.9050427018033618E-2</v>
      </c>
      <c r="AK12" s="115">
        <v>6.6828780229183302E-2</v>
      </c>
      <c r="AL12" s="115">
        <v>1.96896422793248E-2</v>
      </c>
      <c r="AM12" s="115">
        <v>3.5410034150915037E-4</v>
      </c>
      <c r="AN12" s="115">
        <v>1.4757011640959808E-3</v>
      </c>
      <c r="AO12" s="115">
        <v>1.7447629715652689E-2</v>
      </c>
      <c r="AP12" s="115">
        <v>4.5819634521962352E-4</v>
      </c>
      <c r="AQ12" s="115">
        <v>7.2549727902149752E-2</v>
      </c>
      <c r="AR12" s="115">
        <v>1.4290643991043143E-7</v>
      </c>
      <c r="AS12" s="115">
        <v>3.2941420146340617E-4</v>
      </c>
      <c r="AT12" s="115">
        <v>1.2416930748164174E-2</v>
      </c>
      <c r="AU12" s="115">
        <v>5.635075636357971E-2</v>
      </c>
      <c r="AV12" s="115">
        <v>0.1165361099194355</v>
      </c>
      <c r="AW12" s="115">
        <v>4.8180482602769061E-2</v>
      </c>
      <c r="AX12" s="115">
        <v>1.9481070870704158E-2</v>
      </c>
      <c r="AY12" s="115">
        <v>7.973130334278055E-3</v>
      </c>
      <c r="AZ12" s="115">
        <v>3.5153078373731425E-2</v>
      </c>
      <c r="BA12" s="115">
        <v>4.1551144427301499E-6</v>
      </c>
      <c r="BB12" s="115">
        <v>1.9837306649970181E-10</v>
      </c>
      <c r="BC12" s="115">
        <v>2.8981829001896005E-2</v>
      </c>
      <c r="BD12" s="115">
        <v>3.1586951071376119E-4</v>
      </c>
      <c r="BE12" s="115">
        <v>2.1985018925818538E-2</v>
      </c>
      <c r="BF12" s="115">
        <v>5.4673488743616416E-3</v>
      </c>
      <c r="BG12" s="115">
        <v>1.2273566176498669E-2</v>
      </c>
      <c r="BH12" s="115">
        <v>3.3837735416019797E-4</v>
      </c>
      <c r="BI12" s="115">
        <v>8.6831702797300833E-2</v>
      </c>
      <c r="BJ12" s="115">
        <v>4.6819539335111987E-2</v>
      </c>
      <c r="BK12" s="115">
        <v>9.761993001029953E-6</v>
      </c>
      <c r="BL12" s="115">
        <v>3.6851931659078463E-3</v>
      </c>
      <c r="BM12" s="115">
        <v>4.4730997848126293E-2</v>
      </c>
      <c r="BN12" s="115">
        <v>5.3509597664642167E-2</v>
      </c>
      <c r="BO12" s="115">
        <v>7.9754672613287864E-2</v>
      </c>
      <c r="BP12" s="115">
        <v>9.7310070337941285E-2</v>
      </c>
      <c r="BQ12" s="115">
        <v>2.0438315721855577E-2</v>
      </c>
      <c r="BR12" s="115">
        <v>3.199890793230277E-3</v>
      </c>
      <c r="BS12" s="115">
        <v>1.0820767003743694E-3</v>
      </c>
      <c r="BT12" s="115">
        <v>1.433431142220312E-2</v>
      </c>
      <c r="BU12" s="115">
        <v>9.2913619112489564E-4</v>
      </c>
      <c r="BV12" s="115">
        <v>7.9294881939647691E-2</v>
      </c>
      <c r="BW12" s="115">
        <v>1.3281765303321886E-2</v>
      </c>
      <c r="BX12" s="115">
        <v>1.661545497918814E-3</v>
      </c>
      <c r="BY12" s="115">
        <v>1.3083650890214536E-2</v>
      </c>
      <c r="BZ12" s="115">
        <v>3.2855990588260615E-2</v>
      </c>
      <c r="CA12" s="115">
        <v>1.2820693047581058E-2</v>
      </c>
      <c r="CB12" s="115">
        <v>3.2366017413989719E-4</v>
      </c>
      <c r="CC12" s="115">
        <v>3.0460118072961638E-2</v>
      </c>
      <c r="CD12" s="115">
        <v>9.3989855348447005E-4</v>
      </c>
      <c r="CE12" s="115">
        <v>5.1111733579986218E-2</v>
      </c>
      <c r="CF12" s="115">
        <v>1.3521387373194195E-6</v>
      </c>
      <c r="CG12" s="115">
        <v>2.6579531494690674E-5</v>
      </c>
      <c r="CH12" s="115">
        <v>1.4463227319065712E-4</v>
      </c>
      <c r="CI12" s="115">
        <v>0.10716272817640708</v>
      </c>
      <c r="CJ12" s="115">
        <v>0.11081014137731403</v>
      </c>
      <c r="CK12" s="115">
        <v>1.9749318837293504E-2</v>
      </c>
      <c r="CL12" s="115">
        <v>7.7461145821842636E-3</v>
      </c>
      <c r="CM12" s="115">
        <v>3.0683337473458531E-2</v>
      </c>
      <c r="CN12" s="115">
        <v>7.8019260246995709E-2</v>
      </c>
      <c r="CO12" s="115">
        <v>5.3574094925791976E-6</v>
      </c>
      <c r="CP12" s="115">
        <v>2.7302822902389799E-2</v>
      </c>
      <c r="CQ12" s="115">
        <v>4.1838322981411442E-2</v>
      </c>
      <c r="CR12" s="115">
        <v>1.9931705187186743E-2</v>
      </c>
      <c r="CS12" s="115">
        <v>3.258250361985443E-2</v>
      </c>
      <c r="CT12" s="115">
        <v>9.0929363007849234E-2</v>
      </c>
      <c r="CU12" s="115">
        <v>6.4906989536268084E-2</v>
      </c>
      <c r="CV12" s="115">
        <v>3.8617895760286632E-2</v>
      </c>
      <c r="CW12" s="115">
        <v>6.2248974553959983E-4</v>
      </c>
      <c r="CX12" s="115">
        <v>8.9836729716943654E-3</v>
      </c>
    </row>
    <row r="13" spans="1:102" s="116" customFormat="1">
      <c r="A13" s="254" t="str">
        <f>Parameters!A59</f>
        <v>Commodities</v>
      </c>
      <c r="B13" s="255"/>
      <c r="C13" s="116">
        <v>1.7608969659421093E-2</v>
      </c>
      <c r="D13" s="116">
        <v>4.7658960482324458E-2</v>
      </c>
      <c r="E13" s="116">
        <v>9.1322428088009028E-2</v>
      </c>
      <c r="F13" s="116">
        <v>3.809122681450676E-2</v>
      </c>
      <c r="G13" s="116">
        <v>1.4868970453605553E-8</v>
      </c>
      <c r="H13" s="116">
        <v>8.8579932426494798E-2</v>
      </c>
      <c r="I13" s="116">
        <v>1.6672531139027207E-2</v>
      </c>
      <c r="J13" s="116">
        <v>5.0409534687901665E-2</v>
      </c>
      <c r="K13" s="116">
        <v>1.0275810551373393E-2</v>
      </c>
      <c r="L13" s="116">
        <v>3.0721438388124321E-2</v>
      </c>
      <c r="M13" s="116">
        <v>2.0548317579655639E-2</v>
      </c>
      <c r="N13" s="116">
        <v>5.0375527178295174E-2</v>
      </c>
      <c r="O13" s="116">
        <v>4.7172016154124153E-3</v>
      </c>
      <c r="P13" s="116">
        <v>2.8500527863118068E-2</v>
      </c>
      <c r="Q13" s="116">
        <v>3.1211281600130127E-2</v>
      </c>
      <c r="R13" s="116">
        <v>3.9173334607773155E-2</v>
      </c>
      <c r="S13" s="116">
        <v>1.2522635516412979E-2</v>
      </c>
      <c r="T13" s="116">
        <v>5.6951150434770604E-4</v>
      </c>
      <c r="U13" s="116">
        <v>7.7798075616467094E-2</v>
      </c>
      <c r="V13" s="116">
        <v>3.60991433947421E-2</v>
      </c>
      <c r="W13" s="116">
        <v>8.9897523825030706E-9</v>
      </c>
      <c r="X13" s="116">
        <v>1.1280447700289421E-6</v>
      </c>
      <c r="Y13" s="116">
        <v>7.5246015652673928E-2</v>
      </c>
      <c r="Z13" s="116">
        <v>0.13971504899009529</v>
      </c>
      <c r="AA13" s="116">
        <v>2.423377627823638E-2</v>
      </c>
      <c r="AB13" s="116">
        <v>3.1210421432576473E-2</v>
      </c>
      <c r="AC13" s="116">
        <v>3.599999779796257E-2</v>
      </c>
      <c r="AD13" s="116">
        <v>5.2288258847818438E-2</v>
      </c>
      <c r="AE13" s="116">
        <v>3.2166697054121955E-7</v>
      </c>
      <c r="AF13" s="116">
        <v>5.7115949871575575E-2</v>
      </c>
      <c r="AG13" s="116">
        <v>9.1658803309121017E-2</v>
      </c>
      <c r="AH13" s="116">
        <v>8.0916460305196253E-2</v>
      </c>
      <c r="AI13" s="116">
        <v>6.1659795413455216E-3</v>
      </c>
      <c r="AJ13" s="116">
        <v>6.0090108070652092E-2</v>
      </c>
      <c r="AK13" s="116">
        <v>2.3553965149620323E-2</v>
      </c>
      <c r="AL13" s="116">
        <v>2.2097968975570242E-2</v>
      </c>
      <c r="AM13" s="116">
        <v>5.5728471770025254E-2</v>
      </c>
      <c r="AN13" s="116">
        <v>0.11744338496909391</v>
      </c>
      <c r="AO13" s="116">
        <v>1.0968709138573181E-2</v>
      </c>
      <c r="AP13" s="116">
        <v>2.5994041569071739E-3</v>
      </c>
      <c r="AQ13" s="116">
        <v>7.0462310639602286E-3</v>
      </c>
      <c r="AR13" s="116">
        <v>5.4889251260659432E-6</v>
      </c>
      <c r="AS13" s="116">
        <v>7.9648075790738019E-3</v>
      </c>
      <c r="AT13" s="116">
        <v>1.464534389734469E-4</v>
      </c>
      <c r="AU13" s="116">
        <v>1.61960769995243E-2</v>
      </c>
      <c r="AV13" s="116">
        <v>2.8751228679920575E-7</v>
      </c>
      <c r="AW13" s="116">
        <v>4.7741563946731375E-2</v>
      </c>
      <c r="AX13" s="116">
        <v>2.5157947898900926E-2</v>
      </c>
      <c r="AY13" s="116">
        <v>5.7163447487716949E-2</v>
      </c>
      <c r="AZ13" s="116">
        <v>2.0766849163765654E-3</v>
      </c>
      <c r="BA13" s="116">
        <v>2.440000503396806E-2</v>
      </c>
      <c r="BB13" s="116">
        <v>3.7903842786522965E-2</v>
      </c>
      <c r="BC13" s="116">
        <v>1.7952418583301755E-2</v>
      </c>
      <c r="BD13" s="116">
        <v>7.0159141141594647E-2</v>
      </c>
      <c r="BE13" s="116">
        <v>6.015496752268145E-2</v>
      </c>
      <c r="BF13" s="116">
        <v>1.9733522170894531E-2</v>
      </c>
      <c r="BG13" s="116">
        <v>7.2323486972067266E-10</v>
      </c>
      <c r="BH13" s="116">
        <v>1.7154628227585999E-5</v>
      </c>
      <c r="BI13" s="116">
        <v>3.9222900959395607E-4</v>
      </c>
      <c r="BJ13" s="116">
        <v>2.1332387964987608E-2</v>
      </c>
      <c r="BK13" s="116">
        <v>1.254002155382078E-3</v>
      </c>
      <c r="BL13" s="116">
        <v>1.4139825818629591E-3</v>
      </c>
      <c r="BM13" s="116">
        <v>6.815958337794422E-12</v>
      </c>
      <c r="BN13" s="116">
        <v>5.4836104224183961E-4</v>
      </c>
      <c r="BO13" s="116">
        <v>1.0635065217476942E-2</v>
      </c>
      <c r="BP13" s="116">
        <v>9.260005050864208E-6</v>
      </c>
      <c r="BQ13" s="116">
        <v>5.0131522605870431E-3</v>
      </c>
      <c r="BR13" s="116">
        <v>3.262611855086843E-2</v>
      </c>
      <c r="BS13" s="116">
        <v>8.3192334245829599E-2</v>
      </c>
      <c r="BT13" s="116">
        <v>1.7946892166982309E-2</v>
      </c>
      <c r="BU13" s="116">
        <v>7.5731745018406765E-2</v>
      </c>
      <c r="BV13" s="116">
        <v>3.5732867084759846E-2</v>
      </c>
      <c r="BW13" s="116">
        <v>7.7987370845041051E-2</v>
      </c>
      <c r="BX13" s="116">
        <v>4.147523258848905E-2</v>
      </c>
      <c r="BY13" s="116">
        <v>8.0455582526593405E-2</v>
      </c>
      <c r="BZ13" s="116">
        <v>0.10293280351857856</v>
      </c>
      <c r="CA13" s="116">
        <v>7.8237546636506491E-2</v>
      </c>
      <c r="CB13" s="116">
        <v>2.183875798030904E-3</v>
      </c>
      <c r="CC13" s="116">
        <v>8.6334777288094036E-2</v>
      </c>
      <c r="CD13" s="116">
        <v>1.2057640708103366E-2</v>
      </c>
      <c r="CE13" s="116">
        <v>1.7251593942819669E-2</v>
      </c>
      <c r="CF13" s="116">
        <v>3.0458152176194701E-6</v>
      </c>
      <c r="CG13" s="116">
        <v>3.9288612646302904E-3</v>
      </c>
      <c r="CH13" s="116">
        <v>0.12880659401438221</v>
      </c>
      <c r="CI13" s="116">
        <v>4.7283632693669343E-2</v>
      </c>
      <c r="CJ13" s="116">
        <v>1.1941357061457046E-2</v>
      </c>
      <c r="CK13" s="116">
        <v>6.4800833163811238E-3</v>
      </c>
      <c r="CL13" s="116">
        <v>5.881972150866574E-2</v>
      </c>
      <c r="CM13" s="116">
        <v>3.7075818230421572E-3</v>
      </c>
      <c r="CN13" s="116">
        <v>8.8138278867070091E-9</v>
      </c>
      <c r="CO13" s="116">
        <v>4.2455460844199489E-2</v>
      </c>
      <c r="CP13" s="116">
        <v>5.9869012005966671E-2</v>
      </c>
      <c r="CQ13" s="116">
        <v>6.5072759099344489E-5</v>
      </c>
      <c r="CR13" s="116">
        <v>4.5743950185603557E-3</v>
      </c>
      <c r="CS13" s="116">
        <v>5.0538487870081493E-3</v>
      </c>
      <c r="CT13" s="116">
        <v>5.8596133277597127E-2</v>
      </c>
      <c r="CU13" s="116">
        <v>6.7819394916968714E-2</v>
      </c>
      <c r="CV13" s="116">
        <v>5.3749658100854085E-6</v>
      </c>
      <c r="CW13" s="116">
        <v>5.5000300890150504E-2</v>
      </c>
      <c r="CX13" s="116">
        <v>1.4916834141695041E-2</v>
      </c>
    </row>
    <row r="15" spans="1:102" s="114" customFormat="1">
      <c r="A15" s="247" t="s">
        <v>140</v>
      </c>
      <c r="B15" s="248"/>
    </row>
    <row r="16" spans="1:102" s="115" customFormat="1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0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0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  <c r="CW16" s="146">
        <v>0</v>
      </c>
      <c r="CX16" s="146">
        <v>0</v>
      </c>
    </row>
    <row r="17" spans="1:102" s="115" customFormat="1">
      <c r="A17" s="252" t="s">
        <v>4</v>
      </c>
      <c r="B17" s="253"/>
      <c r="C17" s="146">
        <v>5.3936516004211989E-2</v>
      </c>
      <c r="D17" s="146">
        <v>3.7275813672368451E-2</v>
      </c>
      <c r="E17" s="146">
        <v>9.9698586831194519E-11</v>
      </c>
      <c r="F17" s="146">
        <v>1.9954193642997083E-4</v>
      </c>
      <c r="G17" s="146">
        <v>1.1131136718638863E-4</v>
      </c>
      <c r="H17" s="146">
        <v>7.7348953381627422E-2</v>
      </c>
      <c r="I17" s="146">
        <v>6.0268879348990018E-3</v>
      </c>
      <c r="J17" s="146">
        <v>9.3515142536793171E-6</v>
      </c>
      <c r="K17" s="146">
        <v>4.8568218654763164E-3</v>
      </c>
      <c r="L17" s="146">
        <v>2.5122655898603546E-2</v>
      </c>
      <c r="M17" s="146">
        <v>2.1709369142377619E-2</v>
      </c>
      <c r="N17" s="146">
        <v>0.11091283594200332</v>
      </c>
      <c r="O17" s="146">
        <v>2.3885406971056115E-2</v>
      </c>
      <c r="P17" s="146">
        <v>6.1071744399986048E-2</v>
      </c>
      <c r="Q17" s="146">
        <v>2.5628482224021279E-3</v>
      </c>
      <c r="R17" s="146">
        <v>8.7902277615143787E-3</v>
      </c>
      <c r="S17" s="146">
        <v>6.7363862163684035E-2</v>
      </c>
      <c r="T17" s="146">
        <v>6.8095875377744086E-2</v>
      </c>
      <c r="U17" s="146">
        <v>8.5921160644220618E-3</v>
      </c>
      <c r="V17" s="146">
        <v>6.7463774690366005E-2</v>
      </c>
      <c r="W17" s="146">
        <v>8.3562366621823411E-2</v>
      </c>
      <c r="X17" s="146">
        <v>6.6928126236734914E-2</v>
      </c>
      <c r="Y17" s="146">
        <v>4.256037382885605E-3</v>
      </c>
      <c r="Z17" s="146">
        <v>2.8196294551406129E-5</v>
      </c>
      <c r="AA17" s="146">
        <v>1.4336292650621852E-4</v>
      </c>
      <c r="AB17" s="146">
        <v>7.0731966347362457E-3</v>
      </c>
      <c r="AC17" s="146">
        <v>2.0426106490829465E-3</v>
      </c>
      <c r="AD17" s="146">
        <v>5.6491862227462025E-2</v>
      </c>
      <c r="AE17" s="146">
        <v>6.1699391482527705E-3</v>
      </c>
      <c r="AF17" s="146">
        <v>2.6169393618737612E-2</v>
      </c>
      <c r="AG17" s="146">
        <v>1.0129064722927664E-2</v>
      </c>
      <c r="AH17" s="146">
        <v>7.046486164971047E-2</v>
      </c>
      <c r="AI17" s="146">
        <v>8.17604337935318E-3</v>
      </c>
      <c r="AJ17" s="146">
        <v>4.2910179294876572E-3</v>
      </c>
      <c r="AK17" s="146">
        <v>2.9991063732767468E-3</v>
      </c>
      <c r="AL17" s="146">
        <v>3.2913430227441497E-2</v>
      </c>
      <c r="AM17" s="146">
        <v>2.4426681685242617E-3</v>
      </c>
      <c r="AN17" s="146">
        <v>1.1866884587744908E-4</v>
      </c>
      <c r="AO17" s="146">
        <v>1.6228150118584659E-6</v>
      </c>
      <c r="AP17" s="146">
        <v>2.2245197543766424E-4</v>
      </c>
      <c r="AQ17" s="146">
        <v>2.6071864883490379E-9</v>
      </c>
      <c r="AR17" s="146">
        <v>2.1608168897994121E-2</v>
      </c>
      <c r="AS17" s="146">
        <v>7.2745002699073132E-3</v>
      </c>
      <c r="AT17" s="146">
        <v>1.7565968409312939E-4</v>
      </c>
      <c r="AU17" s="146">
        <v>0.12180320632510749</v>
      </c>
      <c r="AV17" s="146">
        <v>1.6690260988542819E-2</v>
      </c>
      <c r="AW17" s="146">
        <v>3.5918002261773732E-2</v>
      </c>
      <c r="AX17" s="146">
        <v>3.3140650247625643E-2</v>
      </c>
      <c r="AY17" s="146">
        <v>0.13299686782406672</v>
      </c>
      <c r="AZ17" s="146">
        <v>3.7330156766980871E-4</v>
      </c>
      <c r="BA17" s="146">
        <v>1.8460971988901974E-2</v>
      </c>
      <c r="BB17" s="146">
        <v>2.2057905844489863E-2</v>
      </c>
      <c r="BC17" s="146">
        <v>5.8579231259143216E-2</v>
      </c>
      <c r="BD17" s="146">
        <v>5.5402678771825878E-2</v>
      </c>
      <c r="BE17" s="146">
        <v>0.18745484407339139</v>
      </c>
      <c r="BF17" s="146">
        <v>0.14469462040978079</v>
      </c>
      <c r="BG17" s="146">
        <v>9.7099258298778794E-3</v>
      </c>
      <c r="BH17" s="146">
        <v>1.3419920303930238E-3</v>
      </c>
      <c r="BI17" s="146">
        <v>1.3130247291775615E-2</v>
      </c>
      <c r="BJ17" s="146">
        <v>1.7491665265415596E-7</v>
      </c>
      <c r="BK17" s="146">
        <v>7.1885029228956312E-5</v>
      </c>
      <c r="BL17" s="146">
        <v>6.9640214065128062E-2</v>
      </c>
      <c r="BM17" s="146">
        <v>1.1826735530307236E-3</v>
      </c>
      <c r="BN17" s="146">
        <v>3.4030034606316406E-6</v>
      </c>
      <c r="BO17" s="146">
        <v>1.1267315168641387E-3</v>
      </c>
      <c r="BP17" s="146">
        <v>8.2051510424617419E-2</v>
      </c>
      <c r="BQ17" s="146">
        <v>2.2105523209896904E-2</v>
      </c>
      <c r="BR17" s="146">
        <v>8.3458394937523629E-5</v>
      </c>
      <c r="BS17" s="146">
        <v>4.3187170784034518E-3</v>
      </c>
      <c r="BT17" s="146">
        <v>4.176494091502149E-3</v>
      </c>
      <c r="BU17" s="146">
        <v>0.10111504620096977</v>
      </c>
      <c r="BV17" s="146">
        <v>0.1118112916506664</v>
      </c>
      <c r="BW17" s="146">
        <v>0.23768938603984835</v>
      </c>
      <c r="BX17" s="146">
        <v>5.4455238729711544E-2</v>
      </c>
      <c r="BY17" s="146">
        <v>0.12236604740303555</v>
      </c>
      <c r="BZ17" s="146">
        <v>3.9105342735955917E-3</v>
      </c>
      <c r="CA17" s="146">
        <v>8.6299437373010837E-2</v>
      </c>
      <c r="CB17" s="146">
        <v>9.6678468229663223E-2</v>
      </c>
      <c r="CC17" s="146">
        <v>2.8664460169780488E-2</v>
      </c>
      <c r="CD17" s="146">
        <v>3.6011209424459839E-9</v>
      </c>
      <c r="CE17" s="146">
        <v>0.16527368183496341</v>
      </c>
      <c r="CF17" s="146">
        <v>8.7802147990732174E-2</v>
      </c>
      <c r="CG17" s="146">
        <v>4.804208877169492E-2</v>
      </c>
      <c r="CH17" s="146">
        <v>4.805468989058552E-2</v>
      </c>
      <c r="CI17" s="146">
        <v>0.19152195712348113</v>
      </c>
      <c r="CJ17" s="146">
        <v>1.6067964749756334E-2</v>
      </c>
      <c r="CK17" s="146">
        <v>7.6018635029082028E-10</v>
      </c>
      <c r="CL17" s="146">
        <v>5.0226952071969984E-2</v>
      </c>
      <c r="CM17" s="146">
        <v>0.19749594623764063</v>
      </c>
      <c r="CN17" s="146">
        <v>5.4769172071723253E-4</v>
      </c>
      <c r="CO17" s="146">
        <v>8.856381670932173E-2</v>
      </c>
      <c r="CP17" s="146">
        <v>0.11739168888880799</v>
      </c>
      <c r="CQ17" s="146">
        <v>8.6973762963849774E-2</v>
      </c>
      <c r="CR17" s="146">
        <v>7.9403992875845054E-4</v>
      </c>
      <c r="CS17" s="146">
        <v>0.16943068862469796</v>
      </c>
      <c r="CT17" s="146">
        <v>1.679655781943688E-2</v>
      </c>
      <c r="CU17" s="146">
        <v>0.14397027400098331</v>
      </c>
      <c r="CV17" s="146">
        <v>8.2286179031530545E-5</v>
      </c>
      <c r="CW17" s="146">
        <v>0.23453343528154771</v>
      </c>
      <c r="CX17" s="146">
        <v>3.3650069616069263E-2</v>
      </c>
    </row>
    <row r="18" spans="1:102" s="115" customFormat="1">
      <c r="A18" s="252" t="s">
        <v>175</v>
      </c>
      <c r="B18" s="253"/>
      <c r="C18" s="146">
        <v>0.3173161711603335</v>
      </c>
      <c r="D18" s="146">
        <v>0.34705432898299443</v>
      </c>
      <c r="E18" s="146">
        <v>0.24618878522396706</v>
      </c>
      <c r="F18" s="146">
        <v>0.11440855158141224</v>
      </c>
      <c r="G18" s="146">
        <v>0.38344280429962535</v>
      </c>
      <c r="H18" s="146">
        <v>0.20321271350718731</v>
      </c>
      <c r="I18" s="146">
        <v>0.41199631153318561</v>
      </c>
      <c r="J18" s="146">
        <v>3.2969582297975998E-3</v>
      </c>
      <c r="K18" s="146">
        <v>0.14808676561138567</v>
      </c>
      <c r="L18" s="146">
        <v>0.33818311768485876</v>
      </c>
      <c r="M18" s="146">
        <v>0.29153829046940305</v>
      </c>
      <c r="N18" s="146">
        <v>0.23754336938783072</v>
      </c>
      <c r="O18" s="146">
        <v>0.30711721745109938</v>
      </c>
      <c r="P18" s="146">
        <v>0.44030812668667701</v>
      </c>
      <c r="Q18" s="146">
        <v>0.45358587116632881</v>
      </c>
      <c r="R18" s="146">
        <v>0.12909293369626237</v>
      </c>
      <c r="S18" s="146">
        <v>4.4883892698291475E-2</v>
      </c>
      <c r="T18" s="146">
        <v>0.33639654802153662</v>
      </c>
      <c r="U18" s="146">
        <v>9.6296735958797735E-4</v>
      </c>
      <c r="V18" s="146">
        <v>1.3205287226966327E-7</v>
      </c>
      <c r="W18" s="146">
        <v>7.1852584343122495E-4</v>
      </c>
      <c r="X18" s="146">
        <v>0.33818249209253215</v>
      </c>
      <c r="Y18" s="146">
        <v>8.782453132068305E-3</v>
      </c>
      <c r="Z18" s="146">
        <v>2.1076560860238909E-2</v>
      </c>
      <c r="AA18" s="146">
        <v>2.9453108625215278E-2</v>
      </c>
      <c r="AB18" s="146">
        <v>4.4115168682858411E-4</v>
      </c>
      <c r="AC18" s="146">
        <v>0.18741278614445955</v>
      </c>
      <c r="AD18" s="146">
        <v>0.12169678147558509</v>
      </c>
      <c r="AE18" s="146">
        <v>0.41215093042844669</v>
      </c>
      <c r="AF18" s="146">
        <v>1.9630829533579919E-2</v>
      </c>
      <c r="AG18" s="146">
        <v>0.40233970194139662</v>
      </c>
      <c r="AH18" s="146">
        <v>4.4105380561271646E-4</v>
      </c>
      <c r="AI18" s="146">
        <v>0.1664368592313297</v>
      </c>
      <c r="AJ18" s="146">
        <v>5.4440438736801718E-2</v>
      </c>
      <c r="AK18" s="146">
        <v>8.8910021360246623E-3</v>
      </c>
      <c r="AL18" s="146">
        <v>6.3767215702809836E-4</v>
      </c>
      <c r="AM18" s="146">
        <v>0.13680356712484321</v>
      </c>
      <c r="AN18" s="146">
        <v>8.9556332814917164E-6</v>
      </c>
      <c r="AO18" s="146">
        <v>0.46383068977698066</v>
      </c>
      <c r="AP18" s="146">
        <v>0.28998466990559857</v>
      </c>
      <c r="AQ18" s="146">
        <v>0.23359206943918578</v>
      </c>
      <c r="AR18" s="146">
        <v>0.44971255340854671</v>
      </c>
      <c r="AS18" s="146">
        <v>0.2528651646902082</v>
      </c>
      <c r="AT18" s="146">
        <v>0.35338454512879586</v>
      </c>
      <c r="AU18" s="146">
        <v>2.8067034765292182E-3</v>
      </c>
      <c r="AV18" s="146">
        <v>1.1034084983614877E-3</v>
      </c>
      <c r="AW18" s="146">
        <v>0.44334019055010926</v>
      </c>
      <c r="AX18" s="146">
        <v>0.19381872040664841</v>
      </c>
      <c r="AY18" s="146">
        <v>3.7281636158934589E-7</v>
      </c>
      <c r="AZ18" s="146">
        <v>0.17983729735263482</v>
      </c>
      <c r="BA18" s="146">
        <v>0.45496683707501651</v>
      </c>
      <c r="BB18" s="146">
        <v>0.36535086955987078</v>
      </c>
      <c r="BC18" s="146">
        <v>0.21151096870409392</v>
      </c>
      <c r="BD18" s="146">
        <v>0.14841968639283479</v>
      </c>
      <c r="BE18" s="146">
        <v>7.095744379460164E-3</v>
      </c>
      <c r="BF18" s="146">
        <v>0.28829896029238061</v>
      </c>
      <c r="BG18" s="146">
        <v>0.320637007789699</v>
      </c>
      <c r="BH18" s="146">
        <v>0.36142291723686421</v>
      </c>
      <c r="BI18" s="146">
        <v>0.30913798304327328</v>
      </c>
      <c r="BJ18" s="146">
        <v>0.23170551178569762</v>
      </c>
      <c r="BK18" s="146">
        <v>0.35776235737310347</v>
      </c>
      <c r="BL18" s="146">
        <v>0.40341174392706541</v>
      </c>
      <c r="BM18" s="146">
        <v>0.16587297296120229</v>
      </c>
      <c r="BN18" s="146">
        <v>6.4406696148320758E-2</v>
      </c>
      <c r="BO18" s="146">
        <v>2.7273593171478525E-2</v>
      </c>
      <c r="BP18" s="146">
        <v>7.2513160927675166E-2</v>
      </c>
      <c r="BQ18" s="146">
        <v>0.49783813594245091</v>
      </c>
      <c r="BR18" s="146">
        <v>0.249735921194186</v>
      </c>
      <c r="BS18" s="146">
        <v>0.28344317978452455</v>
      </c>
      <c r="BT18" s="146">
        <v>0.35693880451374438</v>
      </c>
      <c r="BU18" s="146">
        <v>0.34151730985160356</v>
      </c>
      <c r="BV18" s="146">
        <v>2.000189523519786E-3</v>
      </c>
      <c r="BW18" s="146">
        <v>0.24244188729354998</v>
      </c>
      <c r="BX18" s="146">
        <v>0.4817872226664805</v>
      </c>
      <c r="BY18" s="146">
        <v>0.15335297026665459</v>
      </c>
      <c r="BZ18" s="146">
        <v>0.24627321047400677</v>
      </c>
      <c r="CA18" s="146">
        <v>0.14678146916482723</v>
      </c>
      <c r="CB18" s="146">
        <v>0.17616839384956348</v>
      </c>
      <c r="CC18" s="146">
        <v>9.8140600428459068E-2</v>
      </c>
      <c r="CD18" s="146">
        <v>0.40685496774276603</v>
      </c>
      <c r="CE18" s="146">
        <v>0.24350120119366062</v>
      </c>
      <c r="CF18" s="146">
        <v>0.38550537743796948</v>
      </c>
      <c r="CG18" s="146">
        <v>0.39797187197408712</v>
      </c>
      <c r="CH18" s="146">
        <v>8.0280776294182499E-3</v>
      </c>
      <c r="CI18" s="146">
        <v>7.1657932255567774E-3</v>
      </c>
      <c r="CJ18" s="146">
        <v>5.0860625899825575E-2</v>
      </c>
      <c r="CK18" s="146">
        <v>0.33678016730814736</v>
      </c>
      <c r="CL18" s="146">
        <v>0.30795011012530621</v>
      </c>
      <c r="CM18" s="146">
        <v>0.38403745062919475</v>
      </c>
      <c r="CN18" s="146">
        <v>0.36748300990510901</v>
      </c>
      <c r="CO18" s="146">
        <v>0.29685154871463892</v>
      </c>
      <c r="CP18" s="146">
        <v>2.2398476794628537E-3</v>
      </c>
      <c r="CQ18" s="146">
        <v>3.8555271642524487E-2</v>
      </c>
      <c r="CR18" s="146">
        <v>8.5837235329479469E-2</v>
      </c>
      <c r="CS18" s="146">
        <v>0.2846814090166308</v>
      </c>
      <c r="CT18" s="146">
        <v>9.3441714710241271E-9</v>
      </c>
      <c r="CU18" s="146">
        <v>9.3053538205445149E-3</v>
      </c>
      <c r="CV18" s="146">
        <v>0.49238386712862731</v>
      </c>
      <c r="CW18" s="146">
        <v>6.56178441703332E-2</v>
      </c>
      <c r="CX18" s="146">
        <v>0.30620464285764731</v>
      </c>
    </row>
    <row r="19" spans="1:102" s="115" customFormat="1">
      <c r="A19" s="252" t="s">
        <v>176</v>
      </c>
      <c r="B19" s="253"/>
      <c r="C19" s="146">
        <v>0.31235706502185551</v>
      </c>
      <c r="D19" s="146">
        <v>0.36707386893683402</v>
      </c>
      <c r="E19" s="146">
        <v>0.45374042951602911</v>
      </c>
      <c r="F19" s="146">
        <v>0.49917655048194898</v>
      </c>
      <c r="G19" s="146">
        <v>0.26405127808275897</v>
      </c>
      <c r="H19" s="146">
        <v>0.41503498807171513</v>
      </c>
      <c r="I19" s="146">
        <v>0.14180402628596769</v>
      </c>
      <c r="J19" s="146">
        <v>0.44659452084743656</v>
      </c>
      <c r="K19" s="146">
        <v>0.4243930445115473</v>
      </c>
      <c r="L19" s="146">
        <v>0.11952788015146953</v>
      </c>
      <c r="M19" s="146">
        <v>0.33364541589914115</v>
      </c>
      <c r="N19" s="146">
        <v>0.17724926357989357</v>
      </c>
      <c r="O19" s="146">
        <v>0.42084185110298883</v>
      </c>
      <c r="P19" s="146">
        <v>4.7311434098118767E-5</v>
      </c>
      <c r="Q19" s="146">
        <v>2.2132224418749281E-2</v>
      </c>
      <c r="R19" s="146">
        <v>0.45856770664888308</v>
      </c>
      <c r="S19" s="146">
        <v>0.41372563175028676</v>
      </c>
      <c r="T19" s="146">
        <v>0.12314954735429438</v>
      </c>
      <c r="U19" s="146">
        <v>0.41924008836892368</v>
      </c>
      <c r="V19" s="146">
        <v>0.38292777948069129</v>
      </c>
      <c r="W19" s="146">
        <v>0.47075538292945679</v>
      </c>
      <c r="X19" s="146">
        <v>0.28684997041518451</v>
      </c>
      <c r="Y19" s="146">
        <v>0.48633661972267034</v>
      </c>
      <c r="Z19" s="146">
        <v>0.45430458298745552</v>
      </c>
      <c r="AA19" s="146">
        <v>0.311577109170947</v>
      </c>
      <c r="AB19" s="146">
        <v>0.1929391863211333</v>
      </c>
      <c r="AC19" s="146">
        <v>0.22455059810051259</v>
      </c>
      <c r="AD19" s="146">
        <v>0.32210454106241115</v>
      </c>
      <c r="AE19" s="146">
        <v>0.17805929091124284</v>
      </c>
      <c r="AF19" s="146">
        <v>0.19690599220649563</v>
      </c>
      <c r="AG19" s="146">
        <v>0.11708003814811471</v>
      </c>
      <c r="AH19" s="146">
        <v>0.18452013147801205</v>
      </c>
      <c r="AI19" s="146">
        <v>0.18722153091558513</v>
      </c>
      <c r="AJ19" s="146">
        <v>0.11545642238078199</v>
      </c>
      <c r="AK19" s="146">
        <v>0.1522835962474727</v>
      </c>
      <c r="AL19" s="146">
        <v>0.44113555535476262</v>
      </c>
      <c r="AM19" s="146">
        <v>0.13347750204297354</v>
      </c>
      <c r="AN19" s="146">
        <v>0.47029021901304247</v>
      </c>
      <c r="AO19" s="146">
        <v>0.42469737459125578</v>
      </c>
      <c r="AP19" s="146">
        <v>0.24995125981908367</v>
      </c>
      <c r="AQ19" s="146">
        <v>0.19482003369613218</v>
      </c>
      <c r="AR19" s="146">
        <v>0.32062307312814359</v>
      </c>
      <c r="AS19" s="146">
        <v>0.34800680189307065</v>
      </c>
      <c r="AT19" s="146">
        <v>1.7450088976062643E-2</v>
      </c>
      <c r="AU19" s="146">
        <v>0.40055284611369507</v>
      </c>
      <c r="AV19" s="146">
        <v>0.22949841689874173</v>
      </c>
      <c r="AW19" s="146">
        <v>6.0990578195464175E-3</v>
      </c>
      <c r="AX19" s="146">
        <v>0.17190337756071644</v>
      </c>
      <c r="AY19" s="146">
        <v>0.25931363819260467</v>
      </c>
      <c r="AZ19" s="146">
        <v>3.7186278078100939E-2</v>
      </c>
      <c r="BA19" s="146">
        <v>0.1915614657397352</v>
      </c>
      <c r="BB19" s="146">
        <v>0.1800846160750835</v>
      </c>
      <c r="BC19" s="146">
        <v>0.20971121517536323</v>
      </c>
      <c r="BD19" s="146">
        <v>0.15241037793052192</v>
      </c>
      <c r="BE19" s="146">
        <v>0.44809491042021998</v>
      </c>
      <c r="BF19" s="146">
        <v>0.43737359681191867</v>
      </c>
      <c r="BG19" s="146">
        <v>3.9350095284706531E-2</v>
      </c>
      <c r="BH19" s="146">
        <v>8.724985090973142E-4</v>
      </c>
      <c r="BI19" s="146">
        <v>2.1166740698398252E-2</v>
      </c>
      <c r="BJ19" s="146">
        <v>8.4505921422376742E-4</v>
      </c>
      <c r="BK19" s="146">
        <v>1.5379537397998945E-4</v>
      </c>
      <c r="BL19" s="146">
        <v>1.8322246678860704E-2</v>
      </c>
      <c r="BM19" s="146">
        <v>0.49426416040381266</v>
      </c>
      <c r="BN19" s="146">
        <v>0.48725587133575271</v>
      </c>
      <c r="BO19" s="146">
        <v>0.4605838491278097</v>
      </c>
      <c r="BP19" s="146">
        <v>0.19216965728382343</v>
      </c>
      <c r="BQ19" s="146">
        <v>0.12732462577506401</v>
      </c>
      <c r="BR19" s="146">
        <v>0.32537742990119251</v>
      </c>
      <c r="BS19" s="146">
        <v>0.150266023044167</v>
      </c>
      <c r="BT19" s="146">
        <v>0.43474311306430491</v>
      </c>
      <c r="BU19" s="146">
        <v>0.11851952607020992</v>
      </c>
      <c r="BV19" s="146">
        <v>9.468347830432515E-2</v>
      </c>
      <c r="BW19" s="146">
        <v>9.0388389659935231E-2</v>
      </c>
      <c r="BX19" s="146">
        <v>5.066321301746321E-3</v>
      </c>
      <c r="BY19" s="146">
        <v>0.22107766157567296</v>
      </c>
      <c r="BZ19" s="146">
        <v>0.11300769100095921</v>
      </c>
      <c r="CA19" s="146">
        <v>7.2943716832398716E-8</v>
      </c>
      <c r="CB19" s="146">
        <v>0.26129770918286854</v>
      </c>
      <c r="CC19" s="146">
        <v>0.20155974443340213</v>
      </c>
      <c r="CD19" s="146">
        <v>3.4805927339523076E-3</v>
      </c>
      <c r="CE19" s="146">
        <v>0.26645698342179014</v>
      </c>
      <c r="CF19" s="146">
        <v>0.49338547139772115</v>
      </c>
      <c r="CG19" s="146">
        <v>0.30288169912307078</v>
      </c>
      <c r="CH19" s="146">
        <v>0.21303286211708197</v>
      </c>
      <c r="CI19" s="146">
        <v>0.31365441268616129</v>
      </c>
      <c r="CJ19" s="146">
        <v>8.5359192417185911E-2</v>
      </c>
      <c r="CK19" s="146">
        <v>7.7954094140564464E-2</v>
      </c>
      <c r="CL19" s="146">
        <v>4.8470160106056134E-2</v>
      </c>
      <c r="CM19" s="146">
        <v>0.14543207522387538</v>
      </c>
      <c r="CN19" s="146">
        <v>0.13586744449368152</v>
      </c>
      <c r="CO19" s="146">
        <v>0.12612906281587177</v>
      </c>
      <c r="CP19" s="146">
        <v>3.6464632907151531E-2</v>
      </c>
      <c r="CQ19" s="146">
        <v>0.22434230645951647</v>
      </c>
      <c r="CR19" s="146">
        <v>0.11994727786260617</v>
      </c>
      <c r="CS19" s="146">
        <v>2.0439162887292906E-2</v>
      </c>
      <c r="CT19" s="146">
        <v>0.10994314031999197</v>
      </c>
      <c r="CU19" s="146">
        <v>0.39710094749823172</v>
      </c>
      <c r="CV19" s="146">
        <v>3.6622324727567351E-2</v>
      </c>
      <c r="CW19" s="146">
        <v>0.3135648165862962</v>
      </c>
      <c r="CX19" s="146">
        <v>0.22053340527703286</v>
      </c>
    </row>
    <row r="20" spans="1:102" s="115" customFormat="1">
      <c r="A20" s="252" t="s">
        <v>177</v>
      </c>
      <c r="B20" s="253"/>
      <c r="C20" s="146">
        <v>9.8074846212835493E-2</v>
      </c>
      <c r="D20" s="146">
        <v>5.1834104725025525E-2</v>
      </c>
      <c r="E20" s="146">
        <v>6.1414350643120338E-3</v>
      </c>
      <c r="F20" s="146">
        <v>0.11974080187892366</v>
      </c>
      <c r="G20" s="146">
        <v>3.9499278423361428E-2</v>
      </c>
      <c r="H20" s="146">
        <v>1.5790079884805559E-6</v>
      </c>
      <c r="I20" s="146">
        <v>0.30497731473186379</v>
      </c>
      <c r="J20" s="146">
        <v>8.3803967285907791E-2</v>
      </c>
      <c r="K20" s="146">
        <v>0.13798935087596298</v>
      </c>
      <c r="L20" s="146">
        <v>0.18385728541903082</v>
      </c>
      <c r="M20" s="146">
        <v>1.0747742006524619E-2</v>
      </c>
      <c r="N20" s="146">
        <v>3.0811854982100047E-2</v>
      </c>
      <c r="O20" s="146">
        <v>8.0844370263272964E-6</v>
      </c>
      <c r="P20" s="146">
        <v>0.22698783934766745</v>
      </c>
      <c r="Q20" s="146">
        <v>0.25024226757692336</v>
      </c>
      <c r="R20" s="146">
        <v>3.3750771841278252E-3</v>
      </c>
      <c r="S20" s="146">
        <v>1.408323097048614E-2</v>
      </c>
      <c r="T20" s="146">
        <v>0.31000793892398965</v>
      </c>
      <c r="U20" s="146">
        <v>1.5411205512751408E-2</v>
      </c>
      <c r="V20" s="146">
        <v>0.14148006044340744</v>
      </c>
      <c r="W20" s="146">
        <v>0.14173613226158377</v>
      </c>
      <c r="X20" s="146">
        <v>0.14459988351842173</v>
      </c>
      <c r="Y20" s="146">
        <v>3.088061658841899E-3</v>
      </c>
      <c r="Z20" s="146">
        <v>1.5700626724796985E-2</v>
      </c>
      <c r="AA20" s="146">
        <v>0.44215003095521405</v>
      </c>
      <c r="AB20" s="146">
        <v>0.386363255806496</v>
      </c>
      <c r="AC20" s="146">
        <v>5.9133490167822864E-2</v>
      </c>
      <c r="AD20" s="146">
        <v>0.1058105584863217</v>
      </c>
      <c r="AE20" s="146">
        <v>0.23326787347813213</v>
      </c>
      <c r="AF20" s="146">
        <v>0.35038780349837378</v>
      </c>
      <c r="AG20" s="146">
        <v>1.6838081503786493E-4</v>
      </c>
      <c r="AH20" s="146">
        <v>4.6412050788065068E-2</v>
      </c>
      <c r="AI20" s="146">
        <v>0.10060145525133414</v>
      </c>
      <c r="AJ20" s="146">
        <v>0.4273806411887327</v>
      </c>
      <c r="AK20" s="146">
        <v>0.27075624009400551</v>
      </c>
      <c r="AL20" s="146">
        <v>2.3196823648059285E-2</v>
      </c>
      <c r="AM20" s="146">
        <v>0.14791157636871366</v>
      </c>
      <c r="AN20" s="146">
        <v>2.6379245645772958E-2</v>
      </c>
      <c r="AO20" s="146">
        <v>7.2746061542040704E-6</v>
      </c>
      <c r="AP20" s="146">
        <v>0.43390865590031791</v>
      </c>
      <c r="AQ20" s="146">
        <v>0.14071201015422188</v>
      </c>
      <c r="AR20" s="146">
        <v>6.7114217738390818E-3</v>
      </c>
      <c r="AS20" s="146">
        <v>0.1309623191939577</v>
      </c>
      <c r="AT20" s="146">
        <v>0.48966564525242284</v>
      </c>
      <c r="AU20" s="146">
        <v>0.16453943505940108</v>
      </c>
      <c r="AV20" s="146">
        <v>0.28419977350488368</v>
      </c>
      <c r="AW20" s="146">
        <v>9.4777727633788639E-2</v>
      </c>
      <c r="AX20" s="146">
        <v>5.8049257652496201E-6</v>
      </c>
      <c r="AY20" s="146">
        <v>4.3921752185600578E-2</v>
      </c>
      <c r="AZ20" s="146">
        <v>0.48793334419028794</v>
      </c>
      <c r="BA20" s="146">
        <v>0.10208734148548908</v>
      </c>
      <c r="BB20" s="146">
        <v>0.24513202052264688</v>
      </c>
      <c r="BC20" s="146">
        <v>0.11726730220070458</v>
      </c>
      <c r="BD20" s="146">
        <v>8.2499013975626617E-2</v>
      </c>
      <c r="BE20" s="146">
        <v>6.7745590243117751E-4</v>
      </c>
      <c r="BF20" s="146">
        <v>6.2701279710080495E-3</v>
      </c>
      <c r="BG20" s="146">
        <v>0.27457519842676148</v>
      </c>
      <c r="BH20" s="146">
        <v>0.45817195848444475</v>
      </c>
      <c r="BI20" s="146">
        <v>0.2622555719834791</v>
      </c>
      <c r="BJ20" s="146">
        <v>0.28281624868419258</v>
      </c>
      <c r="BK20" s="146">
        <v>0.23879725387214371</v>
      </c>
      <c r="BL20" s="146">
        <v>0.11729949620787426</v>
      </c>
      <c r="BM20" s="146">
        <v>2.5927906558367648E-2</v>
      </c>
      <c r="BN20" s="146">
        <v>0.17125636823571161</v>
      </c>
      <c r="BO20" s="146">
        <v>4.5066725794600693E-2</v>
      </c>
      <c r="BP20" s="146">
        <v>0.20071432883632315</v>
      </c>
      <c r="BQ20" s="146">
        <v>0.23001465520791645</v>
      </c>
      <c r="BR20" s="146">
        <v>0.25941635878544178</v>
      </c>
      <c r="BS20" s="146">
        <v>7.4771533030144549E-3</v>
      </c>
      <c r="BT20" s="146">
        <v>5.2436675371748107E-4</v>
      </c>
      <c r="BU20" s="146">
        <v>0.10970437388911768</v>
      </c>
      <c r="BV20" s="146">
        <v>0.28981529859680355</v>
      </c>
      <c r="BW20" s="146">
        <v>3.5713932550471866E-2</v>
      </c>
      <c r="BX20" s="146">
        <v>0.15217808910322658</v>
      </c>
      <c r="BY20" s="146">
        <v>3.1012095200400477E-2</v>
      </c>
      <c r="BZ20" s="146">
        <v>4.5133021204320126E-2</v>
      </c>
      <c r="CA20" s="146">
        <v>0.24741234484792304</v>
      </c>
      <c r="CB20" s="146">
        <v>9.588627490042799E-2</v>
      </c>
      <c r="CC20" s="146">
        <v>5.7747552104385064E-2</v>
      </c>
      <c r="CD20" s="146">
        <v>0.27662783290207604</v>
      </c>
      <c r="CE20" s="146">
        <v>6.0492299288227797E-3</v>
      </c>
      <c r="CF20" s="146">
        <v>9.7246425490605135E-5</v>
      </c>
      <c r="CG20" s="146">
        <v>0.14083054335106915</v>
      </c>
      <c r="CH20" s="146">
        <v>0.1435538517950937</v>
      </c>
      <c r="CI20" s="146">
        <v>8.29223622583214E-6</v>
      </c>
      <c r="CJ20" s="146">
        <v>0.41644589625375344</v>
      </c>
      <c r="CK20" s="146">
        <v>0.34197006820138987</v>
      </c>
      <c r="CL20" s="146">
        <v>1.7224783161584668E-3</v>
      </c>
      <c r="CM20" s="146">
        <v>0.13952696696650582</v>
      </c>
      <c r="CN20" s="146">
        <v>2.8737626249944831E-2</v>
      </c>
      <c r="CO20" s="146">
        <v>8.299155578811683E-2</v>
      </c>
      <c r="CP20" s="146">
        <v>0.38441897052668822</v>
      </c>
      <c r="CQ20" s="146">
        <v>2.1390054368380934E-4</v>
      </c>
      <c r="CR20" s="146">
        <v>0.27168429779254544</v>
      </c>
      <c r="CS20" s="146">
        <v>0.25538048922001844</v>
      </c>
      <c r="CT20" s="146">
        <v>0.24232795520971512</v>
      </c>
      <c r="CU20" s="146">
        <v>8.5157424548099516E-3</v>
      </c>
      <c r="CV20" s="146">
        <v>2.2464221026260214E-6</v>
      </c>
      <c r="CW20" s="146">
        <v>2.4271847542870596E-4</v>
      </c>
      <c r="CX20" s="146">
        <v>0.30249829780216969</v>
      </c>
    </row>
    <row r="21" spans="1:102" s="115" customFormat="1">
      <c r="A21" s="252" t="s">
        <v>5</v>
      </c>
      <c r="B21" s="253"/>
      <c r="C21" s="146">
        <v>6.9039115974034351E-2</v>
      </c>
      <c r="D21" s="146">
        <v>6.9529380933115026E-5</v>
      </c>
      <c r="E21" s="146">
        <v>1.7208469589719757E-3</v>
      </c>
      <c r="F21" s="146">
        <v>1.1064450268003035E-4</v>
      </c>
      <c r="G21" s="146">
        <v>5.4858163314876286E-2</v>
      </c>
      <c r="H21" s="146">
        <v>5.3150624350007409E-3</v>
      </c>
      <c r="I21" s="146">
        <v>5.8166038714400124E-12</v>
      </c>
      <c r="J21" s="146">
        <v>0.26264740447737156</v>
      </c>
      <c r="K21" s="146">
        <v>3.3299806516338704E-4</v>
      </c>
      <c r="L21" s="146">
        <v>1.3139637321441704E-2</v>
      </c>
      <c r="M21" s="146">
        <v>1.5934488664875228E-2</v>
      </c>
      <c r="N21" s="146">
        <v>3.812907998822785E-2</v>
      </c>
      <c r="O21" s="146">
        <v>0.22381054405346729</v>
      </c>
      <c r="P21" s="146">
        <v>2.2951148649657808E-2</v>
      </c>
      <c r="Q21" s="146">
        <v>2.0970301671920055E-2</v>
      </c>
      <c r="R21" s="146">
        <v>0.10291465496296362</v>
      </c>
      <c r="S21" s="146">
        <v>0.20751101308047767</v>
      </c>
      <c r="T21" s="146">
        <v>5.2220520676836916E-3</v>
      </c>
      <c r="U21" s="146">
        <v>0.3188726076167604</v>
      </c>
      <c r="V21" s="146">
        <v>4.2513342027101558E-5</v>
      </c>
      <c r="W21" s="146">
        <v>7.2893628181363448E-5</v>
      </c>
      <c r="X21" s="146">
        <v>5.7482362099389686E-2</v>
      </c>
      <c r="Y21" s="146">
        <v>3.0941984389350193E-2</v>
      </c>
      <c r="Z21" s="146">
        <v>4.2719303882461056E-3</v>
      </c>
      <c r="AA21" s="146">
        <v>6.9180423230857995E-3</v>
      </c>
      <c r="AB21" s="146">
        <v>8.7463378836199812E-2</v>
      </c>
      <c r="AC21" s="146">
        <v>2.2469202916453494E-2</v>
      </c>
      <c r="AD21" s="146">
        <v>0.16200575454998248</v>
      </c>
      <c r="AE21" s="146">
        <v>2.2725145995835357E-2</v>
      </c>
      <c r="AF21" s="146">
        <v>9.9428592514591851E-3</v>
      </c>
      <c r="AG21" s="146">
        <v>2.030815172325473E-2</v>
      </c>
      <c r="AH21" s="146">
        <v>0.37844295460405791</v>
      </c>
      <c r="AI21" s="146">
        <v>0.340219744400516</v>
      </c>
      <c r="AJ21" s="146">
        <v>2.7773801614683655E-2</v>
      </c>
      <c r="AK21" s="146">
        <v>0.24746698852905585</v>
      </c>
      <c r="AL21" s="146">
        <v>0.30433184233272043</v>
      </c>
      <c r="AM21" s="146">
        <v>0.3449469151523944</v>
      </c>
      <c r="AN21" s="146">
        <v>9.1051044320166405E-3</v>
      </c>
      <c r="AO21" s="146">
        <v>8.8834095087357405E-5</v>
      </c>
      <c r="AP21" s="146">
        <v>7.6335751009529692E-3</v>
      </c>
      <c r="AQ21" s="146">
        <v>1.1294250075568685E-12</v>
      </c>
      <c r="AR21" s="146">
        <v>0.20132361822947883</v>
      </c>
      <c r="AS21" s="146">
        <v>0.22945669461269108</v>
      </c>
      <c r="AT21" s="146">
        <v>8.4554601222741277E-2</v>
      </c>
      <c r="AU21" s="146">
        <v>6.3199974501946907E-2</v>
      </c>
      <c r="AV21" s="146">
        <v>2.4795886196116914E-2</v>
      </c>
      <c r="AW21" s="146">
        <v>4.3310724793082539E-2</v>
      </c>
      <c r="AX21" s="146">
        <v>0.37846178876808972</v>
      </c>
      <c r="AY21" s="146">
        <v>0.36114850814947119</v>
      </c>
      <c r="AZ21" s="146">
        <v>0.13601726258094896</v>
      </c>
      <c r="BA21" s="146">
        <v>5.2523428165811611E-2</v>
      </c>
      <c r="BB21" s="146">
        <v>2.4588534749846549E-4</v>
      </c>
      <c r="BC21" s="146">
        <v>0.16210563014737436</v>
      </c>
      <c r="BD21" s="146">
        <v>0.29783595217601411</v>
      </c>
      <c r="BE21" s="146">
        <v>4.986858969532585E-2</v>
      </c>
      <c r="BF21" s="146">
        <v>3.6300127617817991E-6</v>
      </c>
      <c r="BG21" s="146">
        <v>0.29181007463722519</v>
      </c>
      <c r="BH21" s="146">
        <v>0.17638078341752206</v>
      </c>
      <c r="BI21" s="146">
        <v>4.248828653929123E-2</v>
      </c>
      <c r="BJ21" s="146">
        <v>0.23864202636255175</v>
      </c>
      <c r="BK21" s="146">
        <v>0.3981311378176759</v>
      </c>
      <c r="BL21" s="146">
        <v>0.3723619997735611</v>
      </c>
      <c r="BM21" s="146">
        <v>9.714077933578362E-2</v>
      </c>
      <c r="BN21" s="146">
        <v>1.0765021604004945E-2</v>
      </c>
      <c r="BO21" s="146">
        <v>0.19662564174325547</v>
      </c>
      <c r="BP21" s="146">
        <v>0.12319871325078664</v>
      </c>
      <c r="BQ21" s="146">
        <v>2.8631545719859923E-2</v>
      </c>
      <c r="BR21" s="146">
        <v>8.8745208571597116E-4</v>
      </c>
      <c r="BS21" s="146">
        <v>0.14783600608613526</v>
      </c>
      <c r="BT21" s="146">
        <v>5.5010779679978391E-4</v>
      </c>
      <c r="BU21" s="146">
        <v>1.2796321283567466E-3</v>
      </c>
      <c r="BV21" s="146">
        <v>8.7709764375566046E-2</v>
      </c>
      <c r="BW21" s="146">
        <v>4.0063219216886761E-3</v>
      </c>
      <c r="BX21" s="146">
        <v>0.10675203788429206</v>
      </c>
      <c r="BY21" s="146">
        <v>0.10878174884378937</v>
      </c>
      <c r="BZ21" s="146">
        <v>6.2105671902026247E-2</v>
      </c>
      <c r="CA21" s="146">
        <v>0.13373706838915592</v>
      </c>
      <c r="CB21" s="146">
        <v>0.35627616098220005</v>
      </c>
      <c r="CC21" s="146">
        <v>6.540055511990747E-4</v>
      </c>
      <c r="CD21" s="146">
        <v>0.24036396752972092</v>
      </c>
      <c r="CE21" s="146">
        <v>4.6000792889345915E-2</v>
      </c>
      <c r="CF21" s="146">
        <v>3.3186596558987952E-2</v>
      </c>
      <c r="CG21" s="146">
        <v>9.7969593817536768E-2</v>
      </c>
      <c r="CH21" s="146">
        <v>0.14391475186614627</v>
      </c>
      <c r="CI21" s="146">
        <v>1.5601557851659405E-4</v>
      </c>
      <c r="CJ21" s="146">
        <v>6.2656556050317788E-4</v>
      </c>
      <c r="CK21" s="146">
        <v>0.1214222151197574</v>
      </c>
      <c r="CL21" s="146">
        <v>0.32267610720105039</v>
      </c>
      <c r="CM21" s="146">
        <v>4.4506998855714207E-3</v>
      </c>
      <c r="CN21" s="146">
        <v>5.652355582527558E-2</v>
      </c>
      <c r="CO21" s="146">
        <v>0.23670518203110791</v>
      </c>
      <c r="CP21" s="146">
        <v>6.1272614031165898E-3</v>
      </c>
      <c r="CQ21" s="146">
        <v>0.48600722852265132</v>
      </c>
      <c r="CR21" s="146">
        <v>0.42564247065042859</v>
      </c>
      <c r="CS21" s="146">
        <v>8.4389219597903312E-2</v>
      </c>
      <c r="CT21" s="146">
        <v>1.1723687781060841E-3</v>
      </c>
      <c r="CU21" s="146">
        <v>9.5881062569370887E-2</v>
      </c>
      <c r="CV21" s="146">
        <v>0.31429409170299888</v>
      </c>
      <c r="CW21" s="146">
        <v>0.15315781982559018</v>
      </c>
      <c r="CX21" s="146">
        <v>1.3148355933869279E-2</v>
      </c>
    </row>
    <row r="22" spans="1:102" s="115" customFormat="1">
      <c r="A22" s="252" t="s">
        <v>178</v>
      </c>
      <c r="B22" s="253"/>
      <c r="C22" s="146">
        <v>8.1578727502633369E-2</v>
      </c>
      <c r="D22" s="146">
        <v>4.9583587063957636E-2</v>
      </c>
      <c r="E22" s="146">
        <v>1.0054978286866774E-6</v>
      </c>
      <c r="F22" s="146">
        <v>6.9613765815254539E-2</v>
      </c>
      <c r="G22" s="146">
        <v>0.25803711658419282</v>
      </c>
      <c r="H22" s="146">
        <v>1.0078555914282436E-6</v>
      </c>
      <c r="I22" s="146">
        <v>7.3407950269797059E-2</v>
      </c>
      <c r="J22" s="146">
        <v>2.1683042083905511E-2</v>
      </c>
      <c r="K22" s="146">
        <v>0.23199037369700864</v>
      </c>
      <c r="L22" s="146">
        <v>0.17866093473289713</v>
      </c>
      <c r="M22" s="146">
        <v>0.26492911747798209</v>
      </c>
      <c r="N22" s="146">
        <v>0.17433407546777666</v>
      </c>
      <c r="O22" s="146">
        <v>2.9297082580818602E-3</v>
      </c>
      <c r="P22" s="146">
        <v>0.13287775456271023</v>
      </c>
      <c r="Q22" s="146">
        <v>9.8514836167824554E-2</v>
      </c>
      <c r="R22" s="146">
        <v>0.15011926163170097</v>
      </c>
      <c r="S22" s="146">
        <v>0.19312270201044637</v>
      </c>
      <c r="T22" s="146">
        <v>0.15512726003466687</v>
      </c>
      <c r="U22" s="146">
        <v>1.6490396639838363E-9</v>
      </c>
      <c r="V22" s="146">
        <v>0.21272438992129836</v>
      </c>
      <c r="W22" s="146">
        <v>0.30315466357010823</v>
      </c>
      <c r="X22" s="146">
        <v>0.10595378318263456</v>
      </c>
      <c r="Y22" s="146">
        <v>3.0150962645155259E-3</v>
      </c>
      <c r="Z22" s="146">
        <v>3.4486768559271762E-2</v>
      </c>
      <c r="AA22" s="146">
        <v>0.1075539110733299</v>
      </c>
      <c r="AB22" s="146">
        <v>0.18461068498260938</v>
      </c>
      <c r="AC22" s="146">
        <v>0.32447890371637561</v>
      </c>
      <c r="AD22" s="146">
        <v>6.0320629532734836E-2</v>
      </c>
      <c r="AE22" s="146">
        <v>0.14762556127291193</v>
      </c>
      <c r="AF22" s="146">
        <v>0.10585245097310331</v>
      </c>
      <c r="AG22" s="146">
        <v>4.9189857823910846E-2</v>
      </c>
      <c r="AH22" s="146">
        <v>8.2740850219803833E-3</v>
      </c>
      <c r="AI22" s="146">
        <v>0.16968979933450759</v>
      </c>
      <c r="AJ22" s="146">
        <v>8.9223392770193283E-2</v>
      </c>
      <c r="AK22" s="146">
        <v>0.23483492839609249</v>
      </c>
      <c r="AL22" s="146">
        <v>9.3192920277988603E-2</v>
      </c>
      <c r="AM22" s="146">
        <v>1.4800928290576564E-3</v>
      </c>
      <c r="AN22" s="146">
        <v>6.1314018786638958E-3</v>
      </c>
      <c r="AO22" s="146">
        <v>6.8383752152292282E-2</v>
      </c>
      <c r="AP22" s="146">
        <v>2.7422524211873408E-3</v>
      </c>
      <c r="AQ22" s="146">
        <v>0.39273260297697321</v>
      </c>
      <c r="AR22" s="146">
        <v>5.3704592757355465E-7</v>
      </c>
      <c r="AS22" s="146">
        <v>1.2484567402242268E-3</v>
      </c>
      <c r="AT22" s="146">
        <v>5.4131003121841062E-2</v>
      </c>
      <c r="AU22" s="146">
        <v>0.19193325505332537</v>
      </c>
      <c r="AV22" s="146">
        <v>0.44371115921051668</v>
      </c>
      <c r="AW22" s="146">
        <v>0.18913866421141268</v>
      </c>
      <c r="AX22" s="146">
        <v>9.7176047090508436E-2</v>
      </c>
      <c r="AY22" s="146">
        <v>2.4801833925179411E-2</v>
      </c>
      <c r="AZ22" s="146">
        <v>0.14980284171501279</v>
      </c>
      <c r="BA22" s="146">
        <v>3.0715355750601659E-5</v>
      </c>
      <c r="BB22" s="146">
        <v>9.7935437812109998E-10</v>
      </c>
      <c r="BC22" s="146">
        <v>0.14870948698477279</v>
      </c>
      <c r="BD22" s="146">
        <v>1.180705444614012E-3</v>
      </c>
      <c r="BE22" s="146">
        <v>8.2118222720173814E-2</v>
      </c>
      <c r="BF22" s="146">
        <v>2.6762846460225476E-2</v>
      </c>
      <c r="BG22" s="146">
        <v>6.3917694265301195E-2</v>
      </c>
      <c r="BH22" s="146">
        <v>1.7225239742496149E-3</v>
      </c>
      <c r="BI22" s="146">
        <v>0.35023909925782748</v>
      </c>
      <c r="BJ22" s="146">
        <v>0.1689927897178306</v>
      </c>
      <c r="BK22" s="146">
        <v>3.926822899300423E-5</v>
      </c>
      <c r="BL22" s="146">
        <v>1.3705569254447859E-2</v>
      </c>
      <c r="BM22" s="146">
        <v>0.21561150715494853</v>
      </c>
      <c r="BN22" s="146">
        <v>0.26361117849762439</v>
      </c>
      <c r="BO22" s="146">
        <v>0.23763543060170927</v>
      </c>
      <c r="BP22" s="146">
        <v>0.32932129113459913</v>
      </c>
      <c r="BQ22" s="146">
        <v>7.5553576880959789E-2</v>
      </c>
      <c r="BR22" s="146">
        <v>1.4692678867514344E-2</v>
      </c>
      <c r="BS22" s="146">
        <v>5.2214680370037281E-3</v>
      </c>
      <c r="BT22" s="146">
        <v>9.0170964056143235E-2</v>
      </c>
      <c r="BU22" s="146">
        <v>3.9737400261194867E-3</v>
      </c>
      <c r="BV22" s="146">
        <v>0.28537890833776086</v>
      </c>
      <c r="BW22" s="146">
        <v>5.6719085545103194E-2</v>
      </c>
      <c r="BX22" s="146">
        <v>7.6944119379204453E-3</v>
      </c>
      <c r="BY22" s="146">
        <v>5.083132018292405E-2</v>
      </c>
      <c r="BZ22" s="146">
        <v>0.12813680846505998</v>
      </c>
      <c r="CA22" s="146">
        <v>5.431505967169014E-2</v>
      </c>
      <c r="CB22" s="146">
        <v>1.7674228809560725E-3</v>
      </c>
      <c r="CC22" s="146">
        <v>0.15993138177070743</v>
      </c>
      <c r="CD22" s="146">
        <v>5.255218207123314E-3</v>
      </c>
      <c r="CE22" s="146">
        <v>0.20389726368265632</v>
      </c>
      <c r="CF22" s="146">
        <v>7.1205358592219459E-6</v>
      </c>
      <c r="CG22" s="146">
        <v>8.2681037845469898E-5</v>
      </c>
      <c r="CH22" s="146">
        <v>4.9733711072759033E-4</v>
      </c>
      <c r="CI22" s="146">
        <v>0.33824776613552848</v>
      </c>
      <c r="CJ22" s="146">
        <v>0.3887467994635363</v>
      </c>
      <c r="CK22" s="146">
        <v>9.1764108690990442E-2</v>
      </c>
      <c r="CL22" s="146">
        <v>3.1297586154217391E-2</v>
      </c>
      <c r="CM22" s="146">
        <v>0.11514362808808644</v>
      </c>
      <c r="CN22" s="146">
        <v>0.4108406253926476</v>
      </c>
      <c r="CO22" s="146">
        <v>2.1292811021916351E-5</v>
      </c>
      <c r="CP22" s="146">
        <v>0.14199474221115901</v>
      </c>
      <c r="CQ22" s="146">
        <v>0.16365299404753375</v>
      </c>
      <c r="CR22" s="146">
        <v>7.8157307142582566E-2</v>
      </c>
      <c r="CS22" s="146">
        <v>0.16074585610730338</v>
      </c>
      <c r="CT22" s="146">
        <v>0.38296928757106141</v>
      </c>
      <c r="CU22" s="146">
        <v>0.16882566855086653</v>
      </c>
      <c r="CV22" s="146">
        <v>0.15659338865654385</v>
      </c>
      <c r="CW22" s="146">
        <v>2.606260947604837E-3</v>
      </c>
      <c r="CX22" s="146">
        <v>4.6595792613963467E-2</v>
      </c>
    </row>
    <row r="23" spans="1:102" s="115" customFormat="1">
      <c r="A23" s="252" t="s">
        <v>6</v>
      </c>
      <c r="B23" s="253"/>
      <c r="C23" s="146">
        <v>6.7697558124095253E-2</v>
      </c>
      <c r="D23" s="146">
        <v>0.14710876723788618</v>
      </c>
      <c r="E23" s="146">
        <v>0.29220749763919229</v>
      </c>
      <c r="F23" s="146">
        <v>0.19675014380335007</v>
      </c>
      <c r="G23" s="146">
        <v>4.7927998483009001E-8</v>
      </c>
      <c r="H23" s="146">
        <v>0.29908569574088917</v>
      </c>
      <c r="I23" s="146">
        <v>6.1787509238469859E-2</v>
      </c>
      <c r="J23" s="146">
        <v>0.18196475556132691</v>
      </c>
      <c r="K23" s="146">
        <v>5.2350645373455088E-2</v>
      </c>
      <c r="L23" s="146">
        <v>0.14150848879169789</v>
      </c>
      <c r="M23" s="146">
        <v>6.1495576339695809E-2</v>
      </c>
      <c r="N23" s="146">
        <v>0.23101952065216733</v>
      </c>
      <c r="O23" s="146">
        <v>2.1407187726279787E-2</v>
      </c>
      <c r="P23" s="146">
        <v>0.11575607491920263</v>
      </c>
      <c r="Q23" s="146">
        <v>0.15199165077585144</v>
      </c>
      <c r="R23" s="146">
        <v>0.14714013811454726</v>
      </c>
      <c r="S23" s="146">
        <v>5.9309667326327094E-2</v>
      </c>
      <c r="T23" s="146">
        <v>2.0007782200843855E-3</v>
      </c>
      <c r="U23" s="146">
        <v>0.2369210134285146</v>
      </c>
      <c r="V23" s="146">
        <v>0.19536135006933697</v>
      </c>
      <c r="W23" s="146">
        <v>3.5145414681345052E-8</v>
      </c>
      <c r="X23" s="146">
        <v>3.382455102255268E-6</v>
      </c>
      <c r="Y23" s="146">
        <v>0.46357974744966757</v>
      </c>
      <c r="Z23" s="146">
        <v>0.47013133418543906</v>
      </c>
      <c r="AA23" s="146">
        <v>0.10220443492570126</v>
      </c>
      <c r="AB23" s="146">
        <v>0.14110914573199632</v>
      </c>
      <c r="AC23" s="146">
        <v>0.17991240830529254</v>
      </c>
      <c r="AD23" s="146">
        <v>0.17156987266550228</v>
      </c>
      <c r="AE23" s="146">
        <v>1.2587651778753176E-6</v>
      </c>
      <c r="AF23" s="146">
        <v>0.29111067091824994</v>
      </c>
      <c r="AG23" s="146">
        <v>0.40078480482535705</v>
      </c>
      <c r="AH23" s="146">
        <v>0.31144486265256111</v>
      </c>
      <c r="AI23" s="146">
        <v>2.7654567487373865E-2</v>
      </c>
      <c r="AJ23" s="146">
        <v>0.28143428537931847</v>
      </c>
      <c r="AK23" s="146">
        <v>8.27681382240716E-2</v>
      </c>
      <c r="AL23" s="146">
        <v>0.10459175600199901</v>
      </c>
      <c r="AM23" s="146">
        <v>0.2329376783134928</v>
      </c>
      <c r="AN23" s="146">
        <v>0.48796640455134466</v>
      </c>
      <c r="AO23" s="146">
        <v>4.2990451963217421E-2</v>
      </c>
      <c r="AP23" s="146">
        <v>1.5557134877421214E-2</v>
      </c>
      <c r="AQ23" s="146">
        <v>3.8143281125170278E-2</v>
      </c>
      <c r="AR23" s="146">
        <v>2.0627516069656848E-5</v>
      </c>
      <c r="AS23" s="146">
        <v>3.0186062599940208E-2</v>
      </c>
      <c r="AT23" s="146">
        <v>6.3845661404273422E-4</v>
      </c>
      <c r="AU23" s="146">
        <v>5.5164579469994555E-2</v>
      </c>
      <c r="AV23" s="146">
        <v>1.0947028363237481E-6</v>
      </c>
      <c r="AW23" s="146">
        <v>0.18741563273028622</v>
      </c>
      <c r="AX23" s="146">
        <v>0.12549361100064552</v>
      </c>
      <c r="AY23" s="146">
        <v>0.17781702690671544</v>
      </c>
      <c r="AZ23" s="146">
        <v>8.8496745153443385E-3</v>
      </c>
      <c r="BA23" s="146">
        <v>0.18036924018929434</v>
      </c>
      <c r="BB23" s="146">
        <v>0.18712870167105541</v>
      </c>
      <c r="BC23" s="146">
        <v>9.2116165528547317E-2</v>
      </c>
      <c r="BD23" s="146">
        <v>0.26225158530856219</v>
      </c>
      <c r="BE23" s="146">
        <v>0.22469023280899725</v>
      </c>
      <c r="BF23" s="146">
        <v>9.6596218041924142E-2</v>
      </c>
      <c r="BG23" s="146">
        <v>3.7664281611425179E-9</v>
      </c>
      <c r="BH23" s="146">
        <v>8.7326347428576912E-5</v>
      </c>
      <c r="BI23" s="146">
        <v>1.5820711859545293E-3</v>
      </c>
      <c r="BJ23" s="146">
        <v>7.6998189318850732E-2</v>
      </c>
      <c r="BK23" s="146">
        <v>5.0443023048745185E-3</v>
      </c>
      <c r="BL23" s="146">
        <v>5.2587300930619354E-3</v>
      </c>
      <c r="BM23" s="146">
        <v>3.2854153061974499E-11</v>
      </c>
      <c r="BN23" s="146">
        <v>2.7014611751243786E-3</v>
      </c>
      <c r="BO23" s="146">
        <v>3.1688028044281981E-2</v>
      </c>
      <c r="BP23" s="146">
        <v>3.1338142174525805E-5</v>
      </c>
      <c r="BQ23" s="146">
        <v>1.8531937263851658E-2</v>
      </c>
      <c r="BR23" s="146">
        <v>0.14980670077101135</v>
      </c>
      <c r="BS23" s="146">
        <v>0.4014374526667509</v>
      </c>
      <c r="BT23" s="146">
        <v>0.11289614972378746</v>
      </c>
      <c r="BU23" s="146">
        <v>0.32389037183362229</v>
      </c>
      <c r="BV23" s="146">
        <v>0.12860106921135772</v>
      </c>
      <c r="BW23" s="146">
        <v>0.33304099698940215</v>
      </c>
      <c r="BX23" s="146">
        <v>0.19206667837662209</v>
      </c>
      <c r="BY23" s="146">
        <v>0.31257815652752252</v>
      </c>
      <c r="BZ23" s="146">
        <v>0.40143306268003159</v>
      </c>
      <c r="CA23" s="146">
        <v>0.33145454760967541</v>
      </c>
      <c r="CB23" s="146">
        <v>1.1925569974320252E-2</v>
      </c>
      <c r="CC23" s="146">
        <v>0.45330225554206632</v>
      </c>
      <c r="CD23" s="146">
        <v>6.7417417283239855E-2</v>
      </c>
      <c r="CE23" s="146">
        <v>6.882084704876032E-2</v>
      </c>
      <c r="CF23" s="146">
        <v>1.6039653239000395E-5</v>
      </c>
      <c r="CG23" s="146">
        <v>1.2221521924695543E-2</v>
      </c>
      <c r="CH23" s="146">
        <v>0.44291842959094635</v>
      </c>
      <c r="CI23" s="146">
        <v>0.14924576301452952</v>
      </c>
      <c r="CJ23" s="146">
        <v>4.1892955655438845E-2</v>
      </c>
      <c r="CK23" s="146">
        <v>3.0109345778963691E-2</v>
      </c>
      <c r="CL23" s="146">
        <v>0.237656606025241</v>
      </c>
      <c r="CM23" s="146">
        <v>1.3913232969125125E-2</v>
      </c>
      <c r="CN23" s="146">
        <v>4.6412623621579421E-8</v>
      </c>
      <c r="CO23" s="146">
        <v>0.16873754112992051</v>
      </c>
      <c r="CP23" s="146">
        <v>0.31136285638361322</v>
      </c>
      <c r="CQ23" s="146">
        <v>2.5453582024004826E-4</v>
      </c>
      <c r="CR23" s="146">
        <v>1.7937371293598982E-2</v>
      </c>
      <c r="CS23" s="146">
        <v>2.4933174546152671E-2</v>
      </c>
      <c r="CT23" s="146">
        <v>0.24679068095751663</v>
      </c>
      <c r="CU23" s="146">
        <v>0.17640095110519274</v>
      </c>
      <c r="CV23" s="146">
        <v>2.1795183128022722E-5</v>
      </c>
      <c r="CW23" s="146">
        <v>0.23027710471319868</v>
      </c>
      <c r="CX23" s="146">
        <v>7.736943589924776E-2</v>
      </c>
    </row>
    <row r="24" spans="1:102" s="115" customFormat="1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16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6" spans="1:102" s="121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247" t="s">
        <v>131</v>
      </c>
      <c r="B27" s="248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4"/>
      <c r="CC27" s="114"/>
      <c r="CD27" s="114"/>
      <c r="CE27" s="114"/>
      <c r="CF27" s="114"/>
      <c r="CG27" s="114"/>
      <c r="CH27" s="114"/>
      <c r="CI27" s="114"/>
      <c r="CJ27" s="114"/>
      <c r="CK27" s="114"/>
      <c r="CL27" s="114"/>
      <c r="CM27" s="114"/>
      <c r="CN27" s="114"/>
      <c r="CO27" s="114"/>
      <c r="CP27" s="114"/>
      <c r="CQ27" s="114"/>
      <c r="CR27" s="114"/>
      <c r="CS27" s="114"/>
      <c r="CT27" s="114"/>
      <c r="CU27" s="114"/>
      <c r="CV27" s="114"/>
      <c r="CW27" s="114"/>
      <c r="CX27" s="114"/>
    </row>
    <row r="28" spans="1:102">
      <c r="A28" s="250" t="str">
        <f t="shared" ref="A28:A37" si="0">A4</f>
        <v>Nominale matching</v>
      </c>
      <c r="B28" s="251"/>
      <c r="C28" s="117">
        <v>-0.1</v>
      </c>
      <c r="D28" s="117">
        <v>-0.1</v>
      </c>
      <c r="E28" s="117">
        <v>-0.1</v>
      </c>
      <c r="F28" s="117">
        <v>-0.1</v>
      </c>
      <c r="G28" s="117">
        <v>-0.1</v>
      </c>
      <c r="H28" s="117">
        <v>-0.1</v>
      </c>
      <c r="I28" s="117">
        <v>-0.1</v>
      </c>
      <c r="J28" s="117">
        <v>-0.1</v>
      </c>
      <c r="K28" s="117">
        <v>-0.1</v>
      </c>
      <c r="L28" s="117">
        <v>-0.1</v>
      </c>
      <c r="M28" s="117">
        <v>-0.1</v>
      </c>
      <c r="N28" s="117">
        <v>-0.1</v>
      </c>
      <c r="O28" s="117">
        <v>-0.1</v>
      </c>
      <c r="P28" s="117">
        <v>-0.1</v>
      </c>
      <c r="Q28" s="117">
        <v>-0.1</v>
      </c>
      <c r="R28" s="117">
        <v>-0.1</v>
      </c>
      <c r="S28" s="117">
        <v>-0.1</v>
      </c>
      <c r="T28" s="117">
        <v>-0.1</v>
      </c>
      <c r="U28" s="117">
        <v>-0.1</v>
      </c>
      <c r="V28" s="117">
        <v>-0.1</v>
      </c>
      <c r="W28" s="117">
        <v>-0.1</v>
      </c>
      <c r="X28" s="117">
        <v>-0.1</v>
      </c>
      <c r="Y28" s="117">
        <v>-0.1</v>
      </c>
      <c r="Z28" s="117">
        <v>-0.1</v>
      </c>
      <c r="AA28" s="117">
        <v>-0.1</v>
      </c>
      <c r="AB28" s="117">
        <v>-0.1</v>
      </c>
      <c r="AC28" s="117">
        <v>-0.1</v>
      </c>
      <c r="AD28" s="117">
        <v>-0.1</v>
      </c>
      <c r="AE28" s="117">
        <v>-0.1</v>
      </c>
      <c r="AF28" s="117">
        <v>-0.1</v>
      </c>
      <c r="AG28" s="117">
        <v>-0.1</v>
      </c>
      <c r="AH28" s="117">
        <v>-0.1</v>
      </c>
      <c r="AI28" s="117">
        <v>-0.1</v>
      </c>
      <c r="AJ28" s="117">
        <v>-0.1</v>
      </c>
      <c r="AK28" s="117">
        <v>-0.1</v>
      </c>
      <c r="AL28" s="117">
        <v>-0.1</v>
      </c>
      <c r="AM28" s="117">
        <v>-0.1</v>
      </c>
      <c r="AN28" s="117">
        <v>-0.1</v>
      </c>
      <c r="AO28" s="117">
        <v>-0.1</v>
      </c>
      <c r="AP28" s="117">
        <v>-0.1</v>
      </c>
      <c r="AQ28" s="117">
        <v>-0.1</v>
      </c>
      <c r="AR28" s="117">
        <v>-0.1</v>
      </c>
      <c r="AS28" s="117">
        <v>-0.1</v>
      </c>
      <c r="AT28" s="117">
        <v>-0.1</v>
      </c>
      <c r="AU28" s="117">
        <v>-0.1</v>
      </c>
      <c r="AV28" s="117">
        <v>-0.1</v>
      </c>
      <c r="AW28" s="117">
        <v>-0.1</v>
      </c>
      <c r="AX28" s="117">
        <v>-0.1</v>
      </c>
      <c r="AY28" s="117">
        <v>-0.1</v>
      </c>
      <c r="AZ28" s="117">
        <v>-0.1</v>
      </c>
      <c r="BA28" s="117">
        <v>-0.1</v>
      </c>
      <c r="BB28" s="117">
        <v>-0.1</v>
      </c>
      <c r="BC28" s="117">
        <v>-0.1</v>
      </c>
      <c r="BD28" s="117">
        <v>-0.1</v>
      </c>
      <c r="BE28" s="117">
        <v>-0.1</v>
      </c>
      <c r="BF28" s="117">
        <v>-0.1</v>
      </c>
      <c r="BG28" s="117">
        <v>-0.1</v>
      </c>
      <c r="BH28" s="117">
        <v>-0.1</v>
      </c>
      <c r="BI28" s="117">
        <v>-0.1</v>
      </c>
      <c r="BJ28" s="117">
        <v>-0.1</v>
      </c>
      <c r="BK28" s="117">
        <v>-0.1</v>
      </c>
      <c r="BL28" s="117">
        <v>-0.1</v>
      </c>
      <c r="BM28" s="117">
        <v>-0.1</v>
      </c>
      <c r="BN28" s="117">
        <v>-0.1</v>
      </c>
      <c r="BO28" s="117">
        <v>-0.1</v>
      </c>
      <c r="BP28" s="117">
        <v>-0.1</v>
      </c>
      <c r="BQ28" s="117">
        <v>-0.1</v>
      </c>
      <c r="BR28" s="117">
        <v>-0.1</v>
      </c>
      <c r="BS28" s="117">
        <v>-0.1</v>
      </c>
      <c r="BT28" s="117">
        <v>-0.1</v>
      </c>
      <c r="BU28" s="117">
        <v>-0.1</v>
      </c>
      <c r="BV28" s="117">
        <v>-0.1</v>
      </c>
      <c r="BW28" s="117">
        <v>-0.1</v>
      </c>
      <c r="BX28" s="117">
        <v>-0.1</v>
      </c>
      <c r="BY28" s="117">
        <v>-0.1</v>
      </c>
      <c r="BZ28" s="117">
        <v>-0.1</v>
      </c>
      <c r="CA28" s="117">
        <v>-0.1</v>
      </c>
      <c r="CB28" s="117">
        <v>-0.1</v>
      </c>
      <c r="CC28" s="117">
        <v>-0.1</v>
      </c>
      <c r="CD28" s="117">
        <v>-0.1</v>
      </c>
      <c r="CE28" s="117">
        <v>-0.1</v>
      </c>
      <c r="CF28" s="117">
        <v>-0.1</v>
      </c>
      <c r="CG28" s="117">
        <v>-0.1</v>
      </c>
      <c r="CH28" s="117">
        <v>-0.1</v>
      </c>
      <c r="CI28" s="117">
        <v>-0.1</v>
      </c>
      <c r="CJ28" s="117">
        <v>-0.1</v>
      </c>
      <c r="CK28" s="117">
        <v>-0.1</v>
      </c>
      <c r="CL28" s="117">
        <v>-0.1</v>
      </c>
      <c r="CM28" s="117">
        <v>-0.1</v>
      </c>
      <c r="CN28" s="117">
        <v>-0.1</v>
      </c>
      <c r="CO28" s="117">
        <v>-0.1</v>
      </c>
      <c r="CP28" s="117">
        <v>-0.1</v>
      </c>
      <c r="CQ28" s="117">
        <v>-0.1</v>
      </c>
      <c r="CR28" s="117">
        <v>-0.1</v>
      </c>
      <c r="CS28" s="117">
        <v>-0.1</v>
      </c>
      <c r="CT28" s="117">
        <v>-0.1</v>
      </c>
      <c r="CU28" s="117">
        <v>-0.1</v>
      </c>
      <c r="CV28" s="117">
        <v>-0.1</v>
      </c>
      <c r="CW28" s="117">
        <v>-0.1</v>
      </c>
      <c r="CX28" s="117">
        <v>-0.1</v>
      </c>
    </row>
    <row r="29" spans="1:102" s="131" customFormat="1">
      <c r="A29" s="252" t="str">
        <f t="shared" si="0"/>
        <v>Reele matching</v>
      </c>
      <c r="B29" s="253"/>
      <c r="C29" s="117">
        <v>-5.908450012161795E-3</v>
      </c>
      <c r="D29" s="117">
        <v>-1.7814453654716858E-2</v>
      </c>
      <c r="E29" s="117">
        <v>-1.7750949091587073E-2</v>
      </c>
      <c r="F29" s="117">
        <v>7.9309307444211385E-4</v>
      </c>
      <c r="G29" s="117">
        <v>-1.3654444508435087E-2</v>
      </c>
      <c r="H29" s="117">
        <v>-1.2526589509320965E-2</v>
      </c>
      <c r="I29" s="117">
        <v>-1.1875042560649113E-2</v>
      </c>
      <c r="J29" s="117">
        <v>-7.8874861471759372E-3</v>
      </c>
      <c r="K29" s="117">
        <v>1.4729793957581339E-3</v>
      </c>
      <c r="L29" s="117">
        <v>-1.8363122228146345E-3</v>
      </c>
      <c r="M29" s="117">
        <v>-1.6506633079663324E-2</v>
      </c>
      <c r="N29" s="117">
        <v>-8.5805713765209346E-4</v>
      </c>
      <c r="O29" s="117">
        <v>-1.5571242961952281E-4</v>
      </c>
      <c r="P29" s="117">
        <v>-7.3548280201941041E-3</v>
      </c>
      <c r="Q29" s="117">
        <v>-2.2068979696175522E-3</v>
      </c>
      <c r="R29" s="117">
        <v>-4.4595859902619162E-3</v>
      </c>
      <c r="S29" s="117">
        <v>1.3148186164852749E-3</v>
      </c>
      <c r="T29" s="117">
        <v>-1.1361978772879006E-2</v>
      </c>
      <c r="U29" s="117">
        <v>-1.4903430082959371E-2</v>
      </c>
      <c r="V29" s="117">
        <v>2.963944819424677E-3</v>
      </c>
      <c r="W29" s="117">
        <v>-4.5072632829130932E-3</v>
      </c>
      <c r="X29" s="117">
        <v>-1.7582543937535958E-2</v>
      </c>
      <c r="Y29" s="117">
        <v>3.6719022978383836E-3</v>
      </c>
      <c r="Z29" s="117">
        <v>-1.637582624156618E-2</v>
      </c>
      <c r="AA29" s="117">
        <v>-7.4716163138925512E-3</v>
      </c>
      <c r="AB29" s="117">
        <v>-2.0545123708560487E-3</v>
      </c>
      <c r="AC29" s="117">
        <v>7.9037390395544915E-4</v>
      </c>
      <c r="AD29" s="117">
        <v>-1.0677708750789994E-2</v>
      </c>
      <c r="AE29" s="117">
        <v>-6.1693987963537533E-3</v>
      </c>
      <c r="AF29" s="117">
        <v>-1.709769074784151E-5</v>
      </c>
      <c r="AG29" s="117">
        <v>-7.753421557318646E-3</v>
      </c>
      <c r="AH29" s="117">
        <v>-5.6007043016471775E-3</v>
      </c>
      <c r="AI29" s="117">
        <v>3.0030613217799096E-4</v>
      </c>
      <c r="AJ29" s="117">
        <v>-3.4535346884395635E-3</v>
      </c>
      <c r="AK29" s="117">
        <v>-8.0808270525116743E-3</v>
      </c>
      <c r="AL29" s="117">
        <v>1.7481259970199697E-3</v>
      </c>
      <c r="AM29" s="117">
        <v>-3.6048426989094967E-3</v>
      </c>
      <c r="AN29" s="117">
        <v>-5.8721005241637175E-3</v>
      </c>
      <c r="AO29" s="117">
        <v>-5.1703501724221085E-3</v>
      </c>
      <c r="AP29" s="117">
        <v>8.0573222256695443E-4</v>
      </c>
      <c r="AQ29" s="117">
        <v>2.4104485676776505E-3</v>
      </c>
      <c r="AR29" s="117">
        <v>-6.180057995158833E-3</v>
      </c>
      <c r="AS29" s="117">
        <v>-5.9474559465161891E-3</v>
      </c>
      <c r="AT29" s="117">
        <v>-7.3373711269335284E-3</v>
      </c>
      <c r="AU29" s="117">
        <v>-8.3864180884714035E-3</v>
      </c>
      <c r="AV29" s="117">
        <v>-5.6408260034314095E-3</v>
      </c>
      <c r="AW29" s="117">
        <v>-9.7607951813921678E-3</v>
      </c>
      <c r="AX29" s="117">
        <v>1.8504132939371198E-3</v>
      </c>
      <c r="AY29" s="117">
        <v>-1.0263888528003792E-2</v>
      </c>
      <c r="AZ29" s="117">
        <v>-5.5760658676408115E-3</v>
      </c>
      <c r="BA29" s="117">
        <v>5.4865308618874259E-3</v>
      </c>
      <c r="BB29" s="117">
        <v>-4.1579277338520126E-4</v>
      </c>
      <c r="BC29" s="117">
        <v>3.0137009976149015E-3</v>
      </c>
      <c r="BD29" s="117">
        <v>-6.9364790303511614E-3</v>
      </c>
      <c r="BE29" s="117">
        <v>-3.7784503456145535E-3</v>
      </c>
      <c r="BF29" s="117">
        <v>1.7227098554696563E-3</v>
      </c>
      <c r="BG29" s="117">
        <v>1.3047761817193554E-3</v>
      </c>
      <c r="BH29" s="117">
        <v>-2.2463157764120167E-3</v>
      </c>
      <c r="BI29" s="117">
        <v>-5.2914061190074829E-3</v>
      </c>
      <c r="BJ29" s="117">
        <v>-9.5519273233978935E-3</v>
      </c>
      <c r="BK29" s="117">
        <v>-5.9405343652723652E-3</v>
      </c>
      <c r="BL29" s="117">
        <v>-7.7613093743405526E-3</v>
      </c>
      <c r="BM29" s="117">
        <v>2.3107578997056955E-3</v>
      </c>
      <c r="BN29" s="117">
        <v>1.6113563993880031E-3</v>
      </c>
      <c r="BO29" s="117">
        <v>-1.440231248737063E-2</v>
      </c>
      <c r="BP29" s="117">
        <v>-7.6259115725449272E-3</v>
      </c>
      <c r="BQ29" s="117">
        <v>-1.0432057973486036E-2</v>
      </c>
      <c r="BR29" s="117">
        <v>-1.7837154727103621E-3</v>
      </c>
      <c r="BS29" s="117">
        <v>-2.1171666571258851E-3</v>
      </c>
      <c r="BT29" s="117">
        <v>6.1313983447395942E-3</v>
      </c>
      <c r="BU29" s="117">
        <v>-5.0435199420278409E-3</v>
      </c>
      <c r="BV29" s="117">
        <v>-6.5420637100534473E-3</v>
      </c>
      <c r="BW29" s="117">
        <v>-3.5370351700060587E-3</v>
      </c>
      <c r="BX29" s="117">
        <v>-3.3495841322598308E-3</v>
      </c>
      <c r="BY29" s="117">
        <v>-4.5279298029164E-3</v>
      </c>
      <c r="BZ29" s="117">
        <v>-1.1208527070217272E-2</v>
      </c>
      <c r="CA29" s="117">
        <v>-5.9190691074927498E-3</v>
      </c>
      <c r="CB29" s="117">
        <v>3.3547292852244698E-3</v>
      </c>
      <c r="CC29" s="117">
        <v>7.3839701875848263E-4</v>
      </c>
      <c r="CD29" s="117">
        <v>1.9840392192202044E-3</v>
      </c>
      <c r="CE29" s="117">
        <v>-9.7666028278776962E-4</v>
      </c>
      <c r="CF29" s="117">
        <v>2.528498241538682E-3</v>
      </c>
      <c r="CG29" s="117">
        <v>-1.8351731355199324E-2</v>
      </c>
      <c r="CH29" s="117">
        <v>-1.4911374429719432E-2</v>
      </c>
      <c r="CI29" s="117">
        <v>-8.8337472543143919E-3</v>
      </c>
      <c r="CJ29" s="117">
        <v>-1.0068720203040643E-2</v>
      </c>
      <c r="CK29" s="117">
        <v>-1.1699263640063823E-3</v>
      </c>
      <c r="CL29" s="117">
        <v>-6.2633944054176216E-3</v>
      </c>
      <c r="CM29" s="117">
        <v>-5.7452949608599035E-3</v>
      </c>
      <c r="CN29" s="117">
        <v>8.3581570565111063E-4</v>
      </c>
      <c r="CO29" s="117">
        <v>-4.0983091313653713E-3</v>
      </c>
      <c r="CP29" s="117">
        <v>3.9594040467025304E-4</v>
      </c>
      <c r="CQ29" s="117">
        <v>-1.6336582698221885E-3</v>
      </c>
      <c r="CR29" s="117">
        <v>-3.8940587725113524E-3</v>
      </c>
      <c r="CS29" s="117">
        <v>9.9943151211426273E-4</v>
      </c>
      <c r="CT29" s="117">
        <v>-4.1047669012624216E-3</v>
      </c>
      <c r="CU29" s="117">
        <v>-1.9745849277054348E-2</v>
      </c>
      <c r="CV29" s="117">
        <v>-6.0668196402814401E-3</v>
      </c>
      <c r="CW29" s="117">
        <v>-4.3611950828162382E-4</v>
      </c>
      <c r="CX29" s="117">
        <v>1.6451549966033097E-3</v>
      </c>
    </row>
    <row r="30" spans="1:102" s="115" customFormat="1">
      <c r="A30" s="252" t="str">
        <f t="shared" si="0"/>
        <v>Credits</v>
      </c>
      <c r="B30" s="253"/>
      <c r="C30" s="117">
        <v>-7.0049031414860879E-2</v>
      </c>
      <c r="D30" s="117">
        <v>-7.3251188028907982E-2</v>
      </c>
      <c r="E30" s="117">
        <v>-6.9775013650046167E-2</v>
      </c>
      <c r="F30" s="117">
        <v>-6.7505391414265314E-2</v>
      </c>
      <c r="G30" s="117">
        <v>-7.7704362066033983E-2</v>
      </c>
      <c r="H30" s="117">
        <v>-6.6265680567469482E-2</v>
      </c>
      <c r="I30" s="117">
        <v>-6.8783484757621902E-2</v>
      </c>
      <c r="J30" s="117">
        <v>-6.3368769780818318E-2</v>
      </c>
      <c r="K30" s="117">
        <v>-7.0500777256347041E-2</v>
      </c>
      <c r="L30" s="117">
        <v>-6.6502962874193397E-2</v>
      </c>
      <c r="M30" s="117">
        <v>-7.750629527291493E-2</v>
      </c>
      <c r="N30" s="117">
        <v>-6.4809096851687759E-2</v>
      </c>
      <c r="O30" s="117">
        <v>-7.029918982508794E-2</v>
      </c>
      <c r="P30" s="117">
        <v>-6.6045777410868312E-2</v>
      </c>
      <c r="Q30" s="117">
        <v>-6.5378707201790065E-2</v>
      </c>
      <c r="R30" s="117">
        <v>-6.9487886929963688E-2</v>
      </c>
      <c r="S30" s="117">
        <v>-6.7858065921934829E-2</v>
      </c>
      <c r="T30" s="117">
        <v>-6.8662658231024465E-2</v>
      </c>
      <c r="U30" s="117">
        <v>-6.1328044739147616E-2</v>
      </c>
      <c r="V30" s="117">
        <v>-6.5283419525400149E-2</v>
      </c>
      <c r="W30" s="117">
        <v>-7.1951313193771307E-2</v>
      </c>
      <c r="X30" s="117">
        <v>-7.3895313905095128E-2</v>
      </c>
      <c r="Y30" s="117">
        <v>-6.2578218355594781E-2</v>
      </c>
      <c r="Z30" s="117">
        <v>-6.1863379874057191E-2</v>
      </c>
      <c r="AA30" s="117">
        <v>-6.4031303426409308E-2</v>
      </c>
      <c r="AB30" s="117">
        <v>-6.0971502934780632E-2</v>
      </c>
      <c r="AC30" s="117">
        <v>-6.7873302426002952E-2</v>
      </c>
      <c r="AD30" s="117">
        <v>-6.351943965567991E-2</v>
      </c>
      <c r="AE30" s="117">
        <v>-7.0807075341173475E-2</v>
      </c>
      <c r="AF30" s="117">
        <v>-5.9258653480330742E-2</v>
      </c>
      <c r="AG30" s="117">
        <v>-6.4087177739210383E-2</v>
      </c>
      <c r="AH30" s="117">
        <v>-5.4977703227634754E-2</v>
      </c>
      <c r="AI30" s="117">
        <v>-6.505557399956019E-2</v>
      </c>
      <c r="AJ30" s="117">
        <v>-5.7779639370805345E-2</v>
      </c>
      <c r="AK30" s="117">
        <v>-6.1129393507599078E-2</v>
      </c>
      <c r="AL30" s="117">
        <v>-6.508358670775824E-2</v>
      </c>
      <c r="AM30" s="117">
        <v>-5.7696489489124272E-2</v>
      </c>
      <c r="AN30" s="117">
        <v>-6.0215718473773945E-2</v>
      </c>
      <c r="AO30" s="117">
        <v>-7.6509092041791432E-2</v>
      </c>
      <c r="AP30" s="117">
        <v>-6.6631124605426972E-2</v>
      </c>
      <c r="AQ30" s="117">
        <v>-7.0162172775093831E-2</v>
      </c>
      <c r="AR30" s="117">
        <v>-7.267965603262927E-2</v>
      </c>
      <c r="AS30" s="117">
        <v>-6.7847665424988671E-2</v>
      </c>
      <c r="AT30" s="117">
        <v>-6.4351822118893925E-2</v>
      </c>
      <c r="AU30" s="117">
        <v>-6.7387001275050651E-2</v>
      </c>
      <c r="AV30" s="117">
        <v>-6.878659131607473E-2</v>
      </c>
      <c r="AW30" s="117">
        <v>-6.7305643104927496E-2</v>
      </c>
      <c r="AX30" s="117">
        <v>-6.3491183192529943E-2</v>
      </c>
      <c r="AY30" s="117">
        <v>-5.7085189506026167E-2</v>
      </c>
      <c r="AZ30" s="117">
        <v>-6.2229133837383876E-2</v>
      </c>
      <c r="BA30" s="117">
        <v>-6.6756031194896592E-2</v>
      </c>
      <c r="BB30" s="117">
        <v>-6.4230622932708814E-2</v>
      </c>
      <c r="BC30" s="117">
        <v>-6.5256117842909772E-2</v>
      </c>
      <c r="BD30" s="117">
        <v>-5.7536831045731353E-2</v>
      </c>
      <c r="BE30" s="117">
        <v>-6.3547419972303648E-2</v>
      </c>
      <c r="BF30" s="117">
        <v>-6.9486991130222026E-2</v>
      </c>
      <c r="BG30" s="117">
        <v>-6.3735548773706491E-2</v>
      </c>
      <c r="BH30" s="117">
        <v>-6.3217472434516198E-2</v>
      </c>
      <c r="BI30" s="117">
        <v>-6.8742467228940965E-2</v>
      </c>
      <c r="BJ30" s="117">
        <v>-6.1771770302711144E-2</v>
      </c>
      <c r="BK30" s="117">
        <v>-6.2232163615933506E-2</v>
      </c>
      <c r="BL30" s="117">
        <v>-6.4206635128356698E-2</v>
      </c>
      <c r="BM30" s="117">
        <v>-7.252211371171835E-2</v>
      </c>
      <c r="BN30" s="117">
        <v>-7.1133047981594505E-2</v>
      </c>
      <c r="BO30" s="117">
        <v>-7.2834513375451576E-2</v>
      </c>
      <c r="BP30" s="117">
        <v>-6.7049441892793271E-2</v>
      </c>
      <c r="BQ30" s="117">
        <v>-7.0703493809086929E-2</v>
      </c>
      <c r="BR30" s="117">
        <v>-6.5532515508124806E-2</v>
      </c>
      <c r="BS30" s="117">
        <v>-6.0782078374282164E-2</v>
      </c>
      <c r="BT30" s="117">
        <v>-7.0342615817347937E-2</v>
      </c>
      <c r="BU30" s="117">
        <v>-6.1353423834701118E-2</v>
      </c>
      <c r="BV30" s="117">
        <v>-5.9783241733800147E-2</v>
      </c>
      <c r="BW30" s="117">
        <v>-5.9706582347551926E-2</v>
      </c>
      <c r="BX30" s="117">
        <v>-6.3564840863289215E-2</v>
      </c>
      <c r="BY30" s="117">
        <v>-5.9621687567844001E-2</v>
      </c>
      <c r="BZ30" s="117">
        <v>-6.1828289691560762E-2</v>
      </c>
      <c r="CA30" s="117">
        <v>-5.5586933993415147E-2</v>
      </c>
      <c r="CB30" s="117">
        <v>-6.4463913880256393E-2</v>
      </c>
      <c r="CC30" s="117">
        <v>-6.0573724994593792E-2</v>
      </c>
      <c r="CD30" s="117">
        <v>-6.3211565630281186E-2</v>
      </c>
      <c r="CE30" s="117">
        <v>-6.8714259135269712E-2</v>
      </c>
      <c r="CF30" s="117">
        <v>-7.2680579990588468E-2</v>
      </c>
      <c r="CG30" s="117">
        <v>-7.3346333462048455E-2</v>
      </c>
      <c r="CH30" s="117">
        <v>-5.4048150787983709E-2</v>
      </c>
      <c r="CI30" s="117">
        <v>-6.7402198335856311E-2</v>
      </c>
      <c r="CJ30" s="117">
        <v>-6.4628240505842718E-2</v>
      </c>
      <c r="CK30" s="117">
        <v>-6.4459962434784981E-2</v>
      </c>
      <c r="CL30" s="117">
        <v>-6.0808046480301414E-2</v>
      </c>
      <c r="CM30" s="117">
        <v>-6.848579518094855E-2</v>
      </c>
      <c r="CN30" s="117">
        <v>-7.2645284494213841E-2</v>
      </c>
      <c r="CO30" s="117">
        <v>-6.1331454703850666E-2</v>
      </c>
      <c r="CP30" s="117">
        <v>-5.6489500870499393E-2</v>
      </c>
      <c r="CQ30" s="117">
        <v>-6.3327881068181852E-2</v>
      </c>
      <c r="CR30" s="117">
        <v>-5.9420104078901345E-2</v>
      </c>
      <c r="CS30" s="117">
        <v>-6.3900002615702667E-2</v>
      </c>
      <c r="CT30" s="117">
        <v>-6.1786021066697588E-2</v>
      </c>
      <c r="CU30" s="117">
        <v>-6.6467421035146079E-2</v>
      </c>
      <c r="CV30" s="117">
        <v>-7.0083835079539275E-2</v>
      </c>
      <c r="CW30" s="117">
        <v>-6.0013518651267778E-2</v>
      </c>
      <c r="CX30" s="117">
        <v>-6.5498278735749704E-2</v>
      </c>
    </row>
    <row r="31" spans="1:102" s="115" customFormat="1">
      <c r="A31" s="252" t="str">
        <f t="shared" si="0"/>
        <v>High Yield</v>
      </c>
      <c r="B31" s="253"/>
      <c r="C31" s="117">
        <v>-3.5890753193543179E-2</v>
      </c>
      <c r="D31" s="117">
        <v>-3.1722261426146411E-2</v>
      </c>
      <c r="E31" s="117">
        <v>-3.6299423464964647E-2</v>
      </c>
      <c r="F31" s="117">
        <v>-4.4482147175459542E-2</v>
      </c>
      <c r="G31" s="117">
        <v>-4.3596336306190649E-2</v>
      </c>
      <c r="H31" s="117">
        <v>-3.5340845953656372E-2</v>
      </c>
      <c r="I31" s="117">
        <v>-3.1997189303913764E-2</v>
      </c>
      <c r="J31" s="117">
        <v>-3.9367027812695805E-2</v>
      </c>
      <c r="K31" s="117">
        <v>-4.7597325646681558E-2</v>
      </c>
      <c r="L31" s="117">
        <v>-4.5539493884227025E-2</v>
      </c>
      <c r="M31" s="117">
        <v>-4.4158954546518803E-2</v>
      </c>
      <c r="N31" s="117">
        <v>-4.8750240206616835E-2</v>
      </c>
      <c r="O31" s="117">
        <v>-3.8199693899161231E-2</v>
      </c>
      <c r="P31" s="117">
        <v>-4.0000171848472384E-2</v>
      </c>
      <c r="Q31" s="117">
        <v>-4.2960308712554962E-2</v>
      </c>
      <c r="R31" s="117">
        <v>-4.3050422039494274E-2</v>
      </c>
      <c r="S31" s="117">
        <v>-4.8767678682461742E-2</v>
      </c>
      <c r="T31" s="117">
        <v>-3.1640431744491271E-2</v>
      </c>
      <c r="U31" s="117">
        <v>-3.8939743753560081E-2</v>
      </c>
      <c r="V31" s="117">
        <v>-5.0003992462670503E-2</v>
      </c>
      <c r="W31" s="117">
        <v>-4.4049257034347554E-2</v>
      </c>
      <c r="X31" s="117">
        <v>-2.7786993406099192E-2</v>
      </c>
      <c r="Y31" s="117">
        <v>-5.2049847037629139E-2</v>
      </c>
      <c r="Z31" s="117">
        <v>-4.5834712329642709E-2</v>
      </c>
      <c r="AA31" s="117">
        <v>-3.6295579172260187E-2</v>
      </c>
      <c r="AB31" s="117">
        <v>-4.3671902620296951E-2</v>
      </c>
      <c r="AC31" s="117">
        <v>-5.6199349120032459E-2</v>
      </c>
      <c r="AD31" s="117">
        <v>-3.4740499249878515E-2</v>
      </c>
      <c r="AE31" s="117">
        <v>-3.4820406867433151E-2</v>
      </c>
      <c r="AF31" s="117">
        <v>-4.5040344975207369E-2</v>
      </c>
      <c r="AG31" s="117">
        <v>-4.9664078214078519E-2</v>
      </c>
      <c r="AH31" s="117">
        <v>-4.62752306757949E-2</v>
      </c>
      <c r="AI31" s="117">
        <v>-4.7663458668437547E-2</v>
      </c>
      <c r="AJ31" s="117">
        <v>-4.2473613235293903E-2</v>
      </c>
      <c r="AK31" s="117">
        <v>-4.5264437897925468E-2</v>
      </c>
      <c r="AL31" s="117">
        <v>-4.6487726190760456E-2</v>
      </c>
      <c r="AM31" s="117">
        <v>-4.3324889118861648E-2</v>
      </c>
      <c r="AN31" s="117">
        <v>-4.6138595018504903E-2</v>
      </c>
      <c r="AO31" s="117">
        <v>-3.3523718227233865E-2</v>
      </c>
      <c r="AP31" s="117">
        <v>-3.8663123891929184E-2</v>
      </c>
      <c r="AQ31" s="117">
        <v>-5.5208939022127333E-2</v>
      </c>
      <c r="AR31" s="117">
        <v>-3.1445047503603288E-2</v>
      </c>
      <c r="AS31" s="117">
        <v>-3.1498037822529051E-2</v>
      </c>
      <c r="AT31" s="117">
        <v>-3.290000222348563E-2</v>
      </c>
      <c r="AU31" s="117">
        <v>-3.6012301495952373E-2</v>
      </c>
      <c r="AV31" s="117">
        <v>-5.1176198824103451E-2</v>
      </c>
      <c r="AW31" s="117">
        <v>-4.8026553463001234E-2</v>
      </c>
      <c r="AX31" s="117">
        <v>-5.0303144269836404E-2</v>
      </c>
      <c r="AY31" s="117">
        <v>-3.6269102502164585E-2</v>
      </c>
      <c r="AZ31" s="117">
        <v>-3.7471584525142321E-2</v>
      </c>
      <c r="BA31" s="117">
        <v>-4.9166314590158938E-2</v>
      </c>
      <c r="BB31" s="117">
        <v>-3.7360153980091515E-2</v>
      </c>
      <c r="BC31" s="117">
        <v>-4.6377596531268099E-2</v>
      </c>
      <c r="BD31" s="117">
        <v>-4.1339347699284643E-2</v>
      </c>
      <c r="BE31" s="117">
        <v>-3.7297606759477742E-2</v>
      </c>
      <c r="BF31" s="117">
        <v>-3.7264346066452E-2</v>
      </c>
      <c r="BG31" s="117">
        <v>-4.2345478965823156E-2</v>
      </c>
      <c r="BH31" s="117">
        <v>-3.6248880296524066E-2</v>
      </c>
      <c r="BI31" s="117">
        <v>-4.7907311452344468E-2</v>
      </c>
      <c r="BJ31" s="117">
        <v>-4.2002748988487028E-2</v>
      </c>
      <c r="BK31" s="117">
        <v>-3.6218112540883918E-2</v>
      </c>
      <c r="BL31" s="117">
        <v>-3.562514183398939E-2</v>
      </c>
      <c r="BM31" s="117">
        <v>-4.6268663469211664E-2</v>
      </c>
      <c r="BN31" s="117">
        <v>-4.6068993608790965E-2</v>
      </c>
      <c r="BO31" s="117">
        <v>-4.3674940439455266E-2</v>
      </c>
      <c r="BP31" s="117">
        <v>-4.4352991455146158E-2</v>
      </c>
      <c r="BQ31" s="117">
        <v>-3.0301363568694936E-2</v>
      </c>
      <c r="BR31" s="117">
        <v>-3.4579302020871394E-2</v>
      </c>
      <c r="BS31" s="117">
        <v>-4.95297078635073E-2</v>
      </c>
      <c r="BT31" s="117">
        <v>-4.7135084731330983E-2</v>
      </c>
      <c r="BU31" s="117">
        <v>-3.9481528298390391E-2</v>
      </c>
      <c r="BV31" s="117">
        <v>-4.4394593495485218E-2</v>
      </c>
      <c r="BW31" s="117">
        <v>-4.2110504852100224E-2</v>
      </c>
      <c r="BX31" s="117">
        <v>-4.0300759592970622E-2</v>
      </c>
      <c r="BY31" s="117">
        <v>-4.1502589138089935E-2</v>
      </c>
      <c r="BZ31" s="117">
        <v>-5.2721021298539845E-2</v>
      </c>
      <c r="CA31" s="117">
        <v>-4.3813240841179907E-2</v>
      </c>
      <c r="CB31" s="117">
        <v>-4.2759944440641948E-2</v>
      </c>
      <c r="CC31" s="117">
        <v>-5.5179773249848865E-2</v>
      </c>
      <c r="CD31" s="117">
        <v>-4.217400412210752E-2</v>
      </c>
      <c r="CE31" s="117">
        <v>-4.0965095341209026E-2</v>
      </c>
      <c r="CF31" s="117">
        <v>-3.6844990248004861E-2</v>
      </c>
      <c r="CG31" s="117">
        <v>-2.3250448325380771E-2</v>
      </c>
      <c r="CH31" s="117">
        <v>-4.3291019527778148E-2</v>
      </c>
      <c r="CI31" s="117">
        <v>-4.7808622906868735E-2</v>
      </c>
      <c r="CJ31" s="117">
        <v>-4.5731079723199876E-2</v>
      </c>
      <c r="CK31" s="117">
        <v>-3.7167773235919258E-2</v>
      </c>
      <c r="CL31" s="117">
        <v>-4.6712452349368119E-2</v>
      </c>
      <c r="CM31" s="117">
        <v>-3.0356980440978495E-2</v>
      </c>
      <c r="CN31" s="117">
        <v>-5.7576131011329683E-2</v>
      </c>
      <c r="CO31" s="117">
        <v>-3.7022293890465963E-2</v>
      </c>
      <c r="CP31" s="117">
        <v>-4.6130995664627333E-2</v>
      </c>
      <c r="CQ31" s="117">
        <v>-4.7424383122201791E-2</v>
      </c>
      <c r="CR31" s="117">
        <v>-3.8871794607873968E-2</v>
      </c>
      <c r="CS31" s="117">
        <v>-4.0996209252441032E-2</v>
      </c>
      <c r="CT31" s="117">
        <v>-5.6594354629021029E-2</v>
      </c>
      <c r="CU31" s="117">
        <v>-3.6906153567340852E-2</v>
      </c>
      <c r="CV31" s="117">
        <v>-4.7386117274118483E-2</v>
      </c>
      <c r="CW31" s="117">
        <v>-3.721484061525171E-2</v>
      </c>
      <c r="CX31" s="117">
        <v>-3.6860591914348692E-2</v>
      </c>
    </row>
    <row r="32" spans="1:102" s="116" customFormat="1">
      <c r="A32" s="252" t="str">
        <f t="shared" si="0"/>
        <v>Emerging market debt</v>
      </c>
      <c r="B32" s="253"/>
      <c r="C32" s="117">
        <v>-1.931301379064515E-2</v>
      </c>
      <c r="D32" s="117">
        <v>-2.2057584393508217E-3</v>
      </c>
      <c r="E32" s="117">
        <v>-5.8377865069771662E-3</v>
      </c>
      <c r="F32" s="117">
        <v>-4.0909591927255622E-2</v>
      </c>
      <c r="G32" s="117">
        <v>-6.3070536652987674E-3</v>
      </c>
      <c r="H32" s="117">
        <v>-1.1351437654905344E-2</v>
      </c>
      <c r="I32" s="117">
        <v>-8.6869254191323242E-3</v>
      </c>
      <c r="J32" s="117">
        <v>-2.8933262752360731E-2</v>
      </c>
      <c r="K32" s="117">
        <v>-4.1785882538396095E-2</v>
      </c>
      <c r="L32" s="117">
        <v>-2.3126076819312585E-2</v>
      </c>
      <c r="M32" s="117">
        <v>-5.9208752044616203E-3</v>
      </c>
      <c r="N32" s="117">
        <v>-2.7520678630313808E-2</v>
      </c>
      <c r="O32" s="117">
        <v>-3.086590056868535E-2</v>
      </c>
      <c r="P32" s="117">
        <v>-1.0982611532263375E-2</v>
      </c>
      <c r="Q32" s="117">
        <v>-1.9389279191065825E-2</v>
      </c>
      <c r="R32" s="117">
        <v>-2.4162826830487066E-2</v>
      </c>
      <c r="S32" s="117">
        <v>-4.4104944596766275E-2</v>
      </c>
      <c r="T32" s="117">
        <v>-1.1159267562153477E-2</v>
      </c>
      <c r="U32" s="117">
        <v>-1.7782514837936164E-2</v>
      </c>
      <c r="V32" s="117">
        <v>-4.6076251665439508E-2</v>
      </c>
      <c r="W32" s="117">
        <v>-4.0577172171492162E-2</v>
      </c>
      <c r="X32" s="117">
        <v>-4.5147726513387054E-3</v>
      </c>
      <c r="Y32" s="117">
        <v>-4.5608214625418309E-2</v>
      </c>
      <c r="Z32" s="117">
        <v>-1.4494661261453476E-2</v>
      </c>
      <c r="AA32" s="117">
        <v>-3.4387544481723958E-2</v>
      </c>
      <c r="AB32" s="117">
        <v>-3.5255495213366891E-2</v>
      </c>
      <c r="AC32" s="117">
        <v>-3.3815258929196124E-2</v>
      </c>
      <c r="AD32" s="117">
        <v>-1.4433660151317945E-2</v>
      </c>
      <c r="AE32" s="117">
        <v>-1.1850874557515295E-2</v>
      </c>
      <c r="AF32" s="117">
        <v>-3.6397567308568676E-2</v>
      </c>
      <c r="AG32" s="117">
        <v>-1.1238062817518379E-2</v>
      </c>
      <c r="AH32" s="117">
        <v>-2.5705588234933796E-2</v>
      </c>
      <c r="AI32" s="117">
        <v>-3.2444876454751068E-2</v>
      </c>
      <c r="AJ32" s="117">
        <v>-2.9691056683895933E-2</v>
      </c>
      <c r="AK32" s="117">
        <v>-2.4243766830933794E-2</v>
      </c>
      <c r="AL32" s="117">
        <v>-4.3576728247730297E-2</v>
      </c>
      <c r="AM32" s="117">
        <v>-2.2551448672755714E-2</v>
      </c>
      <c r="AN32" s="117">
        <v>-2.5234736408755912E-2</v>
      </c>
      <c r="AO32" s="117">
        <v>-1.1194786637116441E-2</v>
      </c>
      <c r="AP32" s="117">
        <v>-4.1430811050832024E-2</v>
      </c>
      <c r="AQ32" s="117">
        <v>-3.8699581855051207E-2</v>
      </c>
      <c r="AR32" s="117">
        <v>-1.0743145483432928E-2</v>
      </c>
      <c r="AS32" s="117">
        <v>-1.9989098538942554E-2</v>
      </c>
      <c r="AT32" s="117">
        <v>-2.0636028473447393E-2</v>
      </c>
      <c r="AU32" s="117">
        <v>-3.1064032113058623E-2</v>
      </c>
      <c r="AV32" s="117">
        <v>-3.3215714221619813E-2</v>
      </c>
      <c r="AW32" s="117">
        <v>-6.9874322808836237E-3</v>
      </c>
      <c r="AX32" s="117">
        <v>-3.5005859149268903E-2</v>
      </c>
      <c r="AY32" s="117">
        <v>-2.0611272222150853E-2</v>
      </c>
      <c r="AZ32" s="117">
        <v>-2.6260564460135555E-2</v>
      </c>
      <c r="BA32" s="117">
        <v>-4.2997749521194353E-2</v>
      </c>
      <c r="BB32" s="117">
        <v>-2.2756190449385261E-2</v>
      </c>
      <c r="BC32" s="117">
        <v>-3.5709370732813217E-2</v>
      </c>
      <c r="BD32" s="117">
        <v>-1.5927929467873247E-2</v>
      </c>
      <c r="BE32" s="117">
        <v>-3.1175542680202409E-2</v>
      </c>
      <c r="BF32" s="117">
        <v>-3.4614068489923752E-2</v>
      </c>
      <c r="BG32" s="117">
        <v>-3.2020353218380718E-2</v>
      </c>
      <c r="BH32" s="117">
        <v>-2.8676582303590534E-2</v>
      </c>
      <c r="BI32" s="117">
        <v>-1.8035840663111022E-2</v>
      </c>
      <c r="BJ32" s="117">
        <v>-1.1971021526926792E-2</v>
      </c>
      <c r="BK32" s="117">
        <v>-1.5456369260070629E-2</v>
      </c>
      <c r="BL32" s="117">
        <v>-1.106427382737131E-2</v>
      </c>
      <c r="BM32" s="117">
        <v>-3.9656286589896554E-2</v>
      </c>
      <c r="BN32" s="117">
        <v>-4.410917810012293E-2</v>
      </c>
      <c r="BO32" s="117">
        <v>-2.3300740839654499E-2</v>
      </c>
      <c r="BP32" s="117">
        <v>-2.4041453074788249E-2</v>
      </c>
      <c r="BQ32" s="117">
        <v>-2.9130787563766969E-3</v>
      </c>
      <c r="BR32" s="117">
        <v>-2.5211499650665561E-2</v>
      </c>
      <c r="BS32" s="117">
        <v>-2.0802659501907086E-2</v>
      </c>
      <c r="BT32" s="117">
        <v>-4.0961294860175933E-2</v>
      </c>
      <c r="BU32" s="117">
        <v>-1.291515458863024E-2</v>
      </c>
      <c r="BV32" s="117">
        <v>-2.489876388809599E-2</v>
      </c>
      <c r="BW32" s="117">
        <v>-2.0912432366512496E-2</v>
      </c>
      <c r="BX32" s="117">
        <v>-1.4124463864078937E-2</v>
      </c>
      <c r="BY32" s="117">
        <v>-1.7556523748858202E-2</v>
      </c>
      <c r="BZ32" s="117">
        <v>-9.8721011465755099E-3</v>
      </c>
      <c r="CA32" s="117">
        <v>-1.9932500772058118E-2</v>
      </c>
      <c r="CB32" s="117">
        <v>-4.3745228833697858E-2</v>
      </c>
      <c r="CC32" s="117">
        <v>-3.1898377759162697E-2</v>
      </c>
      <c r="CD32" s="117">
        <v>-2.9940702822239207E-2</v>
      </c>
      <c r="CE32" s="117">
        <v>-2.4092273284600313E-2</v>
      </c>
      <c r="CF32" s="117">
        <v>-3.655016559571965E-2</v>
      </c>
      <c r="CG32" s="117">
        <v>-2.0686903581559474E-3</v>
      </c>
      <c r="CH32" s="117">
        <v>-1.3859626830083058E-2</v>
      </c>
      <c r="CI32" s="117">
        <v>-2.4118650851506995E-2</v>
      </c>
      <c r="CJ32" s="117">
        <v>-2.1267384752448576E-2</v>
      </c>
      <c r="CK32" s="117">
        <v>-2.2498797528656286E-2</v>
      </c>
      <c r="CL32" s="117">
        <v>-1.3979856548032882E-2</v>
      </c>
      <c r="CM32" s="117">
        <v>-1.4376284788279348E-2</v>
      </c>
      <c r="CN32" s="117">
        <v>-3.3789546390827499E-2</v>
      </c>
      <c r="CO32" s="117">
        <v>-1.4355764810577182E-2</v>
      </c>
      <c r="CP32" s="117">
        <v>-3.6760326439549976E-2</v>
      </c>
      <c r="CQ32" s="117">
        <v>-3.5403995621423337E-2</v>
      </c>
      <c r="CR32" s="117">
        <v>-2.6718197119219411E-2</v>
      </c>
      <c r="CS32" s="117">
        <v>-3.2027869912089085E-2</v>
      </c>
      <c r="CT32" s="117">
        <v>-2.8263862681384228E-2</v>
      </c>
      <c r="CU32" s="117">
        <v>-1.2852960705148492E-2</v>
      </c>
      <c r="CV32" s="117">
        <v>-1.2232354761697137E-2</v>
      </c>
      <c r="CW32" s="117">
        <v>-3.2559384183383902E-2</v>
      </c>
      <c r="CX32" s="117">
        <v>-3.0624184641731861E-2</v>
      </c>
    </row>
    <row r="33" spans="1:102" s="131" customFormat="1">
      <c r="A33" s="252" t="str">
        <f t="shared" si="0"/>
        <v>Aandelen ontwikkeld</v>
      </c>
      <c r="B33" s="253"/>
      <c r="C33" s="117">
        <v>-3.0409441146902194E-3</v>
      </c>
      <c r="D33" s="117">
        <v>7.2775511015798211E-3</v>
      </c>
      <c r="E33" s="117">
        <v>7.782816745434476E-3</v>
      </c>
      <c r="F33" s="117">
        <v>-6.2672998312165856E-3</v>
      </c>
      <c r="G33" s="117">
        <v>-9.135773345990042E-3</v>
      </c>
      <c r="H33" s="117">
        <v>3.4256536345021737E-3</v>
      </c>
      <c r="I33" s="117">
        <v>-3.7993829656354366E-3</v>
      </c>
      <c r="J33" s="117">
        <v>5.8195989750484817E-3</v>
      </c>
      <c r="K33" s="117">
        <v>-1.0784932535265884E-2</v>
      </c>
      <c r="L33" s="117">
        <v>-2.2285748788444623E-2</v>
      </c>
      <c r="M33" s="117">
        <v>-3.6076728256748264E-3</v>
      </c>
      <c r="N33" s="117">
        <v>-2.6791214497186966E-2</v>
      </c>
      <c r="O33" s="117">
        <v>-4.571124737119639E-3</v>
      </c>
      <c r="P33" s="117">
        <v>-2.3189367540604064E-2</v>
      </c>
      <c r="Q33" s="117">
        <v>-2.4655646889443369E-2</v>
      </c>
      <c r="R33" s="117">
        <v>1.5153913602626162E-3</v>
      </c>
      <c r="S33" s="117">
        <v>-1.3994134752829568E-2</v>
      </c>
      <c r="T33" s="117">
        <v>-3.2002151210959034E-3</v>
      </c>
      <c r="U33" s="117">
        <v>7.2542674479765396E-3</v>
      </c>
      <c r="V33" s="117">
        <v>-1.6608081968274929E-2</v>
      </c>
      <c r="W33" s="117">
        <v>2.5614132751352603E-3</v>
      </c>
      <c r="X33" s="117">
        <v>9.2573892690396287E-3</v>
      </c>
      <c r="Y33" s="117">
        <v>-2.0225427845099175E-2</v>
      </c>
      <c r="Z33" s="117">
        <v>-2.2385691212364889E-4</v>
      </c>
      <c r="AA33" s="117">
        <v>5.1143039404220464E-3</v>
      </c>
      <c r="AB33" s="117">
        <v>-9.5492144405394525E-3</v>
      </c>
      <c r="AC33" s="117">
        <v>-2.8617825619566647E-2</v>
      </c>
      <c r="AD33" s="117">
        <v>4.4187482851940491E-3</v>
      </c>
      <c r="AE33" s="117">
        <v>-4.9728416253597141E-3</v>
      </c>
      <c r="AF33" s="117">
        <v>-1.5010197832518876E-2</v>
      </c>
      <c r="AG33" s="117">
        <v>-3.1995497204456866E-2</v>
      </c>
      <c r="AH33" s="117">
        <v>-2.0947679779708586E-2</v>
      </c>
      <c r="AI33" s="117">
        <v>-2.0587067309893847E-2</v>
      </c>
      <c r="AJ33" s="117">
        <v>-1.3434903837844209E-2</v>
      </c>
      <c r="AK33" s="117">
        <v>-1.0145308267093048E-2</v>
      </c>
      <c r="AL33" s="117">
        <v>-9.7047328649498832E-3</v>
      </c>
      <c r="AM33" s="117">
        <v>-1.8718954961248674E-2</v>
      </c>
      <c r="AN33" s="117">
        <v>-4.3266738660243803E-3</v>
      </c>
      <c r="AO33" s="117">
        <v>4.7306782445369205E-3</v>
      </c>
      <c r="AP33" s="117">
        <v>-1.0136002114494502E-2</v>
      </c>
      <c r="AQ33" s="117">
        <v>-2.8279294005972941E-2</v>
      </c>
      <c r="AR33" s="117">
        <v>-2.0860473146448733E-4</v>
      </c>
      <c r="AS33" s="117">
        <v>6.2460695704026764E-3</v>
      </c>
      <c r="AT33" s="117">
        <v>-9.0286768675980761E-3</v>
      </c>
      <c r="AU33" s="117">
        <v>9.447587311729122E-3</v>
      </c>
      <c r="AV33" s="117">
        <v>-1.0782661165996382E-2</v>
      </c>
      <c r="AW33" s="117">
        <v>-3.2853078161611232E-2</v>
      </c>
      <c r="AX33" s="117">
        <v>-2.8753654279301752E-2</v>
      </c>
      <c r="AY33" s="117">
        <v>-4.1095347562041667E-3</v>
      </c>
      <c r="AZ33" s="117">
        <v>-9.8142929837645443E-3</v>
      </c>
      <c r="BA33" s="117">
        <v>-3.0623042101955697E-2</v>
      </c>
      <c r="BB33" s="117">
        <v>-1.212139515957586E-2</v>
      </c>
      <c r="BC33" s="117">
        <v>-2.1078426575185424E-2</v>
      </c>
      <c r="BD33" s="117">
        <v>-1.727803301497878E-2</v>
      </c>
      <c r="BE33" s="117">
        <v>1.9740818902774238E-3</v>
      </c>
      <c r="BF33" s="117">
        <v>-6.0274422400760086E-3</v>
      </c>
      <c r="BG33" s="117">
        <v>-2.2596748824834964E-2</v>
      </c>
      <c r="BH33" s="117">
        <v>-1.5689605192997891E-2</v>
      </c>
      <c r="BI33" s="117">
        <v>-2.4176318805290753E-2</v>
      </c>
      <c r="BJ33" s="117">
        <v>-1.9180799033100049E-2</v>
      </c>
      <c r="BK33" s="117">
        <v>-1.8209272205682275E-2</v>
      </c>
      <c r="BL33" s="117">
        <v>-2.0982831602406313E-2</v>
      </c>
      <c r="BM33" s="117">
        <v>-5.860943258041762E-3</v>
      </c>
      <c r="BN33" s="117">
        <v>-3.0347492929571757E-3</v>
      </c>
      <c r="BO33" s="117">
        <v>1.1139155943531043E-2</v>
      </c>
      <c r="BP33" s="117">
        <v>-8.8453822015455152E-3</v>
      </c>
      <c r="BQ33" s="117">
        <v>-5.0411284989073241E-3</v>
      </c>
      <c r="BR33" s="117">
        <v>1.0227057625593755E-3</v>
      </c>
      <c r="BS33" s="117">
        <v>-2.9686734049692701E-2</v>
      </c>
      <c r="BT33" s="117">
        <v>-1.7881818872772584E-2</v>
      </c>
      <c r="BU33" s="117">
        <v>-2.0503533422083484E-2</v>
      </c>
      <c r="BV33" s="117">
        <v>-1.4746490102971632E-2</v>
      </c>
      <c r="BW33" s="117">
        <v>-2.7872163761888627E-2</v>
      </c>
      <c r="BX33" s="117">
        <v>-2.6540847774579629E-2</v>
      </c>
      <c r="BY33" s="117">
        <v>-1.5776923877232632E-2</v>
      </c>
      <c r="BZ33" s="117">
        <v>-3.1260466070123019E-2</v>
      </c>
      <c r="CA33" s="117">
        <v>-2.6003570071077758E-2</v>
      </c>
      <c r="CB33" s="117">
        <v>-1.8447161197691617E-2</v>
      </c>
      <c r="CC33" s="117">
        <v>-3.0670037516176335E-2</v>
      </c>
      <c r="CD33" s="117">
        <v>-2.5183211966099003E-2</v>
      </c>
      <c r="CE33" s="117">
        <v>-1.3093293417619362E-2</v>
      </c>
      <c r="CF33" s="117">
        <v>-4.2695722728346847E-3</v>
      </c>
      <c r="CG33" s="117">
        <v>1.2648219955739032E-2</v>
      </c>
      <c r="CH33" s="117">
        <v>-1.2287114656869352E-2</v>
      </c>
      <c r="CI33" s="117">
        <v>-1.0463833017358856E-2</v>
      </c>
      <c r="CJ33" s="117">
        <v>-9.7487320419627765E-3</v>
      </c>
      <c r="CK33" s="117">
        <v>-1.251683948161704E-2</v>
      </c>
      <c r="CL33" s="117">
        <v>-3.2140574787090731E-2</v>
      </c>
      <c r="CM33" s="117">
        <v>-9.0128702149724349E-3</v>
      </c>
      <c r="CN33" s="117">
        <v>-3.5509594771085548E-2</v>
      </c>
      <c r="CO33" s="117">
        <v>-1.6668376448915237E-2</v>
      </c>
      <c r="CP33" s="117">
        <v>-2.4062445141333696E-2</v>
      </c>
      <c r="CQ33" s="117">
        <v>-1.9498557409548312E-2</v>
      </c>
      <c r="CR33" s="117">
        <v>-9.6399228178326857E-3</v>
      </c>
      <c r="CS33" s="117">
        <v>-2.3808520079068932E-2</v>
      </c>
      <c r="CT33" s="117">
        <v>-2.6544012800912023E-2</v>
      </c>
      <c r="CU33" s="117">
        <v>1.0598670819238626E-2</v>
      </c>
      <c r="CV33" s="117">
        <v>-3.227205768170413E-2</v>
      </c>
      <c r="CW33" s="117">
        <v>-1.0388005674067349E-2</v>
      </c>
      <c r="CX33" s="117">
        <v>-8.5426259763011908E-3</v>
      </c>
    </row>
    <row r="34" spans="1:102" s="115" customFormat="1">
      <c r="A34" s="252" t="str">
        <f t="shared" si="0"/>
        <v>Aandelen opkomend</v>
      </c>
      <c r="B34" s="253"/>
      <c r="C34" s="117">
        <v>2.8901590732737681E-2</v>
      </c>
      <c r="D34" s="117">
        <v>3.7934673281861842E-2</v>
      </c>
      <c r="E34" s="117">
        <v>3.6519242417023867E-2</v>
      </c>
      <c r="F34" s="117">
        <v>2.1337092788101614E-2</v>
      </c>
      <c r="G34" s="117">
        <v>1.5205674413185169E-2</v>
      </c>
      <c r="H34" s="117">
        <v>3.3786876600072652E-2</v>
      </c>
      <c r="I34" s="117">
        <v>4.2770890536600159E-2</v>
      </c>
      <c r="J34" s="117">
        <v>3.4008323151246078E-2</v>
      </c>
      <c r="K34" s="117">
        <v>1.4010433515751486E-2</v>
      </c>
      <c r="L34" s="117">
        <v>1.6155428971746294E-2</v>
      </c>
      <c r="M34" s="117">
        <v>1.6487885740383054E-2</v>
      </c>
      <c r="N34" s="117">
        <v>5.7043126494039503E-3</v>
      </c>
      <c r="O34" s="117">
        <v>2.1426643025924577E-2</v>
      </c>
      <c r="P34" s="117">
        <v>2.2950554784425189E-2</v>
      </c>
      <c r="Q34" s="117">
        <v>2.0484962369608076E-2</v>
      </c>
      <c r="R34" s="117">
        <v>2.3028515292025931E-2</v>
      </c>
      <c r="S34" s="117">
        <v>7.1847453166667269E-3</v>
      </c>
      <c r="T34" s="117">
        <v>4.1367952880401793E-2</v>
      </c>
      <c r="U34" s="117">
        <v>3.4863494459484667E-2</v>
      </c>
      <c r="V34" s="117">
        <v>1.098331901895637E-2</v>
      </c>
      <c r="W34" s="117">
        <v>2.1374733858818107E-2</v>
      </c>
      <c r="X34" s="117">
        <v>4.2748773520495859E-2</v>
      </c>
      <c r="Y34" s="117">
        <v>8.2362708313522826E-3</v>
      </c>
      <c r="Z34" s="117">
        <v>2.9585210138073303E-2</v>
      </c>
      <c r="AA34" s="117">
        <v>4.6663079406257274E-2</v>
      </c>
      <c r="AB34" s="117">
        <v>3.19213490877574E-2</v>
      </c>
      <c r="AC34" s="117">
        <v>-1.2801696747999219E-3</v>
      </c>
      <c r="AD34" s="117">
        <v>3.8622430549834108E-2</v>
      </c>
      <c r="AE34" s="117">
        <v>3.4919623008905193E-2</v>
      </c>
      <c r="AF34" s="117">
        <v>2.7699866163051062E-2</v>
      </c>
      <c r="AG34" s="117">
        <v>7.4774233742484764E-3</v>
      </c>
      <c r="AH34" s="117">
        <v>1.6895909722609195E-2</v>
      </c>
      <c r="AI34" s="117">
        <v>1.0718457529745581E-2</v>
      </c>
      <c r="AJ34" s="117">
        <v>3.5645243036369234E-2</v>
      </c>
      <c r="AK34" s="117">
        <v>2.8573880203135615E-2</v>
      </c>
      <c r="AL34" s="117">
        <v>1.384058106817132E-2</v>
      </c>
      <c r="AM34" s="117">
        <v>2.4005233061941383E-2</v>
      </c>
      <c r="AN34" s="117">
        <v>2.6855546466555857E-2</v>
      </c>
      <c r="AO34" s="117">
        <v>3.0374659432490181E-2</v>
      </c>
      <c r="AP34" s="117">
        <v>3.0461297352760652E-2</v>
      </c>
      <c r="AQ34" s="117">
        <v>-9.3311361117134894E-4</v>
      </c>
      <c r="AR34" s="117">
        <v>3.0126984412432167E-2</v>
      </c>
      <c r="AS34" s="117">
        <v>3.992210400514315E-2</v>
      </c>
      <c r="AT34" s="117">
        <v>4.3950238657067209E-2</v>
      </c>
      <c r="AU34" s="117">
        <v>3.5503433164901343E-2</v>
      </c>
      <c r="AV34" s="117">
        <v>1.762107086095499E-2</v>
      </c>
      <c r="AW34" s="117">
        <v>7.8304706022479242E-3</v>
      </c>
      <c r="AX34" s="117">
        <v>2.2438076191349521E-3</v>
      </c>
      <c r="AY34" s="117">
        <v>2.9764832950540165E-2</v>
      </c>
      <c r="AZ34" s="117">
        <v>4.01320456738396E-2</v>
      </c>
      <c r="BA34" s="117">
        <v>3.610179371382069E-3</v>
      </c>
      <c r="BB34" s="117">
        <v>3.1754317149259192E-2</v>
      </c>
      <c r="BC34" s="117">
        <v>1.1565252818477936E-2</v>
      </c>
      <c r="BD34" s="117">
        <v>2.4369076361533099E-2</v>
      </c>
      <c r="BE34" s="117">
        <v>2.6565168466426037E-2</v>
      </c>
      <c r="BF34" s="117">
        <v>2.0582158005168674E-2</v>
      </c>
      <c r="BG34" s="117">
        <v>1.9603926755725434E-2</v>
      </c>
      <c r="BH34" s="117">
        <v>3.4500297908282518E-2</v>
      </c>
      <c r="BI34" s="117">
        <v>1.4612507952202217E-2</v>
      </c>
      <c r="BJ34" s="117">
        <v>2.8375355637149796E-2</v>
      </c>
      <c r="BK34" s="117">
        <v>2.9821933702427111E-2</v>
      </c>
      <c r="BL34" s="117">
        <v>2.2640812568937782E-2</v>
      </c>
      <c r="BM34" s="117">
        <v>1.3103072441188607E-2</v>
      </c>
      <c r="BN34" s="117">
        <v>1.9360469804117569E-2</v>
      </c>
      <c r="BO34" s="117">
        <v>2.5568798965199951E-2</v>
      </c>
      <c r="BP34" s="117">
        <v>2.1760807111201971E-2</v>
      </c>
      <c r="BQ34" s="117">
        <v>3.9858113488241587E-2</v>
      </c>
      <c r="BR34" s="117">
        <v>4.0942711626187567E-2</v>
      </c>
      <c r="BS34" s="117">
        <v>9.1879056238580309E-3</v>
      </c>
      <c r="BT34" s="117">
        <v>8.0214378063721975E-3</v>
      </c>
      <c r="BU34" s="117">
        <v>2.4092123050776695E-2</v>
      </c>
      <c r="BV34" s="117">
        <v>2.6266894555376258E-2</v>
      </c>
      <c r="BW34" s="117">
        <v>1.2465187764229738E-2</v>
      </c>
      <c r="BX34" s="117">
        <v>1.9791624490285736E-2</v>
      </c>
      <c r="BY34" s="117">
        <v>2.1278739895511087E-2</v>
      </c>
      <c r="BZ34" s="117">
        <v>8.177108846444292E-3</v>
      </c>
      <c r="CA34" s="117">
        <v>2.4011745375346713E-2</v>
      </c>
      <c r="CB34" s="117">
        <v>1.3192949379861013E-2</v>
      </c>
      <c r="CC34" s="117">
        <v>4.1194138821396414E-3</v>
      </c>
      <c r="CD34" s="117">
        <v>1.9581851807254844E-2</v>
      </c>
      <c r="CE34" s="117">
        <v>1.3506050988409304E-2</v>
      </c>
      <c r="CF34" s="117">
        <v>2.0363308271858102E-2</v>
      </c>
      <c r="CG34" s="117">
        <v>4.9406529262232546E-2</v>
      </c>
      <c r="CH34" s="117">
        <v>3.246416416515982E-2</v>
      </c>
      <c r="CI34" s="117">
        <v>8.300508160930295E-3</v>
      </c>
      <c r="CJ34" s="117">
        <v>3.2699610418128106E-2</v>
      </c>
      <c r="CK34" s="117">
        <v>3.3651574266869738E-2</v>
      </c>
      <c r="CL34" s="117">
        <v>7.8453945298791183E-3</v>
      </c>
      <c r="CM34" s="117">
        <v>2.9447044658143712E-2</v>
      </c>
      <c r="CN34" s="117">
        <v>-1.0610396176497186E-2</v>
      </c>
      <c r="CO34" s="117">
        <v>2.5111113093440968E-2</v>
      </c>
      <c r="CP34" s="117">
        <v>2.2599472411913929E-2</v>
      </c>
      <c r="CQ34" s="117">
        <v>5.7687039038138432E-3</v>
      </c>
      <c r="CR34" s="117">
        <v>3.3197021579918551E-2</v>
      </c>
      <c r="CS34" s="117">
        <v>1.7277247451958799E-2</v>
      </c>
      <c r="CT34" s="117">
        <v>9.6599351162664771E-3</v>
      </c>
      <c r="CU34" s="117">
        <v>3.0952927200799091E-2</v>
      </c>
      <c r="CV34" s="117">
        <v>1.5975058736793502E-3</v>
      </c>
      <c r="CW34" s="117">
        <v>2.1253166286834921E-2</v>
      </c>
      <c r="CX34" s="117">
        <v>3.2568244157903437E-2</v>
      </c>
    </row>
    <row r="35" spans="1:102" s="115" customFormat="1">
      <c r="A35" s="252" t="str">
        <f t="shared" si="0"/>
        <v>Hedge funds</v>
      </c>
      <c r="B35" s="253"/>
      <c r="C35" s="117">
        <v>-3.1652722698603725E-2</v>
      </c>
      <c r="D35" s="117">
        <v>-2.3629687555631274E-2</v>
      </c>
      <c r="E35" s="117">
        <v>-2.3638402438874662E-2</v>
      </c>
      <c r="F35" s="117">
        <v>-4.2255529776127503E-2</v>
      </c>
      <c r="G35" s="117">
        <v>-2.1677134622702404E-2</v>
      </c>
      <c r="H35" s="117">
        <v>-2.6308883812866682E-2</v>
      </c>
      <c r="I35" s="117">
        <v>-2.7825318640392949E-2</v>
      </c>
      <c r="J35" s="117">
        <v>-3.1015629411982604E-2</v>
      </c>
      <c r="K35" s="117">
        <v>-4.1532762306972996E-2</v>
      </c>
      <c r="L35" s="117">
        <v>-3.2022332548541907E-2</v>
      </c>
      <c r="M35" s="117">
        <v>-1.9990738899796912E-2</v>
      </c>
      <c r="N35" s="117">
        <v>-3.3220973600241108E-2</v>
      </c>
      <c r="O35" s="117">
        <v>-3.8068778633756184E-2</v>
      </c>
      <c r="P35" s="117">
        <v>-2.7368179593153574E-2</v>
      </c>
      <c r="Q35" s="117">
        <v>-3.2056221894059808E-2</v>
      </c>
      <c r="R35" s="117">
        <v>-2.8755698701181276E-2</v>
      </c>
      <c r="S35" s="117">
        <v>-4.0624299956377327E-2</v>
      </c>
      <c r="T35" s="117">
        <v>-2.7534983201589425E-2</v>
      </c>
      <c r="U35" s="117">
        <v>-2.272038025304314E-2</v>
      </c>
      <c r="V35" s="117">
        <v>-4.258304444537573E-2</v>
      </c>
      <c r="W35" s="117">
        <v>-3.8268732045150237E-2</v>
      </c>
      <c r="X35" s="117">
        <v>-2.4610168392779269E-2</v>
      </c>
      <c r="Y35" s="117">
        <v>-4.3480998359880618E-2</v>
      </c>
      <c r="Z35" s="117">
        <v>-2.2974868279072885E-2</v>
      </c>
      <c r="AA35" s="117">
        <v>-3.7869154802766689E-2</v>
      </c>
      <c r="AB35" s="117">
        <v>-3.5029036826970061E-2</v>
      </c>
      <c r="AC35" s="117">
        <v>-3.4230382708052329E-2</v>
      </c>
      <c r="AD35" s="117">
        <v>-2.4177561118100196E-2</v>
      </c>
      <c r="AE35" s="117">
        <v>-2.7654670996425088E-2</v>
      </c>
      <c r="AF35" s="117">
        <v>-3.7373977546100542E-2</v>
      </c>
      <c r="AG35" s="117">
        <v>-2.6039791367145529E-2</v>
      </c>
      <c r="AH35" s="117">
        <v>-2.7393894048491518E-2</v>
      </c>
      <c r="AI35" s="117">
        <v>-3.3170210901613401E-2</v>
      </c>
      <c r="AJ35" s="117">
        <v>-3.3644883062714848E-2</v>
      </c>
      <c r="AK35" s="117">
        <v>-2.453135040399558E-2</v>
      </c>
      <c r="AL35" s="117">
        <v>-3.9769676011988574E-2</v>
      </c>
      <c r="AM35" s="117">
        <v>-2.7940614240509087E-2</v>
      </c>
      <c r="AN35" s="117">
        <v>-2.950997538246225E-2</v>
      </c>
      <c r="AO35" s="117">
        <v>-2.9201184189207613E-2</v>
      </c>
      <c r="AP35" s="117">
        <v>-4.6471937374438534E-2</v>
      </c>
      <c r="AQ35" s="117">
        <v>-3.8186620872493915E-2</v>
      </c>
      <c r="AR35" s="117">
        <v>-2.8444670277344625E-2</v>
      </c>
      <c r="AS35" s="117">
        <v>-3.0860543233913282E-2</v>
      </c>
      <c r="AT35" s="117">
        <v>-3.388484012011557E-2</v>
      </c>
      <c r="AU35" s="117">
        <v>-3.3120437968347335E-2</v>
      </c>
      <c r="AV35" s="117">
        <v>-2.989596604343403E-2</v>
      </c>
      <c r="AW35" s="117">
        <v>-2.3058752582184705E-2</v>
      </c>
      <c r="AX35" s="117">
        <v>-3.5787901031111735E-2</v>
      </c>
      <c r="AY35" s="117">
        <v>-2.4677972462572459E-2</v>
      </c>
      <c r="AZ35" s="117">
        <v>-3.2799200026889255E-2</v>
      </c>
      <c r="BA35" s="117">
        <v>-4.6736076683042638E-2</v>
      </c>
      <c r="BB35" s="117">
        <v>-3.4647497650334758E-2</v>
      </c>
      <c r="BC35" s="117">
        <v>-3.7847561048934927E-2</v>
      </c>
      <c r="BD35" s="117">
        <v>-2.4387099241903326E-2</v>
      </c>
      <c r="BE35" s="117">
        <v>-3.4331389756392092E-2</v>
      </c>
      <c r="BF35" s="117">
        <v>-4.1974547079711759E-2</v>
      </c>
      <c r="BG35" s="117">
        <v>-3.7468109610838768E-2</v>
      </c>
      <c r="BH35" s="117">
        <v>-3.8260036946949211E-2</v>
      </c>
      <c r="BI35" s="117">
        <v>-2.6092654194524376E-2</v>
      </c>
      <c r="BJ35" s="117">
        <v>-2.1854981068097482E-2</v>
      </c>
      <c r="BK35" s="117">
        <v>-2.7811365603638741E-2</v>
      </c>
      <c r="BL35" s="117">
        <v>-2.6272491658019897E-2</v>
      </c>
      <c r="BM35" s="117">
        <v>-3.9466249795873827E-2</v>
      </c>
      <c r="BN35" s="117">
        <v>-4.1551385399534589E-2</v>
      </c>
      <c r="BO35" s="117">
        <v>-2.4334448360119387E-2</v>
      </c>
      <c r="BP35" s="117">
        <v>-2.5803126292130218E-2</v>
      </c>
      <c r="BQ35" s="117">
        <v>-2.5243868435380262E-2</v>
      </c>
      <c r="BR35" s="117">
        <v>-3.5020914982943616E-2</v>
      </c>
      <c r="BS35" s="117">
        <v>-2.9524625330313151E-2</v>
      </c>
      <c r="BT35" s="117">
        <v>-4.4154306815527324E-2</v>
      </c>
      <c r="BU35" s="117">
        <v>-2.8192815152085784E-2</v>
      </c>
      <c r="BV35" s="117">
        <v>-2.6221727000983838E-2</v>
      </c>
      <c r="BW35" s="117">
        <v>-3.174913451513775E-2</v>
      </c>
      <c r="BX35" s="117">
        <v>-2.988717378685081E-2</v>
      </c>
      <c r="BY35" s="117">
        <v>-2.649382688681956E-2</v>
      </c>
      <c r="BZ35" s="117">
        <v>-2.1379906833477291E-2</v>
      </c>
      <c r="CA35" s="117">
        <v>-2.804299007370982E-2</v>
      </c>
      <c r="CB35" s="117">
        <v>-4.411345652986013E-2</v>
      </c>
      <c r="CC35" s="117">
        <v>-3.3321791902567482E-2</v>
      </c>
      <c r="CD35" s="117">
        <v>-3.774011000824145E-2</v>
      </c>
      <c r="CE35" s="117">
        <v>-3.155257677805845E-2</v>
      </c>
      <c r="CF35" s="117">
        <v>-4.4464448316360178E-2</v>
      </c>
      <c r="CG35" s="117">
        <v>-2.5873096240529303E-2</v>
      </c>
      <c r="CH35" s="117">
        <v>-2.2093612519977393E-2</v>
      </c>
      <c r="CI35" s="117">
        <v>-2.5151847416080009E-2</v>
      </c>
      <c r="CJ35" s="117">
        <v>-2.3813697458979585E-2</v>
      </c>
      <c r="CK35" s="117">
        <v>-3.2577414298233257E-2</v>
      </c>
      <c r="CL35" s="117">
        <v>-2.4851517544808216E-2</v>
      </c>
      <c r="CM35" s="117">
        <v>-3.1044457636631162E-2</v>
      </c>
      <c r="CN35" s="117">
        <v>-3.5937149404802984E-2</v>
      </c>
      <c r="CO35" s="117">
        <v>-2.6945424574051025E-2</v>
      </c>
      <c r="CP35" s="117">
        <v>-3.7395416364082446E-2</v>
      </c>
      <c r="CQ35" s="117">
        <v>-3.2136378992582468E-2</v>
      </c>
      <c r="CR35" s="117">
        <v>-2.9040359565716864E-2</v>
      </c>
      <c r="CS35" s="117">
        <v>-3.818860834987832E-2</v>
      </c>
      <c r="CT35" s="117">
        <v>-2.6678113493748448E-2</v>
      </c>
      <c r="CU35" s="117">
        <v>-2.0083696485448652E-2</v>
      </c>
      <c r="CV35" s="117">
        <v>-2.5380239878226213E-2</v>
      </c>
      <c r="CW35" s="117">
        <v>-3.6659462581980315E-2</v>
      </c>
      <c r="CX35" s="117">
        <v>-3.8704557875740384E-2</v>
      </c>
    </row>
    <row r="36" spans="1:102" s="115" customFormat="1">
      <c r="A36" s="252" t="str">
        <f t="shared" si="0"/>
        <v>Onroerend goed</v>
      </c>
      <c r="B36" s="253"/>
      <c r="C36" s="117">
        <v>-5.4418741163064756E-2</v>
      </c>
      <c r="D36" s="117">
        <v>-4.6731886711523896E-2</v>
      </c>
      <c r="E36" s="117">
        <v>-4.6890416199134005E-2</v>
      </c>
      <c r="F36" s="117">
        <v>-6.6951912365563512E-2</v>
      </c>
      <c r="G36" s="117">
        <v>-2.1610565436566101E-2</v>
      </c>
      <c r="H36" s="117">
        <v>-5.1584013405401856E-2</v>
      </c>
      <c r="I36" s="117">
        <v>-5.6256963295209315E-2</v>
      </c>
      <c r="J36" s="117">
        <v>-5.6373265436941065E-2</v>
      </c>
      <c r="K36" s="117">
        <v>-5.7361505761443832E-2</v>
      </c>
      <c r="L36" s="117">
        <v>-4.5779459106963176E-2</v>
      </c>
      <c r="M36" s="117">
        <v>-1.8453261735559057E-2</v>
      </c>
      <c r="N36" s="117">
        <v>-4.318452875314012E-2</v>
      </c>
      <c r="O36" s="117">
        <v>-6.2544306441714242E-2</v>
      </c>
      <c r="P36" s="117">
        <v>-4.4342039472347224E-2</v>
      </c>
      <c r="Q36" s="117">
        <v>-5.1020320324104335E-2</v>
      </c>
      <c r="R36" s="117">
        <v>-4.1648351376694558E-2</v>
      </c>
      <c r="S36" s="117">
        <v>-5.3693230726468574E-2</v>
      </c>
      <c r="T36" s="117">
        <v>-5.2824496592013326E-2</v>
      </c>
      <c r="U36" s="117">
        <v>-4.4368969388316949E-2</v>
      </c>
      <c r="V36" s="117">
        <v>-5.9332575995374337E-2</v>
      </c>
      <c r="W36" s="117">
        <v>-5.2522898554244295E-2</v>
      </c>
      <c r="X36" s="117">
        <v>-4.9346224894981951E-2</v>
      </c>
      <c r="Y36" s="117">
        <v>-6.3947713756676738E-2</v>
      </c>
      <c r="Z36" s="117">
        <v>-4.0479709154063861E-2</v>
      </c>
      <c r="AA36" s="117">
        <v>-7.2727078492472397E-2</v>
      </c>
      <c r="AB36" s="117">
        <v>-5.8227705973155686E-2</v>
      </c>
      <c r="AC36" s="117">
        <v>-3.4943939922278858E-2</v>
      </c>
      <c r="AD36" s="117">
        <v>-4.7927282129811094E-2</v>
      </c>
      <c r="AE36" s="117">
        <v>-4.8488744666820779E-2</v>
      </c>
      <c r="AF36" s="117">
        <v>-6.2982872257841355E-2</v>
      </c>
      <c r="AG36" s="117">
        <v>-3.5338718039844078E-2</v>
      </c>
      <c r="AH36" s="117">
        <v>-4.44050946861397E-2</v>
      </c>
      <c r="AI36" s="117">
        <v>-4.3897533190525764E-2</v>
      </c>
      <c r="AJ36" s="117">
        <v>-6.1643723450662859E-2</v>
      </c>
      <c r="AK36" s="117">
        <v>-3.5735873173042471E-2</v>
      </c>
      <c r="AL36" s="117">
        <v>-5.8245692603406111E-2</v>
      </c>
      <c r="AM36" s="117">
        <v>-4.8482429862662497E-2</v>
      </c>
      <c r="AN36" s="117">
        <v>-5.0894929122469387E-2</v>
      </c>
      <c r="AO36" s="117">
        <v>-5.0011539193889384E-2</v>
      </c>
      <c r="AP36" s="117">
        <v>-8.1837441708093386E-2</v>
      </c>
      <c r="AQ36" s="117">
        <v>-4.0557536171053739E-2</v>
      </c>
      <c r="AR36" s="117">
        <v>-5.2237114134210165E-2</v>
      </c>
      <c r="AS36" s="117">
        <v>-6.0962825144741703E-2</v>
      </c>
      <c r="AT36" s="117">
        <v>-6.8107139071048234E-2</v>
      </c>
      <c r="AU36" s="117">
        <v>-5.6167704450552303E-2</v>
      </c>
      <c r="AV36" s="117">
        <v>-3.1141834310977903E-2</v>
      </c>
      <c r="AW36" s="117">
        <v>-2.6421373629561873E-2</v>
      </c>
      <c r="AX36" s="117">
        <v>-4.667499754103533E-2</v>
      </c>
      <c r="AY36" s="117">
        <v>-4.7385798892350998E-2</v>
      </c>
      <c r="AZ36" s="117">
        <v>-6.0719372754877904E-2</v>
      </c>
      <c r="BA36" s="117">
        <v>-6.7975444945500341E-2</v>
      </c>
      <c r="BB36" s="117">
        <v>-6.39987326354165E-2</v>
      </c>
      <c r="BC36" s="117">
        <v>-5.3951735578635064E-2</v>
      </c>
      <c r="BD36" s="117">
        <v>-4.3930303996223961E-2</v>
      </c>
      <c r="BE36" s="117">
        <v>-5.9064459800920802E-2</v>
      </c>
      <c r="BF36" s="117">
        <v>-6.9632190170443503E-2</v>
      </c>
      <c r="BG36" s="117">
        <v>-6.0250870874824537E-2</v>
      </c>
      <c r="BH36" s="117">
        <v>-7.1663964764574095E-2</v>
      </c>
      <c r="BI36" s="117">
        <v>-2.8580886754376186E-2</v>
      </c>
      <c r="BJ36" s="117">
        <v>-3.50932859850933E-2</v>
      </c>
      <c r="BK36" s="117">
        <v>-5.2195725102145582E-2</v>
      </c>
      <c r="BL36" s="117">
        <v>-4.6560366544086934E-2</v>
      </c>
      <c r="BM36" s="117">
        <v>-5.281971827904626E-2</v>
      </c>
      <c r="BN36" s="117">
        <v>-5.847094475872356E-2</v>
      </c>
      <c r="BO36" s="117">
        <v>-2.9846435368109867E-2</v>
      </c>
      <c r="BP36" s="117">
        <v>-3.1161413372472427E-2</v>
      </c>
      <c r="BQ36" s="117">
        <v>-5.0641003384630442E-2</v>
      </c>
      <c r="BR36" s="117">
        <v>-6.8086833032568309E-2</v>
      </c>
      <c r="BS36" s="117">
        <v>-4.2957517918167154E-2</v>
      </c>
      <c r="BT36" s="117">
        <v>-6.2949478000900699E-2</v>
      </c>
      <c r="BU36" s="117">
        <v>-5.0982736187374131E-2</v>
      </c>
      <c r="BV36" s="117">
        <v>-3.7990272555466692E-2</v>
      </c>
      <c r="BW36" s="117">
        <v>-5.0907761344205028E-2</v>
      </c>
      <c r="BX36" s="117">
        <v>-5.0812083136723862E-2</v>
      </c>
      <c r="BY36" s="117">
        <v>-4.4717886144779721E-2</v>
      </c>
      <c r="BZ36" s="117">
        <v>-2.4902392002004156E-2</v>
      </c>
      <c r="CA36" s="117">
        <v>-4.9107574022213552E-2</v>
      </c>
      <c r="CB36" s="117">
        <v>-6.9507365015816183E-2</v>
      </c>
      <c r="CC36" s="117">
        <v>-4.1988717548088736E-2</v>
      </c>
      <c r="CD36" s="117">
        <v>-6.2392943558468458E-2</v>
      </c>
      <c r="CE36" s="117">
        <v>-4.3400275857647191E-2</v>
      </c>
      <c r="CF36" s="117">
        <v>-7.3271562058867395E-2</v>
      </c>
      <c r="CG36" s="117">
        <v>-5.955310071168661E-2</v>
      </c>
      <c r="CH36" s="117">
        <v>-4.4466791825910207E-2</v>
      </c>
      <c r="CI36" s="117">
        <v>-2.3251113320906305E-2</v>
      </c>
      <c r="CJ36" s="117">
        <v>-3.1258929185106643E-2</v>
      </c>
      <c r="CK36" s="117">
        <v>-5.8682664194060111E-2</v>
      </c>
      <c r="CL36" s="117">
        <v>-3.4935146330966865E-2</v>
      </c>
      <c r="CM36" s="117">
        <v>-5.6059771112462083E-2</v>
      </c>
      <c r="CN36" s="117">
        <v>-3.1088463139435696E-2</v>
      </c>
      <c r="CO36" s="117">
        <v>-4.9292701182607611E-2</v>
      </c>
      <c r="CP36" s="117">
        <v>-6.1191581931957187E-2</v>
      </c>
      <c r="CQ36" s="117">
        <v>-4.0141250220549117E-2</v>
      </c>
      <c r="CR36" s="117">
        <v>-5.2318907122366601E-2</v>
      </c>
      <c r="CS36" s="117">
        <v>-5.9724888610123955E-2</v>
      </c>
      <c r="CT36" s="117">
        <v>-2.5613545970834664E-2</v>
      </c>
      <c r="CU36" s="117">
        <v>-3.2540828618924711E-2</v>
      </c>
      <c r="CV36" s="117">
        <v>-2.7012432983975571E-2</v>
      </c>
      <c r="CW36" s="117">
        <v>-6.4315946377976246E-2</v>
      </c>
      <c r="CX36" s="117">
        <v>-6.9561465872748113E-2</v>
      </c>
    </row>
    <row r="37" spans="1:102" s="131" customFormat="1">
      <c r="A37" s="254" t="str">
        <f t="shared" si="0"/>
        <v>Commodities</v>
      </c>
      <c r="B37" s="255"/>
      <c r="C37" s="118">
        <v>3.5632252268452069E-2</v>
      </c>
      <c r="D37" s="118">
        <v>4.803409461184685E-2</v>
      </c>
      <c r="E37" s="118">
        <v>5.8195206446432779E-2</v>
      </c>
      <c r="F37" s="118">
        <v>2.7243376239373757E-2</v>
      </c>
      <c r="G37" s="118">
        <v>4.4175754952218094E-2</v>
      </c>
      <c r="H37" s="118">
        <v>5.5595834678302813E-2</v>
      </c>
      <c r="I37" s="118">
        <v>4.2039358086394779E-2</v>
      </c>
      <c r="J37" s="118">
        <v>3.8522182413069789E-2</v>
      </c>
      <c r="K37" s="118">
        <v>2.2068626110584424E-2</v>
      </c>
      <c r="L37" s="118">
        <v>4.5580129833358629E-2</v>
      </c>
      <c r="M37" s="118">
        <v>4.7317907399847647E-2</v>
      </c>
      <c r="N37" s="118">
        <v>4.7521524590982078E-2</v>
      </c>
      <c r="O37" s="118">
        <v>2.5231876854326041E-2</v>
      </c>
      <c r="P37" s="118">
        <v>5.1147245892571747E-2</v>
      </c>
      <c r="Q37" s="118">
        <v>4.820214648275728E-2</v>
      </c>
      <c r="R37" s="118">
        <v>4.2565270852846365E-2</v>
      </c>
      <c r="S37" s="118">
        <v>2.2286592128902966E-2</v>
      </c>
      <c r="T37" s="118">
        <v>3.6472556410828333E-2</v>
      </c>
      <c r="U37" s="118">
        <v>5.3304765500327173E-2</v>
      </c>
      <c r="V37" s="118">
        <v>2.7690126045284535E-2</v>
      </c>
      <c r="W37" s="118">
        <v>1.5031555948464281E-2</v>
      </c>
      <c r="X37" s="118">
        <v>3.394586284946835E-2</v>
      </c>
      <c r="Y37" s="118">
        <v>3.9018717705009809E-2</v>
      </c>
      <c r="Z37" s="118">
        <v>7.1346688383282397E-2</v>
      </c>
      <c r="AA37" s="118">
        <v>2.4422110877025782E-2</v>
      </c>
      <c r="AB37" s="118">
        <v>3.570798907471287E-2</v>
      </c>
      <c r="AC37" s="118">
        <v>4.3573819114774676E-2</v>
      </c>
      <c r="AD37" s="118">
        <v>4.9605310300442768E-2</v>
      </c>
      <c r="AE37" s="118">
        <v>4.0063354098867437E-2</v>
      </c>
      <c r="AF37" s="118">
        <v>4.1672144452809007E-2</v>
      </c>
      <c r="AG37" s="118">
        <v>7.0592506445398273E-2</v>
      </c>
      <c r="AH37" s="118">
        <v>5.8471537887055058E-2</v>
      </c>
      <c r="AI37" s="118">
        <v>3.5520418588055103E-2</v>
      </c>
      <c r="AJ37" s="118">
        <v>4.7165680772528445E-2</v>
      </c>
      <c r="AK37" s="118">
        <v>4.5468079718035459E-2</v>
      </c>
      <c r="AL37" s="118">
        <v>2.565409806354621E-2</v>
      </c>
      <c r="AM37" s="118">
        <v>5.5282714287392398E-2</v>
      </c>
      <c r="AN37" s="118">
        <v>6.3344584294916101E-2</v>
      </c>
      <c r="AO37" s="118">
        <v>3.8389031513305111E-2</v>
      </c>
      <c r="AP37" s="118">
        <v>1.5622644747107048E-2</v>
      </c>
      <c r="AQ37" s="118">
        <v>3.1221764124671342E-2</v>
      </c>
      <c r="AR37" s="118">
        <v>3.70634185510402E-2</v>
      </c>
      <c r="AS37" s="118">
        <v>3.2519013764840315E-2</v>
      </c>
      <c r="AT37" s="118">
        <v>3.1933316394967132E-2</v>
      </c>
      <c r="AU37" s="118">
        <v>2.3457151323713357E-2</v>
      </c>
      <c r="AV37" s="118">
        <v>3.1448414357085647E-2</v>
      </c>
      <c r="AW37" s="118">
        <v>6.293871871006454E-2</v>
      </c>
      <c r="AX37" s="118">
        <v>3.9021853322211503E-2</v>
      </c>
      <c r="AY37" s="118">
        <v>4.8343019246217894E-2</v>
      </c>
      <c r="AZ37" s="118">
        <v>3.2742990398951344E-2</v>
      </c>
      <c r="BA37" s="118">
        <v>2.7286579253343712E-2</v>
      </c>
      <c r="BB37" s="118">
        <v>4.366325198561527E-2</v>
      </c>
      <c r="BC37" s="118">
        <v>3.3399026845629204E-2</v>
      </c>
      <c r="BD37" s="118">
        <v>6.1566820625340274E-2</v>
      </c>
      <c r="BE37" s="118">
        <v>3.6375224621849084E-2</v>
      </c>
      <c r="BF37" s="118">
        <v>2.3352627871315423E-2</v>
      </c>
      <c r="BG37" s="118">
        <v>3.1339995758526862E-2</v>
      </c>
      <c r="BH37" s="118">
        <v>2.8657180620105444E-2</v>
      </c>
      <c r="BI37" s="118">
        <v>4.5092345028103359E-2</v>
      </c>
      <c r="BJ37" s="118">
        <v>5.408414670217232E-2</v>
      </c>
      <c r="BK37" s="118">
        <v>4.3111276315539238E-2</v>
      </c>
      <c r="BL37" s="118">
        <v>4.4306878053227222E-2</v>
      </c>
      <c r="BM37" s="118">
        <v>2.1231765085383061E-2</v>
      </c>
      <c r="BN37" s="118">
        <v>1.6899864667157719E-2</v>
      </c>
      <c r="BO37" s="118">
        <v>3.1938225659053215E-2</v>
      </c>
      <c r="BP37" s="118">
        <v>3.6115612734745783E-2</v>
      </c>
      <c r="BQ37" s="118">
        <v>4.4612472081510701E-2</v>
      </c>
      <c r="BR37" s="118">
        <v>3.7108952211730328E-2</v>
      </c>
      <c r="BS37" s="118">
        <v>6.4651782169423522E-2</v>
      </c>
      <c r="BT37" s="118">
        <v>2.5948379919274012E-2</v>
      </c>
      <c r="BU37" s="118">
        <v>6.166585055495255E-2</v>
      </c>
      <c r="BV37" s="118">
        <v>4.6602693220510361E-2</v>
      </c>
      <c r="BW37" s="118">
        <v>5.530540971504902E-2</v>
      </c>
      <c r="BX37" s="118">
        <v>5.4053941834109526E-2</v>
      </c>
      <c r="BY37" s="118">
        <v>6.1158104774571398E-2</v>
      </c>
      <c r="BZ37" s="118">
        <v>7.6875085253598624E-2</v>
      </c>
      <c r="CA37" s="118">
        <v>6.1256561365921308E-2</v>
      </c>
      <c r="CB37" s="118">
        <v>1.880179998670202E-2</v>
      </c>
      <c r="CC37" s="118">
        <v>5.8981889769769702E-2</v>
      </c>
      <c r="CD37" s="118">
        <v>3.6126223074507829E-2</v>
      </c>
      <c r="CE37" s="118">
        <v>3.7155515665179412E-2</v>
      </c>
      <c r="CF37" s="118">
        <v>1.5652237766034069E-2</v>
      </c>
      <c r="CG37" s="118">
        <v>3.3650016449715048E-2</v>
      </c>
      <c r="CH37" s="118">
        <v>7.3481945388968822E-2</v>
      </c>
      <c r="CI37" s="118">
        <v>4.4610547927040917E-2</v>
      </c>
      <c r="CJ37" s="118">
        <v>4.3450642638829917E-2</v>
      </c>
      <c r="CK37" s="118">
        <v>3.8113779432979361E-2</v>
      </c>
      <c r="CL37" s="118">
        <v>6.2886293972986812E-2</v>
      </c>
      <c r="CM37" s="118">
        <v>3.4012656082656106E-2</v>
      </c>
      <c r="CN37" s="118">
        <v>3.4242696115839633E-2</v>
      </c>
      <c r="CO37" s="118">
        <v>5.345946590931594E-2</v>
      </c>
      <c r="CP37" s="118">
        <v>4.3748221322683217E-2</v>
      </c>
      <c r="CQ37" s="118">
        <v>3.0896709727012112E-2</v>
      </c>
      <c r="CR37" s="118">
        <v>3.7520717934766912E-2</v>
      </c>
      <c r="CS37" s="118">
        <v>2.9690024940447979E-2</v>
      </c>
      <c r="CT37" s="118">
        <v>5.6731138557359839E-2</v>
      </c>
      <c r="CU37" s="118">
        <v>4.761901314727654E-2</v>
      </c>
      <c r="CV37" s="118">
        <v>4.8845950412393535E-2</v>
      </c>
      <c r="CW37" s="118">
        <v>3.7130163915517739E-2</v>
      </c>
      <c r="CX37" s="118">
        <v>3.0586140504617138E-2</v>
      </c>
    </row>
    <row r="38" spans="1:102" s="115" customFormat="1">
      <c r="A38" s="76" t="s">
        <v>132</v>
      </c>
      <c r="B38" s="119"/>
      <c r="C38" s="120">
        <v>18.123379971185674</v>
      </c>
      <c r="D38" s="120">
        <v>17.770410941545045</v>
      </c>
      <c r="E38" s="120">
        <v>18.012932979127417</v>
      </c>
      <c r="F38" s="120">
        <v>18.41900752884824</v>
      </c>
      <c r="G38" s="120">
        <v>17.785651412211951</v>
      </c>
      <c r="H38" s="120">
        <v>18.214011287580618</v>
      </c>
      <c r="I38" s="120">
        <v>17.912894768372578</v>
      </c>
      <c r="J38" s="120">
        <v>18.113196378625418</v>
      </c>
      <c r="K38" s="120">
        <v>18.316052761277017</v>
      </c>
      <c r="L38" s="120">
        <v>18.303220496903755</v>
      </c>
      <c r="M38" s="120">
        <v>17.713511804826446</v>
      </c>
      <c r="N38" s="120">
        <v>18.221451856526429</v>
      </c>
      <c r="O38" s="120">
        <v>18.619840137737736</v>
      </c>
      <c r="P38" s="120">
        <v>17.99583878472475</v>
      </c>
      <c r="Q38" s="120">
        <v>18.459387849880159</v>
      </c>
      <c r="R38" s="120">
        <v>18.897480188476017</v>
      </c>
      <c r="S38" s="120">
        <v>18.121982216160788</v>
      </c>
      <c r="T38" s="120">
        <v>17.850468119508697</v>
      </c>
      <c r="U38" s="120">
        <v>17.946685935161774</v>
      </c>
      <c r="V38" s="120">
        <v>18.369688861868806</v>
      </c>
      <c r="W38" s="120">
        <v>17.949058482588967</v>
      </c>
      <c r="X38" s="120">
        <v>17.674026306337129</v>
      </c>
      <c r="Y38" s="120">
        <v>18.689383153832758</v>
      </c>
      <c r="Z38" s="120">
        <v>18.270921249153407</v>
      </c>
      <c r="AA38" s="120">
        <v>18.006146629749974</v>
      </c>
      <c r="AB38" s="120">
        <v>18.343104121757737</v>
      </c>
      <c r="AC38" s="120">
        <v>18.486999092975669</v>
      </c>
      <c r="AD38" s="120">
        <v>18.392587197356384</v>
      </c>
      <c r="AE38" s="120">
        <v>18.742023817854864</v>
      </c>
      <c r="AF38" s="120">
        <v>18.540418656764977</v>
      </c>
      <c r="AG38" s="120">
        <v>18.342462779818852</v>
      </c>
      <c r="AH38" s="120">
        <v>17.994196552578806</v>
      </c>
      <c r="AI38" s="120">
        <v>18.372680571248765</v>
      </c>
      <c r="AJ38" s="120">
        <v>18.436215038352998</v>
      </c>
      <c r="AK38" s="120">
        <v>17.993568896666726</v>
      </c>
      <c r="AL38" s="120">
        <v>18.485414965316057</v>
      </c>
      <c r="AM38" s="120">
        <v>18.477082046128189</v>
      </c>
      <c r="AN38" s="120">
        <v>19.061072239379804</v>
      </c>
      <c r="AO38" s="120">
        <v>19.388155308510765</v>
      </c>
      <c r="AP38" s="120">
        <v>18.303391954862683</v>
      </c>
      <c r="AQ38" s="120">
        <v>18.415088542289425</v>
      </c>
      <c r="AR38" s="120">
        <v>18.87005084612057</v>
      </c>
      <c r="AS38" s="120">
        <v>18.755388367962151</v>
      </c>
      <c r="AT38" s="120">
        <v>18.024745288054671</v>
      </c>
      <c r="AU38" s="120">
        <v>17.982512862288043</v>
      </c>
      <c r="AV38" s="120">
        <v>18.03891476495459</v>
      </c>
      <c r="AW38" s="120">
        <v>18.007807711375797</v>
      </c>
      <c r="AX38" s="120">
        <v>18.337855089364187</v>
      </c>
      <c r="AY38" s="120">
        <v>17.722908233973147</v>
      </c>
      <c r="AZ38" s="120">
        <v>18.081128641925407</v>
      </c>
      <c r="BA38" s="120">
        <v>18.504270901057836</v>
      </c>
      <c r="BB38" s="120">
        <v>19.076391505210822</v>
      </c>
      <c r="BC38" s="120">
        <v>18.652472281390082</v>
      </c>
      <c r="BD38" s="120">
        <v>18.357742071010801</v>
      </c>
      <c r="BE38" s="120">
        <v>18.500587921611992</v>
      </c>
      <c r="BF38" s="120">
        <v>18.809098864569361</v>
      </c>
      <c r="BG38" s="120">
        <v>18.403228872777245</v>
      </c>
      <c r="BH38" s="120">
        <v>18.210401051932831</v>
      </c>
      <c r="BI38" s="120">
        <v>18.274430241033766</v>
      </c>
      <c r="BJ38" s="120">
        <v>18.042746401862885</v>
      </c>
      <c r="BK38" s="120">
        <v>18.158273542334157</v>
      </c>
      <c r="BL38" s="120">
        <v>17.882668805732379</v>
      </c>
      <c r="BM38" s="120">
        <v>18.999944802241576</v>
      </c>
      <c r="BN38" s="120">
        <v>18.81213047849937</v>
      </c>
      <c r="BO38" s="120">
        <v>18.00240987468117</v>
      </c>
      <c r="BP38" s="120">
        <v>17.981481976707201</v>
      </c>
      <c r="BQ38" s="120">
        <v>18.59895981407735</v>
      </c>
      <c r="BR38" s="120">
        <v>19.259556035248352</v>
      </c>
      <c r="BS38" s="120">
        <v>18.839819688933616</v>
      </c>
      <c r="BT38" s="120">
        <v>19.182248591596544</v>
      </c>
      <c r="BU38" s="120">
        <v>18.740177818806302</v>
      </c>
      <c r="BV38" s="120">
        <v>18.002024539454283</v>
      </c>
      <c r="BW38" s="120">
        <v>18.147525560287189</v>
      </c>
      <c r="BX38" s="120">
        <v>18.636240734406027</v>
      </c>
      <c r="BY38" s="120">
        <v>18.75935832090682</v>
      </c>
      <c r="BZ38" s="120">
        <v>18.236809026135205</v>
      </c>
      <c r="CA38" s="120">
        <v>18.181391485564497</v>
      </c>
      <c r="CB38" s="120">
        <v>18.270234301582683</v>
      </c>
      <c r="CC38" s="120">
        <v>18.876481021398018</v>
      </c>
      <c r="CD38" s="120">
        <v>18.66802538620199</v>
      </c>
      <c r="CE38" s="120">
        <v>18.724033420066426</v>
      </c>
      <c r="CF38" s="120">
        <v>18.996077837796484</v>
      </c>
      <c r="CG38" s="120">
        <v>18.006997620403837</v>
      </c>
      <c r="CH38" s="120">
        <v>18.001788151587743</v>
      </c>
      <c r="CI38" s="120">
        <v>17.921938019144793</v>
      </c>
      <c r="CJ38" s="120">
        <v>18.069737596565993</v>
      </c>
      <c r="CK38" s="120">
        <v>18.939144399909281</v>
      </c>
      <c r="CL38" s="120">
        <v>18.229554659948146</v>
      </c>
      <c r="CM38" s="120">
        <v>18.312298748309587</v>
      </c>
      <c r="CN38" s="120">
        <v>18.358444397664034</v>
      </c>
      <c r="CO38" s="120">
        <v>18.729298859804736</v>
      </c>
      <c r="CP38" s="120">
        <v>18.379237138689689</v>
      </c>
      <c r="CQ38" s="120">
        <v>17.96659816466558</v>
      </c>
      <c r="CR38" s="120">
        <v>18.392536400356878</v>
      </c>
      <c r="CS38" s="120">
        <v>18.24527856997306</v>
      </c>
      <c r="CT38" s="120">
        <v>18.461860878877562</v>
      </c>
      <c r="CU38" s="120">
        <v>17.56031004075998</v>
      </c>
      <c r="CV38" s="120">
        <v>18.213878921438194</v>
      </c>
      <c r="CW38" s="120">
        <v>18.478140776354831</v>
      </c>
      <c r="CX38" s="120">
        <v>19.147566359837072</v>
      </c>
    </row>
    <row r="39" spans="1:102" s="11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115" customFormat="1">
      <c r="A40" s="144" t="s">
        <v>133</v>
      </c>
      <c r="B40" s="14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31" customFormat="1">
      <c r="A41" s="128" t="str">
        <f>Parameters!A40</f>
        <v>Basis</v>
      </c>
      <c r="B41" s="122" t="s">
        <v>29</v>
      </c>
      <c r="C41" s="123">
        <v>8.5741477244172682E-3</v>
      </c>
      <c r="D41" s="123">
        <v>1.113513469902223E-2</v>
      </c>
      <c r="E41" s="123">
        <v>1.169789396224602E-2</v>
      </c>
      <c r="F41" s="123">
        <v>7.515630051496542E-3</v>
      </c>
      <c r="G41" s="123">
        <v>8.4952710127535053E-3</v>
      </c>
      <c r="H41" s="123">
        <v>1.0975545059027163E-2</v>
      </c>
      <c r="I41" s="123">
        <v>1.0571888231152984E-2</v>
      </c>
      <c r="J41" s="123">
        <v>9.9174240439945729E-3</v>
      </c>
      <c r="K41" s="123">
        <v>6.6531621348520928E-3</v>
      </c>
      <c r="L41" s="123">
        <v>7.7506090539918946E-3</v>
      </c>
      <c r="M41" s="123">
        <v>9.5471708463450173E-3</v>
      </c>
      <c r="N41" s="123">
        <v>7.1698032686509511E-3</v>
      </c>
      <c r="O41" s="123">
        <v>6.4150844544355662E-3</v>
      </c>
      <c r="P41" s="123">
        <v>8.8638287237288657E-3</v>
      </c>
      <c r="Q41" s="123">
        <v>7.8429050599172229E-3</v>
      </c>
      <c r="R41" s="123">
        <v>8.5034985516816188E-3</v>
      </c>
      <c r="S41" s="123">
        <v>6.0951319494824243E-3</v>
      </c>
      <c r="T41" s="123">
        <v>1.0528687212094188E-2</v>
      </c>
      <c r="U41" s="123">
        <v>1.1303336537197565E-2</v>
      </c>
      <c r="V41" s="123">
        <v>6.9034894139344063E-3</v>
      </c>
      <c r="W41" s="123">
        <v>8.3063760213887682E-3</v>
      </c>
      <c r="X41" s="123">
        <v>1.0866433699123707E-2</v>
      </c>
      <c r="Y41" s="123">
        <v>6.7496472847383754E-3</v>
      </c>
      <c r="Z41" s="123">
        <v>1.2421758845996698E-2</v>
      </c>
      <c r="AA41" s="123">
        <v>1.0897648091171865E-2</v>
      </c>
      <c r="AB41" s="123">
        <v>9.4900924236245333E-3</v>
      </c>
      <c r="AC41" s="123">
        <v>6.3516876471736211E-3</v>
      </c>
      <c r="AD41" s="123">
        <v>1.0830727110793819E-2</v>
      </c>
      <c r="AE41" s="123">
        <v>8.8559913923599732E-3</v>
      </c>
      <c r="AF41" s="123">
        <v>9.1163023611940414E-3</v>
      </c>
      <c r="AG41" s="123">
        <v>8.3934770522427118E-3</v>
      </c>
      <c r="AH41" s="123">
        <v>9.1183164094070374E-3</v>
      </c>
      <c r="AI41" s="123">
        <v>6.4318005385631373E-3</v>
      </c>
      <c r="AJ41" s="123">
        <v>1.0321302053362623E-2</v>
      </c>
      <c r="AK41" s="123">
        <v>1.0188336770960911E-2</v>
      </c>
      <c r="AL41" s="123">
        <v>6.5239133015634124E-3</v>
      </c>
      <c r="AM41" s="123">
        <v>8.7506072318017884E-3</v>
      </c>
      <c r="AN41" s="123">
        <v>1.033965309860869E-2</v>
      </c>
      <c r="AO41" s="123">
        <v>7.7293363632356116E-3</v>
      </c>
      <c r="AP41" s="123">
        <v>7.3520091110301083E-3</v>
      </c>
      <c r="AQ41" s="123">
        <v>5.618588016473882E-3</v>
      </c>
      <c r="AR41" s="123">
        <v>7.5005558908176565E-3</v>
      </c>
      <c r="AS41" s="123">
        <v>8.7942742716222919E-3</v>
      </c>
      <c r="AT41" s="123">
        <v>9.8399152187040213E-3</v>
      </c>
      <c r="AU41" s="123">
        <v>1.0194062434343263E-2</v>
      </c>
      <c r="AV41" s="123">
        <v>8.9802245841360696E-3</v>
      </c>
      <c r="AW41" s="123">
        <v>8.2936887280858941E-3</v>
      </c>
      <c r="AX41" s="123">
        <v>5.6200278326466787E-3</v>
      </c>
      <c r="AY41" s="123">
        <v>1.0374358136819533E-2</v>
      </c>
      <c r="AZ41" s="123">
        <v>9.8701082820636717E-3</v>
      </c>
      <c r="BA41" s="123">
        <v>4.8334807466383521E-3</v>
      </c>
      <c r="BB41" s="123">
        <v>8.3247702288044411E-3</v>
      </c>
      <c r="BC41" s="123">
        <v>6.3005045664569735E-3</v>
      </c>
      <c r="BD41" s="123">
        <v>9.4716856516280212E-3</v>
      </c>
      <c r="BE41" s="123">
        <v>9.2488619171760995E-3</v>
      </c>
      <c r="BF41" s="123">
        <v>6.5965248710057591E-3</v>
      </c>
      <c r="BG41" s="123">
        <v>6.588600444180779E-3</v>
      </c>
      <c r="BH41" s="123">
        <v>8.1763211161054311E-3</v>
      </c>
      <c r="BI41" s="123">
        <v>8.0745612589731407E-3</v>
      </c>
      <c r="BJ41" s="123">
        <v>9.8441908502835199E-3</v>
      </c>
      <c r="BK41" s="123">
        <v>8.1716873602619838E-3</v>
      </c>
      <c r="BL41" s="123">
        <v>7.7376596605443788E-3</v>
      </c>
      <c r="BM41" s="123">
        <v>5.9873326693507551E-3</v>
      </c>
      <c r="BN41" s="123">
        <v>6.9016777139956857E-3</v>
      </c>
      <c r="BO41" s="123">
        <v>9.8365430002751528E-3</v>
      </c>
      <c r="BP41" s="123">
        <v>9.2968180623752006E-3</v>
      </c>
      <c r="BQ41" s="123">
        <v>9.5241859373483891E-3</v>
      </c>
      <c r="BR41" s="123">
        <v>9.0796779053896014E-3</v>
      </c>
      <c r="BS41" s="123">
        <v>7.6547167799056633E-3</v>
      </c>
      <c r="BT41" s="123">
        <v>5.0715921005576791E-3</v>
      </c>
      <c r="BU41" s="123">
        <v>9.1592874809759642E-3</v>
      </c>
      <c r="BV41" s="123">
        <v>1.0432631675736244E-2</v>
      </c>
      <c r="BW41" s="123">
        <v>8.4522123170892617E-3</v>
      </c>
      <c r="BX41" s="123">
        <v>7.7628903136234629E-3</v>
      </c>
      <c r="BY41" s="123">
        <v>9.2517106179387156E-3</v>
      </c>
      <c r="BZ41" s="123">
        <v>9.5722802399975243E-3</v>
      </c>
      <c r="CA41" s="123">
        <v>9.9354036071089766E-3</v>
      </c>
      <c r="CB41" s="123">
        <v>5.5458092249679658E-3</v>
      </c>
      <c r="CC41" s="123">
        <v>7.5767660689125289E-3</v>
      </c>
      <c r="CD41" s="123">
        <v>6.5373140455545087E-3</v>
      </c>
      <c r="CE41" s="123">
        <v>7.1286401728104919E-3</v>
      </c>
      <c r="CF41" s="123">
        <v>5.7371306042800271E-3</v>
      </c>
      <c r="CG41" s="123">
        <v>1.0801793295988675E-2</v>
      </c>
      <c r="CH41" s="123">
        <v>1.2584008700378027E-2</v>
      </c>
      <c r="CI41" s="123">
        <v>9.3812604285581497E-3</v>
      </c>
      <c r="CJ41" s="123">
        <v>1.1214044478706281E-2</v>
      </c>
      <c r="CK41" s="123">
        <v>8.260563962522444E-3</v>
      </c>
      <c r="CL41" s="123">
        <v>7.6124774791596992E-3</v>
      </c>
      <c r="CM41" s="123">
        <v>8.4842575671576943E-3</v>
      </c>
      <c r="CN41" s="123">
        <v>4.6776342781159079E-3</v>
      </c>
      <c r="CO41" s="123">
        <v>8.370672105546751E-3</v>
      </c>
      <c r="CP41" s="123">
        <v>8.9585919564486825E-3</v>
      </c>
      <c r="CQ41" s="123">
        <v>6.1907781845975517E-3</v>
      </c>
      <c r="CR41" s="123">
        <v>8.780751289218184E-3</v>
      </c>
      <c r="CS41" s="123">
        <v>6.9628881939819854E-3</v>
      </c>
      <c r="CT41" s="123">
        <v>9.1392310340887E-3</v>
      </c>
      <c r="CU41" s="123">
        <v>1.2387914694109119E-2</v>
      </c>
      <c r="CV41" s="123">
        <v>5.8508264828207729E-3</v>
      </c>
      <c r="CW41" s="123">
        <v>8.0644831059112632E-3</v>
      </c>
      <c r="CX41" s="123">
        <v>7.761446858171657E-3</v>
      </c>
    </row>
    <row r="42" spans="1:102" s="115" customFormat="1">
      <c r="A42" s="23"/>
      <c r="B42" s="14" t="s">
        <v>30</v>
      </c>
      <c r="C42" s="125">
        <v>6.9946724727969145E-2</v>
      </c>
      <c r="D42" s="125">
        <v>7.3494070028855343E-2</v>
      </c>
      <c r="E42" s="125">
        <v>7.4802911822579227E-2</v>
      </c>
      <c r="F42" s="125">
        <v>6.8883900822307609E-2</v>
      </c>
      <c r="G42" s="125">
        <v>6.733748460706411E-2</v>
      </c>
      <c r="H42" s="125">
        <v>7.3530728121636468E-2</v>
      </c>
      <c r="I42" s="125">
        <v>7.6309957660896252E-2</v>
      </c>
      <c r="J42" s="125">
        <v>7.2911468429533208E-2</v>
      </c>
      <c r="K42" s="125">
        <v>6.7794227091581283E-2</v>
      </c>
      <c r="L42" s="125">
        <v>6.9298290104314195E-2</v>
      </c>
      <c r="M42" s="125">
        <v>6.8702073835766514E-2</v>
      </c>
      <c r="N42" s="125">
        <v>6.7887755348554901E-2</v>
      </c>
      <c r="O42" s="125">
        <v>6.5496100539206265E-2</v>
      </c>
      <c r="P42" s="125">
        <v>7.1646898366087675E-2</v>
      </c>
      <c r="Q42" s="125">
        <v>6.9776703551957919E-2</v>
      </c>
      <c r="R42" s="125">
        <v>6.7974588034945549E-2</v>
      </c>
      <c r="S42" s="125">
        <v>6.6580551263971541E-2</v>
      </c>
      <c r="T42" s="125">
        <v>7.6974295138340088E-2</v>
      </c>
      <c r="U42" s="125">
        <v>7.4868699014178725E-2</v>
      </c>
      <c r="V42" s="125">
        <v>6.8468199465309104E-2</v>
      </c>
      <c r="W42" s="125">
        <v>7.128015315625931E-2</v>
      </c>
      <c r="X42" s="125">
        <v>7.4729751219254209E-2</v>
      </c>
      <c r="Y42" s="125">
        <v>6.7558392495218236E-2</v>
      </c>
      <c r="Z42" s="125">
        <v>7.7640780188424158E-2</v>
      </c>
      <c r="AA42" s="125">
        <v>7.9978303789131761E-2</v>
      </c>
      <c r="AB42" s="125">
        <v>7.528220408817167E-2</v>
      </c>
      <c r="AC42" s="125">
        <v>6.61383645454552E-2</v>
      </c>
      <c r="AD42" s="125">
        <v>7.3882008221000675E-2</v>
      </c>
      <c r="AE42" s="125">
        <v>7.0895452229131545E-2</v>
      </c>
      <c r="AF42" s="125">
        <v>7.355745597607985E-2</v>
      </c>
      <c r="AG42" s="125">
        <v>6.993620273218662E-2</v>
      </c>
      <c r="AH42" s="125">
        <v>7.2091090847733005E-2</v>
      </c>
      <c r="AI42" s="125">
        <v>6.6883743606943671E-2</v>
      </c>
      <c r="AJ42" s="125">
        <v>7.6778206506869645E-2</v>
      </c>
      <c r="AK42" s="125">
        <v>7.5276663715456896E-2</v>
      </c>
      <c r="AL42" s="125">
        <v>6.6827817691200622E-2</v>
      </c>
      <c r="AM42" s="125">
        <v>7.0986182768518563E-2</v>
      </c>
      <c r="AN42" s="125">
        <v>7.2989583674016256E-2</v>
      </c>
      <c r="AO42" s="125">
        <v>6.5143131619267144E-2</v>
      </c>
      <c r="AP42" s="125">
        <v>7.159903389649222E-2</v>
      </c>
      <c r="AQ42" s="125">
        <v>6.5785242279749995E-2</v>
      </c>
      <c r="AR42" s="125">
        <v>6.5679012704482537E-2</v>
      </c>
      <c r="AS42" s="125">
        <v>7.0097287910127329E-2</v>
      </c>
      <c r="AT42" s="125">
        <v>7.7853745918011044E-2</v>
      </c>
      <c r="AU42" s="125">
        <v>7.4928399498670986E-2</v>
      </c>
      <c r="AV42" s="125">
        <v>7.3051220711477821E-2</v>
      </c>
      <c r="AW42" s="125">
        <v>6.8926657915818632E-2</v>
      </c>
      <c r="AX42" s="125">
        <v>6.5689754631638619E-2</v>
      </c>
      <c r="AY42" s="125">
        <v>7.3831357283807825E-2</v>
      </c>
      <c r="AZ42" s="125">
        <v>7.8119684156625568E-2</v>
      </c>
      <c r="BA42" s="125">
        <v>6.5113293340168882E-2</v>
      </c>
      <c r="BB42" s="125">
        <v>7.0004553282505863E-2</v>
      </c>
      <c r="BC42" s="125">
        <v>6.6691486127648858E-2</v>
      </c>
      <c r="BD42" s="125">
        <v>7.1806933382082924E-2</v>
      </c>
      <c r="BE42" s="125">
        <v>7.0620743471618147E-2</v>
      </c>
      <c r="BF42" s="125">
        <v>6.5843609914362652E-2</v>
      </c>
      <c r="BG42" s="125">
        <v>6.8669929785462436E-2</v>
      </c>
      <c r="BH42" s="125">
        <v>7.3529618895303558E-2</v>
      </c>
      <c r="BI42" s="125">
        <v>6.9906120679810876E-2</v>
      </c>
      <c r="BJ42" s="125">
        <v>7.407087331932545E-2</v>
      </c>
      <c r="BK42" s="125">
        <v>7.0826836170968868E-2</v>
      </c>
      <c r="BL42" s="125">
        <v>6.8922436203193188E-2</v>
      </c>
      <c r="BM42" s="125">
        <v>6.4819693614723881E-2</v>
      </c>
      <c r="BN42" s="125">
        <v>6.8009774400875592E-2</v>
      </c>
      <c r="BO42" s="125">
        <v>7.1090657830468945E-2</v>
      </c>
      <c r="BP42" s="125">
        <v>7.2608131703156775E-2</v>
      </c>
      <c r="BQ42" s="125">
        <v>7.1940988096593869E-2</v>
      </c>
      <c r="BR42" s="125">
        <v>7.1468553474015012E-2</v>
      </c>
      <c r="BS42" s="125">
        <v>6.8530284954207821E-2</v>
      </c>
      <c r="BT42" s="125">
        <v>6.3591401766046676E-2</v>
      </c>
      <c r="BU42" s="125">
        <v>7.0945946182903799E-2</v>
      </c>
      <c r="BV42" s="125">
        <v>7.612077542018908E-2</v>
      </c>
      <c r="BW42" s="125">
        <v>7.0563680644801383E-2</v>
      </c>
      <c r="BX42" s="125">
        <v>6.8661237784848339E-2</v>
      </c>
      <c r="BY42" s="125">
        <v>7.0665379652739321E-2</v>
      </c>
      <c r="BZ42" s="125">
        <v>7.1977968323380229E-2</v>
      </c>
      <c r="CA42" s="125">
        <v>7.4487318909763636E-2</v>
      </c>
      <c r="CB42" s="125">
        <v>6.6375479559486028E-2</v>
      </c>
      <c r="CC42" s="125">
        <v>6.870754389321064E-2</v>
      </c>
      <c r="CD42" s="125">
        <v>6.8010135997660662E-2</v>
      </c>
      <c r="CE42" s="125">
        <v>6.6185266688491992E-2</v>
      </c>
      <c r="CF42" s="125">
        <v>6.4201727899269811E-2</v>
      </c>
      <c r="CG42" s="125">
        <v>7.4086566696720396E-2</v>
      </c>
      <c r="CH42" s="125">
        <v>7.9371779990992306E-2</v>
      </c>
      <c r="CI42" s="125">
        <v>6.9948739126923759E-2</v>
      </c>
      <c r="CJ42" s="125">
        <v>7.9310716695805208E-2</v>
      </c>
      <c r="CK42" s="125">
        <v>7.1286246185780125E-2</v>
      </c>
      <c r="CL42" s="125">
        <v>6.8377451973330103E-2</v>
      </c>
      <c r="CM42" s="125">
        <v>7.0162799823935432E-2</v>
      </c>
      <c r="CN42" s="125">
        <v>6.3507659475153883E-2</v>
      </c>
      <c r="CO42" s="125">
        <v>6.9017036589288913E-2</v>
      </c>
      <c r="CP42" s="125">
        <v>7.3888754787171412E-2</v>
      </c>
      <c r="CQ42" s="125">
        <v>6.6606293927549978E-2</v>
      </c>
      <c r="CR42" s="125">
        <v>7.2689516935639076E-2</v>
      </c>
      <c r="CS42" s="125">
        <v>6.9610487126912868E-2</v>
      </c>
      <c r="CT42" s="125">
        <v>7.158970721584472E-2</v>
      </c>
      <c r="CU42" s="125">
        <v>7.6054241491313124E-2</v>
      </c>
      <c r="CV42" s="125">
        <v>6.4203059796686113E-2</v>
      </c>
      <c r="CW42" s="125">
        <v>6.9060426924090298E-2</v>
      </c>
      <c r="CX42" s="125">
        <v>6.9808395377489924E-2</v>
      </c>
    </row>
    <row r="43" spans="1:102" s="115" customFormat="1">
      <c r="A43" s="23"/>
      <c r="B43" s="67" t="s">
        <v>56</v>
      </c>
      <c r="C43" s="125">
        <v>6.7712752541569915E-2</v>
      </c>
      <c r="D43" s="125">
        <v>7.8200342536877479E-2</v>
      </c>
      <c r="E43" s="125">
        <v>8.0279561966405413E-2</v>
      </c>
      <c r="F43" s="125">
        <v>6.3238550083258779E-2</v>
      </c>
      <c r="G43" s="125">
        <v>6.9458433577441109E-2</v>
      </c>
      <c r="H43" s="125">
        <v>7.5996382018940337E-2</v>
      </c>
      <c r="I43" s="125">
        <v>7.5220200863343925E-2</v>
      </c>
      <c r="J43" s="125">
        <v>7.1432670271888113E-2</v>
      </c>
      <c r="K43" s="125">
        <v>6.0743498205362623E-2</v>
      </c>
      <c r="L43" s="125">
        <v>6.3181488953385864E-2</v>
      </c>
      <c r="M43" s="125">
        <v>7.2163834643086219E-2</v>
      </c>
      <c r="N43" s="125">
        <v>6.1311225304334284E-2</v>
      </c>
      <c r="O43" s="125">
        <v>6.3484249479842769E-2</v>
      </c>
      <c r="P43" s="125">
        <v>6.7686469131271645E-2</v>
      </c>
      <c r="Q43" s="125">
        <v>6.4716125572583896E-2</v>
      </c>
      <c r="R43" s="125">
        <v>6.8095749432438318E-2</v>
      </c>
      <c r="S43" s="125">
        <v>5.9239005788995755E-2</v>
      </c>
      <c r="T43" s="125">
        <v>7.4505820488047492E-2</v>
      </c>
      <c r="U43" s="125">
        <v>7.7379400905367254E-2</v>
      </c>
      <c r="V43" s="125">
        <v>5.9551518573090052E-2</v>
      </c>
      <c r="W43" s="125">
        <v>6.609895105138644E-2</v>
      </c>
      <c r="X43" s="125">
        <v>7.7985036021320911E-2</v>
      </c>
      <c r="Y43" s="125">
        <v>6.1183038305545542E-2</v>
      </c>
      <c r="Z43" s="125">
        <v>8.1201614304405326E-2</v>
      </c>
      <c r="AA43" s="125">
        <v>7.5210307171595242E-2</v>
      </c>
      <c r="AB43" s="125">
        <v>6.750727917971408E-2</v>
      </c>
      <c r="AC43" s="125">
        <v>5.9426749988832371E-2</v>
      </c>
      <c r="AD43" s="125">
        <v>7.4283987585038694E-2</v>
      </c>
      <c r="AE43" s="125">
        <v>7.0006110871501465E-2</v>
      </c>
      <c r="AF43" s="125">
        <v>6.5716264462316626E-2</v>
      </c>
      <c r="AG43" s="125">
        <v>6.9598130748413811E-2</v>
      </c>
      <c r="AH43" s="125">
        <v>6.724087180931955E-2</v>
      </c>
      <c r="AI43" s="125">
        <v>6.0408019917364102E-2</v>
      </c>
      <c r="AJ43" s="125">
        <v>7.0049001084785609E-2</v>
      </c>
      <c r="AK43" s="125">
        <v>6.9698104732840355E-2</v>
      </c>
      <c r="AL43" s="125">
        <v>6.1068264011967521E-2</v>
      </c>
      <c r="AM43" s="125">
        <v>6.6784216139850652E-2</v>
      </c>
      <c r="AN43" s="125">
        <v>7.3324816012894117E-2</v>
      </c>
      <c r="AO43" s="125">
        <v>6.9780410355200037E-2</v>
      </c>
      <c r="AP43" s="125">
        <v>6.4653260195031426E-2</v>
      </c>
      <c r="AQ43" s="125">
        <v>5.7463662973918014E-2</v>
      </c>
      <c r="AR43" s="125">
        <v>6.9038329258274758E-2</v>
      </c>
      <c r="AS43" s="125">
        <v>7.0752606056574158E-2</v>
      </c>
      <c r="AT43" s="125">
        <v>7.3281499851558032E-2</v>
      </c>
      <c r="AU43" s="125">
        <v>7.1749686633970258E-2</v>
      </c>
      <c r="AV43" s="125">
        <v>6.6005952454364733E-2</v>
      </c>
      <c r="AW43" s="125">
        <v>6.7515445610961011E-2</v>
      </c>
      <c r="AX43" s="125">
        <v>5.8861666623778022E-2</v>
      </c>
      <c r="AY43" s="125">
        <v>7.1192952713598559E-2</v>
      </c>
      <c r="AZ43" s="125">
        <v>7.1548339041248354E-2</v>
      </c>
      <c r="BA43" s="125">
        <v>5.715730429442023E-2</v>
      </c>
      <c r="BB43" s="125">
        <v>6.6779035212349361E-2</v>
      </c>
      <c r="BC43" s="125">
        <v>5.9589937793095946E-2</v>
      </c>
      <c r="BD43" s="125">
        <v>6.9533940348601428E-2</v>
      </c>
      <c r="BE43" s="125">
        <v>6.7796272023873103E-2</v>
      </c>
      <c r="BF43" s="125">
        <v>6.2645254228435102E-2</v>
      </c>
      <c r="BG43" s="125">
        <v>6.1267767466439298E-2</v>
      </c>
      <c r="BH43" s="125">
        <v>6.7112139831137382E-2</v>
      </c>
      <c r="BI43" s="125">
        <v>6.4543399792610381E-2</v>
      </c>
      <c r="BJ43" s="125">
        <v>7.0251421026770872E-2</v>
      </c>
      <c r="BK43" s="125">
        <v>6.7418431838771595E-2</v>
      </c>
      <c r="BL43" s="125">
        <v>6.6651325130549388E-2</v>
      </c>
      <c r="BM43" s="125">
        <v>6.167548710341994E-2</v>
      </c>
      <c r="BN43" s="125">
        <v>6.3009270674681817E-2</v>
      </c>
      <c r="BO43" s="125">
        <v>7.3704258217304405E-2</v>
      </c>
      <c r="BP43" s="125">
        <v>6.7281575163042034E-2</v>
      </c>
      <c r="BQ43" s="125">
        <v>7.356256145926568E-2</v>
      </c>
      <c r="BR43" s="125">
        <v>6.9872584977045835E-2</v>
      </c>
      <c r="BS43" s="125">
        <v>6.630625713176716E-2</v>
      </c>
      <c r="BT43" s="125">
        <v>5.9115605930362712E-2</v>
      </c>
      <c r="BU43" s="125">
        <v>6.9218434055751538E-2</v>
      </c>
      <c r="BV43" s="125">
        <v>6.8437363971869114E-2</v>
      </c>
      <c r="BW43" s="125">
        <v>6.5076063644797996E-2</v>
      </c>
      <c r="BX43" s="125">
        <v>6.5976138978892818E-2</v>
      </c>
      <c r="BY43" s="125">
        <v>6.8556510288446948E-2</v>
      </c>
      <c r="BZ43" s="125">
        <v>7.2011410843506582E-2</v>
      </c>
      <c r="CA43" s="125">
        <v>6.8829284139250019E-2</v>
      </c>
      <c r="CB43" s="125">
        <v>5.8577963189956304E-2</v>
      </c>
      <c r="CC43" s="125">
        <v>6.3313566463559359E-2</v>
      </c>
      <c r="CD43" s="125">
        <v>6.1597800519722544E-2</v>
      </c>
      <c r="CE43" s="125">
        <v>6.2626443801035381E-2</v>
      </c>
      <c r="CF43" s="125">
        <v>6.2519734936020269E-2</v>
      </c>
      <c r="CG43" s="125">
        <v>8.0033125230657587E-2</v>
      </c>
      <c r="CH43" s="125">
        <v>7.9151703254680836E-2</v>
      </c>
      <c r="CI43" s="125">
        <v>6.6219667304713375E-2</v>
      </c>
      <c r="CJ43" s="125">
        <v>7.3519555193801753E-2</v>
      </c>
      <c r="CK43" s="125">
        <v>6.70365110160379E-2</v>
      </c>
      <c r="CL43" s="125">
        <v>6.647851782693566E-2</v>
      </c>
      <c r="CM43" s="125">
        <v>6.7581420053710775E-2</v>
      </c>
      <c r="CN43" s="125">
        <v>5.7338633873082946E-2</v>
      </c>
      <c r="CO43" s="125">
        <v>6.7216431101051591E-2</v>
      </c>
      <c r="CP43" s="125">
        <v>6.4079855842103337E-2</v>
      </c>
      <c r="CQ43" s="125">
        <v>6.0151811010695312E-2</v>
      </c>
      <c r="CR43" s="125">
        <v>6.7539498776912996E-2</v>
      </c>
      <c r="CS43" s="125">
        <v>6.0761177399209401E-2</v>
      </c>
      <c r="CT43" s="125">
        <v>6.4696668408236707E-2</v>
      </c>
      <c r="CU43" s="125">
        <v>7.894781263561107E-2</v>
      </c>
      <c r="CV43" s="125">
        <v>6.3580463365871157E-2</v>
      </c>
      <c r="CW43" s="125">
        <v>6.3917609399824951E-2</v>
      </c>
      <c r="CX43" s="125">
        <v>6.5482911803805555E-2</v>
      </c>
    </row>
    <row r="44" spans="1:102" s="115" customFormat="1">
      <c r="A44" s="126"/>
      <c r="B44" s="129" t="s">
        <v>114</v>
      </c>
      <c r="C44" s="127">
        <v>0.50813180842148897</v>
      </c>
      <c r="D44" s="127">
        <v>0.49383847947568044</v>
      </c>
      <c r="E44" s="127">
        <v>0.49094549245112257</v>
      </c>
      <c r="F44" s="127">
        <v>0.51438515203845936</v>
      </c>
      <c r="G44" s="127">
        <v>0.50891405524120636</v>
      </c>
      <c r="H44" s="127">
        <v>0.4947073181044942</v>
      </c>
      <c r="I44" s="127">
        <v>0.49701024261533749</v>
      </c>
      <c r="J44" s="127">
        <v>0.50045182237941699</v>
      </c>
      <c r="K44" s="127">
        <v>0.51968682347030504</v>
      </c>
      <c r="L44" s="127">
        <v>0.51294721116987241</v>
      </c>
      <c r="M44" s="127">
        <v>0.50262948957826259</v>
      </c>
      <c r="N44" s="127">
        <v>0.51662682995889042</v>
      </c>
      <c r="O44" s="127">
        <v>0.52182512519798885</v>
      </c>
      <c r="P44" s="127">
        <v>0.50632613237250046</v>
      </c>
      <c r="Q44" s="127">
        <v>0.51233104000690566</v>
      </c>
      <c r="R44" s="127">
        <v>0.50878224485682133</v>
      </c>
      <c r="S44" s="127">
        <v>0.52338407133382014</v>
      </c>
      <c r="T44" s="127">
        <v>0.49725994212299096</v>
      </c>
      <c r="U44" s="127">
        <v>0.49305544511510813</v>
      </c>
      <c r="V44" s="127">
        <v>0.51803622733247112</v>
      </c>
      <c r="W44" s="127">
        <v>0.50947801898089118</v>
      </c>
      <c r="X44" s="127">
        <v>0.49537467626961718</v>
      </c>
      <c r="Y44" s="127">
        <v>0.51918641037529767</v>
      </c>
      <c r="Z44" s="127">
        <v>0.48755827347153785</v>
      </c>
      <c r="AA44" s="127">
        <v>0.49552250746591003</v>
      </c>
      <c r="AB44" s="127">
        <v>0.50270212779188161</v>
      </c>
      <c r="AC44" s="127">
        <v>0.52199522583842906</v>
      </c>
      <c r="AD44" s="127">
        <v>0.49551439933957037</v>
      </c>
      <c r="AE44" s="127">
        <v>0.50643727605304045</v>
      </c>
      <c r="AF44" s="127">
        <v>0.50479265991887623</v>
      </c>
      <c r="AG44" s="127">
        <v>0.50916340238590008</v>
      </c>
      <c r="AH44" s="127">
        <v>0.50487899530456415</v>
      </c>
      <c r="AI44" s="127">
        <v>0.52127319122450422</v>
      </c>
      <c r="AJ44" s="127">
        <v>0.49833050802345946</v>
      </c>
      <c r="AK44" s="127">
        <v>0.49900187629478671</v>
      </c>
      <c r="AL44" s="127">
        <v>0.52074185445768018</v>
      </c>
      <c r="AM44" s="127">
        <v>0.50702122367719793</v>
      </c>
      <c r="AN44" s="127">
        <v>0.49814355027325818</v>
      </c>
      <c r="AO44" s="127">
        <v>0.51390292892180223</v>
      </c>
      <c r="AP44" s="127">
        <v>0.51475096373339468</v>
      </c>
      <c r="AQ44" s="127">
        <v>0.52655062205570868</v>
      </c>
      <c r="AR44" s="127">
        <v>0.51517826267731992</v>
      </c>
      <c r="AS44" s="127">
        <v>0.50686176694855078</v>
      </c>
      <c r="AT44" s="127">
        <v>0.5008203143207931</v>
      </c>
      <c r="AU44" s="127">
        <v>0.49896675193837581</v>
      </c>
      <c r="AV44" s="127">
        <v>0.50556894618376169</v>
      </c>
      <c r="AW44" s="127">
        <v>0.50987499189657259</v>
      </c>
      <c r="AX44" s="127">
        <v>0.52658043453075865</v>
      </c>
      <c r="AY44" s="127">
        <v>0.49797719215321401</v>
      </c>
      <c r="AZ44" s="127">
        <v>0.50066333184575806</v>
      </c>
      <c r="BA44" s="127">
        <v>0.53162153412200464</v>
      </c>
      <c r="BB44" s="127">
        <v>0.50954589626919256</v>
      </c>
      <c r="BC44" s="127">
        <v>0.52211869411330614</v>
      </c>
      <c r="BD44" s="127">
        <v>0.50293516265723082</v>
      </c>
      <c r="BE44" s="127">
        <v>0.5042431596575806</v>
      </c>
      <c r="BF44" s="127">
        <v>0.52061226184139309</v>
      </c>
      <c r="BG44" s="127">
        <v>0.51981059164973487</v>
      </c>
      <c r="BH44" s="127">
        <v>0.50989353733499077</v>
      </c>
      <c r="BI44" s="127">
        <v>0.51098676058291315</v>
      </c>
      <c r="BJ44" s="127">
        <v>0.5008391802184855</v>
      </c>
      <c r="BK44" s="127">
        <v>0.51029708872803281</v>
      </c>
      <c r="BL44" s="127">
        <v>0.51309270560789477</v>
      </c>
      <c r="BM44" s="127">
        <v>0.52468078292768627</v>
      </c>
      <c r="BN44" s="127">
        <v>0.51816833452671085</v>
      </c>
      <c r="BO44" s="127">
        <v>0.50091727735754221</v>
      </c>
      <c r="BP44" s="127">
        <v>0.50386354274644385</v>
      </c>
      <c r="BQ44" s="127">
        <v>0.50263856486115643</v>
      </c>
      <c r="BR44" s="127">
        <v>0.5051371579566557</v>
      </c>
      <c r="BS44" s="127">
        <v>0.51365016992937818</v>
      </c>
      <c r="BT44" s="127">
        <v>0.5308875688535083</v>
      </c>
      <c r="BU44" s="127">
        <v>0.50472737257215994</v>
      </c>
      <c r="BV44" s="127">
        <v>0.49773262769397908</v>
      </c>
      <c r="BW44" s="127">
        <v>0.50874994659352613</v>
      </c>
      <c r="BX44" s="127">
        <v>0.5129959754320027</v>
      </c>
      <c r="BY44" s="127">
        <v>0.50422439807255903</v>
      </c>
      <c r="BZ44" s="127">
        <v>0.50237064891060368</v>
      </c>
      <c r="CA44" s="127">
        <v>0.5003459680041209</v>
      </c>
      <c r="CB44" s="127">
        <v>0.52675132839120853</v>
      </c>
      <c r="CC44" s="127">
        <v>0.51406730666494527</v>
      </c>
      <c r="CD44" s="127">
        <v>0.52030308001079262</v>
      </c>
      <c r="CE44" s="127">
        <v>0.51730215290260362</v>
      </c>
      <c r="CF44" s="127">
        <v>0.52646953778404038</v>
      </c>
      <c r="CG44" s="127">
        <v>0.49568257760856482</v>
      </c>
      <c r="CH44" s="127">
        <v>0.48701442435611292</v>
      </c>
      <c r="CI44" s="127">
        <v>0.50352884354616667</v>
      </c>
      <c r="CJ44" s="127">
        <v>0.49389345123822054</v>
      </c>
      <c r="CK44" s="127">
        <v>0.50973351469288863</v>
      </c>
      <c r="CL44" s="127">
        <v>0.51392696195593335</v>
      </c>
      <c r="CM44" s="127">
        <v>0.50861776771253997</v>
      </c>
      <c r="CN44" s="127">
        <v>0.53339492924553</v>
      </c>
      <c r="CO44" s="127">
        <v>0.5094172025615803</v>
      </c>
      <c r="CP44" s="127">
        <v>0.50562261397140618</v>
      </c>
      <c r="CQ44" s="127">
        <v>0.52280312505108795</v>
      </c>
      <c r="CR44" s="127">
        <v>0.50669129572271687</v>
      </c>
      <c r="CS44" s="127">
        <v>0.51740036684119761</v>
      </c>
      <c r="CT44" s="127">
        <v>0.50479662333674302</v>
      </c>
      <c r="CU44" s="127">
        <v>0.48747625880595291</v>
      </c>
      <c r="CV44" s="127">
        <v>0.52576402526716082</v>
      </c>
      <c r="CW44" s="127">
        <v>0.51117946244667456</v>
      </c>
      <c r="CX44" s="127">
        <v>0.51279073182542767</v>
      </c>
    </row>
    <row r="45" spans="1:102" s="131" customFormat="1">
      <c r="A45" s="108" t="str">
        <f>Parameters!A41</f>
        <v>Groei recessie</v>
      </c>
      <c r="B45" s="122" t="s">
        <v>29</v>
      </c>
      <c r="C45" s="123">
        <v>1.5901611012814412E-4</v>
      </c>
      <c r="D45" s="123">
        <v>1.7461234599962128E-3</v>
      </c>
      <c r="E45" s="123">
        <v>1.5601823638252028E-4</v>
      </c>
      <c r="F45" s="123">
        <v>-2.5470174554287853E-3</v>
      </c>
      <c r="G45" s="123">
        <v>4.3034804311138045E-4</v>
      </c>
      <c r="H45" s="123">
        <v>-4.9653084315660857E-4</v>
      </c>
      <c r="I45" s="123">
        <v>2.5050490798598276E-3</v>
      </c>
      <c r="J45" s="123">
        <v>2.0147615293188538E-4</v>
      </c>
      <c r="K45" s="123">
        <v>-2.4918370935475835E-3</v>
      </c>
      <c r="L45" s="123">
        <v>-1.8669353671094679E-3</v>
      </c>
      <c r="M45" s="123">
        <v>3.2604260360991023E-4</v>
      </c>
      <c r="N45" s="123">
        <v>-3.4283283095583755E-3</v>
      </c>
      <c r="O45" s="123">
        <v>-1.1137590308608028E-3</v>
      </c>
      <c r="P45" s="123">
        <v>-5.7395440974286507E-5</v>
      </c>
      <c r="Q45" s="123">
        <v>-1.3666036837233326E-3</v>
      </c>
      <c r="R45" s="123">
        <v>-1.3512328227396468E-3</v>
      </c>
      <c r="S45" s="123">
        <v>-2.7852297626606609E-3</v>
      </c>
      <c r="T45" s="123">
        <v>3.008078876324117E-3</v>
      </c>
      <c r="U45" s="123">
        <v>8.8939363682903703E-4</v>
      </c>
      <c r="V45" s="123">
        <v>-3.4784879756503025E-3</v>
      </c>
      <c r="W45" s="123">
        <v>-4.9972453035874737E-4</v>
      </c>
      <c r="X45" s="123">
        <v>3.8976698260918675E-3</v>
      </c>
      <c r="Y45" s="123">
        <v>-5.0698463796669292E-3</v>
      </c>
      <c r="Z45" s="123">
        <v>-1.8768696486485311E-3</v>
      </c>
      <c r="AA45" s="123">
        <v>1.8446694065359012E-3</v>
      </c>
      <c r="AB45" s="123">
        <v>-2.1233831329041906E-4</v>
      </c>
      <c r="AC45" s="123">
        <v>-4.1797467521823969E-3</v>
      </c>
      <c r="AD45" s="123">
        <v>1.2151600351045276E-3</v>
      </c>
      <c r="AE45" s="123">
        <v>1.2922931443081101E-3</v>
      </c>
      <c r="AF45" s="123">
        <v>-1.7591809934745278E-3</v>
      </c>
      <c r="AG45" s="123">
        <v>-3.5302488433825545E-3</v>
      </c>
      <c r="AH45" s="123">
        <v>-1.7977129296260076E-3</v>
      </c>
      <c r="AI45" s="123">
        <v>-1.6271603762169715E-3</v>
      </c>
      <c r="AJ45" s="123">
        <v>-4.4657078831303928E-4</v>
      </c>
      <c r="AK45" s="123">
        <v>1.1063975125507942E-3</v>
      </c>
      <c r="AL45" s="123">
        <v>-2.3604170920383054E-3</v>
      </c>
      <c r="AM45" s="123">
        <v>-9.4772022084135734E-4</v>
      </c>
      <c r="AN45" s="123">
        <v>-3.0509978664560425E-3</v>
      </c>
      <c r="AO45" s="123">
        <v>-1.4051360083063317E-4</v>
      </c>
      <c r="AP45" s="123">
        <v>-4.949460205690892E-4</v>
      </c>
      <c r="AQ45" s="123">
        <v>-3.6584040395444446E-3</v>
      </c>
      <c r="AR45" s="123">
        <v>8.4452270451941362E-4</v>
      </c>
      <c r="AS45" s="123">
        <v>1.5904644840363277E-3</v>
      </c>
      <c r="AT45" s="123">
        <v>2.656084459730086E-3</v>
      </c>
      <c r="AU45" s="123">
        <v>1.4099623648736064E-3</v>
      </c>
      <c r="AV45" s="123">
        <v>-2.5398319771309324E-4</v>
      </c>
      <c r="AW45" s="123">
        <v>-1.7019810942013611E-3</v>
      </c>
      <c r="AX45" s="123">
        <v>-3.1960104076069373E-3</v>
      </c>
      <c r="AY45" s="123">
        <v>1.0550419122943603E-3</v>
      </c>
      <c r="AZ45" s="123">
        <v>2.1463902758613578E-3</v>
      </c>
      <c r="BA45" s="123">
        <v>-4.2610773643913125E-3</v>
      </c>
      <c r="BB45" s="123">
        <v>-9.1956889490385908E-4</v>
      </c>
      <c r="BC45" s="123">
        <v>-2.523638438322374E-3</v>
      </c>
      <c r="BD45" s="123">
        <v>-7.1157077301351205E-4</v>
      </c>
      <c r="BE45" s="123">
        <v>-1.3424161875920642E-3</v>
      </c>
      <c r="BF45" s="123">
        <v>-1.9796137676802122E-3</v>
      </c>
      <c r="BG45" s="123">
        <v>-8.1007721642385364E-4</v>
      </c>
      <c r="BH45" s="123">
        <v>1.0092946076881376E-3</v>
      </c>
      <c r="BI45" s="123">
        <v>-3.8244230801567181E-4</v>
      </c>
      <c r="BJ45" s="123">
        <v>1.4782247928785037E-3</v>
      </c>
      <c r="BK45" s="123">
        <v>1.6361005382876386E-3</v>
      </c>
      <c r="BL45" s="123">
        <v>1.3349838758274896E-3</v>
      </c>
      <c r="BM45" s="123">
        <v>-2.3127747177638411E-3</v>
      </c>
      <c r="BN45" s="123">
        <v>-1.7288459477567499E-3</v>
      </c>
      <c r="BO45" s="123">
        <v>1.3523632930752243E-3</v>
      </c>
      <c r="BP45" s="123">
        <v>8.8100994699953986E-4</v>
      </c>
      <c r="BQ45" s="123">
        <v>2.3319929307097573E-3</v>
      </c>
      <c r="BR45" s="123">
        <v>6.0168794813212191E-5</v>
      </c>
      <c r="BS45" s="123">
        <v>-3.7626770037675356E-3</v>
      </c>
      <c r="BT45" s="123">
        <v>-3.8821126842231838E-3</v>
      </c>
      <c r="BU45" s="123">
        <v>-1.6919462664878445E-3</v>
      </c>
      <c r="BV45" s="123">
        <v>3.9517198310530782E-4</v>
      </c>
      <c r="BW45" s="123">
        <v>-2.7743911921167558E-3</v>
      </c>
      <c r="BX45" s="123">
        <v>-1.2990808691979187E-3</v>
      </c>
      <c r="BY45" s="123">
        <v>-1.9474216825466121E-3</v>
      </c>
      <c r="BZ45" s="123">
        <v>-3.0517690016836846E-3</v>
      </c>
      <c r="CA45" s="123">
        <v>-1.1715997941964555E-3</v>
      </c>
      <c r="CB45" s="123">
        <v>-1.9236390036146424E-3</v>
      </c>
      <c r="CC45" s="123">
        <v>-4.8829819070740736E-3</v>
      </c>
      <c r="CD45" s="123">
        <v>-1.3250797063181551E-3</v>
      </c>
      <c r="CE45" s="123">
        <v>-1.647298544371182E-3</v>
      </c>
      <c r="CF45" s="123">
        <v>-1.7582723430402875E-3</v>
      </c>
      <c r="CG45" s="123">
        <v>4.3994313031209507E-3</v>
      </c>
      <c r="CH45" s="123">
        <v>-5.9183986881889555E-4</v>
      </c>
      <c r="CI45" s="123">
        <v>-1.6802242131752215E-3</v>
      </c>
      <c r="CJ45" s="123">
        <v>1.8418773990012392E-3</v>
      </c>
      <c r="CK45" s="123">
        <v>5.4192682976029138E-4</v>
      </c>
      <c r="CL45" s="123">
        <v>-2.0714304236169804E-3</v>
      </c>
      <c r="CM45" s="123">
        <v>1.0622835307419456E-3</v>
      </c>
      <c r="CN45" s="123">
        <v>-4.0873657762285631E-3</v>
      </c>
      <c r="CO45" s="123">
        <v>-4.2468580192154062E-4</v>
      </c>
      <c r="CP45" s="123">
        <v>-2.0273433565497021E-3</v>
      </c>
      <c r="CQ45" s="123">
        <v>-1.214315084118853E-3</v>
      </c>
      <c r="CR45" s="123">
        <v>1.600007142403406E-3</v>
      </c>
      <c r="CS45" s="123">
        <v>-1.0507954577397172E-3</v>
      </c>
      <c r="CT45" s="123">
        <v>-2.6497362723615337E-3</v>
      </c>
      <c r="CU45" s="123">
        <v>1.6286466008009213E-3</v>
      </c>
      <c r="CV45" s="123">
        <v>-1.3137598220163563E-3</v>
      </c>
      <c r="CW45" s="123">
        <v>-1.808483567399476E-3</v>
      </c>
      <c r="CX45" s="123">
        <v>-5.3248688557058711E-4</v>
      </c>
    </row>
    <row r="46" spans="1:102" s="115" customFormat="1">
      <c r="A46" s="23"/>
      <c r="B46" s="14" t="s">
        <v>30</v>
      </c>
      <c r="C46" s="125">
        <v>6.3692330296605495E-2</v>
      </c>
      <c r="D46" s="125">
        <v>6.4890289970347015E-2</v>
      </c>
      <c r="E46" s="125">
        <v>6.5493042249360756E-2</v>
      </c>
      <c r="F46" s="125">
        <v>6.2558397886177591E-2</v>
      </c>
      <c r="G46" s="125">
        <v>6.1943706215112665E-2</v>
      </c>
      <c r="H46" s="125">
        <v>6.4957831409834757E-2</v>
      </c>
      <c r="I46" s="125">
        <v>6.8624849654104189E-2</v>
      </c>
      <c r="J46" s="125">
        <v>6.5691454386137896E-2</v>
      </c>
      <c r="K46" s="125">
        <v>6.2157350328626224E-2</v>
      </c>
      <c r="L46" s="125">
        <v>6.3686566336677256E-2</v>
      </c>
      <c r="M46" s="125">
        <v>6.2006695132073152E-2</v>
      </c>
      <c r="N46" s="125">
        <v>6.2722398302293522E-2</v>
      </c>
      <c r="O46" s="125">
        <v>6.1013134729826932E-2</v>
      </c>
      <c r="P46" s="125">
        <v>6.5812716315144792E-2</v>
      </c>
      <c r="Q46" s="125">
        <v>6.4287365695753204E-2</v>
      </c>
      <c r="R46" s="125">
        <v>6.1680752275990743E-2</v>
      </c>
      <c r="S46" s="125">
        <v>6.1843702784556982E-2</v>
      </c>
      <c r="T46" s="125">
        <v>6.9406697624461486E-2</v>
      </c>
      <c r="U46" s="125">
        <v>6.7345360849209182E-2</v>
      </c>
      <c r="V46" s="125">
        <v>6.2718840903210227E-2</v>
      </c>
      <c r="W46" s="125">
        <v>6.4246809343612432E-2</v>
      </c>
      <c r="X46" s="125">
        <v>6.7022964831567611E-2</v>
      </c>
      <c r="Y46" s="125">
        <v>6.2326207973205094E-2</v>
      </c>
      <c r="Z46" s="125">
        <v>6.8046698474797551E-2</v>
      </c>
      <c r="AA46" s="125">
        <v>7.0483554034297305E-2</v>
      </c>
      <c r="AB46" s="125">
        <v>6.7736835455040431E-2</v>
      </c>
      <c r="AC46" s="125">
        <v>6.1347821885575443E-2</v>
      </c>
      <c r="AD46" s="125">
        <v>6.6031345718401205E-2</v>
      </c>
      <c r="AE46" s="125">
        <v>6.4664630744336371E-2</v>
      </c>
      <c r="AF46" s="125">
        <v>6.6255816785081093E-2</v>
      </c>
      <c r="AG46" s="125">
        <v>6.4235591135305414E-2</v>
      </c>
      <c r="AH46" s="125">
        <v>6.6312899374535703E-2</v>
      </c>
      <c r="AI46" s="125">
        <v>6.2727159438668828E-2</v>
      </c>
      <c r="AJ46" s="125">
        <v>6.870866001940959E-2</v>
      </c>
      <c r="AK46" s="125">
        <v>6.8475586884932799E-2</v>
      </c>
      <c r="AL46" s="125">
        <v>6.1944538202359699E-2</v>
      </c>
      <c r="AM46" s="125">
        <v>6.5462704553531106E-2</v>
      </c>
      <c r="AN46" s="125">
        <v>6.5197205820750032E-2</v>
      </c>
      <c r="AO46" s="125">
        <v>5.945925027076307E-2</v>
      </c>
      <c r="AP46" s="125">
        <v>6.5135599041145173E-2</v>
      </c>
      <c r="AQ46" s="125">
        <v>6.1242626505152983E-2</v>
      </c>
      <c r="AR46" s="125">
        <v>6.1374785559265371E-2</v>
      </c>
      <c r="AS46" s="125">
        <v>6.4161889520284829E-2</v>
      </c>
      <c r="AT46" s="125">
        <v>7.0864242198076965E-2</v>
      </c>
      <c r="AU46" s="125">
        <v>6.6551440679050666E-2</v>
      </c>
      <c r="AV46" s="125">
        <v>6.6202798080170835E-2</v>
      </c>
      <c r="AW46" s="125">
        <v>6.3653582937278894E-2</v>
      </c>
      <c r="AX46" s="125">
        <v>6.1873025981238526E-2</v>
      </c>
      <c r="AY46" s="125">
        <v>6.7514511475701824E-2</v>
      </c>
      <c r="AZ46" s="125">
        <v>7.1019694517519383E-2</v>
      </c>
      <c r="BA46" s="125">
        <v>6.088774386726846E-2</v>
      </c>
      <c r="BB46" s="125">
        <v>6.3652323128892407E-2</v>
      </c>
      <c r="BC46" s="125">
        <v>6.1930656165929632E-2</v>
      </c>
      <c r="BD46" s="125">
        <v>6.5866707706053601E-2</v>
      </c>
      <c r="BE46" s="125">
        <v>6.3363197189901993E-2</v>
      </c>
      <c r="BF46" s="125">
        <v>6.0496392404863097E-2</v>
      </c>
      <c r="BG46" s="125">
        <v>6.4227588187335399E-2</v>
      </c>
      <c r="BH46" s="125">
        <v>6.7756828403977967E-2</v>
      </c>
      <c r="BI46" s="125">
        <v>6.4620537602847611E-2</v>
      </c>
      <c r="BJ46" s="125">
        <v>6.8348512936502057E-2</v>
      </c>
      <c r="BK46" s="125">
        <v>6.7013559653615468E-2</v>
      </c>
      <c r="BL46" s="125">
        <v>6.5761833961475932E-2</v>
      </c>
      <c r="BM46" s="125">
        <v>5.9980089803794392E-2</v>
      </c>
      <c r="BN46" s="125">
        <v>6.1982852382231175E-2</v>
      </c>
      <c r="BO46" s="125">
        <v>6.4275878231902131E-2</v>
      </c>
      <c r="BP46" s="125">
        <v>6.622124878116338E-2</v>
      </c>
      <c r="BQ46" s="125">
        <v>6.5628075601268043E-2</v>
      </c>
      <c r="BR46" s="125">
        <v>6.4048621238858627E-2</v>
      </c>
      <c r="BS46" s="125">
        <v>6.3328679375026772E-2</v>
      </c>
      <c r="BT46" s="125">
        <v>5.92296868593475E-2</v>
      </c>
      <c r="BU46" s="125">
        <v>6.4448404483253924E-2</v>
      </c>
      <c r="BV46" s="125">
        <v>6.8569670056706444E-2</v>
      </c>
      <c r="BW46" s="125">
        <v>6.4637564067353326E-2</v>
      </c>
      <c r="BX46" s="125">
        <v>6.3638800672929846E-2</v>
      </c>
      <c r="BY46" s="125">
        <v>6.4169277122903129E-2</v>
      </c>
      <c r="BZ46" s="125">
        <v>6.5488557384578872E-2</v>
      </c>
      <c r="CA46" s="125">
        <v>6.7642051017368671E-2</v>
      </c>
      <c r="CB46" s="125">
        <v>6.2177601112238634E-2</v>
      </c>
      <c r="CC46" s="125">
        <v>6.3264471348984649E-2</v>
      </c>
      <c r="CD46" s="125">
        <v>6.3498048183731962E-2</v>
      </c>
      <c r="CE46" s="125">
        <v>6.1140489201905165E-2</v>
      </c>
      <c r="CF46" s="125">
        <v>5.9427328260297188E-2</v>
      </c>
      <c r="CG46" s="125">
        <v>6.6645780482424893E-2</v>
      </c>
      <c r="CH46" s="125">
        <v>7.0202729458369639E-2</v>
      </c>
      <c r="CI46" s="125">
        <v>6.3186027027555311E-2</v>
      </c>
      <c r="CJ46" s="125">
        <v>7.1040939407127177E-2</v>
      </c>
      <c r="CK46" s="125">
        <v>6.5478102287645681E-2</v>
      </c>
      <c r="CL46" s="125">
        <v>6.401301353737944E-2</v>
      </c>
      <c r="CM46" s="125">
        <v>6.4291322409194912E-2</v>
      </c>
      <c r="CN46" s="125">
        <v>5.9807540729938317E-2</v>
      </c>
      <c r="CO46" s="125">
        <v>6.3860769744511214E-2</v>
      </c>
      <c r="CP46" s="125">
        <v>6.6948941852991467E-2</v>
      </c>
      <c r="CQ46" s="125">
        <v>6.3322838322167924E-2</v>
      </c>
      <c r="CR46" s="125">
        <v>6.7647583322508906E-2</v>
      </c>
      <c r="CS46" s="125">
        <v>6.4511926718538018E-2</v>
      </c>
      <c r="CT46" s="125">
        <v>6.4987691489060154E-2</v>
      </c>
      <c r="CU46" s="125">
        <v>6.6538399140135179E-2</v>
      </c>
      <c r="CV46" s="125">
        <v>6.1504148835971863E-2</v>
      </c>
      <c r="CW46" s="125">
        <v>6.3148576742414489E-2</v>
      </c>
      <c r="CX46" s="125">
        <v>6.3548836235611361E-2</v>
      </c>
    </row>
    <row r="47" spans="1:102" s="115" customFormat="1">
      <c r="A47" s="23"/>
      <c r="B47" s="67" t="s">
        <v>56</v>
      </c>
      <c r="C47" s="125">
        <v>6.0617376334754336E-2</v>
      </c>
      <c r="D47" s="125">
        <v>6.7814500995639057E-2</v>
      </c>
      <c r="E47" s="125">
        <v>6.8747750622577458E-2</v>
      </c>
      <c r="F47" s="125">
        <v>5.6162759455965765E-2</v>
      </c>
      <c r="G47" s="125">
        <v>6.2506794691154402E-2</v>
      </c>
      <c r="H47" s="125">
        <v>6.5184948813358068E-2</v>
      </c>
      <c r="I47" s="125">
        <v>6.7363493771106842E-2</v>
      </c>
      <c r="J47" s="125">
        <v>6.3728782026041111E-2</v>
      </c>
      <c r="K47" s="125">
        <v>5.4727286822762948E-2</v>
      </c>
      <c r="L47" s="125">
        <v>5.6895254384314503E-2</v>
      </c>
      <c r="M47" s="125">
        <v>6.3404198240760962E-2</v>
      </c>
      <c r="N47" s="125">
        <v>5.4701499474866813E-2</v>
      </c>
      <c r="O47" s="125">
        <v>5.8471529435647505E-2</v>
      </c>
      <c r="P47" s="125">
        <v>6.1245556742089979E-2</v>
      </c>
      <c r="Q47" s="125">
        <v>5.8799642614377888E-2</v>
      </c>
      <c r="R47" s="125">
        <v>6.0351048435613938E-2</v>
      </c>
      <c r="S47" s="125">
        <v>5.4194689308716938E-2</v>
      </c>
      <c r="T47" s="125">
        <v>6.7010584271061144E-2</v>
      </c>
      <c r="U47" s="125">
        <v>6.8813594415958704E-2</v>
      </c>
      <c r="V47" s="125">
        <v>5.3249792298065105E-2</v>
      </c>
      <c r="W47" s="125">
        <v>5.8642253026415514E-2</v>
      </c>
      <c r="X47" s="125">
        <v>6.9573310880434183E-2</v>
      </c>
      <c r="Y47" s="125">
        <v>5.4626140633932098E-2</v>
      </c>
      <c r="Z47" s="125">
        <v>6.9149705663058031E-2</v>
      </c>
      <c r="AA47" s="125">
        <v>6.6308250300063848E-2</v>
      </c>
      <c r="AB47" s="125">
        <v>6.0480851394928752E-2</v>
      </c>
      <c r="AC47" s="125">
        <v>5.3488627758401255E-2</v>
      </c>
      <c r="AD47" s="125">
        <v>6.5550119954921632E-2</v>
      </c>
      <c r="AE47" s="125">
        <v>6.3474492175425654E-2</v>
      </c>
      <c r="AF47" s="125">
        <v>5.8281724430246686E-2</v>
      </c>
      <c r="AG47" s="125">
        <v>6.1576310419355663E-2</v>
      </c>
      <c r="AH47" s="125">
        <v>6.0782857694790908E-2</v>
      </c>
      <c r="AI47" s="125">
        <v>5.6586090924042626E-2</v>
      </c>
      <c r="AJ47" s="125">
        <v>6.2098919207429673E-2</v>
      </c>
      <c r="AK47" s="125">
        <v>6.3478961201142381E-2</v>
      </c>
      <c r="AL47" s="125">
        <v>5.6043574585746284E-2</v>
      </c>
      <c r="AM47" s="125">
        <v>6.1125588360346178E-2</v>
      </c>
      <c r="AN47" s="125">
        <v>6.341406718633058E-2</v>
      </c>
      <c r="AO47" s="125">
        <v>6.2417196610899034E-2</v>
      </c>
      <c r="AP47" s="125">
        <v>5.8958376307548604E-2</v>
      </c>
      <c r="AQ47" s="125">
        <v>5.2541105109583715E-2</v>
      </c>
      <c r="AR47" s="125">
        <v>6.3697027916408328E-2</v>
      </c>
      <c r="AS47" s="125">
        <v>6.4693895374799831E-2</v>
      </c>
      <c r="AT47" s="125">
        <v>6.7356994071970697E-2</v>
      </c>
      <c r="AU47" s="125">
        <v>6.2996397036519255E-2</v>
      </c>
      <c r="AV47" s="125">
        <v>5.935462102378946E-2</v>
      </c>
      <c r="AW47" s="125">
        <v>6.064277119836825E-2</v>
      </c>
      <c r="AX47" s="125">
        <v>5.4867376166086217E-2</v>
      </c>
      <c r="AY47" s="125">
        <v>6.4388332388739644E-2</v>
      </c>
      <c r="AZ47" s="125">
        <v>6.5749797712395197E-2</v>
      </c>
      <c r="BA47" s="125">
        <v>5.259666600202121E-2</v>
      </c>
      <c r="BB47" s="125">
        <v>5.9917045059691254E-2</v>
      </c>
      <c r="BC47" s="125">
        <v>5.465339084738003E-2</v>
      </c>
      <c r="BD47" s="125">
        <v>6.279490513252825E-2</v>
      </c>
      <c r="BE47" s="125">
        <v>5.8871311922214196E-2</v>
      </c>
      <c r="BF47" s="125">
        <v>5.6168330454999506E-2</v>
      </c>
      <c r="BG47" s="125">
        <v>5.7785511901474552E-2</v>
      </c>
      <c r="BH47" s="125">
        <v>6.2564953826126757E-2</v>
      </c>
      <c r="BI47" s="125">
        <v>5.9209813843382281E-2</v>
      </c>
      <c r="BJ47" s="125">
        <v>6.4960852305702935E-2</v>
      </c>
      <c r="BK47" s="125">
        <v>6.4509904290195194E-2</v>
      </c>
      <c r="BL47" s="125">
        <v>6.3696445124429846E-2</v>
      </c>
      <c r="BM47" s="125">
        <v>5.6215880314957646E-2</v>
      </c>
      <c r="BN47" s="125">
        <v>5.6835297271139423E-2</v>
      </c>
      <c r="BO47" s="125">
        <v>6.6101018283500165E-2</v>
      </c>
      <c r="BP47" s="125">
        <v>6.0939551832099995E-2</v>
      </c>
      <c r="BQ47" s="125">
        <v>6.676545838233662E-2</v>
      </c>
      <c r="BR47" s="125">
        <v>6.2109021967352789E-2</v>
      </c>
      <c r="BS47" s="125">
        <v>5.942626087430606E-2</v>
      </c>
      <c r="BT47" s="125">
        <v>5.3843444199327545E-2</v>
      </c>
      <c r="BU47" s="125">
        <v>6.1100533211684752E-2</v>
      </c>
      <c r="BV47" s="125">
        <v>6.0905154751602228E-2</v>
      </c>
      <c r="BW47" s="125">
        <v>5.7261346348619922E-2</v>
      </c>
      <c r="BX47" s="125">
        <v>6.0131602392682185E-2</v>
      </c>
      <c r="BY47" s="125">
        <v>6.033918005086493E-2</v>
      </c>
      <c r="BZ47" s="125">
        <v>6.3320590706811772E-2</v>
      </c>
      <c r="CA47" s="125">
        <v>6.1410346810093872E-2</v>
      </c>
      <c r="CB47" s="125">
        <v>5.500312180083386E-2</v>
      </c>
      <c r="CC47" s="125">
        <v>5.6180273399036494E-2</v>
      </c>
      <c r="CD47" s="125">
        <v>5.7666047145325458E-2</v>
      </c>
      <c r="CE47" s="125">
        <v>5.6218540085584655E-2</v>
      </c>
      <c r="CF47" s="125">
        <v>5.6918488650439462E-2</v>
      </c>
      <c r="CG47" s="125">
        <v>7.1937611343092775E-2</v>
      </c>
      <c r="CH47" s="125">
        <v>6.8556200887405438E-2</v>
      </c>
      <c r="CI47" s="125">
        <v>5.725384645550817E-2</v>
      </c>
      <c r="CJ47" s="125">
        <v>6.5750369480956625E-2</v>
      </c>
      <c r="CK47" s="125">
        <v>6.1748255977325889E-2</v>
      </c>
      <c r="CL47" s="125">
        <v>6.0957357962580581E-2</v>
      </c>
      <c r="CM47" s="125">
        <v>6.0953655191308069E-2</v>
      </c>
      <c r="CN47" s="125">
        <v>5.2834382604148779E-2</v>
      </c>
      <c r="CO47" s="125">
        <v>6.1311476944390139E-2</v>
      </c>
      <c r="CP47" s="125">
        <v>5.7117016542716309E-2</v>
      </c>
      <c r="CQ47" s="125">
        <v>5.7382815997194393E-2</v>
      </c>
      <c r="CR47" s="125">
        <v>6.3839866542193882E-2</v>
      </c>
      <c r="CS47" s="125">
        <v>5.6026032954192756E-2</v>
      </c>
      <c r="CT47" s="125">
        <v>5.7279402443893367E-2</v>
      </c>
      <c r="CU47" s="125">
        <v>6.7534126452800311E-2</v>
      </c>
      <c r="CV47" s="125">
        <v>6.0089079443834258E-2</v>
      </c>
      <c r="CW47" s="125">
        <v>5.6821843429097123E-2</v>
      </c>
      <c r="CX47" s="125">
        <v>5.9305269026002763E-2</v>
      </c>
    </row>
    <row r="48" spans="1:102" s="115" customFormat="1">
      <c r="A48" s="126"/>
      <c r="B48" s="67" t="s">
        <v>114</v>
      </c>
      <c r="C48" s="125">
        <v>0.56139545574825855</v>
      </c>
      <c r="D48" s="125">
        <v>0.55060792067609443</v>
      </c>
      <c r="E48" s="125">
        <v>0.55973830725062801</v>
      </c>
      <c r="F48" s="125">
        <v>0.5794805884619969</v>
      </c>
      <c r="G48" s="125">
        <v>0.56138810363546532</v>
      </c>
      <c r="H48" s="125">
        <v>0.56418560254622019</v>
      </c>
      <c r="I48" s="125">
        <v>0.54348452673511471</v>
      </c>
      <c r="J48" s="125">
        <v>0.5592862278814531</v>
      </c>
      <c r="K48" s="125">
        <v>0.57963945196165911</v>
      </c>
      <c r="L48" s="125">
        <v>0.57390834736873497</v>
      </c>
      <c r="M48" s="125">
        <v>0.56198929217105642</v>
      </c>
      <c r="N48" s="125">
        <v>0.58476212289504059</v>
      </c>
      <c r="O48" s="125">
        <v>0.5722688872363666</v>
      </c>
      <c r="P48" s="125">
        <v>0.56072926505767062</v>
      </c>
      <c r="Q48" s="125">
        <v>0.5701709053862527</v>
      </c>
      <c r="R48" s="125">
        <v>0.57300582831037106</v>
      </c>
      <c r="S48" s="125">
        <v>0.5818914114696887</v>
      </c>
      <c r="T48" s="125">
        <v>0.54012094451498716</v>
      </c>
      <c r="U48" s="125">
        <v>0.55380549059717676</v>
      </c>
      <c r="V48" s="125">
        <v>0.58507865702404493</v>
      </c>
      <c r="W48" s="125">
        <v>0.5649092522385355</v>
      </c>
      <c r="X48" s="125">
        <v>0.53627291248458175</v>
      </c>
      <c r="Y48" s="125">
        <v>0.59552850976534166</v>
      </c>
      <c r="Z48" s="125">
        <v>0.5692794447656262</v>
      </c>
      <c r="AA48" s="125">
        <v>0.54605700242292132</v>
      </c>
      <c r="AB48" s="125">
        <v>0.55991941861653283</v>
      </c>
      <c r="AC48" s="125">
        <v>0.59139578418503125</v>
      </c>
      <c r="AD48" s="125">
        <v>0.55291930492429031</v>
      </c>
      <c r="AE48" s="125">
        <v>0.55355945218766411</v>
      </c>
      <c r="AF48" s="125">
        <v>0.57043489782862988</v>
      </c>
      <c r="AG48" s="125">
        <v>0.5834138600565173</v>
      </c>
      <c r="AH48" s="125">
        <v>0.57060308255103809</v>
      </c>
      <c r="AI48" s="125">
        <v>0.57352699818529917</v>
      </c>
      <c r="AJ48" s="125">
        <v>0.56042291561153124</v>
      </c>
      <c r="AK48" s="125">
        <v>0.55166927711249791</v>
      </c>
      <c r="AL48" s="125">
        <v>0.57907984640073595</v>
      </c>
      <c r="AM48" s="125">
        <v>0.56640781648335792</v>
      </c>
      <c r="AN48" s="125">
        <v>0.57932902351196836</v>
      </c>
      <c r="AO48" s="125">
        <v>0.5677094625905057</v>
      </c>
      <c r="AP48" s="125">
        <v>0.56400235932439857</v>
      </c>
      <c r="AQ48" s="125">
        <v>0.58824049651071109</v>
      </c>
      <c r="AR48" s="125">
        <v>0.5592915432468365</v>
      </c>
      <c r="AS48" s="125">
        <v>0.55213902659495795</v>
      </c>
      <c r="AT48" s="125">
        <v>0.54126993331955198</v>
      </c>
      <c r="AU48" s="125">
        <v>0.55135031571490933</v>
      </c>
      <c r="AV48" s="125">
        <v>0.56154497984559848</v>
      </c>
      <c r="AW48" s="125">
        <v>0.57292993552817739</v>
      </c>
      <c r="AX48" s="125">
        <v>0.58444402106120996</v>
      </c>
      <c r="AY48" s="125">
        <v>0.55270140234230269</v>
      </c>
      <c r="AZ48" s="125">
        <v>0.54402670246224027</v>
      </c>
      <c r="BA48" s="125">
        <v>0.59259258670557491</v>
      </c>
      <c r="BB48" s="125">
        <v>0.56810442004675399</v>
      </c>
      <c r="BC48" s="125">
        <v>0.58012776428990542</v>
      </c>
      <c r="BD48" s="125">
        <v>0.56459313371633046</v>
      </c>
      <c r="BE48" s="125">
        <v>0.57103365168079889</v>
      </c>
      <c r="BF48" s="125">
        <v>0.57848605605628445</v>
      </c>
      <c r="BG48" s="125">
        <v>0.56682987902545723</v>
      </c>
      <c r="BH48" s="125">
        <v>0.55278102661390638</v>
      </c>
      <c r="BI48" s="125">
        <v>0.56382249054634115</v>
      </c>
      <c r="BJ48" s="125">
        <v>0.54961203271497105</v>
      </c>
      <c r="BK48" s="125">
        <v>0.5496626431183036</v>
      </c>
      <c r="BL48" s="125">
        <v>0.55241436160713919</v>
      </c>
      <c r="BM48" s="125">
        <v>0.5813237185129364</v>
      </c>
      <c r="BN48" s="125">
        <v>0.57504265233972229</v>
      </c>
      <c r="BO48" s="125">
        <v>0.55351196268860003</v>
      </c>
      <c r="BP48" s="125">
        <v>0.55476317435398126</v>
      </c>
      <c r="BQ48" s="125">
        <v>0.54650671444672516</v>
      </c>
      <c r="BR48" s="125">
        <v>0.5616650076162798</v>
      </c>
      <c r="BS48" s="125">
        <v>0.58602105800636717</v>
      </c>
      <c r="BT48" s="125">
        <v>0.59265408193619407</v>
      </c>
      <c r="BU48" s="125">
        <v>0.57197931430984561</v>
      </c>
      <c r="BV48" s="125">
        <v>0.55569923879075833</v>
      </c>
      <c r="BW48" s="125">
        <v>0.57833313952820187</v>
      </c>
      <c r="BX48" s="125">
        <v>0.57046187551880523</v>
      </c>
      <c r="BY48" s="125">
        <v>0.57385055279241803</v>
      </c>
      <c r="BZ48" s="125">
        <v>0.57898536031728964</v>
      </c>
      <c r="CA48" s="125">
        <v>0.56559003715916256</v>
      </c>
      <c r="CB48" s="125">
        <v>0.57603780922074266</v>
      </c>
      <c r="CC48" s="125">
        <v>0.59299274197853102</v>
      </c>
      <c r="CD48" s="125">
        <v>0.57077719717396103</v>
      </c>
      <c r="CE48" s="125">
        <v>0.5755415549276337</v>
      </c>
      <c r="CF48" s="125">
        <v>0.57842257567061672</v>
      </c>
      <c r="CG48" s="125">
        <v>0.53348564143623223</v>
      </c>
      <c r="CH48" s="125">
        <v>0.55996285629235765</v>
      </c>
      <c r="CI48" s="125">
        <v>0.57332843746195472</v>
      </c>
      <c r="CJ48" s="125">
        <v>0.54571280723652382</v>
      </c>
      <c r="CK48" s="125">
        <v>0.55742599247695357</v>
      </c>
      <c r="CL48" s="125">
        <v>0.57478811578596722</v>
      </c>
      <c r="CM48" s="125">
        <v>0.55528243937476562</v>
      </c>
      <c r="CN48" s="125">
        <v>0.59310711278497796</v>
      </c>
      <c r="CO48" s="125">
        <v>0.56483559476268397</v>
      </c>
      <c r="CP48" s="125">
        <v>0.57128612591973116</v>
      </c>
      <c r="CQ48" s="125">
        <v>0.57028408928842</v>
      </c>
      <c r="CR48" s="125">
        <v>0.5494107886957692</v>
      </c>
      <c r="CS48" s="125">
        <v>0.56800546506590155</v>
      </c>
      <c r="CT48" s="125">
        <v>0.57716581132271172</v>
      </c>
      <c r="CU48" s="125">
        <v>0.55005977338943213</v>
      </c>
      <c r="CV48" s="125">
        <v>0.57297411707262325</v>
      </c>
      <c r="CW48" s="125">
        <v>0.57416781936111327</v>
      </c>
      <c r="CX48" s="125">
        <v>0.5658186149667076</v>
      </c>
    </row>
    <row r="49" spans="1:102" s="131" customFormat="1">
      <c r="A49" s="108" t="str">
        <f>Parameters!A42</f>
        <v>Inflatie is een fiscaal verschijnsel</v>
      </c>
      <c r="B49" s="122" t="s">
        <v>29</v>
      </c>
      <c r="C49" s="123">
        <v>6.2122032239771835E-2</v>
      </c>
      <c r="D49" s="123">
        <v>6.2049971542245723E-2</v>
      </c>
      <c r="E49" s="123">
        <v>6.2042015510052714E-2</v>
      </c>
      <c r="F49" s="123">
        <v>6.1843420008866272E-2</v>
      </c>
      <c r="G49" s="123">
        <v>6.1724876098973661E-2</v>
      </c>
      <c r="H49" s="123">
        <v>6.1678603006128305E-2</v>
      </c>
      <c r="I49" s="123">
        <v>6.1649426476727942E-2</v>
      </c>
      <c r="J49" s="123">
        <v>6.1643883857575639E-2</v>
      </c>
      <c r="K49" s="123">
        <v>6.1627933907908355E-2</v>
      </c>
      <c r="L49" s="123">
        <v>6.1627560383377251E-2</v>
      </c>
      <c r="M49" s="123">
        <v>6.1618920501233576E-2</v>
      </c>
      <c r="N49" s="123">
        <v>6.1209371778537081E-2</v>
      </c>
      <c r="O49" s="123">
        <v>6.119757773708713E-2</v>
      </c>
      <c r="P49" s="123">
        <v>6.1175762589900526E-2</v>
      </c>
      <c r="Q49" s="123">
        <v>6.1136811682616227E-2</v>
      </c>
      <c r="R49" s="123">
        <v>6.1132216415024948E-2</v>
      </c>
      <c r="S49" s="123">
        <v>6.1072606270821492E-2</v>
      </c>
      <c r="T49" s="123">
        <v>6.1064264694986464E-2</v>
      </c>
      <c r="U49" s="123">
        <v>6.1045924921110453E-2</v>
      </c>
      <c r="V49" s="123">
        <v>6.1022435722717594E-2</v>
      </c>
      <c r="W49" s="123">
        <v>6.1001006277980295E-2</v>
      </c>
      <c r="X49" s="123">
        <v>6.0977621997278721E-2</v>
      </c>
      <c r="Y49" s="123">
        <v>6.0964980130244761E-2</v>
      </c>
      <c r="Z49" s="123">
        <v>6.0903216983838035E-2</v>
      </c>
      <c r="AA49" s="123">
        <v>6.0866999392087923E-2</v>
      </c>
      <c r="AB49" s="123">
        <v>6.0861634680829127E-2</v>
      </c>
      <c r="AC49" s="123">
        <v>6.0858888756399096E-2</v>
      </c>
      <c r="AD49" s="123">
        <v>6.0844508551717927E-2</v>
      </c>
      <c r="AE49" s="123">
        <v>6.0820262111095577E-2</v>
      </c>
      <c r="AF49" s="123">
        <v>6.0803688292549223E-2</v>
      </c>
      <c r="AG49" s="123">
        <v>6.0793055884854293E-2</v>
      </c>
      <c r="AH49" s="123">
        <v>6.0713300973640388E-2</v>
      </c>
      <c r="AI49" s="123">
        <v>6.0702767908326481E-2</v>
      </c>
      <c r="AJ49" s="123">
        <v>6.0701102361245644E-2</v>
      </c>
      <c r="AK49" s="123">
        <v>6.0693406277227482E-2</v>
      </c>
      <c r="AL49" s="123">
        <v>6.0689427844263878E-2</v>
      </c>
      <c r="AM49" s="123">
        <v>6.067901733933781E-2</v>
      </c>
      <c r="AN49" s="123">
        <v>6.0669292697703187E-2</v>
      </c>
      <c r="AO49" s="123">
        <v>6.0661069304218135E-2</v>
      </c>
      <c r="AP49" s="123">
        <v>6.0652261139880217E-2</v>
      </c>
      <c r="AQ49" s="123">
        <v>6.0644251893865173E-2</v>
      </c>
      <c r="AR49" s="123">
        <v>6.0639645383126925E-2</v>
      </c>
      <c r="AS49" s="123">
        <v>6.0604252374337912E-2</v>
      </c>
      <c r="AT49" s="123">
        <v>6.0572475953290142E-2</v>
      </c>
      <c r="AU49" s="123">
        <v>6.0556926736353087E-2</v>
      </c>
      <c r="AV49" s="123">
        <v>6.0550563036186847E-2</v>
      </c>
      <c r="AW49" s="123">
        <v>6.0535394727637672E-2</v>
      </c>
      <c r="AX49" s="123">
        <v>6.0535159046089568E-2</v>
      </c>
      <c r="AY49" s="123">
        <v>6.0533615837365051E-2</v>
      </c>
      <c r="AZ49" s="123">
        <v>6.052494807979341E-2</v>
      </c>
      <c r="BA49" s="123">
        <v>6.0522361612139995E-2</v>
      </c>
      <c r="BB49" s="123">
        <v>6.0515931861948896E-2</v>
      </c>
      <c r="BC49" s="123">
        <v>6.0498961825738738E-2</v>
      </c>
      <c r="BD49" s="123">
        <v>6.0487930742723961E-2</v>
      </c>
      <c r="BE49" s="123">
        <v>6.0465256394580377E-2</v>
      </c>
      <c r="BF49" s="123">
        <v>6.0456612771141283E-2</v>
      </c>
      <c r="BG49" s="123">
        <v>6.0436715853600262E-2</v>
      </c>
      <c r="BH49" s="123">
        <v>6.0434855222357607E-2</v>
      </c>
      <c r="BI49" s="123">
        <v>6.0426782234133711E-2</v>
      </c>
      <c r="BJ49" s="123">
        <v>6.0418585927871589E-2</v>
      </c>
      <c r="BK49" s="123">
        <v>6.0408760932141758E-2</v>
      </c>
      <c r="BL49" s="123">
        <v>6.0384730689185734E-2</v>
      </c>
      <c r="BM49" s="123">
        <v>6.0377768595725495E-2</v>
      </c>
      <c r="BN49" s="123">
        <v>6.0375317338840474E-2</v>
      </c>
      <c r="BO49" s="123">
        <v>6.0358893099251645E-2</v>
      </c>
      <c r="BP49" s="123">
        <v>6.0350296357057895E-2</v>
      </c>
      <c r="BQ49" s="123">
        <v>6.034148918083216E-2</v>
      </c>
      <c r="BR49" s="123">
        <v>6.0326183722564125E-2</v>
      </c>
      <c r="BS49" s="123">
        <v>6.0314364274616311E-2</v>
      </c>
      <c r="BT49" s="123">
        <v>6.0301504968174421E-2</v>
      </c>
      <c r="BU49" s="123">
        <v>6.0286671976653203E-2</v>
      </c>
      <c r="BV49" s="123">
        <v>6.0278450513352372E-2</v>
      </c>
      <c r="BW49" s="123">
        <v>6.0250875982642317E-2</v>
      </c>
      <c r="BX49" s="123">
        <v>6.0225347370003887E-2</v>
      </c>
      <c r="BY49" s="123">
        <v>6.0221081330062168E-2</v>
      </c>
      <c r="BZ49" s="123">
        <v>6.0208420733391929E-2</v>
      </c>
      <c r="CA49" s="123">
        <v>6.0199397972499194E-2</v>
      </c>
      <c r="CB49" s="123">
        <v>6.0193837376773321E-2</v>
      </c>
      <c r="CC49" s="123">
        <v>6.016734861168381E-2</v>
      </c>
      <c r="CD49" s="123">
        <v>6.0160329207335224E-2</v>
      </c>
      <c r="CE49" s="123">
        <v>6.0157237531714446E-2</v>
      </c>
      <c r="CF49" s="123">
        <v>6.0114604252160787E-2</v>
      </c>
      <c r="CG49" s="123">
        <v>6.0104741298384889E-2</v>
      </c>
      <c r="CH49" s="123">
        <v>6.0098173530373819E-2</v>
      </c>
      <c r="CI49" s="123">
        <v>6.009725845375774E-2</v>
      </c>
      <c r="CJ49" s="123">
        <v>6.009202360465718E-2</v>
      </c>
      <c r="CK49" s="123">
        <v>6.0088360537642126E-2</v>
      </c>
      <c r="CL49" s="123">
        <v>6.0069699993098288E-2</v>
      </c>
      <c r="CM49" s="123">
        <v>6.0064798216434227E-2</v>
      </c>
      <c r="CN49" s="123">
        <v>6.0063563032113507E-2</v>
      </c>
      <c r="CO49" s="123">
        <v>6.0063264054857179E-2</v>
      </c>
      <c r="CP49" s="123">
        <v>6.0051073465887311E-2</v>
      </c>
      <c r="CQ49" s="123">
        <v>6.0037258844343536E-2</v>
      </c>
      <c r="CR49" s="123">
        <v>6.0032961503950898E-2</v>
      </c>
      <c r="CS49" s="123">
        <v>6.0027059643626139E-2</v>
      </c>
      <c r="CT49" s="123">
        <v>6.0022981350248354E-2</v>
      </c>
      <c r="CU49" s="123">
        <v>6.0022641025942916E-2</v>
      </c>
      <c r="CV49" s="123">
        <v>6.0012068226074765E-2</v>
      </c>
      <c r="CW49" s="123">
        <v>6.0009237730690577E-2</v>
      </c>
      <c r="CX49" s="123">
        <v>6.0002412258999334E-2</v>
      </c>
    </row>
    <row r="50" spans="1:102" s="115" customFormat="1">
      <c r="A50" s="23"/>
      <c r="B50" s="14" t="s">
        <v>30</v>
      </c>
      <c r="C50" s="125">
        <v>5.9646517250307354E-2</v>
      </c>
      <c r="D50" s="125">
        <v>5.9865171413591621E-2</v>
      </c>
      <c r="E50" s="125">
        <v>5.9597132633073174E-2</v>
      </c>
      <c r="F50" s="125">
        <v>5.9584126144459182E-2</v>
      </c>
      <c r="G50" s="125">
        <v>5.9910344991576402E-2</v>
      </c>
      <c r="H50" s="125">
        <v>5.9340207745889544E-2</v>
      </c>
      <c r="I50" s="125">
        <v>5.9914397418484727E-2</v>
      </c>
      <c r="J50" s="125">
        <v>5.9568628007187208E-2</v>
      </c>
      <c r="K50" s="125">
        <v>5.9740823149462351E-2</v>
      </c>
      <c r="L50" s="125">
        <v>5.9622513107824154E-2</v>
      </c>
      <c r="M50" s="125">
        <v>5.98909251761785E-2</v>
      </c>
      <c r="N50" s="125">
        <v>5.9742497793938636E-2</v>
      </c>
      <c r="O50" s="125">
        <v>5.9145430882087277E-2</v>
      </c>
      <c r="P50" s="125">
        <v>5.9917067470544594E-2</v>
      </c>
      <c r="Q50" s="125">
        <v>5.9454142962272499E-2</v>
      </c>
      <c r="R50" s="125">
        <v>5.845784089595818E-2</v>
      </c>
      <c r="S50" s="125">
        <v>5.9959891748863528E-2</v>
      </c>
      <c r="T50" s="125">
        <v>5.9929631945582131E-2</v>
      </c>
      <c r="U50" s="125">
        <v>5.9587712695462848E-2</v>
      </c>
      <c r="V50" s="125">
        <v>5.9718401278105189E-2</v>
      </c>
      <c r="W50" s="125">
        <v>5.9946683109431895E-2</v>
      </c>
      <c r="X50" s="125">
        <v>5.9956310587368375E-2</v>
      </c>
      <c r="Y50" s="125">
        <v>5.9381992290584835E-2</v>
      </c>
      <c r="Z50" s="125">
        <v>5.9375277689306519E-2</v>
      </c>
      <c r="AA50" s="125">
        <v>5.9963642640569761E-2</v>
      </c>
      <c r="AB50" s="125">
        <v>5.9531479300409799E-2</v>
      </c>
      <c r="AC50" s="125">
        <v>5.9457417282845475E-2</v>
      </c>
      <c r="AD50" s="125">
        <v>5.9001760107595003E-2</v>
      </c>
      <c r="AE50" s="125">
        <v>5.8744763561200536E-2</v>
      </c>
      <c r="AF50" s="125">
        <v>5.9392508265670704E-2</v>
      </c>
      <c r="AG50" s="125">
        <v>5.9498031089621158E-2</v>
      </c>
      <c r="AH50" s="125">
        <v>5.9843550118046956E-2</v>
      </c>
      <c r="AI50" s="125">
        <v>5.9508086553789287E-2</v>
      </c>
      <c r="AJ50" s="125">
        <v>5.9455352661540652E-2</v>
      </c>
      <c r="AK50" s="125">
        <v>5.9706349883260734E-2</v>
      </c>
      <c r="AL50" s="125">
        <v>5.9391548130367948E-2</v>
      </c>
      <c r="AM50" s="125">
        <v>5.9227024606135846E-2</v>
      </c>
      <c r="AN50" s="125">
        <v>5.8451527984998843E-2</v>
      </c>
      <c r="AO50" s="125">
        <v>5.7830579175086091E-2</v>
      </c>
      <c r="AP50" s="125">
        <v>5.9922559195247131E-2</v>
      </c>
      <c r="AQ50" s="125">
        <v>5.9682197804480176E-2</v>
      </c>
      <c r="AR50" s="125">
        <v>5.8504436548785996E-2</v>
      </c>
      <c r="AS50" s="125">
        <v>5.8676566100691781E-2</v>
      </c>
      <c r="AT50" s="125">
        <v>5.9966791790286127E-2</v>
      </c>
      <c r="AU50" s="125">
        <v>5.9675239675245628E-2</v>
      </c>
      <c r="AV50" s="125">
        <v>5.976549767293738E-2</v>
      </c>
      <c r="AW50" s="125">
        <v>5.9848846867536228E-2</v>
      </c>
      <c r="AX50" s="125">
        <v>5.9692513927196017E-2</v>
      </c>
      <c r="AY50" s="125">
        <v>5.9939297802044059E-2</v>
      </c>
      <c r="AZ50" s="125">
        <v>5.984950671784512E-2</v>
      </c>
      <c r="BA50" s="125">
        <v>5.9846671772990731E-2</v>
      </c>
      <c r="BB50" s="125">
        <v>5.8579509600778457E-2</v>
      </c>
      <c r="BC50" s="125">
        <v>5.9252626749940578E-2</v>
      </c>
      <c r="BD50" s="125">
        <v>5.9249238664020647E-2</v>
      </c>
      <c r="BE50" s="125">
        <v>5.903008246194235E-2</v>
      </c>
      <c r="BF50" s="125">
        <v>5.8958529560438538E-2</v>
      </c>
      <c r="BG50" s="125">
        <v>5.9638378034399968E-2</v>
      </c>
      <c r="BH50" s="125">
        <v>5.9881067902740788E-2</v>
      </c>
      <c r="BI50" s="125">
        <v>5.9495126873010784E-2</v>
      </c>
      <c r="BJ50" s="125">
        <v>5.9671038426381759E-2</v>
      </c>
      <c r="BK50" s="125">
        <v>5.9659485988045158E-2</v>
      </c>
      <c r="BL50" s="125">
        <v>5.9984775153465369E-2</v>
      </c>
      <c r="BM50" s="125">
        <v>5.8677155607794511E-2</v>
      </c>
      <c r="BN50" s="125">
        <v>5.8961716779148021E-2</v>
      </c>
      <c r="BO50" s="125">
        <v>5.9426691560657899E-2</v>
      </c>
      <c r="BP50" s="125">
        <v>5.9679476112619111E-2</v>
      </c>
      <c r="BQ50" s="125">
        <v>5.886848838215792E-2</v>
      </c>
      <c r="BR50" s="125">
        <v>5.8237168870886584E-2</v>
      </c>
      <c r="BS50" s="125">
        <v>5.8890987476676981E-2</v>
      </c>
      <c r="BT50" s="125">
        <v>5.8720992695172752E-2</v>
      </c>
      <c r="BU50" s="125">
        <v>5.8881647112933609E-2</v>
      </c>
      <c r="BV50" s="125">
        <v>5.9729652734424425E-2</v>
      </c>
      <c r="BW50" s="125">
        <v>5.9750826122369961E-2</v>
      </c>
      <c r="BX50" s="125">
        <v>5.9128639274321083E-2</v>
      </c>
      <c r="BY50" s="125">
        <v>5.8714527684650186E-2</v>
      </c>
      <c r="BZ50" s="125">
        <v>5.9517833916211398E-2</v>
      </c>
      <c r="CA50" s="125">
        <v>5.9700304508928069E-2</v>
      </c>
      <c r="CB50" s="125">
        <v>5.990643762150534E-2</v>
      </c>
      <c r="CC50" s="125">
        <v>5.8940011568280506E-2</v>
      </c>
      <c r="CD50" s="125">
        <v>5.9319097391452601E-2</v>
      </c>
      <c r="CE50" s="125">
        <v>5.8819656841335673E-2</v>
      </c>
      <c r="CF50" s="125">
        <v>5.8786981548641218E-2</v>
      </c>
      <c r="CG50" s="125">
        <v>5.9500481733752601E-2</v>
      </c>
      <c r="CH50" s="125">
        <v>5.9784917293966726E-2</v>
      </c>
      <c r="CI50" s="125">
        <v>5.9652399305956942E-2</v>
      </c>
      <c r="CJ50" s="125">
        <v>5.9587287733368646E-2</v>
      </c>
      <c r="CK50" s="125">
        <v>5.8696800026444805E-2</v>
      </c>
      <c r="CL50" s="125">
        <v>5.9550318051476127E-2</v>
      </c>
      <c r="CM50" s="125">
        <v>5.933067234746902E-2</v>
      </c>
      <c r="CN50" s="125">
        <v>5.9754740090127344E-2</v>
      </c>
      <c r="CO50" s="125">
        <v>5.878423069737395E-2</v>
      </c>
      <c r="CP50" s="125">
        <v>5.9652019168907097E-2</v>
      </c>
      <c r="CQ50" s="125">
        <v>5.9963235426071237E-2</v>
      </c>
      <c r="CR50" s="125">
        <v>5.9264450379795386E-2</v>
      </c>
      <c r="CS50" s="125">
        <v>5.9816083036415786E-2</v>
      </c>
      <c r="CT50" s="125">
        <v>5.926037639864027E-2</v>
      </c>
      <c r="CU50" s="125">
        <v>5.9917234181244478E-2</v>
      </c>
      <c r="CV50" s="125">
        <v>5.9617080842293266E-2</v>
      </c>
      <c r="CW50" s="125">
        <v>5.9227947586578109E-2</v>
      </c>
      <c r="CX50" s="125">
        <v>5.8538908785085081E-2</v>
      </c>
    </row>
    <row r="51" spans="1:102" s="115" customFormat="1">
      <c r="A51" s="23"/>
      <c r="B51" s="67" t="s">
        <v>56</v>
      </c>
      <c r="C51" s="125">
        <v>6.4423282469403279E-2</v>
      </c>
      <c r="D51" s="125">
        <v>7.2871311881613374E-2</v>
      </c>
      <c r="E51" s="125">
        <v>7.3455377754298681E-2</v>
      </c>
      <c r="F51" s="125">
        <v>5.9848969719539874E-2</v>
      </c>
      <c r="G51" s="125">
        <v>6.9683362310442601E-2</v>
      </c>
      <c r="H51" s="125">
        <v>6.9944894605849878E-2</v>
      </c>
      <c r="I51" s="125">
        <v>6.8749947663851022E-2</v>
      </c>
      <c r="J51" s="125">
        <v>6.5982987806081625E-2</v>
      </c>
      <c r="K51" s="125">
        <v>5.8862880208174886E-2</v>
      </c>
      <c r="L51" s="125">
        <v>6.1681083756493685E-2</v>
      </c>
      <c r="M51" s="125">
        <v>7.1665450891982341E-2</v>
      </c>
      <c r="N51" s="125">
        <v>6.0525775427493551E-2</v>
      </c>
      <c r="O51" s="125">
        <v>6.1235389214979313E-2</v>
      </c>
      <c r="P51" s="125">
        <v>6.5344188273067275E-2</v>
      </c>
      <c r="Q51" s="125">
        <v>6.2573192007061851E-2</v>
      </c>
      <c r="R51" s="125">
        <v>6.5436767922448694E-2</v>
      </c>
      <c r="S51" s="125">
        <v>5.822247832791181E-2</v>
      </c>
      <c r="T51" s="125">
        <v>6.8091750810277518E-2</v>
      </c>
      <c r="U51" s="125">
        <v>7.1017806995059496E-2</v>
      </c>
      <c r="V51" s="125">
        <v>5.7725068244004585E-2</v>
      </c>
      <c r="W51" s="125">
        <v>6.2683998790473275E-2</v>
      </c>
      <c r="X51" s="125">
        <v>7.2418661966368564E-2</v>
      </c>
      <c r="Y51" s="125">
        <v>5.8379059420819321E-2</v>
      </c>
      <c r="Z51" s="125">
        <v>7.3128109996803997E-2</v>
      </c>
      <c r="AA51" s="125">
        <v>6.5531005582021185E-2</v>
      </c>
      <c r="AB51" s="125">
        <v>6.1974369919673235E-2</v>
      </c>
      <c r="AC51" s="125">
        <v>6.0061313087468524E-2</v>
      </c>
      <c r="AD51" s="125">
        <v>6.8879940657393626E-2</v>
      </c>
      <c r="AE51" s="125">
        <v>6.6439345251031873E-2</v>
      </c>
      <c r="AF51" s="125">
        <v>6.0976780235363542E-2</v>
      </c>
      <c r="AG51" s="125">
        <v>6.6767189202862856E-2</v>
      </c>
      <c r="AH51" s="125">
        <v>6.3758554536010842E-2</v>
      </c>
      <c r="AI51" s="125">
        <v>5.999075165952953E-2</v>
      </c>
      <c r="AJ51" s="125">
        <v>6.3541076153325424E-2</v>
      </c>
      <c r="AK51" s="125">
        <v>6.5757529584589802E-2</v>
      </c>
      <c r="AL51" s="125">
        <v>5.9118321739231705E-2</v>
      </c>
      <c r="AM51" s="125">
        <v>6.3638925571586388E-2</v>
      </c>
      <c r="AN51" s="125">
        <v>6.720285403946101E-2</v>
      </c>
      <c r="AO51" s="125">
        <v>6.7366512646421281E-2</v>
      </c>
      <c r="AP51" s="125">
        <v>5.9597240607602214E-2</v>
      </c>
      <c r="AQ51" s="125">
        <v>5.8443230756240076E-2</v>
      </c>
      <c r="AR51" s="125">
        <v>6.6746326520216684E-2</v>
      </c>
      <c r="AS51" s="125">
        <v>6.6254407642659538E-2</v>
      </c>
      <c r="AT51" s="125">
        <v>6.5501140259214427E-2</v>
      </c>
      <c r="AU51" s="125">
        <v>6.5939705228808529E-2</v>
      </c>
      <c r="AV51" s="125">
        <v>6.3923984901120376E-2</v>
      </c>
      <c r="AW51" s="125">
        <v>6.734797446798485E-2</v>
      </c>
      <c r="AX51" s="125">
        <v>5.8575404663753695E-2</v>
      </c>
      <c r="AY51" s="125">
        <v>6.6650194069785604E-2</v>
      </c>
      <c r="AZ51" s="125">
        <v>6.4137245330941797E-2</v>
      </c>
      <c r="BA51" s="125">
        <v>5.6181875981895217E-2</v>
      </c>
      <c r="BB51" s="125">
        <v>6.2984795615335126E-2</v>
      </c>
      <c r="BC51" s="125">
        <v>5.8663349411145482E-2</v>
      </c>
      <c r="BD51" s="125">
        <v>6.5936963758488024E-2</v>
      </c>
      <c r="BE51" s="125">
        <v>6.3707517297784136E-2</v>
      </c>
      <c r="BF51" s="125">
        <v>6.0298212964733602E-2</v>
      </c>
      <c r="BG51" s="125">
        <v>5.9358029190440052E-2</v>
      </c>
      <c r="BH51" s="125">
        <v>6.1853140029094013E-2</v>
      </c>
      <c r="BI51" s="125">
        <v>6.4425287103729786E-2</v>
      </c>
      <c r="BJ51" s="125">
        <v>6.7162138958584153E-2</v>
      </c>
      <c r="BK51" s="125">
        <v>6.46172857299563E-2</v>
      </c>
      <c r="BL51" s="125">
        <v>6.5255515985021079E-2</v>
      </c>
      <c r="BM51" s="125">
        <v>6.0411257942714409E-2</v>
      </c>
      <c r="BN51" s="125">
        <v>6.0413838415768063E-2</v>
      </c>
      <c r="BO51" s="125">
        <v>7.0696866331806107E-2</v>
      </c>
      <c r="BP51" s="125">
        <v>6.5294551596869629E-2</v>
      </c>
      <c r="BQ51" s="125">
        <v>6.9354848646221559E-2</v>
      </c>
      <c r="BR51" s="125">
        <v>6.4563440555919588E-2</v>
      </c>
      <c r="BS51" s="125">
        <v>6.3664638925558931E-2</v>
      </c>
      <c r="BT51" s="125">
        <v>5.7954003493788944E-2</v>
      </c>
      <c r="BU51" s="125">
        <v>6.5644076004190005E-2</v>
      </c>
      <c r="BV51" s="125">
        <v>6.450333592881273E-2</v>
      </c>
      <c r="BW51" s="125">
        <v>6.2572200801593814E-2</v>
      </c>
      <c r="BX51" s="125">
        <v>6.4031118016475319E-2</v>
      </c>
      <c r="BY51" s="125">
        <v>6.5152780210050401E-2</v>
      </c>
      <c r="BZ51" s="125">
        <v>6.9143749875649682E-2</v>
      </c>
      <c r="CA51" s="125">
        <v>6.4738530488677781E-2</v>
      </c>
      <c r="CB51" s="125">
        <v>5.7016453762686076E-2</v>
      </c>
      <c r="CC51" s="125">
        <v>6.1453978421215444E-2</v>
      </c>
      <c r="CD51" s="125">
        <v>5.9739312928937215E-2</v>
      </c>
      <c r="CE51" s="125">
        <v>6.2118520554716158E-2</v>
      </c>
      <c r="CF51" s="125">
        <v>6.0310062186608539E-2</v>
      </c>
      <c r="CG51" s="125">
        <v>7.3809885281098719E-2</v>
      </c>
      <c r="CH51" s="125">
        <v>7.1393136678449085E-2</v>
      </c>
      <c r="CI51" s="125">
        <v>6.6036355631857613E-2</v>
      </c>
      <c r="CJ51" s="125">
        <v>6.7623522542736986E-2</v>
      </c>
      <c r="CK51" s="125">
        <v>6.3125409261676119E-2</v>
      </c>
      <c r="CL51" s="125">
        <v>6.510231014001687E-2</v>
      </c>
      <c r="CM51" s="125">
        <v>6.4823472424189385E-2</v>
      </c>
      <c r="CN51" s="125">
        <v>5.9678311017206838E-2</v>
      </c>
      <c r="CO51" s="125">
        <v>6.4736866190243561E-2</v>
      </c>
      <c r="CP51" s="125">
        <v>6.0079360427268684E-2</v>
      </c>
      <c r="CQ51" s="125">
        <v>6.0181168445625502E-2</v>
      </c>
      <c r="CR51" s="125">
        <v>6.3543955731234544E-2</v>
      </c>
      <c r="CS51" s="125">
        <v>5.9014955286136969E-2</v>
      </c>
      <c r="CT51" s="125">
        <v>6.4026710300702297E-2</v>
      </c>
      <c r="CU51" s="125">
        <v>7.3659817528132346E-2</v>
      </c>
      <c r="CV51" s="125">
        <v>6.492942819110907E-2</v>
      </c>
      <c r="CW51" s="125">
        <v>6.089047623064231E-2</v>
      </c>
      <c r="CX51" s="125">
        <v>6.1529414587887722E-2</v>
      </c>
    </row>
    <row r="52" spans="1:102" s="116" customFormat="1">
      <c r="A52" s="126"/>
      <c r="B52" s="67" t="s">
        <v>114</v>
      </c>
      <c r="C52" s="125">
        <v>0.19110032441175168</v>
      </c>
      <c r="D52" s="125">
        <v>0.19229961715361524</v>
      </c>
      <c r="E52" s="125">
        <v>0.19126881099797646</v>
      </c>
      <c r="F52" s="125">
        <v>0.19212621776744063</v>
      </c>
      <c r="G52" s="125">
        <v>0.19396666013218217</v>
      </c>
      <c r="H52" s="125">
        <v>0.1919079853185873</v>
      </c>
      <c r="I52" s="125">
        <v>0.19432899091657413</v>
      </c>
      <c r="J52" s="125">
        <v>0.19298073939611016</v>
      </c>
      <c r="K52" s="125">
        <v>0.19373940895332351</v>
      </c>
      <c r="L52" s="125">
        <v>0.1932705409846748</v>
      </c>
      <c r="M52" s="125">
        <v>0.19437618102813919</v>
      </c>
      <c r="N52" s="125">
        <v>0.19567595564659918</v>
      </c>
      <c r="O52" s="125">
        <v>0.19334878259816815</v>
      </c>
      <c r="P52" s="125">
        <v>0.19652203988484238</v>
      </c>
      <c r="Q52" s="125">
        <v>0.19486555459814217</v>
      </c>
      <c r="R52" s="125">
        <v>0.19087256957773568</v>
      </c>
      <c r="S52" s="125">
        <v>0.19716824479406014</v>
      </c>
      <c r="T52" s="125">
        <v>0.19708751331674618</v>
      </c>
      <c r="U52" s="125">
        <v>0.19581865781130514</v>
      </c>
      <c r="V52" s="125">
        <v>0.19644617935967223</v>
      </c>
      <c r="W52" s="125">
        <v>0.19744779235000567</v>
      </c>
      <c r="X52" s="125">
        <v>0.19759412545029945</v>
      </c>
      <c r="Y52" s="125">
        <v>0.19537542528735596</v>
      </c>
      <c r="Z52" s="125">
        <v>0.19563587200566024</v>
      </c>
      <c r="AA52" s="125">
        <v>0.19813619539404048</v>
      </c>
      <c r="AB52" s="125">
        <v>0.19645128710990087</v>
      </c>
      <c r="AC52" s="125">
        <v>0.19616946051136197</v>
      </c>
      <c r="AD52" s="125">
        <v>0.19441375676668479</v>
      </c>
      <c r="AE52" s="125">
        <v>0.19349117155014581</v>
      </c>
      <c r="AF52" s="125">
        <v>0.19616796201533063</v>
      </c>
      <c r="AG52" s="125">
        <v>0.1966375418100372</v>
      </c>
      <c r="AH52" s="125">
        <v>0.19837736592215025</v>
      </c>
      <c r="AI52" s="125">
        <v>0.19709828744489943</v>
      </c>
      <c r="AJ52" s="125">
        <v>0.19689641113027878</v>
      </c>
      <c r="AK52" s="125">
        <v>0.19792799390452709</v>
      </c>
      <c r="AL52" s="125">
        <v>0.19669691674439746</v>
      </c>
      <c r="AM52" s="125">
        <v>0.19608909877991007</v>
      </c>
      <c r="AN52" s="125">
        <v>0.19300935581270107</v>
      </c>
      <c r="AO52" s="125">
        <v>0.19050805147865429</v>
      </c>
      <c r="AP52" s="125">
        <v>0.19897297603393996</v>
      </c>
      <c r="AQ52" s="125">
        <v>0.198061565438514</v>
      </c>
      <c r="AR52" s="125">
        <v>0.19336319301899754</v>
      </c>
      <c r="AS52" s="125">
        <v>0.19422630574360294</v>
      </c>
      <c r="AT52" s="125">
        <v>0.1995187777752023</v>
      </c>
      <c r="AU52" s="125">
        <v>0.19844152940382925</v>
      </c>
      <c r="AV52" s="125">
        <v>0.19882793786959257</v>
      </c>
      <c r="AW52" s="125">
        <v>0.19922749539838774</v>
      </c>
      <c r="AX52" s="125">
        <v>0.19861150073704656</v>
      </c>
      <c r="AY52" s="125">
        <v>0.19959188599805197</v>
      </c>
      <c r="AZ52" s="125">
        <v>0.1992788529100232</v>
      </c>
      <c r="BA52" s="125">
        <v>0.19927975477076273</v>
      </c>
      <c r="BB52" s="125">
        <v>0.19424798128309309</v>
      </c>
      <c r="BC52" s="125">
        <v>0.19703341111405898</v>
      </c>
      <c r="BD52" s="125">
        <v>0.19707154749012262</v>
      </c>
      <c r="BE52" s="125">
        <v>0.19630119706845214</v>
      </c>
      <c r="BF52" s="125">
        <v>0.19605466189400925</v>
      </c>
      <c r="BG52" s="125">
        <v>0.19885753746572693</v>
      </c>
      <c r="BH52" s="125">
        <v>0.19982389545183404</v>
      </c>
      <c r="BI52" s="125">
        <v>0.19833641429196022</v>
      </c>
      <c r="BJ52" s="125">
        <v>0.19907152084682378</v>
      </c>
      <c r="BK52" s="125">
        <v>0.19907181964319379</v>
      </c>
      <c r="BL52" s="125">
        <v>0.20046578600211126</v>
      </c>
      <c r="BM52" s="125">
        <v>0.19529208109592747</v>
      </c>
      <c r="BN52" s="125">
        <v>0.19644908871180392</v>
      </c>
      <c r="BO52" s="125">
        <v>0.19838275181095247</v>
      </c>
      <c r="BP52" s="125">
        <v>0.19942451686112572</v>
      </c>
      <c r="BQ52" s="125">
        <v>0.19623357971443453</v>
      </c>
      <c r="BR52" s="125">
        <v>0.19375022814960294</v>
      </c>
      <c r="BS52" s="125">
        <v>0.19645155220026028</v>
      </c>
      <c r="BT52" s="125">
        <v>0.19582780239463982</v>
      </c>
      <c r="BU52" s="125">
        <v>0.1965442829323964</v>
      </c>
      <c r="BV52" s="125">
        <v>0.19995919382908617</v>
      </c>
      <c r="BW52" s="125">
        <v>0.20017194570983884</v>
      </c>
      <c r="BX52" s="125">
        <v>0.19782240959444766</v>
      </c>
      <c r="BY52" s="125">
        <v>0.19618054520589845</v>
      </c>
      <c r="BZ52" s="125">
        <v>0.19945035147459009</v>
      </c>
      <c r="CA52" s="125">
        <v>0.20021412352958978</v>
      </c>
      <c r="CB52" s="125">
        <v>0.20105171671447836</v>
      </c>
      <c r="CC52" s="125">
        <v>0.19734038870406037</v>
      </c>
      <c r="CD52" s="125">
        <v>0.1988874902689782</v>
      </c>
      <c r="CE52" s="125">
        <v>0.19690475358594844</v>
      </c>
      <c r="CF52" s="125">
        <v>0.19697444206805301</v>
      </c>
      <c r="CG52" s="125">
        <v>0.19986888021961915</v>
      </c>
      <c r="CH52" s="125">
        <v>0.20102280686121254</v>
      </c>
      <c r="CI52" s="125">
        <v>0.20050475076521798</v>
      </c>
      <c r="CJ52" s="125">
        <v>0.20027215979300517</v>
      </c>
      <c r="CK52" s="125">
        <v>0.19673523524047562</v>
      </c>
      <c r="CL52" s="125">
        <v>0.20023096940881896</v>
      </c>
      <c r="CM52" s="125">
        <v>0.1993831606677777</v>
      </c>
      <c r="CN52" s="125">
        <v>0.20106662277713977</v>
      </c>
      <c r="CO52" s="125">
        <v>0.19720572931479707</v>
      </c>
      <c r="CP52" s="125">
        <v>0.20072040609771352</v>
      </c>
      <c r="CQ52" s="125">
        <v>0.20200932456311141</v>
      </c>
      <c r="CR52" s="125">
        <v>0.1992698125071817</v>
      </c>
      <c r="CS52" s="125">
        <v>0.20147958688201445</v>
      </c>
      <c r="CT52" s="125">
        <v>0.19930064634960079</v>
      </c>
      <c r="CU52" s="125">
        <v>0.20189761664153028</v>
      </c>
      <c r="CV52" s="125">
        <v>0.20076601284813003</v>
      </c>
      <c r="CW52" s="125">
        <v>0.19923636003008804</v>
      </c>
      <c r="CX52" s="125">
        <v>0.19650430110142339</v>
      </c>
    </row>
    <row r="53" spans="1:102" s="115" customFormat="1">
      <c r="A53" s="108" t="str">
        <f>Parameters!A43</f>
        <v>Vermogenseffect &amp; innovatie</v>
      </c>
      <c r="B53" s="122" t="s">
        <v>29</v>
      </c>
      <c r="C53" s="123">
        <v>5.1880453353018566E-2</v>
      </c>
      <c r="D53" s="123">
        <v>6.8263852834943406E-2</v>
      </c>
      <c r="E53" s="123">
        <v>7.5957444314590866E-2</v>
      </c>
      <c r="F53" s="123">
        <v>5.1276223872095114E-2</v>
      </c>
      <c r="G53" s="123">
        <v>5.1302207840528004E-2</v>
      </c>
      <c r="H53" s="123">
        <v>7.0364692937892048E-2</v>
      </c>
      <c r="I53" s="123">
        <v>6.353202104531748E-2</v>
      </c>
      <c r="J53" s="123">
        <v>6.7124474734929551E-2</v>
      </c>
      <c r="K53" s="123">
        <v>4.5415816193618092E-2</v>
      </c>
      <c r="L53" s="123">
        <v>4.7722150665364921E-2</v>
      </c>
      <c r="M53" s="123">
        <v>6.0919660283935799E-2</v>
      </c>
      <c r="N53" s="123">
        <v>4.443151434012535E-2</v>
      </c>
      <c r="O53" s="123">
        <v>3.7685355790905178E-2</v>
      </c>
      <c r="P53" s="123">
        <v>5.0950353330561853E-2</v>
      </c>
      <c r="Q53" s="123">
        <v>4.6087578135028784E-2</v>
      </c>
      <c r="R53" s="123">
        <v>5.7296725196919827E-2</v>
      </c>
      <c r="S53" s="123">
        <v>4.0843513954958249E-2</v>
      </c>
      <c r="T53" s="123">
        <v>6.3706447171380562E-2</v>
      </c>
      <c r="U53" s="123">
        <v>7.5578724586629661E-2</v>
      </c>
      <c r="V53" s="123">
        <v>4.8308174059990848E-2</v>
      </c>
      <c r="W53" s="123">
        <v>5.8952378638713908E-2</v>
      </c>
      <c r="X53" s="123">
        <v>6.4827976517514527E-2</v>
      </c>
      <c r="Y53" s="123">
        <v>4.7119336967305893E-2</v>
      </c>
      <c r="Z53" s="123">
        <v>8.6877733371953064E-2</v>
      </c>
      <c r="AA53" s="123">
        <v>7.4806678621716763E-2</v>
      </c>
      <c r="AB53" s="123">
        <v>6.5191550041257054E-2</v>
      </c>
      <c r="AC53" s="123">
        <v>4.2730056253819933E-2</v>
      </c>
      <c r="AD53" s="123">
        <v>6.984504399278349E-2</v>
      </c>
      <c r="AE53" s="123">
        <v>5.2906110183508638E-2</v>
      </c>
      <c r="AF53" s="123">
        <v>6.2203882824623455E-2</v>
      </c>
      <c r="AG53" s="123">
        <v>5.0436904479278899E-2</v>
      </c>
      <c r="AH53" s="123">
        <v>5.8367685858074482E-2</v>
      </c>
      <c r="AI53" s="123">
        <v>3.9750115770356809E-2</v>
      </c>
      <c r="AJ53" s="123">
        <v>6.9519937325412368E-2</v>
      </c>
      <c r="AK53" s="123">
        <v>6.8904151891064233E-2</v>
      </c>
      <c r="AL53" s="123">
        <v>4.3832282417214007E-2</v>
      </c>
      <c r="AM53" s="123">
        <v>5.4518215261756126E-2</v>
      </c>
      <c r="AN53" s="123">
        <v>7.2481104760967932E-2</v>
      </c>
      <c r="AO53" s="123">
        <v>4.538343646233494E-2</v>
      </c>
      <c r="AP53" s="123">
        <v>4.6247534276071187E-2</v>
      </c>
      <c r="AQ53" s="123">
        <v>3.7359162962338849E-2</v>
      </c>
      <c r="AR53" s="123">
        <v>4.0538125967689284E-2</v>
      </c>
      <c r="AS53" s="123">
        <v>5.3551022552339525E-2</v>
      </c>
      <c r="AT53" s="123">
        <v>5.9386239937228927E-2</v>
      </c>
      <c r="AU53" s="123">
        <v>6.9335004005805612E-2</v>
      </c>
      <c r="AV53" s="123">
        <v>6.4481360523698544E-2</v>
      </c>
      <c r="AW53" s="123">
        <v>4.7742995365470511E-2</v>
      </c>
      <c r="AX53" s="123">
        <v>3.3282238078047109E-2</v>
      </c>
      <c r="AY53" s="123">
        <v>6.5179125524539527E-2</v>
      </c>
      <c r="AZ53" s="123">
        <v>6.3045411062960771E-2</v>
      </c>
      <c r="BA53" s="123">
        <v>2.7905126759164893E-2</v>
      </c>
      <c r="BB53" s="123">
        <v>5.0702411148321996E-2</v>
      </c>
      <c r="BC53" s="123">
        <v>3.9067196807157908E-2</v>
      </c>
      <c r="BD53" s="123">
        <v>5.8193691823627755E-2</v>
      </c>
      <c r="BE53" s="123">
        <v>6.1421304060822336E-2</v>
      </c>
      <c r="BF53" s="123">
        <v>3.9629323255246846E-2</v>
      </c>
      <c r="BG53" s="123">
        <v>3.7948556576694471E-2</v>
      </c>
      <c r="BH53" s="123">
        <v>4.808136401872487E-2</v>
      </c>
      <c r="BI53" s="123">
        <v>5.0402742520512925E-2</v>
      </c>
      <c r="BJ53" s="123">
        <v>6.0487627253928131E-2</v>
      </c>
      <c r="BK53" s="123">
        <v>4.4665048540696431E-2</v>
      </c>
      <c r="BL53" s="123">
        <v>3.9114490494720738E-2</v>
      </c>
      <c r="BM53" s="123">
        <v>4.0242769135403728E-2</v>
      </c>
      <c r="BN53" s="123">
        <v>4.879984024626946E-2</v>
      </c>
      <c r="BO53" s="123">
        <v>6.8770093018092837E-2</v>
      </c>
      <c r="BP53" s="123">
        <v>6.1933800810504536E-2</v>
      </c>
      <c r="BQ53" s="123">
        <v>5.3995454619995754E-2</v>
      </c>
      <c r="BR53" s="123">
        <v>5.8329435456150866E-2</v>
      </c>
      <c r="BS53" s="123">
        <v>4.7041839621600787E-2</v>
      </c>
      <c r="BT53" s="123">
        <v>3.1497958702468722E-2</v>
      </c>
      <c r="BU53" s="123">
        <v>5.4666562894510308E-2</v>
      </c>
      <c r="BV53" s="123">
        <v>7.0164913693555556E-2</v>
      </c>
      <c r="BW53" s="123">
        <v>4.972915009596883E-2</v>
      </c>
      <c r="BX53" s="123">
        <v>4.2755509180926965E-2</v>
      </c>
      <c r="BY53" s="123">
        <v>5.8014610880777022E-2</v>
      </c>
      <c r="BZ53" s="123">
        <v>6.1135213710893956E-2</v>
      </c>
      <c r="CA53" s="123">
        <v>6.2447932790865926E-2</v>
      </c>
      <c r="CB53" s="123">
        <v>3.2290467626521546E-2</v>
      </c>
      <c r="CC53" s="123">
        <v>5.1374131432998023E-2</v>
      </c>
      <c r="CD53" s="123">
        <v>3.6884250449927464E-2</v>
      </c>
      <c r="CE53" s="123">
        <v>4.2811857944001393E-2</v>
      </c>
      <c r="CF53" s="123">
        <v>3.322075400672897E-2</v>
      </c>
      <c r="CG53" s="123">
        <v>6.2256326889660873E-2</v>
      </c>
      <c r="CH53" s="123">
        <v>8.4099328303864782E-2</v>
      </c>
      <c r="CI53" s="123">
        <v>6.4161936411227818E-2</v>
      </c>
      <c r="CJ53" s="123">
        <v>7.7695633408044237E-2</v>
      </c>
      <c r="CK53" s="123">
        <v>4.9837603314919807E-2</v>
      </c>
      <c r="CL53" s="123">
        <v>4.265375960038028E-2</v>
      </c>
      <c r="CM53" s="123">
        <v>4.6860052540670542E-2</v>
      </c>
      <c r="CN53" s="123">
        <v>2.8569638841112945E-2</v>
      </c>
      <c r="CO53" s="123">
        <v>4.7781128123408748E-2</v>
      </c>
      <c r="CP53" s="123">
        <v>5.9800060561407214E-2</v>
      </c>
      <c r="CQ53" s="123">
        <v>3.7680481798984949E-2</v>
      </c>
      <c r="CR53" s="123">
        <v>5.4903920764894767E-2</v>
      </c>
      <c r="CS53" s="123">
        <v>4.030560874725006E-2</v>
      </c>
      <c r="CT53" s="123">
        <v>6.4809236228445408E-2</v>
      </c>
      <c r="CU53" s="123">
        <v>8.3295123962590006E-2</v>
      </c>
      <c r="CV53" s="123">
        <v>2.8723615974469291E-2</v>
      </c>
      <c r="CW53" s="123">
        <v>4.9647335996563985E-2</v>
      </c>
      <c r="CX53" s="123">
        <v>4.8074533068937483E-2</v>
      </c>
    </row>
    <row r="54" spans="1:102">
      <c r="A54" s="23"/>
      <c r="B54" s="14" t="s">
        <v>30</v>
      </c>
      <c r="C54" s="125">
        <v>6.6214908027662223E-2</v>
      </c>
      <c r="D54" s="125">
        <v>6.9631665436484219E-2</v>
      </c>
      <c r="E54" s="125">
        <v>7.0859224118265202E-2</v>
      </c>
      <c r="F54" s="125">
        <v>6.4932704262509591E-2</v>
      </c>
      <c r="G54" s="125">
        <v>6.6160620727518507E-2</v>
      </c>
      <c r="H54" s="125">
        <v>6.9521582322697256E-2</v>
      </c>
      <c r="I54" s="125">
        <v>7.0508447863922727E-2</v>
      </c>
      <c r="J54" s="125">
        <v>6.6856356599851036E-2</v>
      </c>
      <c r="K54" s="125">
        <v>6.3950448039000601E-2</v>
      </c>
      <c r="L54" s="125">
        <v>6.6737982355964454E-2</v>
      </c>
      <c r="M54" s="125">
        <v>6.689784140974725E-2</v>
      </c>
      <c r="N54" s="125">
        <v>6.6160937726719563E-2</v>
      </c>
      <c r="O54" s="125">
        <v>6.3106480632384387E-2</v>
      </c>
      <c r="P54" s="125">
        <v>6.8899972689254851E-2</v>
      </c>
      <c r="Q54" s="125">
        <v>6.7485086922382004E-2</v>
      </c>
      <c r="R54" s="125">
        <v>6.4399208013706119E-2</v>
      </c>
      <c r="S54" s="125">
        <v>6.3413060728457912E-2</v>
      </c>
      <c r="T54" s="125">
        <v>6.9563056236811638E-2</v>
      </c>
      <c r="U54" s="125">
        <v>6.8820538194667227E-2</v>
      </c>
      <c r="V54" s="125">
        <v>6.4570201328753088E-2</v>
      </c>
      <c r="W54" s="125">
        <v>6.4235681183828761E-2</v>
      </c>
      <c r="X54" s="125">
        <v>6.8415662544538389E-2</v>
      </c>
      <c r="Y54" s="125">
        <v>6.5285211893383821E-2</v>
      </c>
      <c r="Z54" s="125">
        <v>7.2612998190169517E-2</v>
      </c>
      <c r="AA54" s="125">
        <v>6.951298726538048E-2</v>
      </c>
      <c r="AB54" s="125">
        <v>6.7767941203252469E-2</v>
      </c>
      <c r="AC54" s="125">
        <v>6.4659274057354069E-2</v>
      </c>
      <c r="AD54" s="125">
        <v>6.8084348822466167E-2</v>
      </c>
      <c r="AE54" s="125">
        <v>6.6439446582888792E-2</v>
      </c>
      <c r="AF54" s="125">
        <v>6.7944771630159148E-2</v>
      </c>
      <c r="AG54" s="125">
        <v>6.9536047373384424E-2</v>
      </c>
      <c r="AH54" s="125">
        <v>6.838587434444765E-2</v>
      </c>
      <c r="AI54" s="125">
        <v>6.4100632610727334E-2</v>
      </c>
      <c r="AJ54" s="125">
        <v>7.0099674776724033E-2</v>
      </c>
      <c r="AK54" s="125">
        <v>6.8069566509948651E-2</v>
      </c>
      <c r="AL54" s="125">
        <v>6.3264862039573808E-2</v>
      </c>
      <c r="AM54" s="125">
        <v>6.7613368715031708E-2</v>
      </c>
      <c r="AN54" s="125">
        <v>6.8846239973348017E-2</v>
      </c>
      <c r="AO54" s="125">
        <v>6.3379349780163546E-2</v>
      </c>
      <c r="AP54" s="125">
        <v>6.5901404420879911E-2</v>
      </c>
      <c r="AQ54" s="125">
        <v>6.3761895109749014E-2</v>
      </c>
      <c r="AR54" s="125">
        <v>6.3919469760613565E-2</v>
      </c>
      <c r="AS54" s="125">
        <v>6.5070336713895213E-2</v>
      </c>
      <c r="AT54" s="125">
        <v>7.0091752554521949E-2</v>
      </c>
      <c r="AU54" s="125">
        <v>6.601515020193871E-2</v>
      </c>
      <c r="AV54" s="125">
        <v>6.5922074192206942E-2</v>
      </c>
      <c r="AW54" s="125">
        <v>6.8491930209467602E-2</v>
      </c>
      <c r="AX54" s="125">
        <v>6.4230747500764268E-2</v>
      </c>
      <c r="AY54" s="125">
        <v>6.7949807709051888E-2</v>
      </c>
      <c r="AZ54" s="125">
        <v>6.9334268733198881E-2</v>
      </c>
      <c r="BA54" s="125">
        <v>6.4195705925628024E-2</v>
      </c>
      <c r="BB54" s="125">
        <v>6.6633859097441406E-2</v>
      </c>
      <c r="BC54" s="125">
        <v>6.404644295968788E-2</v>
      </c>
      <c r="BD54" s="125">
        <v>6.8543379462516277E-2</v>
      </c>
      <c r="BE54" s="125">
        <v>6.5283894629740935E-2</v>
      </c>
      <c r="BF54" s="125">
        <v>6.3080887517535308E-2</v>
      </c>
      <c r="BG54" s="125">
        <v>6.5255945306486027E-2</v>
      </c>
      <c r="BH54" s="125">
        <v>6.7819024512207976E-2</v>
      </c>
      <c r="BI54" s="125">
        <v>6.626226113478037E-2</v>
      </c>
      <c r="BJ54" s="125">
        <v>6.9076886132802037E-2</v>
      </c>
      <c r="BK54" s="125">
        <v>6.7259571806605564E-2</v>
      </c>
      <c r="BL54" s="125">
        <v>6.6762288294622454E-2</v>
      </c>
      <c r="BM54" s="125">
        <v>6.1847306772270516E-2</v>
      </c>
      <c r="BN54" s="125">
        <v>6.2792007382178675E-2</v>
      </c>
      <c r="BO54" s="125">
        <v>6.4966271195027972E-2</v>
      </c>
      <c r="BP54" s="125">
        <v>6.6048732052388537E-2</v>
      </c>
      <c r="BQ54" s="125">
        <v>6.7985297454179708E-2</v>
      </c>
      <c r="BR54" s="125">
        <v>6.615025950527792E-2</v>
      </c>
      <c r="BS54" s="125">
        <v>6.7449322673320253E-2</v>
      </c>
      <c r="BT54" s="125">
        <v>6.234100683445614E-2</v>
      </c>
      <c r="BU54" s="125">
        <v>6.8862620755332546E-2</v>
      </c>
      <c r="BV54" s="125">
        <v>6.8570921524511427E-2</v>
      </c>
      <c r="BW54" s="125">
        <v>6.8324887787363217E-2</v>
      </c>
      <c r="BX54" s="125">
        <v>6.7394077762492816E-2</v>
      </c>
      <c r="BY54" s="125">
        <v>6.7672385789630515E-2</v>
      </c>
      <c r="BZ54" s="125">
        <v>7.0571745150548884E-2</v>
      </c>
      <c r="CA54" s="125">
        <v>7.0500667469510669E-2</v>
      </c>
      <c r="CB54" s="125">
        <v>6.3484025472616348E-2</v>
      </c>
      <c r="CC54" s="125">
        <v>6.6749718983052195E-2</v>
      </c>
      <c r="CD54" s="125">
        <v>6.5467591460412103E-2</v>
      </c>
      <c r="CE54" s="125">
        <v>6.3672624890011534E-2</v>
      </c>
      <c r="CF54" s="125">
        <v>6.1897211409929237E-2</v>
      </c>
      <c r="CG54" s="125">
        <v>6.8318098662502436E-2</v>
      </c>
      <c r="CH54" s="125">
        <v>7.4013148775663909E-2</v>
      </c>
      <c r="CI54" s="125">
        <v>6.5897150388360803E-2</v>
      </c>
      <c r="CJ54" s="125">
        <v>6.9578989776360914E-2</v>
      </c>
      <c r="CK54" s="125">
        <v>6.6316563017150346E-2</v>
      </c>
      <c r="CL54" s="125">
        <v>6.7412823447484851E-2</v>
      </c>
      <c r="CM54" s="125">
        <v>6.5915329446247853E-2</v>
      </c>
      <c r="CN54" s="125">
        <v>6.3296029415344263E-2</v>
      </c>
      <c r="CO54" s="125">
        <v>6.6598236596668081E-2</v>
      </c>
      <c r="CP54" s="125">
        <v>6.8353181670966795E-2</v>
      </c>
      <c r="CQ54" s="125">
        <v>6.3532301824600068E-2</v>
      </c>
      <c r="CR54" s="125">
        <v>6.6347649713322535E-2</v>
      </c>
      <c r="CS54" s="125">
        <v>6.5455303503820769E-2</v>
      </c>
      <c r="CT54" s="125">
        <v>6.738423553685087E-2</v>
      </c>
      <c r="CU54" s="125">
        <v>6.8837031512818878E-2</v>
      </c>
      <c r="CV54" s="125">
        <v>6.4675484828448287E-2</v>
      </c>
      <c r="CW54" s="125">
        <v>6.5178374263625091E-2</v>
      </c>
      <c r="CX54" s="125">
        <v>6.5100132200951552E-2</v>
      </c>
    </row>
    <row r="55" spans="1:102">
      <c r="A55" s="23"/>
      <c r="B55" s="67" t="s">
        <v>56</v>
      </c>
      <c r="C55" s="125">
        <v>6.6869447503148924E-2</v>
      </c>
      <c r="D55" s="125">
        <v>7.6782272147906741E-2</v>
      </c>
      <c r="E55" s="125">
        <v>7.8043572649809476E-2</v>
      </c>
      <c r="F55" s="125">
        <v>6.1981551121168287E-2</v>
      </c>
      <c r="G55" s="125">
        <v>7.1456337533221101E-2</v>
      </c>
      <c r="H55" s="125">
        <v>7.3897878621253826E-2</v>
      </c>
      <c r="I55" s="125">
        <v>7.3623871328268725E-2</v>
      </c>
      <c r="J55" s="125">
        <v>6.8961491631606614E-2</v>
      </c>
      <c r="K55" s="125">
        <v>6.0526811152816266E-2</v>
      </c>
      <c r="L55" s="125">
        <v>6.3822992578878218E-2</v>
      </c>
      <c r="M55" s="125">
        <v>7.3849284558115333E-2</v>
      </c>
      <c r="N55" s="125">
        <v>6.1955368769579341E-2</v>
      </c>
      <c r="O55" s="125">
        <v>6.2551356995393825E-2</v>
      </c>
      <c r="P55" s="125">
        <v>6.8316294537815556E-2</v>
      </c>
      <c r="Q55" s="125">
        <v>6.5172355009272515E-2</v>
      </c>
      <c r="R55" s="125">
        <v>6.7464377956526725E-2</v>
      </c>
      <c r="S55" s="125">
        <v>5.9289568386145283E-2</v>
      </c>
      <c r="T55" s="125">
        <v>7.2555276503777008E-2</v>
      </c>
      <c r="U55" s="125">
        <v>7.4506905365576984E-2</v>
      </c>
      <c r="V55" s="125">
        <v>5.9359417671466297E-2</v>
      </c>
      <c r="W55" s="125">
        <v>6.4917964251374777E-2</v>
      </c>
      <c r="X55" s="125">
        <v>7.6106349699071124E-2</v>
      </c>
      <c r="Y55" s="125">
        <v>6.0158625888599798E-2</v>
      </c>
      <c r="Z55" s="125">
        <v>7.8588037809544528E-2</v>
      </c>
      <c r="AA55" s="125">
        <v>7.0896726224630946E-2</v>
      </c>
      <c r="AB55" s="125">
        <v>6.5758969944157142E-2</v>
      </c>
      <c r="AC55" s="125">
        <v>6.1023437529293179E-2</v>
      </c>
      <c r="AD55" s="125">
        <v>7.2434881058259099E-2</v>
      </c>
      <c r="AE55" s="125">
        <v>6.9528018150224358E-2</v>
      </c>
      <c r="AF55" s="125">
        <v>6.456020033672201E-2</v>
      </c>
      <c r="AG55" s="125">
        <v>6.9594420580860128E-2</v>
      </c>
      <c r="AH55" s="125">
        <v>6.6171526082469151E-2</v>
      </c>
      <c r="AI55" s="125">
        <v>6.1014397866436643E-2</v>
      </c>
      <c r="AJ55" s="125">
        <v>6.8389405243241386E-2</v>
      </c>
      <c r="AK55" s="125">
        <v>6.899762703375921E-2</v>
      </c>
      <c r="AL55" s="125">
        <v>6.0364533559562637E-2</v>
      </c>
      <c r="AM55" s="125">
        <v>6.6236281989636395E-2</v>
      </c>
      <c r="AN55" s="125">
        <v>7.1213609668640182E-2</v>
      </c>
      <c r="AO55" s="125">
        <v>6.9272963886405303E-2</v>
      </c>
      <c r="AP55" s="125">
        <v>6.267976541749426E-2</v>
      </c>
      <c r="AQ55" s="125">
        <v>5.9279898340874555E-2</v>
      </c>
      <c r="AR55" s="125">
        <v>6.8440217897668756E-2</v>
      </c>
      <c r="AS55" s="125">
        <v>6.8916167499565043E-2</v>
      </c>
      <c r="AT55" s="125">
        <v>7.0667427714181746E-2</v>
      </c>
      <c r="AU55" s="125">
        <v>6.8988651618790794E-2</v>
      </c>
      <c r="AV55" s="125">
        <v>6.6489080062958963E-2</v>
      </c>
      <c r="AW55" s="125">
        <v>6.9315942559417476E-2</v>
      </c>
      <c r="AX55" s="125">
        <v>5.9180301109188621E-2</v>
      </c>
      <c r="AY55" s="125">
        <v>6.9234287752346885E-2</v>
      </c>
      <c r="AZ55" s="125">
        <v>6.8919577719870104E-2</v>
      </c>
      <c r="BA55" s="125">
        <v>5.7162985307386463E-2</v>
      </c>
      <c r="BB55" s="125">
        <v>6.6068838787256168E-2</v>
      </c>
      <c r="BC55" s="125">
        <v>5.9885372480904669E-2</v>
      </c>
      <c r="BD55" s="125">
        <v>6.8792696402503323E-2</v>
      </c>
      <c r="BE55" s="125">
        <v>6.5900409395493048E-2</v>
      </c>
      <c r="BF55" s="125">
        <v>6.1645916789773492E-2</v>
      </c>
      <c r="BG55" s="125">
        <v>6.1170613487233058E-2</v>
      </c>
      <c r="BH55" s="125">
        <v>6.5556608753441492E-2</v>
      </c>
      <c r="BI55" s="125">
        <v>6.6307349351233405E-2</v>
      </c>
      <c r="BJ55" s="125">
        <v>7.0419873719321527E-2</v>
      </c>
      <c r="BK55" s="125">
        <v>6.7148934396849991E-2</v>
      </c>
      <c r="BL55" s="125">
        <v>6.6932606781815299E-2</v>
      </c>
      <c r="BM55" s="125">
        <v>6.1677755405791221E-2</v>
      </c>
      <c r="BN55" s="125">
        <v>6.2314607069516408E-2</v>
      </c>
      <c r="BO55" s="125">
        <v>7.3032708303965882E-2</v>
      </c>
      <c r="BP55" s="125">
        <v>6.7607195587517668E-2</v>
      </c>
      <c r="BQ55" s="125">
        <v>7.3009011285233558E-2</v>
      </c>
      <c r="BR55" s="125">
        <v>6.8068149523362778E-2</v>
      </c>
      <c r="BS55" s="125">
        <v>6.5876258817426064E-2</v>
      </c>
      <c r="BT55" s="125">
        <v>5.8954073226012753E-2</v>
      </c>
      <c r="BU55" s="125">
        <v>6.8956361113987563E-2</v>
      </c>
      <c r="BV55" s="125">
        <v>6.7855816030877578E-2</v>
      </c>
      <c r="BW55" s="125">
        <v>6.4908076784534779E-2</v>
      </c>
      <c r="BX55" s="125">
        <v>6.6372693695267923E-2</v>
      </c>
      <c r="BY55" s="125">
        <v>6.7883260271332221E-2</v>
      </c>
      <c r="BZ55" s="125">
        <v>7.2361132476534529E-2</v>
      </c>
      <c r="CA55" s="125">
        <v>6.8554184631778509E-2</v>
      </c>
      <c r="CB55" s="125">
        <v>5.8080253672137643E-2</v>
      </c>
      <c r="CC55" s="125">
        <v>6.3454538702658478E-2</v>
      </c>
      <c r="CD55" s="125">
        <v>6.162446097490562E-2</v>
      </c>
      <c r="CE55" s="125">
        <v>6.3263017034656338E-2</v>
      </c>
      <c r="CF55" s="125">
        <v>6.1488041757635309E-2</v>
      </c>
      <c r="CG55" s="125">
        <v>7.7687588235436478E-2</v>
      </c>
      <c r="CH55" s="125">
        <v>7.7218844307738163E-2</v>
      </c>
      <c r="CI55" s="125">
        <v>6.7734287430687629E-2</v>
      </c>
      <c r="CJ55" s="125">
        <v>7.2171386876841201E-2</v>
      </c>
      <c r="CK55" s="125">
        <v>6.6231759379881475E-2</v>
      </c>
      <c r="CL55" s="125">
        <v>6.6601106375089564E-2</v>
      </c>
      <c r="CM55" s="125">
        <v>6.704831183687443E-2</v>
      </c>
      <c r="CN55" s="125">
        <v>5.9896558690654154E-2</v>
      </c>
      <c r="CO55" s="125">
        <v>6.6938298556653383E-2</v>
      </c>
      <c r="CP55" s="125">
        <v>6.3415239805130252E-2</v>
      </c>
      <c r="CQ55" s="125">
        <v>6.0724481399315564E-2</v>
      </c>
      <c r="CR55" s="125">
        <v>6.6303390224214304E-2</v>
      </c>
      <c r="CS55" s="125">
        <v>6.0740542451874151E-2</v>
      </c>
      <c r="CT55" s="125">
        <v>6.6318511659291896E-2</v>
      </c>
      <c r="CU55" s="125">
        <v>7.701447691184804E-2</v>
      </c>
      <c r="CV55" s="125">
        <v>6.5267511552549298E-2</v>
      </c>
      <c r="CW55" s="125">
        <v>6.2575880821703456E-2</v>
      </c>
      <c r="CX55" s="125">
        <v>6.4304820138868943E-2</v>
      </c>
    </row>
    <row r="56" spans="1:102">
      <c r="A56" s="126"/>
      <c r="B56" s="67" t="s">
        <v>114</v>
      </c>
      <c r="C56" s="125">
        <v>0.26353245206547915</v>
      </c>
      <c r="D56" s="125">
        <v>0.20136834316233948</v>
      </c>
      <c r="E56" s="125">
        <v>0.17597238715077895</v>
      </c>
      <c r="F56" s="125">
        <v>0.26249349915940984</v>
      </c>
      <c r="G56" s="125">
        <v>0.26622455991031668</v>
      </c>
      <c r="H56" s="125">
        <v>0.19261859182326352</v>
      </c>
      <c r="I56" s="125">
        <v>0.22385794884107266</v>
      </c>
      <c r="J56" s="125">
        <v>0.19643174126470195</v>
      </c>
      <c r="K56" s="125">
        <v>0.28985755339794317</v>
      </c>
      <c r="L56" s="125">
        <v>0.28595947760187923</v>
      </c>
      <c r="M56" s="125">
        <v>0.22328209545104541</v>
      </c>
      <c r="N56" s="125">
        <v>0.30138523062034006</v>
      </c>
      <c r="O56" s="125">
        <v>0.33043634728424376</v>
      </c>
      <c r="P56" s="125">
        <v>0.27614069783759976</v>
      </c>
      <c r="Q56" s="125">
        <v>0.29641174033086193</v>
      </c>
      <c r="R56" s="125">
        <v>0.23134328389746647</v>
      </c>
      <c r="S56" s="125">
        <v>0.31334514207096531</v>
      </c>
      <c r="T56" s="125">
        <v>0.22004117432088691</v>
      </c>
      <c r="U56" s="125">
        <v>0.17032171841234675</v>
      </c>
      <c r="V56" s="125">
        <v>0.27649707188479533</v>
      </c>
      <c r="W56" s="125">
        <v>0.22300775191290462</v>
      </c>
      <c r="X56" s="125">
        <v>0.21145147636007167</v>
      </c>
      <c r="Y56" s="125">
        <v>0.28482334948665189</v>
      </c>
      <c r="Z56" s="125">
        <v>0.14486083537883729</v>
      </c>
      <c r="AA56" s="125">
        <v>0.17559179220541857</v>
      </c>
      <c r="AB56" s="125">
        <v>0.2077022627740831</v>
      </c>
      <c r="AC56" s="125">
        <v>0.30636066929026795</v>
      </c>
      <c r="AD56" s="125">
        <v>0.18970501250842028</v>
      </c>
      <c r="AE56" s="125">
        <v>0.25920680526781892</v>
      </c>
      <c r="AF56" s="125">
        <v>0.22114611802169828</v>
      </c>
      <c r="AG56" s="125">
        <v>0.28044355730743897</v>
      </c>
      <c r="AH56" s="125">
        <v>0.23969749673440488</v>
      </c>
      <c r="AI56" s="125">
        <v>0.32128239459826474</v>
      </c>
      <c r="AJ56" s="125">
        <v>0.19791955811399423</v>
      </c>
      <c r="AK56" s="125">
        <v>0.19342274297687179</v>
      </c>
      <c r="AL56" s="125">
        <v>0.29640373283766541</v>
      </c>
      <c r="AM56" s="125">
        <v>0.2551330936774151</v>
      </c>
      <c r="AN56" s="125">
        <v>0.18205916349973092</v>
      </c>
      <c r="AO56" s="125">
        <v>0.28832652953087634</v>
      </c>
      <c r="AP56" s="125">
        <v>0.2911505184050962</v>
      </c>
      <c r="AQ56" s="125">
        <v>0.33393131054910374</v>
      </c>
      <c r="AR56" s="125">
        <v>0.31641073920625029</v>
      </c>
      <c r="AS56" s="125">
        <v>0.25165477743784431</v>
      </c>
      <c r="AT56" s="125">
        <v>0.24053141506146009</v>
      </c>
      <c r="AU56" s="125">
        <v>0.18437723148944435</v>
      </c>
      <c r="AV56" s="125">
        <v>0.20427416710182242</v>
      </c>
      <c r="AW56" s="125">
        <v>0.29079711149073573</v>
      </c>
      <c r="AX56" s="125">
        <v>0.35849740024574139</v>
      </c>
      <c r="AY56" s="125">
        <v>0.20837942664838477</v>
      </c>
      <c r="AZ56" s="125">
        <v>0.2221156095018407</v>
      </c>
      <c r="BA56" s="125">
        <v>0.39015513935347035</v>
      </c>
      <c r="BB56" s="125">
        <v>0.27065382460157794</v>
      </c>
      <c r="BC56" s="125">
        <v>0.32496997749043033</v>
      </c>
      <c r="BD56" s="125">
        <v>0.24099288990348519</v>
      </c>
      <c r="BE56" s="125">
        <v>0.21544873812261106</v>
      </c>
      <c r="BF56" s="125">
        <v>0.31928337906902998</v>
      </c>
      <c r="BG56" s="125">
        <v>0.33421950975499526</v>
      </c>
      <c r="BH56" s="125">
        <v>0.28722343231380409</v>
      </c>
      <c r="BI56" s="125">
        <v>0.27101706934155934</v>
      </c>
      <c r="BJ56" s="125">
        <v>0.23242307523845609</v>
      </c>
      <c r="BK56" s="125">
        <v>0.30313954364963902</v>
      </c>
      <c r="BL56" s="125">
        <v>0.33138504133120622</v>
      </c>
      <c r="BM56" s="125">
        <v>0.31242407580311493</v>
      </c>
      <c r="BN56" s="125">
        <v>0.26831717084860918</v>
      </c>
      <c r="BO56" s="125">
        <v>0.18283212499345608</v>
      </c>
      <c r="BP56" s="125">
        <v>0.21584728270266756</v>
      </c>
      <c r="BQ56" s="125">
        <v>0.25877329099134494</v>
      </c>
      <c r="BR56" s="125">
        <v>0.23251149804087834</v>
      </c>
      <c r="BS56" s="125">
        <v>0.29144085937501973</v>
      </c>
      <c r="BT56" s="125">
        <v>0.36510560589073593</v>
      </c>
      <c r="BU56" s="125">
        <v>0.25828783541118427</v>
      </c>
      <c r="BV56" s="125">
        <v>0.1901315901493133</v>
      </c>
      <c r="BW56" s="125">
        <v>0.28046049705370513</v>
      </c>
      <c r="BX56" s="125">
        <v>0.31347312906348246</v>
      </c>
      <c r="BY56" s="125">
        <v>0.23900229869498088</v>
      </c>
      <c r="BZ56" s="125">
        <v>0.23435339389245496</v>
      </c>
      <c r="CA56" s="125">
        <v>0.22845781949168717</v>
      </c>
      <c r="CB56" s="125">
        <v>0.36274941849779385</v>
      </c>
      <c r="CC56" s="125">
        <v>0.26768163644583082</v>
      </c>
      <c r="CD56" s="125">
        <v>0.34066468699596236</v>
      </c>
      <c r="CE56" s="125">
        <v>0.30316426891033643</v>
      </c>
      <c r="CF56" s="125">
        <v>0.35377436564404247</v>
      </c>
      <c r="CG56" s="125">
        <v>0.22216636101534223</v>
      </c>
      <c r="CH56" s="125">
        <v>0.15837367176871975</v>
      </c>
      <c r="CI56" s="125">
        <v>0.20556229192913508</v>
      </c>
      <c r="CJ56" s="125">
        <v>0.16529352216852267</v>
      </c>
      <c r="CK56" s="125">
        <v>0.27401366183770814</v>
      </c>
      <c r="CL56" s="125">
        <v>0.31405633557755763</v>
      </c>
      <c r="CM56" s="125">
        <v>0.28801157968618762</v>
      </c>
      <c r="CN56" s="125">
        <v>0.38461676267429468</v>
      </c>
      <c r="CO56" s="125">
        <v>0.28525545115632067</v>
      </c>
      <c r="CP56" s="125">
        <v>0.2331324436742637</v>
      </c>
      <c r="CQ56" s="125">
        <v>0.33153029871083528</v>
      </c>
      <c r="CR56" s="125">
        <v>0.24926723515245158</v>
      </c>
      <c r="CS56" s="125">
        <v>0.32168326097390015</v>
      </c>
      <c r="CT56" s="125">
        <v>0.20799906193746992</v>
      </c>
      <c r="CU56" s="125">
        <v>0.14349159703839029</v>
      </c>
      <c r="CV56" s="125">
        <v>0.38609901659632395</v>
      </c>
      <c r="CW56" s="125">
        <v>0.27149766403095688</v>
      </c>
      <c r="CX56" s="125">
        <v>0.27932056797468885</v>
      </c>
    </row>
    <row r="57" spans="1:102">
      <c r="A57" s="108" t="str">
        <f>Parameters!A44</f>
        <v>Schuld deflatie</v>
      </c>
      <c r="B57" s="122" t="s">
        <v>29</v>
      </c>
      <c r="C57" s="123">
        <v>-0.10355416150428981</v>
      </c>
      <c r="D57" s="123">
        <v>-0.11425641329214641</v>
      </c>
      <c r="E57" s="123">
        <v>-0.11671105859817632</v>
      </c>
      <c r="F57" s="123">
        <v>-9.7634998830076258E-2</v>
      </c>
      <c r="G57" s="123">
        <v>-0.10718174799481053</v>
      </c>
      <c r="H57" s="123">
        <v>-0.11401739396649466</v>
      </c>
      <c r="I57" s="123">
        <v>-0.10320677131152399</v>
      </c>
      <c r="J57" s="123">
        <v>-0.11372418204316392</v>
      </c>
      <c r="K57" s="123">
        <v>-9.5691180581820606E-2</v>
      </c>
      <c r="L57" s="123">
        <v>-9.539825273764059E-2</v>
      </c>
      <c r="M57" s="123">
        <v>-0.11389494442909692</v>
      </c>
      <c r="N57" s="123">
        <v>-9.664698980067396E-2</v>
      </c>
      <c r="O57" s="123">
        <v>-9.622859874413954E-2</v>
      </c>
      <c r="P57" s="123">
        <v>-9.706686972315462E-2</v>
      </c>
      <c r="Q57" s="123">
        <v>-9.1517547208282396E-2</v>
      </c>
      <c r="R57" s="123">
        <v>-0.10781503819459495</v>
      </c>
      <c r="S57" s="123">
        <v>-9.8191691396865705E-2</v>
      </c>
      <c r="T57" s="123">
        <v>-0.1053613010425776</v>
      </c>
      <c r="U57" s="123">
        <v>-0.12240298039613345</v>
      </c>
      <c r="V57" s="123">
        <v>-9.567330297093507E-2</v>
      </c>
      <c r="W57" s="123">
        <v>-0.10771701411462639</v>
      </c>
      <c r="X57" s="123">
        <v>-0.11299903704691378</v>
      </c>
      <c r="Y57" s="123">
        <v>-9.3036540921604613E-2</v>
      </c>
      <c r="Z57" s="123">
        <v>-0.11915755405754296</v>
      </c>
      <c r="AA57" s="123">
        <v>-0.10613542432350513</v>
      </c>
      <c r="AB57" s="123">
        <v>-0.102186830554793</v>
      </c>
      <c r="AC57" s="123">
        <v>-9.3768249038154394E-2</v>
      </c>
      <c r="AD57" s="123">
        <v>-0.11458878382698406</v>
      </c>
      <c r="AE57" s="123">
        <v>-9.9064168232033387E-2</v>
      </c>
      <c r="AF57" s="123">
        <v>-9.8316678758051626E-2</v>
      </c>
      <c r="AG57" s="123">
        <v>-9.6396200615973787E-2</v>
      </c>
      <c r="AH57" s="123">
        <v>-0.10803291071099276</v>
      </c>
      <c r="AI57" s="123">
        <v>-9.659972809602646E-2</v>
      </c>
      <c r="AJ57" s="123">
        <v>-0.10090806789629932</v>
      </c>
      <c r="AK57" s="123">
        <v>-0.11120584161587072</v>
      </c>
      <c r="AL57" s="123">
        <v>-9.9195259998688667E-2</v>
      </c>
      <c r="AM57" s="123">
        <v>-0.10181291886017299</v>
      </c>
      <c r="AN57" s="123">
        <v>-0.10863618583502319</v>
      </c>
      <c r="AO57" s="123">
        <v>-9.8842786878492517E-2</v>
      </c>
      <c r="AP57" s="123">
        <v>-8.8963217041692799E-2</v>
      </c>
      <c r="AQ57" s="123">
        <v>-8.9714203010310689E-2</v>
      </c>
      <c r="AR57" s="123">
        <v>-9.9382721216765377E-2</v>
      </c>
      <c r="AS57" s="123">
        <v>-0.10404982741997351</v>
      </c>
      <c r="AT57" s="123">
        <v>-9.66760138821708E-2</v>
      </c>
      <c r="AU57" s="123">
        <v>-0.11456524112480344</v>
      </c>
      <c r="AV57" s="123">
        <v>-0.10698504240795836</v>
      </c>
      <c r="AW57" s="123">
        <v>-9.6955257922143434E-2</v>
      </c>
      <c r="AX57" s="123">
        <v>-9.2512955197361704E-2</v>
      </c>
      <c r="AY57" s="123">
        <v>-0.1184359826086602</v>
      </c>
      <c r="AZ57" s="123">
        <v>-0.1000406948234235</v>
      </c>
      <c r="BA57" s="123">
        <v>-8.094458043430422E-2</v>
      </c>
      <c r="BB57" s="123">
        <v>-9.3293202986193979E-2</v>
      </c>
      <c r="BC57" s="123">
        <v>-9.225268653597056E-2</v>
      </c>
      <c r="BD57" s="123">
        <v>-0.10625836182143404</v>
      </c>
      <c r="BE57" s="123">
        <v>-0.11065535576047375</v>
      </c>
      <c r="BF57" s="123">
        <v>-9.4141357381043234E-2</v>
      </c>
      <c r="BG57" s="123">
        <v>-8.9623165202408372E-2</v>
      </c>
      <c r="BH57" s="123">
        <v>-9.0964087889728582E-2</v>
      </c>
      <c r="BI57" s="123">
        <v>-9.7469787134536121E-2</v>
      </c>
      <c r="BJ57" s="123">
        <v>-0.10431484893192783</v>
      </c>
      <c r="BK57" s="123">
        <v>-9.7045780024903147E-2</v>
      </c>
      <c r="BL57" s="123">
        <v>-9.8329118053896783E-2</v>
      </c>
      <c r="BM57" s="123">
        <v>-9.5424057383318675E-2</v>
      </c>
      <c r="BN57" s="123">
        <v>-9.6955747967886918E-2</v>
      </c>
      <c r="BO57" s="123">
        <v>-0.12008040230561427</v>
      </c>
      <c r="BP57" s="123">
        <v>-0.11032639585144099</v>
      </c>
      <c r="BQ57" s="123">
        <v>-9.9202788623290239E-2</v>
      </c>
      <c r="BR57" s="123">
        <v>-9.8112835244577062E-2</v>
      </c>
      <c r="BS57" s="123">
        <v>-9.4490239103176388E-2</v>
      </c>
      <c r="BT57" s="123">
        <v>-8.5627158323514363E-2</v>
      </c>
      <c r="BU57" s="123">
        <v>-9.8102198158617038E-2</v>
      </c>
      <c r="BV57" s="123">
        <v>-0.10993892116214204</v>
      </c>
      <c r="BW57" s="123">
        <v>-9.8884347666390565E-2</v>
      </c>
      <c r="BX57" s="123">
        <v>-9.14280221656254E-2</v>
      </c>
      <c r="BY57" s="123">
        <v>-0.10494479823237723</v>
      </c>
      <c r="BZ57" s="123">
        <v>-0.10282872666253892</v>
      </c>
      <c r="CA57" s="123">
        <v>-0.10128442365245757</v>
      </c>
      <c r="CB57" s="123">
        <v>-9.0333355219171269E-2</v>
      </c>
      <c r="CC57" s="123">
        <v>-9.4716634101548347E-2</v>
      </c>
      <c r="CD57" s="123">
        <v>-8.6701020203493198E-2</v>
      </c>
      <c r="CE57" s="123">
        <v>-9.9892604543493801E-2</v>
      </c>
      <c r="CF57" s="123">
        <v>-8.9883515896093349E-2</v>
      </c>
      <c r="CG57" s="123">
        <v>-0.10959155677376776</v>
      </c>
      <c r="CH57" s="123">
        <v>-0.11583747309714854</v>
      </c>
      <c r="CI57" s="123">
        <v>-0.11621454215907698</v>
      </c>
      <c r="CJ57" s="123">
        <v>-0.11001599324150912</v>
      </c>
      <c r="CK57" s="123">
        <v>-9.3672535817754837E-2</v>
      </c>
      <c r="CL57" s="123">
        <v>-9.787573823199941E-2</v>
      </c>
      <c r="CM57" s="123">
        <v>-9.974627299436542E-2</v>
      </c>
      <c r="CN57" s="123">
        <v>-8.6802603990095636E-2</v>
      </c>
      <c r="CO57" s="123">
        <v>-9.9684470778324874E-2</v>
      </c>
      <c r="CP57" s="123">
        <v>-9.6289923193399865E-2</v>
      </c>
      <c r="CQ57" s="123">
        <v>-0.10250454101102033</v>
      </c>
      <c r="CR57" s="123">
        <v>-0.1034090268154975</v>
      </c>
      <c r="CS57" s="123">
        <v>-9.1309503210628321E-2</v>
      </c>
      <c r="CT57" s="123">
        <v>-0.10295327202339341</v>
      </c>
      <c r="CU57" s="123">
        <v>-0.13023821068697702</v>
      </c>
      <c r="CV57" s="123">
        <v>-9.2066408828501922E-2</v>
      </c>
      <c r="CW57" s="123">
        <v>-0.10292954661143044</v>
      </c>
      <c r="CX57" s="123">
        <v>-9.1743999996827891E-2</v>
      </c>
    </row>
    <row r="58" spans="1:102">
      <c r="A58" s="23"/>
      <c r="B58" s="14" t="s">
        <v>30</v>
      </c>
      <c r="C58" s="125">
        <v>7.215416982361969E-2</v>
      </c>
      <c r="D58" s="125">
        <v>8.052222048099221E-2</v>
      </c>
      <c r="E58" s="125">
        <v>7.9529022187203993E-2</v>
      </c>
      <c r="F58" s="125">
        <v>6.5956184033453061E-2</v>
      </c>
      <c r="G58" s="125">
        <v>6.817924058179986E-2</v>
      </c>
      <c r="H58" s="125">
        <v>7.8346983125542516E-2</v>
      </c>
      <c r="I58" s="125">
        <v>8.017270764706716E-2</v>
      </c>
      <c r="J58" s="125">
        <v>7.7355185558543899E-2</v>
      </c>
      <c r="K58" s="125">
        <v>6.3820795642869896E-2</v>
      </c>
      <c r="L58" s="125">
        <v>6.5516218123063602E-2</v>
      </c>
      <c r="M58" s="125">
        <v>7.159695856886153E-2</v>
      </c>
      <c r="N58" s="125">
        <v>6.2733596261405067E-2</v>
      </c>
      <c r="O58" s="125">
        <v>6.4010038202820668E-2</v>
      </c>
      <c r="P58" s="125">
        <v>7.0677845956343605E-2</v>
      </c>
      <c r="Q58" s="125">
        <v>6.5486374125374947E-2</v>
      </c>
      <c r="R58" s="125">
        <v>6.8460450495185024E-2</v>
      </c>
      <c r="S58" s="125">
        <v>6.3076619141591947E-2</v>
      </c>
      <c r="T58" s="125">
        <v>8.2546479910119749E-2</v>
      </c>
      <c r="U58" s="125">
        <v>8.1807125010909587E-2</v>
      </c>
      <c r="V58" s="125">
        <v>6.398165135888291E-2</v>
      </c>
      <c r="W58" s="125">
        <v>7.3367382671969461E-2</v>
      </c>
      <c r="X58" s="125">
        <v>8.4362418865151459E-2</v>
      </c>
      <c r="Y58" s="125">
        <v>5.941484218390717E-2</v>
      </c>
      <c r="Z58" s="125">
        <v>7.9222690025668244E-2</v>
      </c>
      <c r="AA58" s="125">
        <v>8.3915425213049039E-2</v>
      </c>
      <c r="AB58" s="125">
        <v>7.5687315484352327E-2</v>
      </c>
      <c r="AC58" s="125">
        <v>5.8275465909366907E-2</v>
      </c>
      <c r="AD58" s="125">
        <v>8.0936161338772281E-2</v>
      </c>
      <c r="AE58" s="125">
        <v>7.2430290705102235E-2</v>
      </c>
      <c r="AF58" s="125">
        <v>7.1799174742756044E-2</v>
      </c>
      <c r="AG58" s="125">
        <v>6.1302095465236933E-2</v>
      </c>
      <c r="AH58" s="125">
        <v>7.1381787056126855E-2</v>
      </c>
      <c r="AI58" s="125">
        <v>6.3550181428820685E-2</v>
      </c>
      <c r="AJ58" s="125">
        <v>7.6829794116536301E-2</v>
      </c>
      <c r="AK58" s="125">
        <v>7.8692293288480972E-2</v>
      </c>
      <c r="AL58" s="125">
        <v>6.4232849904331576E-2</v>
      </c>
      <c r="AM58" s="125">
        <v>6.9896631566970083E-2</v>
      </c>
      <c r="AN58" s="125">
        <v>7.1299234984661633E-2</v>
      </c>
      <c r="AO58" s="125">
        <v>6.5573819686526855E-2</v>
      </c>
      <c r="AP58" s="125">
        <v>6.8958607441142378E-2</v>
      </c>
      <c r="AQ58" s="125">
        <v>5.8271213080624308E-2</v>
      </c>
      <c r="AR58" s="125">
        <v>6.7373842325104447E-2</v>
      </c>
      <c r="AS58" s="125">
        <v>7.4406311762913416E-2</v>
      </c>
      <c r="AT58" s="125">
        <v>7.9632369234397954E-2</v>
      </c>
      <c r="AU58" s="125">
        <v>8.2789924089890277E-2</v>
      </c>
      <c r="AV58" s="125">
        <v>7.3431158220808632E-2</v>
      </c>
      <c r="AW58" s="125">
        <v>6.3878885800362981E-2</v>
      </c>
      <c r="AX58" s="125">
        <v>5.9028390617912728E-2</v>
      </c>
      <c r="AY58" s="125">
        <v>8.2300448252312197E-2</v>
      </c>
      <c r="AZ58" s="125">
        <v>7.9835071266582763E-2</v>
      </c>
      <c r="BA58" s="125">
        <v>5.5591624626961836E-2</v>
      </c>
      <c r="BB58" s="125">
        <v>6.846075027976159E-2</v>
      </c>
      <c r="BC58" s="125">
        <v>6.2306435582380443E-2</v>
      </c>
      <c r="BD58" s="125">
        <v>7.252960844744466E-2</v>
      </c>
      <c r="BE58" s="125">
        <v>7.5532682349898739E-2</v>
      </c>
      <c r="BF58" s="125">
        <v>6.4673271986053535E-2</v>
      </c>
      <c r="BG58" s="125">
        <v>6.5211847122045696E-2</v>
      </c>
      <c r="BH58" s="125">
        <v>7.2510867097501097E-2</v>
      </c>
      <c r="BI58" s="125">
        <v>6.7732214149024875E-2</v>
      </c>
      <c r="BJ58" s="125">
        <v>7.584154833585402E-2</v>
      </c>
      <c r="BK58" s="125">
        <v>7.1701131830624293E-2</v>
      </c>
      <c r="BL58" s="125">
        <v>7.0224380686670806E-2</v>
      </c>
      <c r="BM58" s="125">
        <v>6.1147484163914155E-2</v>
      </c>
      <c r="BN58" s="125">
        <v>6.5493486091902253E-2</v>
      </c>
      <c r="BO58" s="125">
        <v>7.7083555691407055E-2</v>
      </c>
      <c r="BP58" s="125">
        <v>7.6698053091795185E-2</v>
      </c>
      <c r="BQ58" s="125">
        <v>7.5140037090155126E-2</v>
      </c>
      <c r="BR58" s="125">
        <v>7.2738991903953276E-2</v>
      </c>
      <c r="BS58" s="125">
        <v>6.0272745140284439E-2</v>
      </c>
      <c r="BT58" s="125">
        <v>5.5984886055064527E-2</v>
      </c>
      <c r="BU58" s="125">
        <v>6.9306637357225656E-2</v>
      </c>
      <c r="BV58" s="125">
        <v>8.014982307264619E-2</v>
      </c>
      <c r="BW58" s="125">
        <v>6.8598456837591415E-2</v>
      </c>
      <c r="BX58" s="125">
        <v>6.4872237792658272E-2</v>
      </c>
      <c r="BY58" s="125">
        <v>7.0664974355066842E-2</v>
      </c>
      <c r="BZ58" s="125">
        <v>6.5228648233354072E-2</v>
      </c>
      <c r="CA58" s="125">
        <v>7.3753788253861599E-2</v>
      </c>
      <c r="CB58" s="125">
        <v>6.3022100979639867E-2</v>
      </c>
      <c r="CC58" s="125">
        <v>5.9933440923893029E-2</v>
      </c>
      <c r="CD58" s="125">
        <v>6.3284302156298211E-2</v>
      </c>
      <c r="CE58" s="125">
        <v>6.6173162854904627E-2</v>
      </c>
      <c r="CF58" s="125">
        <v>6.1661494811619498E-2</v>
      </c>
      <c r="CG58" s="125">
        <v>8.402917178821985E-2</v>
      </c>
      <c r="CH58" s="125">
        <v>8.2808587828959335E-2</v>
      </c>
      <c r="CI58" s="125">
        <v>7.4150385568441085E-2</v>
      </c>
      <c r="CJ58" s="125">
        <v>8.2473620213700083E-2</v>
      </c>
      <c r="CK58" s="125">
        <v>7.0690780705250408E-2</v>
      </c>
      <c r="CL58" s="125">
        <v>6.2974514526379352E-2</v>
      </c>
      <c r="CM58" s="125">
        <v>7.4718090350696528E-2</v>
      </c>
      <c r="CN58" s="125">
        <v>5.4238219788563753E-2</v>
      </c>
      <c r="CO58" s="125">
        <v>6.9543335184205315E-2</v>
      </c>
      <c r="CP58" s="125">
        <v>7.182010902117851E-2</v>
      </c>
      <c r="CQ58" s="125">
        <v>6.5625653070434442E-2</v>
      </c>
      <c r="CR58" s="125">
        <v>7.5577549213542955E-2</v>
      </c>
      <c r="CS58" s="125">
        <v>6.7882952267147176E-2</v>
      </c>
      <c r="CT58" s="125">
        <v>6.8008063969220961E-2</v>
      </c>
      <c r="CU58" s="125">
        <v>8.9061438915595217E-2</v>
      </c>
      <c r="CV58" s="125">
        <v>5.8124858489446325E-2</v>
      </c>
      <c r="CW58" s="125">
        <v>7.1402956952469857E-2</v>
      </c>
      <c r="CX58" s="125">
        <v>6.8631910150615039E-2</v>
      </c>
    </row>
    <row r="59" spans="1:102">
      <c r="A59" s="23"/>
      <c r="B59" s="67" t="s">
        <v>56</v>
      </c>
      <c r="C59" s="125">
        <v>5.974031573963437E-2</v>
      </c>
      <c r="D59" s="125">
        <v>7.2385033687054651E-2</v>
      </c>
      <c r="E59" s="125">
        <v>7.4265314783764594E-2</v>
      </c>
      <c r="F59" s="125">
        <v>5.4287822128851013E-2</v>
      </c>
      <c r="G59" s="125">
        <v>5.6584950794038587E-2</v>
      </c>
      <c r="H59" s="125">
        <v>7.128655600251925E-2</v>
      </c>
      <c r="I59" s="125">
        <v>6.805527317545694E-2</v>
      </c>
      <c r="J59" s="125">
        <v>6.5925470627964708E-2</v>
      </c>
      <c r="K59" s="125">
        <v>4.9517869678921959E-2</v>
      </c>
      <c r="L59" s="125">
        <v>5.2756929098569737E-2</v>
      </c>
      <c r="M59" s="125">
        <v>6.1152391905828114E-2</v>
      </c>
      <c r="N59" s="125">
        <v>5.0887812212853378E-2</v>
      </c>
      <c r="O59" s="125">
        <v>5.2144713720480976E-2</v>
      </c>
      <c r="P59" s="125">
        <v>5.8187561550994187E-2</v>
      </c>
      <c r="Q59" s="125">
        <v>5.3810716783877319E-2</v>
      </c>
      <c r="R59" s="125">
        <v>5.8296178826436632E-2</v>
      </c>
      <c r="S59" s="125">
        <v>4.8012332503462651E-2</v>
      </c>
      <c r="T59" s="125">
        <v>6.8112623925875734E-2</v>
      </c>
      <c r="U59" s="125">
        <v>7.274113012838003E-2</v>
      </c>
      <c r="V59" s="125">
        <v>5.0077552417038047E-2</v>
      </c>
      <c r="W59" s="125">
        <v>5.7226403892673396E-2</v>
      </c>
      <c r="X59" s="125">
        <v>7.2355498475345503E-2</v>
      </c>
      <c r="Y59" s="125">
        <v>5.1029702732348067E-2</v>
      </c>
      <c r="Z59" s="125">
        <v>7.4995905644755112E-2</v>
      </c>
      <c r="AA59" s="125">
        <v>6.9714401891688899E-2</v>
      </c>
      <c r="AB59" s="125">
        <v>6.0485510673409106E-2</v>
      </c>
      <c r="AC59" s="125">
        <v>4.6286047672296327E-2</v>
      </c>
      <c r="AD59" s="125">
        <v>7.003173682884016E-2</v>
      </c>
      <c r="AE59" s="125">
        <v>5.9836766853624372E-2</v>
      </c>
      <c r="AF59" s="125">
        <v>5.8899063173026414E-2</v>
      </c>
      <c r="AG59" s="125">
        <v>5.6420280468411022E-2</v>
      </c>
      <c r="AH59" s="125">
        <v>6.0043788891349814E-2</v>
      </c>
      <c r="AI59" s="125">
        <v>4.8344562964351002E-2</v>
      </c>
      <c r="AJ59" s="125">
        <v>6.4071755157407789E-2</v>
      </c>
      <c r="AK59" s="125">
        <v>6.2826731044460932E-2</v>
      </c>
      <c r="AL59" s="125">
        <v>5.0580652738082113E-2</v>
      </c>
      <c r="AM59" s="125">
        <v>5.8382999424103486E-2</v>
      </c>
      <c r="AN59" s="125">
        <v>6.5904874869213911E-2</v>
      </c>
      <c r="AO59" s="125">
        <v>5.7706969396736564E-2</v>
      </c>
      <c r="AP59" s="125">
        <v>5.4590524894337786E-2</v>
      </c>
      <c r="AQ59" s="125">
        <v>4.3636097075698738E-2</v>
      </c>
      <c r="AR59" s="125">
        <v>5.7481382210927148E-2</v>
      </c>
      <c r="AS59" s="125">
        <v>6.2585944556249329E-2</v>
      </c>
      <c r="AT59" s="125">
        <v>6.4932476810070555E-2</v>
      </c>
      <c r="AU59" s="125">
        <v>6.7785087377827402E-2</v>
      </c>
      <c r="AV59" s="125">
        <v>5.5762177559764668E-2</v>
      </c>
      <c r="AW59" s="125">
        <v>5.4435824755511973E-2</v>
      </c>
      <c r="AX59" s="125">
        <v>4.5960246590577881E-2</v>
      </c>
      <c r="AY59" s="125">
        <v>6.9054141646535436E-2</v>
      </c>
      <c r="AZ59" s="125">
        <v>6.3556446666505048E-2</v>
      </c>
      <c r="BA59" s="125">
        <v>4.465590112330016E-2</v>
      </c>
      <c r="BB59" s="125">
        <v>5.7927422542008902E-2</v>
      </c>
      <c r="BC59" s="125">
        <v>4.8426606350298537E-2</v>
      </c>
      <c r="BD59" s="125">
        <v>6.216878446874851E-2</v>
      </c>
      <c r="BE59" s="125">
        <v>6.3852157882501301E-2</v>
      </c>
      <c r="BF59" s="125">
        <v>5.3157923133047652E-2</v>
      </c>
      <c r="BG59" s="125">
        <v>4.9913580419663407E-2</v>
      </c>
      <c r="BH59" s="125">
        <v>5.7480832530169883E-2</v>
      </c>
      <c r="BI59" s="125">
        <v>5.2223654273991206E-2</v>
      </c>
      <c r="BJ59" s="125">
        <v>6.1522907927449487E-2</v>
      </c>
      <c r="BK59" s="125">
        <v>5.7458579704477229E-2</v>
      </c>
      <c r="BL59" s="125">
        <v>5.634919731756001E-2</v>
      </c>
      <c r="BM59" s="125">
        <v>4.8369617223749571E-2</v>
      </c>
      <c r="BN59" s="125">
        <v>5.1126102351609949E-2</v>
      </c>
      <c r="BO59" s="125">
        <v>6.4413635984892997E-2</v>
      </c>
      <c r="BP59" s="125">
        <v>5.9459192400449487E-2</v>
      </c>
      <c r="BQ59" s="125">
        <v>6.4083440213873924E-2</v>
      </c>
      <c r="BR59" s="125">
        <v>6.2043650205566868E-2</v>
      </c>
      <c r="BS59" s="125">
        <v>5.393388020478062E-2</v>
      </c>
      <c r="BT59" s="125">
        <v>4.6007402063404312E-2</v>
      </c>
      <c r="BU59" s="125">
        <v>6.1043623038077213E-2</v>
      </c>
      <c r="BV59" s="125">
        <v>6.3722557841693728E-2</v>
      </c>
      <c r="BW59" s="125">
        <v>5.7930034817771113E-2</v>
      </c>
      <c r="BX59" s="125">
        <v>5.5006675009334524E-2</v>
      </c>
      <c r="BY59" s="125">
        <v>6.1358611730482834E-2</v>
      </c>
      <c r="BZ59" s="125">
        <v>5.9540460338240793E-2</v>
      </c>
      <c r="CA59" s="125">
        <v>6.2330447216705914E-2</v>
      </c>
      <c r="CB59" s="125">
        <v>4.7745394658332059E-2</v>
      </c>
      <c r="CC59" s="125">
        <v>5.1874471400329317E-2</v>
      </c>
      <c r="CD59" s="125">
        <v>4.999980877442111E-2</v>
      </c>
      <c r="CE59" s="125">
        <v>5.2738790939443607E-2</v>
      </c>
      <c r="CF59" s="125">
        <v>5.05935277205651E-2</v>
      </c>
      <c r="CG59" s="125">
        <v>7.4035089571029972E-2</v>
      </c>
      <c r="CH59" s="125">
        <v>7.5277642394532371E-2</v>
      </c>
      <c r="CI59" s="125">
        <v>5.9918325171422357E-2</v>
      </c>
      <c r="CJ59" s="125">
        <v>6.5784997804391593E-2</v>
      </c>
      <c r="CK59" s="125">
        <v>5.6976301003605893E-2</v>
      </c>
      <c r="CL59" s="125">
        <v>5.3737019740706646E-2</v>
      </c>
      <c r="CM59" s="125">
        <v>6.0673857562123193E-2</v>
      </c>
      <c r="CN59" s="125">
        <v>4.1166606288486292E-2</v>
      </c>
      <c r="CO59" s="125">
        <v>5.8632698056986704E-2</v>
      </c>
      <c r="CP59" s="125">
        <v>5.7720922855223671E-2</v>
      </c>
      <c r="CQ59" s="125">
        <v>4.8530330786255856E-2</v>
      </c>
      <c r="CR59" s="125">
        <v>5.9620581798202912E-2</v>
      </c>
      <c r="CS59" s="125">
        <v>5.142033380163314E-2</v>
      </c>
      <c r="CT59" s="125">
        <v>5.4710500134130861E-2</v>
      </c>
      <c r="CU59" s="125">
        <v>7.8075065586171874E-2</v>
      </c>
      <c r="CV59" s="125">
        <v>4.6815407898971033E-2</v>
      </c>
      <c r="CW59" s="125">
        <v>5.8925675329014819E-2</v>
      </c>
      <c r="CX59" s="125">
        <v>5.5991015911135686E-2</v>
      </c>
    </row>
    <row r="60" spans="1:102">
      <c r="A60" s="126"/>
      <c r="B60" s="67" t="s">
        <v>114</v>
      </c>
      <c r="C60" s="125">
        <v>0.94222983409119099</v>
      </c>
      <c r="D60" s="125">
        <v>0.93860062124203014</v>
      </c>
      <c r="E60" s="125">
        <v>0.94444997650786866</v>
      </c>
      <c r="F60" s="125">
        <v>0.94865148328139137</v>
      </c>
      <c r="G60" s="125">
        <v>0.95716828249904928</v>
      </c>
      <c r="H60" s="125">
        <v>0.94328071383457979</v>
      </c>
      <c r="I60" s="125">
        <v>0.92103035948914247</v>
      </c>
      <c r="J60" s="125">
        <v>0.94513742244731691</v>
      </c>
      <c r="K60" s="125">
        <v>0.95114534608051293</v>
      </c>
      <c r="L60" s="125">
        <v>0.94616288308383589</v>
      </c>
      <c r="M60" s="125">
        <v>0.9582250308047463</v>
      </c>
      <c r="N60" s="125">
        <v>0.95543435157687939</v>
      </c>
      <c r="O60" s="125">
        <v>0.95149865641963594</v>
      </c>
      <c r="P60" s="125">
        <v>0.93509576080388501</v>
      </c>
      <c r="Q60" s="125">
        <v>0.93945428438930811</v>
      </c>
      <c r="R60" s="125">
        <v>0.95736743477411501</v>
      </c>
      <c r="S60" s="125">
        <v>0.95684960263122365</v>
      </c>
      <c r="T60" s="125">
        <v>0.91887309068286427</v>
      </c>
      <c r="U60" s="125">
        <v>0.9472201198498188</v>
      </c>
      <c r="V60" s="125">
        <v>0.95069386500433051</v>
      </c>
      <c r="W60" s="125">
        <v>0.94569662973450297</v>
      </c>
      <c r="X60" s="125">
        <v>0.92757749093205488</v>
      </c>
      <c r="Y60" s="125">
        <v>0.95855768590346435</v>
      </c>
      <c r="Z60" s="125">
        <v>0.94848201613964789</v>
      </c>
      <c r="AA60" s="125">
        <v>0.91681434276460616</v>
      </c>
      <c r="AB60" s="125">
        <v>0.93086188914382828</v>
      </c>
      <c r="AC60" s="125">
        <v>0.96251523398089178</v>
      </c>
      <c r="AD60" s="125">
        <v>0.93814011685742005</v>
      </c>
      <c r="AE60" s="125">
        <v>0.93393832126593002</v>
      </c>
      <c r="AF60" s="125">
        <v>0.93430027307469776</v>
      </c>
      <c r="AG60" s="125">
        <v>0.9586831164831161</v>
      </c>
      <c r="AH60" s="125">
        <v>0.95088987915954526</v>
      </c>
      <c r="AI60" s="125">
        <v>0.95326886046144899</v>
      </c>
      <c r="AJ60" s="125">
        <v>0.92556796768902572</v>
      </c>
      <c r="AK60" s="125">
        <v>0.93825034390209994</v>
      </c>
      <c r="AL60" s="125">
        <v>0.95543368092006431</v>
      </c>
      <c r="AM60" s="125">
        <v>0.94516627669838915</v>
      </c>
      <c r="AN60" s="125">
        <v>0.9519357389843307</v>
      </c>
      <c r="AO60" s="125">
        <v>0.95152781013085941</v>
      </c>
      <c r="AP60" s="125">
        <v>0.92437218460859305</v>
      </c>
      <c r="AQ60" s="125">
        <v>0.95647869741661529</v>
      </c>
      <c r="AR60" s="125">
        <v>0.94776076029031531</v>
      </c>
      <c r="AS60" s="125">
        <v>0.93733715267078299</v>
      </c>
      <c r="AT60" s="125">
        <v>0.90981329306317604</v>
      </c>
      <c r="AU60" s="125">
        <v>0.93378578318676619</v>
      </c>
      <c r="AV60" s="125">
        <v>0.94443396747973962</v>
      </c>
      <c r="AW60" s="125">
        <v>0.95296853832802342</v>
      </c>
      <c r="AX60" s="125">
        <v>0.95877746162408484</v>
      </c>
      <c r="AY60" s="125">
        <v>0.94068791283621855</v>
      </c>
      <c r="AZ60" s="125">
        <v>0.91595242066045035</v>
      </c>
      <c r="BA60" s="125">
        <v>0.94907396129003818</v>
      </c>
      <c r="BB60" s="125">
        <v>0.93432434569708245</v>
      </c>
      <c r="BC60" s="125">
        <v>0.94961432726420203</v>
      </c>
      <c r="BD60" s="125">
        <v>0.94552262630866757</v>
      </c>
      <c r="BE60" s="125">
        <v>0.94491090119990262</v>
      </c>
      <c r="BF60" s="125">
        <v>0.94633041525951533</v>
      </c>
      <c r="BG60" s="125">
        <v>0.93670462556284861</v>
      </c>
      <c r="BH60" s="125">
        <v>0.91809925706952189</v>
      </c>
      <c r="BI60" s="125">
        <v>0.94370816283861936</v>
      </c>
      <c r="BJ60" s="125">
        <v>0.93413122466869858</v>
      </c>
      <c r="BK60" s="125">
        <v>0.93227408685645585</v>
      </c>
      <c r="BL60" s="125">
        <v>0.93853777952197803</v>
      </c>
      <c r="BM60" s="125">
        <v>0.95765463156662578</v>
      </c>
      <c r="BN60" s="125">
        <v>0.94877334502124289</v>
      </c>
      <c r="BO60" s="125">
        <v>0.95424874535582782</v>
      </c>
      <c r="BP60" s="125">
        <v>0.94165650946237267</v>
      </c>
      <c r="BQ60" s="125">
        <v>0.9269330350419398</v>
      </c>
      <c r="BR60" s="125">
        <v>0.93140169060960076</v>
      </c>
      <c r="BS60" s="125">
        <v>0.95850753379001008</v>
      </c>
      <c r="BT60" s="125">
        <v>0.95619006907726301</v>
      </c>
      <c r="BU60" s="125">
        <v>0.9405925106670725</v>
      </c>
      <c r="BV60" s="125">
        <v>0.93272970385434095</v>
      </c>
      <c r="BW60" s="125">
        <v>0.94377437052614976</v>
      </c>
      <c r="BX60" s="125">
        <v>0.94103298642164401</v>
      </c>
      <c r="BY60" s="125">
        <v>0.94809069103061172</v>
      </c>
      <c r="BZ60" s="125">
        <v>0.95816180149244268</v>
      </c>
      <c r="CA60" s="125">
        <v>0.93433320800562791</v>
      </c>
      <c r="CB60" s="125">
        <v>0.94431151678093372</v>
      </c>
      <c r="CC60" s="125">
        <v>0.95970001385248982</v>
      </c>
      <c r="CD60" s="125">
        <v>0.93674884392607627</v>
      </c>
      <c r="CE60" s="125">
        <v>0.95161137141696317</v>
      </c>
      <c r="CF60" s="125">
        <v>0.94736974099947169</v>
      </c>
      <c r="CG60" s="125">
        <v>0.92266304458636583</v>
      </c>
      <c r="CH60" s="125">
        <v>0.93569657403453232</v>
      </c>
      <c r="CI60" s="125">
        <v>0.95563569535655457</v>
      </c>
      <c r="CJ60" s="125">
        <v>0.92719368899818755</v>
      </c>
      <c r="CK60" s="125">
        <v>0.92875261517255092</v>
      </c>
      <c r="CL60" s="125">
        <v>0.95664430694768288</v>
      </c>
      <c r="CM60" s="125">
        <v>0.92905709868602449</v>
      </c>
      <c r="CN60" s="125">
        <v>0.9628504696077933</v>
      </c>
      <c r="CO60" s="125">
        <v>0.94262643841452753</v>
      </c>
      <c r="CP60" s="125">
        <v>0.93055624543235549</v>
      </c>
      <c r="CQ60" s="125">
        <v>0.95676665225060165</v>
      </c>
      <c r="CR60" s="125">
        <v>0.93326594804499408</v>
      </c>
      <c r="CS60" s="125">
        <v>0.93220474376121232</v>
      </c>
      <c r="CT60" s="125">
        <v>0.95163128231695637</v>
      </c>
      <c r="CU60" s="125">
        <v>0.94232828131401247</v>
      </c>
      <c r="CV60" s="125">
        <v>0.96045455796467449</v>
      </c>
      <c r="CW60" s="125">
        <v>0.94312735134444814</v>
      </c>
      <c r="CX60" s="125">
        <v>0.9308909111778596</v>
      </c>
    </row>
    <row r="61" spans="1:102">
      <c r="A61" s="128" t="str">
        <f>Parameters!A45</f>
        <v>Kansgewogen</v>
      </c>
      <c r="B61" s="122" t="s">
        <v>29</v>
      </c>
      <c r="C61" s="123">
        <v>-1.4434433326366177E-3</v>
      </c>
      <c r="D61" s="123">
        <v>3.5378716164185045E-4</v>
      </c>
      <c r="E61" s="123">
        <v>1.8477035029696755E-4</v>
      </c>
      <c r="F61" s="123">
        <v>-2.297684716067813E-3</v>
      </c>
      <c r="G61" s="123">
        <v>-1.9512345873781837E-3</v>
      </c>
      <c r="H61" s="123">
        <v>-6.7796335957152681E-4</v>
      </c>
      <c r="I61" s="123">
        <v>1.7167595556577154E-3</v>
      </c>
      <c r="J61" s="123">
        <v>-7.0468201871846155E-4</v>
      </c>
      <c r="K61" s="123">
        <v>-2.8736135235680879E-3</v>
      </c>
      <c r="L61" s="123">
        <v>-2.1088204927693045E-3</v>
      </c>
      <c r="M61" s="123">
        <v>-1.588775009484861E-3</v>
      </c>
      <c r="N61" s="123">
        <v>-3.7683811269636084E-3</v>
      </c>
      <c r="O61" s="123">
        <v>-3.3299840877929181E-3</v>
      </c>
      <c r="P61" s="123">
        <v>-8.343384644834323E-4</v>
      </c>
      <c r="Q61" s="123">
        <v>-1.5207764029604182E-3</v>
      </c>
      <c r="R61" s="123">
        <v>-2.2752650017925633E-3</v>
      </c>
      <c r="S61" s="123">
        <v>-4.1661038468003651E-3</v>
      </c>
      <c r="T61" s="123">
        <v>1.6630457146135629E-3</v>
      </c>
      <c r="U61" s="123">
        <v>-3.8540969721710108E-4</v>
      </c>
      <c r="V61" s="123">
        <v>-3.0896185497600527E-3</v>
      </c>
      <c r="W61" s="123">
        <v>-1.5144294118040911E-3</v>
      </c>
      <c r="X61" s="123">
        <v>1.2107050159731088E-3</v>
      </c>
      <c r="Y61" s="123">
        <v>-3.8329904079204891E-3</v>
      </c>
      <c r="Z61" s="123">
        <v>1.2222680635620318E-4</v>
      </c>
      <c r="AA61" s="123">
        <v>2.4941897278620818E-3</v>
      </c>
      <c r="AB61" s="123">
        <v>4.0946840307827244E-4</v>
      </c>
      <c r="AC61" s="123">
        <v>-4.0776880933196943E-3</v>
      </c>
      <c r="AD61" s="123">
        <v>1.0198590110442477E-4</v>
      </c>
      <c r="AE61" s="123">
        <v>-6.6306609584285635E-5</v>
      </c>
      <c r="AF61" s="123">
        <v>-3.920591568440197E-4</v>
      </c>
      <c r="AG61" s="123">
        <v>-2.9327381380483339E-3</v>
      </c>
      <c r="AH61" s="123">
        <v>-2.4570813883493048E-3</v>
      </c>
      <c r="AI61" s="123">
        <v>-3.4334612837479805E-3</v>
      </c>
      <c r="AJ61" s="123">
        <v>1.0939481775036977E-3</v>
      </c>
      <c r="AK61" s="123">
        <v>3.8792567653225514E-4</v>
      </c>
      <c r="AL61" s="123">
        <v>-3.6517541080177932E-3</v>
      </c>
      <c r="AM61" s="123">
        <v>-1.5949359383335597E-3</v>
      </c>
      <c r="AN61" s="123">
        <v>-1.1869316112115965E-3</v>
      </c>
      <c r="AO61" s="123">
        <v>-2.0371037925002002E-3</v>
      </c>
      <c r="AP61" s="123">
        <v>-6.3909391319667299E-4</v>
      </c>
      <c r="AQ61" s="123">
        <v>-3.9838732415359221E-3</v>
      </c>
      <c r="AR61" s="123">
        <v>-2.2560111263370706E-3</v>
      </c>
      <c r="AS61" s="123">
        <v>-5.6011680228950896E-4</v>
      </c>
      <c r="AT61" s="123">
        <v>2.0574321794257864E-3</v>
      </c>
      <c r="AU61" s="123">
        <v>1.1713452470979869E-4</v>
      </c>
      <c r="AV61" s="123">
        <v>-4.7288589764814455E-4</v>
      </c>
      <c r="AW61" s="123">
        <v>-2.3494885672579856E-3</v>
      </c>
      <c r="AX61" s="123">
        <v>-4.748697907852391E-3</v>
      </c>
      <c r="AY61" s="123">
        <v>-1.3021418315049761E-3</v>
      </c>
      <c r="AZ61" s="123">
        <v>1.7910364094267486E-3</v>
      </c>
      <c r="BA61" s="123">
        <v>-4.4603283086916837E-3</v>
      </c>
      <c r="BB61" s="123">
        <v>-8.8876692642822031E-4</v>
      </c>
      <c r="BC61" s="123">
        <v>-3.442110339741448E-3</v>
      </c>
      <c r="BD61" s="123">
        <v>-1.5878498892066529E-3</v>
      </c>
      <c r="BE61" s="123">
        <v>-2.1440318280449076E-3</v>
      </c>
      <c r="BF61" s="123">
        <v>-3.3189121023634556E-3</v>
      </c>
      <c r="BG61" s="123">
        <v>-2.1935660383513699E-3</v>
      </c>
      <c r="BH61" s="123">
        <v>2.1665370619808967E-4</v>
      </c>
      <c r="BI61" s="123">
        <v>-1.2468438534995103E-3</v>
      </c>
      <c r="BJ61" s="123">
        <v>3.5471021681430739E-4</v>
      </c>
      <c r="BK61" s="123">
        <v>-8.3457330644424901E-4</v>
      </c>
      <c r="BL61" s="123">
        <v>-2.0427307394613372E-3</v>
      </c>
      <c r="BM61" s="123">
        <v>-3.6270812082729951E-3</v>
      </c>
      <c r="BN61" s="123">
        <v>-2.2231619930126187E-3</v>
      </c>
      <c r="BO61" s="123">
        <v>-8.4923910735791889E-4</v>
      </c>
      <c r="BP61" s="123">
        <v>-6.9525365223495404E-4</v>
      </c>
      <c r="BQ61" s="123">
        <v>6.5224457601490023E-4</v>
      </c>
      <c r="BR61" s="123">
        <v>1.0120968088041401E-4</v>
      </c>
      <c r="BS61" s="123">
        <v>-3.3434296970352283E-3</v>
      </c>
      <c r="BT61" s="123">
        <v>-4.4184970568733103E-3</v>
      </c>
      <c r="BU61" s="123">
        <v>-1.5018458518433946E-3</v>
      </c>
      <c r="BV61" s="123">
        <v>2.988471209104496E-4</v>
      </c>
      <c r="BW61" s="123">
        <v>-3.012826752569081E-3</v>
      </c>
      <c r="BX61" s="123">
        <v>-2.0577907322231275E-3</v>
      </c>
      <c r="BY61" s="123">
        <v>-2.1858729792617786E-3</v>
      </c>
      <c r="BZ61" s="123">
        <v>-2.064246270417762E-3</v>
      </c>
      <c r="CA61" s="123">
        <v>-5.0849370850669868E-4</v>
      </c>
      <c r="CB61" s="123">
        <v>-3.8412328033889092E-3</v>
      </c>
      <c r="CC61" s="123">
        <v>-3.4144296833586085E-3</v>
      </c>
      <c r="CD61" s="123">
        <v>-2.2515303660922319E-3</v>
      </c>
      <c r="CE61" s="123">
        <v>-3.5347673633751228E-3</v>
      </c>
      <c r="CF61" s="123">
        <v>-3.542917264012747E-3</v>
      </c>
      <c r="CG61" s="123">
        <v>1.5498484290950288E-3</v>
      </c>
      <c r="CH61" s="123">
        <v>8.9399171275348298E-4</v>
      </c>
      <c r="CI61" s="123">
        <v>-2.8062995447067302E-3</v>
      </c>
      <c r="CJ61" s="123">
        <v>2.2662748248467308E-3</v>
      </c>
      <c r="CK61" s="123">
        <v>-2.4124772380486889E-4</v>
      </c>
      <c r="CL61" s="123">
        <v>-3.5191850496032275E-3</v>
      </c>
      <c r="CM61" s="123">
        <v>-1.2890831279656406E-3</v>
      </c>
      <c r="CN61" s="123">
        <v>-5.1810079348731898E-3</v>
      </c>
      <c r="CO61" s="123">
        <v>-2.0339864739046219E-3</v>
      </c>
      <c r="CP61" s="123">
        <v>-6.8477806213998699E-4</v>
      </c>
      <c r="CQ61" s="123">
        <v>-4.4484720478422625E-3</v>
      </c>
      <c r="CR61" s="123">
        <v>-3.1246547175327604E-4</v>
      </c>
      <c r="CS61" s="123">
        <v>-2.2783554797879504E-3</v>
      </c>
      <c r="CT61" s="123">
        <v>-1.3091489976342823E-3</v>
      </c>
      <c r="CU61" s="123">
        <v>-6.2010945583203247E-5</v>
      </c>
      <c r="CV61" s="123">
        <v>-4.2884679987072278E-3</v>
      </c>
      <c r="CW61" s="123">
        <v>-3.076497959600594E-3</v>
      </c>
      <c r="CX61" s="123">
        <v>-8.6967094462597663E-4</v>
      </c>
    </row>
    <row r="62" spans="1:102">
      <c r="A62" s="23"/>
      <c r="B62" s="14" t="s">
        <v>30</v>
      </c>
      <c r="C62" s="125">
        <v>8.139101552449407E-2</v>
      </c>
      <c r="D62" s="125">
        <v>8.7341797409952168E-2</v>
      </c>
      <c r="E62" s="125">
        <v>8.9018096695177504E-2</v>
      </c>
      <c r="F62" s="125">
        <v>7.8698667993562607E-2</v>
      </c>
      <c r="G62" s="125">
        <v>8.0686185036692559E-2</v>
      </c>
      <c r="H62" s="125">
        <v>8.7191454212006608E-2</v>
      </c>
      <c r="I62" s="125">
        <v>8.6478537890216381E-2</v>
      </c>
      <c r="J62" s="125">
        <v>8.6645596244074863E-2</v>
      </c>
      <c r="K62" s="125">
        <v>7.7185550848064888E-2</v>
      </c>
      <c r="L62" s="125">
        <v>7.8646016573849814E-2</v>
      </c>
      <c r="M62" s="125">
        <v>8.3579456236322819E-2</v>
      </c>
      <c r="N62" s="125">
        <v>7.7646779201087077E-2</v>
      </c>
      <c r="O62" s="125">
        <v>7.5904716063046926E-2</v>
      </c>
      <c r="P62" s="125">
        <v>8.1212184434377346E-2</v>
      </c>
      <c r="Q62" s="125">
        <v>7.8148012066435291E-2</v>
      </c>
      <c r="R62" s="125">
        <v>8.0964422808769212E-2</v>
      </c>
      <c r="S62" s="125">
        <v>7.6883294468637092E-2</v>
      </c>
      <c r="T62" s="125">
        <v>8.7446818261189108E-2</v>
      </c>
      <c r="U62" s="125">
        <v>9.0927391385126899E-2</v>
      </c>
      <c r="V62" s="125">
        <v>7.7777965884230665E-2</v>
      </c>
      <c r="W62" s="125">
        <v>8.3030239378366094E-2</v>
      </c>
      <c r="X62" s="125">
        <v>8.8031666821243679E-2</v>
      </c>
      <c r="Y62" s="125">
        <v>7.6524543286256685E-2</v>
      </c>
      <c r="Z62" s="125">
        <v>9.2184840929823514E-2</v>
      </c>
      <c r="AA62" s="125">
        <v>8.9536672694414982E-2</v>
      </c>
      <c r="AB62" s="125">
        <v>8.5027129743263888E-2</v>
      </c>
      <c r="AC62" s="125">
        <v>7.5532547575476908E-2</v>
      </c>
      <c r="AD62" s="125">
        <v>8.7832476776771987E-2</v>
      </c>
      <c r="AE62" s="125">
        <v>8.1030107986397662E-2</v>
      </c>
      <c r="AF62" s="125">
        <v>8.2789641904727346E-2</v>
      </c>
      <c r="AG62" s="125">
        <v>7.9136477808259345E-2</v>
      </c>
      <c r="AH62" s="125">
        <v>8.4193588301729183E-2</v>
      </c>
      <c r="AI62" s="125">
        <v>7.7020036792403462E-2</v>
      </c>
      <c r="AJ62" s="125">
        <v>8.6187257854480184E-2</v>
      </c>
      <c r="AK62" s="125">
        <v>8.7919571202617217E-2</v>
      </c>
      <c r="AL62" s="125">
        <v>7.7438555899620454E-2</v>
      </c>
      <c r="AM62" s="125">
        <v>8.1899174606529068E-2</v>
      </c>
      <c r="AN62" s="125">
        <v>8.541735021331251E-2</v>
      </c>
      <c r="AO62" s="125">
        <v>7.6429580244860323E-2</v>
      </c>
      <c r="AP62" s="125">
        <v>7.8390071094811761E-2</v>
      </c>
      <c r="AQ62" s="125">
        <v>7.4177776403741527E-2</v>
      </c>
      <c r="AR62" s="125">
        <v>7.7377194455890988E-2</v>
      </c>
      <c r="AS62" s="125">
        <v>8.1868878824953403E-2</v>
      </c>
      <c r="AT62" s="125">
        <v>8.5782400334162429E-2</v>
      </c>
      <c r="AU62" s="125">
        <v>8.8052084112326526E-2</v>
      </c>
      <c r="AV62" s="125">
        <v>8.4584602084676663E-2</v>
      </c>
      <c r="AW62" s="125">
        <v>7.8864648597145828E-2</v>
      </c>
      <c r="AX62" s="125">
        <v>7.4798099208808616E-2</v>
      </c>
      <c r="AY62" s="125">
        <v>8.8935328958500648E-2</v>
      </c>
      <c r="AZ62" s="125">
        <v>8.6746293601708949E-2</v>
      </c>
      <c r="BA62" s="125">
        <v>7.1562446699465251E-2</v>
      </c>
      <c r="BB62" s="125">
        <v>7.8741712933984617E-2</v>
      </c>
      <c r="BC62" s="125">
        <v>7.5587320816969658E-2</v>
      </c>
      <c r="BD62" s="125">
        <v>8.3744702978262905E-2</v>
      </c>
      <c r="BE62" s="125">
        <v>8.3768339010405507E-2</v>
      </c>
      <c r="BF62" s="125">
        <v>7.5429248978221383E-2</v>
      </c>
      <c r="BG62" s="125">
        <v>7.6740630327060258E-2</v>
      </c>
      <c r="BH62" s="125">
        <v>8.0904249970726955E-2</v>
      </c>
      <c r="BI62" s="125">
        <v>7.9849849532014225E-2</v>
      </c>
      <c r="BJ62" s="125">
        <v>8.5350953415571931E-2</v>
      </c>
      <c r="BK62" s="125">
        <v>8.1104315535595412E-2</v>
      </c>
      <c r="BL62" s="125">
        <v>8.0026249316739725E-2</v>
      </c>
      <c r="BM62" s="125">
        <v>7.4838953762805971E-2</v>
      </c>
      <c r="BN62" s="125">
        <v>7.7564506998221178E-2</v>
      </c>
      <c r="BO62" s="125">
        <v>8.7139829884541109E-2</v>
      </c>
      <c r="BP62" s="125">
        <v>8.5378128149039931E-2</v>
      </c>
      <c r="BQ62" s="125">
        <v>8.2167102511388188E-2</v>
      </c>
      <c r="BR62" s="125">
        <v>8.1047513686848038E-2</v>
      </c>
      <c r="BS62" s="125">
        <v>7.7541984940449907E-2</v>
      </c>
      <c r="BT62" s="125">
        <v>7.144635422139177E-2</v>
      </c>
      <c r="BU62" s="125">
        <v>8.0780350496099287E-2</v>
      </c>
      <c r="BV62" s="125">
        <v>8.8099622682146148E-2</v>
      </c>
      <c r="BW62" s="125">
        <v>8.0412400393443412E-2</v>
      </c>
      <c r="BX62" s="125">
        <v>7.7328312686001155E-2</v>
      </c>
      <c r="BY62" s="125">
        <v>8.2269933562152675E-2</v>
      </c>
      <c r="BZ62" s="125">
        <v>8.2603157160271889E-2</v>
      </c>
      <c r="CA62" s="125">
        <v>8.4556958765991605E-2</v>
      </c>
      <c r="CB62" s="125">
        <v>7.4893423966899755E-2</v>
      </c>
      <c r="CC62" s="125">
        <v>7.7860130560001253E-2</v>
      </c>
      <c r="CD62" s="125">
        <v>7.5526491572117896E-2</v>
      </c>
      <c r="CE62" s="125">
        <v>7.7308249836522805E-2</v>
      </c>
      <c r="CF62" s="125">
        <v>7.3059188255383628E-2</v>
      </c>
      <c r="CG62" s="125">
        <v>8.6785132982685004E-2</v>
      </c>
      <c r="CH62" s="125">
        <v>9.2730800697305604E-2</v>
      </c>
      <c r="CI62" s="125">
        <v>8.5004735773176424E-2</v>
      </c>
      <c r="CJ62" s="125">
        <v>9.0601588150138579E-2</v>
      </c>
      <c r="CK62" s="125">
        <v>7.9850799808661263E-2</v>
      </c>
      <c r="CL62" s="125">
        <v>7.8426032247736574E-2</v>
      </c>
      <c r="CM62" s="125">
        <v>8.0639641359865136E-2</v>
      </c>
      <c r="CN62" s="125">
        <v>7.170798789596676E-2</v>
      </c>
      <c r="CO62" s="125">
        <v>7.9830774666377585E-2</v>
      </c>
      <c r="CP62" s="125">
        <v>8.2519424566254773E-2</v>
      </c>
      <c r="CQ62" s="125">
        <v>7.8405886597435678E-2</v>
      </c>
      <c r="CR62" s="125">
        <v>8.3857351721404197E-2</v>
      </c>
      <c r="CS62" s="125">
        <v>7.7709940779836534E-2</v>
      </c>
      <c r="CT62" s="125">
        <v>8.272119232777643E-2</v>
      </c>
      <c r="CU62" s="125">
        <v>9.4142784771607257E-2</v>
      </c>
      <c r="CV62" s="125">
        <v>7.4143565943897066E-2</v>
      </c>
      <c r="CW62" s="125">
        <v>8.0355098495001179E-2</v>
      </c>
      <c r="CX62" s="125">
        <v>7.7952993317324235E-2</v>
      </c>
    </row>
    <row r="63" spans="1:102">
      <c r="A63" s="23"/>
      <c r="B63" s="67" t="s">
        <v>56</v>
      </c>
      <c r="C63" s="125">
        <v>6.5993154090731143E-2</v>
      </c>
      <c r="D63" s="125">
        <v>7.613344855362339E-2</v>
      </c>
      <c r="E63" s="125">
        <v>7.8129742219313292E-2</v>
      </c>
      <c r="F63" s="125">
        <v>6.1367713743336674E-2</v>
      </c>
      <c r="G63" s="125">
        <v>6.7990614828815965E-2</v>
      </c>
      <c r="H63" s="125">
        <v>7.4079781640279105E-2</v>
      </c>
      <c r="I63" s="125">
        <v>7.3444300171704266E-2</v>
      </c>
      <c r="J63" s="125">
        <v>7.1067433939725866E-2</v>
      </c>
      <c r="K63" s="125">
        <v>5.9079171111964618E-2</v>
      </c>
      <c r="L63" s="125">
        <v>6.1687238875528023E-2</v>
      </c>
      <c r="M63" s="125">
        <v>7.0883671045635838E-2</v>
      </c>
      <c r="N63" s="125">
        <v>5.9580472310190556E-2</v>
      </c>
      <c r="O63" s="125">
        <v>6.1552110066273549E-2</v>
      </c>
      <c r="P63" s="125">
        <v>6.6238818746515576E-2</v>
      </c>
      <c r="Q63" s="125">
        <v>6.3036985406517851E-2</v>
      </c>
      <c r="R63" s="125">
        <v>6.6580795199691914E-2</v>
      </c>
      <c r="S63" s="125">
        <v>5.8046173864463133E-2</v>
      </c>
      <c r="T63" s="125">
        <v>7.3194059066685316E-2</v>
      </c>
      <c r="U63" s="125">
        <v>7.7600877555910497E-2</v>
      </c>
      <c r="V63" s="125">
        <v>5.8349238270440015E-2</v>
      </c>
      <c r="W63" s="125">
        <v>6.5055783307389634E-2</v>
      </c>
      <c r="X63" s="125">
        <v>7.6640499983324284E-2</v>
      </c>
      <c r="Y63" s="125">
        <v>5.9271936383100896E-2</v>
      </c>
      <c r="Z63" s="125">
        <v>8.0111249553713404E-2</v>
      </c>
      <c r="AA63" s="125">
        <v>7.3802759081760441E-2</v>
      </c>
      <c r="AB63" s="125">
        <v>6.7016524561630014E-2</v>
      </c>
      <c r="AC63" s="125">
        <v>5.798271993375332E-2</v>
      </c>
      <c r="AD63" s="125">
        <v>7.3831609037067369E-2</v>
      </c>
      <c r="AE63" s="125">
        <v>6.8261434615218858E-2</v>
      </c>
      <c r="AF63" s="125">
        <v>6.4883852969096392E-2</v>
      </c>
      <c r="AG63" s="125">
        <v>6.6471522127735577E-2</v>
      </c>
      <c r="AH63" s="125">
        <v>6.6837271129141854E-2</v>
      </c>
      <c r="AI63" s="125">
        <v>5.9823855681759415E-2</v>
      </c>
      <c r="AJ63" s="125">
        <v>6.9380319729054327E-2</v>
      </c>
      <c r="AK63" s="125">
        <v>7.0643286904507926E-2</v>
      </c>
      <c r="AL63" s="125">
        <v>5.9966304593618784E-2</v>
      </c>
      <c r="AM63" s="125">
        <v>6.61944365588501E-2</v>
      </c>
      <c r="AN63" s="125">
        <v>7.1777784729857144E-2</v>
      </c>
      <c r="AO63" s="125">
        <v>6.6812950979156641E-2</v>
      </c>
      <c r="AP63" s="125">
        <v>6.2600433706187675E-2</v>
      </c>
      <c r="AQ63" s="125">
        <v>5.6281467035427919E-2</v>
      </c>
      <c r="AR63" s="125">
        <v>6.7024695888015726E-2</v>
      </c>
      <c r="AS63" s="125">
        <v>6.9443830610639135E-2</v>
      </c>
      <c r="AT63" s="125">
        <v>7.1749953973463232E-2</v>
      </c>
      <c r="AU63" s="125">
        <v>7.1343167183279071E-2</v>
      </c>
      <c r="AV63" s="125">
        <v>6.6227248457765647E-2</v>
      </c>
      <c r="AW63" s="125">
        <v>6.5534031660024403E-2</v>
      </c>
      <c r="AX63" s="125">
        <v>5.7618476117500012E-2</v>
      </c>
      <c r="AY63" s="125">
        <v>7.2134815135548966E-2</v>
      </c>
      <c r="AZ63" s="125">
        <v>7.0729476651089432E-2</v>
      </c>
      <c r="BA63" s="125">
        <v>5.5408102681957151E-2</v>
      </c>
      <c r="BB63" s="125">
        <v>6.4839406849789519E-2</v>
      </c>
      <c r="BC63" s="125">
        <v>5.8326184318790886E-2</v>
      </c>
      <c r="BD63" s="125">
        <v>6.8765563021994006E-2</v>
      </c>
      <c r="BE63" s="125">
        <v>6.6775206860744882E-2</v>
      </c>
      <c r="BF63" s="125">
        <v>6.0292084556316808E-2</v>
      </c>
      <c r="BG63" s="125">
        <v>6.0505617661427681E-2</v>
      </c>
      <c r="BH63" s="125">
        <v>6.586871446528321E-2</v>
      </c>
      <c r="BI63" s="125">
        <v>6.396350300517134E-2</v>
      </c>
      <c r="BJ63" s="125">
        <v>7.0425582157989594E-2</v>
      </c>
      <c r="BK63" s="125">
        <v>6.7350236380684325E-2</v>
      </c>
      <c r="BL63" s="125">
        <v>6.6426059358319967E-2</v>
      </c>
      <c r="BM63" s="125">
        <v>5.978870280073182E-2</v>
      </c>
      <c r="BN63" s="125">
        <v>6.1321102566691356E-2</v>
      </c>
      <c r="BO63" s="125">
        <v>7.3880760293478148E-2</v>
      </c>
      <c r="BP63" s="125">
        <v>6.7774010745555557E-2</v>
      </c>
      <c r="BQ63" s="125">
        <v>7.1633705633479886E-2</v>
      </c>
      <c r="BR63" s="125">
        <v>6.7891753612443748E-2</v>
      </c>
      <c r="BS63" s="125">
        <v>6.3778377259647162E-2</v>
      </c>
      <c r="BT63" s="125">
        <v>5.6867718535382888E-2</v>
      </c>
      <c r="BU63" s="125">
        <v>6.7079459514011883E-2</v>
      </c>
      <c r="BV63" s="125">
        <v>6.9211933108260543E-2</v>
      </c>
      <c r="BW63" s="125">
        <v>6.3184513778907728E-2</v>
      </c>
      <c r="BX63" s="125">
        <v>6.4090454743477909E-2</v>
      </c>
      <c r="BY63" s="125">
        <v>6.703981907220341E-2</v>
      </c>
      <c r="BZ63" s="125">
        <v>6.9744694626927256E-2</v>
      </c>
      <c r="CA63" s="125">
        <v>6.8160782213146032E-2</v>
      </c>
      <c r="CB63" s="125">
        <v>5.7589056398952766E-2</v>
      </c>
      <c r="CC63" s="125">
        <v>6.1539526759591817E-2</v>
      </c>
      <c r="CD63" s="125">
        <v>6.0499815632235096E-2</v>
      </c>
      <c r="CE63" s="125">
        <v>6.1080719422297612E-2</v>
      </c>
      <c r="CF63" s="125">
        <v>5.9953863863549291E-2</v>
      </c>
      <c r="CG63" s="125">
        <v>7.8202497538988183E-2</v>
      </c>
      <c r="CH63" s="125">
        <v>7.895923396527689E-2</v>
      </c>
      <c r="CI63" s="125">
        <v>6.6535150999171511E-2</v>
      </c>
      <c r="CJ63" s="125">
        <v>7.3939292550192243E-2</v>
      </c>
      <c r="CK63" s="125">
        <v>6.5761894553479527E-2</v>
      </c>
      <c r="CL63" s="125">
        <v>6.4616402535299461E-2</v>
      </c>
      <c r="CM63" s="125">
        <v>6.6015439149861022E-2</v>
      </c>
      <c r="CN63" s="125">
        <v>5.5902632433688926E-2</v>
      </c>
      <c r="CO63" s="125">
        <v>6.5943664705015351E-2</v>
      </c>
      <c r="CP63" s="125">
        <v>6.3585273102032949E-2</v>
      </c>
      <c r="CQ63" s="125">
        <v>6.0337876627149636E-2</v>
      </c>
      <c r="CR63" s="125">
        <v>6.806869192776295E-2</v>
      </c>
      <c r="CS63" s="125">
        <v>5.9797916390189637E-2</v>
      </c>
      <c r="CT63" s="125">
        <v>6.4875474954657508E-2</v>
      </c>
      <c r="CU63" s="125">
        <v>7.9952837456707324E-2</v>
      </c>
      <c r="CV63" s="125">
        <v>6.2184458125131313E-2</v>
      </c>
      <c r="CW63" s="125">
        <v>6.2707443422442485E-2</v>
      </c>
      <c r="CX63" s="125">
        <v>6.3635133948105146E-2</v>
      </c>
    </row>
    <row r="64" spans="1:102">
      <c r="A64" s="126"/>
      <c r="B64" s="129" t="s">
        <v>114</v>
      </c>
      <c r="C64" s="127">
        <v>0.53681164881363075</v>
      </c>
      <c r="D64" s="127">
        <v>0.52059005878167364</v>
      </c>
      <c r="E64" s="127">
        <v>0.52303321999897157</v>
      </c>
      <c r="F64" s="127">
        <v>0.54857272222006237</v>
      </c>
      <c r="G64" s="127">
        <v>0.5397384545559023</v>
      </c>
      <c r="H64" s="127">
        <v>0.52808705590826732</v>
      </c>
      <c r="I64" s="127">
        <v>0.51725686138225846</v>
      </c>
      <c r="J64" s="127">
        <v>0.52610518522528571</v>
      </c>
      <c r="K64" s="127">
        <v>0.55330804699409619</v>
      </c>
      <c r="L64" s="127">
        <v>0.5484904166225657</v>
      </c>
      <c r="M64" s="127">
        <v>0.53385726234381647</v>
      </c>
      <c r="N64" s="127">
        <v>0.5589478066312672</v>
      </c>
      <c r="O64" s="127">
        <v>0.55498646115721872</v>
      </c>
      <c r="P64" s="127">
        <v>0.53777523181930931</v>
      </c>
      <c r="Q64" s="127">
        <v>0.54696900239959134</v>
      </c>
      <c r="R64" s="127">
        <v>0.54119736174473343</v>
      </c>
      <c r="S64" s="127">
        <v>0.55938088306654765</v>
      </c>
      <c r="T64" s="127">
        <v>0.5146184577912295</v>
      </c>
      <c r="U64" s="127">
        <v>0.51949643587876138</v>
      </c>
      <c r="V64" s="127">
        <v>0.55477045268376302</v>
      </c>
      <c r="W64" s="127">
        <v>0.53399598782523294</v>
      </c>
      <c r="X64" s="127">
        <v>0.51237750512959801</v>
      </c>
      <c r="Y64" s="127">
        <v>0.56336180369645805</v>
      </c>
      <c r="Z64" s="127">
        <v>0.52513268178771444</v>
      </c>
      <c r="AA64" s="127">
        <v>0.51130874123866055</v>
      </c>
      <c r="AB64" s="127">
        <v>0.52638140266859657</v>
      </c>
      <c r="AC64" s="127">
        <v>0.56478580205282891</v>
      </c>
      <c r="AD64" s="127">
        <v>0.52036972803611869</v>
      </c>
      <c r="AE64" s="127">
        <v>0.53045655744767539</v>
      </c>
      <c r="AF64" s="127">
        <v>0.5351946935631704</v>
      </c>
      <c r="AG64" s="127">
        <v>0.55558107128349732</v>
      </c>
      <c r="AH64" s="127">
        <v>0.54078769250693037</v>
      </c>
      <c r="AI64" s="127">
        <v>0.55500871591462653</v>
      </c>
      <c r="AJ64" s="127">
        <v>0.52446651935039967</v>
      </c>
      <c r="AK64" s="127">
        <v>0.52054532868979719</v>
      </c>
      <c r="AL64" s="127">
        <v>0.55489321157854077</v>
      </c>
      <c r="AM64" s="127">
        <v>0.53949850532437638</v>
      </c>
      <c r="AN64" s="127">
        <v>0.53699758506106032</v>
      </c>
      <c r="AO64" s="127">
        <v>0.54565463365142919</v>
      </c>
      <c r="AP64" s="127">
        <v>0.5406271186500865</v>
      </c>
      <c r="AQ64" s="127">
        <v>0.56631195564513581</v>
      </c>
      <c r="AR64" s="127">
        <v>0.54453697017448643</v>
      </c>
      <c r="AS64" s="127">
        <v>0.52905483604762904</v>
      </c>
      <c r="AT64" s="127">
        <v>0.51726554398794677</v>
      </c>
      <c r="AU64" s="127">
        <v>0.51837879457076008</v>
      </c>
      <c r="AV64" s="127">
        <v>0.52911600188155261</v>
      </c>
      <c r="AW64" s="127">
        <v>0.55024555832955913</v>
      </c>
      <c r="AX64" s="127">
        <v>0.56811879199090454</v>
      </c>
      <c r="AY64" s="127">
        <v>0.52394013092787728</v>
      </c>
      <c r="AZ64" s="127">
        <v>0.51705411129269008</v>
      </c>
      <c r="BA64" s="127">
        <v>0.57636789259694754</v>
      </c>
      <c r="BB64" s="127">
        <v>0.54103417570116075</v>
      </c>
      <c r="BC64" s="127">
        <v>0.55896764539854393</v>
      </c>
      <c r="BD64" s="127">
        <v>0.53644036241063342</v>
      </c>
      <c r="BE64" s="127">
        <v>0.53630425661370162</v>
      </c>
      <c r="BF64" s="127">
        <v>0.55653916897245337</v>
      </c>
      <c r="BG64" s="127">
        <v>0.55062230145952362</v>
      </c>
      <c r="BH64" s="127">
        <v>0.5324494089210261</v>
      </c>
      <c r="BI64" s="127">
        <v>0.54033592058402746</v>
      </c>
      <c r="BJ64" s="127">
        <v>0.52465751669973815</v>
      </c>
      <c r="BK64" s="127">
        <v>0.53501681241121579</v>
      </c>
      <c r="BL64" s="127">
        <v>0.54198361869247225</v>
      </c>
      <c r="BM64" s="127">
        <v>0.55883524532281559</v>
      </c>
      <c r="BN64" s="127">
        <v>0.54723407765549159</v>
      </c>
      <c r="BO64" s="127">
        <v>0.52250758334664782</v>
      </c>
      <c r="BP64" s="127">
        <v>0.52642592512325737</v>
      </c>
      <c r="BQ64" s="127">
        <v>0.52538333554447125</v>
      </c>
      <c r="BR64" s="127">
        <v>0.53096100568229998</v>
      </c>
      <c r="BS64" s="127">
        <v>0.55875004899860081</v>
      </c>
      <c r="BT64" s="127">
        <v>0.57336958064638022</v>
      </c>
      <c r="BU64" s="127">
        <v>0.54267406879088553</v>
      </c>
      <c r="BV64" s="127">
        <v>0.5218446567579117</v>
      </c>
      <c r="BW64" s="127">
        <v>0.55065230842488322</v>
      </c>
      <c r="BX64" s="127">
        <v>0.55023528359349683</v>
      </c>
      <c r="BY64" s="127">
        <v>0.54199233465487962</v>
      </c>
      <c r="BZ64" s="127">
        <v>0.54621353064556744</v>
      </c>
      <c r="CA64" s="127">
        <v>0.53379408877305379</v>
      </c>
      <c r="CB64" s="127">
        <v>0.56178699749570249</v>
      </c>
      <c r="CC64" s="127">
        <v>0.55963693160227268</v>
      </c>
      <c r="CD64" s="127">
        <v>0.55396709696958024</v>
      </c>
      <c r="CE64" s="127">
        <v>0.55323175436426997</v>
      </c>
      <c r="CF64" s="127">
        <v>0.56192260560570251</v>
      </c>
      <c r="CG64" s="127">
        <v>0.51180268372395743</v>
      </c>
      <c r="CH64" s="127">
        <v>0.52019053133202364</v>
      </c>
      <c r="CI64" s="127">
        <v>0.53822723564654806</v>
      </c>
      <c r="CJ64" s="127">
        <v>0.51132798199622131</v>
      </c>
      <c r="CK64" s="127">
        <v>0.53454406056175852</v>
      </c>
      <c r="CL64" s="127">
        <v>0.55550106279124822</v>
      </c>
      <c r="CM64" s="127">
        <v>0.53566808144746891</v>
      </c>
      <c r="CN64" s="127">
        <v>0.57809101479101388</v>
      </c>
      <c r="CO64" s="127">
        <v>0.54280421322471728</v>
      </c>
      <c r="CP64" s="127">
        <v>0.53739701952760288</v>
      </c>
      <c r="CQ64" s="127">
        <v>0.55561592867357867</v>
      </c>
      <c r="CR64" s="127">
        <v>0.52695343194779654</v>
      </c>
      <c r="CS64" s="127">
        <v>0.54903443843800925</v>
      </c>
      <c r="CT64" s="127">
        <v>0.54017410306675107</v>
      </c>
      <c r="CU64" s="127">
        <v>0.51309860745067271</v>
      </c>
      <c r="CV64" s="127">
        <v>0.56584410771253679</v>
      </c>
      <c r="CW64" s="127">
        <v>0.54661807992598754</v>
      </c>
      <c r="CX64" s="127">
        <v>0.54067332096304921</v>
      </c>
    </row>
    <row r="65" spans="1:102">
      <c r="A65" s="23"/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1:102">
      <c r="C66" s="132"/>
    </row>
    <row r="67" spans="1:102">
      <c r="C67" s="132"/>
    </row>
    <row r="68" spans="1:102">
      <c r="C68" s="132"/>
    </row>
    <row r="69" spans="1:102">
      <c r="C69" s="132"/>
    </row>
    <row r="70" spans="1:102">
      <c r="C70" s="132"/>
    </row>
    <row r="71" spans="1:102">
      <c r="C71" s="132"/>
    </row>
    <row r="77" spans="1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31" spans="3:3">
      <c r="C131" s="132"/>
    </row>
    <row r="141" spans="3:3">
      <c r="C141" s="132"/>
    </row>
    <row r="151" spans="3:3">
      <c r="C151" s="13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28:B28"/>
    <mergeCell ref="A20:B20"/>
    <mergeCell ref="A21:B21"/>
    <mergeCell ref="A22:B22"/>
    <mergeCell ref="A23:B23"/>
    <mergeCell ref="A27:B27"/>
    <mergeCell ref="A16:B16"/>
    <mergeCell ref="A17:B17"/>
    <mergeCell ref="A18:B18"/>
    <mergeCell ref="A19:B19"/>
    <mergeCell ref="A24:B24"/>
    <mergeCell ref="A25:B25"/>
    <mergeCell ref="A9:B9"/>
    <mergeCell ref="A10:B10"/>
    <mergeCell ref="A11:B11"/>
    <mergeCell ref="A12:B12"/>
    <mergeCell ref="A13:B13"/>
    <mergeCell ref="A15:B15"/>
    <mergeCell ref="A3:B3"/>
    <mergeCell ref="A4:B4"/>
    <mergeCell ref="A5:B5"/>
    <mergeCell ref="A6:B6"/>
    <mergeCell ref="A7:B7"/>
    <mergeCell ref="A8:B8"/>
  </mergeCells>
  <phoneticPr fontId="2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0" enableFormatConditionsCalculation="0">
    <tabColor indexed="52"/>
  </sheetPr>
  <dimension ref="A1:CX151"/>
  <sheetViews>
    <sheetView topLeftCell="A43" workbookViewId="0">
      <selection activeCell="C53" sqref="C53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Parameters!A43</f>
        <v>Vermogenseffect &amp; innovatie</v>
      </c>
      <c r="C2" s="2" t="s">
        <v>129</v>
      </c>
      <c r="D2" s="1">
        <v>4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0.59755890224478092</v>
      </c>
      <c r="D4" s="115">
        <v>0.54483241170838048</v>
      </c>
      <c r="E4" s="115">
        <v>0.58677652535125002</v>
      </c>
      <c r="F4" s="115">
        <v>0.64595208869700715</v>
      </c>
      <c r="G4" s="115">
        <v>0.61465210688798455</v>
      </c>
      <c r="H4" s="115">
        <v>0.57977397805195696</v>
      </c>
      <c r="I4" s="115">
        <v>0.57571181829598805</v>
      </c>
      <c r="J4" s="115">
        <v>0.52204062453102884</v>
      </c>
      <c r="K4" s="115">
        <v>0.57139884875638292</v>
      </c>
      <c r="L4" s="115">
        <v>0.52685216048711037</v>
      </c>
      <c r="M4" s="115">
        <v>0.53767616994902157</v>
      </c>
      <c r="N4" s="115">
        <v>0.5945524540578131</v>
      </c>
      <c r="O4" s="115">
        <v>0.5127154246753729</v>
      </c>
      <c r="P4" s="115">
        <v>0.54197662085279297</v>
      </c>
      <c r="Q4" s="115">
        <v>0.59275929015054729</v>
      </c>
      <c r="R4" s="115">
        <v>0.62724085855592593</v>
      </c>
      <c r="S4" s="115">
        <v>0.54490721194089331</v>
      </c>
      <c r="T4" s="115">
        <v>0.61317497194380433</v>
      </c>
      <c r="U4" s="115">
        <v>0.6029058016263048</v>
      </c>
      <c r="V4" s="115">
        <v>0.54459047845818409</v>
      </c>
      <c r="W4" s="115">
        <v>0.53592522029938117</v>
      </c>
      <c r="X4" s="115">
        <v>0.64287676580588071</v>
      </c>
      <c r="Y4" s="115">
        <v>0.48016947268524868</v>
      </c>
      <c r="Z4" s="115">
        <v>0.55394222014585381</v>
      </c>
      <c r="AA4" s="115">
        <v>0.61342754140715905</v>
      </c>
      <c r="AB4" s="115">
        <v>0.54750658611625536</v>
      </c>
      <c r="AC4" s="115">
        <v>0.53154079115114239</v>
      </c>
      <c r="AD4" s="115">
        <v>0.50332081104880666</v>
      </c>
      <c r="AE4" s="115">
        <v>0.67768206943887377</v>
      </c>
      <c r="AF4" s="115">
        <v>0.51963997269906148</v>
      </c>
      <c r="AG4" s="115">
        <v>0.61738658857147344</v>
      </c>
      <c r="AH4" s="115">
        <v>0.55308422840852212</v>
      </c>
      <c r="AI4" s="115">
        <v>0.59613323286098419</v>
      </c>
      <c r="AJ4" s="115">
        <v>0.5813956693610991</v>
      </c>
      <c r="AK4" s="115">
        <v>0.48865837864578865</v>
      </c>
      <c r="AL4" s="115">
        <v>0.60130706545136703</v>
      </c>
      <c r="AM4" s="115">
        <v>0.52027433441676074</v>
      </c>
      <c r="AN4" s="115">
        <v>0.56841552328253575</v>
      </c>
      <c r="AO4" s="115">
        <v>0.56823990699284843</v>
      </c>
      <c r="AP4" s="115">
        <v>0.61719136662308038</v>
      </c>
      <c r="AQ4" s="115">
        <v>0.55721068959719378</v>
      </c>
      <c r="AR4" s="115">
        <v>0.56557325068605113</v>
      </c>
      <c r="AS4" s="115">
        <v>0.69529232823236131</v>
      </c>
      <c r="AT4" s="115">
        <v>0.53097859694578453</v>
      </c>
      <c r="AU4" s="115">
        <v>0.58291428684706814</v>
      </c>
      <c r="AV4" s="115">
        <v>0.57329278940313488</v>
      </c>
      <c r="AW4" s="115">
        <v>0.60671239390767784</v>
      </c>
      <c r="AX4" s="115">
        <v>0.54442899428046565</v>
      </c>
      <c r="AY4" s="115">
        <v>0.55366926525691929</v>
      </c>
      <c r="AZ4" s="115">
        <v>0.48951549607552991</v>
      </c>
      <c r="BA4" s="115">
        <v>0.51931803944808819</v>
      </c>
      <c r="BB4" s="115">
        <v>0.47616923658364035</v>
      </c>
      <c r="BC4" s="115">
        <v>0.62362112282196369</v>
      </c>
      <c r="BD4" s="115">
        <v>0.6696016388114433</v>
      </c>
      <c r="BE4" s="115">
        <v>0.63013328090857434</v>
      </c>
      <c r="BF4" s="115">
        <v>0.55516202078235621</v>
      </c>
      <c r="BG4" s="115">
        <v>0.50477406091272681</v>
      </c>
      <c r="BH4" s="115">
        <v>0.51328617207617544</v>
      </c>
      <c r="BI4" s="115">
        <v>0.51773812427435106</v>
      </c>
      <c r="BJ4" s="115">
        <v>0.55846646831938573</v>
      </c>
      <c r="BK4" s="115">
        <v>0.49594061606472317</v>
      </c>
      <c r="BL4" s="115">
        <v>0.5621604075247838</v>
      </c>
      <c r="BM4" s="115">
        <v>0.62419824440525296</v>
      </c>
      <c r="BN4" s="115">
        <v>0.44579220086349447</v>
      </c>
      <c r="BO4" s="115">
        <v>0.47225722538542092</v>
      </c>
      <c r="BP4" s="115">
        <v>0.48665089506467568</v>
      </c>
      <c r="BQ4" s="115">
        <v>0.57392442524576914</v>
      </c>
      <c r="BR4" s="115">
        <v>0.53041631914368903</v>
      </c>
      <c r="BS4" s="115">
        <v>0.54444035195950313</v>
      </c>
      <c r="BT4" s="115">
        <v>0.7182783494974575</v>
      </c>
      <c r="BU4" s="115">
        <v>0.54799531551445479</v>
      </c>
      <c r="BV4" s="115">
        <v>0.49703732077922491</v>
      </c>
      <c r="BW4" s="115">
        <v>0.62336850279534439</v>
      </c>
      <c r="BX4" s="115">
        <v>0.6539232896126419</v>
      </c>
      <c r="BY4" s="115">
        <v>0.62771290969342319</v>
      </c>
      <c r="BZ4" s="115">
        <v>0.55732562692265408</v>
      </c>
      <c r="CA4" s="115">
        <v>0.51168833394705016</v>
      </c>
      <c r="CB4" s="115">
        <v>0.48946649727435509</v>
      </c>
      <c r="CC4" s="115">
        <v>0.55764935959449247</v>
      </c>
      <c r="CD4" s="115">
        <v>0.58162542770753589</v>
      </c>
      <c r="CE4" s="115">
        <v>0.6910220627405228</v>
      </c>
      <c r="CF4" s="115">
        <v>0.54879725916661393</v>
      </c>
      <c r="CG4" s="115">
        <v>0.56162215719116804</v>
      </c>
      <c r="CH4" s="115">
        <v>0.6158353590953588</v>
      </c>
      <c r="CI4" s="115">
        <v>0.5657369755865429</v>
      </c>
      <c r="CJ4" s="115">
        <v>0.64770301996570967</v>
      </c>
      <c r="CK4" s="115">
        <v>0.53619393312894392</v>
      </c>
      <c r="CL4" s="115">
        <v>0.57105589996011907</v>
      </c>
      <c r="CM4" s="115">
        <v>0.43725221899124328</v>
      </c>
      <c r="CN4" s="115">
        <v>0.5375604245424036</v>
      </c>
      <c r="CO4" s="115">
        <v>0.58376527262631117</v>
      </c>
      <c r="CP4" s="115">
        <v>0.45084849896142914</v>
      </c>
      <c r="CQ4" s="115">
        <v>0.46904435397574135</v>
      </c>
      <c r="CR4" s="115">
        <v>0.67408651692378629</v>
      </c>
      <c r="CS4" s="115">
        <v>0.56649023625826123</v>
      </c>
      <c r="CT4" s="115">
        <v>0.54301372139447346</v>
      </c>
      <c r="CU4" s="115">
        <v>0.58385625708778399</v>
      </c>
      <c r="CV4" s="115">
        <v>0.52616836186978877</v>
      </c>
      <c r="CW4" s="115">
        <v>0.47945378917995951</v>
      </c>
      <c r="CX4" s="115">
        <v>0.53813349647584718</v>
      </c>
    </row>
    <row r="5" spans="1:102" s="115" customFormat="1">
      <c r="A5" s="252" t="str">
        <f>Parameters!A51</f>
        <v>Reele matching</v>
      </c>
      <c r="B5" s="253"/>
      <c r="C5" s="115">
        <v>1.7288787575692098E-2</v>
      </c>
      <c r="D5" s="115">
        <v>1.2963203084558685E-4</v>
      </c>
      <c r="E5" s="115">
        <v>4.2525165347400509E-5</v>
      </c>
      <c r="F5" s="115">
        <v>3.0875947815896615E-9</v>
      </c>
      <c r="G5" s="115">
        <v>3.5213291843471008E-4</v>
      </c>
      <c r="H5" s="115">
        <v>1.0795781950952683E-5</v>
      </c>
      <c r="I5" s="115">
        <v>4.8508491971875408E-10</v>
      </c>
      <c r="J5" s="115">
        <v>2.4495165143722272E-8</v>
      </c>
      <c r="K5" s="115">
        <v>2.5321116028265211E-15</v>
      </c>
      <c r="L5" s="115">
        <v>1.4380844248083956E-4</v>
      </c>
      <c r="M5" s="115">
        <v>2.42089772002024E-3</v>
      </c>
      <c r="N5" s="115">
        <v>9.2616534182087713E-3</v>
      </c>
      <c r="O5" s="115">
        <v>2.0144205437843096E-4</v>
      </c>
      <c r="P5" s="115">
        <v>2.1174911124701132E-18</v>
      </c>
      <c r="Q5" s="115">
        <v>2.8822247714828532E-2</v>
      </c>
      <c r="R5" s="115">
        <v>4.4366943757083851E-9</v>
      </c>
      <c r="S5" s="115">
        <v>9.7486190535335006E-3</v>
      </c>
      <c r="T5" s="115">
        <v>2.7592077016465023E-2</v>
      </c>
      <c r="U5" s="115">
        <v>1.1487834800595574E-7</v>
      </c>
      <c r="V5" s="115">
        <v>2.8842915062901307E-3</v>
      </c>
      <c r="W5" s="115">
        <v>8.6191398597617046E-4</v>
      </c>
      <c r="X5" s="115">
        <v>1.2190530239326115E-5</v>
      </c>
      <c r="Y5" s="115">
        <v>1.8886760940046252E-2</v>
      </c>
      <c r="Z5" s="115">
        <v>8.5172211353412402E-10</v>
      </c>
      <c r="AA5" s="115">
        <v>1.6688994214156705E-2</v>
      </c>
      <c r="AB5" s="115">
        <v>3.8604837156087389E-2</v>
      </c>
      <c r="AC5" s="115">
        <v>1.6736598366064968E-2</v>
      </c>
      <c r="AD5" s="115">
        <v>6.9358765218521801E-4</v>
      </c>
      <c r="AE5" s="115">
        <v>1.2221794605393677E-5</v>
      </c>
      <c r="AF5" s="115">
        <v>6.8252619862731734E-3</v>
      </c>
      <c r="AG5" s="115">
        <v>9.1919595977869636E-3</v>
      </c>
      <c r="AH5" s="115">
        <v>2.661766135699551E-2</v>
      </c>
      <c r="AI5" s="115">
        <v>1.3365950014756236E-2</v>
      </c>
      <c r="AJ5" s="115">
        <v>1.604336464559997E-2</v>
      </c>
      <c r="AK5" s="115">
        <v>4.745519135746692E-13</v>
      </c>
      <c r="AL5" s="115">
        <v>2.1985217975984347E-4</v>
      </c>
      <c r="AM5" s="115">
        <v>9.5372325515314572E-7</v>
      </c>
      <c r="AN5" s="115">
        <v>9.2575991045237699E-3</v>
      </c>
      <c r="AO5" s="115">
        <v>5.6381208016702062E-6</v>
      </c>
      <c r="AP5" s="115">
        <v>2.10254516722305E-3</v>
      </c>
      <c r="AQ5" s="115">
        <v>5.8119918883424949E-3</v>
      </c>
      <c r="AR5" s="115">
        <v>1.6293424213460455E-2</v>
      </c>
      <c r="AS5" s="115">
        <v>5.8405572538432786E-3</v>
      </c>
      <c r="AT5" s="115">
        <v>9.1267922489422325E-7</v>
      </c>
      <c r="AU5" s="115">
        <v>1.9013535064352122E-9</v>
      </c>
      <c r="AV5" s="115">
        <v>1.8692713816440045E-4</v>
      </c>
      <c r="AW5" s="115">
        <v>2.7543391602471594E-2</v>
      </c>
      <c r="AX5" s="115">
        <v>1.8988921541123496E-4</v>
      </c>
      <c r="AY5" s="115">
        <v>4.174579184962475E-2</v>
      </c>
      <c r="AZ5" s="115">
        <v>7.8654459435038653E-4</v>
      </c>
      <c r="BA5" s="115">
        <v>2.9732439690405065E-10</v>
      </c>
      <c r="BB5" s="115">
        <v>5.7903775155448534E-2</v>
      </c>
      <c r="BC5" s="115">
        <v>5.5691952023320885E-4</v>
      </c>
      <c r="BD5" s="115">
        <v>3.1031835533017337E-3</v>
      </c>
      <c r="BE5" s="115">
        <v>1.0742080530515283E-3</v>
      </c>
      <c r="BF5" s="115">
        <v>1.7986168850020259E-2</v>
      </c>
      <c r="BG5" s="115">
        <v>8.1610183306730519E-2</v>
      </c>
      <c r="BH5" s="115">
        <v>1.987338556379277E-2</v>
      </c>
      <c r="BI5" s="115">
        <v>7.6612963683010543E-3</v>
      </c>
      <c r="BJ5" s="115">
        <v>1.2127245886857516E-2</v>
      </c>
      <c r="BK5" s="115">
        <v>2.2845551656197195E-3</v>
      </c>
      <c r="BL5" s="115">
        <v>2.3624845966350488E-14</v>
      </c>
      <c r="BM5" s="115">
        <v>3.2513258935266189E-4</v>
      </c>
      <c r="BN5" s="115">
        <v>5.2063101850695473E-2</v>
      </c>
      <c r="BO5" s="115">
        <v>3.2010685396676584E-2</v>
      </c>
      <c r="BP5" s="115">
        <v>7.0200731308757855E-2</v>
      </c>
      <c r="BQ5" s="115">
        <v>5.8446164417463604E-3</v>
      </c>
      <c r="BR5" s="115">
        <v>2.6665450465160395E-3</v>
      </c>
      <c r="BS5" s="115">
        <v>4.0478586225531216E-2</v>
      </c>
      <c r="BT5" s="115">
        <v>3.2694043400477939E-4</v>
      </c>
      <c r="BU5" s="115">
        <v>1.154052769305009E-5</v>
      </c>
      <c r="BV5" s="115">
        <v>1.1520753516707574E-2</v>
      </c>
      <c r="BW5" s="115">
        <v>1.3112301193593198E-4</v>
      </c>
      <c r="BX5" s="115">
        <v>2.5000456062763883E-3</v>
      </c>
      <c r="BY5" s="115">
        <v>4.2244806214700725E-3</v>
      </c>
      <c r="BZ5" s="115">
        <v>1.9124883560985594E-2</v>
      </c>
      <c r="CA5" s="115">
        <v>1.2121868102616952E-2</v>
      </c>
      <c r="CB5" s="115">
        <v>2.1373659033839677E-2</v>
      </c>
      <c r="CC5" s="115">
        <v>4.4961490808738562E-2</v>
      </c>
      <c r="CD5" s="115">
        <v>6.1820339744900391E-7</v>
      </c>
      <c r="CE5" s="115">
        <v>1.9246779403608248E-4</v>
      </c>
      <c r="CF5" s="115">
        <v>3.3952399766964472E-7</v>
      </c>
      <c r="CG5" s="115">
        <v>2.087293900087682E-2</v>
      </c>
      <c r="CH5" s="115">
        <v>1.8596000706721683E-2</v>
      </c>
      <c r="CI5" s="115">
        <v>2.2506640372557423E-13</v>
      </c>
      <c r="CJ5" s="115">
        <v>5.0072922373871391E-5</v>
      </c>
      <c r="CK5" s="115">
        <v>2.3393299728915053E-2</v>
      </c>
      <c r="CL5" s="115">
        <v>8.8220397462903185E-5</v>
      </c>
      <c r="CM5" s="115">
        <v>8.3349390847230309E-2</v>
      </c>
      <c r="CN5" s="115">
        <v>3.3764833910930811E-2</v>
      </c>
      <c r="CO5" s="115">
        <v>3.4064092216260611E-2</v>
      </c>
      <c r="CP5" s="115">
        <v>1.2191165084259407E-6</v>
      </c>
      <c r="CQ5" s="115">
        <v>5.5578185089728491E-3</v>
      </c>
      <c r="CR5" s="115">
        <v>2.8494332449738439E-3</v>
      </c>
      <c r="CS5" s="115">
        <v>1.2908874698336313E-2</v>
      </c>
      <c r="CT5" s="115">
        <v>1.1237714415295713E-3</v>
      </c>
      <c r="CU5" s="115">
        <v>1.0691336393455579E-3</v>
      </c>
      <c r="CV5" s="115">
        <v>1.5733432137854107E-8</v>
      </c>
      <c r="CW5" s="115">
        <v>9.2809257102690872E-3</v>
      </c>
      <c r="CX5" s="115">
        <v>4.7671652521242983E-3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  <c r="BD6" s="115">
        <v>0</v>
      </c>
      <c r="BE6" s="115">
        <v>0</v>
      </c>
      <c r="BF6" s="115">
        <v>0</v>
      </c>
      <c r="BG6" s="115">
        <v>0</v>
      </c>
      <c r="BH6" s="115">
        <v>0</v>
      </c>
      <c r="BI6" s="115">
        <v>0</v>
      </c>
      <c r="BJ6" s="115">
        <v>0</v>
      </c>
      <c r="BK6" s="115">
        <v>0</v>
      </c>
      <c r="BL6" s="115">
        <v>0</v>
      </c>
      <c r="BM6" s="115">
        <v>0</v>
      </c>
      <c r="BN6" s="115">
        <v>0</v>
      </c>
      <c r="BO6" s="115">
        <v>0</v>
      </c>
      <c r="BP6" s="115">
        <v>0</v>
      </c>
      <c r="BQ6" s="115">
        <v>0</v>
      </c>
      <c r="BR6" s="115">
        <v>0</v>
      </c>
      <c r="BS6" s="115">
        <v>0</v>
      </c>
      <c r="BT6" s="115">
        <v>0</v>
      </c>
      <c r="BU6" s="115">
        <v>0</v>
      </c>
      <c r="BV6" s="115">
        <v>0</v>
      </c>
      <c r="BW6" s="115">
        <v>0</v>
      </c>
      <c r="BX6" s="115">
        <v>0</v>
      </c>
      <c r="BY6" s="115">
        <v>0</v>
      </c>
      <c r="BZ6" s="115">
        <v>0</v>
      </c>
      <c r="CA6" s="115">
        <v>0</v>
      </c>
      <c r="CB6" s="115">
        <v>0</v>
      </c>
      <c r="CC6" s="115">
        <v>0</v>
      </c>
      <c r="CD6" s="115">
        <v>0</v>
      </c>
      <c r="CE6" s="115">
        <v>0</v>
      </c>
      <c r="CF6" s="115">
        <v>0</v>
      </c>
      <c r="CG6" s="115">
        <v>0</v>
      </c>
      <c r="CH6" s="115">
        <v>0</v>
      </c>
      <c r="CI6" s="115">
        <v>0</v>
      </c>
      <c r="CJ6" s="115">
        <v>0</v>
      </c>
      <c r="CK6" s="115">
        <v>0</v>
      </c>
      <c r="CL6" s="115">
        <v>0</v>
      </c>
      <c r="CM6" s="115">
        <v>0</v>
      </c>
      <c r="CN6" s="115">
        <v>0</v>
      </c>
      <c r="CO6" s="115">
        <v>0</v>
      </c>
      <c r="CP6" s="115">
        <v>0</v>
      </c>
      <c r="CQ6" s="115">
        <v>0</v>
      </c>
      <c r="CR6" s="115">
        <v>0</v>
      </c>
      <c r="CS6" s="115">
        <v>0</v>
      </c>
      <c r="CT6" s="115">
        <v>0</v>
      </c>
      <c r="CU6" s="115">
        <v>0</v>
      </c>
      <c r="CV6" s="115">
        <v>0</v>
      </c>
      <c r="CW6" s="115">
        <v>0</v>
      </c>
      <c r="CX6" s="115">
        <v>0</v>
      </c>
    </row>
    <row r="7" spans="1:102" s="115" customFormat="1">
      <c r="A7" s="252" t="str">
        <f>Parameters!A53</f>
        <v>High Yield</v>
      </c>
      <c r="B7" s="253"/>
      <c r="C7" s="115">
        <v>4.9343992855846539E-3</v>
      </c>
      <c r="D7" s="115">
        <v>9.815528642656722E-2</v>
      </c>
      <c r="E7" s="115">
        <v>5.6922152108791638E-11</v>
      </c>
      <c r="F7" s="115">
        <v>7.3299748301867609E-3</v>
      </c>
      <c r="G7" s="115">
        <v>2.0163736745693148E-2</v>
      </c>
      <c r="H7" s="115">
        <v>8.2472123138425585E-2</v>
      </c>
      <c r="I7" s="115">
        <v>5.4832355548563284E-2</v>
      </c>
      <c r="J7" s="115">
        <v>0.12836446085052178</v>
      </c>
      <c r="K7" s="115">
        <v>4.3545112292137984E-2</v>
      </c>
      <c r="L7" s="115">
        <v>0.10711046335490304</v>
      </c>
      <c r="M7" s="115">
        <v>3.1035760657033201E-2</v>
      </c>
      <c r="N7" s="115">
        <v>8.1987374895198706E-5</v>
      </c>
      <c r="O7" s="115">
        <v>9.0906427367972067E-2</v>
      </c>
      <c r="P7" s="115">
        <v>0.13620687066312953</v>
      </c>
      <c r="Q7" s="115">
        <v>5.6920514062552942E-3</v>
      </c>
      <c r="R7" s="115">
        <v>5.9629627757712293E-2</v>
      </c>
      <c r="S7" s="115">
        <v>0.13212923715125477</v>
      </c>
      <c r="T7" s="115">
        <v>4.1768710437073357E-2</v>
      </c>
      <c r="U7" s="115">
        <v>6.2860183304002989E-2</v>
      </c>
      <c r="V7" s="115">
        <v>0.13454049948776817</v>
      </c>
      <c r="W7" s="115">
        <v>6.7240470273973049E-2</v>
      </c>
      <c r="X7" s="115">
        <v>5.017504350584804E-2</v>
      </c>
      <c r="Y7" s="115">
        <v>0.12033038951352114</v>
      </c>
      <c r="Z7" s="115">
        <v>0.15864613799506433</v>
      </c>
      <c r="AA7" s="115">
        <v>9.5400389903474731E-3</v>
      </c>
      <c r="AB7" s="115">
        <v>6.6611690491591033E-2</v>
      </c>
      <c r="AC7" s="115">
        <v>0.1424524316815993</v>
      </c>
      <c r="AD7" s="115">
        <v>0.20164722806027341</v>
      </c>
      <c r="AE7" s="115">
        <v>1.0568135506130479E-2</v>
      </c>
      <c r="AF7" s="115">
        <v>0.10807156390541996</v>
      </c>
      <c r="AG7" s="115">
        <v>7.249937637056357E-2</v>
      </c>
      <c r="AH7" s="115">
        <v>9.1098203065049219E-2</v>
      </c>
      <c r="AI7" s="115">
        <v>6.9407140153329952E-13</v>
      </c>
      <c r="AJ7" s="115">
        <v>0.11588138078879466</v>
      </c>
      <c r="AK7" s="115">
        <v>0.19279136354440632</v>
      </c>
      <c r="AL7" s="115">
        <v>9.7602024118089714E-2</v>
      </c>
      <c r="AM7" s="115">
        <v>0.12833287017976658</v>
      </c>
      <c r="AN7" s="115">
        <v>5.6071364455541547E-2</v>
      </c>
      <c r="AO7" s="115">
        <v>3.8680045917795759E-2</v>
      </c>
      <c r="AP7" s="115">
        <v>5.3519352068222515E-3</v>
      </c>
      <c r="AQ7" s="115">
        <v>8.5203565093972408E-2</v>
      </c>
      <c r="AR7" s="115">
        <v>0.11196996370663918</v>
      </c>
      <c r="AS7" s="115">
        <v>1.8375528901680678E-5</v>
      </c>
      <c r="AT7" s="115">
        <v>0.1402087538560787</v>
      </c>
      <c r="AU7" s="115">
        <v>1.7685064420438525E-2</v>
      </c>
      <c r="AV7" s="115">
        <v>0.14576318331771698</v>
      </c>
      <c r="AW7" s="115">
        <v>5.649046173012124E-2</v>
      </c>
      <c r="AX7" s="115">
        <v>0.10511018710379426</v>
      </c>
      <c r="AY7" s="115">
        <v>5.0179879117360094E-5</v>
      </c>
      <c r="AZ7" s="115">
        <v>0.13256913294492728</v>
      </c>
      <c r="BA7" s="115">
        <v>0.10520108741246256</v>
      </c>
      <c r="BB7" s="115">
        <v>9.3761073963528493E-2</v>
      </c>
      <c r="BC7" s="115">
        <v>2.5221410291725605E-2</v>
      </c>
      <c r="BD7" s="115">
        <v>1.7203258614903989E-4</v>
      </c>
      <c r="BE7" s="115">
        <v>7.1978651346646771E-2</v>
      </c>
      <c r="BF7" s="115">
        <v>0.11160120111989572</v>
      </c>
      <c r="BG7" s="115">
        <v>2.027143059510865E-2</v>
      </c>
      <c r="BH7" s="115">
        <v>6.800980642699099E-2</v>
      </c>
      <c r="BI7" s="115">
        <v>0.19992357253964121</v>
      </c>
      <c r="BJ7" s="115">
        <v>0.10533028138202259</v>
      </c>
      <c r="BK7" s="115">
        <v>0.13118482761130451</v>
      </c>
      <c r="BL7" s="115">
        <v>0.11184179253444383</v>
      </c>
      <c r="BM7" s="115">
        <v>1.8104216256852438E-2</v>
      </c>
      <c r="BN7" s="115">
        <v>0.17047328436837536</v>
      </c>
      <c r="BO7" s="115">
        <v>0.21172123962007117</v>
      </c>
      <c r="BP7" s="115">
        <v>0.10581677009293269</v>
      </c>
      <c r="BQ7" s="115">
        <v>6.0570557414005031E-7</v>
      </c>
      <c r="BR7" s="115">
        <v>0.17085508885211498</v>
      </c>
      <c r="BS7" s="115">
        <v>0.11677648567752726</v>
      </c>
      <c r="BT7" s="115">
        <v>1.3302683190986753E-3</v>
      </c>
      <c r="BU7" s="115">
        <v>0.12548462414966899</v>
      </c>
      <c r="BV7" s="115">
        <v>0.18901370029216838</v>
      </c>
      <c r="BW7" s="115">
        <v>5.4217480172138073E-2</v>
      </c>
      <c r="BX7" s="115">
        <v>1.4723563335969556E-3</v>
      </c>
      <c r="BY7" s="115">
        <v>6.9403284739861626E-2</v>
      </c>
      <c r="BZ7" s="115">
        <v>8.4939151678899524E-2</v>
      </c>
      <c r="CA7" s="115">
        <v>0.10354324616647229</v>
      </c>
      <c r="CB7" s="115">
        <v>0.14167340607881687</v>
      </c>
      <c r="CC7" s="115">
        <v>6.4074075505613906E-2</v>
      </c>
      <c r="CD7" s="115">
        <v>8.7762642331956645E-2</v>
      </c>
      <c r="CE7" s="115">
        <v>1.4944275604695658E-2</v>
      </c>
      <c r="CF7" s="115">
        <v>8.9508924388341488E-2</v>
      </c>
      <c r="CG7" s="115">
        <v>8.3594044662982203E-2</v>
      </c>
      <c r="CH7" s="115">
        <v>1.8512132559887109E-2</v>
      </c>
      <c r="CI7" s="115">
        <v>6.0620029039845657E-4</v>
      </c>
      <c r="CJ7" s="115">
        <v>6.7518818186243224E-2</v>
      </c>
      <c r="CK7" s="115">
        <v>3.8038137164201569E-2</v>
      </c>
      <c r="CL7" s="115">
        <v>3.8334083220182509E-2</v>
      </c>
      <c r="CM7" s="115">
        <v>0.12602930855567201</v>
      </c>
      <c r="CN7" s="115">
        <v>5.6235083297094285E-2</v>
      </c>
      <c r="CO7" s="115">
        <v>9.0597816484870204E-3</v>
      </c>
      <c r="CP7" s="115">
        <v>0.24183283738025205</v>
      </c>
      <c r="CQ7" s="115">
        <v>0.13299396647840206</v>
      </c>
      <c r="CR7" s="115">
        <v>5.108889549658566E-5</v>
      </c>
      <c r="CS7" s="115">
        <v>5.760997056767525E-2</v>
      </c>
      <c r="CT7" s="115">
        <v>5.4588164603639563E-2</v>
      </c>
      <c r="CU7" s="115">
        <v>0.15277700085927048</v>
      </c>
      <c r="CV7" s="115">
        <v>0.18745980105829904</v>
      </c>
      <c r="CW7" s="115">
        <v>0.20273656650769653</v>
      </c>
      <c r="CX7" s="115">
        <v>0.10745632433256783</v>
      </c>
    </row>
    <row r="8" spans="1:102" s="115" customFormat="1">
      <c r="A8" s="252" t="str">
        <f>Parameters!A54</f>
        <v>Emerging market debt</v>
      </c>
      <c r="B8" s="253"/>
      <c r="C8" s="115">
        <v>6.4189862789372706E-7</v>
      </c>
      <c r="D8" s="115">
        <v>3.0339549172345006E-6</v>
      </c>
      <c r="E8" s="115">
        <v>1.5670020332028892E-6</v>
      </c>
      <c r="F8" s="115">
        <v>1.4084059400070962E-7</v>
      </c>
      <c r="G8" s="115">
        <v>1.5767820968552386E-5</v>
      </c>
      <c r="H8" s="115">
        <v>1.7202729883127206E-3</v>
      </c>
      <c r="I8" s="115">
        <v>6.2703743423198516E-5</v>
      </c>
      <c r="J8" s="115">
        <v>1.0496407369909174E-2</v>
      </c>
      <c r="K8" s="115">
        <v>1.0175254885481065E-2</v>
      </c>
      <c r="L8" s="115">
        <v>3.5072069801441569E-5</v>
      </c>
      <c r="M8" s="115">
        <v>8.0756527606418102E-8</v>
      </c>
      <c r="N8" s="115">
        <v>7.3614022609998176E-4</v>
      </c>
      <c r="O8" s="115">
        <v>6.5745769363567761E-4</v>
      </c>
      <c r="P8" s="115">
        <v>5.3464893597572607E-3</v>
      </c>
      <c r="Q8" s="115">
        <v>8.2386660939611691E-3</v>
      </c>
      <c r="R8" s="115">
        <v>1.0741828332828352E-3</v>
      </c>
      <c r="S8" s="115">
        <v>4.6193068580685278E-3</v>
      </c>
      <c r="T8" s="115">
        <v>1.3816906586556232E-4</v>
      </c>
      <c r="U8" s="115">
        <v>3.3175432802067269E-14</v>
      </c>
      <c r="V8" s="115">
        <v>9.7963804317854829E-5</v>
      </c>
      <c r="W8" s="115">
        <v>2.1470101540924384E-4</v>
      </c>
      <c r="X8" s="115">
        <v>5.6544942583572395E-7</v>
      </c>
      <c r="Y8" s="115">
        <v>1.2415414713391122E-30</v>
      </c>
      <c r="Z8" s="115">
        <v>3.580743036508202E-4</v>
      </c>
      <c r="AA8" s="115">
        <v>7.3186340535552112E-8</v>
      </c>
      <c r="AB8" s="115">
        <v>8.057366577922723E-5</v>
      </c>
      <c r="AC8" s="115">
        <v>1.223061702465332E-2</v>
      </c>
      <c r="AD8" s="115">
        <v>1.260920566984532E-3</v>
      </c>
      <c r="AE8" s="115">
        <v>7.2088795014507465E-5</v>
      </c>
      <c r="AF8" s="115">
        <v>1.3154963801812726E-2</v>
      </c>
      <c r="AG8" s="115">
        <v>1.6801859453631367E-2</v>
      </c>
      <c r="AH8" s="115">
        <v>2.2555425502733283E-3</v>
      </c>
      <c r="AI8" s="115">
        <v>2.464334399184902E-4</v>
      </c>
      <c r="AJ8" s="115">
        <v>4.5705926991958357E-5</v>
      </c>
      <c r="AK8" s="115">
        <v>4.7626445595241257E-3</v>
      </c>
      <c r="AL8" s="115">
        <v>9.0004332404235372E-4</v>
      </c>
      <c r="AM8" s="115">
        <v>5.1946899506360913E-4</v>
      </c>
      <c r="AN8" s="115">
        <v>1.1325533515899532E-2</v>
      </c>
      <c r="AO8" s="115">
        <v>9.3032111404163925E-3</v>
      </c>
      <c r="AP8" s="115">
        <v>4.1654439043887261E-4</v>
      </c>
      <c r="AQ8" s="115">
        <v>7.4404444807697474E-4</v>
      </c>
      <c r="AR8" s="115">
        <v>5.0880532810021785E-3</v>
      </c>
      <c r="AS8" s="115">
        <v>2.0519935640476642E-7</v>
      </c>
      <c r="AT8" s="115">
        <v>3.9777262560287321E-3</v>
      </c>
      <c r="AU8" s="115">
        <v>3.3727337518481636E-2</v>
      </c>
      <c r="AV8" s="115">
        <v>1.527850608796214E-3</v>
      </c>
      <c r="AW8" s="115">
        <v>6.2219938719433026E-3</v>
      </c>
      <c r="AX8" s="115">
        <v>1.7032943989057244E-2</v>
      </c>
      <c r="AY8" s="115">
        <v>1.8816177231757221E-2</v>
      </c>
      <c r="AZ8" s="115">
        <v>6.3362630894516683E-3</v>
      </c>
      <c r="BA8" s="115">
        <v>3.8676067594134332E-3</v>
      </c>
      <c r="BB8" s="115">
        <v>1.5879220202663813E-3</v>
      </c>
      <c r="BC8" s="115">
        <v>2.0385095962096147E-8</v>
      </c>
      <c r="BD8" s="115">
        <v>1.9477620688088219E-2</v>
      </c>
      <c r="BE8" s="115">
        <v>1.4550310010301641E-3</v>
      </c>
      <c r="BF8" s="115">
        <v>4.3514362763715494E-5</v>
      </c>
      <c r="BG8" s="115">
        <v>6.0585036534982265E-10</v>
      </c>
      <c r="BH8" s="115">
        <v>1.2017042873505513E-2</v>
      </c>
      <c r="BI8" s="115">
        <v>1.4137876188629725E-9</v>
      </c>
      <c r="BJ8" s="115">
        <v>4.2233838454023625E-3</v>
      </c>
      <c r="BK8" s="115">
        <v>4.1810060276971112E-3</v>
      </c>
      <c r="BL8" s="115">
        <v>2.6892185724098221E-6</v>
      </c>
      <c r="BM8" s="115">
        <v>1.778602471424442E-3</v>
      </c>
      <c r="BN8" s="115">
        <v>7.167098009663554E-3</v>
      </c>
      <c r="BO8" s="115">
        <v>7.5627401687451099E-6</v>
      </c>
      <c r="BP8" s="115">
        <v>6.7668683382232598E-4</v>
      </c>
      <c r="BQ8" s="115">
        <v>5.7815238378292264E-3</v>
      </c>
      <c r="BR8" s="115">
        <v>2.6618524781408721E-3</v>
      </c>
      <c r="BS8" s="115">
        <v>9.2893466225145424E-5</v>
      </c>
      <c r="BT8" s="115">
        <v>4.5285871600704228E-3</v>
      </c>
      <c r="BU8" s="115">
        <v>9.4931067557406431E-3</v>
      </c>
      <c r="BV8" s="115">
        <v>2.3574479189424906E-6</v>
      </c>
      <c r="BW8" s="115">
        <v>4.0223720464567099E-5</v>
      </c>
      <c r="BX8" s="115">
        <v>7.7637735796060625E-5</v>
      </c>
      <c r="BY8" s="115">
        <v>2.1805107388081892E-15</v>
      </c>
      <c r="BZ8" s="115">
        <v>8.9929494734796635E-3</v>
      </c>
      <c r="CA8" s="115">
        <v>2.1704715611066454E-2</v>
      </c>
      <c r="CB8" s="115">
        <v>4.7605776576270049E-8</v>
      </c>
      <c r="CC8" s="115">
        <v>1.7171953864389009E-2</v>
      </c>
      <c r="CD8" s="115">
        <v>2.3822716387493015E-4</v>
      </c>
      <c r="CE8" s="115">
        <v>4.9379316787711777E-3</v>
      </c>
      <c r="CF8" s="115">
        <v>3.6489446093267066E-3</v>
      </c>
      <c r="CG8" s="115">
        <v>4.2814732348643962E-3</v>
      </c>
      <c r="CH8" s="115">
        <v>5.4214313152056422E-4</v>
      </c>
      <c r="CI8" s="115">
        <v>7.3753826408423618E-4</v>
      </c>
      <c r="CJ8" s="115">
        <v>2.880863919553851E-3</v>
      </c>
      <c r="CK8" s="115">
        <v>2.1701750053724676E-2</v>
      </c>
      <c r="CL8" s="115">
        <v>1.8190146863678431E-8</v>
      </c>
      <c r="CM8" s="115">
        <v>7.4583922960873589E-8</v>
      </c>
      <c r="CN8" s="115">
        <v>3.0819663442205509E-2</v>
      </c>
      <c r="CO8" s="115">
        <v>2.0731566780201175E-3</v>
      </c>
      <c r="CP8" s="115">
        <v>4.2100382338460373E-3</v>
      </c>
      <c r="CQ8" s="115">
        <v>4.7191350773073525E-3</v>
      </c>
      <c r="CR8" s="115">
        <v>5.1931102410698593E-3</v>
      </c>
      <c r="CS8" s="115">
        <v>1.9266113585270174E-2</v>
      </c>
      <c r="CT8" s="115">
        <v>2.9695978702701375E-6</v>
      </c>
      <c r="CU8" s="115">
        <v>1.5032062514169734E-4</v>
      </c>
      <c r="CV8" s="115">
        <v>8.6263372140687973E-6</v>
      </c>
      <c r="CW8" s="115">
        <v>1.0625817389972323E-4</v>
      </c>
      <c r="CX8" s="115">
        <v>7.1497537830305394E-5</v>
      </c>
    </row>
    <row r="9" spans="1:102" s="115" customFormat="1">
      <c r="A9" s="252" t="str">
        <f>Parameters!A55</f>
        <v>Aandelen ontwikkeld</v>
      </c>
      <c r="B9" s="253"/>
      <c r="C9" s="115">
        <v>0.14725319702866702</v>
      </c>
      <c r="D9" s="115">
        <v>0.15064358858636373</v>
      </c>
      <c r="E9" s="115">
        <v>0.11474264524837635</v>
      </c>
      <c r="F9" s="115">
        <v>3.4197405481574489E-2</v>
      </c>
      <c r="G9" s="115">
        <v>9.7843374681203063E-2</v>
      </c>
      <c r="H9" s="115">
        <v>0.10861939510682733</v>
      </c>
      <c r="I9" s="115">
        <v>0.17957152581910701</v>
      </c>
      <c r="J9" s="115">
        <v>7.7895574767710501E-2</v>
      </c>
      <c r="K9" s="115">
        <v>8.2217970651015437E-2</v>
      </c>
      <c r="L9" s="115">
        <v>0.12899442194434521</v>
      </c>
      <c r="M9" s="115">
        <v>0.18410659372949345</v>
      </c>
      <c r="N9" s="115">
        <v>0.11825026463693995</v>
      </c>
      <c r="O9" s="115">
        <v>0.21096043837916695</v>
      </c>
      <c r="P9" s="115">
        <v>4.079149136967971E-2</v>
      </c>
      <c r="Q9" s="115">
        <v>0.17108050742497549</v>
      </c>
      <c r="R9" s="115">
        <v>0.16310695029222766</v>
      </c>
      <c r="S9" s="115">
        <v>0.16265131118081796</v>
      </c>
      <c r="T9" s="115">
        <v>7.9617614125454414E-2</v>
      </c>
      <c r="U9" s="115">
        <v>0.10431894673931533</v>
      </c>
      <c r="V9" s="115">
        <v>0.1588907013256935</v>
      </c>
      <c r="W9" s="115">
        <v>0.21749594345545381</v>
      </c>
      <c r="X9" s="115">
        <v>0.12467081640848993</v>
      </c>
      <c r="Y9" s="115">
        <v>0.23955011464239523</v>
      </c>
      <c r="Z9" s="115">
        <v>3.5234463581906611E-3</v>
      </c>
      <c r="AA9" s="115">
        <v>8.5052245003843429E-4</v>
      </c>
      <c r="AB9" s="115">
        <v>0.1679110078084074</v>
      </c>
      <c r="AC9" s="115">
        <v>4.3070014453831504E-2</v>
      </c>
      <c r="AD9" s="115">
        <v>8.0171630284359849E-2</v>
      </c>
      <c r="AE9" s="115">
        <v>0.14700370756941145</v>
      </c>
      <c r="AF9" s="115">
        <v>0.13590892428408932</v>
      </c>
      <c r="AG9" s="115">
        <v>8.1939585731062525E-2</v>
      </c>
      <c r="AH9" s="115">
        <v>0.19925872296454511</v>
      </c>
      <c r="AI9" s="115">
        <v>0.18109208326253817</v>
      </c>
      <c r="AJ9" s="115">
        <v>5.4518443429322001E-2</v>
      </c>
      <c r="AK9" s="115">
        <v>1.6188621860413848E-2</v>
      </c>
      <c r="AL9" s="115">
        <v>6.9224292351499517E-2</v>
      </c>
      <c r="AM9" s="115">
        <v>0.21758439927001677</v>
      </c>
      <c r="AN9" s="115">
        <v>0.17847709343362536</v>
      </c>
      <c r="AO9" s="115">
        <v>0.12220910583394226</v>
      </c>
      <c r="AP9" s="115">
        <v>0.16271536248179619</v>
      </c>
      <c r="AQ9" s="115">
        <v>8.0290934902140801E-2</v>
      </c>
      <c r="AR9" s="115">
        <v>1.8947665358473836E-3</v>
      </c>
      <c r="AS9" s="115">
        <v>1.2875420218378748E-2</v>
      </c>
      <c r="AT9" s="115">
        <v>5.2893431081756724E-2</v>
      </c>
      <c r="AU9" s="115">
        <v>0.20428638822970935</v>
      </c>
      <c r="AV9" s="115">
        <v>4.4136311393628167E-5</v>
      </c>
      <c r="AW9" s="115">
        <v>0.11268161187895193</v>
      </c>
      <c r="AX9" s="115">
        <v>0.1419809468065063</v>
      </c>
      <c r="AY9" s="115">
        <v>0.1947854560420354</v>
      </c>
      <c r="AZ9" s="115">
        <v>0.15283668374007564</v>
      </c>
      <c r="BA9" s="115">
        <v>0.1623694562921244</v>
      </c>
      <c r="BB9" s="115">
        <v>0.13024030589286117</v>
      </c>
      <c r="BC9" s="115">
        <v>0.10934704838898494</v>
      </c>
      <c r="BD9" s="115">
        <v>0.15658345004842361</v>
      </c>
      <c r="BE9" s="115">
        <v>0.14080680232455509</v>
      </c>
      <c r="BF9" s="115">
        <v>5.7712595824624263E-2</v>
      </c>
      <c r="BG9" s="115">
        <v>0.20405703791531415</v>
      </c>
      <c r="BH9" s="115">
        <v>0.22082562884353044</v>
      </c>
      <c r="BI9" s="115">
        <v>8.9923388711312502E-2</v>
      </c>
      <c r="BJ9" s="115">
        <v>0.18003914247076341</v>
      </c>
      <c r="BK9" s="115">
        <v>9.6555187225066091E-2</v>
      </c>
      <c r="BL9" s="115">
        <v>9.0461190470260758E-2</v>
      </c>
      <c r="BM9" s="115">
        <v>0.18402431386416218</v>
      </c>
      <c r="BN9" s="115">
        <v>0.14197822805636301</v>
      </c>
      <c r="BO9" s="115">
        <v>2.1362213899578424E-2</v>
      </c>
      <c r="BP9" s="115">
        <v>7.43691745054295E-2</v>
      </c>
      <c r="BQ9" s="115">
        <v>8.9271083410422142E-2</v>
      </c>
      <c r="BR9" s="115">
        <v>5.3947658481944542E-2</v>
      </c>
      <c r="BS9" s="115">
        <v>0.11031385588373933</v>
      </c>
      <c r="BT9" s="115">
        <v>8.0246402309267412E-2</v>
      </c>
      <c r="BU9" s="115">
        <v>2.1350676447929859E-2</v>
      </c>
      <c r="BV9" s="115">
        <v>5.4499365223517456E-2</v>
      </c>
      <c r="BW9" s="115">
        <v>0.1705623738698574</v>
      </c>
      <c r="BX9" s="115">
        <v>0.17115516213737372</v>
      </c>
      <c r="BY9" s="115">
        <v>8.8900820781691967E-2</v>
      </c>
      <c r="BZ9" s="115">
        <v>0.15030762197713035</v>
      </c>
      <c r="CA9" s="115">
        <v>0.21320884765675016</v>
      </c>
      <c r="CB9" s="115">
        <v>0.10110371477075628</v>
      </c>
      <c r="CC9" s="115">
        <v>0.11730822783799405</v>
      </c>
      <c r="CD9" s="115">
        <v>0.18766408532496462</v>
      </c>
      <c r="CE9" s="115">
        <v>0.13072135431296728</v>
      </c>
      <c r="CF9" s="115">
        <v>0.13302050341775884</v>
      </c>
      <c r="CG9" s="115">
        <v>8.4962012805753009E-3</v>
      </c>
      <c r="CH9" s="115">
        <v>0.16066284626965618</v>
      </c>
      <c r="CI9" s="115">
        <v>0.1600793105895271</v>
      </c>
      <c r="CJ9" s="115">
        <v>0.1388866047367659</v>
      </c>
      <c r="CK9" s="115">
        <v>0.18428057744360546</v>
      </c>
      <c r="CL9" s="115">
        <v>0.12491618070956337</v>
      </c>
      <c r="CM9" s="115">
        <v>0.14782814252658857</v>
      </c>
      <c r="CN9" s="115">
        <v>0.17635967459709548</v>
      </c>
      <c r="CO9" s="115">
        <v>0.11133268044554034</v>
      </c>
      <c r="CP9" s="115">
        <v>8.8536660474532E-2</v>
      </c>
      <c r="CQ9" s="115">
        <v>0.17339784933244667</v>
      </c>
      <c r="CR9" s="115">
        <v>4.1760187103890836E-3</v>
      </c>
      <c r="CS9" s="115">
        <v>0.20632649699826638</v>
      </c>
      <c r="CT9" s="115">
        <v>0.18589578871626691</v>
      </c>
      <c r="CU9" s="115">
        <v>0.17780137039721583</v>
      </c>
      <c r="CV9" s="115">
        <v>3.5595657610614979E-3</v>
      </c>
      <c r="CW9" s="115">
        <v>0.11389416005578352</v>
      </c>
      <c r="CX9" s="115">
        <v>4.0981413773341961E-2</v>
      </c>
    </row>
    <row r="10" spans="1:102" s="115" customFormat="1">
      <c r="A10" s="252" t="str">
        <f>Parameters!A56</f>
        <v>Aandelen opkomend</v>
      </c>
      <c r="B10" s="253"/>
      <c r="C10" s="115">
        <v>9.7375528698587274E-2</v>
      </c>
      <c r="D10" s="115">
        <v>7.0721951496523106E-2</v>
      </c>
      <c r="E10" s="115">
        <v>8.8808796858205447E-2</v>
      </c>
      <c r="F10" s="115">
        <v>0.12130433803353145</v>
      </c>
      <c r="G10" s="115">
        <v>6.5860527983839193E-2</v>
      </c>
      <c r="H10" s="115">
        <v>9.3849204568782124E-2</v>
      </c>
      <c r="I10" s="115">
        <v>9.4836878576314097E-3</v>
      </c>
      <c r="J10" s="115">
        <v>7.7546069468229381E-2</v>
      </c>
      <c r="K10" s="115">
        <v>8.9952255724654595E-2</v>
      </c>
      <c r="L10" s="115">
        <v>6.7913930421582849E-2</v>
      </c>
      <c r="M10" s="115">
        <v>4.1923313492711375E-2</v>
      </c>
      <c r="N10" s="115">
        <v>8.220447749853807E-2</v>
      </c>
      <c r="O10" s="115">
        <v>2.8569319461245759E-3</v>
      </c>
      <c r="P10" s="115">
        <v>0.10919323492406813</v>
      </c>
      <c r="Q10" s="115">
        <v>8.0150373217559134E-2</v>
      </c>
      <c r="R10" s="115">
        <v>8.8868748551462443E-2</v>
      </c>
      <c r="S10" s="115">
        <v>2.882577168097325E-2</v>
      </c>
      <c r="T10" s="115">
        <v>0.12600241689496944</v>
      </c>
      <c r="U10" s="115">
        <v>0.10197477318589752</v>
      </c>
      <c r="V10" s="115">
        <v>6.2686168387096911E-2</v>
      </c>
      <c r="W10" s="115">
        <v>1.2930862910172338E-2</v>
      </c>
      <c r="X10" s="115">
        <v>6.2959066600282276E-2</v>
      </c>
      <c r="Y10" s="115">
        <v>9.2742679541729928E-6</v>
      </c>
      <c r="Z10" s="115">
        <v>0.12363286931565551</v>
      </c>
      <c r="AA10" s="115">
        <v>0.14781336764408415</v>
      </c>
      <c r="AB10" s="115">
        <v>2.4250367059907008E-2</v>
      </c>
      <c r="AC10" s="115">
        <v>7.6362657174241191E-2</v>
      </c>
      <c r="AD10" s="115">
        <v>5.8770964560310231E-2</v>
      </c>
      <c r="AE10" s="115">
        <v>4.3824408286725534E-2</v>
      </c>
      <c r="AF10" s="115">
        <v>3.824876894789081E-2</v>
      </c>
      <c r="AG10" s="115">
        <v>0.10325654192892157</v>
      </c>
      <c r="AH10" s="115">
        <v>1.4395048272584594E-2</v>
      </c>
      <c r="AI10" s="115">
        <v>7.0645433571028746E-2</v>
      </c>
      <c r="AJ10" s="115">
        <v>0.12254678616340241</v>
      </c>
      <c r="AK10" s="115">
        <v>8.1549560076048105E-2</v>
      </c>
      <c r="AL10" s="115">
        <v>7.6690895225216493E-2</v>
      </c>
      <c r="AM10" s="115">
        <v>3.7498927808544396E-3</v>
      </c>
      <c r="AN10" s="115">
        <v>2.3101699401659438E-2</v>
      </c>
      <c r="AO10" s="115">
        <v>6.6319132984051801E-2</v>
      </c>
      <c r="AP10" s="115">
        <v>5.777820745650146E-2</v>
      </c>
      <c r="AQ10" s="115">
        <v>9.5016113776784178E-2</v>
      </c>
      <c r="AR10" s="115">
        <v>0.12218383125656174</v>
      </c>
      <c r="AS10" s="115">
        <v>0.12207407625437901</v>
      </c>
      <c r="AT10" s="115">
        <v>7.372934691055516E-2</v>
      </c>
      <c r="AU10" s="115">
        <v>4.213956394123676E-2</v>
      </c>
      <c r="AV10" s="115">
        <v>0.13247806218152619</v>
      </c>
      <c r="AW10" s="115">
        <v>7.953366348426906E-2</v>
      </c>
      <c r="AX10" s="115">
        <v>3.1676663060288065E-5</v>
      </c>
      <c r="AY10" s="115">
        <v>3.6667302663885015E-2</v>
      </c>
      <c r="AZ10" s="115">
        <v>2.2997125063716629E-2</v>
      </c>
      <c r="BA10" s="115">
        <v>4.2663057183032455E-2</v>
      </c>
      <c r="BB10" s="115">
        <v>5.3814391815430095E-2</v>
      </c>
      <c r="BC10" s="115">
        <v>0.1054610509844439</v>
      </c>
      <c r="BD10" s="115">
        <v>6.8689773531234052E-2</v>
      </c>
      <c r="BE10" s="115">
        <v>5.6782352430678626E-2</v>
      </c>
      <c r="BF10" s="115">
        <v>8.5415624742121957E-2</v>
      </c>
      <c r="BG10" s="115">
        <v>4.2146549654397708E-2</v>
      </c>
      <c r="BH10" s="115">
        <v>7.281226671492419E-3</v>
      </c>
      <c r="BI10" s="115">
        <v>7.4725630387412867E-2</v>
      </c>
      <c r="BJ10" s="115">
        <v>3.993062939295406E-2</v>
      </c>
      <c r="BK10" s="115">
        <v>4.4046133685970601E-2</v>
      </c>
      <c r="BL10" s="115">
        <v>7.9912929588521503E-2</v>
      </c>
      <c r="BM10" s="115">
        <v>1.3821311567958114E-2</v>
      </c>
      <c r="BN10" s="115">
        <v>2.4125841701485459E-2</v>
      </c>
      <c r="BO10" s="115">
        <v>8.9608351125571889E-2</v>
      </c>
      <c r="BP10" s="115">
        <v>5.4447141373978582E-2</v>
      </c>
      <c r="BQ10" s="115">
        <v>7.8563704823800679E-2</v>
      </c>
      <c r="BR10" s="115">
        <v>8.6010757405710375E-2</v>
      </c>
      <c r="BS10" s="115">
        <v>7.3367754083419126E-2</v>
      </c>
      <c r="BT10" s="115">
        <v>0.10950986800135638</v>
      </c>
      <c r="BU10" s="115">
        <v>7.7181625659198824E-2</v>
      </c>
      <c r="BV10" s="115">
        <v>7.5520026159472953E-2</v>
      </c>
      <c r="BW10" s="115">
        <v>2.5154693319221821E-2</v>
      </c>
      <c r="BX10" s="115">
        <v>7.7627083290120413E-2</v>
      </c>
      <c r="BY10" s="115">
        <v>6.5539699044999636E-2</v>
      </c>
      <c r="BZ10" s="115">
        <v>2.5134205830437278E-2</v>
      </c>
      <c r="CA10" s="115">
        <v>9.6249831708346409E-4</v>
      </c>
      <c r="CB10" s="115">
        <v>5.0604164707273337E-2</v>
      </c>
      <c r="CC10" s="115">
        <v>7.1463028101484083E-2</v>
      </c>
      <c r="CD10" s="115">
        <v>6.1607958912916422E-3</v>
      </c>
      <c r="CE10" s="115">
        <v>3.7750961520585373E-2</v>
      </c>
      <c r="CF10" s="115">
        <v>6.923896361408788E-6</v>
      </c>
      <c r="CG10" s="115">
        <v>0.11197567678802105</v>
      </c>
      <c r="CH10" s="115">
        <v>6.7661639487852282E-2</v>
      </c>
      <c r="CI10" s="115">
        <v>4.1201610279787436E-2</v>
      </c>
      <c r="CJ10" s="115">
        <v>0.10118867978771195</v>
      </c>
      <c r="CK10" s="115">
        <v>3.4851862073709626E-2</v>
      </c>
      <c r="CL10" s="115">
        <v>6.1706324966795095E-2</v>
      </c>
      <c r="CM10" s="115">
        <v>3.1994652057506061E-2</v>
      </c>
      <c r="CN10" s="115">
        <v>4.685981267196402E-2</v>
      </c>
      <c r="CO10" s="115">
        <v>6.9272446412528707E-2</v>
      </c>
      <c r="CP10" s="115">
        <v>3.4614912410843961E-2</v>
      </c>
      <c r="CQ10" s="115">
        <v>4.7511593200154687E-6</v>
      </c>
      <c r="CR10" s="115">
        <v>0.12353257723244394</v>
      </c>
      <c r="CS10" s="115">
        <v>2.3793810776646149E-2</v>
      </c>
      <c r="CT10" s="115">
        <v>1.97677836048507E-3</v>
      </c>
      <c r="CU10" s="115">
        <v>3.0246807464865376E-4</v>
      </c>
      <c r="CV10" s="115">
        <v>0.10554485562197657</v>
      </c>
      <c r="CW10" s="115">
        <v>2.6047311362816599E-3</v>
      </c>
      <c r="CX10" s="115">
        <v>8.3963309458806382E-2</v>
      </c>
    </row>
    <row r="11" spans="1:102" s="115" customFormat="1">
      <c r="A11" s="252" t="str">
        <f>Parameters!A57</f>
        <v>Hedge funds</v>
      </c>
      <c r="B11" s="253"/>
      <c r="C11" s="115">
        <v>4.3605741905527913E-3</v>
      </c>
      <c r="D11" s="115">
        <v>2.9170475550260199E-4</v>
      </c>
      <c r="E11" s="115">
        <v>5.1595246003123735E-2</v>
      </c>
      <c r="F11" s="115">
        <v>2.1830402390942329E-3</v>
      </c>
      <c r="G11" s="115">
        <v>1.635264127888442E-2</v>
      </c>
      <c r="H11" s="115">
        <v>1.2076808572713332E-3</v>
      </c>
      <c r="I11" s="115">
        <v>3.7892693696375249E-4</v>
      </c>
      <c r="J11" s="115">
        <v>1.6942274398021206E-2</v>
      </c>
      <c r="K11" s="115">
        <v>6.5510445555780122E-4</v>
      </c>
      <c r="L11" s="115">
        <v>5.933321801421744E-2</v>
      </c>
      <c r="M11" s="115">
        <v>6.5923647935585236E-2</v>
      </c>
      <c r="N11" s="115">
        <v>6.3104093463320174E-2</v>
      </c>
      <c r="O11" s="115">
        <v>1.0162310474640873E-2</v>
      </c>
      <c r="P11" s="115">
        <v>2.5564980388066649E-2</v>
      </c>
      <c r="Q11" s="115">
        <v>2.6968651987852373E-2</v>
      </c>
      <c r="R11" s="115">
        <v>3.2493303533929377E-3</v>
      </c>
      <c r="S11" s="115">
        <v>1.5861942809836579E-4</v>
      </c>
      <c r="T11" s="115">
        <v>6.0323455390395279E-5</v>
      </c>
      <c r="U11" s="115">
        <v>1.4260143871729616E-3</v>
      </c>
      <c r="V11" s="115">
        <v>1.6315433634194233E-2</v>
      </c>
      <c r="W11" s="115">
        <v>2.8116161669029319E-2</v>
      </c>
      <c r="X11" s="115">
        <v>1.1196617158612232E-2</v>
      </c>
      <c r="Y11" s="115">
        <v>2.0127103554425291E-2</v>
      </c>
      <c r="Z11" s="115">
        <v>3.4803885042217704E-9</v>
      </c>
      <c r="AA11" s="115">
        <v>5.0756618362440151E-2</v>
      </c>
      <c r="AB11" s="115">
        <v>6.5040376746541284E-3</v>
      </c>
      <c r="AC11" s="115">
        <v>1.4212403484273881E-6</v>
      </c>
      <c r="AD11" s="115">
        <v>1.9523439712398799E-5</v>
      </c>
      <c r="AE11" s="115">
        <v>2.1566524887021397E-2</v>
      </c>
      <c r="AF11" s="115">
        <v>4.1474580885293176E-2</v>
      </c>
      <c r="AG11" s="115">
        <v>1.274574610125352E-2</v>
      </c>
      <c r="AH11" s="115">
        <v>9.748493357473029E-3</v>
      </c>
      <c r="AI11" s="115">
        <v>7.0704878793321893E-2</v>
      </c>
      <c r="AJ11" s="115">
        <v>1.4264535328807499E-2</v>
      </c>
      <c r="AK11" s="115">
        <v>1.9482974042075426E-7</v>
      </c>
      <c r="AL11" s="115">
        <v>3.5799568548211566E-7</v>
      </c>
      <c r="AM11" s="115">
        <v>3.8766695530350705E-2</v>
      </c>
      <c r="AN11" s="115">
        <v>5.1802676891071001E-2</v>
      </c>
      <c r="AO11" s="115">
        <v>2.7403663564852603E-3</v>
      </c>
      <c r="AP11" s="115">
        <v>1.5988004340060182E-2</v>
      </c>
      <c r="AQ11" s="115">
        <v>7.1971840702387643E-2</v>
      </c>
      <c r="AR11" s="115">
        <v>2.4107483986915E-2</v>
      </c>
      <c r="AS11" s="115">
        <v>5.2289784739592525E-3</v>
      </c>
      <c r="AT11" s="115">
        <v>5.8760701283358668E-3</v>
      </c>
      <c r="AU11" s="115">
        <v>9.1052652496532455E-3</v>
      </c>
      <c r="AV11" s="115">
        <v>1.6966647390789433E-2</v>
      </c>
      <c r="AW11" s="115">
        <v>2.3628092851602661E-3</v>
      </c>
      <c r="AX11" s="115">
        <v>1.0993960908959846E-3</v>
      </c>
      <c r="AY11" s="115">
        <v>3.1078372039087974E-3</v>
      </c>
      <c r="AZ11" s="115">
        <v>3.6646083539288325E-2</v>
      </c>
      <c r="BA11" s="115">
        <v>8.7880940830755622E-2</v>
      </c>
      <c r="BB11" s="115">
        <v>3.6645763710287126E-2</v>
      </c>
      <c r="BC11" s="115">
        <v>6.3819980544558327E-2</v>
      </c>
      <c r="BD11" s="115">
        <v>2.6132831797144596E-2</v>
      </c>
      <c r="BE11" s="115">
        <v>2.9234269987664176E-2</v>
      </c>
      <c r="BF11" s="115">
        <v>6.6869333898203556E-2</v>
      </c>
      <c r="BG11" s="115">
        <v>5.6525772695303997E-2</v>
      </c>
      <c r="BH11" s="115">
        <v>5.4089299222670036E-2</v>
      </c>
      <c r="BI11" s="115">
        <v>5.1730368318760617E-3</v>
      </c>
      <c r="BJ11" s="115">
        <v>5.2070696603042553E-2</v>
      </c>
      <c r="BK11" s="115">
        <v>2.5446283524066078E-5</v>
      </c>
      <c r="BL11" s="115">
        <v>9.7701471771100973E-3</v>
      </c>
      <c r="BM11" s="115">
        <v>7.3890491330802985E-2</v>
      </c>
      <c r="BN11" s="115">
        <v>1.2218787994625478E-3</v>
      </c>
      <c r="BO11" s="115">
        <v>2.2437714286455266E-5</v>
      </c>
      <c r="BP11" s="115">
        <v>2.7218147263104158E-3</v>
      </c>
      <c r="BQ11" s="115">
        <v>3.8278164783708594E-2</v>
      </c>
      <c r="BR11" s="115">
        <v>3.7917387396836116E-2</v>
      </c>
      <c r="BS11" s="115">
        <v>7.5649831237399132E-3</v>
      </c>
      <c r="BT11" s="115">
        <v>2.5198854292139066E-5</v>
      </c>
      <c r="BU11" s="115">
        <v>1.1275161234414383E-2</v>
      </c>
      <c r="BV11" s="115">
        <v>4.4727275104659136E-3</v>
      </c>
      <c r="BW11" s="115">
        <v>1.4162300185494249E-3</v>
      </c>
      <c r="BX11" s="115">
        <v>7.0996314704694086E-2</v>
      </c>
      <c r="BY11" s="115">
        <v>6.3223486671703223E-5</v>
      </c>
      <c r="BZ11" s="115">
        <v>4.2714227336513158E-2</v>
      </c>
      <c r="CA11" s="115">
        <v>3.0865033131154435E-2</v>
      </c>
      <c r="CB11" s="115">
        <v>2.2824992027112088E-3</v>
      </c>
      <c r="CC11" s="115">
        <v>1.7226797787380265E-6</v>
      </c>
      <c r="CD11" s="115">
        <v>2.8938083643642431E-2</v>
      </c>
      <c r="CE11" s="115">
        <v>1.276387558474607E-4</v>
      </c>
      <c r="CF11" s="115">
        <v>8.7625675211779417E-3</v>
      </c>
      <c r="CG11" s="115">
        <v>4.006212555897562E-2</v>
      </c>
      <c r="CH11" s="115">
        <v>8.6704023545471562E-2</v>
      </c>
      <c r="CI11" s="115">
        <v>0.1037074414091563</v>
      </c>
      <c r="CJ11" s="115">
        <v>1.4705172600046864E-7</v>
      </c>
      <c r="CK11" s="115">
        <v>4.3419420520786102E-2</v>
      </c>
      <c r="CL11" s="115">
        <v>6.0028598896652165E-2</v>
      </c>
      <c r="CM11" s="115">
        <v>2.1522039296991154E-2</v>
      </c>
      <c r="CN11" s="115">
        <v>1.1502812249060946E-3</v>
      </c>
      <c r="CO11" s="115">
        <v>7.4433314878004614E-2</v>
      </c>
      <c r="CP11" s="115">
        <v>1.1306817725578202E-2</v>
      </c>
      <c r="CQ11" s="115">
        <v>1.1156531508297709E-6</v>
      </c>
      <c r="CR11" s="115">
        <v>2.6822543891843437E-2</v>
      </c>
      <c r="CS11" s="115">
        <v>5.7626833759538615E-2</v>
      </c>
      <c r="CT11" s="115">
        <v>0.1130346699197185</v>
      </c>
      <c r="CU11" s="115">
        <v>7.5280466149396815E-4</v>
      </c>
      <c r="CV11" s="115">
        <v>3.7247898795205139E-2</v>
      </c>
      <c r="CW11" s="115">
        <v>8.5793091613186427E-3</v>
      </c>
      <c r="CX11" s="115">
        <v>5.7486152114977959E-6</v>
      </c>
    </row>
    <row r="12" spans="1:102" s="115" customFormat="1">
      <c r="A12" s="252" t="str">
        <f>Parameters!A58</f>
        <v>Onroerend goed</v>
      </c>
      <c r="B12" s="253"/>
      <c r="C12" s="115">
        <v>0.13040861568512416</v>
      </c>
      <c r="D12" s="115">
        <v>0.13522239038274597</v>
      </c>
      <c r="E12" s="115">
        <v>0.14905223556534028</v>
      </c>
      <c r="F12" s="115">
        <v>0.14962087836520874</v>
      </c>
      <c r="G12" s="115">
        <v>0.12422617775568895</v>
      </c>
      <c r="H12" s="115">
        <v>0.12994412122598251</v>
      </c>
      <c r="I12" s="115">
        <v>0.11330823213904279</v>
      </c>
      <c r="J12" s="115">
        <v>0.15778740943291045</v>
      </c>
      <c r="K12" s="115">
        <v>0.19660306962190657</v>
      </c>
      <c r="L12" s="115">
        <v>0.10961582440542103</v>
      </c>
      <c r="M12" s="115">
        <v>0.13645824186314984</v>
      </c>
      <c r="N12" s="115">
        <v>0.11103853414950728</v>
      </c>
      <c r="O12" s="115">
        <v>0.15304358147384142</v>
      </c>
      <c r="P12" s="115">
        <v>0.1409018116129743</v>
      </c>
      <c r="Q12" s="115">
        <v>8.1220608793341642E-2</v>
      </c>
      <c r="R12" s="115">
        <v>5.0082703496361125E-2</v>
      </c>
      <c r="S12" s="115">
        <v>7.0530571695756855E-2</v>
      </c>
      <c r="T12" s="115">
        <v>0.10703151348518031</v>
      </c>
      <c r="U12" s="115">
        <v>0.1264830540924641</v>
      </c>
      <c r="V12" s="115">
        <v>7.9993956546399556E-2</v>
      </c>
      <c r="W12" s="115">
        <v>0.12287377000519661</v>
      </c>
      <c r="X12" s="115">
        <v>4.1905453369554091E-2</v>
      </c>
      <c r="Y12" s="115">
        <v>0.12092688299355961</v>
      </c>
      <c r="Z12" s="115">
        <v>0.15837405452534581</v>
      </c>
      <c r="AA12" s="115">
        <v>0.15536306331164723</v>
      </c>
      <c r="AB12" s="115">
        <v>9.4617904677158027E-2</v>
      </c>
      <c r="AC12" s="115">
        <v>0.14060298419650577</v>
      </c>
      <c r="AD12" s="115">
        <v>0.13646434966390544</v>
      </c>
      <c r="AE12" s="115">
        <v>3.0626919809667238E-3</v>
      </c>
      <c r="AF12" s="115">
        <v>0.11260862303341149</v>
      </c>
      <c r="AG12" s="115">
        <v>5.797082348312154E-2</v>
      </c>
      <c r="AH12" s="115">
        <v>5.3219916071709859E-2</v>
      </c>
      <c r="AI12" s="115">
        <v>6.7811895181124085E-2</v>
      </c>
      <c r="AJ12" s="115">
        <v>9.5290123580560965E-2</v>
      </c>
      <c r="AK12" s="115">
        <v>0.20996994716943565</v>
      </c>
      <c r="AL12" s="115">
        <v>0.10530379545618446</v>
      </c>
      <c r="AM12" s="115">
        <v>6.7764940927425438E-2</v>
      </c>
      <c r="AN12" s="115">
        <v>5.1779204075200036E-2</v>
      </c>
      <c r="AO12" s="115">
        <v>0.1924967725463213</v>
      </c>
      <c r="AP12" s="115">
        <v>0.11701443779336036</v>
      </c>
      <c r="AQ12" s="115">
        <v>0.10354446764020704</v>
      </c>
      <c r="AR12" s="115">
        <v>0.13756260801339243</v>
      </c>
      <c r="AS12" s="115">
        <v>8.8641212174120063E-2</v>
      </c>
      <c r="AT12" s="115">
        <v>0.17588365921374238</v>
      </c>
      <c r="AU12" s="115">
        <v>0.10792523922886377</v>
      </c>
      <c r="AV12" s="115">
        <v>0.12933395886734639</v>
      </c>
      <c r="AW12" s="115">
        <v>7.1004431488811207E-2</v>
      </c>
      <c r="AX12" s="115">
        <v>0.11768230789727517</v>
      </c>
      <c r="AY12" s="115">
        <v>0.13696128148597386</v>
      </c>
      <c r="AZ12" s="115">
        <v>0.1518344314280741</v>
      </c>
      <c r="BA12" s="115">
        <v>7.7688017753799604E-2</v>
      </c>
      <c r="BB12" s="115">
        <v>0.14986928625189108</v>
      </c>
      <c r="BC12" s="115">
        <v>7.1919044466682569E-2</v>
      </c>
      <c r="BD12" s="115">
        <v>4.2545186690488854E-3</v>
      </c>
      <c r="BE12" s="115">
        <v>1.3185314335947679E-2</v>
      </c>
      <c r="BF12" s="115">
        <v>7.3848144851268907E-2</v>
      </c>
      <c r="BG12" s="115">
        <v>8.8095274757573103E-2</v>
      </c>
      <c r="BH12" s="115">
        <v>9.1933862847789496E-2</v>
      </c>
      <c r="BI12" s="115">
        <v>0.10485472844362592</v>
      </c>
      <c r="BJ12" s="115">
        <v>2.3655615631043205E-2</v>
      </c>
      <c r="BK12" s="115">
        <v>0.22444802906246952</v>
      </c>
      <c r="BL12" s="115">
        <v>0.14375089830441801</v>
      </c>
      <c r="BM12" s="115">
        <v>2.4557195107504687E-3</v>
      </c>
      <c r="BN12" s="115">
        <v>0.14342837236819891</v>
      </c>
      <c r="BO12" s="115">
        <v>0.17289287486431401</v>
      </c>
      <c r="BP12" s="115">
        <v>0.16865224467185508</v>
      </c>
      <c r="BQ12" s="115">
        <v>0.20833581634280179</v>
      </c>
      <c r="BR12" s="115">
        <v>0.10649319679222576</v>
      </c>
      <c r="BS12" s="115">
        <v>8.9305314801812127E-2</v>
      </c>
      <c r="BT12" s="115">
        <v>2.5591937588426462E-2</v>
      </c>
      <c r="BU12" s="115">
        <v>0.17320982937706828</v>
      </c>
      <c r="BV12" s="115">
        <v>0.16793373851861909</v>
      </c>
      <c r="BW12" s="115">
        <v>6.1030087738810274E-2</v>
      </c>
      <c r="BX12" s="115">
        <v>8.8696042818804276E-7</v>
      </c>
      <c r="BY12" s="115">
        <v>8.2883104925661838E-2</v>
      </c>
      <c r="BZ12" s="115">
        <v>5.5520111562942988E-2</v>
      </c>
      <c r="CA12" s="115">
        <v>8.4438951255261907E-2</v>
      </c>
      <c r="CB12" s="115">
        <v>0.19349592007462049</v>
      </c>
      <c r="CC12" s="115">
        <v>0.10701524013179044</v>
      </c>
      <c r="CD12" s="115">
        <v>4.6235293186109666E-2</v>
      </c>
      <c r="CE12" s="115">
        <v>1.0055843700512931E-2</v>
      </c>
      <c r="CF12" s="115">
        <v>0.14709991341665687</v>
      </c>
      <c r="CG12" s="115">
        <v>0.15401645598892158</v>
      </c>
      <c r="CH12" s="115">
        <v>1.3535437573413422E-3</v>
      </c>
      <c r="CI12" s="115">
        <v>0.11504108139832853</v>
      </c>
      <c r="CJ12" s="115">
        <v>4.0884104043295039E-2</v>
      </c>
      <c r="CK12" s="115">
        <v>0.11232268485353876</v>
      </c>
      <c r="CL12" s="115">
        <v>0.13689071076686243</v>
      </c>
      <c r="CM12" s="115">
        <v>0.14426229488001124</v>
      </c>
      <c r="CN12" s="115">
        <v>0.11671559506478882</v>
      </c>
      <c r="CO12" s="115">
        <v>8.0209833909672706E-2</v>
      </c>
      <c r="CP12" s="115">
        <v>0.16285395070620595</v>
      </c>
      <c r="CQ12" s="115">
        <v>0.21396619041689421</v>
      </c>
      <c r="CR12" s="115">
        <v>0.11178349640271935</v>
      </c>
      <c r="CS12" s="115">
        <v>2.6206770603209726E-2</v>
      </c>
      <c r="CT12" s="115">
        <v>5.2822508225714722E-2</v>
      </c>
      <c r="CU12" s="115">
        <v>1.3461811337009901E-4</v>
      </c>
      <c r="CV12" s="115">
        <v>0.13674624254165516</v>
      </c>
      <c r="CW12" s="115">
        <v>0.1310917603245973</v>
      </c>
      <c r="CX12" s="115">
        <v>0.22425282201141794</v>
      </c>
    </row>
    <row r="13" spans="1:102" s="116" customFormat="1">
      <c r="A13" s="254" t="str">
        <f>Parameters!A59</f>
        <v>Commodities</v>
      </c>
      <c r="B13" s="255"/>
      <c r="C13" s="116">
        <v>8.1935339238331821E-4</v>
      </c>
      <c r="D13" s="116">
        <v>6.5815398918050548E-10</v>
      </c>
      <c r="E13" s="116">
        <v>8.9804587494015636E-3</v>
      </c>
      <c r="F13" s="116">
        <v>3.941213042520833E-2</v>
      </c>
      <c r="G13" s="116">
        <v>6.053353392730345E-2</v>
      </c>
      <c r="H13" s="116">
        <v>2.4024282804905126E-3</v>
      </c>
      <c r="I13" s="116">
        <v>6.665074917419582E-2</v>
      </c>
      <c r="J13" s="116">
        <v>8.9271546865035446E-3</v>
      </c>
      <c r="K13" s="116">
        <v>5.4523836128608505E-3</v>
      </c>
      <c r="L13" s="116">
        <v>1.1008601378901806E-6</v>
      </c>
      <c r="M13" s="116">
        <v>4.5529389645746447E-4</v>
      </c>
      <c r="N13" s="116">
        <v>2.0770395174677381E-2</v>
      </c>
      <c r="O13" s="116">
        <v>1.8495985934866909E-2</v>
      </c>
      <c r="P13" s="116">
        <v>1.8500829531528753E-5</v>
      </c>
      <c r="Q13" s="116">
        <v>5.0676032106790276E-3</v>
      </c>
      <c r="R13" s="116">
        <v>6.7475937229404242E-3</v>
      </c>
      <c r="S13" s="116">
        <v>4.6429351010603498E-2</v>
      </c>
      <c r="T13" s="116">
        <v>4.61420357579708E-3</v>
      </c>
      <c r="U13" s="116">
        <v>3.111178646124792E-5</v>
      </c>
      <c r="V13" s="116">
        <v>5.0685005547525648E-7</v>
      </c>
      <c r="W13" s="116">
        <v>1.4340956385408221E-2</v>
      </c>
      <c r="X13" s="116">
        <v>6.6203481171667092E-2</v>
      </c>
      <c r="Y13" s="116">
        <v>1.4028496867086629E-9</v>
      </c>
      <c r="Z13" s="116">
        <v>1.523193024128372E-3</v>
      </c>
      <c r="AA13" s="116">
        <v>5.5597804337862711E-3</v>
      </c>
      <c r="AB13" s="116">
        <v>5.3912995350160413E-2</v>
      </c>
      <c r="AC13" s="116">
        <v>3.7002484711613208E-2</v>
      </c>
      <c r="AD13" s="116">
        <v>1.765098472346225E-2</v>
      </c>
      <c r="AE13" s="116">
        <v>9.6208151741250775E-2</v>
      </c>
      <c r="AF13" s="116">
        <v>2.4067340456747924E-2</v>
      </c>
      <c r="AG13" s="116">
        <v>2.8207518762185569E-2</v>
      </c>
      <c r="AH13" s="116">
        <v>5.0322183952847349E-2</v>
      </c>
      <c r="AI13" s="116">
        <v>9.2875634154695308E-8</v>
      </c>
      <c r="AJ13" s="116">
        <v>1.3990775421485412E-5</v>
      </c>
      <c r="AK13" s="116">
        <v>6.079289314168377E-3</v>
      </c>
      <c r="AL13" s="116">
        <v>4.8751673898155219E-2</v>
      </c>
      <c r="AM13" s="116">
        <v>2.3006444176506515E-2</v>
      </c>
      <c r="AN13" s="116">
        <v>4.9769305839943608E-2</v>
      </c>
      <c r="AO13" s="116">
        <v>5.8201073369290722E-6</v>
      </c>
      <c r="AP13" s="116">
        <v>2.1441596540717402E-2</v>
      </c>
      <c r="AQ13" s="116">
        <v>2.0635195089475128E-4</v>
      </c>
      <c r="AR13" s="116">
        <v>1.5326618320130327E-2</v>
      </c>
      <c r="AS13" s="116">
        <v>7.0028846664700203E-2</v>
      </c>
      <c r="AT13" s="116">
        <v>1.6451502928493171E-2</v>
      </c>
      <c r="AU13" s="116">
        <v>2.2168526631950853E-3</v>
      </c>
      <c r="AV13" s="116">
        <v>4.0644478113182161E-4</v>
      </c>
      <c r="AW13" s="116">
        <v>3.7449242750593574E-2</v>
      </c>
      <c r="AX13" s="116">
        <v>7.2443657953533802E-2</v>
      </c>
      <c r="AY13" s="116">
        <v>1.4196708386778334E-2</v>
      </c>
      <c r="AZ13" s="116">
        <v>6.4782395245861924E-3</v>
      </c>
      <c r="BA13" s="116">
        <v>1.0117940229992803E-3</v>
      </c>
      <c r="BB13" s="116">
        <v>8.2446066468680135E-6</v>
      </c>
      <c r="BC13" s="116">
        <v>5.340259631187383E-5</v>
      </c>
      <c r="BD13" s="116">
        <v>5.1984950315166728E-2</v>
      </c>
      <c r="BE13" s="116">
        <v>5.5350089611852046E-2</v>
      </c>
      <c r="BF13" s="116">
        <v>3.1361395568745523E-2</v>
      </c>
      <c r="BG13" s="116">
        <v>2.5196895569947657E-3</v>
      </c>
      <c r="BH13" s="116">
        <v>1.2683575474052839E-2</v>
      </c>
      <c r="BI13" s="116">
        <v>2.2102969148386252E-7</v>
      </c>
      <c r="BJ13" s="116">
        <v>2.4156536468528708E-2</v>
      </c>
      <c r="BK13" s="116">
        <v>1.3341988736250057E-3</v>
      </c>
      <c r="BL13" s="116">
        <v>2.0999451818659487E-3</v>
      </c>
      <c r="BM13" s="116">
        <v>8.1401968003443917E-2</v>
      </c>
      <c r="BN13" s="116">
        <v>1.3749993982261184E-2</v>
      </c>
      <c r="BO13" s="116">
        <v>1.1740925391178293E-4</v>
      </c>
      <c r="BP13" s="116">
        <v>3.6464541422237831E-2</v>
      </c>
      <c r="BQ13" s="116">
        <v>5.9408348115512308E-8</v>
      </c>
      <c r="BR13" s="116">
        <v>9.0311944028223512E-3</v>
      </c>
      <c r="BS13" s="116">
        <v>1.7659774778502762E-2</v>
      </c>
      <c r="BT13" s="116">
        <v>6.016244783602627E-2</v>
      </c>
      <c r="BU13" s="116">
        <v>3.3998120333831233E-2</v>
      </c>
      <c r="BV13" s="116">
        <v>1.0551904841755841E-8</v>
      </c>
      <c r="BW13" s="116">
        <v>6.4079285353677989E-2</v>
      </c>
      <c r="BX13" s="116">
        <v>2.2247223619072266E-2</v>
      </c>
      <c r="BY13" s="116">
        <v>6.1272476706217917E-2</v>
      </c>
      <c r="BZ13" s="116">
        <v>5.5941221656957217E-2</v>
      </c>
      <c r="CA13" s="116">
        <v>2.146650581254413E-2</v>
      </c>
      <c r="CB13" s="116">
        <v>9.1251850607601576E-8</v>
      </c>
      <c r="CC13" s="116">
        <v>2.0354901475718591E-2</v>
      </c>
      <c r="CD13" s="116">
        <v>6.1374826547226723E-2</v>
      </c>
      <c r="CE13" s="116">
        <v>0.11024746389206125</v>
      </c>
      <c r="CF13" s="116">
        <v>6.9154624059765066E-2</v>
      </c>
      <c r="CG13" s="116">
        <v>1.507892629361505E-2</v>
      </c>
      <c r="CH13" s="116">
        <v>3.0132311446190604E-2</v>
      </c>
      <c r="CI13" s="116">
        <v>1.2889842181950105E-2</v>
      </c>
      <c r="CJ13" s="116">
        <v>8.8768938662045689E-4</v>
      </c>
      <c r="CK13" s="116">
        <v>5.7983350325748933E-3</v>
      </c>
      <c r="CL13" s="116">
        <v>6.9799628922157485E-3</v>
      </c>
      <c r="CM13" s="116">
        <v>7.7618782608343826E-3</v>
      </c>
      <c r="CN13" s="116">
        <v>5.3463124861130432E-4</v>
      </c>
      <c r="CO13" s="116">
        <v>3.5789421185174745E-2</v>
      </c>
      <c r="CP13" s="116">
        <v>5.7950649908042745E-3</v>
      </c>
      <c r="CQ13" s="116">
        <v>3.1481939776435789E-4</v>
      </c>
      <c r="CR13" s="116">
        <v>5.1505214457277453E-2</v>
      </c>
      <c r="CS13" s="116">
        <v>2.9770892752796103E-2</v>
      </c>
      <c r="CT13" s="116">
        <v>4.7541627740301788E-2</v>
      </c>
      <c r="CU13" s="116">
        <v>8.3156026541729655E-2</v>
      </c>
      <c r="CV13" s="116">
        <v>3.2646322813677242E-3</v>
      </c>
      <c r="CW13" s="116">
        <v>5.2252499750193984E-2</v>
      </c>
      <c r="CX13" s="116">
        <v>3.6822254285273192E-4</v>
      </c>
    </row>
    <row r="15" spans="1:102" s="114" customFormat="1">
      <c r="A15" s="247" t="s">
        <v>140</v>
      </c>
      <c r="B15" s="248"/>
    </row>
    <row r="16" spans="1:102" s="115" customFormat="1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0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0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  <c r="CW16" s="146">
        <v>0</v>
      </c>
      <c r="CX16" s="146">
        <v>0</v>
      </c>
    </row>
    <row r="17" spans="1:102" s="115" customFormat="1">
      <c r="A17" s="252" t="s">
        <v>4</v>
      </c>
      <c r="B17" s="253"/>
      <c r="C17" s="146">
        <v>1.2811553131499152E-2</v>
      </c>
      <c r="D17" s="146">
        <v>0.21570790980415755</v>
      </c>
      <c r="E17" s="146">
        <v>1.3776567428861614E-10</v>
      </c>
      <c r="F17" s="146">
        <v>2.07033417232543E-2</v>
      </c>
      <c r="G17" s="146">
        <v>5.2373918963560952E-2</v>
      </c>
      <c r="H17" s="146">
        <v>0.19626162500315508</v>
      </c>
      <c r="I17" s="146">
        <v>0.12923375662041003</v>
      </c>
      <c r="J17" s="146">
        <v>0.2685677361243981</v>
      </c>
      <c r="K17" s="146">
        <v>0.10159821588390273</v>
      </c>
      <c r="L17" s="146">
        <v>0.22644725270630756</v>
      </c>
      <c r="M17" s="146">
        <v>6.7483285004799762E-2</v>
      </c>
      <c r="N17" s="146">
        <v>2.0694168177691141E-4</v>
      </c>
      <c r="O17" s="146">
        <v>0.18663431590749502</v>
      </c>
      <c r="P17" s="146">
        <v>0.29737973401430473</v>
      </c>
      <c r="Q17" s="146">
        <v>1.5041685265953857E-2</v>
      </c>
      <c r="R17" s="146">
        <v>0.15996825251940572</v>
      </c>
      <c r="S17" s="146">
        <v>0.29669016986635616</v>
      </c>
      <c r="T17" s="146">
        <v>0.11627193528929308</v>
      </c>
      <c r="U17" s="146">
        <v>0.15830047819067919</v>
      </c>
      <c r="V17" s="146">
        <v>0.29731049355459355</v>
      </c>
      <c r="W17" s="146">
        <v>0.14516105931175891</v>
      </c>
      <c r="X17" s="146">
        <v>0.14050263747394451</v>
      </c>
      <c r="Y17" s="146">
        <v>0.24020737973114964</v>
      </c>
      <c r="Z17" s="146">
        <v>0.35566275371290451</v>
      </c>
      <c r="AA17" s="146">
        <v>2.5792012644773009E-2</v>
      </c>
      <c r="AB17" s="146">
        <v>0.16094111854510584</v>
      </c>
      <c r="AC17" s="146">
        <v>0.31535377768526746</v>
      </c>
      <c r="AD17" s="146">
        <v>0.40655863301706818</v>
      </c>
      <c r="AE17" s="146">
        <v>3.278916636808956E-2</v>
      </c>
      <c r="AF17" s="146">
        <v>0.22822308269933683</v>
      </c>
      <c r="AG17" s="146">
        <v>0.19414893283481011</v>
      </c>
      <c r="AH17" s="146">
        <v>0.21674663969872693</v>
      </c>
      <c r="AI17" s="146">
        <v>1.7773878340245366E-12</v>
      </c>
      <c r="AJ17" s="146">
        <v>0.28786044991436904</v>
      </c>
      <c r="AK17" s="146">
        <v>0.37703045379722122</v>
      </c>
      <c r="AL17" s="146">
        <v>0.2449400685683904</v>
      </c>
      <c r="AM17" s="146">
        <v>0.26751356977670709</v>
      </c>
      <c r="AN17" s="146">
        <v>0.13276769116014095</v>
      </c>
      <c r="AO17" s="146">
        <v>8.9588064419572594E-2</v>
      </c>
      <c r="AP17" s="146">
        <v>1.4057918621659525E-2</v>
      </c>
      <c r="AQ17" s="146">
        <v>0.1949839533631359</v>
      </c>
      <c r="AR17" s="146">
        <v>0.26778531388219268</v>
      </c>
      <c r="AS17" s="146">
        <v>6.1483943897857235E-5</v>
      </c>
      <c r="AT17" s="146">
        <v>0.29893950634007294</v>
      </c>
      <c r="AU17" s="146">
        <v>4.2401511112355551E-2</v>
      </c>
      <c r="AV17" s="146">
        <v>0.34174971032023843</v>
      </c>
      <c r="AW17" s="146">
        <v>0.15445346636286666</v>
      </c>
      <c r="AX17" s="146">
        <v>0.2308180627047203</v>
      </c>
      <c r="AY17" s="146">
        <v>1.2402804404556037E-4</v>
      </c>
      <c r="AZ17" s="146">
        <v>0.26009351326255797</v>
      </c>
      <c r="BA17" s="146">
        <v>0.21885798950462809</v>
      </c>
      <c r="BB17" s="146">
        <v>0.20123555047432423</v>
      </c>
      <c r="BC17" s="146">
        <v>6.7109996576332098E-2</v>
      </c>
      <c r="BD17" s="146">
        <v>5.2561906775405243E-4</v>
      </c>
      <c r="BE17" s="146">
        <v>0.19517384218020917</v>
      </c>
      <c r="BF17" s="146">
        <v>0.26145186317420044</v>
      </c>
      <c r="BG17" s="146">
        <v>4.901029593723772E-2</v>
      </c>
      <c r="BH17" s="146">
        <v>0.14568105128848535</v>
      </c>
      <c r="BI17" s="146">
        <v>0.4212459513015257</v>
      </c>
      <c r="BJ17" s="146">
        <v>0.2452928260873492</v>
      </c>
      <c r="BK17" s="146">
        <v>0.26144162698030787</v>
      </c>
      <c r="BL17" s="146">
        <v>0.25544010741966106</v>
      </c>
      <c r="BM17" s="146">
        <v>4.8216626941891737E-2</v>
      </c>
      <c r="BN17" s="146">
        <v>0.33949036062676091</v>
      </c>
      <c r="BO17" s="146">
        <v>0.42708802642591809</v>
      </c>
      <c r="BP17" s="146">
        <v>0.2387840650908101</v>
      </c>
      <c r="BQ17" s="146">
        <v>1.4413635220317255E-6</v>
      </c>
      <c r="BR17" s="146">
        <v>0.36592165022128265</v>
      </c>
      <c r="BS17" s="146">
        <v>0.28133416920279464</v>
      </c>
      <c r="BT17" s="146">
        <v>4.7274105429155671E-3</v>
      </c>
      <c r="BU17" s="146">
        <v>0.2776250609707705</v>
      </c>
      <c r="BV17" s="146">
        <v>0.38461045019994294</v>
      </c>
      <c r="BW17" s="146">
        <v>0.14400378827880186</v>
      </c>
      <c r="BX17" s="146">
        <v>4.2853793185724737E-3</v>
      </c>
      <c r="BY17" s="146">
        <v>0.18856380114035234</v>
      </c>
      <c r="BZ17" s="146">
        <v>0.20054126797765534</v>
      </c>
      <c r="CA17" s="146">
        <v>0.21744112665192367</v>
      </c>
      <c r="CB17" s="146">
        <v>0.2896259942549127</v>
      </c>
      <c r="CC17" s="146">
        <v>0.16123760694178471</v>
      </c>
      <c r="CD17" s="146">
        <v>0.20977080784831323</v>
      </c>
      <c r="CE17" s="146">
        <v>4.8396952196509344E-2</v>
      </c>
      <c r="CF17" s="146">
        <v>0.19837865252619838</v>
      </c>
      <c r="CG17" s="146">
        <v>0.20022290493007944</v>
      </c>
      <c r="CH17" s="146">
        <v>5.063927953411046E-2</v>
      </c>
      <c r="CI17" s="146">
        <v>1.395928864119948E-3</v>
      </c>
      <c r="CJ17" s="146">
        <v>0.19168037198632099</v>
      </c>
      <c r="CK17" s="146">
        <v>8.636928809088075E-2</v>
      </c>
      <c r="CL17" s="146">
        <v>8.9386866404036758E-2</v>
      </c>
      <c r="CM17" s="146">
        <v>0.26289055437421938</v>
      </c>
      <c r="CN17" s="146">
        <v>0.13118357077488907</v>
      </c>
      <c r="CO17" s="146">
        <v>2.3706116627079433E-2</v>
      </c>
      <c r="CP17" s="146">
        <v>0.44037642397964549</v>
      </c>
      <c r="CQ17" s="146">
        <v>0.25313002740677076</v>
      </c>
      <c r="CR17" s="146">
        <v>1.581385967373131E-4</v>
      </c>
      <c r="CS17" s="146">
        <v>0.13697063431963022</v>
      </c>
      <c r="CT17" s="146">
        <v>0.1197469933275329</v>
      </c>
      <c r="CU17" s="146">
        <v>0.36807117912344933</v>
      </c>
      <c r="CV17" s="146">
        <v>0.39562534916954756</v>
      </c>
      <c r="CW17" s="146">
        <v>0.39653888580400654</v>
      </c>
      <c r="CX17" s="146">
        <v>0.23508308880687651</v>
      </c>
    </row>
    <row r="18" spans="1:102" s="115" customFormat="1">
      <c r="A18" s="252" t="s">
        <v>175</v>
      </c>
      <c r="B18" s="253"/>
      <c r="C18" s="146">
        <v>1.6666098344172602E-6</v>
      </c>
      <c r="D18" s="146">
        <v>6.6674765818783611E-6</v>
      </c>
      <c r="E18" s="146">
        <v>3.7925321464169643E-6</v>
      </c>
      <c r="F18" s="146">
        <v>3.9780094934221177E-7</v>
      </c>
      <c r="G18" s="146">
        <v>4.0955830164529923E-5</v>
      </c>
      <c r="H18" s="146">
        <v>4.0937902322291725E-3</v>
      </c>
      <c r="I18" s="146">
        <v>1.477857413870413E-4</v>
      </c>
      <c r="J18" s="146">
        <v>2.1960878782941548E-2</v>
      </c>
      <c r="K18" s="146">
        <v>2.374061491892146E-2</v>
      </c>
      <c r="L18" s="146">
        <v>7.41475072042693E-5</v>
      </c>
      <c r="M18" s="146">
        <v>1.7559472212345791E-7</v>
      </c>
      <c r="N18" s="146">
        <v>1.8580677403989814E-3</v>
      </c>
      <c r="O18" s="146">
        <v>1.3497853830855195E-3</v>
      </c>
      <c r="P18" s="146">
        <v>1.1672961694033781E-2</v>
      </c>
      <c r="Q18" s="146">
        <v>2.1771311176224335E-2</v>
      </c>
      <c r="R18" s="146">
        <v>2.8817075871209797E-3</v>
      </c>
      <c r="S18" s="146">
        <v>1.0372442662453988E-2</v>
      </c>
      <c r="T18" s="146">
        <v>3.8462247259239034E-4</v>
      </c>
      <c r="U18" s="146">
        <v>8.3545522789074674E-14</v>
      </c>
      <c r="V18" s="146">
        <v>2.1648252476478297E-4</v>
      </c>
      <c r="W18" s="146">
        <v>4.6350399848675214E-4</v>
      </c>
      <c r="X18" s="146">
        <v>1.5833994379852807E-6</v>
      </c>
      <c r="Y18" s="146">
        <v>2.4784048723154303E-30</v>
      </c>
      <c r="Z18" s="146">
        <v>8.0275318693382607E-4</v>
      </c>
      <c r="AA18" s="146">
        <v>1.978632395976058E-7</v>
      </c>
      <c r="AB18" s="146">
        <v>1.9467477555498101E-4</v>
      </c>
      <c r="AC18" s="146">
        <v>2.7075503286367406E-2</v>
      </c>
      <c r="AD18" s="146">
        <v>2.5422523631374082E-3</v>
      </c>
      <c r="AE18" s="146">
        <v>2.2366589561939395E-4</v>
      </c>
      <c r="AF18" s="146">
        <v>2.7780354823729165E-2</v>
      </c>
      <c r="AG18" s="146">
        <v>4.4994360584423854E-2</v>
      </c>
      <c r="AH18" s="146">
        <v>5.3665303158631156E-3</v>
      </c>
      <c r="AI18" s="146">
        <v>6.3107022856772569E-4</v>
      </c>
      <c r="AJ18" s="146">
        <v>1.13537900723139E-4</v>
      </c>
      <c r="AK18" s="146">
        <v>9.3140170106149316E-3</v>
      </c>
      <c r="AL18" s="146">
        <v>2.2587305488534059E-3</v>
      </c>
      <c r="AM18" s="146">
        <v>1.0828481048006237E-3</v>
      </c>
      <c r="AN18" s="146">
        <v>2.681698493809645E-2</v>
      </c>
      <c r="AO18" s="146">
        <v>2.1547458364651419E-2</v>
      </c>
      <c r="AP18" s="146">
        <v>1.0941364042737231E-3</v>
      </c>
      <c r="AQ18" s="146">
        <v>1.7027072494435358E-3</v>
      </c>
      <c r="AR18" s="146">
        <v>1.2168495012396792E-2</v>
      </c>
      <c r="AS18" s="146">
        <v>6.86590616497201E-7</v>
      </c>
      <c r="AT18" s="146">
        <v>8.4809221295395077E-3</v>
      </c>
      <c r="AU18" s="146">
        <v>8.0864284267311959E-2</v>
      </c>
      <c r="AV18" s="146">
        <v>3.5821288413453683E-3</v>
      </c>
      <c r="AW18" s="146">
        <v>1.7011872301580758E-2</v>
      </c>
      <c r="AX18" s="146">
        <v>3.7403711686193782E-2</v>
      </c>
      <c r="AY18" s="146">
        <v>4.6507359115221192E-2</v>
      </c>
      <c r="AZ18" s="146">
        <v>1.2431407608104258E-2</v>
      </c>
      <c r="BA18" s="146">
        <v>8.0460826059813046E-3</v>
      </c>
      <c r="BB18" s="146">
        <v>3.4080919549076892E-3</v>
      </c>
      <c r="BC18" s="146">
        <v>5.4241364951478865E-8</v>
      </c>
      <c r="BD18" s="146">
        <v>5.9510869756212829E-2</v>
      </c>
      <c r="BE18" s="146">
        <v>3.9453919412120635E-3</v>
      </c>
      <c r="BF18" s="146">
        <v>1.0194255174000315E-4</v>
      </c>
      <c r="BG18" s="146">
        <v>1.4647661673489924E-9</v>
      </c>
      <c r="BH18" s="146">
        <v>2.5741220732195806E-2</v>
      </c>
      <c r="BI18" s="146">
        <v>2.9788999010017415E-9</v>
      </c>
      <c r="BJ18" s="146">
        <v>9.835402939189497E-3</v>
      </c>
      <c r="BK18" s="146">
        <v>8.3324347655079952E-3</v>
      </c>
      <c r="BL18" s="146">
        <v>6.1420178042993893E-6</v>
      </c>
      <c r="BM18" s="146">
        <v>4.7369193245324574E-3</v>
      </c>
      <c r="BN18" s="146">
        <v>1.4272973603829961E-2</v>
      </c>
      <c r="BO18" s="146">
        <v>1.5255700272856158E-5</v>
      </c>
      <c r="BP18" s="146">
        <v>1.5269983465911539E-3</v>
      </c>
      <c r="BQ18" s="146">
        <v>1.3757967430686224E-2</v>
      </c>
      <c r="BR18" s="146">
        <v>5.7009098060286506E-3</v>
      </c>
      <c r="BS18" s="146">
        <v>2.2379596365819103E-4</v>
      </c>
      <c r="BT18" s="146">
        <v>1.6093362803328525E-2</v>
      </c>
      <c r="BU18" s="146">
        <v>2.1002767149551856E-2</v>
      </c>
      <c r="BV18" s="146">
        <v>4.7970020375552551E-6</v>
      </c>
      <c r="BW18" s="146">
        <v>1.0683580474737521E-4</v>
      </c>
      <c r="BX18" s="146">
        <v>2.2596917589129455E-4</v>
      </c>
      <c r="BY18" s="146">
        <v>5.9242929910041877E-15</v>
      </c>
      <c r="BZ18" s="146">
        <v>2.1232346387073844E-2</v>
      </c>
      <c r="CA18" s="146">
        <v>4.557996770298358E-2</v>
      </c>
      <c r="CB18" s="146">
        <v>9.7321514000368354E-8</v>
      </c>
      <c r="CC18" s="146">
        <v>4.3211934401866291E-2</v>
      </c>
      <c r="CD18" s="146">
        <v>5.6941203329357942E-4</v>
      </c>
      <c r="CE18" s="146">
        <v>1.5991463870756464E-2</v>
      </c>
      <c r="CF18" s="146">
        <v>8.0871568917573952E-3</v>
      </c>
      <c r="CG18" s="146">
        <v>1.0254905261744652E-2</v>
      </c>
      <c r="CH18" s="146">
        <v>1.4830132344695829E-3</v>
      </c>
      <c r="CI18" s="146">
        <v>1.6983676311856932E-3</v>
      </c>
      <c r="CJ18" s="146">
        <v>8.17853574123374E-3</v>
      </c>
      <c r="CK18" s="146">
        <v>4.927593310827099E-2</v>
      </c>
      <c r="CL18" s="146">
        <v>4.2415524019037464E-8</v>
      </c>
      <c r="CM18" s="146">
        <v>1.5557816732706088E-7</v>
      </c>
      <c r="CN18" s="146">
        <v>7.1895216711410734E-2</v>
      </c>
      <c r="CO18" s="146">
        <v>5.4246885744272779E-3</v>
      </c>
      <c r="CP18" s="146">
        <v>7.666459205138935E-3</v>
      </c>
      <c r="CQ18" s="146">
        <v>8.9820224412139518E-3</v>
      </c>
      <c r="CR18" s="146">
        <v>1.6074553153724792E-2</v>
      </c>
      <c r="CS18" s="146">
        <v>4.5806164673327807E-2</v>
      </c>
      <c r="CT18" s="146">
        <v>6.5142402009424778E-6</v>
      </c>
      <c r="CU18" s="146">
        <v>3.6215326542143747E-4</v>
      </c>
      <c r="CV18" s="146">
        <v>1.820549074043276E-5</v>
      </c>
      <c r="CW18" s="146">
        <v>2.0783373523377204E-4</v>
      </c>
      <c r="CX18" s="146">
        <v>1.5641575439725492E-4</v>
      </c>
    </row>
    <row r="19" spans="1:102" s="115" customFormat="1">
      <c r="A19" s="252" t="s">
        <v>176</v>
      </c>
      <c r="B19" s="253"/>
      <c r="C19" s="146">
        <v>0.38232458468191288</v>
      </c>
      <c r="D19" s="146">
        <v>0.33105719317188703</v>
      </c>
      <c r="E19" s="146">
        <v>0.27770555586320772</v>
      </c>
      <c r="F19" s="146">
        <v>9.6589768469326001E-2</v>
      </c>
      <c r="G19" s="146">
        <v>0.25414143426412322</v>
      </c>
      <c r="H19" s="146">
        <v>0.2584851484269991</v>
      </c>
      <c r="I19" s="146">
        <v>0.42323009164012126</v>
      </c>
      <c r="J19" s="146">
        <v>0.16297531287755776</v>
      </c>
      <c r="K19" s="146">
        <v>0.19182862764706671</v>
      </c>
      <c r="L19" s="146">
        <v>0.27271315564146592</v>
      </c>
      <c r="M19" s="146">
        <v>0.40031619889086828</v>
      </c>
      <c r="N19" s="146">
        <v>0.29847166915410339</v>
      </c>
      <c r="O19" s="146">
        <v>0.43310971776581653</v>
      </c>
      <c r="P19" s="146">
        <v>8.9059845472581126E-2</v>
      </c>
      <c r="Q19" s="146">
        <v>0.45209344824226033</v>
      </c>
      <c r="R19" s="146">
        <v>0.43756660561481686</v>
      </c>
      <c r="S19" s="146">
        <v>0.36522609366146763</v>
      </c>
      <c r="T19" s="146">
        <v>0.22163226924205182</v>
      </c>
      <c r="U19" s="146">
        <v>0.26270587015819286</v>
      </c>
      <c r="V19" s="146">
        <v>0.35112009404032496</v>
      </c>
      <c r="W19" s="146">
        <v>0.46953778608869612</v>
      </c>
      <c r="X19" s="146">
        <v>0.34910938381909218</v>
      </c>
      <c r="Y19" s="146">
        <v>0.47819761562460894</v>
      </c>
      <c r="Z19" s="146">
        <v>7.8990806215073622E-3</v>
      </c>
      <c r="AA19" s="146">
        <v>2.299433556639544E-3</v>
      </c>
      <c r="AB19" s="146">
        <v>0.40569133155587056</v>
      </c>
      <c r="AC19" s="146">
        <v>9.5346155924758938E-2</v>
      </c>
      <c r="AD19" s="146">
        <v>0.16164104376092128</v>
      </c>
      <c r="AE19" s="146">
        <v>0.45610022897826263</v>
      </c>
      <c r="AF19" s="146">
        <v>0.28700939031113665</v>
      </c>
      <c r="AG19" s="146">
        <v>0.21942924095373922</v>
      </c>
      <c r="AH19" s="146">
        <v>0.47408902898321259</v>
      </c>
      <c r="AI19" s="146">
        <v>0.46374316088796713</v>
      </c>
      <c r="AJ19" s="146">
        <v>0.1354290356860611</v>
      </c>
      <c r="AK19" s="146">
        <v>3.1659112390569219E-2</v>
      </c>
      <c r="AL19" s="146">
        <v>0.17372388604010497</v>
      </c>
      <c r="AM19" s="146">
        <v>0.45356095671286262</v>
      </c>
      <c r="AN19" s="146">
        <v>0.42260415544093849</v>
      </c>
      <c r="AO19" s="146">
        <v>0.28305233322053669</v>
      </c>
      <c r="AP19" s="146">
        <v>0.42740415118386782</v>
      </c>
      <c r="AQ19" s="146">
        <v>0.18374165317114319</v>
      </c>
      <c r="AR19" s="146">
        <v>4.5314889345211169E-3</v>
      </c>
      <c r="AS19" s="146">
        <v>4.3080752592418219E-2</v>
      </c>
      <c r="AT19" s="146">
        <v>0.11277424369981663</v>
      </c>
      <c r="AU19" s="146">
        <v>0.48979474174910664</v>
      </c>
      <c r="AV19" s="146">
        <v>1.03479982325159E-4</v>
      </c>
      <c r="AW19" s="146">
        <v>0.30808856959261299</v>
      </c>
      <c r="AX19" s="146">
        <v>0.31178488009443128</v>
      </c>
      <c r="AY19" s="146">
        <v>0.48144514387756254</v>
      </c>
      <c r="AZ19" s="146">
        <v>0.29985735854415446</v>
      </c>
      <c r="BA19" s="146">
        <v>0.33778978559155276</v>
      </c>
      <c r="BB19" s="146">
        <v>0.27952943095008864</v>
      </c>
      <c r="BC19" s="146">
        <v>0.29095438986709921</v>
      </c>
      <c r="BD19" s="146">
        <v>0.4784166121229062</v>
      </c>
      <c r="BE19" s="146">
        <v>0.38180493939016963</v>
      </c>
      <c r="BF19" s="146">
        <v>0.13520522678566038</v>
      </c>
      <c r="BG19" s="146">
        <v>0.49334928629649005</v>
      </c>
      <c r="BH19" s="146">
        <v>0.47302163395952651</v>
      </c>
      <c r="BI19" s="146">
        <v>0.18947172132212084</v>
      </c>
      <c r="BJ19" s="146">
        <v>0.41927458546155488</v>
      </c>
      <c r="BK19" s="146">
        <v>0.19242732335102922</v>
      </c>
      <c r="BL19" s="146">
        <v>0.20660806383192984</v>
      </c>
      <c r="BM19" s="146">
        <v>0.49010857824168252</v>
      </c>
      <c r="BN19" s="146">
        <v>0.28274365700520782</v>
      </c>
      <c r="BO19" s="146">
        <v>4.3092255603789473E-2</v>
      </c>
      <c r="BP19" s="146">
        <v>0.16782003259273862</v>
      </c>
      <c r="BQ19" s="146">
        <v>0.21243338132180148</v>
      </c>
      <c r="BR19" s="146">
        <v>0.11554011267626904</v>
      </c>
      <c r="BS19" s="146">
        <v>0.26576460848728117</v>
      </c>
      <c r="BT19" s="146">
        <v>0.28517381257708152</v>
      </c>
      <c r="BU19" s="146">
        <v>4.7236726338310962E-2</v>
      </c>
      <c r="BV19" s="146">
        <v>0.11089685753904405</v>
      </c>
      <c r="BW19" s="146">
        <v>0.45302046308870719</v>
      </c>
      <c r="BX19" s="146">
        <v>0.49815712090467307</v>
      </c>
      <c r="BY19" s="146">
        <v>0.24153722340269868</v>
      </c>
      <c r="BZ19" s="146">
        <v>0.35487617314510889</v>
      </c>
      <c r="CA19" s="146">
        <v>0.4477392177960689</v>
      </c>
      <c r="CB19" s="146">
        <v>0.20668850085424537</v>
      </c>
      <c r="CC19" s="146">
        <v>0.29519735996070051</v>
      </c>
      <c r="CD19" s="146">
        <v>0.44855585174648133</v>
      </c>
      <c r="CE19" s="146">
        <v>0.42334036811792847</v>
      </c>
      <c r="CF19" s="146">
        <v>0.29481337650627215</v>
      </c>
      <c r="CG19" s="146">
        <v>2.0349943684693578E-2</v>
      </c>
      <c r="CH19" s="146">
        <v>0.43948749592599878</v>
      </c>
      <c r="CI19" s="146">
        <v>0.36862293492710585</v>
      </c>
      <c r="CJ19" s="146">
        <v>0.39428764861415394</v>
      </c>
      <c r="CK19" s="146">
        <v>0.41842696486618824</v>
      </c>
      <c r="CL19" s="146">
        <v>0.29127776168935582</v>
      </c>
      <c r="CM19" s="146">
        <v>0.3083617833526307</v>
      </c>
      <c r="CN19" s="146">
        <v>0.41140673220163809</v>
      </c>
      <c r="CO19" s="146">
        <v>0.29131667952373902</v>
      </c>
      <c r="CP19" s="146">
        <v>0.16122482932112464</v>
      </c>
      <c r="CQ19" s="146">
        <v>0.33003153087343501</v>
      </c>
      <c r="CR19" s="146">
        <v>1.2926287256568863E-2</v>
      </c>
      <c r="CS19" s="146">
        <v>0.49055173769966803</v>
      </c>
      <c r="CT19" s="146">
        <v>0.40778915965859575</v>
      </c>
      <c r="CU19" s="146">
        <v>0.42836002594494765</v>
      </c>
      <c r="CV19" s="146">
        <v>7.5123009795255331E-3</v>
      </c>
      <c r="CW19" s="146">
        <v>0.2227692029419322</v>
      </c>
      <c r="CX19" s="146">
        <v>8.9655377599678607E-2</v>
      </c>
    </row>
    <row r="20" spans="1:102" s="115" customFormat="1">
      <c r="A20" s="252" t="s">
        <v>177</v>
      </c>
      <c r="B20" s="253"/>
      <c r="C20" s="146">
        <v>0.25282343147104219</v>
      </c>
      <c r="D20" s="146">
        <v>0.15541989524933969</v>
      </c>
      <c r="E20" s="146">
        <v>0.21493923417631533</v>
      </c>
      <c r="F20" s="146">
        <v>0.34262125327889659</v>
      </c>
      <c r="G20" s="146">
        <v>0.17106819033727455</v>
      </c>
      <c r="H20" s="146">
        <v>0.22333604002175722</v>
      </c>
      <c r="I20" s="146">
        <v>2.2351996302102852E-2</v>
      </c>
      <c r="J20" s="146">
        <v>0.16224406805774402</v>
      </c>
      <c r="K20" s="146">
        <v>0.20987404131708981</v>
      </c>
      <c r="L20" s="146">
        <v>0.14358002460971317</v>
      </c>
      <c r="M20" s="146">
        <v>9.115687364772497E-2</v>
      </c>
      <c r="N20" s="146">
        <v>0.207489663437632</v>
      </c>
      <c r="O20" s="146">
        <v>5.8653887826977226E-3</v>
      </c>
      <c r="P20" s="146">
        <v>0.23840100723106053</v>
      </c>
      <c r="Q20" s="146">
        <v>0.21180354881587476</v>
      </c>
      <c r="R20" s="146">
        <v>0.23840796838657513</v>
      </c>
      <c r="S20" s="146">
        <v>6.4726954313423402E-2</v>
      </c>
      <c r="T20" s="146">
        <v>0.35075406231605333</v>
      </c>
      <c r="U20" s="146">
        <v>0.25680254988511386</v>
      </c>
      <c r="V20" s="146">
        <v>0.13852524506131003</v>
      </c>
      <c r="W20" s="146">
        <v>2.7915595328343618E-2</v>
      </c>
      <c r="X20" s="146">
        <v>0.17630109098373523</v>
      </c>
      <c r="Y20" s="146">
        <v>1.8513590899214528E-5</v>
      </c>
      <c r="Z20" s="146">
        <v>0.2771678359519959</v>
      </c>
      <c r="AA20" s="146">
        <v>0.39962145345528005</v>
      </c>
      <c r="AB20" s="146">
        <v>5.8591535073614712E-2</v>
      </c>
      <c r="AC20" s="146">
        <v>0.16904767528157644</v>
      </c>
      <c r="AD20" s="146">
        <v>0.11849328772122915</v>
      </c>
      <c r="AE20" s="146">
        <v>0.13597155462881372</v>
      </c>
      <c r="AF20" s="146">
        <v>8.0772884589528235E-2</v>
      </c>
      <c r="AG20" s="146">
        <v>0.27651475677868803</v>
      </c>
      <c r="AH20" s="146">
        <v>3.4249614552284459E-2</v>
      </c>
      <c r="AI20" s="146">
        <v>0.18090982265102137</v>
      </c>
      <c r="AJ20" s="146">
        <v>0.30441795533012922</v>
      </c>
      <c r="AK20" s="146">
        <v>0.15948156119220655</v>
      </c>
      <c r="AL20" s="146">
        <v>0.19246192181739999</v>
      </c>
      <c r="AM20" s="146">
        <v>7.8167596710108818E-3</v>
      </c>
      <c r="AN20" s="146">
        <v>5.4700992587149451E-2</v>
      </c>
      <c r="AO20" s="146">
        <v>0.15360381863693542</v>
      </c>
      <c r="AP20" s="146">
        <v>0.15176591403675327</v>
      </c>
      <c r="AQ20" s="146">
        <v>0.2174394636769669</v>
      </c>
      <c r="AR20" s="146">
        <v>0.29221261239390039</v>
      </c>
      <c r="AS20" s="146">
        <v>0.40845603388975121</v>
      </c>
      <c r="AT20" s="146">
        <v>0.15719856258648132</v>
      </c>
      <c r="AU20" s="146">
        <v>0.10103334351777624</v>
      </c>
      <c r="AV20" s="146">
        <v>0.31060202133236603</v>
      </c>
      <c r="AW20" s="146">
        <v>0.21745706516562302</v>
      </c>
      <c r="AX20" s="146">
        <v>6.9560774288279588E-5</v>
      </c>
      <c r="AY20" s="146">
        <v>9.0629429759923191E-2</v>
      </c>
      <c r="AZ20" s="146">
        <v>4.5119123282229792E-2</v>
      </c>
      <c r="BA20" s="146">
        <v>8.875527003434136E-2</v>
      </c>
      <c r="BB20" s="146">
        <v>0.11549962369918554</v>
      </c>
      <c r="BC20" s="146">
        <v>0.28061439422458978</v>
      </c>
      <c r="BD20" s="146">
        <v>0.2098710223215797</v>
      </c>
      <c r="BE20" s="146">
        <v>0.1539682903831259</v>
      </c>
      <c r="BF20" s="146">
        <v>0.20010603836623822</v>
      </c>
      <c r="BG20" s="146">
        <v>0.10189783407757783</v>
      </c>
      <c r="BH20" s="146">
        <v>1.5596820692490619E-2</v>
      </c>
      <c r="BI20" s="146">
        <v>0.15744951362806625</v>
      </c>
      <c r="BJ20" s="146">
        <v>9.2990323416301063E-2</v>
      </c>
      <c r="BK20" s="146">
        <v>8.7780676033452978E-2</v>
      </c>
      <c r="BL20" s="146">
        <v>0.18251645342706016</v>
      </c>
      <c r="BM20" s="146">
        <v>3.6810045475879162E-2</v>
      </c>
      <c r="BN20" s="146">
        <v>4.8045596880521353E-2</v>
      </c>
      <c r="BO20" s="146">
        <v>0.18075963423498273</v>
      </c>
      <c r="BP20" s="146">
        <v>0.12286436014286323</v>
      </c>
      <c r="BQ20" s="146">
        <v>0.18695363411417326</v>
      </c>
      <c r="BR20" s="146">
        <v>0.18420989680864486</v>
      </c>
      <c r="BS20" s="146">
        <v>0.17675524333154205</v>
      </c>
      <c r="BT20" s="146">
        <v>0.38916818292242811</v>
      </c>
      <c r="BU20" s="146">
        <v>0.1707583990840266</v>
      </c>
      <c r="BV20" s="146">
        <v>0.15367029593838311</v>
      </c>
      <c r="BW20" s="146">
        <v>6.681186804437507E-2</v>
      </c>
      <c r="BX20" s="146">
        <v>0.22593817114902837</v>
      </c>
      <c r="BY20" s="146">
        <v>0.17806671289178655</v>
      </c>
      <c r="BZ20" s="146">
        <v>5.934183950767441E-2</v>
      </c>
      <c r="CA20" s="146">
        <v>2.0212493447494093E-3</v>
      </c>
      <c r="CB20" s="146">
        <v>0.10345118341144213</v>
      </c>
      <c r="CC20" s="146">
        <v>0.1798313521493923</v>
      </c>
      <c r="CD20" s="146">
        <v>1.4725572256776011E-2</v>
      </c>
      <c r="CE20" s="146">
        <v>0.12225627580837443</v>
      </c>
      <c r="CF20" s="146">
        <v>1.5345433316213866E-5</v>
      </c>
      <c r="CG20" s="146">
        <v>0.26820206365654525</v>
      </c>
      <c r="CH20" s="146">
        <v>0.18508600587627019</v>
      </c>
      <c r="CI20" s="146">
        <v>9.4877085921506316E-2</v>
      </c>
      <c r="CJ20" s="146">
        <v>0.28726634001519308</v>
      </c>
      <c r="CK20" s="146">
        <v>7.9134540762441946E-2</v>
      </c>
      <c r="CL20" s="146">
        <v>0.14388592507638248</v>
      </c>
      <c r="CM20" s="146">
        <v>6.673917291780207E-2</v>
      </c>
      <c r="CN20" s="146">
        <v>0.10931321146399491</v>
      </c>
      <c r="CO20" s="146">
        <v>0.18126051569606638</v>
      </c>
      <c r="CP20" s="146">
        <v>6.3033587617745482E-2</v>
      </c>
      <c r="CQ20" s="146">
        <v>9.0429748110773086E-6</v>
      </c>
      <c r="CR20" s="146">
        <v>0.38237797519400291</v>
      </c>
      <c r="CS20" s="146">
        <v>5.6570994965706847E-2</v>
      </c>
      <c r="CT20" s="146">
        <v>4.3363477570966856E-3</v>
      </c>
      <c r="CU20" s="146">
        <v>7.2870772601224293E-4</v>
      </c>
      <c r="CV20" s="146">
        <v>0.22274759773967751</v>
      </c>
      <c r="CW20" s="146">
        <v>5.0946763102102839E-3</v>
      </c>
      <c r="CX20" s="146">
        <v>0.18368722601133625</v>
      </c>
    </row>
    <row r="21" spans="1:102" s="115" customFormat="1">
      <c r="A21" s="252" t="s">
        <v>5</v>
      </c>
      <c r="B21" s="253"/>
      <c r="C21" s="146">
        <v>1.1321687746128904E-2</v>
      </c>
      <c r="D21" s="146">
        <v>6.410558756453084E-4</v>
      </c>
      <c r="E21" s="146">
        <v>0.12487324516687638</v>
      </c>
      <c r="F21" s="146">
        <v>6.1659458746642273E-3</v>
      </c>
      <c r="G21" s="146">
        <v>4.2474860685899764E-2</v>
      </c>
      <c r="H21" s="146">
        <v>2.8739578722309107E-3</v>
      </c>
      <c r="I21" s="146">
        <v>8.9308859812013231E-4</v>
      </c>
      <c r="J21" s="146">
        <v>3.544710311348151E-2</v>
      </c>
      <c r="K21" s="146">
        <v>1.5284710590649899E-3</v>
      </c>
      <c r="L21" s="146">
        <v>0.125439138182282</v>
      </c>
      <c r="M21" s="146">
        <v>0.14334252578355997</v>
      </c>
      <c r="N21" s="146">
        <v>0.15927900173654205</v>
      </c>
      <c r="O21" s="146">
        <v>2.0863605780006581E-2</v>
      </c>
      <c r="P21" s="146">
        <v>5.5815885284428129E-2</v>
      </c>
      <c r="Q21" s="146">
        <v>7.126674485099023E-2</v>
      </c>
      <c r="R21" s="146">
        <v>8.7169703725561744E-3</v>
      </c>
      <c r="S21" s="146">
        <v>3.5617268426923256E-4</v>
      </c>
      <c r="T21" s="146">
        <v>1.6792294586507345E-4</v>
      </c>
      <c r="U21" s="146">
        <v>3.5911247395597865E-3</v>
      </c>
      <c r="V21" s="146">
        <v>3.6054196653108994E-2</v>
      </c>
      <c r="W21" s="146">
        <v>6.0698144956858734E-2</v>
      </c>
      <c r="X21" s="146">
        <v>3.1353320927119586E-2</v>
      </c>
      <c r="Y21" s="146">
        <v>4.0178369121316192E-2</v>
      </c>
      <c r="Z21" s="146">
        <v>7.8025508534015656E-9</v>
      </c>
      <c r="AA21" s="146">
        <v>0.13722326962547277</v>
      </c>
      <c r="AB21" s="146">
        <v>1.5714465294203679E-2</v>
      </c>
      <c r="AC21" s="146">
        <v>3.1462678985857996E-6</v>
      </c>
      <c r="AD21" s="146">
        <v>3.9362916304961364E-5</v>
      </c>
      <c r="AE21" s="146">
        <v>6.691325750808913E-2</v>
      </c>
      <c r="AF21" s="146">
        <v>8.7585081229956105E-2</v>
      </c>
      <c r="AG21" s="146">
        <v>3.4132335029940293E-2</v>
      </c>
      <c r="AH21" s="146">
        <v>2.3194235520198708E-2</v>
      </c>
      <c r="AI21" s="146">
        <v>0.18106205081466753</v>
      </c>
      <c r="AJ21" s="146">
        <v>3.5434472126750785E-2</v>
      </c>
      <c r="AK21" s="146">
        <v>3.8101678463990034E-7</v>
      </c>
      <c r="AL21" s="146">
        <v>8.9841874224947752E-7</v>
      </c>
      <c r="AM21" s="146">
        <v>8.0810295096212237E-2</v>
      </c>
      <c r="AN21" s="146">
        <v>0.12266014700240736</v>
      </c>
      <c r="AO21" s="146">
        <v>6.3470482480756417E-3</v>
      </c>
      <c r="AP21" s="146">
        <v>4.1995662363176665E-2</v>
      </c>
      <c r="AQ21" s="146">
        <v>0.16470383622440893</v>
      </c>
      <c r="AR21" s="146">
        <v>5.765501704778337E-2</v>
      </c>
      <c r="AS21" s="146">
        <v>1.7495998120990612E-2</v>
      </c>
      <c r="AT21" s="146">
        <v>1.2528386816613994E-2</v>
      </c>
      <c r="AU21" s="146">
        <v>2.1830681330056678E-2</v>
      </c>
      <c r="AV21" s="146">
        <v>3.9779227504035654E-2</v>
      </c>
      <c r="AW21" s="146">
        <v>6.4602779526013081E-3</v>
      </c>
      <c r="AX21" s="146">
        <v>2.4142329381943756E-3</v>
      </c>
      <c r="AY21" s="146">
        <v>7.681544403710593E-3</v>
      </c>
      <c r="AZ21" s="146">
        <v>7.1897646181379893E-2</v>
      </c>
      <c r="BA21" s="146">
        <v>0.18282554390892999</v>
      </c>
      <c r="BB21" s="146">
        <v>7.8651300812319788E-2</v>
      </c>
      <c r="BC21" s="146">
        <v>0.16981440079312304</v>
      </c>
      <c r="BD21" s="146">
        <v>7.9844842157337184E-2</v>
      </c>
      <c r="BE21" s="146">
        <v>7.9270237634034305E-2</v>
      </c>
      <c r="BF21" s="146">
        <v>0.15665702305587675</v>
      </c>
      <c r="BG21" s="146">
        <v>0.13666252289793226</v>
      </c>
      <c r="BH21" s="146">
        <v>0.11586249672207244</v>
      </c>
      <c r="BI21" s="146">
        <v>1.0899769315243616E-2</v>
      </c>
      <c r="BJ21" s="146">
        <v>0.12126207353203956</v>
      </c>
      <c r="BK21" s="146">
        <v>5.0712554845487004E-5</v>
      </c>
      <c r="BL21" s="146">
        <v>2.2314444250867191E-2</v>
      </c>
      <c r="BM21" s="146">
        <v>0.19679118966013862</v>
      </c>
      <c r="BN21" s="146">
        <v>2.4333201287737192E-3</v>
      </c>
      <c r="BO21" s="146">
        <v>4.5261775008058047E-5</v>
      </c>
      <c r="BP21" s="146">
        <v>6.1419941678586467E-3</v>
      </c>
      <c r="BQ21" s="146">
        <v>9.1088398002426213E-2</v>
      </c>
      <c r="BR21" s="146">
        <v>8.1207958519394038E-2</v>
      </c>
      <c r="BS21" s="146">
        <v>1.822531505210474E-2</v>
      </c>
      <c r="BT21" s="146">
        <v>8.954985076301366E-5</v>
      </c>
      <c r="BU21" s="146">
        <v>2.494542535686288E-2</v>
      </c>
      <c r="BV21" s="146">
        <v>9.101233078675634E-3</v>
      </c>
      <c r="BW21" s="146">
        <v>3.7615633758294694E-3</v>
      </c>
      <c r="BX21" s="146">
        <v>0.2066389309353448</v>
      </c>
      <c r="BY21" s="146">
        <v>1.7177372818660819E-4</v>
      </c>
      <c r="BZ21" s="146">
        <v>0.10084825597426024</v>
      </c>
      <c r="CA21" s="146">
        <v>6.4816661894074618E-2</v>
      </c>
      <c r="CB21" s="146">
        <v>4.666162261980961E-3</v>
      </c>
      <c r="CC21" s="146">
        <v>4.3349945022052841E-6</v>
      </c>
      <c r="CD21" s="146">
        <v>6.9167985628192E-2</v>
      </c>
      <c r="CE21" s="146">
        <v>4.1335739038635626E-4</v>
      </c>
      <c r="CF21" s="146">
        <v>1.942048068837619E-2</v>
      </c>
      <c r="CG21" s="146">
        <v>9.5956059901522658E-2</v>
      </c>
      <c r="CH21" s="146">
        <v>0.23717576950399735</v>
      </c>
      <c r="CI21" s="146">
        <v>0.23881250665834092</v>
      </c>
      <c r="CJ21" s="146">
        <v>4.174677563705253E-7</v>
      </c>
      <c r="CK21" s="146">
        <v>9.8588015062634829E-2</v>
      </c>
      <c r="CL21" s="146">
        <v>0.13997382744689019</v>
      </c>
      <c r="CM21" s="146">
        <v>4.4893849747262619E-2</v>
      </c>
      <c r="CN21" s="146">
        <v>2.6833426685133363E-3</v>
      </c>
      <c r="CO21" s="146">
        <v>0.19476461043989718</v>
      </c>
      <c r="CP21" s="146">
        <v>2.0589660240187053E-2</v>
      </c>
      <c r="CQ21" s="146">
        <v>2.1234445450715395E-6</v>
      </c>
      <c r="CR21" s="146">
        <v>8.3025467878133849E-2</v>
      </c>
      <c r="CS21" s="146">
        <v>0.13701072741572831</v>
      </c>
      <c r="CT21" s="146">
        <v>0.24795781215465076</v>
      </c>
      <c r="CU21" s="146">
        <v>1.8136610736386274E-3</v>
      </c>
      <c r="CV21" s="146">
        <v>7.8609989360343538E-2</v>
      </c>
      <c r="CW21" s="146">
        <v>1.6780543117604036E-2</v>
      </c>
      <c r="CX21" s="146">
        <v>1.2576293007181477E-5</v>
      </c>
    </row>
    <row r="22" spans="1:102" s="115" customFormat="1">
      <c r="A22" s="252" t="s">
        <v>178</v>
      </c>
      <c r="B22" s="253"/>
      <c r="C22" s="146">
        <v>0.33858972733238468</v>
      </c>
      <c r="D22" s="146">
        <v>0.29716727697601664</v>
      </c>
      <c r="E22" s="146">
        <v>0.36074324276494157</v>
      </c>
      <c r="F22" s="146">
        <v>0.42260065627666793</v>
      </c>
      <c r="G22" s="146">
        <v>0.32266895015474045</v>
      </c>
      <c r="H22" s="146">
        <v>0.30923230081772773</v>
      </c>
      <c r="I22" s="146">
        <v>0.26705488664219273</v>
      </c>
      <c r="J22" s="146">
        <v>0.33012725687117633</v>
      </c>
      <c r="K22" s="146">
        <v>0.45870868300621648</v>
      </c>
      <c r="L22" s="146">
        <v>0.23174395397299305</v>
      </c>
      <c r="M22" s="146">
        <v>0.29671096283628579</v>
      </c>
      <c r="N22" s="146">
        <v>0.28026877343389239</v>
      </c>
      <c r="O22" s="146">
        <v>0.31420423131122505</v>
      </c>
      <c r="P22" s="146">
        <v>0.30763017354118277</v>
      </c>
      <c r="Q22" s="146">
        <v>0.21463172894679491</v>
      </c>
      <c r="R22" s="146">
        <v>0.13435674279761409</v>
      </c>
      <c r="S22" s="146">
        <v>0.1583731787782186</v>
      </c>
      <c r="T22" s="146">
        <v>0.29794458769831156</v>
      </c>
      <c r="U22" s="146">
        <v>0.31852162837360948</v>
      </c>
      <c r="V22" s="146">
        <v>0.17677236811772809</v>
      </c>
      <c r="W22" s="146">
        <v>0.2652641562872558</v>
      </c>
      <c r="X22" s="146">
        <v>0.11734572232662842</v>
      </c>
      <c r="Y22" s="146">
        <v>0.24139811913161219</v>
      </c>
      <c r="Z22" s="146">
        <v>0.35505278011189029</v>
      </c>
      <c r="AA22" s="146">
        <v>0.4200324650160287</v>
      </c>
      <c r="AB22" s="146">
        <v>0.22860719043091038</v>
      </c>
      <c r="AC22" s="146">
        <v>0.31125956711848429</v>
      </c>
      <c r="AD22" s="146">
        <v>0.27513772437445616</v>
      </c>
      <c r="AE22" s="146">
        <v>9.5024441009369312E-3</v>
      </c>
      <c r="AF22" s="146">
        <v>0.23780434147972782</v>
      </c>
      <c r="AG22" s="146">
        <v>0.15524234935864878</v>
      </c>
      <c r="AH22" s="146">
        <v>0.12662420975916044</v>
      </c>
      <c r="AI22" s="146">
        <v>0.17365365757876491</v>
      </c>
      <c r="AJ22" s="146">
        <v>0.23670979461567235</v>
      </c>
      <c r="AK22" s="146">
        <v>0.41062557476459011</v>
      </c>
      <c r="AL22" s="146">
        <v>0.26426827837445477</v>
      </c>
      <c r="AM22" s="146">
        <v>0.14125797410912572</v>
      </c>
      <c r="AN22" s="146">
        <v>0.12260456726757345</v>
      </c>
      <c r="AO22" s="146">
        <v>0.44584779697754823</v>
      </c>
      <c r="AP22" s="146">
        <v>0.30736161416180874</v>
      </c>
      <c r="AQ22" s="146">
        <v>0.23695616054447394</v>
      </c>
      <c r="AR22" s="146">
        <v>0.3289922131423812</v>
      </c>
      <c r="AS22" s="146">
        <v>0.29659071831413708</v>
      </c>
      <c r="AT22" s="146">
        <v>0.37500207948936309</v>
      </c>
      <c r="AU22" s="146">
        <v>0.25876033706598311</v>
      </c>
      <c r="AV22" s="146">
        <v>0.30323050012665942</v>
      </c>
      <c r="AW22" s="146">
        <v>0.19413685487233201</v>
      </c>
      <c r="AX22" s="146">
        <v>0.25842597251440841</v>
      </c>
      <c r="AY22" s="146">
        <v>0.3385229329259577</v>
      </c>
      <c r="AZ22" s="146">
        <v>0.29789099337895197</v>
      </c>
      <c r="BA22" s="146">
        <v>0.16162041469717955</v>
      </c>
      <c r="BB22" s="146">
        <v>0.32165830704781323</v>
      </c>
      <c r="BC22" s="146">
        <v>0.19136466883121003</v>
      </c>
      <c r="BD22" s="146">
        <v>1.2999026443922163E-2</v>
      </c>
      <c r="BE22" s="146">
        <v>3.5752662923721042E-2</v>
      </c>
      <c r="BF22" s="146">
        <v>0.17300651668237652</v>
      </c>
      <c r="BG22" s="146">
        <v>0.2129881986514916</v>
      </c>
      <c r="BH22" s="146">
        <v>0.19692780339045521</v>
      </c>
      <c r="BI22" s="146">
        <v>0.2209325757368622</v>
      </c>
      <c r="BJ22" s="146">
        <v>5.5089122850905246E-2</v>
      </c>
      <c r="BK22" s="146">
        <v>0.44730826696271742</v>
      </c>
      <c r="BL22" s="146">
        <v>0.32831863717889498</v>
      </c>
      <c r="BM22" s="146">
        <v>6.5402727101739871E-3</v>
      </c>
      <c r="BN22" s="146">
        <v>0.28563155828082465</v>
      </c>
      <c r="BO22" s="146">
        <v>0.34876272612709103</v>
      </c>
      <c r="BP22" s="146">
        <v>0.38057737477781067</v>
      </c>
      <c r="BQ22" s="146">
        <v>0.49576503639668251</v>
      </c>
      <c r="BR22" s="146">
        <v>0.22807729385971212</v>
      </c>
      <c r="BS22" s="146">
        <v>0.21515150416961812</v>
      </c>
      <c r="BT22" s="146">
        <v>9.0946761515854943E-2</v>
      </c>
      <c r="BU22" s="146">
        <v>0.38321339978824953</v>
      </c>
      <c r="BV22" s="146">
        <v>0.34171634477060064</v>
      </c>
      <c r="BW22" s="146">
        <v>0.16209834550541705</v>
      </c>
      <c r="BX22" s="146">
        <v>2.5815502596871386E-6</v>
      </c>
      <c r="BY22" s="146">
        <v>0.2251875163211276</v>
      </c>
      <c r="BZ22" s="146">
        <v>0.131082938209511</v>
      </c>
      <c r="CA22" s="146">
        <v>0.17732205019660874</v>
      </c>
      <c r="CB22" s="146">
        <v>0.39556787534778165</v>
      </c>
      <c r="CC22" s="146">
        <v>0.26929582813315084</v>
      </c>
      <c r="CD22" s="146">
        <v>0.11051188233449813</v>
      </c>
      <c r="CE22" s="146">
        <v>3.2565793066368247E-2</v>
      </c>
      <c r="CF22" s="146">
        <v>0.32601757656823904</v>
      </c>
      <c r="CG22" s="146">
        <v>0.3688973580529879</v>
      </c>
      <c r="CH22" s="146">
        <v>3.7025707582809351E-3</v>
      </c>
      <c r="CI22" s="146">
        <v>0.26491106755812283</v>
      </c>
      <c r="CJ22" s="146">
        <v>0.11606660901157398</v>
      </c>
      <c r="CK22" s="146">
        <v>0.25503957476620365</v>
      </c>
      <c r="CL22" s="146">
        <v>0.31919979943146037</v>
      </c>
      <c r="CM22" s="146">
        <v>0.30092361142765645</v>
      </c>
      <c r="CN22" s="146">
        <v>0.27227075391397448</v>
      </c>
      <c r="CO22" s="146">
        <v>0.20987963629552986</v>
      </c>
      <c r="CP22" s="146">
        <v>0.29655625439398176</v>
      </c>
      <c r="CQ22" s="146">
        <v>0.40724605091875682</v>
      </c>
      <c r="CR22" s="146">
        <v>0.34601032352907146</v>
      </c>
      <c r="CS22" s="146">
        <v>6.2307929645163927E-2</v>
      </c>
      <c r="CT22" s="146">
        <v>0.11587377201589377</v>
      </c>
      <c r="CU22" s="146">
        <v>3.2432268889182015E-4</v>
      </c>
      <c r="CV22" s="146">
        <v>0.2885966999204328</v>
      </c>
      <c r="CW22" s="146">
        <v>0.25640653520305245</v>
      </c>
      <c r="CX22" s="146">
        <v>0.49059975203455819</v>
      </c>
    </row>
    <row r="23" spans="1:102" s="115" customFormat="1">
      <c r="A23" s="252" t="s">
        <v>6</v>
      </c>
      <c r="B23" s="253"/>
      <c r="C23" s="146">
        <v>2.1273490271975812E-3</v>
      </c>
      <c r="D23" s="146">
        <v>1.4463716270809932E-9</v>
      </c>
      <c r="E23" s="146">
        <v>2.1734929358746487E-2</v>
      </c>
      <c r="F23" s="146">
        <v>0.11131863657624128</v>
      </c>
      <c r="G23" s="146">
        <v>0.15723168976423638</v>
      </c>
      <c r="H23" s="146">
        <v>5.7171376259006392E-3</v>
      </c>
      <c r="I23" s="146">
        <v>0.15708839445566566</v>
      </c>
      <c r="J23" s="146">
        <v>1.8677644172700333E-2</v>
      </c>
      <c r="K23" s="146">
        <v>1.2721346167737537E-2</v>
      </c>
      <c r="L23" s="146">
        <v>2.3273800339479817E-6</v>
      </c>
      <c r="M23" s="146">
        <v>9.8997824203874156E-4</v>
      </c>
      <c r="N23" s="146">
        <v>5.2425882815654037E-2</v>
      </c>
      <c r="O23" s="146">
        <v>3.7972955069673443E-2</v>
      </c>
      <c r="P23" s="146">
        <v>4.0392762408712432E-5</v>
      </c>
      <c r="Q23" s="146">
        <v>1.3391532701901323E-2</v>
      </c>
      <c r="R23" s="146">
        <v>1.8101752721910707E-2</v>
      </c>
      <c r="S23" s="146">
        <v>0.10425498803381089</v>
      </c>
      <c r="T23" s="146">
        <v>1.2844600035832335E-2</v>
      </c>
      <c r="U23" s="146">
        <v>7.834865276105894E-5</v>
      </c>
      <c r="V23" s="146">
        <v>1.1200481693263067E-6</v>
      </c>
      <c r="W23" s="146">
        <v>3.095975402859992E-2</v>
      </c>
      <c r="X23" s="146">
        <v>0.18538626107004183</v>
      </c>
      <c r="Y23" s="146">
        <v>2.8004135012218778E-9</v>
      </c>
      <c r="Z23" s="146">
        <v>3.4147886122171951E-3</v>
      </c>
      <c r="AA23" s="146">
        <v>1.503116783856605E-2</v>
      </c>
      <c r="AB23" s="146">
        <v>0.13025968432473961</v>
      </c>
      <c r="AC23" s="146">
        <v>8.1914174435646775E-2</v>
      </c>
      <c r="AD23" s="146">
        <v>3.5587695846882532E-2</v>
      </c>
      <c r="AE23" s="146">
        <v>0.29849968252018827</v>
      </c>
      <c r="AF23" s="146">
        <v>5.0824864866585016E-2</v>
      </c>
      <c r="AG23" s="146">
        <v>7.5538024459749442E-2</v>
      </c>
      <c r="AH23" s="146">
        <v>0.11972974117055346</v>
      </c>
      <c r="AI23" s="146">
        <v>2.3783723383385837E-7</v>
      </c>
      <c r="AJ23" s="146">
        <v>3.4754426294073995E-5</v>
      </c>
      <c r="AK23" s="146">
        <v>1.1888899828013088E-2</v>
      </c>
      <c r="AL23" s="146">
        <v>0.12234621623205394</v>
      </c>
      <c r="AM23" s="146">
        <v>4.7957596529280604E-2</v>
      </c>
      <c r="AN23" s="146">
        <v>0.11784546160369361</v>
      </c>
      <c r="AO23" s="146">
        <v>1.3480132679722069E-5</v>
      </c>
      <c r="AP23" s="146">
        <v>5.6320603228459921E-2</v>
      </c>
      <c r="AQ23" s="146">
        <v>4.7222577042730659E-4</v>
      </c>
      <c r="AR23" s="146">
        <v>3.6654859586824226E-2</v>
      </c>
      <c r="AS23" s="146">
        <v>0.2343143265481881</v>
      </c>
      <c r="AT23" s="146">
        <v>3.5076298938112233E-2</v>
      </c>
      <c r="AU23" s="146">
        <v>5.3151009574094951E-3</v>
      </c>
      <c r="AV23" s="146">
        <v>9.5293189302960064E-4</v>
      </c>
      <c r="AW23" s="146">
        <v>0.10239189375238301</v>
      </c>
      <c r="AX23" s="146">
        <v>0.15908357928776318</v>
      </c>
      <c r="AY23" s="146">
        <v>3.5089561873578951E-2</v>
      </c>
      <c r="AZ23" s="146">
        <v>1.2709957742621413E-2</v>
      </c>
      <c r="BA23" s="146">
        <v>2.1049136573866754E-3</v>
      </c>
      <c r="BB23" s="146">
        <v>1.7695061360667889E-5</v>
      </c>
      <c r="BC23" s="146">
        <v>1.4209546628060095E-4</v>
      </c>
      <c r="BD23" s="146">
        <v>0.15883200813028742</v>
      </c>
      <c r="BE23" s="146">
        <v>0.15008463554752771</v>
      </c>
      <c r="BF23" s="146">
        <v>7.3471389383907487E-2</v>
      </c>
      <c r="BG23" s="146">
        <v>6.091860674504063E-3</v>
      </c>
      <c r="BH23" s="146">
        <v>2.716897321477376E-2</v>
      </c>
      <c r="BI23" s="146">
        <v>4.6571728122025631E-7</v>
      </c>
      <c r="BJ23" s="146">
        <v>5.6255665712660406E-2</v>
      </c>
      <c r="BK23" s="146">
        <v>2.6589593521389619E-3</v>
      </c>
      <c r="BL23" s="146">
        <v>4.7961518737822421E-3</v>
      </c>
      <c r="BM23" s="146">
        <v>0.21679636764570129</v>
      </c>
      <c r="BN23" s="146">
        <v>2.7382533474081434E-2</v>
      </c>
      <c r="BO23" s="146">
        <v>2.3684013293756107E-4</v>
      </c>
      <c r="BP23" s="146">
        <v>8.2285174881327375E-2</v>
      </c>
      <c r="BQ23" s="146">
        <v>1.4137070803654619E-7</v>
      </c>
      <c r="BR23" s="146">
        <v>1.9342178108668361E-2</v>
      </c>
      <c r="BS23" s="146">
        <v>4.2545363793000772E-2</v>
      </c>
      <c r="BT23" s="146">
        <v>0.21380091978762786</v>
      </c>
      <c r="BU23" s="146">
        <v>7.5218221312227496E-2</v>
      </c>
      <c r="BV23" s="146">
        <v>2.147131591721358E-8</v>
      </c>
      <c r="BW23" s="146">
        <v>0.17019713590212174</v>
      </c>
      <c r="BX23" s="146">
        <v>6.4751846966229848E-2</v>
      </c>
      <c r="BY23" s="146">
        <v>0.16647297251584206</v>
      </c>
      <c r="BZ23" s="146">
        <v>0.13207717879871603</v>
      </c>
      <c r="CA23" s="146">
        <v>4.5079726413590884E-2</v>
      </c>
      <c r="CB23" s="146">
        <v>1.8654812283629453E-7</v>
      </c>
      <c r="CC23" s="146">
        <v>5.1221583418602966E-2</v>
      </c>
      <c r="CD23" s="146">
        <v>0.14669848815244546</v>
      </c>
      <c r="CE23" s="146">
        <v>0.35703578954967619</v>
      </c>
      <c r="CF23" s="146">
        <v>0.15326741138584035</v>
      </c>
      <c r="CG23" s="146">
        <v>3.6116764512426139E-2</v>
      </c>
      <c r="CH23" s="146">
        <v>8.2425865166872336E-2</v>
      </c>
      <c r="CI23" s="146">
        <v>2.968210843961815E-2</v>
      </c>
      <c r="CJ23" s="146">
        <v>2.5200771637674548E-3</v>
      </c>
      <c r="CK23" s="146">
        <v>1.3165683343379343E-2</v>
      </c>
      <c r="CL23" s="146">
        <v>1.6275777536350136E-2</v>
      </c>
      <c r="CM23" s="146">
        <v>1.6190872602261194E-2</v>
      </c>
      <c r="CN23" s="146">
        <v>1.2471722655791331E-3</v>
      </c>
      <c r="CO23" s="146">
        <v>9.3647752843260532E-2</v>
      </c>
      <c r="CP23" s="146">
        <v>1.0552785242176626E-2</v>
      </c>
      <c r="CQ23" s="146">
        <v>5.9920194046710008E-4</v>
      </c>
      <c r="CR23" s="146">
        <v>0.15942725439176048</v>
      </c>
      <c r="CS23" s="146">
        <v>7.0781811280774529E-2</v>
      </c>
      <c r="CT23" s="146">
        <v>0.10428940084602888</v>
      </c>
      <c r="CU23" s="146">
        <v>0.2003399501776385</v>
      </c>
      <c r="CV23" s="146">
        <v>6.8898573397323222E-3</v>
      </c>
      <c r="CW23" s="146">
        <v>0.10220232288796036</v>
      </c>
      <c r="CX23" s="146">
        <v>8.0556350014577248E-4</v>
      </c>
    </row>
    <row r="24" spans="1:102" s="115" customFormat="1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16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6" spans="1:102" s="121" customFormat="1">
      <c r="A26"/>
      <c r="B26"/>
      <c r="C26" s="28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247" t="s">
        <v>131</v>
      </c>
      <c r="B27" s="248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4"/>
      <c r="CC27" s="114"/>
      <c r="CD27" s="114"/>
      <c r="CE27" s="114"/>
      <c r="CF27" s="114"/>
      <c r="CG27" s="114"/>
      <c r="CH27" s="114"/>
      <c r="CI27" s="114"/>
      <c r="CJ27" s="114"/>
      <c r="CK27" s="114"/>
      <c r="CL27" s="114"/>
      <c r="CM27" s="114"/>
      <c r="CN27" s="114"/>
      <c r="CO27" s="114"/>
      <c r="CP27" s="114"/>
      <c r="CQ27" s="114"/>
      <c r="CR27" s="114"/>
      <c r="CS27" s="114"/>
      <c r="CT27" s="114"/>
      <c r="CU27" s="114"/>
      <c r="CV27" s="114"/>
      <c r="CW27" s="114"/>
      <c r="CX27" s="114"/>
    </row>
    <row r="28" spans="1:102">
      <c r="A28" s="250" t="str">
        <f t="shared" ref="A28:A37" si="0">A4</f>
        <v>Nominale matching</v>
      </c>
      <c r="B28" s="251"/>
      <c r="C28" s="117">
        <v>-0.05</v>
      </c>
      <c r="D28" s="117">
        <v>-0.05</v>
      </c>
      <c r="E28" s="117">
        <v>-0.05</v>
      </c>
      <c r="F28" s="117">
        <v>-0.05</v>
      </c>
      <c r="G28" s="117">
        <v>-0.05</v>
      </c>
      <c r="H28" s="117">
        <v>-0.05</v>
      </c>
      <c r="I28" s="117">
        <v>-0.05</v>
      </c>
      <c r="J28" s="117">
        <v>-0.05</v>
      </c>
      <c r="K28" s="117">
        <v>-0.05</v>
      </c>
      <c r="L28" s="117">
        <v>-0.05</v>
      </c>
      <c r="M28" s="117">
        <v>-0.05</v>
      </c>
      <c r="N28" s="117">
        <v>-0.05</v>
      </c>
      <c r="O28" s="117">
        <v>-0.05</v>
      </c>
      <c r="P28" s="117">
        <v>-0.05</v>
      </c>
      <c r="Q28" s="117">
        <v>-0.05</v>
      </c>
      <c r="R28" s="117">
        <v>-0.05</v>
      </c>
      <c r="S28" s="117">
        <v>-0.05</v>
      </c>
      <c r="T28" s="117">
        <v>-0.05</v>
      </c>
      <c r="U28" s="117">
        <v>-0.05</v>
      </c>
      <c r="V28" s="117">
        <v>-0.05</v>
      </c>
      <c r="W28" s="117">
        <v>-0.05</v>
      </c>
      <c r="X28" s="117">
        <v>-0.05</v>
      </c>
      <c r="Y28" s="117">
        <v>-0.05</v>
      </c>
      <c r="Z28" s="117">
        <v>-0.05</v>
      </c>
      <c r="AA28" s="117">
        <v>-0.05</v>
      </c>
      <c r="AB28" s="117">
        <v>-0.05</v>
      </c>
      <c r="AC28" s="117">
        <v>-0.05</v>
      </c>
      <c r="AD28" s="117">
        <v>-0.05</v>
      </c>
      <c r="AE28" s="117">
        <v>-0.05</v>
      </c>
      <c r="AF28" s="117">
        <v>-0.05</v>
      </c>
      <c r="AG28" s="117">
        <v>-0.05</v>
      </c>
      <c r="AH28" s="117">
        <v>-0.05</v>
      </c>
      <c r="AI28" s="117">
        <v>-0.05</v>
      </c>
      <c r="AJ28" s="117">
        <v>-0.05</v>
      </c>
      <c r="AK28" s="117">
        <v>-0.05</v>
      </c>
      <c r="AL28" s="117">
        <v>-0.05</v>
      </c>
      <c r="AM28" s="117">
        <v>-0.05</v>
      </c>
      <c r="AN28" s="117">
        <v>-0.05</v>
      </c>
      <c r="AO28" s="117">
        <v>-0.05</v>
      </c>
      <c r="AP28" s="117">
        <v>-0.05</v>
      </c>
      <c r="AQ28" s="117">
        <v>-0.05</v>
      </c>
      <c r="AR28" s="117">
        <v>-0.05</v>
      </c>
      <c r="AS28" s="117">
        <v>-0.05</v>
      </c>
      <c r="AT28" s="117">
        <v>-0.05</v>
      </c>
      <c r="AU28" s="117">
        <v>-0.05</v>
      </c>
      <c r="AV28" s="117">
        <v>-0.05</v>
      </c>
      <c r="AW28" s="117">
        <v>-0.05</v>
      </c>
      <c r="AX28" s="117">
        <v>-0.05</v>
      </c>
      <c r="AY28" s="117">
        <v>-0.05</v>
      </c>
      <c r="AZ28" s="117">
        <v>-0.05</v>
      </c>
      <c r="BA28" s="117">
        <v>-0.05</v>
      </c>
      <c r="BB28" s="117">
        <v>-0.05</v>
      </c>
      <c r="BC28" s="117">
        <v>-0.05</v>
      </c>
      <c r="BD28" s="117">
        <v>-0.05</v>
      </c>
      <c r="BE28" s="117">
        <v>-0.05</v>
      </c>
      <c r="BF28" s="117">
        <v>-0.05</v>
      </c>
      <c r="BG28" s="117">
        <v>-0.05</v>
      </c>
      <c r="BH28" s="117">
        <v>-0.05</v>
      </c>
      <c r="BI28" s="117">
        <v>-0.05</v>
      </c>
      <c r="BJ28" s="117">
        <v>-0.05</v>
      </c>
      <c r="BK28" s="117">
        <v>-0.05</v>
      </c>
      <c r="BL28" s="117">
        <v>-0.05</v>
      </c>
      <c r="BM28" s="117">
        <v>-0.05</v>
      </c>
      <c r="BN28" s="117">
        <v>-0.05</v>
      </c>
      <c r="BO28" s="117">
        <v>-0.05</v>
      </c>
      <c r="BP28" s="117">
        <v>-0.05</v>
      </c>
      <c r="BQ28" s="117">
        <v>-0.05</v>
      </c>
      <c r="BR28" s="117">
        <v>-0.05</v>
      </c>
      <c r="BS28" s="117">
        <v>-0.05</v>
      </c>
      <c r="BT28" s="117">
        <v>-0.05</v>
      </c>
      <c r="BU28" s="117">
        <v>-0.05</v>
      </c>
      <c r="BV28" s="117">
        <v>-0.05</v>
      </c>
      <c r="BW28" s="117">
        <v>-0.05</v>
      </c>
      <c r="BX28" s="117">
        <v>-0.05</v>
      </c>
      <c r="BY28" s="117">
        <v>-0.05</v>
      </c>
      <c r="BZ28" s="117">
        <v>-0.05</v>
      </c>
      <c r="CA28" s="117">
        <v>-0.05</v>
      </c>
      <c r="CB28" s="117">
        <v>-0.05</v>
      </c>
      <c r="CC28" s="117">
        <v>-0.05</v>
      </c>
      <c r="CD28" s="117">
        <v>-0.05</v>
      </c>
      <c r="CE28" s="117">
        <v>-0.05</v>
      </c>
      <c r="CF28" s="117">
        <v>-0.05</v>
      </c>
      <c r="CG28" s="117">
        <v>-0.05</v>
      </c>
      <c r="CH28" s="117">
        <v>-0.05</v>
      </c>
      <c r="CI28" s="117">
        <v>-0.05</v>
      </c>
      <c r="CJ28" s="117">
        <v>-0.05</v>
      </c>
      <c r="CK28" s="117">
        <v>-0.05</v>
      </c>
      <c r="CL28" s="117">
        <v>-0.05</v>
      </c>
      <c r="CM28" s="117">
        <v>-0.05</v>
      </c>
      <c r="CN28" s="117">
        <v>-0.05</v>
      </c>
      <c r="CO28" s="117">
        <v>-0.05</v>
      </c>
      <c r="CP28" s="117">
        <v>-0.05</v>
      </c>
      <c r="CQ28" s="117">
        <v>-0.05</v>
      </c>
      <c r="CR28" s="117">
        <v>-0.05</v>
      </c>
      <c r="CS28" s="117">
        <v>-0.05</v>
      </c>
      <c r="CT28" s="117">
        <v>-0.05</v>
      </c>
      <c r="CU28" s="117">
        <v>-0.05</v>
      </c>
      <c r="CV28" s="117">
        <v>-0.05</v>
      </c>
      <c r="CW28" s="117">
        <v>-0.05</v>
      </c>
      <c r="CX28" s="117">
        <v>-0.05</v>
      </c>
    </row>
    <row r="29" spans="1:102" s="131" customFormat="1">
      <c r="A29" s="252" t="str">
        <f t="shared" si="0"/>
        <v>Reele matching</v>
      </c>
      <c r="B29" s="253"/>
      <c r="C29" s="117">
        <v>5.7306491453193859E-3</v>
      </c>
      <c r="D29" s="117">
        <v>2.9981882469019561E-3</v>
      </c>
      <c r="E29" s="117">
        <v>1.3413465977348826E-3</v>
      </c>
      <c r="F29" s="117">
        <v>7.4113596348559865E-3</v>
      </c>
      <c r="G29" s="117">
        <v>1.0412838712269522E-2</v>
      </c>
      <c r="H29" s="117">
        <v>5.2628369966094476E-3</v>
      </c>
      <c r="I29" s="117">
        <v>1.0664100776099104E-2</v>
      </c>
      <c r="J29" s="117">
        <v>4.4620922646083638E-3</v>
      </c>
      <c r="K29" s="117">
        <v>3.3797539577613139E-4</v>
      </c>
      <c r="L29" s="117">
        <v>4.0606642954701261E-3</v>
      </c>
      <c r="M29" s="117">
        <v>1.4361994827373492E-4</v>
      </c>
      <c r="N29" s="117">
        <v>7.7392591269118405E-3</v>
      </c>
      <c r="O29" s="117">
        <v>1.8281333603322805E-3</v>
      </c>
      <c r="P29" s="117">
        <v>4.8290903471657903E-3</v>
      </c>
      <c r="Q29" s="117">
        <v>1.0268189423086813E-2</v>
      </c>
      <c r="R29" s="117">
        <v>4.5362431928311769E-3</v>
      </c>
      <c r="S29" s="117">
        <v>1.4468428610728806E-2</v>
      </c>
      <c r="T29" s="117">
        <v>1.3197198919854256E-2</v>
      </c>
      <c r="U29" s="117">
        <v>5.5318631150522435E-3</v>
      </c>
      <c r="V29" s="117">
        <v>5.6315370564220882E-3</v>
      </c>
      <c r="W29" s="117">
        <v>3.0335006417524166E-3</v>
      </c>
      <c r="X29" s="117">
        <v>1.5615579092937926E-2</v>
      </c>
      <c r="Y29" s="117">
        <v>4.961037530152472E-3</v>
      </c>
      <c r="Z29" s="117">
        <v>6.5341635476941426E-3</v>
      </c>
      <c r="AA29" s="117">
        <v>6.9795758912928815E-3</v>
      </c>
      <c r="AB29" s="117">
        <v>2.1975294963974892E-2</v>
      </c>
      <c r="AC29" s="117">
        <v>1.3840552316487745E-2</v>
      </c>
      <c r="AD29" s="117">
        <v>9.7167050294409002E-3</v>
      </c>
      <c r="AE29" s="117">
        <v>1.6867906547469655E-2</v>
      </c>
      <c r="AF29" s="117">
        <v>8.4826520953167894E-3</v>
      </c>
      <c r="AG29" s="117">
        <v>1.0688998978255919E-2</v>
      </c>
      <c r="AH29" s="117">
        <v>1.8998393764676227E-2</v>
      </c>
      <c r="AI29" s="117">
        <v>6.1796723410797519E-3</v>
      </c>
      <c r="AJ29" s="117">
        <v>1.0513481058237434E-2</v>
      </c>
      <c r="AK29" s="117">
        <v>3.9758718874816773E-3</v>
      </c>
      <c r="AL29" s="117">
        <v>1.4832738861249792E-2</v>
      </c>
      <c r="AM29" s="117">
        <v>6.9828039123374305E-3</v>
      </c>
      <c r="AN29" s="117">
        <v>1.256323345789713E-2</v>
      </c>
      <c r="AO29" s="117">
        <v>-5.6673809216583465E-4</v>
      </c>
      <c r="AP29" s="117">
        <v>7.6514066542153966E-3</v>
      </c>
      <c r="AQ29" s="117">
        <v>7.1146665009359372E-3</v>
      </c>
      <c r="AR29" s="117">
        <v>1.1646127751694324E-2</v>
      </c>
      <c r="AS29" s="117">
        <v>1.4821445449147291E-2</v>
      </c>
      <c r="AT29" s="117">
        <v>7.3741085989954755E-3</v>
      </c>
      <c r="AU29" s="117">
        <v>-7.0626900288567329E-4</v>
      </c>
      <c r="AV29" s="117">
        <v>6.5867812374526755E-3</v>
      </c>
      <c r="AW29" s="117">
        <v>1.9737844797315385E-2</v>
      </c>
      <c r="AX29" s="117">
        <v>1.0846764651590728E-2</v>
      </c>
      <c r="AY29" s="117">
        <v>1.1888096407907417E-2</v>
      </c>
      <c r="AZ29" s="117">
        <v>3.2892095618486036E-3</v>
      </c>
      <c r="BA29" s="117">
        <v>4.1105211904722064E-3</v>
      </c>
      <c r="BB29" s="117">
        <v>1.7801247503283213E-2</v>
      </c>
      <c r="BC29" s="117">
        <v>5.3271887430668685E-3</v>
      </c>
      <c r="BD29" s="117">
        <v>1.0814156945291607E-2</v>
      </c>
      <c r="BE29" s="117">
        <v>1.4564623508646748E-2</v>
      </c>
      <c r="BF29" s="117">
        <v>1.5268105401672449E-2</v>
      </c>
      <c r="BG29" s="117">
        <v>2.2422948047146715E-2</v>
      </c>
      <c r="BH29" s="117">
        <v>7.8222840759370887E-3</v>
      </c>
      <c r="BI29" s="117">
        <v>9.7223128453544083E-3</v>
      </c>
      <c r="BJ29" s="117">
        <v>1.116302315007426E-2</v>
      </c>
      <c r="BK29" s="117">
        <v>3.7095496330211142E-4</v>
      </c>
      <c r="BL29" s="117">
        <v>7.7817756847804107E-3</v>
      </c>
      <c r="BM29" s="117">
        <v>1.4621837797160642E-2</v>
      </c>
      <c r="BN29" s="117">
        <v>1.8934318527011856E-2</v>
      </c>
      <c r="BO29" s="117">
        <v>1.4645402121798712E-2</v>
      </c>
      <c r="BP29" s="117">
        <v>2.5485974063800862E-2</v>
      </c>
      <c r="BQ29" s="117">
        <v>-1.7273673050177477E-3</v>
      </c>
      <c r="BR29" s="117">
        <v>9.2352033995194982E-3</v>
      </c>
      <c r="BS29" s="117">
        <v>2.1470732278410329E-2</v>
      </c>
      <c r="BT29" s="117">
        <v>1.3886322837978027E-2</v>
      </c>
      <c r="BU29" s="117">
        <v>8.2697622272545762E-3</v>
      </c>
      <c r="BV29" s="117">
        <v>1.0168646528933817E-2</v>
      </c>
      <c r="BW29" s="117">
        <v>1.7099507029580574E-2</v>
      </c>
      <c r="BX29" s="117">
        <v>7.3090579811635817E-3</v>
      </c>
      <c r="BY29" s="117">
        <v>1.8854291304459342E-2</v>
      </c>
      <c r="BZ29" s="117">
        <v>1.7881797661198989E-2</v>
      </c>
      <c r="CA29" s="117">
        <v>7.7354806908408388E-3</v>
      </c>
      <c r="CB29" s="117">
        <v>9.4343141433783501E-3</v>
      </c>
      <c r="CC29" s="117">
        <v>2.0380282774180192E-2</v>
      </c>
      <c r="CD29" s="117">
        <v>1.5235407821930211E-2</v>
      </c>
      <c r="CE29" s="117">
        <v>1.9054946470315359E-2</v>
      </c>
      <c r="CF29" s="117">
        <v>9.8522547520559917E-3</v>
      </c>
      <c r="CG29" s="117">
        <v>1.2274163483692944E-2</v>
      </c>
      <c r="CH29" s="117">
        <v>1.3095461435376057E-2</v>
      </c>
      <c r="CI29" s="117">
        <v>2.866282998457946E-3</v>
      </c>
      <c r="CJ29" s="117">
        <v>4.8786517425133333E-3</v>
      </c>
      <c r="CK29" s="117">
        <v>7.8057631570035285E-3</v>
      </c>
      <c r="CL29" s="117">
        <v>4.8492446082542551E-3</v>
      </c>
      <c r="CM29" s="117">
        <v>2.4946111643483357E-2</v>
      </c>
      <c r="CN29" s="117">
        <v>1.0545198424192631E-2</v>
      </c>
      <c r="CO29" s="117">
        <v>1.8726493206164152E-2</v>
      </c>
      <c r="CP29" s="117">
        <v>5.957092779965624E-3</v>
      </c>
      <c r="CQ29" s="117">
        <v>-1.9465205685777059E-3</v>
      </c>
      <c r="CR29" s="117">
        <v>1.1465896036019371E-2</v>
      </c>
      <c r="CS29" s="117">
        <v>1.0130202941853302E-2</v>
      </c>
      <c r="CT29" s="117">
        <v>9.8453664178761863E-3</v>
      </c>
      <c r="CU29" s="117">
        <v>1.7836047898023455E-2</v>
      </c>
      <c r="CV29" s="117">
        <v>7.5942481681719257E-3</v>
      </c>
      <c r="CW29" s="117">
        <v>1.4803156149141058E-2</v>
      </c>
      <c r="CX29" s="117">
        <v>3.4348903724685589E-3</v>
      </c>
    </row>
    <row r="30" spans="1:102" s="115" customFormat="1">
      <c r="A30" s="252" t="str">
        <f t="shared" si="0"/>
        <v>Credits</v>
      </c>
      <c r="B30" s="253"/>
      <c r="C30" s="117">
        <v>-3.932994315998365E-2</v>
      </c>
      <c r="D30" s="117">
        <v>-3.5124217288558662E-2</v>
      </c>
      <c r="E30" s="117">
        <v>-4.0783621146189733E-2</v>
      </c>
      <c r="F30" s="117">
        <v>-3.0440212346075298E-2</v>
      </c>
      <c r="G30" s="117">
        <v>-3.2883698049046686E-2</v>
      </c>
      <c r="H30" s="117">
        <v>-3.0611222041204526E-2</v>
      </c>
      <c r="I30" s="117">
        <v>-3.8688987868607028E-2</v>
      </c>
      <c r="J30" s="117">
        <v>-3.0826732059954662E-2</v>
      </c>
      <c r="K30" s="117">
        <v>-4.4357618648267934E-2</v>
      </c>
      <c r="L30" s="117">
        <v>-2.8684558147129169E-2</v>
      </c>
      <c r="M30" s="117">
        <v>-4.5364940645397284E-2</v>
      </c>
      <c r="N30" s="117">
        <v>-3.4321247572819485E-2</v>
      </c>
      <c r="O30" s="117">
        <v>-4.7745108743487752E-2</v>
      </c>
      <c r="P30" s="117">
        <v>-2.2490261650452099E-2</v>
      </c>
      <c r="Q30" s="117">
        <v>-3.4988223033872737E-2</v>
      </c>
      <c r="R30" s="117">
        <v>-2.5439835864335448E-2</v>
      </c>
      <c r="S30" s="117">
        <v>-2.3616707795386563E-2</v>
      </c>
      <c r="T30" s="117">
        <v>-2.4074431548728778E-2</v>
      </c>
      <c r="U30" s="117">
        <v>-3.074581435622337E-2</v>
      </c>
      <c r="V30" s="117">
        <v>-2.5035228444587894E-2</v>
      </c>
      <c r="W30" s="117">
        <v>-4.5031461853562764E-2</v>
      </c>
      <c r="X30" s="117">
        <v>-1.8864400898997991E-2</v>
      </c>
      <c r="Y30" s="117">
        <v>-4.2571967656429364E-2</v>
      </c>
      <c r="Z30" s="117">
        <v>-1.8452400424489437E-2</v>
      </c>
      <c r="AA30" s="117">
        <v>-2.7678877227284428E-2</v>
      </c>
      <c r="AB30" s="117">
        <v>-3.0806974064516841E-2</v>
      </c>
      <c r="AC30" s="117">
        <v>-2.2458899127373678E-2</v>
      </c>
      <c r="AD30" s="117">
        <v>-2.09717365387436E-2</v>
      </c>
      <c r="AE30" s="117">
        <v>-1.8783281078681244E-2</v>
      </c>
      <c r="AF30" s="117">
        <v>-3.1801429524902836E-2</v>
      </c>
      <c r="AG30" s="117">
        <v>-1.8425013737489671E-2</v>
      </c>
      <c r="AH30" s="117">
        <v>-2.6824545527661975E-2</v>
      </c>
      <c r="AI30" s="117">
        <v>-3.4775177080637917E-2</v>
      </c>
      <c r="AJ30" s="117">
        <v>-1.5605583154058814E-2</v>
      </c>
      <c r="AK30" s="117">
        <v>-2.8625554242870086E-2</v>
      </c>
      <c r="AL30" s="117">
        <v>-1.9956776282813695E-2</v>
      </c>
      <c r="AM30" s="117">
        <v>-3.1242890043742408E-2</v>
      </c>
      <c r="AN30" s="117">
        <v>-2.942311753593924E-2</v>
      </c>
      <c r="AO30" s="117">
        <v>-5.0236072478643069E-2</v>
      </c>
      <c r="AP30" s="117">
        <v>-4.1940096834840776E-2</v>
      </c>
      <c r="AQ30" s="117">
        <v>-2.336612671476938E-2</v>
      </c>
      <c r="AR30" s="117">
        <v>-1.8232081257309296E-2</v>
      </c>
      <c r="AS30" s="117">
        <v>-1.7902816218469071E-2</v>
      </c>
      <c r="AT30" s="117">
        <v>-2.9628420329084297E-2</v>
      </c>
      <c r="AU30" s="117">
        <v>-4.9904193185708011E-2</v>
      </c>
      <c r="AV30" s="117">
        <v>-1.4541159978904858E-2</v>
      </c>
      <c r="AW30" s="117">
        <v>-2.1529779641140483E-2</v>
      </c>
      <c r="AX30" s="117">
        <v>-3.5150617819150499E-2</v>
      </c>
      <c r="AY30" s="117">
        <v>-5.0184540402349979E-2</v>
      </c>
      <c r="AZ30" s="117">
        <v>-3.9063794698223214E-2</v>
      </c>
      <c r="BA30" s="117">
        <v>-2.8913250936441041E-2</v>
      </c>
      <c r="BB30" s="117">
        <v>-3.418764773312534E-2</v>
      </c>
      <c r="BC30" s="117">
        <v>-2.5312764760511901E-2</v>
      </c>
      <c r="BD30" s="117">
        <v>-2.3945875021836358E-2</v>
      </c>
      <c r="BE30" s="117">
        <v>-1.5355548594915676E-2</v>
      </c>
      <c r="BF30" s="117">
        <v>-1.3606284048697126E-2</v>
      </c>
      <c r="BG30" s="117">
        <v>-3.5958118023228333E-2</v>
      </c>
      <c r="BH30" s="117">
        <v>-4.1020225278655842E-2</v>
      </c>
      <c r="BI30" s="117">
        <v>-1.6546404140636517E-2</v>
      </c>
      <c r="BJ30" s="117">
        <v>-2.090675834339753E-2</v>
      </c>
      <c r="BK30" s="117">
        <v>-4.5493364265815392E-2</v>
      </c>
      <c r="BL30" s="117">
        <v>-2.9283069400437421E-2</v>
      </c>
      <c r="BM30" s="117">
        <v>-2.3789679548683187E-2</v>
      </c>
      <c r="BN30" s="117">
        <v>-3.0561172340834233E-2</v>
      </c>
      <c r="BO30" s="117">
        <v>-1.8773436396479156E-2</v>
      </c>
      <c r="BP30" s="117">
        <v>-2.9376136215821646E-2</v>
      </c>
      <c r="BQ30" s="117">
        <v>-5.1438348670946273E-2</v>
      </c>
      <c r="BR30" s="117">
        <v>-1.562308746662433E-2</v>
      </c>
      <c r="BS30" s="117">
        <v>-1.9063563324171317E-2</v>
      </c>
      <c r="BT30" s="117">
        <v>-1.5000416092070978E-2</v>
      </c>
      <c r="BU30" s="117">
        <v>-2.7981407641302115E-2</v>
      </c>
      <c r="BV30" s="117">
        <v>-2.3821048021831423E-2</v>
      </c>
      <c r="BW30" s="117">
        <v>-2.7963907805370874E-2</v>
      </c>
      <c r="BX30" s="117">
        <v>-2.2532533476248565E-2</v>
      </c>
      <c r="BY30" s="117">
        <v>-1.9743776050816789E-2</v>
      </c>
      <c r="BZ30" s="117">
        <v>-2.3889814020269965E-2</v>
      </c>
      <c r="CA30" s="117">
        <v>-3.8171442433074264E-2</v>
      </c>
      <c r="CB30" s="117">
        <v>-3.7422992333715835E-2</v>
      </c>
      <c r="CC30" s="117">
        <v>-2.9421715676014405E-2</v>
      </c>
      <c r="CD30" s="117">
        <v>-2.5827601825972483E-2</v>
      </c>
      <c r="CE30" s="117">
        <v>-1.866767797361097E-2</v>
      </c>
      <c r="CF30" s="117">
        <v>-3.908728917366916E-2</v>
      </c>
      <c r="CG30" s="117">
        <v>-2.3721167490589615E-2</v>
      </c>
      <c r="CH30" s="117">
        <v>-1.9766809316063432E-2</v>
      </c>
      <c r="CI30" s="117">
        <v>-4.2562789462725424E-2</v>
      </c>
      <c r="CJ30" s="117">
        <v>-2.1058077711396193E-2</v>
      </c>
      <c r="CK30" s="117">
        <v>-4.3563138544576954E-2</v>
      </c>
      <c r="CL30" s="117">
        <v>-3.8960263750133992E-2</v>
      </c>
      <c r="CM30" s="117">
        <v>-3.1788278762322972E-2</v>
      </c>
      <c r="CN30" s="117">
        <v>-4.2585020787882122E-2</v>
      </c>
      <c r="CO30" s="117">
        <v>-2.6828614401575579E-2</v>
      </c>
      <c r="CP30" s="117">
        <v>-2.5992949865426374E-2</v>
      </c>
      <c r="CQ30" s="117">
        <v>-5.2906562367520532E-2</v>
      </c>
      <c r="CR30" s="117">
        <v>-2.2409588278665151E-2</v>
      </c>
      <c r="CS30" s="117">
        <v>-2.9988631597957546E-2</v>
      </c>
      <c r="CT30" s="117">
        <v>-3.0601126678149161E-2</v>
      </c>
      <c r="CU30" s="117">
        <v>-1.298726653848592E-2</v>
      </c>
      <c r="CV30" s="117">
        <v>-1.4064783833791519E-2</v>
      </c>
      <c r="CW30" s="117">
        <v>-2.4665919827636912E-2</v>
      </c>
      <c r="CX30" s="117">
        <v>-3.9639896244479514E-2</v>
      </c>
    </row>
    <row r="31" spans="1:102" s="115" customFormat="1">
      <c r="A31" s="252" t="str">
        <f t="shared" si="0"/>
        <v>High Yield</v>
      </c>
      <c r="B31" s="253"/>
      <c r="C31" s="117">
        <v>6.0270513921438687E-2</v>
      </c>
      <c r="D31" s="117">
        <v>7.2493152748918752E-2</v>
      </c>
      <c r="E31" s="117">
        <v>5.1775180759268583E-2</v>
      </c>
      <c r="F31" s="117">
        <v>5.3531859693365602E-2</v>
      </c>
      <c r="G31" s="117">
        <v>5.3908057100538045E-2</v>
      </c>
      <c r="H31" s="117">
        <v>7.6426129578146998E-2</v>
      </c>
      <c r="I31" s="117">
        <v>5.614702908244365E-2</v>
      </c>
      <c r="J31" s="117">
        <v>7.1620170834555075E-2</v>
      </c>
      <c r="K31" s="117">
        <v>5.0641355174542907E-2</v>
      </c>
      <c r="L31" s="117">
        <v>7.6830469235168022E-2</v>
      </c>
      <c r="M31" s="117">
        <v>5.4660089771168194E-2</v>
      </c>
      <c r="N31" s="117">
        <v>5.9947046201973136E-2</v>
      </c>
      <c r="O31" s="117">
        <v>5.5639907815315179E-2</v>
      </c>
      <c r="P31" s="117">
        <v>7.9276354529987145E-2</v>
      </c>
      <c r="Q31" s="117">
        <v>6.8837904019621726E-2</v>
      </c>
      <c r="R31" s="117">
        <v>8.3215450199209659E-2</v>
      </c>
      <c r="S31" s="117">
        <v>8.3577313431963632E-2</v>
      </c>
      <c r="T31" s="117">
        <v>7.5817767404727746E-2</v>
      </c>
      <c r="U31" s="117">
        <v>7.6638526097373164E-2</v>
      </c>
      <c r="V31" s="117">
        <v>8.7573522523595945E-2</v>
      </c>
      <c r="W31" s="117">
        <v>6.1550730440913415E-2</v>
      </c>
      <c r="X31" s="117">
        <v>7.8253861181687576E-2</v>
      </c>
      <c r="Y31" s="117">
        <v>6.7185972413583747E-2</v>
      </c>
      <c r="Z31" s="117">
        <v>8.2293018422044714E-2</v>
      </c>
      <c r="AA31" s="117">
        <v>5.6532838801079191E-2</v>
      </c>
      <c r="AB31" s="117">
        <v>6.7416525375726705E-2</v>
      </c>
      <c r="AC31" s="117">
        <v>7.461503504586782E-2</v>
      </c>
      <c r="AD31" s="117">
        <v>8.7637890004935035E-2</v>
      </c>
      <c r="AE31" s="117">
        <v>6.9061572402098301E-2</v>
      </c>
      <c r="AF31" s="117">
        <v>7.3206354651551772E-2</v>
      </c>
      <c r="AG31" s="117">
        <v>8.3138796063570983E-2</v>
      </c>
      <c r="AH31" s="117">
        <v>7.8905624439732744E-2</v>
      </c>
      <c r="AI31" s="117">
        <v>6.9616102174064332E-2</v>
      </c>
      <c r="AJ31" s="117">
        <v>8.7563933042265743E-2</v>
      </c>
      <c r="AK31" s="117">
        <v>6.9042403544331207E-2</v>
      </c>
      <c r="AL31" s="117">
        <v>7.9338971435912994E-2</v>
      </c>
      <c r="AM31" s="117">
        <v>8.0729114862990822E-2</v>
      </c>
      <c r="AN31" s="117">
        <v>7.2725848059565917E-2</v>
      </c>
      <c r="AO31" s="117">
        <v>4.9729229982144338E-2</v>
      </c>
      <c r="AP31" s="117">
        <v>6.233592775726908E-2</v>
      </c>
      <c r="AQ31" s="117">
        <v>7.9064777472225053E-2</v>
      </c>
      <c r="AR31" s="117">
        <v>7.6118866130738108E-2</v>
      </c>
      <c r="AS31" s="117">
        <v>5.987990067840486E-2</v>
      </c>
      <c r="AT31" s="117">
        <v>7.1495076066870916E-2</v>
      </c>
      <c r="AU31" s="117">
        <v>6.3564461290606569E-2</v>
      </c>
      <c r="AV31" s="117">
        <v>8.5780522695007563E-2</v>
      </c>
      <c r="AW31" s="117">
        <v>8.0893411095660242E-2</v>
      </c>
      <c r="AX31" s="117">
        <v>6.0559912374745006E-2</v>
      </c>
      <c r="AY31" s="117">
        <v>5.1530011684693622E-2</v>
      </c>
      <c r="AZ31" s="117">
        <v>6.7925667529433062E-2</v>
      </c>
      <c r="BA31" s="117">
        <v>7.9883300757273554E-2</v>
      </c>
      <c r="BB31" s="117">
        <v>6.6470839947309512E-2</v>
      </c>
      <c r="BC31" s="117">
        <v>7.840048472523202E-2</v>
      </c>
      <c r="BD31" s="117">
        <v>7.6582502305421865E-2</v>
      </c>
      <c r="BE31" s="117">
        <v>8.6679802393862568E-2</v>
      </c>
      <c r="BF31" s="117">
        <v>8.2785244085317608E-2</v>
      </c>
      <c r="BG31" s="117">
        <v>6.373246389823943E-2</v>
      </c>
      <c r="BH31" s="117">
        <v>6.7181865515981945E-2</v>
      </c>
      <c r="BI31" s="117">
        <v>9.6402225237448139E-2</v>
      </c>
      <c r="BJ31" s="117">
        <v>8.7779510495938948E-2</v>
      </c>
      <c r="BK31" s="117">
        <v>5.260182997483287E-2</v>
      </c>
      <c r="BL31" s="117">
        <v>8.1229954633353987E-2</v>
      </c>
      <c r="BM31" s="117">
        <v>6.9437617364913731E-2</v>
      </c>
      <c r="BN31" s="117">
        <v>7.5922762544175806E-2</v>
      </c>
      <c r="BO31" s="117">
        <v>8.3489145811455515E-2</v>
      </c>
      <c r="BP31" s="117">
        <v>5.9692147243510574E-2</v>
      </c>
      <c r="BQ31" s="117">
        <v>3.5983996206718355E-2</v>
      </c>
      <c r="BR31" s="117">
        <v>9.0319987864677834E-2</v>
      </c>
      <c r="BS31" s="117">
        <v>8.8059464711503485E-2</v>
      </c>
      <c r="BT31" s="117">
        <v>7.6449058692104208E-2</v>
      </c>
      <c r="BU31" s="117">
        <v>6.5070352952070976E-2</v>
      </c>
      <c r="BV31" s="117">
        <v>8.3741194650228543E-2</v>
      </c>
      <c r="BW31" s="117">
        <v>7.7047759291898207E-2</v>
      </c>
      <c r="BX31" s="117">
        <v>7.9431534571934401E-2</v>
      </c>
      <c r="BY31" s="117">
        <v>7.8720109322023071E-2</v>
      </c>
      <c r="BZ31" s="117">
        <v>7.7391206830260503E-2</v>
      </c>
      <c r="CA31" s="117">
        <v>7.4162711336097531E-2</v>
      </c>
      <c r="CB31" s="117">
        <v>6.6693885218894369E-2</v>
      </c>
      <c r="CC31" s="117">
        <v>7.6257541352016386E-2</v>
      </c>
      <c r="CD31" s="117">
        <v>8.013484741035902E-2</v>
      </c>
      <c r="CE31" s="117">
        <v>6.6693568664414754E-2</v>
      </c>
      <c r="CF31" s="117">
        <v>5.0594162276664606E-2</v>
      </c>
      <c r="CG31" s="117">
        <v>6.8061761802952564E-2</v>
      </c>
      <c r="CH31" s="117">
        <v>7.9575466071937093E-2</v>
      </c>
      <c r="CI31" s="117">
        <v>5.449543733128305E-2</v>
      </c>
      <c r="CJ31" s="117">
        <v>8.9884644278595674E-2</v>
      </c>
      <c r="CK31" s="117">
        <v>6.4204030607063436E-2</v>
      </c>
      <c r="CL31" s="117">
        <v>6.325661222530489E-2</v>
      </c>
      <c r="CM31" s="117">
        <v>6.8667728169824596E-2</v>
      </c>
      <c r="CN31" s="117">
        <v>7.0556664641560157E-2</v>
      </c>
      <c r="CO31" s="117">
        <v>6.6395418081568E-2</v>
      </c>
      <c r="CP31" s="117">
        <v>8.353074535117723E-2</v>
      </c>
      <c r="CQ31" s="117">
        <v>4.7167403530583754E-2</v>
      </c>
      <c r="CR31" s="117">
        <v>5.8706416193504501E-2</v>
      </c>
      <c r="CS31" s="117">
        <v>7.9238104761420416E-2</v>
      </c>
      <c r="CT31" s="117">
        <v>6.7639002446888086E-2</v>
      </c>
      <c r="CU31" s="117">
        <v>9.0515784765009336E-2</v>
      </c>
      <c r="CV31" s="117">
        <v>8.7521419135664538E-2</v>
      </c>
      <c r="CW31" s="117">
        <v>7.6883753106676014E-2</v>
      </c>
      <c r="CX31" s="117">
        <v>5.5592699860868747E-2</v>
      </c>
    </row>
    <row r="32" spans="1:102" s="116" customFormat="1">
      <c r="A32" s="252" t="str">
        <f t="shared" si="0"/>
        <v>Emerging market debt</v>
      </c>
      <c r="B32" s="253"/>
      <c r="C32" s="117">
        <v>0.15353334867017787</v>
      </c>
      <c r="D32" s="117">
        <v>0.15962787530940459</v>
      </c>
      <c r="E32" s="117">
        <v>0.16163766681609987</v>
      </c>
      <c r="F32" s="117">
        <v>0.17694049086986768</v>
      </c>
      <c r="G32" s="117">
        <v>0.17730413132783451</v>
      </c>
      <c r="H32" s="117">
        <v>0.17032487890957632</v>
      </c>
      <c r="I32" s="117">
        <v>0.17080371459512378</v>
      </c>
      <c r="J32" s="117">
        <v>0.17456310882855203</v>
      </c>
      <c r="K32" s="117">
        <v>0.16895131008816733</v>
      </c>
      <c r="L32" s="117">
        <v>0.16343197693352912</v>
      </c>
      <c r="M32" s="117">
        <v>0.15225311870449648</v>
      </c>
      <c r="N32" s="117">
        <v>0.16783455751132104</v>
      </c>
      <c r="O32" s="117">
        <v>0.15380083313232285</v>
      </c>
      <c r="P32" s="117">
        <v>0.17369102635451861</v>
      </c>
      <c r="Q32" s="117">
        <v>0.15388329412535184</v>
      </c>
      <c r="R32" s="117">
        <v>0.15145423659443874</v>
      </c>
      <c r="S32" s="117">
        <v>0.17192727112014733</v>
      </c>
      <c r="T32" s="117">
        <v>0.16486436610744881</v>
      </c>
      <c r="U32" s="117">
        <v>0.17173475446347014</v>
      </c>
      <c r="V32" s="117">
        <v>0.15694360182165057</v>
      </c>
      <c r="W32" s="117">
        <v>0.155293222518951</v>
      </c>
      <c r="X32" s="117">
        <v>0.17888317128516223</v>
      </c>
      <c r="Y32" s="117">
        <v>0.14279980337574905</v>
      </c>
      <c r="Z32" s="117">
        <v>0.17916052730858872</v>
      </c>
      <c r="AA32" s="117">
        <v>0.16935069997716701</v>
      </c>
      <c r="AB32" s="117">
        <v>0.16969375347307569</v>
      </c>
      <c r="AC32" s="117">
        <v>0.18329034776947717</v>
      </c>
      <c r="AD32" s="117">
        <v>0.17980415536717226</v>
      </c>
      <c r="AE32" s="117">
        <v>0.17212193204926191</v>
      </c>
      <c r="AF32" s="117">
        <v>0.17401584120045355</v>
      </c>
      <c r="AG32" s="117">
        <v>0.17233150709111406</v>
      </c>
      <c r="AH32" s="117">
        <v>0.1654877840825007</v>
      </c>
      <c r="AI32" s="117">
        <v>0.15307409001191385</v>
      </c>
      <c r="AJ32" s="117">
        <v>0.16659579640064198</v>
      </c>
      <c r="AK32" s="117">
        <v>0.17708112842851076</v>
      </c>
      <c r="AL32" s="117">
        <v>0.19082749290415546</v>
      </c>
      <c r="AM32" s="117">
        <v>0.15847517284920798</v>
      </c>
      <c r="AN32" s="117">
        <v>0.17108037669273862</v>
      </c>
      <c r="AO32" s="117">
        <v>0.1663279499013347</v>
      </c>
      <c r="AP32" s="117">
        <v>0.17231523986722291</v>
      </c>
      <c r="AQ32" s="117">
        <v>0.17141326771158877</v>
      </c>
      <c r="AR32" s="117">
        <v>0.17958705475335612</v>
      </c>
      <c r="AS32" s="117">
        <v>0.18150131053661978</v>
      </c>
      <c r="AT32" s="117">
        <v>0.18419942161017522</v>
      </c>
      <c r="AU32" s="117">
        <v>0.16282027544224503</v>
      </c>
      <c r="AV32" s="117">
        <v>0.17681805061178668</v>
      </c>
      <c r="AW32" s="117">
        <v>0.176958767513338</v>
      </c>
      <c r="AX32" s="117">
        <v>0.17975254366125698</v>
      </c>
      <c r="AY32" s="117">
        <v>0.15678721839182813</v>
      </c>
      <c r="AZ32" s="117">
        <v>0.16628906242960173</v>
      </c>
      <c r="BA32" s="117">
        <v>0.16161235432062682</v>
      </c>
      <c r="BB32" s="117">
        <v>0.15944185994331583</v>
      </c>
      <c r="BC32" s="117">
        <v>0.16599951476664832</v>
      </c>
      <c r="BD32" s="117">
        <v>0.16772193743491981</v>
      </c>
      <c r="BE32" s="117">
        <v>0.1723309445496406</v>
      </c>
      <c r="BF32" s="117">
        <v>0.17600204040182182</v>
      </c>
      <c r="BG32" s="117">
        <v>0.14205015707797852</v>
      </c>
      <c r="BH32" s="117">
        <v>0.15579422433207918</v>
      </c>
      <c r="BI32" s="117">
        <v>0.17009354706789542</v>
      </c>
      <c r="BJ32" s="117">
        <v>0.15815631167080996</v>
      </c>
      <c r="BK32" s="117">
        <v>0.16517942353572551</v>
      </c>
      <c r="BL32" s="117">
        <v>0.18253458921380378</v>
      </c>
      <c r="BM32" s="117">
        <v>0.17044447852692102</v>
      </c>
      <c r="BN32" s="117">
        <v>0.16415225087965563</v>
      </c>
      <c r="BO32" s="117">
        <v>0.1748638456294494</v>
      </c>
      <c r="BP32" s="117">
        <v>0.16914736340170022</v>
      </c>
      <c r="BQ32" s="117">
        <v>0.15964433569568681</v>
      </c>
      <c r="BR32" s="117">
        <v>0.17784377355985531</v>
      </c>
      <c r="BS32" s="117">
        <v>0.17173663753778806</v>
      </c>
      <c r="BT32" s="117">
        <v>0.17514147518461082</v>
      </c>
      <c r="BU32" s="117">
        <v>0.18757108990958554</v>
      </c>
      <c r="BV32" s="117">
        <v>0.17975671258920328</v>
      </c>
      <c r="BW32" s="117">
        <v>0.18494387226245607</v>
      </c>
      <c r="BX32" s="117">
        <v>0.15286706214857643</v>
      </c>
      <c r="BY32" s="117">
        <v>0.19339601032918169</v>
      </c>
      <c r="BZ32" s="117">
        <v>0.17701011041621378</v>
      </c>
      <c r="CA32" s="117">
        <v>0.16346306123617688</v>
      </c>
      <c r="CB32" s="117">
        <v>0.17050250529662891</v>
      </c>
      <c r="CC32" s="117">
        <v>0.17612249448339912</v>
      </c>
      <c r="CD32" s="117">
        <v>0.17752910630916269</v>
      </c>
      <c r="CE32" s="117">
        <v>0.17909390786625334</v>
      </c>
      <c r="CF32" s="117">
        <v>0.1759149143414187</v>
      </c>
      <c r="CG32" s="117">
        <v>0.18122725619517555</v>
      </c>
      <c r="CH32" s="117">
        <v>0.15676577636730277</v>
      </c>
      <c r="CI32" s="117">
        <v>0.16441401400502376</v>
      </c>
      <c r="CJ32" s="117">
        <v>0.15370439586582596</v>
      </c>
      <c r="CK32" s="117">
        <v>0.16337370703172371</v>
      </c>
      <c r="CL32" s="117">
        <v>0.1740559237390138</v>
      </c>
      <c r="CM32" s="117">
        <v>0.15467372196787926</v>
      </c>
      <c r="CN32" s="117">
        <v>0.1656065577499734</v>
      </c>
      <c r="CO32" s="117">
        <v>0.17367261068726264</v>
      </c>
      <c r="CP32" s="117">
        <v>0.17402105919352634</v>
      </c>
      <c r="CQ32" s="117">
        <v>0.14884481966966889</v>
      </c>
      <c r="CR32" s="117">
        <v>0.18577566379150795</v>
      </c>
      <c r="CS32" s="117">
        <v>0.16216214576298194</v>
      </c>
      <c r="CT32" s="117">
        <v>0.16841074930847516</v>
      </c>
      <c r="CU32" s="117">
        <v>0.17036439586782959</v>
      </c>
      <c r="CV32" s="117">
        <v>0.18024698237602127</v>
      </c>
      <c r="CW32" s="117">
        <v>0.18003412688434195</v>
      </c>
      <c r="CX32" s="117">
        <v>0.17560335149381362</v>
      </c>
    </row>
    <row r="33" spans="1:102" s="131" customFormat="1">
      <c r="A33" s="252" t="str">
        <f t="shared" si="0"/>
        <v>Aandelen ontwikkeld</v>
      </c>
      <c r="B33" s="253"/>
      <c r="C33" s="117">
        <v>0.17808186323167158</v>
      </c>
      <c r="D33" s="117">
        <v>0.17752362173440001</v>
      </c>
      <c r="E33" s="117">
        <v>0.16075468639298457</v>
      </c>
      <c r="F33" s="117">
        <v>0.14505915914864942</v>
      </c>
      <c r="G33" s="117">
        <v>0.1509453323719232</v>
      </c>
      <c r="H33" s="117">
        <v>0.17805174365933446</v>
      </c>
      <c r="I33" s="117">
        <v>0.16313971045249248</v>
      </c>
      <c r="J33" s="117">
        <v>0.15500517583977069</v>
      </c>
      <c r="K33" s="117">
        <v>0.15160365794233516</v>
      </c>
      <c r="L33" s="117">
        <v>0.17093935374182184</v>
      </c>
      <c r="M33" s="117">
        <v>0.17060511102206688</v>
      </c>
      <c r="N33" s="117">
        <v>0.16701883047603733</v>
      </c>
      <c r="O33" s="117">
        <v>0.16879824325642134</v>
      </c>
      <c r="P33" s="117">
        <v>0.1546787074993668</v>
      </c>
      <c r="Q33" s="117">
        <v>0.18490313411755394</v>
      </c>
      <c r="R33" s="117">
        <v>0.18993991883811007</v>
      </c>
      <c r="S33" s="117">
        <v>0.17477718556292526</v>
      </c>
      <c r="T33" s="117">
        <v>0.17411000314899217</v>
      </c>
      <c r="U33" s="117">
        <v>0.18312474658662342</v>
      </c>
      <c r="V33" s="117">
        <v>0.1835354621802826</v>
      </c>
      <c r="W33" s="117">
        <v>0.18061076007769178</v>
      </c>
      <c r="X33" s="117">
        <v>0.17251007256183992</v>
      </c>
      <c r="Y33" s="117">
        <v>0.17881991156156979</v>
      </c>
      <c r="Z33" s="117">
        <v>0.15031415275460225</v>
      </c>
      <c r="AA33" s="117">
        <v>0.14141804109997808</v>
      </c>
      <c r="AB33" s="117">
        <v>0.17038198932777948</v>
      </c>
      <c r="AC33" s="117">
        <v>0.14411887194361006</v>
      </c>
      <c r="AD33" s="117">
        <v>0.16128583078731035</v>
      </c>
      <c r="AE33" s="117">
        <v>0.16295787864443123</v>
      </c>
      <c r="AF33" s="117">
        <v>0.16495704125529637</v>
      </c>
      <c r="AG33" s="117">
        <v>0.1656029690206734</v>
      </c>
      <c r="AH33" s="117">
        <v>0.18170113849869113</v>
      </c>
      <c r="AI33" s="117">
        <v>0.18940592091475128</v>
      </c>
      <c r="AJ33" s="117">
        <v>0.16665500995366256</v>
      </c>
      <c r="AK33" s="117">
        <v>0.13433430532974894</v>
      </c>
      <c r="AL33" s="117">
        <v>0.16352568336648843</v>
      </c>
      <c r="AM33" s="117">
        <v>0.18417476442132524</v>
      </c>
      <c r="AN33" s="117">
        <v>0.17322533228825071</v>
      </c>
      <c r="AO33" s="117">
        <v>0.16255110068457435</v>
      </c>
      <c r="AP33" s="117">
        <v>0.18917607139716058</v>
      </c>
      <c r="AQ33" s="117">
        <v>0.16753142860117065</v>
      </c>
      <c r="AR33" s="117">
        <v>0.14483764006625688</v>
      </c>
      <c r="AS33" s="117">
        <v>0.1384301342726616</v>
      </c>
      <c r="AT33" s="117">
        <v>0.15182860524980962</v>
      </c>
      <c r="AU33" s="117">
        <v>0.18626027888523433</v>
      </c>
      <c r="AV33" s="117">
        <v>0.15178364010360895</v>
      </c>
      <c r="AW33" s="117">
        <v>0.17746847529679544</v>
      </c>
      <c r="AX33" s="117">
        <v>0.14711567404445136</v>
      </c>
      <c r="AY33" s="117">
        <v>0.17459852946097837</v>
      </c>
      <c r="AZ33" s="117">
        <v>0.16466833334082831</v>
      </c>
      <c r="BA33" s="117">
        <v>0.17656605806509446</v>
      </c>
      <c r="BB33" s="117">
        <v>0.16361760824485289</v>
      </c>
      <c r="BC33" s="117">
        <v>0.18292664942973169</v>
      </c>
      <c r="BD33" s="117">
        <v>0.17817900161991868</v>
      </c>
      <c r="BE33" s="117">
        <v>0.17787524171219748</v>
      </c>
      <c r="BF33" s="117">
        <v>0.15497115649310794</v>
      </c>
      <c r="BG33" s="117">
        <v>0.17861183152906618</v>
      </c>
      <c r="BH33" s="117">
        <v>0.17937500644780124</v>
      </c>
      <c r="BI33" s="117">
        <v>0.17155818902466197</v>
      </c>
      <c r="BJ33" s="117">
        <v>0.18178459654430756</v>
      </c>
      <c r="BK33" s="117">
        <v>0.14382744897508459</v>
      </c>
      <c r="BL33" s="117">
        <v>0.17870323990947834</v>
      </c>
      <c r="BM33" s="117">
        <v>0.16914050355566396</v>
      </c>
      <c r="BN33" s="117">
        <v>0.16204136059663604</v>
      </c>
      <c r="BO33" s="117">
        <v>0.14607403969812166</v>
      </c>
      <c r="BP33" s="117">
        <v>0.14047946752531576</v>
      </c>
      <c r="BQ33" s="117">
        <v>0.14293236492081313</v>
      </c>
      <c r="BR33" s="117">
        <v>0.16013016883323267</v>
      </c>
      <c r="BS33" s="117">
        <v>0.17779677326321919</v>
      </c>
      <c r="BT33" s="117">
        <v>0.16776686716307543</v>
      </c>
      <c r="BU33" s="117">
        <v>0.13578026089140072</v>
      </c>
      <c r="BV33" s="117">
        <v>0.15873663988112269</v>
      </c>
      <c r="BW33" s="117">
        <v>0.18801210693802106</v>
      </c>
      <c r="BX33" s="117">
        <v>0.18810618466237411</v>
      </c>
      <c r="BY33" s="117">
        <v>0.16993667425049402</v>
      </c>
      <c r="BZ33" s="117">
        <v>0.16845001138620519</v>
      </c>
      <c r="CA33" s="117">
        <v>0.17819533759447104</v>
      </c>
      <c r="CB33" s="117">
        <v>0.15910027362857759</v>
      </c>
      <c r="CC33" s="117">
        <v>0.17477752486123316</v>
      </c>
      <c r="CD33" s="117">
        <v>0.18266950884707978</v>
      </c>
      <c r="CE33" s="117">
        <v>0.15565252872431273</v>
      </c>
      <c r="CF33" s="117">
        <v>0.14152802969098516</v>
      </c>
      <c r="CG33" s="117">
        <v>0.14333820004776798</v>
      </c>
      <c r="CH33" s="117">
        <v>0.179812814765207</v>
      </c>
      <c r="CI33" s="117">
        <v>0.1697235166473392</v>
      </c>
      <c r="CJ33" s="117">
        <v>0.19197637197912742</v>
      </c>
      <c r="CK33" s="117">
        <v>0.17750706232945357</v>
      </c>
      <c r="CL33" s="117">
        <v>0.17430647889831574</v>
      </c>
      <c r="CM33" s="117">
        <v>0.16116440924102454</v>
      </c>
      <c r="CN33" s="117">
        <v>0.18197511740565731</v>
      </c>
      <c r="CO33" s="117">
        <v>0.16598251902276789</v>
      </c>
      <c r="CP33" s="117">
        <v>0.15286944060473823</v>
      </c>
      <c r="CQ33" s="117">
        <v>0.14838347743175373</v>
      </c>
      <c r="CR33" s="117">
        <v>0.13926976073698316</v>
      </c>
      <c r="CS33" s="117">
        <v>0.18345032434938019</v>
      </c>
      <c r="CT33" s="117">
        <v>0.16821777639506119</v>
      </c>
      <c r="CU33" s="117">
        <v>0.17032236964501407</v>
      </c>
      <c r="CV33" s="117">
        <v>0.14735804152309429</v>
      </c>
      <c r="CW33" s="117">
        <v>0.14953813021400886</v>
      </c>
      <c r="CX33" s="117">
        <v>0.14339129151149921</v>
      </c>
    </row>
    <row r="34" spans="1:102" s="115" customFormat="1">
      <c r="A34" s="252" t="str">
        <f t="shared" si="0"/>
        <v>Aandelen opkomend</v>
      </c>
      <c r="B34" s="253"/>
      <c r="C34" s="117">
        <v>0.31941658415990581</v>
      </c>
      <c r="D34" s="117">
        <v>0.30817903752634823</v>
      </c>
      <c r="E34" s="117">
        <v>0.29054510597807365</v>
      </c>
      <c r="F34" s="117">
        <v>0.31388023207870791</v>
      </c>
      <c r="G34" s="117">
        <v>0.28919678751574407</v>
      </c>
      <c r="H34" s="117">
        <v>0.33408779184649123</v>
      </c>
      <c r="I34" s="117">
        <v>0.26340413436754845</v>
      </c>
      <c r="J34" s="117">
        <v>0.29333277216562115</v>
      </c>
      <c r="K34" s="117">
        <v>0.27482712288444933</v>
      </c>
      <c r="L34" s="117">
        <v>0.30897097826719327</v>
      </c>
      <c r="M34" s="117">
        <v>0.26707768716134916</v>
      </c>
      <c r="N34" s="117">
        <v>0.3104515876313636</v>
      </c>
      <c r="O34" s="117">
        <v>0.24038064165345124</v>
      </c>
      <c r="P34" s="117">
        <v>0.32135522124595817</v>
      </c>
      <c r="Q34" s="117">
        <v>0.33115264670487893</v>
      </c>
      <c r="R34" s="117">
        <v>0.35853161178278325</v>
      </c>
      <c r="S34" s="117">
        <v>0.31180700799931832</v>
      </c>
      <c r="T34" s="117">
        <v>0.35894190739134296</v>
      </c>
      <c r="U34" s="117">
        <v>0.34711531543074042</v>
      </c>
      <c r="V34" s="117">
        <v>0.32949125895377873</v>
      </c>
      <c r="W34" s="117">
        <v>0.26695888334244916</v>
      </c>
      <c r="X34" s="117">
        <v>0.34463963287764182</v>
      </c>
      <c r="Y34" s="117">
        <v>0.25625224594285601</v>
      </c>
      <c r="Z34" s="117">
        <v>0.3297865537609791</v>
      </c>
      <c r="AA34" s="117">
        <v>0.31894082790924483</v>
      </c>
      <c r="AB34" s="117">
        <v>0.2902898939336877</v>
      </c>
      <c r="AC34" s="117">
        <v>0.29772899837894073</v>
      </c>
      <c r="AD34" s="117">
        <v>0.30553651270230758</v>
      </c>
      <c r="AE34" s="117">
        <v>0.32773254738936397</v>
      </c>
      <c r="AF34" s="117">
        <v>0.28891728929608085</v>
      </c>
      <c r="AG34" s="117">
        <v>0.35450254860459901</v>
      </c>
      <c r="AH34" s="117">
        <v>0.30783994531472753</v>
      </c>
      <c r="AI34" s="117">
        <v>0.33014228100314619</v>
      </c>
      <c r="AJ34" s="117">
        <v>0.35731275049877337</v>
      </c>
      <c r="AK34" s="117">
        <v>0.26561612832229331</v>
      </c>
      <c r="AL34" s="117">
        <v>0.33366563571583291</v>
      </c>
      <c r="AM34" s="117">
        <v>0.29174265444532049</v>
      </c>
      <c r="AN34" s="117">
        <v>0.30289042537903543</v>
      </c>
      <c r="AO34" s="117">
        <v>0.26621105108979554</v>
      </c>
      <c r="AP34" s="117">
        <v>0.31670296532450293</v>
      </c>
      <c r="AQ34" s="117">
        <v>0.33108029781242448</v>
      </c>
      <c r="AR34" s="117">
        <v>0.32652536168406432</v>
      </c>
      <c r="AS34" s="117">
        <v>0.33619073497564567</v>
      </c>
      <c r="AT34" s="117">
        <v>0.28943093377750334</v>
      </c>
      <c r="AU34" s="117">
        <v>0.29734300510503753</v>
      </c>
      <c r="AV34" s="117">
        <v>0.34490463529940885</v>
      </c>
      <c r="AW34" s="117">
        <v>0.35113961333065324</v>
      </c>
      <c r="AX34" s="117">
        <v>0.24921173722846396</v>
      </c>
      <c r="AY34" s="117">
        <v>0.2706650851523994</v>
      </c>
      <c r="AZ34" s="117">
        <v>0.26018891736339139</v>
      </c>
      <c r="BA34" s="117">
        <v>0.30507887250511262</v>
      </c>
      <c r="BB34" s="117">
        <v>0.27839665997574276</v>
      </c>
      <c r="BC34" s="117">
        <v>0.35996762245817399</v>
      </c>
      <c r="BD34" s="117">
        <v>0.35356646462011815</v>
      </c>
      <c r="BE34" s="117">
        <v>0.35216667443061805</v>
      </c>
      <c r="BF34" s="117">
        <v>0.32925291074435953</v>
      </c>
      <c r="BG34" s="117">
        <v>0.29071053943922165</v>
      </c>
      <c r="BH34" s="117">
        <v>0.27326244357787333</v>
      </c>
      <c r="BI34" s="117">
        <v>0.33267670824325363</v>
      </c>
      <c r="BJ34" s="117">
        <v>0.3294127940464856</v>
      </c>
      <c r="BK34" s="117">
        <v>0.22945107550412602</v>
      </c>
      <c r="BL34" s="117">
        <v>0.32945043739655688</v>
      </c>
      <c r="BM34" s="117">
        <v>0.30738193936762054</v>
      </c>
      <c r="BN34" s="117">
        <v>0.26916055228392843</v>
      </c>
      <c r="BO34" s="117">
        <v>0.29840896380115262</v>
      </c>
      <c r="BP34" s="117">
        <v>0.26088013534178534</v>
      </c>
      <c r="BQ34" s="117">
        <v>0.24269022296786352</v>
      </c>
      <c r="BR34" s="117">
        <v>0.32914292294613912</v>
      </c>
      <c r="BS34" s="117">
        <v>0.34119627883509401</v>
      </c>
      <c r="BT34" s="117">
        <v>0.37813341074399354</v>
      </c>
      <c r="BU34" s="117">
        <v>0.27830232650042991</v>
      </c>
      <c r="BV34" s="117">
        <v>0.3025370823822221</v>
      </c>
      <c r="BW34" s="117">
        <v>0.32761708531185241</v>
      </c>
      <c r="BX34" s="117">
        <v>0.36061425867416974</v>
      </c>
      <c r="BY34" s="117">
        <v>0.3411707856040464</v>
      </c>
      <c r="BZ34" s="117">
        <v>0.30614048208608741</v>
      </c>
      <c r="CA34" s="117">
        <v>0.27831756237931937</v>
      </c>
      <c r="CB34" s="117">
        <v>0.26512120372312531</v>
      </c>
      <c r="CC34" s="117">
        <v>0.32719390774388746</v>
      </c>
      <c r="CD34" s="117">
        <v>0.31013787199595727</v>
      </c>
      <c r="CE34" s="117">
        <v>0.32025466814959602</v>
      </c>
      <c r="CF34" s="117">
        <v>0.22884217897268794</v>
      </c>
      <c r="CG34" s="117">
        <v>0.31039441392978934</v>
      </c>
      <c r="CH34" s="117">
        <v>0.34723232591659953</v>
      </c>
      <c r="CI34" s="117">
        <v>0.27593159874873452</v>
      </c>
      <c r="CJ34" s="117">
        <v>0.37821357830506075</v>
      </c>
      <c r="CK34" s="117">
        <v>0.28517304118892389</v>
      </c>
      <c r="CL34" s="117">
        <v>0.29843996354708968</v>
      </c>
      <c r="CM34" s="117">
        <v>0.2654486637996688</v>
      </c>
      <c r="CN34" s="117">
        <v>0.30143354020162233</v>
      </c>
      <c r="CO34" s="117">
        <v>0.31779241174869932</v>
      </c>
      <c r="CP34" s="117">
        <v>0.26889946652341451</v>
      </c>
      <c r="CQ34" s="117">
        <v>0.1982676130063501</v>
      </c>
      <c r="CR34" s="117">
        <v>0.32980937515352138</v>
      </c>
      <c r="CS34" s="117">
        <v>0.31570917487094513</v>
      </c>
      <c r="CT34" s="117">
        <v>0.27802185603648999</v>
      </c>
      <c r="CU34" s="117">
        <v>0.31516408893668829</v>
      </c>
      <c r="CV34" s="117">
        <v>0.32229369872783931</v>
      </c>
      <c r="CW34" s="117">
        <v>0.25747237428631786</v>
      </c>
      <c r="CX34" s="117">
        <v>0.26221924930553631</v>
      </c>
    </row>
    <row r="35" spans="1:102" s="115" customFormat="1">
      <c r="A35" s="252" t="str">
        <f t="shared" si="0"/>
        <v>Hedge funds</v>
      </c>
      <c r="B35" s="253"/>
      <c r="C35" s="117">
        <v>0.10469602579274752</v>
      </c>
      <c r="D35" s="117">
        <v>0.10662553767345841</v>
      </c>
      <c r="E35" s="117">
        <v>0.11213780982192363</v>
      </c>
      <c r="F35" s="117">
        <v>0.11580386864474106</v>
      </c>
      <c r="G35" s="117">
        <v>0.11805036837074294</v>
      </c>
      <c r="H35" s="117">
        <v>0.1117547545567165</v>
      </c>
      <c r="I35" s="117">
        <v>0.11602640689110276</v>
      </c>
      <c r="J35" s="117">
        <v>0.11414878389319731</v>
      </c>
      <c r="K35" s="117">
        <v>0.11588239534338012</v>
      </c>
      <c r="L35" s="117">
        <v>0.10831253763041034</v>
      </c>
      <c r="M35" s="117">
        <v>0.10872897318680898</v>
      </c>
      <c r="N35" s="117">
        <v>0.11423413859454644</v>
      </c>
      <c r="O35" s="117">
        <v>0.10932897823576358</v>
      </c>
      <c r="P35" s="117">
        <v>0.11045708924772889</v>
      </c>
      <c r="Q35" s="117">
        <v>0.1022241796172101</v>
      </c>
      <c r="R35" s="117">
        <v>9.3821525620068555E-2</v>
      </c>
      <c r="S35" s="117">
        <v>0.10911474897990038</v>
      </c>
      <c r="T35" s="117">
        <v>0.10596160222264649</v>
      </c>
      <c r="U35" s="117">
        <v>0.11319031941259079</v>
      </c>
      <c r="V35" s="117">
        <v>0.10003464146516518</v>
      </c>
      <c r="W35" s="117">
        <v>0.10959781681867402</v>
      </c>
      <c r="X35" s="117">
        <v>0.11122714743170568</v>
      </c>
      <c r="Y35" s="117">
        <v>0.10040168398806205</v>
      </c>
      <c r="Z35" s="117">
        <v>0.11296993114054067</v>
      </c>
      <c r="AA35" s="117">
        <v>0.11216311599299707</v>
      </c>
      <c r="AB35" s="117">
        <v>0.11459088604514854</v>
      </c>
      <c r="AC35" s="117">
        <v>0.11627711383209839</v>
      </c>
      <c r="AD35" s="117">
        <v>0.11515126356368209</v>
      </c>
      <c r="AE35" s="117">
        <v>0.1053634495845177</v>
      </c>
      <c r="AF35" s="117">
        <v>0.11472933434701151</v>
      </c>
      <c r="AG35" s="117">
        <v>0.10315810363779342</v>
      </c>
      <c r="AH35" s="117">
        <v>0.10785162203712527</v>
      </c>
      <c r="AI35" s="117">
        <v>0.10407414202946734</v>
      </c>
      <c r="AJ35" s="117">
        <v>0.10298086057616136</v>
      </c>
      <c r="AK35" s="117">
        <v>0.11649059369174668</v>
      </c>
      <c r="AL35" s="117">
        <v>0.12144218129800129</v>
      </c>
      <c r="AM35" s="117">
        <v>0.10504057645387642</v>
      </c>
      <c r="AN35" s="117">
        <v>0.11111290345507187</v>
      </c>
      <c r="AO35" s="117">
        <v>0.1174704825227202</v>
      </c>
      <c r="AP35" s="117">
        <v>0.11976654179152395</v>
      </c>
      <c r="AQ35" s="117">
        <v>0.11214712889061824</v>
      </c>
      <c r="AR35" s="117">
        <v>0.11352871087636481</v>
      </c>
      <c r="AS35" s="117">
        <v>0.11224014351774213</v>
      </c>
      <c r="AT35" s="117">
        <v>0.12230770907924847</v>
      </c>
      <c r="AU35" s="117">
        <v>0.10798283583776676</v>
      </c>
      <c r="AV35" s="117">
        <v>0.10910907650401609</v>
      </c>
      <c r="AW35" s="117">
        <v>0.11221967711520932</v>
      </c>
      <c r="AX35" s="117">
        <v>0.11738139884342742</v>
      </c>
      <c r="AY35" s="117">
        <v>0.11053652436493915</v>
      </c>
      <c r="AZ35" s="117">
        <v>0.11447187503405686</v>
      </c>
      <c r="BA35" s="117">
        <v>0.10717741979150121</v>
      </c>
      <c r="BB35" s="117">
        <v>0.11185315111687853</v>
      </c>
      <c r="BC35" s="117">
        <v>0.1077658141660565</v>
      </c>
      <c r="BD35" s="117">
        <v>0.1006543266721021</v>
      </c>
      <c r="BE35" s="117">
        <v>0.10498997722542137</v>
      </c>
      <c r="BF35" s="117">
        <v>0.11091854299526664</v>
      </c>
      <c r="BG35" s="117">
        <v>0.10138352852935774</v>
      </c>
      <c r="BH35" s="117">
        <v>0.10733418757717279</v>
      </c>
      <c r="BI35" s="117">
        <v>0.10634612213570009</v>
      </c>
      <c r="BJ35" s="117">
        <v>9.9064623005519478E-2</v>
      </c>
      <c r="BK35" s="117">
        <v>0.11659109159257948</v>
      </c>
      <c r="BL35" s="117">
        <v>0.12193631624473865</v>
      </c>
      <c r="BM35" s="117">
        <v>0.10902289628169952</v>
      </c>
      <c r="BN35" s="117">
        <v>0.11092861201043121</v>
      </c>
      <c r="BO35" s="117">
        <v>0.11327360559795298</v>
      </c>
      <c r="BP35" s="117">
        <v>0.11624153491858787</v>
      </c>
      <c r="BQ35" s="117">
        <v>0.11541349737415739</v>
      </c>
      <c r="BR35" s="117">
        <v>0.11154751738746187</v>
      </c>
      <c r="BS35" s="117">
        <v>0.1108716420992311</v>
      </c>
      <c r="BT35" s="117">
        <v>0.10365451478926195</v>
      </c>
      <c r="BU35" s="117">
        <v>0.12235452520635968</v>
      </c>
      <c r="BV35" s="117">
        <v>0.1183805050622581</v>
      </c>
      <c r="BW35" s="117">
        <v>0.12091609949293251</v>
      </c>
      <c r="BX35" s="117">
        <v>9.5606597791031603E-2</v>
      </c>
      <c r="BY35" s="117">
        <v>0.1233919647456133</v>
      </c>
      <c r="BZ35" s="117">
        <v>0.11396109701647132</v>
      </c>
      <c r="CA35" s="117">
        <v>0.10799459874511889</v>
      </c>
      <c r="CB35" s="117">
        <v>0.11917952911055239</v>
      </c>
      <c r="CC35" s="117">
        <v>0.1150095448120529</v>
      </c>
      <c r="CD35" s="117">
        <v>0.11556376014824392</v>
      </c>
      <c r="CE35" s="117">
        <v>0.10840965269451112</v>
      </c>
      <c r="CF35" s="117">
        <v>0.12015779352826005</v>
      </c>
      <c r="CG35" s="117">
        <v>0.11895038679051555</v>
      </c>
      <c r="CH35" s="117">
        <v>9.9024535707901193E-2</v>
      </c>
      <c r="CI35" s="117">
        <v>0.11739825682895179</v>
      </c>
      <c r="CJ35" s="117">
        <v>9.2611549727678696E-2</v>
      </c>
      <c r="CK35" s="117">
        <v>0.11180892169336228</v>
      </c>
      <c r="CL35" s="117">
        <v>0.12197449715271007</v>
      </c>
      <c r="CM35" s="117">
        <v>0.10879838440927229</v>
      </c>
      <c r="CN35" s="117">
        <v>0.11000874559015643</v>
      </c>
      <c r="CO35" s="117">
        <v>0.11679302478481253</v>
      </c>
      <c r="CP35" s="117">
        <v>0.11381660248928159</v>
      </c>
      <c r="CQ35" s="117">
        <v>0.10826049577688553</v>
      </c>
      <c r="CR35" s="117">
        <v>0.11770964266297866</v>
      </c>
      <c r="CS35" s="117">
        <v>0.10324906182735517</v>
      </c>
      <c r="CT35" s="117">
        <v>0.11436444924442347</v>
      </c>
      <c r="CU35" s="117">
        <v>0.10196103353728024</v>
      </c>
      <c r="CV35" s="117">
        <v>0.11322379249186702</v>
      </c>
      <c r="CW35" s="117">
        <v>0.11842515667921259</v>
      </c>
      <c r="CX35" s="117">
        <v>0.12240338394128163</v>
      </c>
    </row>
    <row r="36" spans="1:102" s="115" customFormat="1">
      <c r="A36" s="252" t="str">
        <f t="shared" si="0"/>
        <v>Onroerend goed</v>
      </c>
      <c r="B36" s="253"/>
      <c r="C36" s="117">
        <v>8.816172168966617E-2</v>
      </c>
      <c r="D36" s="117">
        <v>8.5460992831999413E-2</v>
      </c>
      <c r="E36" s="117">
        <v>0.1134720847708343</v>
      </c>
      <c r="F36" s="117">
        <v>0.10823077568444663</v>
      </c>
      <c r="G36" s="117">
        <v>0.11412596032181595</v>
      </c>
      <c r="H36" s="117">
        <v>8.423574591585721E-2</v>
      </c>
      <c r="I36" s="117">
        <v>0.11648744056415299</v>
      </c>
      <c r="J36" s="117">
        <v>0.10107420350584605</v>
      </c>
      <c r="K36" s="117">
        <v>0.13181309251595813</v>
      </c>
      <c r="L36" s="117">
        <v>7.8879938703987615E-2</v>
      </c>
      <c r="M36" s="117">
        <v>0.11215564035191129</v>
      </c>
      <c r="N36" s="117">
        <v>0.10036871702590182</v>
      </c>
      <c r="O36" s="117">
        <v>0.12139517914397809</v>
      </c>
      <c r="P36" s="117">
        <v>7.9091992144961334E-2</v>
      </c>
      <c r="Q36" s="117">
        <v>6.7744043360710285E-2</v>
      </c>
      <c r="R36" s="117">
        <v>3.1053571442050315E-2</v>
      </c>
      <c r="S36" s="117">
        <v>6.7198653575410341E-2</v>
      </c>
      <c r="T36" s="117">
        <v>6.3450345771883812E-2</v>
      </c>
      <c r="U36" s="117">
        <v>8.4263339087425157E-2</v>
      </c>
      <c r="V36" s="117">
        <v>4.9589695193285502E-2</v>
      </c>
      <c r="W36" s="117">
        <v>0.10840192913721557</v>
      </c>
      <c r="X36" s="117">
        <v>5.9759024105521294E-2</v>
      </c>
      <c r="Y36" s="117">
        <v>9.0722252585723376E-2</v>
      </c>
      <c r="Z36" s="117">
        <v>8.1254933172639474E-2</v>
      </c>
      <c r="AA36" s="117">
        <v>9.9637526846278676E-2</v>
      </c>
      <c r="AB36" s="117">
        <v>9.7280186346640804E-2</v>
      </c>
      <c r="AC36" s="117">
        <v>9.5115316387938895E-2</v>
      </c>
      <c r="AD36" s="117">
        <v>8.5207941374757276E-2</v>
      </c>
      <c r="AE36" s="117">
        <v>5.171533347519594E-2</v>
      </c>
      <c r="AF36" s="117">
        <v>9.6553284712338691E-2</v>
      </c>
      <c r="AG36" s="117">
        <v>4.3367163022018193E-2</v>
      </c>
      <c r="AH36" s="117">
        <v>6.8186572892516867E-2</v>
      </c>
      <c r="AI36" s="117">
        <v>6.9380343619346765E-2</v>
      </c>
      <c r="AJ36" s="117">
        <v>4.6182057947680905E-2</v>
      </c>
      <c r="AK36" s="117">
        <v>0.11822920853214093</v>
      </c>
      <c r="AL36" s="117">
        <v>8.9206549144190142E-2</v>
      </c>
      <c r="AM36" s="117">
        <v>7.0475737020878226E-2</v>
      </c>
      <c r="AN36" s="117">
        <v>7.7907484309501715E-2</v>
      </c>
      <c r="AO36" s="117">
        <v>0.14076886158089669</v>
      </c>
      <c r="AP36" s="117">
        <v>0.11362662985107928</v>
      </c>
      <c r="AQ36" s="117">
        <v>7.649342603710553E-2</v>
      </c>
      <c r="AR36" s="117">
        <v>8.2377164102144754E-2</v>
      </c>
      <c r="AS36" s="117">
        <v>7.8620085588741076E-2</v>
      </c>
      <c r="AT36" s="117">
        <v>0.11923484935679275</v>
      </c>
      <c r="AU36" s="117">
        <v>9.662030843250409E-2</v>
      </c>
      <c r="AV36" s="117">
        <v>6.3652990909721777E-2</v>
      </c>
      <c r="AW36" s="117">
        <v>6.543471723684989E-2</v>
      </c>
      <c r="AX36" s="117">
        <v>0.11650795255073608</v>
      </c>
      <c r="AY36" s="117">
        <v>0.11852193346371377</v>
      </c>
      <c r="AZ36" s="117">
        <v>0.1149817965193476</v>
      </c>
      <c r="BA36" s="117">
        <v>7.1996500522831769E-2</v>
      </c>
      <c r="BB36" s="117">
        <v>0.10609080534712277</v>
      </c>
      <c r="BC36" s="117">
        <v>6.0406407730610248E-2</v>
      </c>
      <c r="BD36" s="117">
        <v>3.7180683675176893E-2</v>
      </c>
      <c r="BE36" s="117">
        <v>3.7704655440917598E-2</v>
      </c>
      <c r="BF36" s="117">
        <v>6.294133996290481E-2</v>
      </c>
      <c r="BG36" s="117">
        <v>8.0436616472858338E-2</v>
      </c>
      <c r="BH36" s="117">
        <v>9.332252732576142E-2</v>
      </c>
      <c r="BI36" s="117">
        <v>5.438560114685477E-2</v>
      </c>
      <c r="BJ36" s="117">
        <v>3.7345988151067364E-2</v>
      </c>
      <c r="BK36" s="117">
        <v>0.14646161993089407</v>
      </c>
      <c r="BL36" s="117">
        <v>0.10271800794491733</v>
      </c>
      <c r="BM36" s="117">
        <v>6.5084554774021974E-2</v>
      </c>
      <c r="BN36" s="117">
        <v>9.786075991781594E-2</v>
      </c>
      <c r="BO36" s="117">
        <v>9.0072108563426304E-2</v>
      </c>
      <c r="BP36" s="117">
        <v>0.11972551817157297</v>
      </c>
      <c r="BQ36" s="117">
        <v>0.15138590040737004</v>
      </c>
      <c r="BR36" s="117">
        <v>6.5967528577767803E-2</v>
      </c>
      <c r="BS36" s="117">
        <v>6.4232435068420302E-2</v>
      </c>
      <c r="BT36" s="117">
        <v>3.6162749096997002E-2</v>
      </c>
      <c r="BU36" s="117">
        <v>0.12220460756048999</v>
      </c>
      <c r="BV36" s="117">
        <v>0.10050343594540286</v>
      </c>
      <c r="BW36" s="117">
        <v>8.847812195338485E-2</v>
      </c>
      <c r="BX36" s="117">
        <v>2.6795599311898705E-2</v>
      </c>
      <c r="BY36" s="117">
        <v>8.8020370687455898E-2</v>
      </c>
      <c r="BZ36" s="117">
        <v>7.7564457391722977E-2</v>
      </c>
      <c r="CA36" s="117">
        <v>8.6189641441608608E-2</v>
      </c>
      <c r="CB36" s="117">
        <v>0.1294549494409466</v>
      </c>
      <c r="CC36" s="117">
        <v>8.682562721583352E-2</v>
      </c>
      <c r="CD36" s="117">
        <v>7.8062606235594315E-2</v>
      </c>
      <c r="CE36" s="117">
        <v>5.9701187432239664E-2</v>
      </c>
      <c r="CF36" s="117">
        <v>0.13807340583072786</v>
      </c>
      <c r="CG36" s="117">
        <v>0.10475640113056227</v>
      </c>
      <c r="CH36" s="117">
        <v>3.4287163785823485E-2</v>
      </c>
      <c r="CI36" s="117">
        <v>0.12106013474043002</v>
      </c>
      <c r="CJ36" s="117">
        <v>1.8112475218875213E-2</v>
      </c>
      <c r="CK36" s="117">
        <v>0.10378121802062738</v>
      </c>
      <c r="CL36" s="117">
        <v>0.12189464558970713</v>
      </c>
      <c r="CM36" s="117">
        <v>0.10060543188095002</v>
      </c>
      <c r="CN36" s="117">
        <v>9.4003476573287628E-2</v>
      </c>
      <c r="CO36" s="117">
        <v>9.1979208419026667E-2</v>
      </c>
      <c r="CP36" s="117">
        <v>9.852721658156928E-2</v>
      </c>
      <c r="CQ36" s="117">
        <v>0.14342020116746335</v>
      </c>
      <c r="CR36" s="117">
        <v>9.5766392040460266E-2</v>
      </c>
      <c r="CS36" s="117">
        <v>5.553404440576698E-2</v>
      </c>
      <c r="CT36" s="117">
        <v>9.2818335265168098E-2</v>
      </c>
      <c r="CU36" s="117">
        <v>3.4886591696329988E-2</v>
      </c>
      <c r="CV36" s="117">
        <v>7.5123347730535125E-2</v>
      </c>
      <c r="CW36" s="117">
        <v>0.10670192409019523</v>
      </c>
      <c r="CX36" s="117">
        <v>0.14675156754178087</v>
      </c>
    </row>
    <row r="37" spans="1:102" s="131" customFormat="1">
      <c r="A37" s="254" t="str">
        <f t="shared" si="0"/>
        <v>Commodities</v>
      </c>
      <c r="B37" s="255"/>
      <c r="C37" s="118">
        <v>0.24568944662896486</v>
      </c>
      <c r="D37" s="118">
        <v>0.23649580440668172</v>
      </c>
      <c r="E37" s="118">
        <v>0.26625487212590726</v>
      </c>
      <c r="F37" s="118">
        <v>0.31521065433096529</v>
      </c>
      <c r="G37" s="118">
        <v>0.32569772160005017</v>
      </c>
      <c r="H37" s="118">
        <v>0.25722364393653696</v>
      </c>
      <c r="I37" s="118">
        <v>0.30997350315750477</v>
      </c>
      <c r="J37" s="118">
        <v>0.26582528712575304</v>
      </c>
      <c r="K37" s="118">
        <v>0.26942306071479255</v>
      </c>
      <c r="L37" s="118">
        <v>0.24294322640520083</v>
      </c>
      <c r="M37" s="118">
        <v>0.23798152119968696</v>
      </c>
      <c r="N37" s="118">
        <v>0.28422720043910565</v>
      </c>
      <c r="O37" s="118">
        <v>0.24275373408578954</v>
      </c>
      <c r="P37" s="118">
        <v>0.2583680351544731</v>
      </c>
      <c r="Q37" s="118">
        <v>0.24627011764627788</v>
      </c>
      <c r="R37" s="118">
        <v>0.22739462582943187</v>
      </c>
      <c r="S37" s="118">
        <v>0.28202932914948947</v>
      </c>
      <c r="T37" s="118">
        <v>0.26389636014347123</v>
      </c>
      <c r="U37" s="118">
        <v>0.26021974661362657</v>
      </c>
      <c r="V37" s="118">
        <v>0.22364145639220151</v>
      </c>
      <c r="W37" s="118">
        <v>0.24309847975980825</v>
      </c>
      <c r="X37" s="118">
        <v>0.32116736980006771</v>
      </c>
      <c r="Y37" s="118">
        <v>0.2089479308442293</v>
      </c>
      <c r="Z37" s="118">
        <v>0.26702675918102742</v>
      </c>
      <c r="AA37" s="118">
        <v>0.28392275041224568</v>
      </c>
      <c r="AB37" s="118">
        <v>0.30464224969582732</v>
      </c>
      <c r="AC37" s="118">
        <v>0.3015556045134089</v>
      </c>
      <c r="AD37" s="118">
        <v>0.26872873550654397</v>
      </c>
      <c r="AE37" s="118">
        <v>0.33669525619921598</v>
      </c>
      <c r="AF37" s="118">
        <v>0.27516363203873578</v>
      </c>
      <c r="AG37" s="118">
        <v>0.27811991967547256</v>
      </c>
      <c r="AH37" s="118">
        <v>0.28357098106952305</v>
      </c>
      <c r="AI37" s="118">
        <v>0.24018843181502647</v>
      </c>
      <c r="AJ37" s="118">
        <v>0.25008478614585983</v>
      </c>
      <c r="AK37" s="118">
        <v>0.26624761599275309</v>
      </c>
      <c r="AL37" s="118">
        <v>0.3249898122387414</v>
      </c>
      <c r="AM37" s="118">
        <v>0.24148750278356806</v>
      </c>
      <c r="AN37" s="118">
        <v>0.29305383563922788</v>
      </c>
      <c r="AO37" s="118">
        <v>0.25964396890942437</v>
      </c>
      <c r="AP37" s="118">
        <v>0.28668197516053739</v>
      </c>
      <c r="AQ37" s="118">
        <v>0.26129844986662537</v>
      </c>
      <c r="AR37" s="118">
        <v>0.28790889420951332</v>
      </c>
      <c r="AS37" s="118">
        <v>0.34697862309748667</v>
      </c>
      <c r="AT37" s="118">
        <v>0.28760611490563154</v>
      </c>
      <c r="AU37" s="118">
        <v>0.24302556966903505</v>
      </c>
      <c r="AV37" s="118">
        <v>0.26303492583082039</v>
      </c>
      <c r="AW37" s="118">
        <v>0.30134301465714419</v>
      </c>
      <c r="AX37" s="118">
        <v>0.31827107672672267</v>
      </c>
      <c r="AY37" s="118">
        <v>0.26232878123615744</v>
      </c>
      <c r="AZ37" s="118">
        <v>0.24861521992536967</v>
      </c>
      <c r="BA37" s="118">
        <v>0.23758660099574214</v>
      </c>
      <c r="BB37" s="118">
        <v>0.25375456098918631</v>
      </c>
      <c r="BC37" s="118">
        <v>0.25614654844084422</v>
      </c>
      <c r="BD37" s="118">
        <v>0.29223213422181632</v>
      </c>
      <c r="BE37" s="118">
        <v>0.29614815961942803</v>
      </c>
      <c r="BF37" s="118">
        <v>0.29031278086806184</v>
      </c>
      <c r="BG37" s="118">
        <v>0.23832231931438863</v>
      </c>
      <c r="BH37" s="118">
        <v>0.24300923613301317</v>
      </c>
      <c r="BI37" s="118">
        <v>0.2392425814611206</v>
      </c>
      <c r="BJ37" s="118">
        <v>0.2463243024508302</v>
      </c>
      <c r="BK37" s="118">
        <v>0.25130993088714748</v>
      </c>
      <c r="BL37" s="118">
        <v>0.27259124301827758</v>
      </c>
      <c r="BM37" s="118">
        <v>0.32007727528025548</v>
      </c>
      <c r="BN37" s="118">
        <v>0.25548460420697916</v>
      </c>
      <c r="BO37" s="118">
        <v>0.26008622518912472</v>
      </c>
      <c r="BP37" s="118">
        <v>0.30036400685477371</v>
      </c>
      <c r="BQ37" s="118">
        <v>0.26270479840124095</v>
      </c>
      <c r="BR37" s="118">
        <v>0.26441721136941254</v>
      </c>
      <c r="BS37" s="118">
        <v>0.27363839583337191</v>
      </c>
      <c r="BT37" s="118">
        <v>0.31937566974277248</v>
      </c>
      <c r="BU37" s="118">
        <v>0.30967231259231665</v>
      </c>
      <c r="BV37" s="118">
        <v>0.26279276301154209</v>
      </c>
      <c r="BW37" s="118">
        <v>0.32930200849951696</v>
      </c>
      <c r="BX37" s="118">
        <v>0.25048313094115843</v>
      </c>
      <c r="BY37" s="118">
        <v>0.3439002231407754</v>
      </c>
      <c r="BZ37" s="118">
        <v>0.30694434351130068</v>
      </c>
      <c r="CA37" s="118">
        <v>0.25118007383795526</v>
      </c>
      <c r="CB37" s="118">
        <v>0.25833505757096925</v>
      </c>
      <c r="CC37" s="118">
        <v>0.28880850521747364</v>
      </c>
      <c r="CD37" s="118">
        <v>0.3073162264595109</v>
      </c>
      <c r="CE37" s="118">
        <v>0.35932963561012943</v>
      </c>
      <c r="CF37" s="118">
        <v>0.31925754829488701</v>
      </c>
      <c r="CG37" s="118">
        <v>0.29745902053828627</v>
      </c>
      <c r="CH37" s="118">
        <v>0.26464487368707845</v>
      </c>
      <c r="CI37" s="118">
        <v>0.2709529384424042</v>
      </c>
      <c r="CJ37" s="118">
        <v>0.22394681007368694</v>
      </c>
      <c r="CK37" s="118">
        <v>0.25486936050566661</v>
      </c>
      <c r="CL37" s="118">
        <v>0.27649773972602348</v>
      </c>
      <c r="CM37" s="118">
        <v>0.25206571846100739</v>
      </c>
      <c r="CN37" s="118">
        <v>0.25038126520776238</v>
      </c>
      <c r="CO37" s="118">
        <v>0.30803288147706176</v>
      </c>
      <c r="CP37" s="118">
        <v>0.24751645181310589</v>
      </c>
      <c r="CQ37" s="118">
        <v>0.22274515416698265</v>
      </c>
      <c r="CR37" s="118">
        <v>0.34011570567266913</v>
      </c>
      <c r="CS37" s="118">
        <v>0.25987569490670814</v>
      </c>
      <c r="CT37" s="118">
        <v>0.2901925074027441</v>
      </c>
      <c r="CU37" s="118">
        <v>0.29894494054433995</v>
      </c>
      <c r="CV37" s="118">
        <v>0.26617357661665852</v>
      </c>
      <c r="CW37" s="118">
        <v>0.29707878437147262</v>
      </c>
      <c r="CX37" s="118">
        <v>0.27327797131428072</v>
      </c>
    </row>
    <row r="38" spans="1:102" s="115" customFormat="1">
      <c r="A38" s="76" t="s">
        <v>132</v>
      </c>
      <c r="B38" s="119"/>
      <c r="C38" s="120">
        <v>28.130784418872093</v>
      </c>
      <c r="D38" s="120">
        <v>27.643797838872512</v>
      </c>
      <c r="E38" s="120">
        <v>27.400523952660535</v>
      </c>
      <c r="F38" s="120">
        <v>28.533811115978349</v>
      </c>
      <c r="G38" s="120">
        <v>28.175027461619827</v>
      </c>
      <c r="H38" s="120">
        <v>29.184026040500701</v>
      </c>
      <c r="I38" s="120">
        <v>28.217668651817494</v>
      </c>
      <c r="J38" s="120">
        <v>26.89993344483721</v>
      </c>
      <c r="K38" s="120">
        <v>28.017749905894359</v>
      </c>
      <c r="L38" s="120">
        <v>26.929122755611196</v>
      </c>
      <c r="M38" s="120">
        <v>27.069631331115431</v>
      </c>
      <c r="N38" s="120">
        <v>28.111208579687904</v>
      </c>
      <c r="O38" s="120">
        <v>27.38235259838698</v>
      </c>
      <c r="P38" s="120">
        <v>27.025653260159462</v>
      </c>
      <c r="Q38" s="120">
        <v>28.182071829767924</v>
      </c>
      <c r="R38" s="120">
        <v>28.748910159320882</v>
      </c>
      <c r="S38" s="120">
        <v>27.826573495018806</v>
      </c>
      <c r="T38" s="120">
        <v>29.173998484516954</v>
      </c>
      <c r="U38" s="120">
        <v>30.403662384850094</v>
      </c>
      <c r="V38" s="120">
        <v>27.765832213197818</v>
      </c>
      <c r="W38" s="120">
        <v>28.267879668505088</v>
      </c>
      <c r="X38" s="120">
        <v>29.450944990346944</v>
      </c>
      <c r="Y38" s="120">
        <v>26.698924771914367</v>
      </c>
      <c r="Z38" s="120">
        <v>28.072867108353261</v>
      </c>
      <c r="AA38" s="120">
        <v>27.610298260318064</v>
      </c>
      <c r="AB38" s="120">
        <v>28.402174449167461</v>
      </c>
      <c r="AC38" s="120">
        <v>27.028503916719195</v>
      </c>
      <c r="AD38" s="120">
        <v>27.953534118974936</v>
      </c>
      <c r="AE38" s="120">
        <v>28.481808116072106</v>
      </c>
      <c r="AF38" s="120">
        <v>27.24057688965831</v>
      </c>
      <c r="AG38" s="120">
        <v>27.767012559989311</v>
      </c>
      <c r="AH38" s="120">
        <v>28.349706078748017</v>
      </c>
      <c r="AI38" s="120">
        <v>28.704842545305823</v>
      </c>
      <c r="AJ38" s="120">
        <v>28.125292526951188</v>
      </c>
      <c r="AK38" s="120">
        <v>26.662743223314084</v>
      </c>
      <c r="AL38" s="120">
        <v>30.047964487373637</v>
      </c>
      <c r="AM38" s="120">
        <v>27.675486694403105</v>
      </c>
      <c r="AN38" s="120">
        <v>27.63772483868102</v>
      </c>
      <c r="AO38" s="120">
        <v>29.362278760407484</v>
      </c>
      <c r="AP38" s="120">
        <v>31.672290787791486</v>
      </c>
      <c r="AQ38" s="120">
        <v>27.952596296364252</v>
      </c>
      <c r="AR38" s="120">
        <v>27.539764888703672</v>
      </c>
      <c r="AS38" s="120">
        <v>29.055129500304485</v>
      </c>
      <c r="AT38" s="120">
        <v>28.727285486849063</v>
      </c>
      <c r="AU38" s="120">
        <v>28.81014640840559</v>
      </c>
      <c r="AV38" s="120">
        <v>28.009413154291977</v>
      </c>
      <c r="AW38" s="120">
        <v>29.810172272074738</v>
      </c>
      <c r="AX38" s="120">
        <v>27.204948418313965</v>
      </c>
      <c r="AY38" s="120">
        <v>28.472519810542448</v>
      </c>
      <c r="AZ38" s="120">
        <v>27.467016509732574</v>
      </c>
      <c r="BA38" s="120">
        <v>27.045845756889648</v>
      </c>
      <c r="BB38" s="120">
        <v>27.078435191056855</v>
      </c>
      <c r="BC38" s="120">
        <v>29.629606803254571</v>
      </c>
      <c r="BD38" s="120">
        <v>28.669691203788943</v>
      </c>
      <c r="BE38" s="120">
        <v>29.070339076552493</v>
      </c>
      <c r="BF38" s="120">
        <v>27.090181752182012</v>
      </c>
      <c r="BG38" s="120">
        <v>26.889724128077916</v>
      </c>
      <c r="BH38" s="120">
        <v>27.346334801845678</v>
      </c>
      <c r="BI38" s="120">
        <v>28.22920789783992</v>
      </c>
      <c r="BJ38" s="120">
        <v>27.379888989959515</v>
      </c>
      <c r="BK38" s="120">
        <v>27.660895154886123</v>
      </c>
      <c r="BL38" s="120">
        <v>31.03529502346586</v>
      </c>
      <c r="BM38" s="120">
        <v>27.961370246781737</v>
      </c>
      <c r="BN38" s="120">
        <v>26.804143864537888</v>
      </c>
      <c r="BO38" s="120">
        <v>27.088564969274806</v>
      </c>
      <c r="BP38" s="120">
        <v>26.846342789739033</v>
      </c>
      <c r="BQ38" s="120">
        <v>28.070910451930594</v>
      </c>
      <c r="BR38" s="120">
        <v>27.743800455753689</v>
      </c>
      <c r="BS38" s="120">
        <v>29.198922372688468</v>
      </c>
      <c r="BT38" s="120">
        <v>30.390641215299102</v>
      </c>
      <c r="BU38" s="120">
        <v>27.973007856441299</v>
      </c>
      <c r="BV38" s="120">
        <v>28.680758358399178</v>
      </c>
      <c r="BW38" s="120">
        <v>31.891234868717472</v>
      </c>
      <c r="BX38" s="120">
        <v>28.780991269968329</v>
      </c>
      <c r="BY38" s="120">
        <v>31.36589599921065</v>
      </c>
      <c r="BZ38" s="120">
        <v>28.014712712686634</v>
      </c>
      <c r="CA38" s="120">
        <v>27.364663161154009</v>
      </c>
      <c r="CB38" s="120">
        <v>28.727770083520376</v>
      </c>
      <c r="CC38" s="120">
        <v>29.256580250883196</v>
      </c>
      <c r="CD38" s="120">
        <v>29.808210811312023</v>
      </c>
      <c r="CE38" s="120">
        <v>29.182087380563285</v>
      </c>
      <c r="CF38" s="120">
        <v>27.919273838881306</v>
      </c>
      <c r="CG38" s="120">
        <v>28.109366405220868</v>
      </c>
      <c r="CH38" s="120">
        <v>27.748747183392279</v>
      </c>
      <c r="CI38" s="120">
        <v>28.49185964707468</v>
      </c>
      <c r="CJ38" s="120">
        <v>30.060320463380947</v>
      </c>
      <c r="CK38" s="120">
        <v>28.111915719935421</v>
      </c>
      <c r="CL38" s="120">
        <v>30.137409461516672</v>
      </c>
      <c r="CM38" s="120">
        <v>26.448140959028954</v>
      </c>
      <c r="CN38" s="120">
        <v>28.574141138552292</v>
      </c>
      <c r="CO38" s="120">
        <v>28.59222112745941</v>
      </c>
      <c r="CP38" s="120">
        <v>26.963564713101491</v>
      </c>
      <c r="CQ38" s="120">
        <v>26.708077788724758</v>
      </c>
      <c r="CR38" s="120">
        <v>29.45239741166651</v>
      </c>
      <c r="CS38" s="120">
        <v>27.546560412311713</v>
      </c>
      <c r="CT38" s="120">
        <v>27.25415698416273</v>
      </c>
      <c r="CU38" s="120">
        <v>27.980646647663612</v>
      </c>
      <c r="CV38" s="120">
        <v>27.536407110736416</v>
      </c>
      <c r="CW38" s="120">
        <v>27.400288039984982</v>
      </c>
      <c r="CX38" s="120">
        <v>29.279341413394295</v>
      </c>
    </row>
    <row r="39" spans="1:102" s="11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115" customFormat="1">
      <c r="A40" s="144" t="s">
        <v>133</v>
      </c>
      <c r="B40" s="14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31" customFormat="1">
      <c r="A41" s="128" t="str">
        <f>Parameters!A40</f>
        <v>Basis</v>
      </c>
      <c r="B41" s="122" t="s">
        <v>29</v>
      </c>
      <c r="C41" s="123">
        <v>1.3615536556639871E-2</v>
      </c>
      <c r="D41" s="123">
        <v>1.4518290711857553E-2</v>
      </c>
      <c r="E41" s="123">
        <v>1.3583239724874616E-2</v>
      </c>
      <c r="F41" s="123">
        <v>1.3527665347927932E-2</v>
      </c>
      <c r="G41" s="123">
        <v>1.357040606924283E-2</v>
      </c>
      <c r="H41" s="123">
        <v>1.4177105215013256E-2</v>
      </c>
      <c r="I41" s="123">
        <v>1.3609380515471118E-2</v>
      </c>
      <c r="J41" s="123">
        <v>1.472232351890616E-2</v>
      </c>
      <c r="K41" s="123">
        <v>1.3541024878566343E-2</v>
      </c>
      <c r="L41" s="123">
        <v>1.463660706765442E-2</v>
      </c>
      <c r="M41" s="123">
        <v>1.3548675411547023E-2</v>
      </c>
      <c r="N41" s="123">
        <v>1.3493473931626674E-2</v>
      </c>
      <c r="O41" s="123">
        <v>1.3703373285744898E-2</v>
      </c>
      <c r="P41" s="123">
        <v>1.4897655575347194E-2</v>
      </c>
      <c r="Q41" s="123">
        <v>1.3440293050567776E-2</v>
      </c>
      <c r="R41" s="123">
        <v>1.3977990648613346E-2</v>
      </c>
      <c r="S41" s="123">
        <v>1.4598743315881001E-2</v>
      </c>
      <c r="T41" s="123">
        <v>1.372454359210452E-2</v>
      </c>
      <c r="U41" s="123">
        <v>1.3787064357123173E-2</v>
      </c>
      <c r="V41" s="123">
        <v>1.4639360469111665E-2</v>
      </c>
      <c r="W41" s="123">
        <v>1.3545467849321421E-2</v>
      </c>
      <c r="X41" s="123">
        <v>1.3838238568736217E-2</v>
      </c>
      <c r="Y41" s="123">
        <v>1.3974485077655807E-2</v>
      </c>
      <c r="Z41" s="123">
        <v>1.4812580122503985E-2</v>
      </c>
      <c r="AA41" s="123">
        <v>1.3474548853143668E-2</v>
      </c>
      <c r="AB41" s="123">
        <v>1.3581301788096488E-2</v>
      </c>
      <c r="AC41" s="123">
        <v>1.4642723716380604E-2</v>
      </c>
      <c r="AD41" s="123">
        <v>1.5052863190943358E-2</v>
      </c>
      <c r="AE41" s="123">
        <v>1.3444507056101007E-2</v>
      </c>
      <c r="AF41" s="123">
        <v>1.4323541622511848E-2</v>
      </c>
      <c r="AG41" s="123">
        <v>1.426696716850933E-2</v>
      </c>
      <c r="AH41" s="123">
        <v>1.3914376640875477E-2</v>
      </c>
      <c r="AI41" s="123">
        <v>1.3266119781728786E-2</v>
      </c>
      <c r="AJ41" s="123">
        <v>1.446963452190321E-2</v>
      </c>
      <c r="AK41" s="123">
        <v>1.4819691094463766E-2</v>
      </c>
      <c r="AL41" s="123">
        <v>1.404965661267189E-2</v>
      </c>
      <c r="AM41" s="123">
        <v>1.4306213662425198E-2</v>
      </c>
      <c r="AN41" s="123">
        <v>1.388417441614399E-2</v>
      </c>
      <c r="AO41" s="123">
        <v>1.3002127151382294E-2</v>
      </c>
      <c r="AP41" s="123">
        <v>1.2792245673825522E-2</v>
      </c>
      <c r="AQ41" s="123">
        <v>1.424077794300071E-2</v>
      </c>
      <c r="AR41" s="123">
        <v>1.4402721769424146E-2</v>
      </c>
      <c r="AS41" s="123">
        <v>1.319973696771975E-2</v>
      </c>
      <c r="AT41" s="123">
        <v>1.4237732355447393E-2</v>
      </c>
      <c r="AU41" s="123">
        <v>1.318259707330037E-2</v>
      </c>
      <c r="AV41" s="123">
        <v>1.4717365740581323E-2</v>
      </c>
      <c r="AW41" s="123">
        <v>1.3639146836288092E-2</v>
      </c>
      <c r="AX41" s="123">
        <v>1.3905979661934255E-2</v>
      </c>
      <c r="AY41" s="123">
        <v>1.2651886857296379E-2</v>
      </c>
      <c r="AZ41" s="123">
        <v>1.4126686975763482E-2</v>
      </c>
      <c r="BA41" s="123">
        <v>1.4372309896698167E-2</v>
      </c>
      <c r="BB41" s="123">
        <v>1.3728838222633256E-2</v>
      </c>
      <c r="BC41" s="123">
        <v>1.3535824671731769E-2</v>
      </c>
      <c r="BD41" s="123">
        <v>1.3406856054876756E-2</v>
      </c>
      <c r="BE41" s="123">
        <v>1.3950707208345072E-2</v>
      </c>
      <c r="BF41" s="123">
        <v>1.4512150311484976E-2</v>
      </c>
      <c r="BG41" s="123">
        <v>1.3017314523583453E-2</v>
      </c>
      <c r="BH41" s="123">
        <v>1.3564986916228795E-2</v>
      </c>
      <c r="BI41" s="123">
        <v>1.494330030522955E-2</v>
      </c>
      <c r="BJ41" s="123">
        <v>1.4295232967362664E-2</v>
      </c>
      <c r="BK41" s="123">
        <v>1.3637912657763505E-2</v>
      </c>
      <c r="BL41" s="123">
        <v>1.3836698671054283E-2</v>
      </c>
      <c r="BM41" s="123">
        <v>1.3454710645398911E-2</v>
      </c>
      <c r="BN41" s="123">
        <v>1.4323405370942986E-2</v>
      </c>
      <c r="BO41" s="123">
        <v>1.4912410973081314E-2</v>
      </c>
      <c r="BP41" s="123">
        <v>1.3615838519363582E-2</v>
      </c>
      <c r="BQ41" s="123">
        <v>1.2535812177756938E-2</v>
      </c>
      <c r="BR41" s="123">
        <v>1.488373093144325E-2</v>
      </c>
      <c r="BS41" s="123">
        <v>1.4036495810407966E-2</v>
      </c>
      <c r="BT41" s="123">
        <v>1.3172207118223644E-2</v>
      </c>
      <c r="BU41" s="123">
        <v>1.4084229866667037E-2</v>
      </c>
      <c r="BV41" s="123">
        <v>1.4582491216223202E-2</v>
      </c>
      <c r="BW41" s="123">
        <v>1.3217654074259561E-2</v>
      </c>
      <c r="BX41" s="123">
        <v>1.3334810852161203E-2</v>
      </c>
      <c r="BY41" s="123">
        <v>1.3512800197849109E-2</v>
      </c>
      <c r="BZ41" s="123">
        <v>1.3932950126395106E-2</v>
      </c>
      <c r="CA41" s="123">
        <v>1.3937673187186224E-2</v>
      </c>
      <c r="CB41" s="123">
        <v>1.3799370210705342E-2</v>
      </c>
      <c r="CC41" s="123">
        <v>1.3505695663049056E-2</v>
      </c>
      <c r="CD41" s="123">
        <v>1.3713186251336943E-2</v>
      </c>
      <c r="CE41" s="123">
        <v>1.314200405980253E-2</v>
      </c>
      <c r="CF41" s="123">
        <v>1.3340668958524609E-2</v>
      </c>
      <c r="CG41" s="123">
        <v>1.3842248182413801E-2</v>
      </c>
      <c r="CH41" s="123">
        <v>1.358242848036529E-2</v>
      </c>
      <c r="CI41" s="123">
        <v>1.2947220199888615E-2</v>
      </c>
      <c r="CJ41" s="123">
        <v>1.3631840392245891E-2</v>
      </c>
      <c r="CK41" s="123">
        <v>1.3252160106340517E-2</v>
      </c>
      <c r="CL41" s="123">
        <v>1.3141997902773291E-2</v>
      </c>
      <c r="CM41" s="123">
        <v>1.3779548982232055E-2</v>
      </c>
      <c r="CN41" s="123">
        <v>1.3358984941051959E-2</v>
      </c>
      <c r="CO41" s="123">
        <v>1.3195058583695775E-2</v>
      </c>
      <c r="CP41" s="123">
        <v>1.5095211252562631E-2</v>
      </c>
      <c r="CQ41" s="123">
        <v>1.3391774943288286E-2</v>
      </c>
      <c r="CR41" s="123">
        <v>1.3049027283909359E-2</v>
      </c>
      <c r="CS41" s="123">
        <v>1.3788173365523255E-2</v>
      </c>
      <c r="CT41" s="123">
        <v>1.3697860407281701E-2</v>
      </c>
      <c r="CU41" s="123">
        <v>1.4436577592470929E-2</v>
      </c>
      <c r="CV41" s="123">
        <v>1.4949513217475891E-2</v>
      </c>
      <c r="CW41" s="123">
        <v>1.4602145938551837E-2</v>
      </c>
      <c r="CX41" s="123">
        <v>1.3395135453590005E-2</v>
      </c>
    </row>
    <row r="42" spans="1:102" s="115" customFormat="1">
      <c r="A42" s="23"/>
      <c r="B42" s="14" t="s">
        <v>30</v>
      </c>
      <c r="C42" s="125">
        <v>7.215677620816946E-2</v>
      </c>
      <c r="D42" s="125">
        <v>7.4069517612597557E-2</v>
      </c>
      <c r="E42" s="125">
        <v>6.8940561538022749E-2</v>
      </c>
      <c r="F42" s="125">
        <v>6.7649844962005906E-2</v>
      </c>
      <c r="G42" s="125">
        <v>6.6244488767289292E-2</v>
      </c>
      <c r="H42" s="125">
        <v>7.264012849601019E-2</v>
      </c>
      <c r="I42" s="125">
        <v>6.6292771511001616E-2</v>
      </c>
      <c r="J42" s="125">
        <v>7.2141210495518804E-2</v>
      </c>
      <c r="K42" s="125">
        <v>6.6538760560055379E-2</v>
      </c>
      <c r="L42" s="125">
        <v>7.4563688250914834E-2</v>
      </c>
      <c r="M42" s="125">
        <v>6.9502751978224975E-2</v>
      </c>
      <c r="N42" s="125">
        <v>6.9060472701313089E-2</v>
      </c>
      <c r="O42" s="125">
        <v>6.7998561636148327E-2</v>
      </c>
      <c r="P42" s="125">
        <v>7.5352945728112158E-2</v>
      </c>
      <c r="Q42" s="125">
        <v>7.2697505167147472E-2</v>
      </c>
      <c r="R42" s="125">
        <v>7.6057378173484541E-2</v>
      </c>
      <c r="S42" s="125">
        <v>7.2621156126250377E-2</v>
      </c>
      <c r="T42" s="125">
        <v>7.366306043730303E-2</v>
      </c>
      <c r="U42" s="125">
        <v>7.1629656139399797E-2</v>
      </c>
      <c r="V42" s="125">
        <v>7.6944133160334494E-2</v>
      </c>
      <c r="W42" s="125">
        <v>6.8965400509344715E-2</v>
      </c>
      <c r="X42" s="125">
        <v>6.9571980756843357E-2</v>
      </c>
      <c r="Y42" s="125">
        <v>7.2945391830644218E-2</v>
      </c>
      <c r="Z42" s="125">
        <v>7.5117139429405275E-2</v>
      </c>
      <c r="AA42" s="125">
        <v>7.0488226367084891E-2</v>
      </c>
      <c r="AB42" s="125">
        <v>6.8158188517968316E-2</v>
      </c>
      <c r="AC42" s="125">
        <v>7.1081679207380594E-2</v>
      </c>
      <c r="AD42" s="125">
        <v>7.3899234546943499E-2</v>
      </c>
      <c r="AE42" s="125">
        <v>6.8644694744382936E-2</v>
      </c>
      <c r="AF42" s="125">
        <v>7.0602706148961789E-2</v>
      </c>
      <c r="AG42" s="125">
        <v>7.4061408194741399E-2</v>
      </c>
      <c r="AH42" s="125">
        <v>7.1008258340067118E-2</v>
      </c>
      <c r="AI42" s="125">
        <v>7.2092812577608467E-2</v>
      </c>
      <c r="AJ42" s="125">
        <v>7.6944825991248744E-2</v>
      </c>
      <c r="AK42" s="125">
        <v>7.1247307687933192E-2</v>
      </c>
      <c r="AL42" s="125">
        <v>6.866439326705151E-2</v>
      </c>
      <c r="AM42" s="125">
        <v>7.3269481646999604E-2</v>
      </c>
      <c r="AN42" s="125">
        <v>7.008485101769725E-2</v>
      </c>
      <c r="AO42" s="125">
        <v>6.443888197716692E-2</v>
      </c>
      <c r="AP42" s="125">
        <v>6.5656238364682748E-2</v>
      </c>
      <c r="AQ42" s="125">
        <v>7.332330337837549E-2</v>
      </c>
      <c r="AR42" s="125">
        <v>7.3013201022200588E-2</v>
      </c>
      <c r="AS42" s="125">
        <v>6.7516040836197402E-2</v>
      </c>
      <c r="AT42" s="125">
        <v>6.8590207140600268E-2</v>
      </c>
      <c r="AU42" s="125">
        <v>6.8908930780569824E-2</v>
      </c>
      <c r="AV42" s="125">
        <v>7.6223940435984516E-2</v>
      </c>
      <c r="AW42" s="125">
        <v>7.0279350158883674E-2</v>
      </c>
      <c r="AX42" s="125">
        <v>6.6294813234768254E-2</v>
      </c>
      <c r="AY42" s="125">
        <v>6.6118467456849975E-2</v>
      </c>
      <c r="AZ42" s="125">
        <v>6.9469400216675928E-2</v>
      </c>
      <c r="BA42" s="125">
        <v>7.4102625090193511E-2</v>
      </c>
      <c r="BB42" s="125">
        <v>7.0623101707850883E-2</v>
      </c>
      <c r="BC42" s="125">
        <v>7.2546082607038986E-2</v>
      </c>
      <c r="BD42" s="125">
        <v>7.07455114962319E-2</v>
      </c>
      <c r="BE42" s="125">
        <v>7.1501635471964184E-2</v>
      </c>
      <c r="BF42" s="125">
        <v>7.3365028230797699E-2</v>
      </c>
      <c r="BG42" s="125">
        <v>7.1924957863924444E-2</v>
      </c>
      <c r="BH42" s="125">
        <v>7.0460067946088556E-2</v>
      </c>
      <c r="BI42" s="125">
        <v>7.7253415135003473E-2</v>
      </c>
      <c r="BJ42" s="125">
        <v>7.503717830081065E-2</v>
      </c>
      <c r="BK42" s="125">
        <v>6.5020679964900685E-2</v>
      </c>
      <c r="BL42" s="125">
        <v>6.9553684845216512E-2</v>
      </c>
      <c r="BM42" s="125">
        <v>6.9001716044675393E-2</v>
      </c>
      <c r="BN42" s="125">
        <v>7.2010628467918614E-2</v>
      </c>
      <c r="BO42" s="125">
        <v>7.5236446043880592E-2</v>
      </c>
      <c r="BP42" s="125">
        <v>6.7527434206239967E-2</v>
      </c>
      <c r="BQ42" s="125">
        <v>6.263638654960943E-2</v>
      </c>
      <c r="BR42" s="125">
        <v>7.5279816831395924E-2</v>
      </c>
      <c r="BS42" s="125">
        <v>7.2894116405377588E-2</v>
      </c>
      <c r="BT42" s="125">
        <v>6.9452338688170606E-2</v>
      </c>
      <c r="BU42" s="125">
        <v>6.7105898096237057E-2</v>
      </c>
      <c r="BV42" s="125">
        <v>7.2488369979354192E-2</v>
      </c>
      <c r="BW42" s="125">
        <v>6.6055943850748783E-2</v>
      </c>
      <c r="BX42" s="125">
        <v>7.3133700380500349E-2</v>
      </c>
      <c r="BY42" s="125">
        <v>6.658058456166828E-2</v>
      </c>
      <c r="BZ42" s="125">
        <v>6.961535956187874E-2</v>
      </c>
      <c r="CA42" s="125">
        <v>7.1003227947191883E-2</v>
      </c>
      <c r="CB42" s="125">
        <v>6.7713238339496995E-2</v>
      </c>
      <c r="CC42" s="125">
        <v>6.9536931021327825E-2</v>
      </c>
      <c r="CD42" s="125">
        <v>6.8573008697081786E-2</v>
      </c>
      <c r="CE42" s="125">
        <v>6.675961444013806E-2</v>
      </c>
      <c r="CF42" s="125">
        <v>6.3513646796586984E-2</v>
      </c>
      <c r="CG42" s="125">
        <v>6.9548709883434826E-2</v>
      </c>
      <c r="CH42" s="125">
        <v>7.3047831797618354E-2</v>
      </c>
      <c r="CI42" s="125">
        <v>6.6421203545317428E-2</v>
      </c>
      <c r="CJ42" s="125">
        <v>7.5702314764967485E-2</v>
      </c>
      <c r="CK42" s="125">
        <v>6.8583448985977472E-2</v>
      </c>
      <c r="CL42" s="125">
        <v>6.6253398673085093E-2</v>
      </c>
      <c r="CM42" s="125">
        <v>7.140813800590351E-2</v>
      </c>
      <c r="CN42" s="125">
        <v>6.9687837747839695E-2</v>
      </c>
      <c r="CO42" s="125">
        <v>6.8077766425139102E-2</v>
      </c>
      <c r="CP42" s="125">
        <v>7.3756574049211043E-2</v>
      </c>
      <c r="CQ42" s="125">
        <v>6.5105156807467507E-2</v>
      </c>
      <c r="CR42" s="125">
        <v>6.6487239769700085E-2</v>
      </c>
      <c r="CS42" s="125">
        <v>7.2245207297955638E-2</v>
      </c>
      <c r="CT42" s="125">
        <v>6.9322999794001972E-2</v>
      </c>
      <c r="CU42" s="125">
        <v>7.2287405522373838E-2</v>
      </c>
      <c r="CV42" s="125">
        <v>7.5512548849743413E-2</v>
      </c>
      <c r="CW42" s="125">
        <v>6.9595079096006526E-2</v>
      </c>
      <c r="CX42" s="125">
        <v>6.475300902095904E-2</v>
      </c>
    </row>
    <row r="43" spans="1:102" s="115" customFormat="1">
      <c r="A43" s="23"/>
      <c r="B43" s="67" t="s">
        <v>56</v>
      </c>
      <c r="C43" s="125">
        <v>0.10630411031999056</v>
      </c>
      <c r="D43" s="125">
        <v>0.1076863465351289</v>
      </c>
      <c r="E43" s="125">
        <v>0.10517837228544713</v>
      </c>
      <c r="F43" s="125">
        <v>0.1027489230414647</v>
      </c>
      <c r="G43" s="125">
        <v>0.10196855579787563</v>
      </c>
      <c r="H43" s="125">
        <v>0.10684477212454996</v>
      </c>
      <c r="I43" s="125">
        <v>0.10289512781588683</v>
      </c>
      <c r="J43" s="125">
        <v>0.10484373946967915</v>
      </c>
      <c r="K43" s="125">
        <v>0.1035049214023961</v>
      </c>
      <c r="L43" s="125">
        <v>0.10741051414165929</v>
      </c>
      <c r="M43" s="125">
        <v>0.10638861922354886</v>
      </c>
      <c r="N43" s="125">
        <v>0.10428416109115285</v>
      </c>
      <c r="O43" s="125">
        <v>0.10524411412890912</v>
      </c>
      <c r="P43" s="125">
        <v>0.10646134342129429</v>
      </c>
      <c r="Q43" s="125">
        <v>0.10625642141111015</v>
      </c>
      <c r="R43" s="125">
        <v>0.11049529238099035</v>
      </c>
      <c r="S43" s="125">
        <v>0.1047210442313093</v>
      </c>
      <c r="T43" s="125">
        <v>0.10513003050124341</v>
      </c>
      <c r="U43" s="125">
        <v>0.10689807947244111</v>
      </c>
      <c r="V43" s="125">
        <v>0.10940670329285634</v>
      </c>
      <c r="W43" s="125">
        <v>0.10639799143910679</v>
      </c>
      <c r="X43" s="125">
        <v>0.10425560247085815</v>
      </c>
      <c r="Y43" s="125">
        <v>0.10691901344696886</v>
      </c>
      <c r="Z43" s="125">
        <v>0.10580108228108477</v>
      </c>
      <c r="AA43" s="125">
        <v>0.103178965034811</v>
      </c>
      <c r="AB43" s="125">
        <v>0.100070764895175</v>
      </c>
      <c r="AC43" s="125">
        <v>0.10131587463356496</v>
      </c>
      <c r="AD43" s="125">
        <v>0.10497519011270989</v>
      </c>
      <c r="AE43" s="125">
        <v>0.10404987304439224</v>
      </c>
      <c r="AF43" s="125">
        <v>0.10431681398795868</v>
      </c>
      <c r="AG43" s="125">
        <v>0.10630045233843217</v>
      </c>
      <c r="AH43" s="125">
        <v>0.10344991727570194</v>
      </c>
      <c r="AI43" s="125">
        <v>0.10779916628569813</v>
      </c>
      <c r="AJ43" s="125">
        <v>0.10700793303022688</v>
      </c>
      <c r="AK43" s="125">
        <v>0.1028725874733369</v>
      </c>
      <c r="AL43" s="125">
        <v>0.10265860180155253</v>
      </c>
      <c r="AM43" s="125">
        <v>0.10784616252058266</v>
      </c>
      <c r="AN43" s="125">
        <v>0.10466400255692657</v>
      </c>
      <c r="AO43" s="125">
        <v>0.10384529993233911</v>
      </c>
      <c r="AP43" s="125">
        <v>0.10486483255405023</v>
      </c>
      <c r="AQ43" s="125">
        <v>0.10608653390483416</v>
      </c>
      <c r="AR43" s="125">
        <v>0.1030784688011618</v>
      </c>
      <c r="AS43" s="125">
        <v>0.1017863409244022</v>
      </c>
      <c r="AT43" s="125">
        <v>0.10258073382917687</v>
      </c>
      <c r="AU43" s="125">
        <v>0.10828455171608854</v>
      </c>
      <c r="AV43" s="125">
        <v>0.10685557834348643</v>
      </c>
      <c r="AW43" s="125">
        <v>0.10272740935116133</v>
      </c>
      <c r="AX43" s="125">
        <v>0.10192717168225712</v>
      </c>
      <c r="AY43" s="125">
        <v>0.10202557042889736</v>
      </c>
      <c r="AZ43" s="125">
        <v>0.10490227615599348</v>
      </c>
      <c r="BA43" s="125">
        <v>0.10809020794538665</v>
      </c>
      <c r="BB43" s="125">
        <v>9.9907359754988337E-2</v>
      </c>
      <c r="BC43" s="125">
        <v>0.1080540470497436</v>
      </c>
      <c r="BD43" s="125">
        <v>0.10695792287877823</v>
      </c>
      <c r="BE43" s="125">
        <v>0.10578783327104241</v>
      </c>
      <c r="BF43" s="125">
        <v>0.1032191295139499</v>
      </c>
      <c r="BG43" s="125">
        <v>0.10074840166478394</v>
      </c>
      <c r="BH43" s="125">
        <v>0.10568294890732055</v>
      </c>
      <c r="BI43" s="125">
        <v>0.10752359161266856</v>
      </c>
      <c r="BJ43" s="125">
        <v>0.10758905610753416</v>
      </c>
      <c r="BK43" s="125">
        <v>0.10191995223619528</v>
      </c>
      <c r="BL43" s="125">
        <v>0.10496686447671011</v>
      </c>
      <c r="BM43" s="125">
        <v>0.10491816267754049</v>
      </c>
      <c r="BN43" s="125">
        <v>0.10032497512613299</v>
      </c>
      <c r="BO43" s="125">
        <v>0.10223227140110511</v>
      </c>
      <c r="BP43" s="125">
        <v>9.4625027772916884E-2</v>
      </c>
      <c r="BQ43" s="125">
        <v>0.10230158465908937</v>
      </c>
      <c r="BR43" s="125">
        <v>0.10604420695830119</v>
      </c>
      <c r="BS43" s="125">
        <v>0.1024949627880004</v>
      </c>
      <c r="BT43" s="125">
        <v>0.10531486727762851</v>
      </c>
      <c r="BU43" s="125">
        <v>0.10112122727235907</v>
      </c>
      <c r="BV43" s="125">
        <v>0.10365150140086012</v>
      </c>
      <c r="BW43" s="125">
        <v>0.1036793233301937</v>
      </c>
      <c r="BX43" s="125">
        <v>0.10912475879155044</v>
      </c>
      <c r="BY43" s="125">
        <v>0.10189517552669429</v>
      </c>
      <c r="BZ43" s="125">
        <v>0.10252940942992687</v>
      </c>
      <c r="CA43" s="125">
        <v>0.10614948177793504</v>
      </c>
      <c r="CB43" s="125">
        <v>0.10133828237318003</v>
      </c>
      <c r="CC43" s="125">
        <v>0.10112352032149295</v>
      </c>
      <c r="CD43" s="125">
        <v>0.10458503646777045</v>
      </c>
      <c r="CE43" s="125">
        <v>0.10291460117066066</v>
      </c>
      <c r="CF43" s="125">
        <v>0.10075033320674417</v>
      </c>
      <c r="CG43" s="125">
        <v>0.10118526170879563</v>
      </c>
      <c r="CH43" s="125">
        <v>0.10646745761406937</v>
      </c>
      <c r="CI43" s="125">
        <v>0.10515280860516869</v>
      </c>
      <c r="CJ43" s="125">
        <v>0.11079431075064879</v>
      </c>
      <c r="CK43" s="125">
        <v>0.10459327273038196</v>
      </c>
      <c r="CL43" s="125">
        <v>0.10437587062625062</v>
      </c>
      <c r="CM43" s="125">
        <v>9.7398409200805364E-2</v>
      </c>
      <c r="CN43" s="125">
        <v>0.10436167367514368</v>
      </c>
      <c r="CO43" s="125">
        <v>0.10101295088529103</v>
      </c>
      <c r="CP43" s="125">
        <v>0.10510826924729773</v>
      </c>
      <c r="CQ43" s="125">
        <v>0.10315176565039361</v>
      </c>
      <c r="CR43" s="125">
        <v>0.10206027928952215</v>
      </c>
      <c r="CS43" s="125">
        <v>0.10707543367841864</v>
      </c>
      <c r="CT43" s="125">
        <v>0.10502476189758181</v>
      </c>
      <c r="CU43" s="125">
        <v>0.10510771329554991</v>
      </c>
      <c r="CV43" s="125">
        <v>0.1056655128075852</v>
      </c>
      <c r="CW43" s="125">
        <v>0.10127660019541609</v>
      </c>
      <c r="CX43" s="125">
        <v>0.10118971487720037</v>
      </c>
    </row>
    <row r="44" spans="1:102" s="115" customFormat="1">
      <c r="A44" s="126"/>
      <c r="B44" s="129" t="s">
        <v>114</v>
      </c>
      <c r="C44" s="127">
        <v>0.4800186879395727</v>
      </c>
      <c r="D44" s="127">
        <v>0.4756793349873969</v>
      </c>
      <c r="E44" s="127">
        <v>0.47927399450797081</v>
      </c>
      <c r="F44" s="127">
        <v>0.47920620047099882</v>
      </c>
      <c r="G44" s="127">
        <v>0.47850845191110425</v>
      </c>
      <c r="H44" s="127">
        <v>0.47707182008289828</v>
      </c>
      <c r="I44" s="127">
        <v>0.47828988953520918</v>
      </c>
      <c r="J44" s="127">
        <v>0.47390409807653761</v>
      </c>
      <c r="K44" s="127">
        <v>0.47877931584302191</v>
      </c>
      <c r="L44" s="127">
        <v>0.47520847945354511</v>
      </c>
      <c r="M44" s="127">
        <v>0.47963962936643462</v>
      </c>
      <c r="N44" s="127">
        <v>0.4798278198892908</v>
      </c>
      <c r="O44" s="127">
        <v>0.4782833329391587</v>
      </c>
      <c r="P44" s="127">
        <v>0.47408851056300466</v>
      </c>
      <c r="Q44" s="127">
        <v>0.48112773959373828</v>
      </c>
      <c r="R44" s="127">
        <v>0.47914383262217997</v>
      </c>
      <c r="S44" s="127">
        <v>0.47475380712268173</v>
      </c>
      <c r="T44" s="127">
        <v>0.47983731548777997</v>
      </c>
      <c r="U44" s="127">
        <v>0.47891771906491137</v>
      </c>
      <c r="V44" s="127">
        <v>0.47596026981248274</v>
      </c>
      <c r="W44" s="127">
        <v>0.4794996589025704</v>
      </c>
      <c r="X44" s="127">
        <v>0.4780017871166316</v>
      </c>
      <c r="Y44" s="127">
        <v>0.47827407699494889</v>
      </c>
      <c r="Z44" s="127">
        <v>0.47445817215339559</v>
      </c>
      <c r="AA44" s="127">
        <v>0.48034305322553883</v>
      </c>
      <c r="AB44" s="127">
        <v>0.47904763049810667</v>
      </c>
      <c r="AC44" s="127">
        <v>0.47396146627680846</v>
      </c>
      <c r="AD44" s="127">
        <v>0.47274354486510406</v>
      </c>
      <c r="AE44" s="127">
        <v>0.47998996055927273</v>
      </c>
      <c r="AF44" s="127">
        <v>0.47558498513708752</v>
      </c>
      <c r="AG44" s="127">
        <v>0.47702808549086523</v>
      </c>
      <c r="AH44" s="127">
        <v>0.47801917936100796</v>
      </c>
      <c r="AI44" s="127">
        <v>0.48193235032603277</v>
      </c>
      <c r="AJ44" s="127">
        <v>0.4768389379111202</v>
      </c>
      <c r="AK44" s="127">
        <v>0.4730331835248292</v>
      </c>
      <c r="AL44" s="127">
        <v>0.47648500097378321</v>
      </c>
      <c r="AM44" s="127">
        <v>0.47656674832199125</v>
      </c>
      <c r="AN44" s="127">
        <v>0.477901522253181</v>
      </c>
      <c r="AO44" s="127">
        <v>0.48142049808056558</v>
      </c>
      <c r="AP44" s="127">
        <v>0.48303879135604483</v>
      </c>
      <c r="AQ44" s="127">
        <v>0.47693935212981819</v>
      </c>
      <c r="AR44" s="127">
        <v>0.47595821054412096</v>
      </c>
      <c r="AS44" s="127">
        <v>0.4811003035428475</v>
      </c>
      <c r="AT44" s="127">
        <v>0.47536768389645517</v>
      </c>
      <c r="AU44" s="127">
        <v>0.48158117861984323</v>
      </c>
      <c r="AV44" s="127">
        <v>0.4753259151780817</v>
      </c>
      <c r="AW44" s="127">
        <v>0.4793515305954329</v>
      </c>
      <c r="AX44" s="127">
        <v>0.47650857922136092</v>
      </c>
      <c r="AY44" s="127">
        <v>0.48400346752874324</v>
      </c>
      <c r="AZ44" s="127">
        <v>0.47631558362761373</v>
      </c>
      <c r="BA44" s="127">
        <v>0.47647468352649797</v>
      </c>
      <c r="BB44" s="127">
        <v>0.4789459779422765</v>
      </c>
      <c r="BC44" s="127">
        <v>0.48056364131880031</v>
      </c>
      <c r="BD44" s="127">
        <v>0.48079575990961199</v>
      </c>
      <c r="BE44" s="127">
        <v>0.47796830041677757</v>
      </c>
      <c r="BF44" s="127">
        <v>0.47547941586830939</v>
      </c>
      <c r="BG44" s="127">
        <v>0.48326893201982751</v>
      </c>
      <c r="BH44" s="127">
        <v>0.47982378554249039</v>
      </c>
      <c r="BI44" s="127">
        <v>0.47448984568420627</v>
      </c>
      <c r="BJ44" s="127">
        <v>0.47717645079290372</v>
      </c>
      <c r="BK44" s="127">
        <v>0.47769078508089186</v>
      </c>
      <c r="BL44" s="127">
        <v>0.4780048254452815</v>
      </c>
      <c r="BM44" s="127">
        <v>0.48003448848488062</v>
      </c>
      <c r="BN44" s="127">
        <v>0.47606251195517557</v>
      </c>
      <c r="BO44" s="127">
        <v>0.47397036998371567</v>
      </c>
      <c r="BP44" s="127">
        <v>0.47864835454484173</v>
      </c>
      <c r="BQ44" s="127">
        <v>0.48385337232426373</v>
      </c>
      <c r="BR44" s="127">
        <v>0.47413701241262085</v>
      </c>
      <c r="BS44" s="127">
        <v>0.47791994299680263</v>
      </c>
      <c r="BT44" s="127">
        <v>0.48178480831626874</v>
      </c>
      <c r="BU44" s="127">
        <v>0.47573437430821947</v>
      </c>
      <c r="BV44" s="127">
        <v>0.47479688723945662</v>
      </c>
      <c r="BW44" s="127">
        <v>0.48057478671883391</v>
      </c>
      <c r="BX44" s="127">
        <v>0.48181500260135379</v>
      </c>
      <c r="BY44" s="127">
        <v>0.47896151503354206</v>
      </c>
      <c r="BZ44" s="127">
        <v>0.4774735654283237</v>
      </c>
      <c r="CA44" s="127">
        <v>0.47788692846253927</v>
      </c>
      <c r="CB44" s="127">
        <v>0.47762720407184656</v>
      </c>
      <c r="CC44" s="127">
        <v>0.47989589158964552</v>
      </c>
      <c r="CD44" s="127">
        <v>0.47840807318073192</v>
      </c>
      <c r="CE44" s="127">
        <v>0.48123093319860255</v>
      </c>
      <c r="CF44" s="127">
        <v>0.4790262422325553</v>
      </c>
      <c r="CG44" s="127">
        <v>0.47797146928614109</v>
      </c>
      <c r="CH44" s="127">
        <v>0.48044282134671862</v>
      </c>
      <c r="CI44" s="127">
        <v>0.48230406888116556</v>
      </c>
      <c r="CJ44" s="127">
        <v>0.48086796841509927</v>
      </c>
      <c r="CK44" s="127">
        <v>0.48108963417993583</v>
      </c>
      <c r="CL44" s="127">
        <v>0.48108767035505889</v>
      </c>
      <c r="CM44" s="127">
        <v>0.47889430798240862</v>
      </c>
      <c r="CN44" s="127">
        <v>0.48077824691072663</v>
      </c>
      <c r="CO44" s="127">
        <v>0.48128351964571964</v>
      </c>
      <c r="CP44" s="127">
        <v>0.4724623923339889</v>
      </c>
      <c r="CQ44" s="127">
        <v>0.47922575315688626</v>
      </c>
      <c r="CR44" s="127">
        <v>0.48171138271875852</v>
      </c>
      <c r="CS44" s="127">
        <v>0.47909106574301263</v>
      </c>
      <c r="CT44" s="127">
        <v>0.47872951896291238</v>
      </c>
      <c r="CU44" s="127">
        <v>0.47553062205443319</v>
      </c>
      <c r="CV44" s="127">
        <v>0.47386981150368623</v>
      </c>
      <c r="CW44" s="127">
        <v>0.47363817364723387</v>
      </c>
      <c r="CX44" s="127">
        <v>0.47909220345680542</v>
      </c>
    </row>
    <row r="45" spans="1:102" s="131" customFormat="1">
      <c r="A45" s="108" t="str">
        <f>Parameters!A41</f>
        <v>Groei recessie</v>
      </c>
      <c r="B45" s="122" t="s">
        <v>29</v>
      </c>
      <c r="C45" s="123">
        <v>8.6824640162420884E-3</v>
      </c>
      <c r="D45" s="123">
        <v>1.0362316259924526E-2</v>
      </c>
      <c r="E45" s="123">
        <v>8.540622197450486E-3</v>
      </c>
      <c r="F45" s="123">
        <v>6.8284145076502947E-3</v>
      </c>
      <c r="G45" s="123">
        <v>5.979624861017197E-3</v>
      </c>
      <c r="H45" s="123">
        <v>1.0066369942068514E-2</v>
      </c>
      <c r="I45" s="123">
        <v>5.6991371846011989E-3</v>
      </c>
      <c r="J45" s="123">
        <v>1.0334384859944361E-2</v>
      </c>
      <c r="K45" s="123">
        <v>8.1932977420447993E-3</v>
      </c>
      <c r="L45" s="123">
        <v>1.1340979183936036E-2</v>
      </c>
      <c r="M45" s="123">
        <v>9.2107877190311105E-3</v>
      </c>
      <c r="N45" s="123">
        <v>8.2770026783646165E-3</v>
      </c>
      <c r="O45" s="123">
        <v>8.1427454307872564E-3</v>
      </c>
      <c r="P45" s="123">
        <v>1.1473812110956969E-2</v>
      </c>
      <c r="Q45" s="123">
        <v>8.9204376745111724E-3</v>
      </c>
      <c r="R45" s="123">
        <v>1.0457815427644141E-2</v>
      </c>
      <c r="S45" s="123">
        <v>8.8383908975857069E-3</v>
      </c>
      <c r="T45" s="123">
        <v>9.2666911574503345E-3</v>
      </c>
      <c r="U45" s="123">
        <v>9.7850350136861643E-3</v>
      </c>
      <c r="V45" s="123">
        <v>1.1585480223834817E-2</v>
      </c>
      <c r="W45" s="123">
        <v>8.5772133355531167E-3</v>
      </c>
      <c r="X45" s="123">
        <v>7.2043926258171034E-3</v>
      </c>
      <c r="Y45" s="123">
        <v>9.7915467712270995E-3</v>
      </c>
      <c r="Z45" s="123">
        <v>1.1209780139654641E-2</v>
      </c>
      <c r="AA45" s="123">
        <v>8.8003072672256204E-3</v>
      </c>
      <c r="AB45" s="123">
        <v>6.2671614306144471E-3</v>
      </c>
      <c r="AC45" s="123">
        <v>8.8235757873940321E-3</v>
      </c>
      <c r="AD45" s="123">
        <v>1.0858098647540868E-2</v>
      </c>
      <c r="AE45" s="123">
        <v>5.4140198233575314E-3</v>
      </c>
      <c r="AF45" s="123">
        <v>9.4812951708183463E-3</v>
      </c>
      <c r="AG45" s="123">
        <v>9.7354120735942372E-3</v>
      </c>
      <c r="AH45" s="123">
        <v>7.6385115133773994E-3</v>
      </c>
      <c r="AI45" s="123">
        <v>9.6466837071382365E-3</v>
      </c>
      <c r="AJ45" s="123">
        <v>1.1255559061405025E-2</v>
      </c>
      <c r="AK45" s="123">
        <v>1.0427109357538529E-2</v>
      </c>
      <c r="AL45" s="123">
        <v>7.9485484625326612E-3</v>
      </c>
      <c r="AM45" s="123">
        <v>1.0089554557745952E-2</v>
      </c>
      <c r="AN45" s="123">
        <v>8.0059522818804532E-3</v>
      </c>
      <c r="AO45" s="123">
        <v>7.9323373031358266E-3</v>
      </c>
      <c r="AP45" s="123">
        <v>7.2636617587598243E-3</v>
      </c>
      <c r="AQ45" s="123">
        <v>1.1092157010048046E-2</v>
      </c>
      <c r="AR45" s="123">
        <v>9.9441284338602203E-3</v>
      </c>
      <c r="AS45" s="123">
        <v>5.6707535211934206E-3</v>
      </c>
      <c r="AT45" s="123">
        <v>9.3378190751627604E-3</v>
      </c>
      <c r="AU45" s="123">
        <v>8.8377982126597397E-3</v>
      </c>
      <c r="AV45" s="123">
        <v>1.163549008437708E-2</v>
      </c>
      <c r="AW45" s="123">
        <v>7.8857382390674201E-3</v>
      </c>
      <c r="AX45" s="123">
        <v>6.1375485002260017E-3</v>
      </c>
      <c r="AY45" s="123">
        <v>6.4803610571251991E-3</v>
      </c>
      <c r="AZ45" s="123">
        <v>9.9056583834002485E-3</v>
      </c>
      <c r="BA45" s="123">
        <v>1.1574621452937391E-2</v>
      </c>
      <c r="BB45" s="123">
        <v>8.8807508543240505E-3</v>
      </c>
      <c r="BC45" s="123">
        <v>1.0427354156577553E-2</v>
      </c>
      <c r="BD45" s="123">
        <v>7.7905686252715597E-3</v>
      </c>
      <c r="BE45" s="123">
        <v>8.5423678616912777E-3</v>
      </c>
      <c r="BF45" s="123">
        <v>1.0067000781476907E-2</v>
      </c>
      <c r="BG45" s="123">
        <v>7.9592197329238223E-3</v>
      </c>
      <c r="BH45" s="123">
        <v>9.0392355646556101E-3</v>
      </c>
      <c r="BI45" s="123">
        <v>1.2106112973548399E-2</v>
      </c>
      <c r="BJ45" s="123">
        <v>1.0535401552717401E-2</v>
      </c>
      <c r="BK45" s="123">
        <v>8.6726656940895337E-3</v>
      </c>
      <c r="BL45" s="123">
        <v>9.9387657748164979E-3</v>
      </c>
      <c r="BM45" s="123">
        <v>6.500883561463033E-3</v>
      </c>
      <c r="BN45" s="123">
        <v>9.1419176515951123E-3</v>
      </c>
      <c r="BO45" s="123">
        <v>1.1024961708688923E-2</v>
      </c>
      <c r="BP45" s="123">
        <v>6.3580142696571893E-3</v>
      </c>
      <c r="BQ45" s="123">
        <v>7.2442463437308521E-3</v>
      </c>
      <c r="BR45" s="123">
        <v>1.1705286857051588E-2</v>
      </c>
      <c r="BS45" s="123">
        <v>9.3704054356499346E-3</v>
      </c>
      <c r="BT45" s="123">
        <v>6.957831375546634E-3</v>
      </c>
      <c r="BU45" s="123">
        <v>8.3048092616151668E-3</v>
      </c>
      <c r="BV45" s="123">
        <v>1.0859794730766967E-2</v>
      </c>
      <c r="BW45" s="123">
        <v>6.3215327761502738E-3</v>
      </c>
      <c r="BX45" s="123">
        <v>9.6561033320685767E-3</v>
      </c>
      <c r="BY45" s="123">
        <v>6.7628619156745234E-3</v>
      </c>
      <c r="BZ45" s="123">
        <v>7.7648701002259743E-3</v>
      </c>
      <c r="CA45" s="123">
        <v>9.2754099242582533E-3</v>
      </c>
      <c r="CB45" s="123">
        <v>9.1203724892530789E-3</v>
      </c>
      <c r="CC45" s="123">
        <v>8.0091627177272928E-3</v>
      </c>
      <c r="CD45" s="123">
        <v>7.4713863198908924E-3</v>
      </c>
      <c r="CE45" s="123">
        <v>4.2404484303949289E-3</v>
      </c>
      <c r="CF45" s="123">
        <v>5.3397080282579275E-3</v>
      </c>
      <c r="CG45" s="123">
        <v>9.0232423937353454E-3</v>
      </c>
      <c r="CH45" s="123">
        <v>9.4220076633593618E-3</v>
      </c>
      <c r="CI45" s="123">
        <v>8.43341000397386E-3</v>
      </c>
      <c r="CJ45" s="123">
        <v>1.0774013232477647E-2</v>
      </c>
      <c r="CK45" s="123">
        <v>8.6817343159605979E-3</v>
      </c>
      <c r="CL45" s="123">
        <v>8.7741858556189163E-3</v>
      </c>
      <c r="CM45" s="123">
        <v>8.275872048898009E-3</v>
      </c>
      <c r="CN45" s="123">
        <v>8.7959236440363665E-3</v>
      </c>
      <c r="CO45" s="123">
        <v>7.4251444695175167E-3</v>
      </c>
      <c r="CP45" s="123">
        <v>1.1544410602793804E-2</v>
      </c>
      <c r="CQ45" s="123">
        <v>8.355232977182131E-3</v>
      </c>
      <c r="CR45" s="123">
        <v>6.4742634343243257E-3</v>
      </c>
      <c r="CS45" s="123">
        <v>9.3458683914185835E-3</v>
      </c>
      <c r="CT45" s="123">
        <v>8.3750916358891307E-3</v>
      </c>
      <c r="CU45" s="123">
        <v>7.8833610109481332E-3</v>
      </c>
      <c r="CV45" s="123">
        <v>1.1989644766692384E-2</v>
      </c>
      <c r="CW45" s="123">
        <v>8.3972363276268343E-3</v>
      </c>
      <c r="CX45" s="123">
        <v>8.5027660372600476E-3</v>
      </c>
    </row>
    <row r="46" spans="1:102" s="115" customFormat="1">
      <c r="A46" s="23"/>
      <c r="B46" s="14" t="s">
        <v>30</v>
      </c>
      <c r="C46" s="125">
        <v>6.0562117179102981E-2</v>
      </c>
      <c r="D46" s="125">
        <v>6.1563318251910679E-2</v>
      </c>
      <c r="E46" s="125">
        <v>5.9376822526447486E-2</v>
      </c>
      <c r="F46" s="125">
        <v>5.787538578771801E-2</v>
      </c>
      <c r="G46" s="125">
        <v>5.537529443839484E-2</v>
      </c>
      <c r="H46" s="125">
        <v>6.0972134986784138E-2</v>
      </c>
      <c r="I46" s="125">
        <v>5.4024859539311375E-2</v>
      </c>
      <c r="J46" s="125">
        <v>6.137918899319228E-2</v>
      </c>
      <c r="K46" s="125">
        <v>5.6617279247403111E-2</v>
      </c>
      <c r="L46" s="125">
        <v>6.389964563208532E-2</v>
      </c>
      <c r="M46" s="125">
        <v>5.9612321359594392E-2</v>
      </c>
      <c r="N46" s="125">
        <v>5.944293765620904E-2</v>
      </c>
      <c r="O46" s="125">
        <v>5.6174747611773074E-2</v>
      </c>
      <c r="P46" s="125">
        <v>6.51733333652426E-2</v>
      </c>
      <c r="Q46" s="125">
        <v>6.1143711074996464E-2</v>
      </c>
      <c r="R46" s="125">
        <v>6.2792729569109917E-2</v>
      </c>
      <c r="S46" s="125">
        <v>5.912161396887481E-2</v>
      </c>
      <c r="T46" s="125">
        <v>6.25177627718356E-2</v>
      </c>
      <c r="U46" s="125">
        <v>6.0334804655577445E-2</v>
      </c>
      <c r="V46" s="125">
        <v>6.4114853565518673E-2</v>
      </c>
      <c r="W46" s="125">
        <v>5.7385402493872355E-2</v>
      </c>
      <c r="X46" s="125">
        <v>5.7175457384983572E-2</v>
      </c>
      <c r="Y46" s="125">
        <v>6.0814873735581094E-2</v>
      </c>
      <c r="Z46" s="125">
        <v>6.5153253358492091E-2</v>
      </c>
      <c r="AA46" s="125">
        <v>6.2887092120679555E-2</v>
      </c>
      <c r="AB46" s="125">
        <v>5.6059314577177173E-2</v>
      </c>
      <c r="AC46" s="125">
        <v>6.0076100628878616E-2</v>
      </c>
      <c r="AD46" s="125">
        <v>6.219139206664704E-2</v>
      </c>
      <c r="AE46" s="125">
        <v>5.6698723743357687E-2</v>
      </c>
      <c r="AF46" s="125">
        <v>5.9529345041436046E-2</v>
      </c>
      <c r="AG46" s="125">
        <v>6.22379806976592E-2</v>
      </c>
      <c r="AH46" s="125">
        <v>5.7932990355328097E-2</v>
      </c>
      <c r="AI46" s="125">
        <v>6.1886974056876168E-2</v>
      </c>
      <c r="AJ46" s="125">
        <v>6.586907140494927E-2</v>
      </c>
      <c r="AK46" s="125">
        <v>6.1804075298242341E-2</v>
      </c>
      <c r="AL46" s="125">
        <v>5.7147576505900154E-2</v>
      </c>
      <c r="AM46" s="125">
        <v>6.080757191334614E-2</v>
      </c>
      <c r="AN46" s="125">
        <v>5.8521653827841309E-2</v>
      </c>
      <c r="AO46" s="125">
        <v>5.4469363170243944E-2</v>
      </c>
      <c r="AP46" s="125">
        <v>5.4781129947655056E-2</v>
      </c>
      <c r="AQ46" s="125">
        <v>6.4007141745263119E-2</v>
      </c>
      <c r="AR46" s="125">
        <v>6.3629088003707326E-2</v>
      </c>
      <c r="AS46" s="125">
        <v>5.7912822309471347E-2</v>
      </c>
      <c r="AT46" s="125">
        <v>5.8437166969443614E-2</v>
      </c>
      <c r="AU46" s="125">
        <v>5.7226680717316417E-2</v>
      </c>
      <c r="AV46" s="125">
        <v>6.6504593885620356E-2</v>
      </c>
      <c r="AW46" s="125">
        <v>5.8324070011172256E-2</v>
      </c>
      <c r="AX46" s="125">
        <v>5.4256026243606099E-2</v>
      </c>
      <c r="AY46" s="125">
        <v>5.5133513209588252E-2</v>
      </c>
      <c r="AZ46" s="125">
        <v>5.8878795392252062E-2</v>
      </c>
      <c r="BA46" s="125">
        <v>6.4056906844804237E-2</v>
      </c>
      <c r="BB46" s="125">
        <v>6.0535726182411841E-2</v>
      </c>
      <c r="BC46" s="125">
        <v>6.2762051915989561E-2</v>
      </c>
      <c r="BD46" s="125">
        <v>5.8712922287126094E-2</v>
      </c>
      <c r="BE46" s="125">
        <v>5.8982380788502271E-2</v>
      </c>
      <c r="BF46" s="125">
        <v>6.3358028438438158E-2</v>
      </c>
      <c r="BG46" s="125">
        <v>6.1521262837440333E-2</v>
      </c>
      <c r="BH46" s="125">
        <v>5.9551471677767344E-2</v>
      </c>
      <c r="BI46" s="125">
        <v>6.5357864657447751E-2</v>
      </c>
      <c r="BJ46" s="125">
        <v>6.2756049239958409E-2</v>
      </c>
      <c r="BK46" s="125">
        <v>5.5328192818651298E-2</v>
      </c>
      <c r="BL46" s="125">
        <v>5.8951848500037464E-2</v>
      </c>
      <c r="BM46" s="125">
        <v>5.8131450786707548E-2</v>
      </c>
      <c r="BN46" s="125">
        <v>6.043043729505522E-2</v>
      </c>
      <c r="BO46" s="125">
        <v>6.5322102311892769E-2</v>
      </c>
      <c r="BP46" s="125">
        <v>5.7285707831431824E-2</v>
      </c>
      <c r="BQ46" s="125">
        <v>5.4604356282736639E-2</v>
      </c>
      <c r="BR46" s="125">
        <v>6.4858107770768378E-2</v>
      </c>
      <c r="BS46" s="125">
        <v>6.102139393638395E-2</v>
      </c>
      <c r="BT46" s="125">
        <v>5.8081902344768038E-2</v>
      </c>
      <c r="BU46" s="125">
        <v>5.7482681331685992E-2</v>
      </c>
      <c r="BV46" s="125">
        <v>6.2268685875000444E-2</v>
      </c>
      <c r="BW46" s="125">
        <v>5.3732965755558651E-2</v>
      </c>
      <c r="BX46" s="125">
        <v>6.2171587751412814E-2</v>
      </c>
      <c r="BY46" s="125">
        <v>5.5048759835035196E-2</v>
      </c>
      <c r="BZ46" s="125">
        <v>5.8022171272967785E-2</v>
      </c>
      <c r="CA46" s="125">
        <v>5.9055485282590962E-2</v>
      </c>
      <c r="CB46" s="125">
        <v>5.7583260406494391E-2</v>
      </c>
      <c r="CC46" s="125">
        <v>5.8148938113901552E-2</v>
      </c>
      <c r="CD46" s="125">
        <v>5.6260098951685641E-2</v>
      </c>
      <c r="CE46" s="125">
        <v>5.5056795131436034E-2</v>
      </c>
      <c r="CF46" s="125">
        <v>5.2444937657626305E-2</v>
      </c>
      <c r="CG46" s="125">
        <v>6.1080806758956621E-2</v>
      </c>
      <c r="CH46" s="125">
        <v>6.2533015196523614E-2</v>
      </c>
      <c r="CI46" s="125">
        <v>5.8321465691410737E-2</v>
      </c>
      <c r="CJ46" s="125">
        <v>6.2891295945724776E-2</v>
      </c>
      <c r="CK46" s="125">
        <v>5.8166589187431957E-2</v>
      </c>
      <c r="CL46" s="125">
        <v>5.7127880959940112E-2</v>
      </c>
      <c r="CM46" s="125">
        <v>6.0696103978989342E-2</v>
      </c>
      <c r="CN46" s="125">
        <v>5.805506192740955E-2</v>
      </c>
      <c r="CO46" s="125">
        <v>5.8801130493968089E-2</v>
      </c>
      <c r="CP46" s="125">
        <v>6.304468666400817E-2</v>
      </c>
      <c r="CQ46" s="125">
        <v>5.4745940488366361E-2</v>
      </c>
      <c r="CR46" s="125">
        <v>5.7873139420590934E-2</v>
      </c>
      <c r="CS46" s="125">
        <v>6.059614385444357E-2</v>
      </c>
      <c r="CT46" s="125">
        <v>5.9938152523912644E-2</v>
      </c>
      <c r="CU46" s="125">
        <v>5.8218243271094157E-2</v>
      </c>
      <c r="CV46" s="125">
        <v>6.6306698760233082E-2</v>
      </c>
      <c r="CW46" s="125">
        <v>5.788729296301514E-2</v>
      </c>
      <c r="CX46" s="125">
        <v>5.6016408395306146E-2</v>
      </c>
    </row>
    <row r="47" spans="1:102" s="115" customFormat="1">
      <c r="A47" s="23"/>
      <c r="B47" s="67" t="s">
        <v>56</v>
      </c>
      <c r="C47" s="125">
        <v>9.4838351213154856E-2</v>
      </c>
      <c r="D47" s="125">
        <v>9.5025476597182773E-2</v>
      </c>
      <c r="E47" s="125">
        <v>9.505725805176217E-2</v>
      </c>
      <c r="F47" s="125">
        <v>9.2508870996147602E-2</v>
      </c>
      <c r="G47" s="125">
        <v>9.0352745564409143E-2</v>
      </c>
      <c r="H47" s="125">
        <v>9.510736513546432E-2</v>
      </c>
      <c r="I47" s="125">
        <v>8.9547501495068196E-2</v>
      </c>
      <c r="J47" s="125">
        <v>9.3318098317655307E-2</v>
      </c>
      <c r="K47" s="125">
        <v>9.2763715062590929E-2</v>
      </c>
      <c r="L47" s="125">
        <v>9.6270630215032682E-2</v>
      </c>
      <c r="M47" s="125">
        <v>9.5586228650107921E-2</v>
      </c>
      <c r="N47" s="125">
        <v>9.418907288664756E-2</v>
      </c>
      <c r="O47" s="125">
        <v>9.22451962551952E-2</v>
      </c>
      <c r="P47" s="125">
        <v>9.5825789256677105E-2</v>
      </c>
      <c r="Q47" s="125">
        <v>9.4839675397125719E-2</v>
      </c>
      <c r="R47" s="125">
        <v>9.78484267809102E-2</v>
      </c>
      <c r="S47" s="125">
        <v>9.0757983487112656E-2</v>
      </c>
      <c r="T47" s="125">
        <v>9.4299924977997288E-2</v>
      </c>
      <c r="U47" s="125">
        <v>9.5610819187471371E-2</v>
      </c>
      <c r="V47" s="125">
        <v>9.6569716355511856E-2</v>
      </c>
      <c r="W47" s="125">
        <v>9.3924185934868579E-2</v>
      </c>
      <c r="X47" s="125">
        <v>9.1750854217687541E-2</v>
      </c>
      <c r="Y47" s="125">
        <v>9.380309785631856E-2</v>
      </c>
      <c r="Z47" s="125">
        <v>9.5306576960648703E-2</v>
      </c>
      <c r="AA47" s="125">
        <v>9.5134053439580646E-2</v>
      </c>
      <c r="AB47" s="125">
        <v>8.714079541773638E-2</v>
      </c>
      <c r="AC47" s="125">
        <v>8.9414969672266378E-2</v>
      </c>
      <c r="AD47" s="125">
        <v>9.2396752093997628E-2</v>
      </c>
      <c r="AE47" s="125">
        <v>9.1649030620348362E-2</v>
      </c>
      <c r="AF47" s="125">
        <v>9.2343325880136148E-2</v>
      </c>
      <c r="AG47" s="125">
        <v>9.4646678755029884E-2</v>
      </c>
      <c r="AH47" s="125">
        <v>8.9826387595292989E-2</v>
      </c>
      <c r="AI47" s="125">
        <v>9.7436345426422377E-2</v>
      </c>
      <c r="AJ47" s="125">
        <v>9.6094470988110289E-2</v>
      </c>
      <c r="AK47" s="125">
        <v>9.1978965928694631E-2</v>
      </c>
      <c r="AL47" s="125">
        <v>9.0674011015814918E-2</v>
      </c>
      <c r="AM47" s="125">
        <v>9.463991929756696E-2</v>
      </c>
      <c r="AN47" s="125">
        <v>9.2382775874476714E-2</v>
      </c>
      <c r="AO47" s="125">
        <v>9.2916690200579133E-2</v>
      </c>
      <c r="AP47" s="125">
        <v>9.3532605284205123E-2</v>
      </c>
      <c r="AQ47" s="125">
        <v>9.6352073964322105E-2</v>
      </c>
      <c r="AR47" s="125">
        <v>9.3202093125913904E-2</v>
      </c>
      <c r="AS47" s="125">
        <v>9.1738234287602638E-2</v>
      </c>
      <c r="AT47" s="125">
        <v>9.1346842418335891E-2</v>
      </c>
      <c r="AU47" s="125">
        <v>9.6136635531130096E-2</v>
      </c>
      <c r="AV47" s="125">
        <v>9.6822304974745282E-2</v>
      </c>
      <c r="AW47" s="125">
        <v>9.0758947701385276E-2</v>
      </c>
      <c r="AX47" s="125">
        <v>8.8372810860049361E-2</v>
      </c>
      <c r="AY47" s="125">
        <v>9.0244702066708565E-2</v>
      </c>
      <c r="AZ47" s="125">
        <v>9.3021512604953449E-2</v>
      </c>
      <c r="BA47" s="125">
        <v>9.7289434101296535E-2</v>
      </c>
      <c r="BB47" s="125">
        <v>8.8965523915354436E-2</v>
      </c>
      <c r="BC47" s="125">
        <v>9.8279517401308414E-2</v>
      </c>
      <c r="BD47" s="125">
        <v>9.5045852642385464E-2</v>
      </c>
      <c r="BE47" s="125">
        <v>9.329830949814942E-2</v>
      </c>
      <c r="BF47" s="125">
        <v>9.2787516010423163E-2</v>
      </c>
      <c r="BG47" s="125">
        <v>8.9889819076543601E-2</v>
      </c>
      <c r="BH47" s="125">
        <v>9.3742607335152398E-2</v>
      </c>
      <c r="BI47" s="125">
        <v>9.5227316683111976E-2</v>
      </c>
      <c r="BJ47" s="125">
        <v>9.5148455399245629E-2</v>
      </c>
      <c r="BK47" s="125">
        <v>9.0594440693441677E-2</v>
      </c>
      <c r="BL47" s="125">
        <v>9.3811972991677761E-2</v>
      </c>
      <c r="BM47" s="125">
        <v>9.3135138717293606E-2</v>
      </c>
      <c r="BN47" s="125">
        <v>8.7501785476146191E-2</v>
      </c>
      <c r="BO47" s="125">
        <v>9.1301341313521356E-2</v>
      </c>
      <c r="BP47" s="125">
        <v>8.3105797697567207E-2</v>
      </c>
      <c r="BQ47" s="125">
        <v>9.2919081569360046E-2</v>
      </c>
      <c r="BR47" s="125">
        <v>9.5057549801706387E-2</v>
      </c>
      <c r="BS47" s="125">
        <v>9.0450040674260074E-2</v>
      </c>
      <c r="BT47" s="125">
        <v>9.4183350271476368E-2</v>
      </c>
      <c r="BU47" s="125">
        <v>9.0216599894017258E-2</v>
      </c>
      <c r="BV47" s="125">
        <v>9.2416363236017984E-2</v>
      </c>
      <c r="BW47" s="125">
        <v>9.0797136126241615E-2</v>
      </c>
      <c r="BX47" s="125">
        <v>9.8404643105186582E-2</v>
      </c>
      <c r="BY47" s="125">
        <v>8.989352363965547E-2</v>
      </c>
      <c r="BZ47" s="125">
        <v>9.0140107641555431E-2</v>
      </c>
      <c r="CA47" s="125">
        <v>9.3202535837263081E-2</v>
      </c>
      <c r="CB47" s="125">
        <v>8.9933615400407022E-2</v>
      </c>
      <c r="CC47" s="125">
        <v>8.9390539585797207E-2</v>
      </c>
      <c r="CD47" s="125">
        <v>9.1497557999932741E-2</v>
      </c>
      <c r="CE47" s="125">
        <v>9.040182583292096E-2</v>
      </c>
      <c r="CF47" s="125">
        <v>8.7923458447326644E-2</v>
      </c>
      <c r="CG47" s="125">
        <v>9.1938266319361639E-2</v>
      </c>
      <c r="CH47" s="125">
        <v>9.5956555522436732E-2</v>
      </c>
      <c r="CI47" s="125">
        <v>9.5728535146718627E-2</v>
      </c>
      <c r="CJ47" s="125">
        <v>9.8667156010221566E-2</v>
      </c>
      <c r="CK47" s="125">
        <v>9.3314325382855057E-2</v>
      </c>
      <c r="CL47" s="125">
        <v>9.4316626322646563E-2</v>
      </c>
      <c r="CM47" s="125">
        <v>8.5576881668403645E-2</v>
      </c>
      <c r="CN47" s="125">
        <v>9.2216116857946909E-2</v>
      </c>
      <c r="CO47" s="125">
        <v>9.113608933069331E-2</v>
      </c>
      <c r="CP47" s="125">
        <v>9.2870467552282468E-2</v>
      </c>
      <c r="CQ47" s="125">
        <v>9.0892118389645296E-2</v>
      </c>
      <c r="CR47" s="125">
        <v>9.2799460949092819E-2</v>
      </c>
      <c r="CS47" s="125">
        <v>9.49351572096305E-2</v>
      </c>
      <c r="CT47" s="125">
        <v>9.4216026518758808E-2</v>
      </c>
      <c r="CU47" s="125">
        <v>9.0417132745137088E-2</v>
      </c>
      <c r="CV47" s="125">
        <v>9.5672766763605629E-2</v>
      </c>
      <c r="CW47" s="125">
        <v>8.787853675801377E-2</v>
      </c>
      <c r="CX47" s="125">
        <v>9.1060884474845213E-2</v>
      </c>
    </row>
    <row r="48" spans="1:102" s="115" customFormat="1">
      <c r="A48" s="126"/>
      <c r="B48" s="67" t="s">
        <v>114</v>
      </c>
      <c r="C48" s="125">
        <v>0.50867835168047759</v>
      </c>
      <c r="D48" s="125">
        <v>0.49765213369483929</v>
      </c>
      <c r="E48" s="125">
        <v>0.50980431204375665</v>
      </c>
      <c r="F48" s="125">
        <v>0.5218511985739942</v>
      </c>
      <c r="G48" s="125">
        <v>0.52893871184777641</v>
      </c>
      <c r="H48" s="125">
        <v>0.49956573981187041</v>
      </c>
      <c r="I48" s="125">
        <v>0.53172586511525544</v>
      </c>
      <c r="J48" s="125">
        <v>0.49782663145469785</v>
      </c>
      <c r="K48" s="125">
        <v>0.51272840412938558</v>
      </c>
      <c r="L48" s="125">
        <v>0.49162852901787962</v>
      </c>
      <c r="M48" s="125">
        <v>0.5052814744114037</v>
      </c>
      <c r="N48" s="125">
        <v>0.51156201673958224</v>
      </c>
      <c r="O48" s="125">
        <v>0.51318746305216034</v>
      </c>
      <c r="P48" s="125">
        <v>0.49097919616041485</v>
      </c>
      <c r="Q48" s="125">
        <v>0.50704341742788739</v>
      </c>
      <c r="R48" s="125">
        <v>0.49709137803291659</v>
      </c>
      <c r="S48" s="125">
        <v>0.5078378301789247</v>
      </c>
      <c r="T48" s="125">
        <v>0.50467932921380376</v>
      </c>
      <c r="U48" s="125">
        <v>0.50142137595206071</v>
      </c>
      <c r="V48" s="125">
        <v>0.49013566121158753</v>
      </c>
      <c r="W48" s="125">
        <v>0.50989017387191993</v>
      </c>
      <c r="X48" s="125">
        <v>0.51949860652471258</v>
      </c>
      <c r="Y48" s="125">
        <v>0.50136743922159688</v>
      </c>
      <c r="Z48" s="125">
        <v>0.49259277640525911</v>
      </c>
      <c r="AA48" s="125">
        <v>0.50761013286062051</v>
      </c>
      <c r="AB48" s="125">
        <v>0.52654487300149122</v>
      </c>
      <c r="AC48" s="125">
        <v>0.50781168151767075</v>
      </c>
      <c r="AD48" s="125">
        <v>0.49449568568589314</v>
      </c>
      <c r="AE48" s="125">
        <v>0.53223262150749617</v>
      </c>
      <c r="AF48" s="125">
        <v>0.50347611197074638</v>
      </c>
      <c r="AG48" s="125">
        <v>0.50169598999831488</v>
      </c>
      <c r="AH48" s="125">
        <v>0.516257347791508</v>
      </c>
      <c r="AI48" s="125">
        <v>0.50227757204229095</v>
      </c>
      <c r="AJ48" s="125">
        <v>0.49239604789201319</v>
      </c>
      <c r="AK48" s="125">
        <v>0.49724305195073082</v>
      </c>
      <c r="AL48" s="125">
        <v>0.51431793030594053</v>
      </c>
      <c r="AM48" s="125">
        <v>0.49941245661604333</v>
      </c>
      <c r="AN48" s="125">
        <v>0.51359079905444938</v>
      </c>
      <c r="AO48" s="125">
        <v>0.51514025430402244</v>
      </c>
      <c r="AP48" s="125">
        <v>0.51991903490701141</v>
      </c>
      <c r="AQ48" s="125">
        <v>0.49319315853438195</v>
      </c>
      <c r="AR48" s="125">
        <v>0.50035030404867342</v>
      </c>
      <c r="AS48" s="125">
        <v>0.52979499440561495</v>
      </c>
      <c r="AT48" s="125">
        <v>0.50452051885112081</v>
      </c>
      <c r="AU48" s="125">
        <v>0.50810145819587138</v>
      </c>
      <c r="AV48" s="125">
        <v>0.49019014558227791</v>
      </c>
      <c r="AW48" s="125">
        <v>0.51445858825806334</v>
      </c>
      <c r="AX48" s="125">
        <v>0.52837647320119818</v>
      </c>
      <c r="AY48" s="125">
        <v>0.52545057561280806</v>
      </c>
      <c r="AZ48" s="125">
        <v>0.50063922577402775</v>
      </c>
      <c r="BA48" s="125">
        <v>0.49019434677599999</v>
      </c>
      <c r="BB48" s="125">
        <v>0.50737565064569667</v>
      </c>
      <c r="BC48" s="125">
        <v>0.49728357631504727</v>
      </c>
      <c r="BD48" s="125">
        <v>0.51500909114253268</v>
      </c>
      <c r="BE48" s="125">
        <v>0.50985806092552544</v>
      </c>
      <c r="BF48" s="125">
        <v>0.49957812071764279</v>
      </c>
      <c r="BG48" s="125">
        <v>0.51323126684716336</v>
      </c>
      <c r="BH48" s="125">
        <v>0.50643599422830665</v>
      </c>
      <c r="BI48" s="125">
        <v>0.48714657945340334</v>
      </c>
      <c r="BJ48" s="125">
        <v>0.49659647591152156</v>
      </c>
      <c r="BK48" s="125">
        <v>0.50956978637692807</v>
      </c>
      <c r="BL48" s="125">
        <v>0.50041438763434964</v>
      </c>
      <c r="BM48" s="125">
        <v>0.52399910825039209</v>
      </c>
      <c r="BN48" s="125">
        <v>0.50566459289230103</v>
      </c>
      <c r="BO48" s="125">
        <v>0.49374049871764353</v>
      </c>
      <c r="BP48" s="125">
        <v>0.52534600635701589</v>
      </c>
      <c r="BQ48" s="125">
        <v>0.5201251367880857</v>
      </c>
      <c r="BR48" s="125">
        <v>0.48951198738495194</v>
      </c>
      <c r="BS48" s="125">
        <v>0.5041160553498959</v>
      </c>
      <c r="BT48" s="125">
        <v>0.52088593782271675</v>
      </c>
      <c r="BU48" s="125">
        <v>0.51176328644012736</v>
      </c>
      <c r="BV48" s="125">
        <v>0.49449165231878495</v>
      </c>
      <c r="BW48" s="125">
        <v>0.52728959106023565</v>
      </c>
      <c r="BX48" s="125">
        <v>0.50220670287309188</v>
      </c>
      <c r="BY48" s="125">
        <v>0.52344625637623854</v>
      </c>
      <c r="BZ48" s="125">
        <v>0.51536425323109469</v>
      </c>
      <c r="CA48" s="125">
        <v>0.50489475893712521</v>
      </c>
      <c r="CB48" s="125">
        <v>0.50609390568091195</v>
      </c>
      <c r="CC48" s="125">
        <v>0.51365586470440161</v>
      </c>
      <c r="CD48" s="125">
        <v>0.51792445089984618</v>
      </c>
      <c r="CE48" s="125">
        <v>0.54165779435493677</v>
      </c>
      <c r="CF48" s="125">
        <v>0.53540367720118298</v>
      </c>
      <c r="CG48" s="125">
        <v>0.50637930833673661</v>
      </c>
      <c r="CH48" s="125">
        <v>0.50368736893437038</v>
      </c>
      <c r="CI48" s="125">
        <v>0.51071481708221833</v>
      </c>
      <c r="CJ48" s="125">
        <v>0.49509027752667578</v>
      </c>
      <c r="CK48" s="125">
        <v>0.50904070373436905</v>
      </c>
      <c r="CL48" s="125">
        <v>0.50855959573714282</v>
      </c>
      <c r="CM48" s="125">
        <v>0.5113307939355074</v>
      </c>
      <c r="CN48" s="125">
        <v>0.50827356849307315</v>
      </c>
      <c r="CO48" s="125">
        <v>0.51746378924298408</v>
      </c>
      <c r="CP48" s="125">
        <v>0.49022805724222196</v>
      </c>
      <c r="CQ48" s="125">
        <v>0.51198387319194605</v>
      </c>
      <c r="CR48" s="125">
        <v>0.5242892611947001</v>
      </c>
      <c r="CS48" s="125">
        <v>0.50430647349446867</v>
      </c>
      <c r="CT48" s="125">
        <v>0.51081390110218727</v>
      </c>
      <c r="CU48" s="125">
        <v>0.51450113822360788</v>
      </c>
      <c r="CV48" s="125">
        <v>0.48803085758767012</v>
      </c>
      <c r="CW48" s="125">
        <v>0.51104436699433886</v>
      </c>
      <c r="CX48" s="125">
        <v>0.51066185489590643</v>
      </c>
    </row>
    <row r="49" spans="1:102" s="131" customFormat="1">
      <c r="A49" s="108" t="str">
        <f>Parameters!A42</f>
        <v>Inflatie is een fiscaal verschijnsel</v>
      </c>
      <c r="B49" s="122" t="s">
        <v>29</v>
      </c>
      <c r="C49" s="123">
        <v>3.5040763552986735E-2</v>
      </c>
      <c r="D49" s="123">
        <v>3.3222323500068131E-2</v>
      </c>
      <c r="E49" s="123">
        <v>3.3814320647777008E-2</v>
      </c>
      <c r="F49" s="123">
        <v>3.1563602688281137E-2</v>
      </c>
      <c r="G49" s="123">
        <v>3.4438275267023449E-2</v>
      </c>
      <c r="H49" s="123">
        <v>3.1629445697896066E-2</v>
      </c>
      <c r="I49" s="123">
        <v>3.6257676665515326E-2</v>
      </c>
      <c r="J49" s="123">
        <v>3.1983643251828182E-2</v>
      </c>
      <c r="K49" s="123">
        <v>3.1576079177910985E-2</v>
      </c>
      <c r="L49" s="123">
        <v>3.3325539506507615E-2</v>
      </c>
      <c r="M49" s="123">
        <v>3.5247732461226353E-2</v>
      </c>
      <c r="N49" s="123">
        <v>3.4995626841093738E-2</v>
      </c>
      <c r="O49" s="123">
        <v>3.5051638367420153E-2</v>
      </c>
      <c r="P49" s="123">
        <v>3.0324512349498581E-2</v>
      </c>
      <c r="Q49" s="123">
        <v>3.6830044215596471E-2</v>
      </c>
      <c r="R49" s="123">
        <v>3.267121825913448E-2</v>
      </c>
      <c r="S49" s="123">
        <v>3.5614544176974558E-2</v>
      </c>
      <c r="T49" s="123">
        <v>3.3156934682752721E-2</v>
      </c>
      <c r="U49" s="123">
        <v>3.0920737627508861E-2</v>
      </c>
      <c r="V49" s="123">
        <v>3.283118854554154E-2</v>
      </c>
      <c r="W49" s="123">
        <v>3.523178680895131E-2</v>
      </c>
      <c r="X49" s="123">
        <v>3.4299743023840513E-2</v>
      </c>
      <c r="Y49" s="123">
        <v>3.6600367077423021E-2</v>
      </c>
      <c r="Z49" s="123">
        <v>2.8176821982104007E-2</v>
      </c>
      <c r="AA49" s="123">
        <v>3.1299876261854501E-2</v>
      </c>
      <c r="AB49" s="123">
        <v>3.8686534757588695E-2</v>
      </c>
      <c r="AC49" s="123">
        <v>3.2992603437531069E-2</v>
      </c>
      <c r="AD49" s="123">
        <v>3.0831369685202299E-2</v>
      </c>
      <c r="AE49" s="123">
        <v>3.6238741516270379E-2</v>
      </c>
      <c r="AF49" s="123">
        <v>3.4859821920592615E-2</v>
      </c>
      <c r="AG49" s="123">
        <v>3.307465010760903E-2</v>
      </c>
      <c r="AH49" s="123">
        <v>3.8057991467592422E-2</v>
      </c>
      <c r="AI49" s="123">
        <v>3.5524852748957725E-2</v>
      </c>
      <c r="AJ49" s="123">
        <v>3.1001969747924386E-2</v>
      </c>
      <c r="AK49" s="123">
        <v>2.8902342904366947E-2</v>
      </c>
      <c r="AL49" s="123">
        <v>3.174140796107762E-2</v>
      </c>
      <c r="AM49" s="123">
        <v>3.530235874318103E-2</v>
      </c>
      <c r="AN49" s="123">
        <v>3.731017865684242E-2</v>
      </c>
      <c r="AO49" s="123">
        <v>3.1591155531861863E-2</v>
      </c>
      <c r="AP49" s="123">
        <v>3.3455114254248311E-2</v>
      </c>
      <c r="AQ49" s="123">
        <v>3.2184425416243043E-2</v>
      </c>
      <c r="AR49" s="123">
        <v>3.0908667173716771E-2</v>
      </c>
      <c r="AS49" s="123">
        <v>3.1750453565905924E-2</v>
      </c>
      <c r="AT49" s="123">
        <v>3.0187482062335787E-2</v>
      </c>
      <c r="AU49" s="123">
        <v>3.4875663361205025E-2</v>
      </c>
      <c r="AV49" s="123">
        <v>2.8080160882752617E-2</v>
      </c>
      <c r="AW49" s="123">
        <v>3.5117301839732953E-2</v>
      </c>
      <c r="AX49" s="123">
        <v>3.5456166405042837E-2</v>
      </c>
      <c r="AY49" s="123">
        <v>3.8483504285010531E-2</v>
      </c>
      <c r="AZ49" s="123">
        <v>3.3250047126556451E-2</v>
      </c>
      <c r="BA49" s="123">
        <v>3.4175664838358266E-2</v>
      </c>
      <c r="BB49" s="123">
        <v>3.7774804107178567E-2</v>
      </c>
      <c r="BC49" s="123">
        <v>3.1866449731530688E-2</v>
      </c>
      <c r="BD49" s="123">
        <v>3.5480394180998541E-2</v>
      </c>
      <c r="BE49" s="123">
        <v>3.4160742948509126E-2</v>
      </c>
      <c r="BF49" s="123">
        <v>3.3704385776399226E-2</v>
      </c>
      <c r="BG49" s="123">
        <v>4.2292774671078726E-2</v>
      </c>
      <c r="BH49" s="123">
        <v>3.7602151434315965E-2</v>
      </c>
      <c r="BI49" s="123">
        <v>3.0442201808662459E-2</v>
      </c>
      <c r="BJ49" s="123">
        <v>3.5606609679432841E-2</v>
      </c>
      <c r="BK49" s="123">
        <v>3.059980014256862E-2</v>
      </c>
      <c r="BL49" s="123">
        <v>3.0029223061719894E-2</v>
      </c>
      <c r="BM49" s="123">
        <v>3.7590964342979739E-2</v>
      </c>
      <c r="BN49" s="123">
        <v>3.7255701350309214E-2</v>
      </c>
      <c r="BO49" s="123">
        <v>3.115058167392613E-2</v>
      </c>
      <c r="BP49" s="123">
        <v>3.8127085325707535E-2</v>
      </c>
      <c r="BQ49" s="123">
        <v>3.1749924516597777E-2</v>
      </c>
      <c r="BR49" s="123">
        <v>3.041577941973404E-2</v>
      </c>
      <c r="BS49" s="123">
        <v>3.5038714255264836E-2</v>
      </c>
      <c r="BT49" s="123">
        <v>3.2025086885271073E-2</v>
      </c>
      <c r="BU49" s="123">
        <v>3.0268459898552875E-2</v>
      </c>
      <c r="BV49" s="123">
        <v>3.0000350934591583E-2</v>
      </c>
      <c r="BW49" s="123">
        <v>3.4440954544255158E-2</v>
      </c>
      <c r="BX49" s="123">
        <v>3.4451607116422971E-2</v>
      </c>
      <c r="BY49" s="123">
        <v>3.2606755733854173E-2</v>
      </c>
      <c r="BZ49" s="123">
        <v>3.7004698638327449E-2</v>
      </c>
      <c r="CA49" s="123">
        <v>3.6773312648170194E-2</v>
      </c>
      <c r="CB49" s="123">
        <v>3.22117719033303E-2</v>
      </c>
      <c r="CC49" s="123">
        <v>3.648112517648857E-2</v>
      </c>
      <c r="CD49" s="123">
        <v>3.54430254165361E-2</v>
      </c>
      <c r="CE49" s="123">
        <v>3.5577312470795777E-2</v>
      </c>
      <c r="CF49" s="123">
        <v>3.4322759731970166E-2</v>
      </c>
      <c r="CG49" s="123">
        <v>3.1529921112879264E-2</v>
      </c>
      <c r="CH49" s="123">
        <v>3.6564749407794049E-2</v>
      </c>
      <c r="CI49" s="123">
        <v>3.4729313617403633E-2</v>
      </c>
      <c r="CJ49" s="123">
        <v>3.06356691193174E-2</v>
      </c>
      <c r="CK49" s="123">
        <v>3.6794586598967317E-2</v>
      </c>
      <c r="CL49" s="123">
        <v>3.2375734574978679E-2</v>
      </c>
      <c r="CM49" s="123">
        <v>4.0301227425597094E-2</v>
      </c>
      <c r="CN49" s="123">
        <v>3.6699327207109486E-2</v>
      </c>
      <c r="CO49" s="123">
        <v>3.7068539310401175E-2</v>
      </c>
      <c r="CP49" s="123">
        <v>3.0323718528148375E-2</v>
      </c>
      <c r="CQ49" s="123">
        <v>3.2705041409445787E-2</v>
      </c>
      <c r="CR49" s="123">
        <v>3.0802090423024904E-2</v>
      </c>
      <c r="CS49" s="123">
        <v>3.7372274906884037E-2</v>
      </c>
      <c r="CT49" s="123">
        <v>3.70903052340711E-2</v>
      </c>
      <c r="CU49" s="123">
        <v>3.5272980034339166E-2</v>
      </c>
      <c r="CV49" s="123">
        <v>2.832694044766125E-2</v>
      </c>
      <c r="CW49" s="123">
        <v>3.3622865462710969E-2</v>
      </c>
      <c r="CX49" s="123">
        <v>2.8905306126275836E-2</v>
      </c>
    </row>
    <row r="50" spans="1:102" s="115" customFormat="1">
      <c r="A50" s="23"/>
      <c r="B50" s="14" t="s">
        <v>30</v>
      </c>
      <c r="C50" s="125">
        <v>4.9059249694473624E-2</v>
      </c>
      <c r="D50" s="125">
        <v>5.0447264998640821E-2</v>
      </c>
      <c r="E50" s="125">
        <v>4.9948432361687695E-2</v>
      </c>
      <c r="F50" s="125">
        <v>4.6955481170140916E-2</v>
      </c>
      <c r="G50" s="125">
        <v>4.7970485354597983E-2</v>
      </c>
      <c r="H50" s="125">
        <v>4.7955228179175968E-2</v>
      </c>
      <c r="I50" s="125">
        <v>4.9605163803809055E-2</v>
      </c>
      <c r="J50" s="125">
        <v>5.0198326244876773E-2</v>
      </c>
      <c r="K50" s="125">
        <v>4.9935696150030323E-2</v>
      </c>
      <c r="L50" s="125">
        <v>5.0888711358156646E-2</v>
      </c>
      <c r="M50" s="125">
        <v>5.2200065831923846E-2</v>
      </c>
      <c r="N50" s="125">
        <v>4.8746669672362443E-2</v>
      </c>
      <c r="O50" s="125">
        <v>5.2763132750332113E-2</v>
      </c>
      <c r="P50" s="125">
        <v>4.9007665458363943E-2</v>
      </c>
      <c r="Q50" s="125">
        <v>4.9577607479035148E-2</v>
      </c>
      <c r="R50" s="125">
        <v>4.9430759119857989E-2</v>
      </c>
      <c r="S50" s="125">
        <v>5.0247201990196666E-2</v>
      </c>
      <c r="T50" s="125">
        <v>4.630398560023468E-2</v>
      </c>
      <c r="U50" s="125">
        <v>4.6902318548306295E-2</v>
      </c>
      <c r="V50" s="125">
        <v>5.1297235104487422E-2</v>
      </c>
      <c r="W50" s="125">
        <v>5.1997662967857808E-2</v>
      </c>
      <c r="X50" s="125">
        <v>4.6508374340957566E-2</v>
      </c>
      <c r="Y50" s="125">
        <v>5.4718952455848846E-2</v>
      </c>
      <c r="Z50" s="125">
        <v>4.7856932309533549E-2</v>
      </c>
      <c r="AA50" s="125">
        <v>4.7927565706567747E-2</v>
      </c>
      <c r="AB50" s="125">
        <v>4.9314977123319899E-2</v>
      </c>
      <c r="AC50" s="125">
        <v>4.8873368621711558E-2</v>
      </c>
      <c r="AD50" s="125">
        <v>5.0015472517953942E-2</v>
      </c>
      <c r="AE50" s="125">
        <v>4.7056546473953541E-2</v>
      </c>
      <c r="AF50" s="125">
        <v>5.0657243196071539E-2</v>
      </c>
      <c r="AG50" s="125">
        <v>4.7166978024729793E-2</v>
      </c>
      <c r="AH50" s="125">
        <v>5.0605578896799411E-2</v>
      </c>
      <c r="AI50" s="125">
        <v>4.9927286896484548E-2</v>
      </c>
      <c r="AJ50" s="125">
        <v>4.7367101053669668E-2</v>
      </c>
      <c r="AK50" s="125">
        <v>5.1514701787636188E-2</v>
      </c>
      <c r="AL50" s="125">
        <v>4.5998193423926671E-2</v>
      </c>
      <c r="AM50" s="125">
        <v>5.303685383342932E-2</v>
      </c>
      <c r="AN50" s="125">
        <v>5.012106400350344E-2</v>
      </c>
      <c r="AO50" s="125">
        <v>4.996243932714662E-2</v>
      </c>
      <c r="AP50" s="125">
        <v>4.7605431142948261E-2</v>
      </c>
      <c r="AQ50" s="125">
        <v>4.8669247075503574E-2</v>
      </c>
      <c r="AR50" s="125">
        <v>4.7580264308780575E-2</v>
      </c>
      <c r="AS50" s="125">
        <v>4.4814264865677488E-2</v>
      </c>
      <c r="AT50" s="125">
        <v>4.9066423979975217E-2</v>
      </c>
      <c r="AU50" s="125">
        <v>5.0775314014459165E-2</v>
      </c>
      <c r="AV50" s="125">
        <v>4.7260737474752193E-2</v>
      </c>
      <c r="AW50" s="125">
        <v>4.6568670937307918E-2</v>
      </c>
      <c r="AX50" s="125">
        <v>4.9971689824503417E-2</v>
      </c>
      <c r="AY50" s="125">
        <v>5.0829879166099268E-2</v>
      </c>
      <c r="AZ50" s="125">
        <v>5.2114099423730284E-2</v>
      </c>
      <c r="BA50" s="125">
        <v>5.1998466188299203E-2</v>
      </c>
      <c r="BB50" s="125">
        <v>5.1363888566535378E-2</v>
      </c>
      <c r="BC50" s="125">
        <v>4.719655792889229E-2</v>
      </c>
      <c r="BD50" s="125">
        <v>4.7953882294157479E-2</v>
      </c>
      <c r="BE50" s="125">
        <v>4.7998179308910351E-2</v>
      </c>
      <c r="BF50" s="125">
        <v>4.8376107921055254E-2</v>
      </c>
      <c r="BG50" s="125">
        <v>5.2484565976979231E-2</v>
      </c>
      <c r="BH50" s="125">
        <v>5.2858821313709718E-2</v>
      </c>
      <c r="BI50" s="125">
        <v>5.0148926835762844E-2</v>
      </c>
      <c r="BJ50" s="125">
        <v>5.1831784264166007E-2</v>
      </c>
      <c r="BK50" s="125">
        <v>5.2172537379254563E-2</v>
      </c>
      <c r="BL50" s="125">
        <v>4.736523028486217E-2</v>
      </c>
      <c r="BM50" s="125">
        <v>4.9206432582377835E-2</v>
      </c>
      <c r="BN50" s="125">
        <v>5.233817326683899E-2</v>
      </c>
      <c r="BO50" s="125">
        <v>5.040708494951443E-2</v>
      </c>
      <c r="BP50" s="125">
        <v>5.0380361493297478E-2</v>
      </c>
      <c r="BQ50" s="125">
        <v>5.1592370163444506E-2</v>
      </c>
      <c r="BR50" s="125">
        <v>4.91301421909262E-2</v>
      </c>
      <c r="BS50" s="125">
        <v>4.823301916631647E-2</v>
      </c>
      <c r="BT50" s="125">
        <v>4.4365885220700924E-2</v>
      </c>
      <c r="BU50" s="125">
        <v>4.9172594305406818E-2</v>
      </c>
      <c r="BV50" s="125">
        <v>4.9574240732631218E-2</v>
      </c>
      <c r="BW50" s="125">
        <v>4.6802142459608703E-2</v>
      </c>
      <c r="BX50" s="125">
        <v>4.9319747051413246E-2</v>
      </c>
      <c r="BY50" s="125">
        <v>4.5090736698198006E-2</v>
      </c>
      <c r="BZ50" s="125">
        <v>4.9251193410873605E-2</v>
      </c>
      <c r="CA50" s="125">
        <v>5.2738799879109753E-2</v>
      </c>
      <c r="CB50" s="125">
        <v>5.0586962782862864E-2</v>
      </c>
      <c r="CC50" s="125">
        <v>4.783897949275541E-2</v>
      </c>
      <c r="CD50" s="125">
        <v>4.9111089331693392E-2</v>
      </c>
      <c r="CE50" s="125">
        <v>4.595667168541645E-2</v>
      </c>
      <c r="CF50" s="125">
        <v>5.0050871575168361E-2</v>
      </c>
      <c r="CG50" s="125">
        <v>4.810995310242687E-2</v>
      </c>
      <c r="CH50" s="125">
        <v>4.9677515471220492E-2</v>
      </c>
      <c r="CI50" s="125">
        <v>5.0628286935489028E-2</v>
      </c>
      <c r="CJ50" s="125">
        <v>4.8230066714841889E-2</v>
      </c>
      <c r="CK50" s="125">
        <v>5.108766019858297E-2</v>
      </c>
      <c r="CL50" s="125">
        <v>4.8767579298636093E-2</v>
      </c>
      <c r="CM50" s="125">
        <v>5.2560290588985398E-2</v>
      </c>
      <c r="CN50" s="125">
        <v>5.0446412398822665E-2</v>
      </c>
      <c r="CO50" s="125">
        <v>4.7979207369143573E-2</v>
      </c>
      <c r="CP50" s="125">
        <v>5.2609094973321079E-2</v>
      </c>
      <c r="CQ50" s="125">
        <v>5.4140041545089744E-2</v>
      </c>
      <c r="CR50" s="125">
        <v>4.5615706907381717E-2</v>
      </c>
      <c r="CS50" s="125">
        <v>5.1729406741618737E-2</v>
      </c>
      <c r="CT50" s="125">
        <v>5.1268726501324892E-2</v>
      </c>
      <c r="CU50" s="125">
        <v>5.0801240566790994E-2</v>
      </c>
      <c r="CV50" s="125">
        <v>4.9056217661738573E-2</v>
      </c>
      <c r="CW50" s="125">
        <v>5.099104184771442E-2</v>
      </c>
      <c r="CX50" s="125">
        <v>5.0016508267000895E-2</v>
      </c>
    </row>
    <row r="51" spans="1:102" s="115" customFormat="1">
      <c r="A51" s="23"/>
      <c r="B51" s="67" t="s">
        <v>56</v>
      </c>
      <c r="C51" s="125">
        <v>0.10045474367423805</v>
      </c>
      <c r="D51" s="125">
        <v>0.10177195647913195</v>
      </c>
      <c r="E51" s="125">
        <v>0.10268852785733738</v>
      </c>
      <c r="F51" s="125">
        <v>0.10102901482788253</v>
      </c>
      <c r="G51" s="125">
        <v>0.10006360029123616</v>
      </c>
      <c r="H51" s="125">
        <v>0.10113175161019097</v>
      </c>
      <c r="I51" s="125">
        <v>0.10004957820425206</v>
      </c>
      <c r="J51" s="125">
        <v>0.10174318116109024</v>
      </c>
      <c r="K51" s="125">
        <v>0.10364399787285518</v>
      </c>
      <c r="L51" s="125">
        <v>0.10147137781771409</v>
      </c>
      <c r="M51" s="125">
        <v>0.10318946227568131</v>
      </c>
      <c r="N51" s="125">
        <v>0.10044240788435368</v>
      </c>
      <c r="O51" s="125">
        <v>0.10303550581318659</v>
      </c>
      <c r="P51" s="125">
        <v>0.10117381257609023</v>
      </c>
      <c r="Q51" s="125">
        <v>9.8935340062714719E-2</v>
      </c>
      <c r="R51" s="125">
        <v>0.10096986790611864</v>
      </c>
      <c r="S51" s="125">
        <v>9.8360004633927731E-2</v>
      </c>
      <c r="T51" s="125">
        <v>9.7817605153159085E-2</v>
      </c>
      <c r="U51" s="125">
        <v>0.10116973918685519</v>
      </c>
      <c r="V51" s="125">
        <v>0.10104262566822901</v>
      </c>
      <c r="W51" s="125">
        <v>0.1025688229191654</v>
      </c>
      <c r="X51" s="125">
        <v>9.7947148282642421E-2</v>
      </c>
      <c r="Y51" s="125">
        <v>0.10175045172812854</v>
      </c>
      <c r="Z51" s="125">
        <v>0.10099577269486412</v>
      </c>
      <c r="AA51" s="125">
        <v>0.10080875651001601</v>
      </c>
      <c r="AB51" s="125">
        <v>9.5848142467313158E-2</v>
      </c>
      <c r="AC51" s="125">
        <v>9.8547541801380187E-2</v>
      </c>
      <c r="AD51" s="125">
        <v>0.10043606648831906</v>
      </c>
      <c r="AE51" s="125">
        <v>9.7285125574315165E-2</v>
      </c>
      <c r="AF51" s="125">
        <v>0.1004594281382757</v>
      </c>
      <c r="AG51" s="125">
        <v>9.8538272913940725E-2</v>
      </c>
      <c r="AH51" s="125">
        <v>9.6982684583923048E-2</v>
      </c>
      <c r="AI51" s="125">
        <v>0.10069343942312158</v>
      </c>
      <c r="AJ51" s="125">
        <v>9.8646300304232631E-2</v>
      </c>
      <c r="AK51" s="125">
        <v>0.10295397741633404</v>
      </c>
      <c r="AL51" s="125">
        <v>9.8804076095295734E-2</v>
      </c>
      <c r="AM51" s="125">
        <v>0.10137981275534483</v>
      </c>
      <c r="AN51" s="125">
        <v>9.8905330622309245E-2</v>
      </c>
      <c r="AO51" s="125">
        <v>0.1041275715135596</v>
      </c>
      <c r="AP51" s="125">
        <v>0.10139782820751018</v>
      </c>
      <c r="AQ51" s="125">
        <v>0.10043327772438625</v>
      </c>
      <c r="AR51" s="125">
        <v>9.9032026233954865E-2</v>
      </c>
      <c r="AS51" s="125">
        <v>9.8373600279894821E-2</v>
      </c>
      <c r="AT51" s="125">
        <v>0.10169004865956936</v>
      </c>
      <c r="AU51" s="125">
        <v>0.10346718919260244</v>
      </c>
      <c r="AV51" s="125">
        <v>0.10058102342517375</v>
      </c>
      <c r="AW51" s="125">
        <v>9.6474650994195818E-2</v>
      </c>
      <c r="AX51" s="125">
        <v>0.10002154135272101</v>
      </c>
      <c r="AY51" s="125">
        <v>9.9357778191765722E-2</v>
      </c>
      <c r="AZ51" s="125">
        <v>0.10269881237556998</v>
      </c>
      <c r="BA51" s="125">
        <v>0.10176783908423666</v>
      </c>
      <c r="BB51" s="125">
        <v>9.6845926993253562E-2</v>
      </c>
      <c r="BC51" s="125">
        <v>0.10086151626498586</v>
      </c>
      <c r="BD51" s="125">
        <v>9.9097019878110315E-2</v>
      </c>
      <c r="BE51" s="125">
        <v>9.8277794912206604E-2</v>
      </c>
      <c r="BF51" s="125">
        <v>9.742360604161418E-2</v>
      </c>
      <c r="BG51" s="125">
        <v>9.4598351121590818E-2</v>
      </c>
      <c r="BH51" s="125">
        <v>0.10075032620958554</v>
      </c>
      <c r="BI51" s="125">
        <v>0.10004485132797078</v>
      </c>
      <c r="BJ51" s="125">
        <v>9.9294446312295448E-2</v>
      </c>
      <c r="BK51" s="125">
        <v>0.10431013254376061</v>
      </c>
      <c r="BL51" s="125">
        <v>0.1012911968621269</v>
      </c>
      <c r="BM51" s="125">
        <v>9.8314701181595951E-2</v>
      </c>
      <c r="BN51" s="125">
        <v>9.6750129430639722E-2</v>
      </c>
      <c r="BO51" s="125">
        <v>9.8501261562545767E-2</v>
      </c>
      <c r="BP51" s="125">
        <v>9.4441081674105892E-2</v>
      </c>
      <c r="BQ51" s="125">
        <v>0.10503712936897362</v>
      </c>
      <c r="BR51" s="125">
        <v>0.10008036104849177</v>
      </c>
      <c r="BS51" s="125">
        <v>9.5869780502768037E-2</v>
      </c>
      <c r="BT51" s="125">
        <v>9.8255251635267132E-2</v>
      </c>
      <c r="BU51" s="125">
        <v>0.10161602985353335</v>
      </c>
      <c r="BV51" s="125">
        <v>0.10053295676633472</v>
      </c>
      <c r="BW51" s="125">
        <v>9.8766213370850606E-2</v>
      </c>
      <c r="BX51" s="125">
        <v>0.10024926932978838</v>
      </c>
      <c r="BY51" s="125">
        <v>9.789719115486499E-2</v>
      </c>
      <c r="BZ51" s="125">
        <v>9.7208419844345348E-2</v>
      </c>
      <c r="CA51" s="125">
        <v>0.10094585801996099</v>
      </c>
      <c r="CB51" s="125">
        <v>0.10094616156864895</v>
      </c>
      <c r="CC51" s="125">
        <v>9.6277987332695589E-2</v>
      </c>
      <c r="CD51" s="125">
        <v>9.8969328045362917E-2</v>
      </c>
      <c r="CE51" s="125">
        <v>9.6933091093865484E-2</v>
      </c>
      <c r="CF51" s="125">
        <v>0.10094019361651257</v>
      </c>
      <c r="CG51" s="125">
        <v>9.953065280141532E-2</v>
      </c>
      <c r="CH51" s="125">
        <v>9.807085255327154E-2</v>
      </c>
      <c r="CI51" s="125">
        <v>0.10281416081199345</v>
      </c>
      <c r="CJ51" s="125">
        <v>0.10100895716918067</v>
      </c>
      <c r="CK51" s="125">
        <v>0.10068450050748266</v>
      </c>
      <c r="CL51" s="125">
        <v>0.10231504157151124</v>
      </c>
      <c r="CM51" s="125">
        <v>9.4025943739508816E-2</v>
      </c>
      <c r="CN51" s="125">
        <v>9.9611766483163944E-2</v>
      </c>
      <c r="CO51" s="125">
        <v>9.6850630982287564E-2</v>
      </c>
      <c r="CP51" s="125">
        <v>0.10218837423208829</v>
      </c>
      <c r="CQ51" s="125">
        <v>0.10474641951862812</v>
      </c>
      <c r="CR51" s="125">
        <v>0.10006294834062335</v>
      </c>
      <c r="CS51" s="125">
        <v>9.9762532329052189E-2</v>
      </c>
      <c r="CT51" s="125">
        <v>0.10019689115905135</v>
      </c>
      <c r="CU51" s="125">
        <v>9.7739091026973202E-2</v>
      </c>
      <c r="CV51" s="125">
        <v>0.10090832558181599</v>
      </c>
      <c r="CW51" s="125">
        <v>9.9078154719541942E-2</v>
      </c>
      <c r="CX51" s="125">
        <v>0.1035991085739803</v>
      </c>
    </row>
    <row r="52" spans="1:102" s="116" customFormat="1">
      <c r="A52" s="126"/>
      <c r="B52" s="67" t="s">
        <v>114</v>
      </c>
      <c r="C52" s="125">
        <v>0.30487904293658308</v>
      </c>
      <c r="D52" s="125">
        <v>0.32264015488595088</v>
      </c>
      <c r="E52" s="125">
        <v>0.31676005696708098</v>
      </c>
      <c r="F52" s="125">
        <v>0.32303269207624979</v>
      </c>
      <c r="G52" s="125">
        <v>0.30522052571082836</v>
      </c>
      <c r="H52" s="125">
        <v>0.32598246724918389</v>
      </c>
      <c r="I52" s="125">
        <v>0.29828704840518672</v>
      </c>
      <c r="J52" s="125">
        <v>0.33071641809983315</v>
      </c>
      <c r="K52" s="125">
        <v>0.33284262777350671</v>
      </c>
      <c r="L52" s="125">
        <v>0.32334557279205089</v>
      </c>
      <c r="M52" s="125">
        <v>0.31430918277738129</v>
      </c>
      <c r="N52" s="125">
        <v>0.3040575651375349</v>
      </c>
      <c r="O52" s="125">
        <v>0.31746677316840077</v>
      </c>
      <c r="P52" s="125">
        <v>0.3391730464234976</v>
      </c>
      <c r="Q52" s="125">
        <v>0.29419430045759509</v>
      </c>
      <c r="R52" s="125">
        <v>0.32324421118231639</v>
      </c>
      <c r="S52" s="125">
        <v>0.30510610740457178</v>
      </c>
      <c r="T52" s="125">
        <v>0.30849996487403453</v>
      </c>
      <c r="U52" s="125">
        <v>0.3277808845193364</v>
      </c>
      <c r="V52" s="125">
        <v>0.32813227287375935</v>
      </c>
      <c r="W52" s="125">
        <v>0.31375004896379133</v>
      </c>
      <c r="X52" s="125">
        <v>0.30066772783899998</v>
      </c>
      <c r="Y52" s="125">
        <v>0.31343851784197235</v>
      </c>
      <c r="Z52" s="125">
        <v>0.35204105362152871</v>
      </c>
      <c r="AA52" s="125">
        <v>0.32837017560945753</v>
      </c>
      <c r="AB52" s="125">
        <v>0.28038429994239505</v>
      </c>
      <c r="AC52" s="125">
        <v>0.31901584507994396</v>
      </c>
      <c r="AD52" s="125">
        <v>0.33852262942534905</v>
      </c>
      <c r="AE52" s="125">
        <v>0.28855869694119796</v>
      </c>
      <c r="AF52" s="125">
        <v>0.31180317617307673</v>
      </c>
      <c r="AG52" s="125">
        <v>0.31234581896946845</v>
      </c>
      <c r="AH52" s="125">
        <v>0.28963729479312905</v>
      </c>
      <c r="AI52" s="125">
        <v>0.30459131991514649</v>
      </c>
      <c r="AJ52" s="125">
        <v>0.32874282007834532</v>
      </c>
      <c r="AK52" s="125">
        <v>0.35683523010925222</v>
      </c>
      <c r="AL52" s="125">
        <v>0.31822864550021784</v>
      </c>
      <c r="AM52" s="125">
        <v>0.31665568921526055</v>
      </c>
      <c r="AN52" s="125">
        <v>0.2929165626517255</v>
      </c>
      <c r="AO52" s="125">
        <v>0.33281701742730924</v>
      </c>
      <c r="AP52" s="125">
        <v>0.31111289500578104</v>
      </c>
      <c r="AQ52" s="125">
        <v>0.32425964239507815</v>
      </c>
      <c r="AR52" s="125">
        <v>0.33017140594789307</v>
      </c>
      <c r="AS52" s="125">
        <v>0.31371523280607577</v>
      </c>
      <c r="AT52" s="125">
        <v>0.34037800799776496</v>
      </c>
      <c r="AU52" s="125">
        <v>0.3120964987006225</v>
      </c>
      <c r="AV52" s="125">
        <v>0.35102228582901907</v>
      </c>
      <c r="AW52" s="125">
        <v>0.29481906392009805</v>
      </c>
      <c r="AX52" s="125">
        <v>0.30523181790310649</v>
      </c>
      <c r="AY52" s="125">
        <v>0.28761378046085262</v>
      </c>
      <c r="AZ52" s="125">
        <v>0.32774901096758513</v>
      </c>
      <c r="BA52" s="125">
        <v>0.32099066936584814</v>
      </c>
      <c r="BB52" s="125">
        <v>0.29434142225791615</v>
      </c>
      <c r="BC52" s="125">
        <v>0.32157251323920577</v>
      </c>
      <c r="BD52" s="125">
        <v>0.29758741759531404</v>
      </c>
      <c r="BE52" s="125">
        <v>0.3073528162832212</v>
      </c>
      <c r="BF52" s="125">
        <v>0.31206627000320925</v>
      </c>
      <c r="BG52" s="125">
        <v>0.26918446555643394</v>
      </c>
      <c r="BH52" s="125">
        <v>0.30077031776684415</v>
      </c>
      <c r="BI52" s="125">
        <v>0.34177270631350898</v>
      </c>
      <c r="BJ52" s="125">
        <v>0.31064145194497395</v>
      </c>
      <c r="BK52" s="125">
        <v>0.3464805182448919</v>
      </c>
      <c r="BL52" s="125">
        <v>0.33619591762224782</v>
      </c>
      <c r="BM52" s="125">
        <v>0.2874946763593943</v>
      </c>
      <c r="BN52" s="125">
        <v>0.30126649146226669</v>
      </c>
      <c r="BO52" s="125">
        <v>0.33739051959342836</v>
      </c>
      <c r="BP52" s="125">
        <v>0.28832160531705603</v>
      </c>
      <c r="BQ52" s="125">
        <v>0.33666854083903813</v>
      </c>
      <c r="BR52" s="125">
        <v>0.33887153107680024</v>
      </c>
      <c r="BS52" s="125">
        <v>0.30183860811106822</v>
      </c>
      <c r="BT52" s="125">
        <v>0.30979131455158082</v>
      </c>
      <c r="BU52" s="125">
        <v>0.34010002158984648</v>
      </c>
      <c r="BV52" s="125">
        <v>0.34331139812649436</v>
      </c>
      <c r="BW52" s="125">
        <v>0.30075902959725637</v>
      </c>
      <c r="BX52" s="125">
        <v>0.3100257990920543</v>
      </c>
      <c r="BY52" s="125">
        <v>0.30805839355386466</v>
      </c>
      <c r="BZ52" s="125">
        <v>0.29174108683506655</v>
      </c>
      <c r="CA52" s="125">
        <v>0.30584634465425903</v>
      </c>
      <c r="CB52" s="125">
        <v>0.33030143935391276</v>
      </c>
      <c r="CC52" s="125">
        <v>0.2899444418253605</v>
      </c>
      <c r="CD52" s="125">
        <v>0.30220440726060982</v>
      </c>
      <c r="CE52" s="125">
        <v>0.28891651868886276</v>
      </c>
      <c r="CF52" s="125">
        <v>0.31349749281791017</v>
      </c>
      <c r="CG52" s="125">
        <v>0.3272516641120039</v>
      </c>
      <c r="CH52" s="125">
        <v>0.29641347298851861</v>
      </c>
      <c r="CI52" s="125">
        <v>0.31261607817861792</v>
      </c>
      <c r="CJ52" s="125">
        <v>0.33437688179665559</v>
      </c>
      <c r="CK52" s="125">
        <v>0.29997147478092279</v>
      </c>
      <c r="CL52" s="125">
        <v>0.32318028836366508</v>
      </c>
      <c r="CM52" s="125">
        <v>0.28213722138631508</v>
      </c>
      <c r="CN52" s="125">
        <v>0.29831214432262709</v>
      </c>
      <c r="CO52" s="125">
        <v>0.28631844196476336</v>
      </c>
      <c r="CP52" s="125">
        <v>0.34963144299355864</v>
      </c>
      <c r="CQ52" s="125">
        <v>0.33747063103431052</v>
      </c>
      <c r="CR52" s="125">
        <v>0.32418452114718566</v>
      </c>
      <c r="CS52" s="125">
        <v>0.29835298336164845</v>
      </c>
      <c r="CT52" s="125">
        <v>0.29861147681348937</v>
      </c>
      <c r="CU52" s="125">
        <v>0.3094226725722703</v>
      </c>
      <c r="CV52" s="125">
        <v>0.35435447442579976</v>
      </c>
      <c r="CW52" s="125">
        <v>0.32158369795218589</v>
      </c>
      <c r="CX52" s="125">
        <v>0.35272223312400464</v>
      </c>
    </row>
    <row r="53" spans="1:102" s="115" customFormat="1">
      <c r="A53" s="108" t="str">
        <f>Parameters!A43</f>
        <v>Vermogenseffect &amp; innovatie</v>
      </c>
      <c r="B53" s="122" t="s">
        <v>29</v>
      </c>
      <c r="C53" s="123">
        <v>9.7742623838959264E-2</v>
      </c>
      <c r="D53" s="123">
        <v>9.7536274930004357E-2</v>
      </c>
      <c r="E53" s="123">
        <v>9.6412587981135445E-2</v>
      </c>
      <c r="F53" s="123">
        <v>9.5731709417391647E-2</v>
      </c>
      <c r="G53" s="123">
        <v>9.5334908727177453E-2</v>
      </c>
      <c r="H53" s="123">
        <v>9.5199907860637395E-2</v>
      </c>
      <c r="I53" s="123">
        <v>9.5007401041647371E-2</v>
      </c>
      <c r="J53" s="123">
        <v>9.4765141595516231E-2</v>
      </c>
      <c r="K53" s="123">
        <v>9.4701172345708504E-2</v>
      </c>
      <c r="L53" s="123">
        <v>9.457917385355076E-2</v>
      </c>
      <c r="M53" s="123">
        <v>9.4465572349321403E-2</v>
      </c>
      <c r="N53" s="123">
        <v>9.4343992536761512E-2</v>
      </c>
      <c r="O53" s="123">
        <v>9.4210851610138799E-2</v>
      </c>
      <c r="P53" s="123">
        <v>9.4131706752675515E-2</v>
      </c>
      <c r="Q53" s="123">
        <v>9.4110302225501125E-2</v>
      </c>
      <c r="R53" s="123">
        <v>9.4040956284267591E-2</v>
      </c>
      <c r="S53" s="123">
        <v>9.3906934466417416E-2</v>
      </c>
      <c r="T53" s="123">
        <v>9.3900536549196126E-2</v>
      </c>
      <c r="U53" s="123">
        <v>9.3883236186921404E-2</v>
      </c>
      <c r="V53" s="123">
        <v>9.3653741773447041E-2</v>
      </c>
      <c r="W53" s="123">
        <v>9.3421348726246689E-2</v>
      </c>
      <c r="X53" s="123">
        <v>9.3111424595791581E-2</v>
      </c>
      <c r="Y53" s="123">
        <v>9.3059111700075609E-2</v>
      </c>
      <c r="Z53" s="123">
        <v>9.2983686232233159E-2</v>
      </c>
      <c r="AA53" s="123">
        <v>9.2896545155667573E-2</v>
      </c>
      <c r="AB53" s="123">
        <v>9.2837913567853231E-2</v>
      </c>
      <c r="AC53" s="123">
        <v>9.2630651214057114E-2</v>
      </c>
      <c r="AD53" s="123">
        <v>9.2481222116379755E-2</v>
      </c>
      <c r="AE53" s="123">
        <v>9.2424625458149362E-2</v>
      </c>
      <c r="AF53" s="123">
        <v>9.2420752433380687E-2</v>
      </c>
      <c r="AG53" s="123">
        <v>9.2352726345897349E-2</v>
      </c>
      <c r="AH53" s="123">
        <v>9.2334400731868979E-2</v>
      </c>
      <c r="AI53" s="123">
        <v>9.232197043554824E-2</v>
      </c>
      <c r="AJ53" s="123">
        <v>9.2278204388182378E-2</v>
      </c>
      <c r="AK53" s="123">
        <v>9.224094179437875E-2</v>
      </c>
      <c r="AL53" s="123">
        <v>9.2212068089081681E-2</v>
      </c>
      <c r="AM53" s="123">
        <v>9.2139679028672886E-2</v>
      </c>
      <c r="AN53" s="123">
        <v>9.2115430626396683E-2</v>
      </c>
      <c r="AO53" s="123">
        <v>9.2074289262989578E-2</v>
      </c>
      <c r="AP53" s="123">
        <v>9.1885157479527635E-2</v>
      </c>
      <c r="AQ53" s="123">
        <v>9.1846796591580043E-2</v>
      </c>
      <c r="AR53" s="123">
        <v>9.1843606440737843E-2</v>
      </c>
      <c r="AS53" s="123">
        <v>9.1843309336791246E-2</v>
      </c>
      <c r="AT53" s="123">
        <v>9.1683972140034514E-2</v>
      </c>
      <c r="AU53" s="123">
        <v>9.1637019206493447E-2</v>
      </c>
      <c r="AV53" s="123">
        <v>9.1618645188739592E-2</v>
      </c>
      <c r="AW53" s="123">
        <v>9.1559448757387585E-2</v>
      </c>
      <c r="AX53" s="123">
        <v>9.1533983242695988E-2</v>
      </c>
      <c r="AY53" s="123">
        <v>9.1529084386191534E-2</v>
      </c>
      <c r="AZ53" s="123">
        <v>9.1499283981510776E-2</v>
      </c>
      <c r="BA53" s="123">
        <v>9.1415373755661389E-2</v>
      </c>
      <c r="BB53" s="123">
        <v>9.1366338010425235E-2</v>
      </c>
      <c r="BC53" s="123">
        <v>9.1253225226560611E-2</v>
      </c>
      <c r="BD53" s="123">
        <v>9.1089545445496051E-2</v>
      </c>
      <c r="BE53" s="123">
        <v>9.094820819026804E-2</v>
      </c>
      <c r="BF53" s="123">
        <v>9.0880759457255503E-2</v>
      </c>
      <c r="BG53" s="123">
        <v>9.0833015703628811E-2</v>
      </c>
      <c r="BH53" s="123">
        <v>9.0826737776563971E-2</v>
      </c>
      <c r="BI53" s="123">
        <v>9.0823511677787072E-2</v>
      </c>
      <c r="BJ53" s="123">
        <v>9.0814241819993882E-2</v>
      </c>
      <c r="BK53" s="123">
        <v>9.079228115067893E-2</v>
      </c>
      <c r="BL53" s="123">
        <v>9.0787744140966534E-2</v>
      </c>
      <c r="BM53" s="123">
        <v>9.0787295226005468E-2</v>
      </c>
      <c r="BN53" s="123">
        <v>9.075648793342897E-2</v>
      </c>
      <c r="BO53" s="123">
        <v>9.0745712414374596E-2</v>
      </c>
      <c r="BP53" s="123">
        <v>9.0697248457128343E-2</v>
      </c>
      <c r="BQ53" s="123">
        <v>9.069078890079367E-2</v>
      </c>
      <c r="BR53" s="123">
        <v>9.0653090977385969E-2</v>
      </c>
      <c r="BS53" s="123">
        <v>9.0628249318768367E-2</v>
      </c>
      <c r="BT53" s="123">
        <v>9.0624611794736479E-2</v>
      </c>
      <c r="BU53" s="123">
        <v>9.0536722165729069E-2</v>
      </c>
      <c r="BV53" s="123">
        <v>9.0517566099699145E-2</v>
      </c>
      <c r="BW53" s="123">
        <v>9.0509337611694274E-2</v>
      </c>
      <c r="BX53" s="123">
        <v>9.0497943129744615E-2</v>
      </c>
      <c r="BY53" s="123">
        <v>9.0474819643989901E-2</v>
      </c>
      <c r="BZ53" s="123">
        <v>9.0472198363146211E-2</v>
      </c>
      <c r="CA53" s="123">
        <v>9.0470065914298986E-2</v>
      </c>
      <c r="CB53" s="123">
        <v>9.0465868933979454E-2</v>
      </c>
      <c r="CC53" s="123">
        <v>9.0456044340717384E-2</v>
      </c>
      <c r="CD53" s="123">
        <v>9.0421468336719976E-2</v>
      </c>
      <c r="CE53" s="123">
        <v>9.0411521168378403E-2</v>
      </c>
      <c r="CF53" s="123">
        <v>9.0388234872120388E-2</v>
      </c>
      <c r="CG53" s="123">
        <v>9.0326484685003122E-2</v>
      </c>
      <c r="CH53" s="123">
        <v>9.0325121821073245E-2</v>
      </c>
      <c r="CI53" s="123">
        <v>9.029056879710208E-2</v>
      </c>
      <c r="CJ53" s="123">
        <v>9.0288953195066718E-2</v>
      </c>
      <c r="CK53" s="123">
        <v>9.0288890463223054E-2</v>
      </c>
      <c r="CL53" s="123">
        <v>9.028718621215101E-2</v>
      </c>
      <c r="CM53" s="123">
        <v>9.0269907626599089E-2</v>
      </c>
      <c r="CN53" s="123">
        <v>9.0267412236307243E-2</v>
      </c>
      <c r="CO53" s="123">
        <v>9.0260640866131975E-2</v>
      </c>
      <c r="CP53" s="123">
        <v>9.0255779035336298E-2</v>
      </c>
      <c r="CQ53" s="123">
        <v>9.0191946282812102E-2</v>
      </c>
      <c r="CR53" s="123">
        <v>9.0154859979479626E-2</v>
      </c>
      <c r="CS53" s="123">
        <v>9.0125889686607702E-2</v>
      </c>
      <c r="CT53" s="123">
        <v>9.0098012306022199E-2</v>
      </c>
      <c r="CU53" s="123">
        <v>9.0067668114273081E-2</v>
      </c>
      <c r="CV53" s="123">
        <v>9.0044589561192906E-2</v>
      </c>
      <c r="CW53" s="123">
        <v>9.0042748227209021E-2</v>
      </c>
      <c r="CX53" s="123">
        <v>9.0019727184171894E-2</v>
      </c>
    </row>
    <row r="54" spans="1:102">
      <c r="A54" s="23"/>
      <c r="B54" s="14" t="s">
        <v>30</v>
      </c>
      <c r="C54" s="125">
        <v>5.9337846156145208E-2</v>
      </c>
      <c r="D54" s="125">
        <v>5.9353696574584974E-2</v>
      </c>
      <c r="E54" s="125">
        <v>5.9954021938792228E-2</v>
      </c>
      <c r="F54" s="125">
        <v>5.9411122551906878E-2</v>
      </c>
      <c r="G54" s="125">
        <v>5.9450279193237386E-2</v>
      </c>
      <c r="H54" s="125">
        <v>5.8192808029954891E-2</v>
      </c>
      <c r="I54" s="125">
        <v>5.905752010247594E-2</v>
      </c>
      <c r="J54" s="125">
        <v>5.9925011116138162E-2</v>
      </c>
      <c r="K54" s="125">
        <v>5.921229913067097E-2</v>
      </c>
      <c r="L54" s="125">
        <v>5.9932650023190391E-2</v>
      </c>
      <c r="M54" s="125">
        <v>5.9874454965738441E-2</v>
      </c>
      <c r="N54" s="125">
        <v>5.9327822191216739E-2</v>
      </c>
      <c r="O54" s="125">
        <v>5.9358048091792036E-2</v>
      </c>
      <c r="P54" s="125">
        <v>5.9954433215697912E-2</v>
      </c>
      <c r="Q54" s="125">
        <v>5.9249426261592346E-2</v>
      </c>
      <c r="R54" s="125">
        <v>5.903085158836379E-2</v>
      </c>
      <c r="S54" s="125">
        <v>5.9174618399228766E-2</v>
      </c>
      <c r="T54" s="125">
        <v>5.8515033848478233E-2</v>
      </c>
      <c r="U54" s="125">
        <v>5.7335116288247646E-2</v>
      </c>
      <c r="V54" s="125">
        <v>5.9231092574990471E-2</v>
      </c>
      <c r="W54" s="125">
        <v>5.8671292498624135E-2</v>
      </c>
      <c r="X54" s="125">
        <v>5.8548190311129629E-2</v>
      </c>
      <c r="Y54" s="125">
        <v>5.9822652526589547E-2</v>
      </c>
      <c r="Z54" s="125">
        <v>5.900940064721464E-2</v>
      </c>
      <c r="AA54" s="125">
        <v>5.9988065395004141E-2</v>
      </c>
      <c r="AB54" s="125">
        <v>5.8650659697308795E-2</v>
      </c>
      <c r="AC54" s="125">
        <v>5.9869459627662408E-2</v>
      </c>
      <c r="AD54" s="125">
        <v>5.8716503321460868E-2</v>
      </c>
      <c r="AE54" s="125">
        <v>5.9776579311488963E-2</v>
      </c>
      <c r="AF54" s="125">
        <v>5.9556358557224715E-2</v>
      </c>
      <c r="AG54" s="125">
        <v>5.9869706567680397E-2</v>
      </c>
      <c r="AH54" s="125">
        <v>5.8741686094172678E-2</v>
      </c>
      <c r="AI54" s="125">
        <v>5.8782289893362462E-2</v>
      </c>
      <c r="AJ54" s="125">
        <v>5.9198118211566703E-2</v>
      </c>
      <c r="AK54" s="125">
        <v>5.9919987848691056E-2</v>
      </c>
      <c r="AL54" s="125">
        <v>5.762485938749589E-2</v>
      </c>
      <c r="AM54" s="125">
        <v>5.9123533179417063E-2</v>
      </c>
      <c r="AN54" s="125">
        <v>5.9559065429638694E-2</v>
      </c>
      <c r="AO54" s="125">
        <v>5.792895759117115E-2</v>
      </c>
      <c r="AP54" s="125">
        <v>5.6430818064088818E-2</v>
      </c>
      <c r="AQ54" s="125">
        <v>5.9154057114421746E-2</v>
      </c>
      <c r="AR54" s="125">
        <v>5.9633266514779945E-2</v>
      </c>
      <c r="AS54" s="125">
        <v>5.9436341927680214E-2</v>
      </c>
      <c r="AT54" s="125">
        <v>5.819496923495919E-2</v>
      </c>
      <c r="AU54" s="125">
        <v>5.8563722484083681E-2</v>
      </c>
      <c r="AV54" s="125">
        <v>5.923684391779091E-2</v>
      </c>
      <c r="AW54" s="125">
        <v>5.7888482131605953E-2</v>
      </c>
      <c r="AX54" s="125">
        <v>5.979117278809027E-2</v>
      </c>
      <c r="AY54" s="125">
        <v>5.8637920339490369E-2</v>
      </c>
      <c r="AZ54" s="125">
        <v>5.909586051426842E-2</v>
      </c>
      <c r="BA54" s="125">
        <v>5.9752866551493665E-2</v>
      </c>
      <c r="BB54" s="125">
        <v>5.9420190300037264E-2</v>
      </c>
      <c r="BC54" s="125">
        <v>5.8202367594042813E-2</v>
      </c>
      <c r="BD54" s="125">
        <v>5.9520938008563534E-2</v>
      </c>
      <c r="BE54" s="125">
        <v>5.8764796569025189E-2</v>
      </c>
      <c r="BF54" s="125">
        <v>5.9999269838031902E-2</v>
      </c>
      <c r="BG54" s="125">
        <v>5.9852442209727727E-2</v>
      </c>
      <c r="BH54" s="125">
        <v>5.9401930471538057E-2</v>
      </c>
      <c r="BI54" s="125">
        <v>5.8561826645025926E-2</v>
      </c>
      <c r="BJ54" s="125">
        <v>5.9732008685107175E-2</v>
      </c>
      <c r="BK54" s="125">
        <v>5.8949613055461841E-2</v>
      </c>
      <c r="BL54" s="125">
        <v>5.6430009673567441E-2</v>
      </c>
      <c r="BM54" s="125">
        <v>5.9744351845186477E-2</v>
      </c>
      <c r="BN54" s="125">
        <v>5.9489384857981047E-2</v>
      </c>
      <c r="BO54" s="125">
        <v>5.9363975173705882E-2</v>
      </c>
      <c r="BP54" s="125">
        <v>5.9749422160182315E-2</v>
      </c>
      <c r="BQ54" s="125">
        <v>5.9183165781448679E-2</v>
      </c>
      <c r="BR54" s="125">
        <v>5.9136973986360815E-2</v>
      </c>
      <c r="BS54" s="125">
        <v>5.7883969844441593E-2</v>
      </c>
      <c r="BT54" s="125">
        <v>5.8530073581012317E-2</v>
      </c>
      <c r="BU54" s="125">
        <v>5.9056382140241739E-2</v>
      </c>
      <c r="BV54" s="125">
        <v>5.7969416783515838E-2</v>
      </c>
      <c r="BW54" s="125">
        <v>5.6318926788130996E-2</v>
      </c>
      <c r="BX54" s="125">
        <v>5.9261485540783268E-2</v>
      </c>
      <c r="BY54" s="125">
        <v>5.6780240396546208E-2</v>
      </c>
      <c r="BZ54" s="125">
        <v>5.9097186870120583E-2</v>
      </c>
      <c r="CA54" s="125">
        <v>5.9369081455312521E-2</v>
      </c>
      <c r="CB54" s="125">
        <v>5.7869577585048321E-2</v>
      </c>
      <c r="CC54" s="125">
        <v>5.7947613751900405E-2</v>
      </c>
      <c r="CD54" s="125">
        <v>5.7652074051216168E-2</v>
      </c>
      <c r="CE54" s="125">
        <v>5.9277686144514972E-2</v>
      </c>
      <c r="CF54" s="125">
        <v>5.9115481317628449E-2</v>
      </c>
      <c r="CG54" s="125">
        <v>5.9042775674008327E-2</v>
      </c>
      <c r="CH54" s="125">
        <v>5.9875109784935404E-2</v>
      </c>
      <c r="CI54" s="125">
        <v>5.8709875367771051E-2</v>
      </c>
      <c r="CJ54" s="125">
        <v>5.8065026840378765E-2</v>
      </c>
      <c r="CK54" s="125">
        <v>5.8828015907050682E-2</v>
      </c>
      <c r="CL54" s="125">
        <v>5.726967843938334E-2</v>
      </c>
      <c r="CM54" s="125">
        <v>5.9843200420565068E-2</v>
      </c>
      <c r="CN54" s="125">
        <v>5.8402064300019395E-2</v>
      </c>
      <c r="CO54" s="125">
        <v>5.8783138041890913E-2</v>
      </c>
      <c r="CP54" s="125">
        <v>5.9336123291934106E-2</v>
      </c>
      <c r="CQ54" s="125">
        <v>5.973104031439503E-2</v>
      </c>
      <c r="CR54" s="125">
        <v>5.8862034299581756E-2</v>
      </c>
      <c r="CS54" s="125">
        <v>5.9633594632327327E-2</v>
      </c>
      <c r="CT54" s="125">
        <v>5.9729617310047133E-2</v>
      </c>
      <c r="CU54" s="125">
        <v>5.9357470309986858E-2</v>
      </c>
      <c r="CV54" s="125">
        <v>5.930908939371634E-2</v>
      </c>
      <c r="CW54" s="125">
        <v>5.9089786493002915E-2</v>
      </c>
      <c r="CX54" s="125">
        <v>5.7745034228902634E-2</v>
      </c>
    </row>
    <row r="55" spans="1:102">
      <c r="A55" s="23"/>
      <c r="B55" s="67" t="s">
        <v>56</v>
      </c>
      <c r="C55" s="125">
        <v>0.10476007307355069</v>
      </c>
      <c r="D55" s="125">
        <v>0.10537762542237152</v>
      </c>
      <c r="E55" s="125">
        <v>0.10612709012222366</v>
      </c>
      <c r="F55" s="125">
        <v>0.10450614594877809</v>
      </c>
      <c r="G55" s="125">
        <v>0.10325640905242425</v>
      </c>
      <c r="H55" s="125">
        <v>0.10495309277629403</v>
      </c>
      <c r="I55" s="125">
        <v>0.10297578631583312</v>
      </c>
      <c r="J55" s="125">
        <v>0.10467911513784472</v>
      </c>
      <c r="K55" s="125">
        <v>0.10643660542039428</v>
      </c>
      <c r="L55" s="125">
        <v>0.10484672378610747</v>
      </c>
      <c r="M55" s="125">
        <v>0.1062831546188823</v>
      </c>
      <c r="N55" s="125">
        <v>0.1040568097134381</v>
      </c>
      <c r="O55" s="125">
        <v>0.10561160316850869</v>
      </c>
      <c r="P55" s="125">
        <v>0.10465620636776335</v>
      </c>
      <c r="Q55" s="125">
        <v>0.10319584338366744</v>
      </c>
      <c r="R55" s="125">
        <v>0.10538794240271009</v>
      </c>
      <c r="S55" s="125">
        <v>0.10141003191210309</v>
      </c>
      <c r="T55" s="125">
        <v>0.10250620686062382</v>
      </c>
      <c r="U55" s="125">
        <v>0.1051203595687408</v>
      </c>
      <c r="V55" s="125">
        <v>0.10448480656313371</v>
      </c>
      <c r="W55" s="125">
        <v>0.10538528194578002</v>
      </c>
      <c r="X55" s="125">
        <v>0.10192111398654945</v>
      </c>
      <c r="Y55" s="125">
        <v>0.10429572716371671</v>
      </c>
      <c r="Z55" s="125">
        <v>0.10426112807003436</v>
      </c>
      <c r="AA55" s="125">
        <v>0.10434126535659767</v>
      </c>
      <c r="AB55" s="125">
        <v>9.8932055429385865E-2</v>
      </c>
      <c r="AC55" s="125">
        <v>0.1013723624174834</v>
      </c>
      <c r="AD55" s="125">
        <v>0.10291260816377615</v>
      </c>
      <c r="AE55" s="125">
        <v>0.10145789265035388</v>
      </c>
      <c r="AF55" s="125">
        <v>0.10329141638912373</v>
      </c>
      <c r="AG55" s="125">
        <v>0.10309716847400513</v>
      </c>
      <c r="AH55" s="125">
        <v>9.9994350161061576E-2</v>
      </c>
      <c r="AI55" s="125">
        <v>0.10467571216367978</v>
      </c>
      <c r="AJ55" s="125">
        <v>0.10303993147913408</v>
      </c>
      <c r="AK55" s="125">
        <v>0.1046783896313675</v>
      </c>
      <c r="AL55" s="125">
        <v>0.10208470782435791</v>
      </c>
      <c r="AM55" s="125">
        <v>0.10389231211037046</v>
      </c>
      <c r="AN55" s="125">
        <v>0.10215600444022789</v>
      </c>
      <c r="AO55" s="125">
        <v>0.10679224433422434</v>
      </c>
      <c r="AP55" s="125">
        <v>0.1046894871429416</v>
      </c>
      <c r="AQ55" s="125">
        <v>0.10406061392538363</v>
      </c>
      <c r="AR55" s="125">
        <v>0.10244604277218088</v>
      </c>
      <c r="AS55" s="125">
        <v>0.10240440856313261</v>
      </c>
      <c r="AT55" s="125">
        <v>0.1039625059846772</v>
      </c>
      <c r="AU55" s="125">
        <v>0.10688164391305423</v>
      </c>
      <c r="AV55" s="125">
        <v>0.10432830632137087</v>
      </c>
      <c r="AW55" s="125">
        <v>0.10044016928751413</v>
      </c>
      <c r="AX55" s="125">
        <v>0.10255592487795728</v>
      </c>
      <c r="AY55" s="125">
        <v>0.10250432249453723</v>
      </c>
      <c r="AZ55" s="125">
        <v>0.105014448057228</v>
      </c>
      <c r="BA55" s="125">
        <v>0.10480915528964765</v>
      </c>
      <c r="BB55" s="125">
        <v>9.9694224416606136E-2</v>
      </c>
      <c r="BC55" s="125">
        <v>0.10520871577132963</v>
      </c>
      <c r="BD55" s="125">
        <v>0.10351950494380373</v>
      </c>
      <c r="BE55" s="125">
        <v>0.10211409777334834</v>
      </c>
      <c r="BF55" s="125">
        <v>0.10098157591906687</v>
      </c>
      <c r="BG55" s="125">
        <v>9.8038756182370887E-2</v>
      </c>
      <c r="BH55" s="125">
        <v>0.10351641625428516</v>
      </c>
      <c r="BI55" s="125">
        <v>0.1030251978163358</v>
      </c>
      <c r="BJ55" s="125">
        <v>0.10254816329319295</v>
      </c>
      <c r="BK55" s="125">
        <v>0.10606116001670297</v>
      </c>
      <c r="BL55" s="125">
        <v>0.10429130076297574</v>
      </c>
      <c r="BM55" s="125">
        <v>0.10179936857783631</v>
      </c>
      <c r="BN55" s="125">
        <v>9.9052392630962258E-2</v>
      </c>
      <c r="BO55" s="125">
        <v>0.10083221512178532</v>
      </c>
      <c r="BP55" s="125">
        <v>9.6759405245357283E-2</v>
      </c>
      <c r="BQ55" s="125">
        <v>0.10714130150794304</v>
      </c>
      <c r="BR55" s="125">
        <v>0.10316477237141868</v>
      </c>
      <c r="BS55" s="125">
        <v>9.9353228740164015E-2</v>
      </c>
      <c r="BT55" s="125">
        <v>0.10313764603458486</v>
      </c>
      <c r="BU55" s="125">
        <v>0.10362171883231978</v>
      </c>
      <c r="BV55" s="125">
        <v>0.10286228482382939</v>
      </c>
      <c r="BW55" s="125">
        <v>0.10188103863839792</v>
      </c>
      <c r="BX55" s="125">
        <v>0.10462048495584191</v>
      </c>
      <c r="BY55" s="125">
        <v>0.10124006113274697</v>
      </c>
      <c r="BZ55" s="125">
        <v>0.10031086926039</v>
      </c>
      <c r="CA55" s="125">
        <v>0.103541892735781</v>
      </c>
      <c r="CB55" s="125">
        <v>0.10308770075853348</v>
      </c>
      <c r="CC55" s="125">
        <v>9.9812963466172466E-2</v>
      </c>
      <c r="CD55" s="125">
        <v>0.10179734156747054</v>
      </c>
      <c r="CE55" s="125">
        <v>0.10098067323406619</v>
      </c>
      <c r="CF55" s="125">
        <v>0.10306825029026591</v>
      </c>
      <c r="CG55" s="125">
        <v>0.10232862679720635</v>
      </c>
      <c r="CH55" s="125">
        <v>0.10224162174044951</v>
      </c>
      <c r="CI55" s="125">
        <v>0.10560218423353859</v>
      </c>
      <c r="CJ55" s="125">
        <v>0.10552847213246597</v>
      </c>
      <c r="CK55" s="125">
        <v>0.10375035697873418</v>
      </c>
      <c r="CL55" s="125">
        <v>0.10514665116761421</v>
      </c>
      <c r="CM55" s="125">
        <v>9.6590651358605825E-2</v>
      </c>
      <c r="CN55" s="125">
        <v>0.10290279857808116</v>
      </c>
      <c r="CO55" s="125">
        <v>0.10031972734337093</v>
      </c>
      <c r="CP55" s="125">
        <v>0.10385639643680679</v>
      </c>
      <c r="CQ55" s="125">
        <v>0.10670201811592198</v>
      </c>
      <c r="CR55" s="125">
        <v>0.1034735273512022</v>
      </c>
      <c r="CS55" s="125">
        <v>0.10298736793632025</v>
      </c>
      <c r="CT55" s="125">
        <v>0.10291706883051506</v>
      </c>
      <c r="CU55" s="125">
        <v>0.10045134270189887</v>
      </c>
      <c r="CV55" s="125">
        <v>0.10368403888388406</v>
      </c>
      <c r="CW55" s="125">
        <v>0.10088330688181053</v>
      </c>
      <c r="CX55" s="125">
        <v>0.10535857379318647</v>
      </c>
    </row>
    <row r="56" spans="1:102">
      <c r="A56" s="126"/>
      <c r="B56" s="67" t="s">
        <v>114</v>
      </c>
      <c r="C56" s="125">
        <v>6.9610817789466387E-2</v>
      </c>
      <c r="D56" s="125">
        <v>7.0129891092921254E-2</v>
      </c>
      <c r="E56" s="125">
        <v>7.4747957363739362E-2</v>
      </c>
      <c r="F56" s="125">
        <v>7.4506775373776021E-2</v>
      </c>
      <c r="G56" s="125">
        <v>7.5586625765263787E-2</v>
      </c>
      <c r="H56" s="125">
        <v>7.158374173616365E-2</v>
      </c>
      <c r="I56" s="125">
        <v>7.5018596348039701E-2</v>
      </c>
      <c r="J56" s="125">
        <v>7.8604603261161754E-2</v>
      </c>
      <c r="K56" s="125">
        <v>7.6291678900303292E-2</v>
      </c>
      <c r="L56" s="125">
        <v>7.9087370289626965E-2</v>
      </c>
      <c r="M56" s="125">
        <v>7.9164873547569806E-2</v>
      </c>
      <c r="N56" s="125">
        <v>7.7562486693449659E-2</v>
      </c>
      <c r="O56" s="125">
        <v>7.7994258911366313E-2</v>
      </c>
      <c r="P56" s="125">
        <v>8.026953942402365E-2</v>
      </c>
      <c r="Q56" s="125">
        <v>7.7862533293739281E-2</v>
      </c>
      <c r="R56" s="125">
        <v>7.7269775111572639E-2</v>
      </c>
      <c r="S56" s="125">
        <v>7.8101980131359994E-2</v>
      </c>
      <c r="T56" s="125">
        <v>7.5810572361962106E-2</v>
      </c>
      <c r="U56" s="125">
        <v>7.1729010038026522E-2</v>
      </c>
      <c r="V56" s="125">
        <v>7.8926674834659011E-2</v>
      </c>
      <c r="W56" s="125">
        <v>7.7535960806751333E-2</v>
      </c>
      <c r="X56" s="125">
        <v>7.7871004701450544E-2</v>
      </c>
      <c r="Y56" s="125">
        <v>8.250422736615716E-2</v>
      </c>
      <c r="Z56" s="125">
        <v>7.9820633395685903E-2</v>
      </c>
      <c r="AA56" s="125">
        <v>8.3503667392962527E-2</v>
      </c>
      <c r="AB56" s="125">
        <v>7.8916806143233167E-2</v>
      </c>
      <c r="AC56" s="125">
        <v>8.3765562656770903E-2</v>
      </c>
      <c r="AD56" s="125">
        <v>8.0049806783669103E-2</v>
      </c>
      <c r="AE56" s="125">
        <v>8.3966146606942668E-2</v>
      </c>
      <c r="AF56" s="125">
        <v>8.3192718567351401E-2</v>
      </c>
      <c r="AG56" s="125">
        <v>8.4483210613993803E-2</v>
      </c>
      <c r="AH56" s="125">
        <v>8.0512141149011437E-2</v>
      </c>
      <c r="AI56" s="125">
        <v>8.0688507476622151E-2</v>
      </c>
      <c r="AJ56" s="125">
        <v>8.2282855239258254E-2</v>
      </c>
      <c r="AK56" s="125">
        <v>8.4951950551394331E-2</v>
      </c>
      <c r="AL56" s="125">
        <v>7.6836492634656361E-2</v>
      </c>
      <c r="AM56" s="125">
        <v>8.2372431541034907E-2</v>
      </c>
      <c r="AN56" s="125">
        <v>8.3990146530455709E-2</v>
      </c>
      <c r="AO56" s="125">
        <v>7.8269336359555158E-2</v>
      </c>
      <c r="AP56" s="125">
        <v>7.3379961810001587E-2</v>
      </c>
      <c r="AQ56" s="125">
        <v>8.3237264924722359E-2</v>
      </c>
      <c r="AR56" s="125">
        <v>8.4961880074379478E-2</v>
      </c>
      <c r="AS56" s="125">
        <v>8.42575114869904E-2</v>
      </c>
      <c r="AT56" s="125">
        <v>8.021512367168783E-2</v>
      </c>
      <c r="AU56" s="125">
        <v>8.1660890503367806E-2</v>
      </c>
      <c r="AV56" s="125">
        <v>8.4126992559791128E-2</v>
      </c>
      <c r="AW56" s="125">
        <v>7.9431434173694179E-2</v>
      </c>
      <c r="AX56" s="125">
        <v>8.6339530832725456E-2</v>
      </c>
      <c r="AY56" s="125">
        <v>8.2206518297316317E-2</v>
      </c>
      <c r="AZ56" s="125">
        <v>8.3931485276169657E-2</v>
      </c>
      <c r="BA56" s="125">
        <v>8.6514548591608037E-2</v>
      </c>
      <c r="BB56" s="125">
        <v>8.544678704004606E-2</v>
      </c>
      <c r="BC56" s="125">
        <v>8.1350211109412027E-2</v>
      </c>
      <c r="BD56" s="125">
        <v>8.6540559638433212E-2</v>
      </c>
      <c r="BE56" s="125">
        <v>8.4179643624371595E-2</v>
      </c>
      <c r="BF56" s="125">
        <v>8.8824517696503E-2</v>
      </c>
      <c r="BG56" s="125">
        <v>8.8421688054719838E-2</v>
      </c>
      <c r="BH56" s="125">
        <v>8.6808166564023334E-2</v>
      </c>
      <c r="BI56" s="125">
        <v>8.3771792101144077E-2</v>
      </c>
      <c r="BJ56" s="125">
        <v>8.803628177443952E-2</v>
      </c>
      <c r="BK56" s="125">
        <v>8.5260578780822036E-2</v>
      </c>
      <c r="BL56" s="125">
        <v>7.6122714629829016E-2</v>
      </c>
      <c r="BM56" s="125">
        <v>8.8153041766948548E-2</v>
      </c>
      <c r="BN56" s="125">
        <v>8.7312136167113072E-2</v>
      </c>
      <c r="BO56" s="125">
        <v>8.6886429911461976E-2</v>
      </c>
      <c r="BP56" s="125">
        <v>8.8412661665521877E-2</v>
      </c>
      <c r="BQ56" s="125">
        <v>8.6377014644667266E-2</v>
      </c>
      <c r="BR56" s="125">
        <v>8.6309708254908774E-2</v>
      </c>
      <c r="BS56" s="125">
        <v>8.1820659458627126E-2</v>
      </c>
      <c r="BT56" s="125">
        <v>8.4180347471111902E-2</v>
      </c>
      <c r="BU56" s="125">
        <v>8.6326913268345087E-2</v>
      </c>
      <c r="BV56" s="125">
        <v>8.2421499594622763E-2</v>
      </c>
      <c r="BW56" s="125">
        <v>7.6426636679132853E-2</v>
      </c>
      <c r="BX56" s="125">
        <v>8.7176046919421962E-2</v>
      </c>
      <c r="BY56" s="125">
        <v>7.819714167563134E-2</v>
      </c>
      <c r="BZ56" s="125">
        <v>8.6647468626994031E-2</v>
      </c>
      <c r="CA56" s="125">
        <v>8.7641822086187135E-2</v>
      </c>
      <c r="CB56" s="125">
        <v>8.2193213232463022E-2</v>
      </c>
      <c r="CC56" s="125">
        <v>8.2503496046713795E-2</v>
      </c>
      <c r="CD56" s="125">
        <v>8.1516223579094271E-2</v>
      </c>
      <c r="CE56" s="125">
        <v>8.7466474182678916E-2</v>
      </c>
      <c r="CF56" s="125">
        <v>8.6938570651185321E-2</v>
      </c>
      <c r="CG56" s="125">
        <v>8.6839121223154986E-2</v>
      </c>
      <c r="CH56" s="125">
        <v>8.9871872405667672E-2</v>
      </c>
      <c r="CI56" s="125">
        <v>8.5721476889685094E-2</v>
      </c>
      <c r="CJ56" s="125">
        <v>8.3371989497108126E-2</v>
      </c>
      <c r="CK56" s="125">
        <v>8.6156852227694855E-2</v>
      </c>
      <c r="CL56" s="125">
        <v>8.047040668458387E-2</v>
      </c>
      <c r="CM56" s="125">
        <v>8.9905507390599451E-2</v>
      </c>
      <c r="CN56" s="125">
        <v>8.4659790640233865E-2</v>
      </c>
      <c r="CO56" s="125">
        <v>8.6068640678399519E-2</v>
      </c>
      <c r="CP56" s="125">
        <v>8.8097817237217671E-2</v>
      </c>
      <c r="CQ56" s="125">
        <v>8.970876155846999E-2</v>
      </c>
      <c r="CR56" s="125">
        <v>8.6639779625393099E-2</v>
      </c>
      <c r="CS56" s="125">
        <v>8.9532938695982722E-2</v>
      </c>
      <c r="CT56" s="125">
        <v>8.9958607837517843E-2</v>
      </c>
      <c r="CU56" s="125">
        <v>8.8683525548570785E-2</v>
      </c>
      <c r="CV56" s="125">
        <v>8.856934143732062E-2</v>
      </c>
      <c r="CW56" s="125">
        <v>8.7773262726821982E-2</v>
      </c>
      <c r="CX56" s="125">
        <v>8.2912828166328806E-2</v>
      </c>
    </row>
    <row r="57" spans="1:102">
      <c r="A57" s="108" t="str">
        <f>Parameters!A44</f>
        <v>Schuld deflatie</v>
      </c>
      <c r="B57" s="122" t="s">
        <v>29</v>
      </c>
      <c r="C57" s="123">
        <v>-0.1053798255948678</v>
      </c>
      <c r="D57" s="123">
        <v>-0.11457732100819328</v>
      </c>
      <c r="E57" s="123">
        <v>-0.10715070495346962</v>
      </c>
      <c r="F57" s="123">
        <v>-9.4741320615771563E-2</v>
      </c>
      <c r="G57" s="123">
        <v>-0.10412873371499447</v>
      </c>
      <c r="H57" s="123">
        <v>-0.10651808126980283</v>
      </c>
      <c r="I57" s="123">
        <v>-0.11395676825712059</v>
      </c>
      <c r="J57" s="123">
        <v>-0.11415494900077405</v>
      </c>
      <c r="K57" s="123">
        <v>-0.1053637525341139</v>
      </c>
      <c r="L57" s="123">
        <v>-0.11685042895126332</v>
      </c>
      <c r="M57" s="123">
        <v>-0.11705089865831815</v>
      </c>
      <c r="N57" s="123">
        <v>-0.10621582595108107</v>
      </c>
      <c r="O57" s="123">
        <v>-0.12184014147678932</v>
      </c>
      <c r="P57" s="123">
        <v>-0.10919415810229346</v>
      </c>
      <c r="Q57" s="123">
        <v>-0.10642675292649201</v>
      </c>
      <c r="R57" s="123">
        <v>-0.10258241470938691</v>
      </c>
      <c r="S57" s="123">
        <v>-0.11664310832925769</v>
      </c>
      <c r="T57" s="123">
        <v>-9.8378422973694452E-2</v>
      </c>
      <c r="U57" s="123">
        <v>-0.10212088269885548</v>
      </c>
      <c r="V57" s="123">
        <v>-0.11452931092086097</v>
      </c>
      <c r="W57" s="123">
        <v>-0.11873923510717584</v>
      </c>
      <c r="X57" s="123">
        <v>-0.10160004062861648</v>
      </c>
      <c r="Y57" s="123">
        <v>-0.12643609602685563</v>
      </c>
      <c r="Z57" s="123">
        <v>-0.1046211623765087</v>
      </c>
      <c r="AA57" s="123">
        <v>-9.5317346628036398E-2</v>
      </c>
      <c r="AB57" s="123">
        <v>-0.11455476247187132</v>
      </c>
      <c r="AC57" s="123">
        <v>-0.11079449103051299</v>
      </c>
      <c r="AD57" s="123">
        <v>-0.11695897756666722</v>
      </c>
      <c r="AE57" s="123">
        <v>-9.9282775167140666E-2</v>
      </c>
      <c r="AF57" s="123">
        <v>-0.11774671737389801</v>
      </c>
      <c r="AG57" s="123">
        <v>-0.10033823547778375</v>
      </c>
      <c r="AH57" s="123">
        <v>-0.1160728528808318</v>
      </c>
      <c r="AI57" s="123">
        <v>-0.10743260161951802</v>
      </c>
      <c r="AJ57" s="123">
        <v>-0.1025604635501102</v>
      </c>
      <c r="AK57" s="123">
        <v>-0.11448977806849153</v>
      </c>
      <c r="AL57" s="123">
        <v>-0.1031366957320827</v>
      </c>
      <c r="AM57" s="123">
        <v>-0.12236937596220825</v>
      </c>
      <c r="AN57" s="123">
        <v>-0.11428598744809712</v>
      </c>
      <c r="AO57" s="123">
        <v>-0.10640027745125247</v>
      </c>
      <c r="AP57" s="123">
        <v>-0.10308406198172149</v>
      </c>
      <c r="AQ57" s="123">
        <v>-0.1088631987528756</v>
      </c>
      <c r="AR57" s="123">
        <v>-0.10278692520795361</v>
      </c>
      <c r="AS57" s="123">
        <v>-8.6902812265703844E-2</v>
      </c>
      <c r="AT57" s="123">
        <v>-0.11044674639708302</v>
      </c>
      <c r="AU57" s="123">
        <v>-0.10874261539047309</v>
      </c>
      <c r="AV57" s="123">
        <v>-0.10159427315128867</v>
      </c>
      <c r="AW57" s="123">
        <v>-0.10225558558507811</v>
      </c>
      <c r="AX57" s="123">
        <v>-0.11584498583765045</v>
      </c>
      <c r="AY57" s="123">
        <v>-0.11078552914498321</v>
      </c>
      <c r="AZ57" s="123">
        <v>-0.12163950204479722</v>
      </c>
      <c r="BA57" s="123">
        <v>-0.11932494035670296</v>
      </c>
      <c r="BB57" s="123">
        <v>-0.11915992629966227</v>
      </c>
      <c r="BC57" s="123">
        <v>-0.10009452403325175</v>
      </c>
      <c r="BD57" s="123">
        <v>-9.7601318480427801E-2</v>
      </c>
      <c r="BE57" s="123">
        <v>-0.10361858375862748</v>
      </c>
      <c r="BF57" s="123">
        <v>-0.10923083923606441</v>
      </c>
      <c r="BG57" s="123">
        <v>-0.11785592811217901</v>
      </c>
      <c r="BH57" s="123">
        <v>-0.12105571856140898</v>
      </c>
      <c r="BI57" s="123">
        <v>-0.1137491538887359</v>
      </c>
      <c r="BJ57" s="123">
        <v>-0.11446999824710005</v>
      </c>
      <c r="BK57" s="123">
        <v>-0.11564149467147672</v>
      </c>
      <c r="BL57" s="123">
        <v>-0.10671393002914016</v>
      </c>
      <c r="BM57" s="123">
        <v>-0.10884135961228952</v>
      </c>
      <c r="BN57" s="123">
        <v>-0.12467176816518123</v>
      </c>
      <c r="BO57" s="123">
        <v>-0.1152546187958437</v>
      </c>
      <c r="BP57" s="123">
        <v>-0.11513090604279487</v>
      </c>
      <c r="BQ57" s="123">
        <v>-0.10363534795673969</v>
      </c>
      <c r="BR57" s="123">
        <v>-0.11142592826228753</v>
      </c>
      <c r="BS57" s="123">
        <v>-0.10969799507385619</v>
      </c>
      <c r="BT57" s="123">
        <v>-8.641175985748592E-2</v>
      </c>
      <c r="BU57" s="123">
        <v>-0.10693200470788472</v>
      </c>
      <c r="BV57" s="123">
        <v>-0.11404220913800941</v>
      </c>
      <c r="BW57" s="123">
        <v>-0.10502740065404326</v>
      </c>
      <c r="BX57" s="123">
        <v>-0.10015156080763461</v>
      </c>
      <c r="BY57" s="123">
        <v>-9.9981951938403604E-2</v>
      </c>
      <c r="BZ57" s="123">
        <v>-0.11373486196254033</v>
      </c>
      <c r="CA57" s="123">
        <v>-0.12128971318633666</v>
      </c>
      <c r="CB57" s="123">
        <v>-0.11619786860340972</v>
      </c>
      <c r="CC57" s="123">
        <v>-0.1069901957538707</v>
      </c>
      <c r="CD57" s="123">
        <v>-0.11296077778928387</v>
      </c>
      <c r="CE57" s="123">
        <v>-9.5819505211609521E-2</v>
      </c>
      <c r="CF57" s="123">
        <v>-0.11401886149081845</v>
      </c>
      <c r="CG57" s="123">
        <v>-0.10285242799482325</v>
      </c>
      <c r="CH57" s="123">
        <v>-0.10540209380097161</v>
      </c>
      <c r="CI57" s="123">
        <v>-0.11179760356539009</v>
      </c>
      <c r="CJ57" s="123">
        <v>-9.6561229833459203E-2</v>
      </c>
      <c r="CK57" s="123">
        <v>-0.1143362682587529</v>
      </c>
      <c r="CL57" s="123">
        <v>-0.10792394108316415</v>
      </c>
      <c r="CM57" s="123">
        <v>-0.1244315106499744</v>
      </c>
      <c r="CN57" s="123">
        <v>-0.11185738372371712</v>
      </c>
      <c r="CO57" s="123">
        <v>-0.10610211420894511</v>
      </c>
      <c r="CP57" s="123">
        <v>-0.12384882917127306</v>
      </c>
      <c r="CQ57" s="123">
        <v>-0.12292856494749896</v>
      </c>
      <c r="CR57" s="123">
        <v>-8.8297635271284605E-2</v>
      </c>
      <c r="CS57" s="123">
        <v>-0.11413182058794308</v>
      </c>
      <c r="CT57" s="123">
        <v>-0.11950354901931945</v>
      </c>
      <c r="CU57" s="123">
        <v>-0.11342372208917452</v>
      </c>
      <c r="CV57" s="123">
        <v>-0.10902214559480733</v>
      </c>
      <c r="CW57" s="123">
        <v>-0.12289046931719076</v>
      </c>
      <c r="CX57" s="123">
        <v>-0.10612424109498464</v>
      </c>
    </row>
    <row r="58" spans="1:102">
      <c r="A58" s="23"/>
      <c r="B58" s="14" t="s">
        <v>30</v>
      </c>
      <c r="C58" s="125">
        <v>8.745384645570918E-2</v>
      </c>
      <c r="D58" s="125">
        <v>0.10013829464761535</v>
      </c>
      <c r="E58" s="125">
        <v>8.4375504387842248E-2</v>
      </c>
      <c r="F58" s="125">
        <v>7.9749882047349549E-2</v>
      </c>
      <c r="G58" s="125">
        <v>8.141029881486718E-2</v>
      </c>
      <c r="H58" s="125">
        <v>9.6025151914700554E-2</v>
      </c>
      <c r="I58" s="125">
        <v>8.5723799363097153E-2</v>
      </c>
      <c r="J58" s="125">
        <v>0.10038812316075442</v>
      </c>
      <c r="K58" s="125">
        <v>8.4030831704891451E-2</v>
      </c>
      <c r="L58" s="125">
        <v>0.10330815598502482</v>
      </c>
      <c r="M58" s="125">
        <v>8.9622390170609162E-2</v>
      </c>
      <c r="N58" s="125">
        <v>8.5128273375915317E-2</v>
      </c>
      <c r="O58" s="125">
        <v>9.2486802884091043E-2</v>
      </c>
      <c r="P58" s="125">
        <v>0.10375163664126621</v>
      </c>
      <c r="Q58" s="125">
        <v>8.9516455316463017E-2</v>
      </c>
      <c r="R58" s="125">
        <v>9.818337239051235E-2</v>
      </c>
      <c r="S58" s="125">
        <v>0.10275468989471359</v>
      </c>
      <c r="T58" s="125">
        <v>9.1266726719823041E-2</v>
      </c>
      <c r="U58" s="125">
        <v>9.2394630291939922E-2</v>
      </c>
      <c r="V58" s="125">
        <v>0.10756698325033165</v>
      </c>
      <c r="W58" s="125">
        <v>9.205418359791484E-2</v>
      </c>
      <c r="X58" s="125">
        <v>9.0256234582473796E-2</v>
      </c>
      <c r="Y58" s="125">
        <v>0.10155988659047992</v>
      </c>
      <c r="Z58" s="125">
        <v>0.10324187881415656</v>
      </c>
      <c r="AA58" s="125">
        <v>8.3255860347670171E-2</v>
      </c>
      <c r="AB58" s="125">
        <v>8.9639377889679295E-2</v>
      </c>
      <c r="AC58" s="125">
        <v>9.8756464474016772E-2</v>
      </c>
      <c r="AD58" s="125">
        <v>0.10904482497601756</v>
      </c>
      <c r="AE58" s="125">
        <v>8.4531108623101328E-2</v>
      </c>
      <c r="AF58" s="125">
        <v>9.8481289691677271E-2</v>
      </c>
      <c r="AG58" s="125">
        <v>9.6915600845884659E-2</v>
      </c>
      <c r="AH58" s="125">
        <v>9.6833195746261466E-2</v>
      </c>
      <c r="AI58" s="125">
        <v>8.9630042564729756E-2</v>
      </c>
      <c r="AJ58" s="125">
        <v>0.1026978864785507</v>
      </c>
      <c r="AK58" s="125">
        <v>0.10271286800644737</v>
      </c>
      <c r="AL58" s="125">
        <v>9.2382230069289362E-2</v>
      </c>
      <c r="AM58" s="125">
        <v>0.10435389403108519</v>
      </c>
      <c r="AN58" s="125">
        <v>9.330317992404126E-2</v>
      </c>
      <c r="AO58" s="125">
        <v>8.1724887152194892E-2</v>
      </c>
      <c r="AP58" s="125">
        <v>8.090517551252624E-2</v>
      </c>
      <c r="AQ58" s="125">
        <v>9.8772995234056915E-2</v>
      </c>
      <c r="AR58" s="125">
        <v>9.6984199917342806E-2</v>
      </c>
      <c r="AS58" s="125">
        <v>7.7467793885590136E-2</v>
      </c>
      <c r="AT58" s="125">
        <v>9.6071126106610047E-2</v>
      </c>
      <c r="AU58" s="125">
        <v>8.6754641541577845E-2</v>
      </c>
      <c r="AV58" s="125">
        <v>0.10347738449847922</v>
      </c>
      <c r="AW58" s="125">
        <v>9.0930869097936295E-2</v>
      </c>
      <c r="AX58" s="125">
        <v>8.9828333174703318E-2</v>
      </c>
      <c r="AY58" s="125">
        <v>8.0178363393857061E-2</v>
      </c>
      <c r="AZ58" s="125">
        <v>9.9077806241282179E-2</v>
      </c>
      <c r="BA58" s="125">
        <v>0.10397339213415546</v>
      </c>
      <c r="BB58" s="125">
        <v>9.5442767196671496E-2</v>
      </c>
      <c r="BC58" s="125">
        <v>9.1593492201701654E-2</v>
      </c>
      <c r="BD58" s="125">
        <v>8.7630185109266928E-2</v>
      </c>
      <c r="BE58" s="125">
        <v>9.5993281023269636E-2</v>
      </c>
      <c r="BF58" s="125">
        <v>0.10100412937952699</v>
      </c>
      <c r="BG58" s="125">
        <v>9.0295061899673915E-2</v>
      </c>
      <c r="BH58" s="125">
        <v>9.4739688786239618E-2</v>
      </c>
      <c r="BI58" s="125">
        <v>0.11240783104829957</v>
      </c>
      <c r="BJ58" s="125">
        <v>0.10455456706214253</v>
      </c>
      <c r="BK58" s="125">
        <v>9.1050564430695285E-2</v>
      </c>
      <c r="BL58" s="125">
        <v>9.5304898747419264E-2</v>
      </c>
      <c r="BM58" s="125">
        <v>8.7662113859351354E-2</v>
      </c>
      <c r="BN58" s="125">
        <v>0.10406264484315703</v>
      </c>
      <c r="BO58" s="125">
        <v>0.10878183313059205</v>
      </c>
      <c r="BP58" s="125">
        <v>8.9936858082540649E-2</v>
      </c>
      <c r="BQ58" s="125">
        <v>7.4975430575867988E-2</v>
      </c>
      <c r="BR58" s="125">
        <v>0.10802775742594452</v>
      </c>
      <c r="BS58" s="125">
        <v>9.9861297330455651E-2</v>
      </c>
      <c r="BT58" s="125">
        <v>8.3007737694543324E-2</v>
      </c>
      <c r="BU58" s="125">
        <v>9.1617160430378139E-2</v>
      </c>
      <c r="BV58" s="125">
        <v>0.10500166380740783</v>
      </c>
      <c r="BW58" s="125">
        <v>8.6458222965370424E-2</v>
      </c>
      <c r="BX58" s="125">
        <v>9.153138143022381E-2</v>
      </c>
      <c r="BY58" s="125">
        <v>8.718781382676033E-2</v>
      </c>
      <c r="BZ58" s="125">
        <v>9.4813674193856889E-2</v>
      </c>
      <c r="CA58" s="125">
        <v>9.8814710326209837E-2</v>
      </c>
      <c r="CB58" s="125">
        <v>9.5553763404564507E-2</v>
      </c>
      <c r="CC58" s="125">
        <v>9.0609096286366944E-2</v>
      </c>
      <c r="CD58" s="125">
        <v>9.3971685791645831E-2</v>
      </c>
      <c r="CE58" s="125">
        <v>8.0737638418543811E-2</v>
      </c>
      <c r="CF58" s="125">
        <v>8.3795254890131302E-2</v>
      </c>
      <c r="CG58" s="125">
        <v>9.0554146949057349E-2</v>
      </c>
      <c r="CH58" s="125">
        <v>9.3812869984733371E-2</v>
      </c>
      <c r="CI58" s="125">
        <v>8.3209789457367081E-2</v>
      </c>
      <c r="CJ58" s="125">
        <v>9.7385851670015067E-2</v>
      </c>
      <c r="CK58" s="125">
        <v>8.8963871158377325E-2</v>
      </c>
      <c r="CL58" s="125">
        <v>8.5810637557269684E-2</v>
      </c>
      <c r="CM58" s="125">
        <v>9.8856812076439968E-2</v>
      </c>
      <c r="CN58" s="125">
        <v>9.0962426876277105E-2</v>
      </c>
      <c r="CO58" s="125">
        <v>8.4757451693061633E-2</v>
      </c>
      <c r="CP58" s="125">
        <v>0.11261040553836238</v>
      </c>
      <c r="CQ58" s="125">
        <v>9.1696917505438943E-2</v>
      </c>
      <c r="CR58" s="125">
        <v>7.6891987404663284E-2</v>
      </c>
      <c r="CS58" s="125">
        <v>9.6883826153324748E-2</v>
      </c>
      <c r="CT58" s="125">
        <v>9.2919868973311268E-2</v>
      </c>
      <c r="CU58" s="125">
        <v>0.10418704624730679</v>
      </c>
      <c r="CV58" s="125">
        <v>0.10792027993745043</v>
      </c>
      <c r="CW58" s="125">
        <v>0.10378952024065399</v>
      </c>
      <c r="CX58" s="125">
        <v>8.7014900703846071E-2</v>
      </c>
    </row>
    <row r="59" spans="1:102">
      <c r="A59" s="23"/>
      <c r="B59" s="67" t="s">
        <v>56</v>
      </c>
      <c r="C59" s="125">
        <v>8.894057220051596E-2</v>
      </c>
      <c r="D59" s="125">
        <v>9.8372170531347683E-2</v>
      </c>
      <c r="E59" s="125">
        <v>8.6685864030825524E-2</v>
      </c>
      <c r="F59" s="125">
        <v>8.3869028779668717E-2</v>
      </c>
      <c r="G59" s="125">
        <v>8.6108258523838757E-2</v>
      </c>
      <c r="H59" s="125">
        <v>9.527115104989009E-2</v>
      </c>
      <c r="I59" s="125">
        <v>9.0024356123629301E-2</v>
      </c>
      <c r="J59" s="125">
        <v>9.7398268976734453E-2</v>
      </c>
      <c r="K59" s="125">
        <v>8.5490009797392755E-2</v>
      </c>
      <c r="L59" s="125">
        <v>0.10051289959327667</v>
      </c>
      <c r="M59" s="125">
        <v>9.0664183003990831E-2</v>
      </c>
      <c r="N59" s="125">
        <v>8.7640159290923295E-2</v>
      </c>
      <c r="O59" s="125">
        <v>9.3174581441615043E-2</v>
      </c>
      <c r="P59" s="125">
        <v>9.9782325998555604E-2</v>
      </c>
      <c r="Q59" s="125">
        <v>9.1019013351462411E-2</v>
      </c>
      <c r="R59" s="125">
        <v>9.9194183185566248E-2</v>
      </c>
      <c r="S59" s="125">
        <v>0.10172135309947947</v>
      </c>
      <c r="T59" s="125">
        <v>9.0939710982546593E-2</v>
      </c>
      <c r="U59" s="125">
        <v>9.28099876387663E-2</v>
      </c>
      <c r="V59" s="125">
        <v>0.10483690625960468</v>
      </c>
      <c r="W59" s="125">
        <v>9.3458906926579655E-2</v>
      </c>
      <c r="X59" s="125">
        <v>9.4095131319243228E-2</v>
      </c>
      <c r="Y59" s="125">
        <v>9.936479710106709E-2</v>
      </c>
      <c r="Z59" s="125">
        <v>9.8900804296164768E-2</v>
      </c>
      <c r="AA59" s="125">
        <v>8.3804890878414404E-2</v>
      </c>
      <c r="AB59" s="125">
        <v>9.0615956943578782E-2</v>
      </c>
      <c r="AC59" s="125">
        <v>9.5849868141780245E-2</v>
      </c>
      <c r="AD59" s="125">
        <v>0.1044112018053374</v>
      </c>
      <c r="AE59" s="125">
        <v>9.1981091586629371E-2</v>
      </c>
      <c r="AF59" s="125">
        <v>9.7139896684001636E-2</v>
      </c>
      <c r="AG59" s="125">
        <v>9.7174688771151055E-2</v>
      </c>
      <c r="AH59" s="125">
        <v>9.7369553707514198E-2</v>
      </c>
      <c r="AI59" s="125">
        <v>9.177300894336049E-2</v>
      </c>
      <c r="AJ59" s="125">
        <v>9.9460186575277193E-2</v>
      </c>
      <c r="AK59" s="125">
        <v>9.745073314296647E-2</v>
      </c>
      <c r="AL59" s="125">
        <v>9.3329244895978145E-2</v>
      </c>
      <c r="AM59" s="125">
        <v>0.10330603446152174</v>
      </c>
      <c r="AN59" s="125">
        <v>9.5408690640014629E-2</v>
      </c>
      <c r="AO59" s="125">
        <v>8.4467631462578172E-2</v>
      </c>
      <c r="AP59" s="125">
        <v>8.6242799121931321E-2</v>
      </c>
      <c r="AQ59" s="125">
        <v>9.6577510805534839E-2</v>
      </c>
      <c r="AR59" s="125">
        <v>9.3899530184653579E-2</v>
      </c>
      <c r="AS59" s="125">
        <v>8.3949238301841492E-2</v>
      </c>
      <c r="AT59" s="125">
        <v>9.372088848991178E-2</v>
      </c>
      <c r="AU59" s="125">
        <v>9.0864687286671936E-2</v>
      </c>
      <c r="AV59" s="125">
        <v>9.956483970048681E-2</v>
      </c>
      <c r="AW59" s="125">
        <v>9.2160045521705536E-2</v>
      </c>
      <c r="AX59" s="125">
        <v>9.2341149014120008E-2</v>
      </c>
      <c r="AY59" s="125">
        <v>8.3620025108860171E-2</v>
      </c>
      <c r="AZ59" s="125">
        <v>9.6927492513085398E-2</v>
      </c>
      <c r="BA59" s="125">
        <v>0.10178708153142149</v>
      </c>
      <c r="BB59" s="125">
        <v>9.1173491350076158E-2</v>
      </c>
      <c r="BC59" s="125">
        <v>9.3041724726439193E-2</v>
      </c>
      <c r="BD59" s="125">
        <v>9.3546297835331554E-2</v>
      </c>
      <c r="BE59" s="125">
        <v>9.8394959586720177E-2</v>
      </c>
      <c r="BF59" s="125">
        <v>9.8315182337570237E-2</v>
      </c>
      <c r="BG59" s="125">
        <v>8.8386321390786504E-2</v>
      </c>
      <c r="BH59" s="125">
        <v>9.4935594484532912E-2</v>
      </c>
      <c r="BI59" s="125">
        <v>0.10728757535859418</v>
      </c>
      <c r="BJ59" s="125">
        <v>0.10349424067624871</v>
      </c>
      <c r="BK59" s="125">
        <v>8.9235692700919536E-2</v>
      </c>
      <c r="BL59" s="125">
        <v>9.4131865316173222E-2</v>
      </c>
      <c r="BM59" s="125">
        <v>9.3523254098989872E-2</v>
      </c>
      <c r="BN59" s="125">
        <v>9.856080262439533E-2</v>
      </c>
      <c r="BO59" s="125">
        <v>0.10137090466528204</v>
      </c>
      <c r="BP59" s="125">
        <v>8.6200293068616943E-2</v>
      </c>
      <c r="BQ59" s="125">
        <v>7.899922040720872E-2</v>
      </c>
      <c r="BR59" s="125">
        <v>0.10363475980284881</v>
      </c>
      <c r="BS59" s="125">
        <v>9.6929718875910564E-2</v>
      </c>
      <c r="BT59" s="125">
        <v>8.9854205799485359E-2</v>
      </c>
      <c r="BU59" s="125">
        <v>9.0542505064518913E-2</v>
      </c>
      <c r="BV59" s="125">
        <v>9.9759238157206845E-2</v>
      </c>
      <c r="BW59" s="125">
        <v>9.1706841655591981E-2</v>
      </c>
      <c r="BX59" s="125">
        <v>9.5357093076098548E-2</v>
      </c>
      <c r="BY59" s="125">
        <v>9.0583141232594616E-2</v>
      </c>
      <c r="BZ59" s="125">
        <v>9.5656012217216882E-2</v>
      </c>
      <c r="CA59" s="125">
        <v>9.8637432208309422E-2</v>
      </c>
      <c r="CB59" s="125">
        <v>9.2114161391214963E-2</v>
      </c>
      <c r="CC59" s="125">
        <v>9.0147127730749635E-2</v>
      </c>
      <c r="CD59" s="125">
        <v>9.6722310527502658E-2</v>
      </c>
      <c r="CE59" s="125">
        <v>8.9876381180594475E-2</v>
      </c>
      <c r="CF59" s="125">
        <v>8.742358798597577E-2</v>
      </c>
      <c r="CG59" s="125">
        <v>8.8622244913397777E-2</v>
      </c>
      <c r="CH59" s="125">
        <v>9.576508180802687E-2</v>
      </c>
      <c r="CI59" s="125">
        <v>8.6765954575214826E-2</v>
      </c>
      <c r="CJ59" s="125">
        <v>9.8671107701556224E-2</v>
      </c>
      <c r="CK59" s="125">
        <v>9.021007627133959E-2</v>
      </c>
      <c r="CL59" s="125">
        <v>8.7834613875271195E-2</v>
      </c>
      <c r="CM59" s="125">
        <v>9.2831260112658798E-2</v>
      </c>
      <c r="CN59" s="125">
        <v>9.1286180215066695E-2</v>
      </c>
      <c r="CO59" s="125">
        <v>8.6753320736118439E-2</v>
      </c>
      <c r="CP59" s="125">
        <v>0.10653663347118235</v>
      </c>
      <c r="CQ59" s="125">
        <v>9.0476424814775261E-2</v>
      </c>
      <c r="CR59" s="125">
        <v>8.2707712707316652E-2</v>
      </c>
      <c r="CS59" s="125">
        <v>9.8390172474481646E-2</v>
      </c>
      <c r="CT59" s="125">
        <v>9.4864678350136969E-2</v>
      </c>
      <c r="CU59" s="125">
        <v>0.10511541177446292</v>
      </c>
      <c r="CV59" s="125">
        <v>0.10256134039567215</v>
      </c>
      <c r="CW59" s="125">
        <v>0.10057358309155211</v>
      </c>
      <c r="CX59" s="125">
        <v>8.5835026260186742E-2</v>
      </c>
    </row>
    <row r="60" spans="1:102">
      <c r="A60" s="126"/>
      <c r="B60" s="67" t="s">
        <v>114</v>
      </c>
      <c r="C60" s="125">
        <v>0.90646933724646606</v>
      </c>
      <c r="D60" s="125">
        <v>0.89325992562891798</v>
      </c>
      <c r="E60" s="125">
        <v>0.91749913301604702</v>
      </c>
      <c r="F60" s="125">
        <v>0.9054713097157171</v>
      </c>
      <c r="G60" s="125">
        <v>0.91952677671824523</v>
      </c>
      <c r="H60" s="125">
        <v>0.88751384884624518</v>
      </c>
      <c r="I60" s="125">
        <v>0.92591165164788836</v>
      </c>
      <c r="J60" s="125">
        <v>0.89190992981979722</v>
      </c>
      <c r="K60" s="125">
        <v>0.91510425536784301</v>
      </c>
      <c r="L60" s="125">
        <v>0.89025473651714548</v>
      </c>
      <c r="M60" s="125">
        <v>0.92184979258871558</v>
      </c>
      <c r="N60" s="125">
        <v>0.91390251475679585</v>
      </c>
      <c r="O60" s="125">
        <v>0.92299395846208621</v>
      </c>
      <c r="P60" s="125">
        <v>0.87468927307082389</v>
      </c>
      <c r="Q60" s="125">
        <v>0.90330545488513292</v>
      </c>
      <c r="R60" s="125">
        <v>0.8742377976453477</v>
      </c>
      <c r="S60" s="125">
        <v>0.89111509820385315</v>
      </c>
      <c r="T60" s="125">
        <v>0.88248301155868447</v>
      </c>
      <c r="U60" s="125">
        <v>0.88753064041302154</v>
      </c>
      <c r="V60" s="125">
        <v>0.87650488779420888</v>
      </c>
      <c r="W60" s="125">
        <v>0.91902089227368444</v>
      </c>
      <c r="X60" s="125">
        <v>0.89185992634080669</v>
      </c>
      <c r="Y60" s="125">
        <v>0.91042962390912208</v>
      </c>
      <c r="Z60" s="125">
        <v>0.86654780598550041</v>
      </c>
      <c r="AA60" s="125">
        <v>0.89706150137345131</v>
      </c>
      <c r="AB60" s="125">
        <v>0.91766105499202599</v>
      </c>
      <c r="AC60" s="125">
        <v>0.88936447381564665</v>
      </c>
      <c r="AD60" s="125">
        <v>0.87784521975268048</v>
      </c>
      <c r="AE60" s="125">
        <v>0.90196184000517121</v>
      </c>
      <c r="AF60" s="125">
        <v>0.90271320058215432</v>
      </c>
      <c r="AG60" s="125">
        <v>0.87254374144174174</v>
      </c>
      <c r="AH60" s="125">
        <v>0.90353480300544542</v>
      </c>
      <c r="AI60" s="125">
        <v>0.90493462390173884</v>
      </c>
      <c r="AJ60" s="125">
        <v>0.863468240204052</v>
      </c>
      <c r="AK60" s="125">
        <v>0.8872471303251287</v>
      </c>
      <c r="AL60" s="125">
        <v>0.88964806710609601</v>
      </c>
      <c r="AM60" s="125">
        <v>0.89768422354023636</v>
      </c>
      <c r="AN60" s="125">
        <v>0.9085807382283253</v>
      </c>
      <c r="AO60" s="125">
        <v>0.92281932770679354</v>
      </c>
      <c r="AP60" s="125">
        <v>0.91890379351782203</v>
      </c>
      <c r="AQ60" s="125">
        <v>0.88558877803156788</v>
      </c>
      <c r="AR60" s="125">
        <v>0.87757332708027691</v>
      </c>
      <c r="AS60" s="125">
        <v>0.89451062950140925</v>
      </c>
      <c r="AT60" s="125">
        <v>0.89502896153926015</v>
      </c>
      <c r="AU60" s="125">
        <v>0.91445623586145897</v>
      </c>
      <c r="AV60" s="125">
        <v>0.85958154210275128</v>
      </c>
      <c r="AW60" s="125">
        <v>0.89149460009110104</v>
      </c>
      <c r="AX60" s="125">
        <v>0.91938545811923522</v>
      </c>
      <c r="AY60" s="125">
        <v>0.93402548686642739</v>
      </c>
      <c r="AZ60" s="125">
        <v>0.90801789087413609</v>
      </c>
      <c r="BA60" s="125">
        <v>0.89321842897167825</v>
      </c>
      <c r="BB60" s="125">
        <v>0.91201546035955205</v>
      </c>
      <c r="BC60" s="125">
        <v>0.88531643059669829</v>
      </c>
      <c r="BD60" s="125">
        <v>0.89025820405837131</v>
      </c>
      <c r="BE60" s="125">
        <v>0.88171621130521716</v>
      </c>
      <c r="BF60" s="125">
        <v>0.88109037004201318</v>
      </c>
      <c r="BG60" s="125">
        <v>0.92160920049736417</v>
      </c>
      <c r="BH60" s="125">
        <v>0.91671728275450493</v>
      </c>
      <c r="BI60" s="125">
        <v>0.8645286944014634</v>
      </c>
      <c r="BJ60" s="125">
        <v>0.88307087629008252</v>
      </c>
      <c r="BK60" s="125">
        <v>0.91619266970843627</v>
      </c>
      <c r="BL60" s="125">
        <v>0.88964403858678454</v>
      </c>
      <c r="BM60" s="125">
        <v>0.91239874392921461</v>
      </c>
      <c r="BN60" s="125">
        <v>0.90219169371695562</v>
      </c>
      <c r="BO60" s="125">
        <v>0.87522222167046204</v>
      </c>
      <c r="BP60" s="125">
        <v>0.91793572113104183</v>
      </c>
      <c r="BQ60" s="125">
        <v>0.93519409867675085</v>
      </c>
      <c r="BR60" s="125">
        <v>0.86949884524100007</v>
      </c>
      <c r="BS60" s="125">
        <v>0.88466650744218978</v>
      </c>
      <c r="BT60" s="125">
        <v>0.87727645920300623</v>
      </c>
      <c r="BU60" s="125">
        <v>0.8990772274266291</v>
      </c>
      <c r="BV60" s="125">
        <v>0.88126529549578847</v>
      </c>
      <c r="BW60" s="125">
        <v>0.90831318101761993</v>
      </c>
      <c r="BX60" s="125">
        <v>0.88559491309322169</v>
      </c>
      <c r="BY60" s="125">
        <v>0.89642431404502554</v>
      </c>
      <c r="BZ60" s="125">
        <v>0.90405899384764987</v>
      </c>
      <c r="CA60" s="125">
        <v>0.9080175116326652</v>
      </c>
      <c r="CB60" s="125">
        <v>0.90669931612603727</v>
      </c>
      <c r="CC60" s="125">
        <v>0.90167466495853377</v>
      </c>
      <c r="CD60" s="125">
        <v>0.90464599705125726</v>
      </c>
      <c r="CE60" s="125">
        <v>0.90501348669768311</v>
      </c>
      <c r="CF60" s="125">
        <v>0.93056637709604828</v>
      </c>
      <c r="CG60" s="125">
        <v>0.89366231281868813</v>
      </c>
      <c r="CH60" s="125">
        <v>0.89067592202108337</v>
      </c>
      <c r="CI60" s="125">
        <v>0.92836767376056939</v>
      </c>
      <c r="CJ60" s="125">
        <v>0.86307003591881526</v>
      </c>
      <c r="CK60" s="125">
        <v>0.9188840019929746</v>
      </c>
      <c r="CL60" s="125">
        <v>0.9153155577932971</v>
      </c>
      <c r="CM60" s="125">
        <v>0.91306302243407467</v>
      </c>
      <c r="CN60" s="125">
        <v>0.90981964854961683</v>
      </c>
      <c r="CO60" s="125">
        <v>0.91462782829512534</v>
      </c>
      <c r="CP60" s="125">
        <v>0.88270162287069165</v>
      </c>
      <c r="CQ60" s="125">
        <v>0.92642212277692326</v>
      </c>
      <c r="CR60" s="125">
        <v>0.89944330972351605</v>
      </c>
      <c r="CS60" s="125">
        <v>0.89994601145459674</v>
      </c>
      <c r="CT60" s="125">
        <v>0.91829772494493822</v>
      </c>
      <c r="CU60" s="125">
        <v>0.88191929468221919</v>
      </c>
      <c r="CV60" s="125">
        <v>0.86495840227493481</v>
      </c>
      <c r="CW60" s="125">
        <v>0.8997949886762483</v>
      </c>
      <c r="CX60" s="125">
        <v>0.9089853514142564</v>
      </c>
    </row>
    <row r="61" spans="1:102">
      <c r="A61" s="128" t="str">
        <f>Parameters!A45</f>
        <v>Kansgewogen</v>
      </c>
      <c r="B61" s="122" t="s">
        <v>29</v>
      </c>
      <c r="C61" s="123">
        <v>7.567974501657645E-3</v>
      </c>
      <c r="D61" s="123">
        <v>6.9834651942331932E-3</v>
      </c>
      <c r="E61" s="123">
        <v>6.8950878373978657E-3</v>
      </c>
      <c r="F61" s="123">
        <v>7.4019672936613042E-3</v>
      </c>
      <c r="G61" s="123">
        <v>5.7125286951401092E-3</v>
      </c>
      <c r="H61" s="123">
        <v>7.5050405236558974E-3</v>
      </c>
      <c r="I61" s="123">
        <v>4.2028448949912728E-3</v>
      </c>
      <c r="J61" s="123">
        <v>6.4905241303607631E-3</v>
      </c>
      <c r="K61" s="123">
        <v>6.4741995347571725E-3</v>
      </c>
      <c r="L61" s="123">
        <v>6.7964531963555022E-3</v>
      </c>
      <c r="M61" s="123">
        <v>5.663446931191792E-3</v>
      </c>
      <c r="N61" s="123">
        <v>6.684989278980211E-3</v>
      </c>
      <c r="O61" s="123">
        <v>4.246417615216793E-3</v>
      </c>
      <c r="P61" s="123">
        <v>7.6573707990813498E-3</v>
      </c>
      <c r="Q61" s="123">
        <v>7.1877994211177187E-3</v>
      </c>
      <c r="R61" s="123">
        <v>8.2605923187320379E-3</v>
      </c>
      <c r="S61" s="123">
        <v>5.4540628768228417E-3</v>
      </c>
      <c r="T61" s="123">
        <v>8.2040251990707271E-3</v>
      </c>
      <c r="U61" s="123">
        <v>7.727447794172471E-3</v>
      </c>
      <c r="V61" s="123">
        <v>7.1030716167429595E-3</v>
      </c>
      <c r="W61" s="123">
        <v>4.8718237250876305E-3</v>
      </c>
      <c r="X61" s="123">
        <v>6.4793174729505781E-3</v>
      </c>
      <c r="Y61" s="123">
        <v>4.5284171214615612E-3</v>
      </c>
      <c r="Z61" s="123">
        <v>7.7979288603618521E-3</v>
      </c>
      <c r="AA61" s="123">
        <v>8.0470517656654993E-3</v>
      </c>
      <c r="AB61" s="123">
        <v>4.3714229985248269E-3</v>
      </c>
      <c r="AC61" s="123">
        <v>5.8688298437211449E-3</v>
      </c>
      <c r="AD61" s="123">
        <v>5.9263328395016334E-3</v>
      </c>
      <c r="AE61" s="123">
        <v>5.8435635892928571E-3</v>
      </c>
      <c r="AF61" s="123">
        <v>5.3758645534726724E-3</v>
      </c>
      <c r="AG61" s="123">
        <v>7.9508858851344861E-3</v>
      </c>
      <c r="AH61" s="123">
        <v>4.8281382324412607E-3</v>
      </c>
      <c r="AI61" s="123">
        <v>7.0739008215832504E-3</v>
      </c>
      <c r="AJ61" s="123">
        <v>8.3111935373462818E-3</v>
      </c>
      <c r="AK61" s="123">
        <v>5.8091744638428958E-3</v>
      </c>
      <c r="AL61" s="123">
        <v>6.3045757271772088E-3</v>
      </c>
      <c r="AM61" s="123">
        <v>5.0495140689353745E-3</v>
      </c>
      <c r="AN61" s="123">
        <v>5.2090057115574484E-3</v>
      </c>
      <c r="AO61" s="123">
        <v>5.769619706828248E-3</v>
      </c>
      <c r="AP61" s="123">
        <v>6.0238728053516495E-3</v>
      </c>
      <c r="AQ61" s="123">
        <v>7.3212764234587982E-3</v>
      </c>
      <c r="AR61" s="123">
        <v>7.4158459626054423E-3</v>
      </c>
      <c r="AS61" s="123">
        <v>7.3185720299697547E-3</v>
      </c>
      <c r="AT61" s="123">
        <v>5.8070235127739601E-3</v>
      </c>
      <c r="AU61" s="123">
        <v>6.2244058361194034E-3</v>
      </c>
      <c r="AV61" s="123">
        <v>8.292965944519148E-3</v>
      </c>
      <c r="AW61" s="123">
        <v>6.638752603260167E-3</v>
      </c>
      <c r="AX61" s="123">
        <v>3.5814953513967174E-3</v>
      </c>
      <c r="AY61" s="123">
        <v>4.8481003489574247E-3</v>
      </c>
      <c r="AZ61" s="123">
        <v>4.7473670332028291E-3</v>
      </c>
      <c r="BA61" s="123">
        <v>6.1759043654420268E-3</v>
      </c>
      <c r="BB61" s="123">
        <v>4.9368926799267356E-3</v>
      </c>
      <c r="BC61" s="123">
        <v>8.1168626460959292E-3</v>
      </c>
      <c r="BD61" s="123">
        <v>7.2456146380230294E-3</v>
      </c>
      <c r="BE61" s="123">
        <v>6.6409386766117622E-3</v>
      </c>
      <c r="BF61" s="123">
        <v>6.6581270797047287E-3</v>
      </c>
      <c r="BG61" s="123">
        <v>4.951372445579633E-3</v>
      </c>
      <c r="BH61" s="123">
        <v>4.649409364498213E-3</v>
      </c>
      <c r="BI61" s="123">
        <v>6.8690416333529649E-3</v>
      </c>
      <c r="BJ61" s="123">
        <v>6.3335384355077979E-3</v>
      </c>
      <c r="BK61" s="123">
        <v>4.5361974025909186E-3</v>
      </c>
      <c r="BL61" s="123">
        <v>6.5772538878358464E-3</v>
      </c>
      <c r="BM61" s="123">
        <v>4.9515169132331874E-3</v>
      </c>
      <c r="BN61" s="123">
        <v>4.1234286912251493E-3</v>
      </c>
      <c r="BO61" s="123">
        <v>6.0536992353856034E-3</v>
      </c>
      <c r="BP61" s="123">
        <v>3.9624684565150881E-3</v>
      </c>
      <c r="BQ61" s="123">
        <v>5.5798563995063883E-3</v>
      </c>
      <c r="BR61" s="123">
        <v>6.9488244634691235E-3</v>
      </c>
      <c r="BS61" s="123">
        <v>6.2656528236532741E-3</v>
      </c>
      <c r="BT61" s="123">
        <v>8.009135304442673E-3</v>
      </c>
      <c r="BU61" s="123">
        <v>5.5504391655010407E-3</v>
      </c>
      <c r="BV61" s="123">
        <v>5.9872154761728006E-3</v>
      </c>
      <c r="BW61" s="123">
        <v>5.0593056637633351E-3</v>
      </c>
      <c r="BX61" s="123">
        <v>7.790780059199945E-3</v>
      </c>
      <c r="BY61" s="123">
        <v>5.8923228786280785E-3</v>
      </c>
      <c r="BZ61" s="123">
        <v>4.8699923840592107E-3</v>
      </c>
      <c r="CA61" s="123">
        <v>4.6196301285663204E-3</v>
      </c>
      <c r="CB61" s="123">
        <v>4.8336007334703387E-3</v>
      </c>
      <c r="CC61" s="123">
        <v>5.9734874363122359E-3</v>
      </c>
      <c r="CD61" s="123">
        <v>4.6462379157035634E-3</v>
      </c>
      <c r="CE61" s="123">
        <v>5.2908026988318698E-3</v>
      </c>
      <c r="CF61" s="123">
        <v>3.0915067973470633E-3</v>
      </c>
      <c r="CG61" s="123">
        <v>6.6880460510561146E-3</v>
      </c>
      <c r="CH61" s="123">
        <v>7.0481337418102684E-3</v>
      </c>
      <c r="CI61" s="123">
        <v>5.3069221488814752E-3</v>
      </c>
      <c r="CJ61" s="123">
        <v>8.5871333556594553E-3</v>
      </c>
      <c r="CK61" s="123">
        <v>5.2813925801436165E-3</v>
      </c>
      <c r="CL61" s="123">
        <v>5.8565717402172483E-3</v>
      </c>
      <c r="CM61" s="123">
        <v>3.8714055183922198E-3</v>
      </c>
      <c r="CN61" s="123">
        <v>5.7089911840212896E-3</v>
      </c>
      <c r="CO61" s="123">
        <v>5.7857196113286595E-3</v>
      </c>
      <c r="CP61" s="123">
        <v>4.920060694100609E-3</v>
      </c>
      <c r="CQ61" s="123">
        <v>3.3731511275508276E-3</v>
      </c>
      <c r="CR61" s="123">
        <v>7.2433508091263397E-3</v>
      </c>
      <c r="CS61" s="123">
        <v>5.7438588903392495E-3</v>
      </c>
      <c r="CT61" s="123">
        <v>4.3232549979460039E-3</v>
      </c>
      <c r="CU61" s="123">
        <v>4.7539065137675801E-3</v>
      </c>
      <c r="CV61" s="123">
        <v>7.179847499739391E-3</v>
      </c>
      <c r="CW61" s="123">
        <v>3.4734701793499387E-3</v>
      </c>
      <c r="CX61" s="123">
        <v>5.5765131483616988E-3</v>
      </c>
    </row>
    <row r="62" spans="1:102">
      <c r="A62" s="23"/>
      <c r="B62" s="14" t="s">
        <v>30</v>
      </c>
      <c r="C62" s="125">
        <v>8.5593445501132459E-2</v>
      </c>
      <c r="D62" s="125">
        <v>8.9907296773449261E-2</v>
      </c>
      <c r="E62" s="125">
        <v>8.4846734922108744E-2</v>
      </c>
      <c r="F62" s="125">
        <v>8.0669459500589194E-2</v>
      </c>
      <c r="G62" s="125">
        <v>8.1801083732356797E-2</v>
      </c>
      <c r="H62" s="125">
        <v>8.6703519481788685E-2</v>
      </c>
      <c r="I62" s="125">
        <v>8.4011316875590755E-2</v>
      </c>
      <c r="J62" s="125">
        <v>8.9379881672524947E-2</v>
      </c>
      <c r="K62" s="125">
        <v>8.2863147845893964E-2</v>
      </c>
      <c r="L62" s="125">
        <v>9.1544874596148032E-2</v>
      </c>
      <c r="M62" s="125">
        <v>8.7658415816629726E-2</v>
      </c>
      <c r="N62" s="125">
        <v>8.4373975007118421E-2</v>
      </c>
      <c r="O62" s="125">
        <v>8.7670132408017479E-2</v>
      </c>
      <c r="P62" s="125">
        <v>9.0401804377363518E-2</v>
      </c>
      <c r="Q62" s="125">
        <v>8.5887805829091168E-2</v>
      </c>
      <c r="R62" s="125">
        <v>8.7108779876784614E-2</v>
      </c>
      <c r="S62" s="125">
        <v>8.9254152075552817E-2</v>
      </c>
      <c r="T62" s="125">
        <v>8.4799946145359018E-2</v>
      </c>
      <c r="U62" s="125">
        <v>8.4602144396483628E-2</v>
      </c>
      <c r="V62" s="125">
        <v>9.1719589367424248E-2</v>
      </c>
      <c r="W62" s="125">
        <v>8.719052619936403E-2</v>
      </c>
      <c r="X62" s="125">
        <v>8.2882373929252864E-2</v>
      </c>
      <c r="Y62" s="125">
        <v>9.2034500052130638E-2</v>
      </c>
      <c r="Z62" s="125">
        <v>8.9049760543237488E-2</v>
      </c>
      <c r="AA62" s="125">
        <v>8.3180815324765678E-2</v>
      </c>
      <c r="AB62" s="125">
        <v>8.5237462748172566E-2</v>
      </c>
      <c r="AC62" s="125">
        <v>8.7489553051325358E-2</v>
      </c>
      <c r="AD62" s="125">
        <v>9.1307602476502603E-2</v>
      </c>
      <c r="AE62" s="125">
        <v>8.144177478417286E-2</v>
      </c>
      <c r="AF62" s="125">
        <v>8.8753200136997973E-2</v>
      </c>
      <c r="AG62" s="125">
        <v>8.5940247783406282E-2</v>
      </c>
      <c r="AH62" s="125">
        <v>8.7465649741517507E-2</v>
      </c>
      <c r="AI62" s="125">
        <v>8.6095123656784164E-2</v>
      </c>
      <c r="AJ62" s="125">
        <v>8.8844989301055596E-2</v>
      </c>
      <c r="AK62" s="125">
        <v>8.9642296422526843E-2</v>
      </c>
      <c r="AL62" s="125">
        <v>8.3182353961206948E-2</v>
      </c>
      <c r="AM62" s="125">
        <v>9.13095372636471E-2</v>
      </c>
      <c r="AN62" s="125">
        <v>8.6755441462323113E-2</v>
      </c>
      <c r="AO62" s="125">
        <v>8.1296054621524588E-2</v>
      </c>
      <c r="AP62" s="125">
        <v>8.0339271324129796E-2</v>
      </c>
      <c r="AQ62" s="125">
        <v>8.860120119724986E-2</v>
      </c>
      <c r="AR62" s="125">
        <v>8.6889729570046814E-2</v>
      </c>
      <c r="AS62" s="125">
        <v>7.815302578460516E-2</v>
      </c>
      <c r="AT62" s="125">
        <v>8.5921645866875368E-2</v>
      </c>
      <c r="AU62" s="125">
        <v>8.384066780140656E-2</v>
      </c>
      <c r="AV62" s="125">
        <v>8.8927909915659908E-2</v>
      </c>
      <c r="AW62" s="125">
        <v>8.3326276071430991E-2</v>
      </c>
      <c r="AX62" s="125">
        <v>8.4663050185458846E-2</v>
      </c>
      <c r="AY62" s="125">
        <v>8.2520776608005705E-2</v>
      </c>
      <c r="AZ62" s="125">
        <v>8.9275196731122677E-2</v>
      </c>
      <c r="BA62" s="125">
        <v>9.1857541110198018E-2</v>
      </c>
      <c r="BB62" s="125">
        <v>8.8917136669840829E-2</v>
      </c>
      <c r="BC62" s="125">
        <v>8.4885453850212636E-2</v>
      </c>
      <c r="BD62" s="125">
        <v>8.2248718041633709E-2</v>
      </c>
      <c r="BE62" s="125">
        <v>8.4767752624183887E-2</v>
      </c>
      <c r="BF62" s="125">
        <v>8.8721522377004813E-2</v>
      </c>
      <c r="BG62" s="125">
        <v>8.8431720375578268E-2</v>
      </c>
      <c r="BH62" s="125">
        <v>8.8810242630104771E-2</v>
      </c>
      <c r="BI62" s="125">
        <v>9.2389522298201368E-2</v>
      </c>
      <c r="BJ62" s="125">
        <v>9.0346218454870744E-2</v>
      </c>
      <c r="BK62" s="125">
        <v>8.5054852016165944E-2</v>
      </c>
      <c r="BL62" s="125">
        <v>8.4854984667368322E-2</v>
      </c>
      <c r="BM62" s="125">
        <v>8.4340116929476044E-2</v>
      </c>
      <c r="BN62" s="125">
        <v>9.1428352137279512E-2</v>
      </c>
      <c r="BO62" s="125">
        <v>9.208142676930732E-2</v>
      </c>
      <c r="BP62" s="125">
        <v>8.5718683110156249E-2</v>
      </c>
      <c r="BQ62" s="125">
        <v>7.9810257255327602E-2</v>
      </c>
      <c r="BR62" s="125">
        <v>9.0894941492167564E-2</v>
      </c>
      <c r="BS62" s="125">
        <v>8.7398504122339224E-2</v>
      </c>
      <c r="BT62" s="125">
        <v>7.8662435803610944E-2</v>
      </c>
      <c r="BU62" s="125">
        <v>8.3984813554617788E-2</v>
      </c>
      <c r="BV62" s="125">
        <v>8.9637264619884041E-2</v>
      </c>
      <c r="BW62" s="125">
        <v>8.0924734066802284E-2</v>
      </c>
      <c r="BX62" s="125">
        <v>8.4810885810889178E-2</v>
      </c>
      <c r="BY62" s="125">
        <v>8.0447178542206399E-2</v>
      </c>
      <c r="BZ62" s="125">
        <v>8.6326979928361788E-2</v>
      </c>
      <c r="CA62" s="125">
        <v>8.9240877617550313E-2</v>
      </c>
      <c r="CB62" s="125">
        <v>8.6605555401171624E-2</v>
      </c>
      <c r="CC62" s="125">
        <v>8.4101716629747136E-2</v>
      </c>
      <c r="CD62" s="125">
        <v>8.5096581544551714E-2</v>
      </c>
      <c r="CE62" s="125">
        <v>7.9041301904652417E-2</v>
      </c>
      <c r="CF62" s="125">
        <v>8.2335532562450658E-2</v>
      </c>
      <c r="CG62" s="125">
        <v>8.4481065962872998E-2</v>
      </c>
      <c r="CH62" s="125">
        <v>8.6477833224655118E-2</v>
      </c>
      <c r="CI62" s="125">
        <v>8.4175722913089862E-2</v>
      </c>
      <c r="CJ62" s="125">
        <v>8.5119467926817086E-2</v>
      </c>
      <c r="CK62" s="125">
        <v>8.563729614688112E-2</v>
      </c>
      <c r="CL62" s="125">
        <v>8.2940285348071588E-2</v>
      </c>
      <c r="CM62" s="125">
        <v>9.0681056646016708E-2</v>
      </c>
      <c r="CN62" s="125">
        <v>8.5305435114930814E-2</v>
      </c>
      <c r="CO62" s="125">
        <v>8.3356737601606015E-2</v>
      </c>
      <c r="CP62" s="125">
        <v>9.3606829906863212E-2</v>
      </c>
      <c r="CQ62" s="125">
        <v>8.6672810916812629E-2</v>
      </c>
      <c r="CR62" s="125">
        <v>7.7977195560072168E-2</v>
      </c>
      <c r="CS62" s="125">
        <v>8.7997279220578845E-2</v>
      </c>
      <c r="CT62" s="125">
        <v>8.8144388576122223E-2</v>
      </c>
      <c r="CU62" s="125">
        <v>8.7943779463806132E-2</v>
      </c>
      <c r="CV62" s="125">
        <v>9.0924541300255984E-2</v>
      </c>
      <c r="CW62" s="125">
        <v>8.9637656189941184E-2</v>
      </c>
      <c r="CX62" s="125">
        <v>8.2276961964238546E-2</v>
      </c>
    </row>
    <row r="63" spans="1:102">
      <c r="A63" s="23"/>
      <c r="B63" s="67" t="s">
        <v>56</v>
      </c>
      <c r="C63" s="125">
        <v>0.10473376077453998</v>
      </c>
      <c r="D63" s="125">
        <v>0.10687061684805611</v>
      </c>
      <c r="E63" s="125">
        <v>0.10501693536414533</v>
      </c>
      <c r="F63" s="125">
        <v>0.10258549082138267</v>
      </c>
      <c r="G63" s="125">
        <v>0.10140082342389159</v>
      </c>
      <c r="H63" s="125">
        <v>0.10588473763922326</v>
      </c>
      <c r="I63" s="125">
        <v>0.10165491352067398</v>
      </c>
      <c r="J63" s="125">
        <v>0.10550700307024412</v>
      </c>
      <c r="K63" s="125">
        <v>0.10370234330729672</v>
      </c>
      <c r="L63" s="125">
        <v>0.10755256456032811</v>
      </c>
      <c r="M63" s="125">
        <v>0.10602245834301081</v>
      </c>
      <c r="N63" s="125">
        <v>0.10377284024673523</v>
      </c>
      <c r="O63" s="125">
        <v>0.10466893020646745</v>
      </c>
      <c r="P63" s="125">
        <v>0.10699681388988617</v>
      </c>
      <c r="Q63" s="125">
        <v>0.10413345625869121</v>
      </c>
      <c r="R63" s="125">
        <v>0.10761131045129139</v>
      </c>
      <c r="S63" s="125">
        <v>0.10366163946184874</v>
      </c>
      <c r="T63" s="125">
        <v>0.10362934982149086</v>
      </c>
      <c r="U63" s="125">
        <v>0.1056146850353369</v>
      </c>
      <c r="V63" s="125">
        <v>0.10807303839660977</v>
      </c>
      <c r="W63" s="125">
        <v>0.10526093868024718</v>
      </c>
      <c r="X63" s="125">
        <v>0.10249625656235981</v>
      </c>
      <c r="Y63" s="125">
        <v>0.10610666227927373</v>
      </c>
      <c r="Z63" s="125">
        <v>0.10639906228168688</v>
      </c>
      <c r="AA63" s="125">
        <v>0.10371409069072468</v>
      </c>
      <c r="AB63" s="125">
        <v>9.9040527925926186E-2</v>
      </c>
      <c r="AC63" s="125">
        <v>0.10191676509931868</v>
      </c>
      <c r="AD63" s="125">
        <v>0.10565772705519762</v>
      </c>
      <c r="AE63" s="125">
        <v>0.10170322619553034</v>
      </c>
      <c r="AF63" s="125">
        <v>0.10429936080592359</v>
      </c>
      <c r="AG63" s="125">
        <v>0.10473347906106166</v>
      </c>
      <c r="AH63" s="125">
        <v>0.10177459193053279</v>
      </c>
      <c r="AI63" s="125">
        <v>0.10601874479711859</v>
      </c>
      <c r="AJ63" s="125">
        <v>0.10611409253520875</v>
      </c>
      <c r="AK63" s="125">
        <v>0.10494246340197753</v>
      </c>
      <c r="AL63" s="125">
        <v>0.10210583020361907</v>
      </c>
      <c r="AM63" s="125">
        <v>0.10678754601899491</v>
      </c>
      <c r="AN63" s="125">
        <v>0.10331870114738663</v>
      </c>
      <c r="AO63" s="125">
        <v>0.10351684247198946</v>
      </c>
      <c r="AP63" s="125">
        <v>0.10316949838144804</v>
      </c>
      <c r="AQ63" s="125">
        <v>0.10626960524326609</v>
      </c>
      <c r="AR63" s="125">
        <v>0.1036728512264104</v>
      </c>
      <c r="AS63" s="125">
        <v>0.10102522146782056</v>
      </c>
      <c r="AT63" s="125">
        <v>0.10347524412489129</v>
      </c>
      <c r="AU63" s="125">
        <v>0.10580648050016837</v>
      </c>
      <c r="AV63" s="125">
        <v>0.10705811349364053</v>
      </c>
      <c r="AW63" s="125">
        <v>0.10113262886463262</v>
      </c>
      <c r="AX63" s="125">
        <v>0.10105920647183236</v>
      </c>
      <c r="AY63" s="125">
        <v>0.10036275699845386</v>
      </c>
      <c r="AZ63" s="125">
        <v>0.10536734148273824</v>
      </c>
      <c r="BA63" s="125">
        <v>0.1080561063879566</v>
      </c>
      <c r="BB63" s="125">
        <v>0.1005115214207421</v>
      </c>
      <c r="BC63" s="125">
        <v>0.10669364928507774</v>
      </c>
      <c r="BD63" s="125">
        <v>0.10413614514878348</v>
      </c>
      <c r="BE63" s="125">
        <v>0.10386339428414193</v>
      </c>
      <c r="BF63" s="125">
        <v>0.10361354310462931</v>
      </c>
      <c r="BG63" s="125">
        <v>9.9659959076122212E-2</v>
      </c>
      <c r="BH63" s="125">
        <v>0.10459032716746282</v>
      </c>
      <c r="BI63" s="125">
        <v>0.10730989557122066</v>
      </c>
      <c r="BJ63" s="125">
        <v>0.10612670080528373</v>
      </c>
      <c r="BK63" s="125">
        <v>0.10315880081011268</v>
      </c>
      <c r="BL63" s="125">
        <v>0.10463976994398683</v>
      </c>
      <c r="BM63" s="125">
        <v>0.10292377776070789</v>
      </c>
      <c r="BN63" s="125">
        <v>0.10099791215590694</v>
      </c>
      <c r="BO63" s="125">
        <v>0.10385887501863944</v>
      </c>
      <c r="BP63" s="125">
        <v>9.5691700471036936E-2</v>
      </c>
      <c r="BQ63" s="125">
        <v>0.10274579906927674</v>
      </c>
      <c r="BR63" s="125">
        <v>0.1065653195637539</v>
      </c>
      <c r="BS63" s="125">
        <v>0.10164434241424991</v>
      </c>
      <c r="BT63" s="125">
        <v>0.10305798424897734</v>
      </c>
      <c r="BU63" s="125">
        <v>0.10209286829146298</v>
      </c>
      <c r="BV63" s="125">
        <v>0.10471569628033203</v>
      </c>
      <c r="BW63" s="125">
        <v>0.10154959716406417</v>
      </c>
      <c r="BX63" s="125">
        <v>0.10662504057797349</v>
      </c>
      <c r="BY63" s="125">
        <v>0.10072551512598189</v>
      </c>
      <c r="BZ63" s="125">
        <v>0.1015368411300573</v>
      </c>
      <c r="CA63" s="125">
        <v>0.10488534226078725</v>
      </c>
      <c r="CB63" s="125">
        <v>0.10227180318873112</v>
      </c>
      <c r="CC63" s="125">
        <v>9.9957827998179108E-2</v>
      </c>
      <c r="CD63" s="125">
        <v>0.1028781797161795</v>
      </c>
      <c r="CE63" s="125">
        <v>0.10038970857841269</v>
      </c>
      <c r="CF63" s="125">
        <v>0.10019751508453671</v>
      </c>
      <c r="CG63" s="125">
        <v>0.10209368564918612</v>
      </c>
      <c r="CH63" s="125">
        <v>0.10476374342929443</v>
      </c>
      <c r="CI63" s="125">
        <v>0.10480433592554962</v>
      </c>
      <c r="CJ63" s="125">
        <v>0.10764001472345809</v>
      </c>
      <c r="CK63" s="125">
        <v>0.10339937584081386</v>
      </c>
      <c r="CL63" s="125">
        <v>0.10408724984424267</v>
      </c>
      <c r="CM63" s="125">
        <v>9.8204577869172041E-2</v>
      </c>
      <c r="CN63" s="125">
        <v>0.10260692904317091</v>
      </c>
      <c r="CO63" s="125">
        <v>0.10046856121155595</v>
      </c>
      <c r="CP63" s="125">
        <v>0.10675736715024656</v>
      </c>
      <c r="CQ63" s="125">
        <v>0.10376446413993831</v>
      </c>
      <c r="CR63" s="125">
        <v>0.10170728563986374</v>
      </c>
      <c r="CS63" s="125">
        <v>0.1051299861930636</v>
      </c>
      <c r="CT63" s="125">
        <v>0.10455231373794613</v>
      </c>
      <c r="CU63" s="125">
        <v>0.10323130259727259</v>
      </c>
      <c r="CV63" s="125">
        <v>0.10691675598816296</v>
      </c>
      <c r="CW63" s="125">
        <v>0.102066559876218</v>
      </c>
      <c r="CX63" s="125">
        <v>0.10243794604758877</v>
      </c>
    </row>
    <row r="64" spans="1:102">
      <c r="A64" s="126"/>
      <c r="B64" s="129" t="s">
        <v>114</v>
      </c>
      <c r="C64" s="127">
        <v>0.48210693855733477</v>
      </c>
      <c r="D64" s="127">
        <v>0.47536376821377452</v>
      </c>
      <c r="E64" s="127">
        <v>0.48639565647992999</v>
      </c>
      <c r="F64" s="127">
        <v>0.49241070111544549</v>
      </c>
      <c r="G64" s="127">
        <v>0.49715229005227501</v>
      </c>
      <c r="H64" s="127">
        <v>0.47620232919940197</v>
      </c>
      <c r="I64" s="127">
        <v>0.49900376110906114</v>
      </c>
      <c r="J64" s="127">
        <v>0.47734480064494578</v>
      </c>
      <c r="K64" s="127">
        <v>0.48963069539520399</v>
      </c>
      <c r="L64" s="127">
        <v>0.47271299071094869</v>
      </c>
      <c r="M64" s="127">
        <v>0.48475200284502318</v>
      </c>
      <c r="N64" s="127">
        <v>0.48606271677503965</v>
      </c>
      <c r="O64" s="127">
        <v>0.48980738775415411</v>
      </c>
      <c r="P64" s="127">
        <v>0.47174864421282581</v>
      </c>
      <c r="Q64" s="127">
        <v>0.48082067872932277</v>
      </c>
      <c r="R64" s="127">
        <v>0.47330538385151966</v>
      </c>
      <c r="S64" s="127">
        <v>0.48059587059809394</v>
      </c>
      <c r="T64" s="127">
        <v>0.47740163160378268</v>
      </c>
      <c r="U64" s="127">
        <v>0.47751986159082727</v>
      </c>
      <c r="V64" s="127">
        <v>0.47020935840865863</v>
      </c>
      <c r="W64" s="127">
        <v>0.48679263718159638</v>
      </c>
      <c r="X64" s="127">
        <v>0.48722557635506614</v>
      </c>
      <c r="Y64" s="127">
        <v>0.48110439300844721</v>
      </c>
      <c r="Z64" s="127">
        <v>0.47271503711248625</v>
      </c>
      <c r="AA64" s="127">
        <v>0.4844878725922801</v>
      </c>
      <c r="AB64" s="127">
        <v>0.49345203296542306</v>
      </c>
      <c r="AC64" s="127">
        <v>0.4825580988894595</v>
      </c>
      <c r="AD64" s="127">
        <v>0.47423392833452316</v>
      </c>
      <c r="AE64" s="127">
        <v>0.49608464059043456</v>
      </c>
      <c r="AF64" s="127">
        <v>0.48115187267218129</v>
      </c>
      <c r="AG64" s="127">
        <v>0.47580621870429607</v>
      </c>
      <c r="AH64" s="127">
        <v>0.48632517977738621</v>
      </c>
      <c r="AI64" s="127">
        <v>0.47966914492364332</v>
      </c>
      <c r="AJ64" s="127">
        <v>0.47017457505953897</v>
      </c>
      <c r="AK64" s="127">
        <v>0.47985921631284217</v>
      </c>
      <c r="AL64" s="127">
        <v>0.48538630669469895</v>
      </c>
      <c r="AM64" s="127">
        <v>0.47832154115334274</v>
      </c>
      <c r="AN64" s="127">
        <v>0.48633176841165926</v>
      </c>
      <c r="AO64" s="127">
        <v>0.49252915393509666</v>
      </c>
      <c r="AP64" s="127">
        <v>0.49190527374395854</v>
      </c>
      <c r="AQ64" s="127">
        <v>0.4736657658035805</v>
      </c>
      <c r="AR64" s="127">
        <v>0.47760760409719183</v>
      </c>
      <c r="AS64" s="127">
        <v>0.4960637410722365</v>
      </c>
      <c r="AT64" s="127">
        <v>0.48303672489209115</v>
      </c>
      <c r="AU64" s="127">
        <v>0.48548809374230906</v>
      </c>
      <c r="AV64" s="127">
        <v>0.47077259613164996</v>
      </c>
      <c r="AW64" s="127">
        <v>0.48379596448656709</v>
      </c>
      <c r="AX64" s="127">
        <v>0.49840781405382362</v>
      </c>
      <c r="AY64" s="127">
        <v>0.49646652418833165</v>
      </c>
      <c r="AZ64" s="127">
        <v>0.48195084298372104</v>
      </c>
      <c r="BA64" s="127">
        <v>0.47317562163667776</v>
      </c>
      <c r="BB64" s="127">
        <v>0.48347886972314935</v>
      </c>
      <c r="BC64" s="127">
        <v>0.4755273933688654</v>
      </c>
      <c r="BD64" s="127">
        <v>0.48528401099957164</v>
      </c>
      <c r="BE64" s="127">
        <v>0.48153449642307572</v>
      </c>
      <c r="BF64" s="127">
        <v>0.47644073259168396</v>
      </c>
      <c r="BG64" s="127">
        <v>0.48636183994675403</v>
      </c>
      <c r="BH64" s="127">
        <v>0.48446744571144762</v>
      </c>
      <c r="BI64" s="127">
        <v>0.468710291278784</v>
      </c>
      <c r="BJ64" s="127">
        <v>0.47468810445108867</v>
      </c>
      <c r="BK64" s="127">
        <v>0.49060791092403477</v>
      </c>
      <c r="BL64" s="127">
        <v>0.47873323732532658</v>
      </c>
      <c r="BM64" s="127">
        <v>0.49323170044059916</v>
      </c>
      <c r="BN64" s="127">
        <v>0.48195097936421749</v>
      </c>
      <c r="BO64" s="127">
        <v>0.47429964892721754</v>
      </c>
      <c r="BP64" s="127">
        <v>0.49499202176539969</v>
      </c>
      <c r="BQ64" s="127">
        <v>0.49897760315496792</v>
      </c>
      <c r="BR64" s="127">
        <v>0.47096562856303748</v>
      </c>
      <c r="BS64" s="127">
        <v>0.47762656905616685</v>
      </c>
      <c r="BT64" s="127">
        <v>0.4877292151499058</v>
      </c>
      <c r="BU64" s="127">
        <v>0.48887859512730714</v>
      </c>
      <c r="BV64" s="127">
        <v>0.47557915046748211</v>
      </c>
      <c r="BW64" s="127">
        <v>0.49416063025037993</v>
      </c>
      <c r="BX64" s="127">
        <v>0.4782422456349571</v>
      </c>
      <c r="BY64" s="127">
        <v>0.49106681153922804</v>
      </c>
      <c r="BZ64" s="127">
        <v>0.48699862999336008</v>
      </c>
      <c r="CA64" s="127">
        <v>0.48287038988552888</v>
      </c>
      <c r="CB64" s="127">
        <v>0.48502036674771348</v>
      </c>
      <c r="CC64" s="127">
        <v>0.4848146871559641</v>
      </c>
      <c r="CD64" s="127">
        <v>0.48889944436052135</v>
      </c>
      <c r="CE64" s="127">
        <v>0.50275832261390263</v>
      </c>
      <c r="CF64" s="127">
        <v>0.5052176977645858</v>
      </c>
      <c r="CG64" s="127">
        <v>0.48362796651951878</v>
      </c>
      <c r="CH64" s="127">
        <v>0.47893593782348676</v>
      </c>
      <c r="CI64" s="127">
        <v>0.48980387066473097</v>
      </c>
      <c r="CJ64" s="127">
        <v>0.47245815850805956</v>
      </c>
      <c r="CK64" s="127">
        <v>0.48617769785181414</v>
      </c>
      <c r="CL64" s="127">
        <v>0.48682168095033429</v>
      </c>
      <c r="CM64" s="127">
        <v>0.48545747797363703</v>
      </c>
      <c r="CN64" s="127">
        <v>0.48396727140658419</v>
      </c>
      <c r="CO64" s="127">
        <v>0.48921458808829554</v>
      </c>
      <c r="CP64" s="127">
        <v>0.4747198946608755</v>
      </c>
      <c r="CQ64" s="127">
        <v>0.4933570196689076</v>
      </c>
      <c r="CR64" s="127">
        <v>0.4949044722338749</v>
      </c>
      <c r="CS64" s="127">
        <v>0.48084102495543291</v>
      </c>
      <c r="CT64" s="127">
        <v>0.48758793826002966</v>
      </c>
      <c r="CU64" s="127">
        <v>0.48523337322601023</v>
      </c>
      <c r="CV64" s="127">
        <v>0.47128312355202029</v>
      </c>
      <c r="CW64" s="127">
        <v>0.48692022770228244</v>
      </c>
      <c r="CX64" s="127">
        <v>0.49045406318703211</v>
      </c>
    </row>
    <row r="65" spans="1:102">
      <c r="A65" s="23"/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1:102">
      <c r="C66" s="132"/>
    </row>
    <row r="67" spans="1:102">
      <c r="C67" s="132"/>
    </row>
    <row r="68" spans="1:102">
      <c r="C68" s="132"/>
    </row>
    <row r="69" spans="1:102">
      <c r="C69" s="132"/>
    </row>
    <row r="70" spans="1:102">
      <c r="C70" s="132"/>
    </row>
    <row r="71" spans="1:102">
      <c r="C71" s="132"/>
    </row>
    <row r="77" spans="1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31" spans="3:3">
      <c r="C131" s="132"/>
    </row>
    <row r="141" spans="3:3">
      <c r="C141" s="132"/>
    </row>
    <row r="151" spans="3:3">
      <c r="C151" s="13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28:B28"/>
    <mergeCell ref="A20:B20"/>
    <mergeCell ref="A21:B21"/>
    <mergeCell ref="A22:B22"/>
    <mergeCell ref="A23:B23"/>
    <mergeCell ref="A27:B27"/>
    <mergeCell ref="A16:B16"/>
    <mergeCell ref="A17:B17"/>
    <mergeCell ref="A18:B18"/>
    <mergeCell ref="A19:B19"/>
    <mergeCell ref="A24:B24"/>
    <mergeCell ref="A25:B25"/>
    <mergeCell ref="A9:B9"/>
    <mergeCell ref="A10:B10"/>
    <mergeCell ref="A11:B11"/>
    <mergeCell ref="A12:B12"/>
    <mergeCell ref="A13:B13"/>
    <mergeCell ref="A15:B15"/>
    <mergeCell ref="A3:B3"/>
    <mergeCell ref="A4:B4"/>
    <mergeCell ref="A5:B5"/>
    <mergeCell ref="A6:B6"/>
    <mergeCell ref="A7:B7"/>
    <mergeCell ref="A8:B8"/>
  </mergeCells>
  <phoneticPr fontId="2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1" enableFormatConditionsCalculation="0">
    <tabColor indexed="52"/>
  </sheetPr>
  <dimension ref="A1:CX151"/>
  <sheetViews>
    <sheetView topLeftCell="A28" workbookViewId="0">
      <selection activeCell="B68" sqref="B68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Parameters!A44</f>
        <v>Schuld deflatie</v>
      </c>
      <c r="C2" s="2" t="s">
        <v>129</v>
      </c>
      <c r="D2" s="1">
        <v>5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0.99999999967175279</v>
      </c>
      <c r="D4" s="115">
        <v>0.99999999755106783</v>
      </c>
      <c r="E4" s="115">
        <v>0.99999999613747836</v>
      </c>
      <c r="F4" s="115">
        <v>0.99999999691409069</v>
      </c>
      <c r="G4" s="115">
        <v>0.99999999314122046</v>
      </c>
      <c r="H4" s="115">
        <v>0.9999999939669455</v>
      </c>
      <c r="I4" s="115">
        <v>0.99999998963466818</v>
      </c>
      <c r="J4" s="115">
        <v>0.99999998776608967</v>
      </c>
      <c r="K4" s="115">
        <v>0.99999999121392169</v>
      </c>
      <c r="L4" s="115">
        <v>0.99999998898990294</v>
      </c>
      <c r="M4" s="115">
        <v>0.99999998910436105</v>
      </c>
      <c r="N4" s="115">
        <v>0.99999998911435384</v>
      </c>
      <c r="O4" s="115">
        <v>0.99999998174620286</v>
      </c>
      <c r="P4" s="115">
        <v>0.99999998649043753</v>
      </c>
      <c r="Q4" s="115">
        <v>0.9999999827142857</v>
      </c>
      <c r="R4" s="115">
        <v>0.99999998594061401</v>
      </c>
      <c r="S4" s="115">
        <v>0.99999998060278406</v>
      </c>
      <c r="T4" s="115">
        <v>0.99999997716045974</v>
      </c>
      <c r="U4" s="115">
        <v>0.99999998825984937</v>
      </c>
      <c r="V4" s="115">
        <v>0.9999999812794752</v>
      </c>
      <c r="W4" s="115">
        <v>0.99999997521074391</v>
      </c>
      <c r="X4" s="115">
        <v>0.99999998509204868</v>
      </c>
      <c r="Y4" s="115">
        <v>0.99999997792532547</v>
      </c>
      <c r="Z4" s="115">
        <v>0.99999997963157261</v>
      </c>
      <c r="AA4" s="115">
        <v>0.99999998051179095</v>
      </c>
      <c r="AB4" s="115">
        <v>0.99999997527595608</v>
      </c>
      <c r="AC4" s="115">
        <v>0.99999997186003353</v>
      </c>
      <c r="AD4" s="115">
        <v>0.99999997874564295</v>
      </c>
      <c r="AE4" s="115">
        <v>0.99999997566518728</v>
      </c>
      <c r="AF4" s="115">
        <v>0.9999999826242747</v>
      </c>
      <c r="AG4" s="115">
        <v>0.99999995505570638</v>
      </c>
      <c r="AH4" s="115">
        <v>0.99999997105760563</v>
      </c>
      <c r="AI4" s="115">
        <v>0.99999996802494562</v>
      </c>
      <c r="AJ4" s="115">
        <v>0.99999996404043268</v>
      </c>
      <c r="AK4" s="115">
        <v>0.99999993748862581</v>
      </c>
      <c r="AL4" s="115">
        <v>0.99999997749168035</v>
      </c>
      <c r="AM4" s="115">
        <v>0.99999997065631963</v>
      </c>
      <c r="AN4" s="115">
        <v>0.99999996076428177</v>
      </c>
      <c r="AO4" s="115">
        <v>0.99999993305183688</v>
      </c>
      <c r="AP4" s="115">
        <v>0.99999996021793958</v>
      </c>
      <c r="AQ4" s="115">
        <v>0.99999995989181167</v>
      </c>
      <c r="AR4" s="115">
        <v>0.99999996874810793</v>
      </c>
      <c r="AS4" s="115">
        <v>0.99999995807654052</v>
      </c>
      <c r="AT4" s="115">
        <v>0.999999914482401</v>
      </c>
      <c r="AU4" s="115">
        <v>0.99999995730722124</v>
      </c>
      <c r="AV4" s="115">
        <v>0.99999995597894109</v>
      </c>
      <c r="AW4" s="115">
        <v>0.99999996502706512</v>
      </c>
      <c r="AX4" s="115">
        <v>0.99999994925589852</v>
      </c>
      <c r="AY4" s="115">
        <v>0.99999990506737291</v>
      </c>
      <c r="AZ4" s="115">
        <v>0.99999992149527928</v>
      </c>
      <c r="BA4" s="115">
        <v>0.99999994558164507</v>
      </c>
      <c r="BB4" s="115">
        <v>0.99999993603742776</v>
      </c>
      <c r="BC4" s="115">
        <v>0.9999999439948779</v>
      </c>
      <c r="BD4" s="115">
        <v>0.99999993908240881</v>
      </c>
      <c r="BE4" s="115">
        <v>0.99999994611332332</v>
      </c>
      <c r="BF4" s="115">
        <v>0.99999993092119943</v>
      </c>
      <c r="BG4" s="115">
        <v>0.99999994439895035</v>
      </c>
      <c r="BH4" s="115">
        <v>0.99999992617214273</v>
      </c>
      <c r="BI4" s="115">
        <v>0.99999994556625604</v>
      </c>
      <c r="BJ4" s="115">
        <v>0.99999993463342607</v>
      </c>
      <c r="BK4" s="115">
        <v>0.9999999141993009</v>
      </c>
      <c r="BL4" s="115">
        <v>0.99999993194311532</v>
      </c>
      <c r="BM4" s="115">
        <v>0.9999999010877304</v>
      </c>
      <c r="BN4" s="115">
        <v>0.9999999512457628</v>
      </c>
      <c r="BO4" s="115">
        <v>0.99999992321848286</v>
      </c>
      <c r="BP4" s="115">
        <v>0.99999988762374814</v>
      </c>
      <c r="BQ4" s="115">
        <v>0.99999993998618264</v>
      </c>
      <c r="BR4" s="115">
        <v>0.99999991343115258</v>
      </c>
      <c r="BS4" s="115">
        <v>0.99999981669382065</v>
      </c>
      <c r="BT4" s="115">
        <v>0.99999990556643348</v>
      </c>
      <c r="BU4" s="115">
        <v>0.99999992312946306</v>
      </c>
      <c r="BV4" s="115">
        <v>0.99999993194339454</v>
      </c>
      <c r="BW4" s="115">
        <v>0.99999990214014145</v>
      </c>
      <c r="BX4" s="115">
        <v>0.99999989831334235</v>
      </c>
      <c r="BY4" s="115">
        <v>0.99999990584527076</v>
      </c>
      <c r="BZ4" s="115">
        <v>0.9999999294368731</v>
      </c>
      <c r="CA4" s="115">
        <v>0.99999989160878844</v>
      </c>
      <c r="CB4" s="115">
        <v>0.99999991509280572</v>
      </c>
      <c r="CC4" s="115">
        <v>0.99999993342159399</v>
      </c>
      <c r="CD4" s="115">
        <v>0.9999998837212597</v>
      </c>
      <c r="CE4" s="115">
        <v>0.99999986704516608</v>
      </c>
      <c r="CF4" s="115">
        <v>0.9999999071291964</v>
      </c>
      <c r="CG4" s="115">
        <v>0.99999990121545812</v>
      </c>
      <c r="CH4" s="115">
        <v>0.99999987715825622</v>
      </c>
      <c r="CI4" s="115">
        <v>0.99999991136669808</v>
      </c>
      <c r="CJ4" s="115">
        <v>0.99999981159310691</v>
      </c>
      <c r="CK4" s="115">
        <v>0.99999975872769309</v>
      </c>
      <c r="CL4" s="115">
        <v>0.99999983977265783</v>
      </c>
      <c r="CM4" s="115">
        <v>0.99999972191001507</v>
      </c>
      <c r="CN4" s="115">
        <v>0.99999986214063519</v>
      </c>
      <c r="CO4" s="115">
        <v>0.99999986710201516</v>
      </c>
      <c r="CP4" s="115">
        <v>0.99999986540303254</v>
      </c>
      <c r="CQ4" s="115">
        <v>0.99999971090374662</v>
      </c>
      <c r="CR4" s="115">
        <v>0.99999986207160085</v>
      </c>
      <c r="CS4" s="115">
        <v>0.99999984021266719</v>
      </c>
      <c r="CT4" s="115">
        <v>0.9999998634291043</v>
      </c>
      <c r="CU4" s="115">
        <v>0.99999985882301445</v>
      </c>
      <c r="CV4" s="115">
        <v>0.99999956473522555</v>
      </c>
      <c r="CW4" s="115">
        <v>0.99999979155338836</v>
      </c>
      <c r="CX4" s="115">
        <v>0.99999955592984457</v>
      </c>
    </row>
    <row r="5" spans="1:102" s="115" customFormat="1">
      <c r="A5" s="252" t="str">
        <f>Parameters!A51</f>
        <v>Reele matching</v>
      </c>
      <c r="B5" s="253"/>
      <c r="C5" s="115">
        <v>3.1501974827270283E-10</v>
      </c>
      <c r="D5" s="115">
        <v>9.4308335611551956E-11</v>
      </c>
      <c r="E5" s="115">
        <v>6.8221929926180925E-14</v>
      </c>
      <c r="F5" s="115">
        <v>2.8513846857098213E-10</v>
      </c>
      <c r="G5" s="115">
        <v>9.430306173451976E-10</v>
      </c>
      <c r="H5" s="115">
        <v>3.128134470271427E-14</v>
      </c>
      <c r="I5" s="115">
        <v>1.5488120189153066E-10</v>
      </c>
      <c r="J5" s="115">
        <v>1.1440367858604987E-11</v>
      </c>
      <c r="K5" s="115">
        <v>3.1190521121254275E-12</v>
      </c>
      <c r="L5" s="115">
        <v>2.7339911196439372E-9</v>
      </c>
      <c r="M5" s="115">
        <v>1.3413915663412853E-9</v>
      </c>
      <c r="N5" s="115">
        <v>9.93893101204967E-11</v>
      </c>
      <c r="O5" s="115">
        <v>1.229687394275598E-8</v>
      </c>
      <c r="P5" s="115">
        <v>9.1883246163005004E-16</v>
      </c>
      <c r="Q5" s="115">
        <v>2.4975467721529952E-24</v>
      </c>
      <c r="R5" s="115">
        <v>1.7541932568535931E-9</v>
      </c>
      <c r="S5" s="115">
        <v>1.981592238928105E-12</v>
      </c>
      <c r="T5" s="115">
        <v>5.2537258586303026E-9</v>
      </c>
      <c r="U5" s="115">
        <v>1.0547309403232205E-15</v>
      </c>
      <c r="V5" s="115">
        <v>2.2807136276970576E-11</v>
      </c>
      <c r="W5" s="115">
        <v>4.4362400545785683E-9</v>
      </c>
      <c r="X5" s="115">
        <v>2.4299321314381336E-9</v>
      </c>
      <c r="Y5" s="115">
        <v>1.2825092999402603E-9</v>
      </c>
      <c r="Z5" s="115">
        <v>3.9226457976601296E-16</v>
      </c>
      <c r="AA5" s="115">
        <v>3.7979272484064808E-16</v>
      </c>
      <c r="AB5" s="115">
        <v>9.4853684929663584E-16</v>
      </c>
      <c r="AC5" s="115">
        <v>8.2285725037447441E-9</v>
      </c>
      <c r="AD5" s="115">
        <v>2.7799805189565197E-21</v>
      </c>
      <c r="AE5" s="115">
        <v>8.0107263663027451E-10</v>
      </c>
      <c r="AF5" s="115">
        <v>2.6698748888016364E-12</v>
      </c>
      <c r="AG5" s="115">
        <v>3.8008351961913261E-8</v>
      </c>
      <c r="AH5" s="115">
        <v>4.1175959715749609E-10</v>
      </c>
      <c r="AI5" s="115">
        <v>1.1486196467846514E-11</v>
      </c>
      <c r="AJ5" s="115">
        <v>4.004355475155377E-9</v>
      </c>
      <c r="AK5" s="115">
        <v>5.3361891127039682E-8</v>
      </c>
      <c r="AL5" s="115">
        <v>7.246218323040687E-10</v>
      </c>
      <c r="AM5" s="115">
        <v>2.5744653126462839E-20</v>
      </c>
      <c r="AN5" s="115">
        <v>2.9305942091318912E-9</v>
      </c>
      <c r="AO5" s="115">
        <v>5.7901900630626782E-8</v>
      </c>
      <c r="AP5" s="115">
        <v>8.4630941768691107E-12</v>
      </c>
      <c r="AQ5" s="115">
        <v>1.0170954708899665E-12</v>
      </c>
      <c r="AR5" s="115">
        <v>1.1786217700363175E-14</v>
      </c>
      <c r="AS5" s="115">
        <v>2.0158539482945106E-9</v>
      </c>
      <c r="AT5" s="115">
        <v>8.142517306522717E-8</v>
      </c>
      <c r="AU5" s="115">
        <v>1.8708364768951786E-9</v>
      </c>
      <c r="AV5" s="115">
        <v>3.9777584872695561E-10</v>
      </c>
      <c r="AW5" s="115">
        <v>2.4986991091901192E-22</v>
      </c>
      <c r="AX5" s="115">
        <v>3.9201056131947033E-16</v>
      </c>
      <c r="AY5" s="115">
        <v>8.9198413842469523E-8</v>
      </c>
      <c r="AZ5" s="115">
        <v>6.3876338326003226E-8</v>
      </c>
      <c r="BA5" s="115">
        <v>9.7928004744158211E-9</v>
      </c>
      <c r="BB5" s="115">
        <v>1.7007982045997006E-8</v>
      </c>
      <c r="BC5" s="115">
        <v>1.1704001303169783E-12</v>
      </c>
      <c r="BD5" s="115">
        <v>1.585466187476458E-15</v>
      </c>
      <c r="BE5" s="115">
        <v>2.9599361421213152E-9</v>
      </c>
      <c r="BF5" s="115">
        <v>1.5216943107929193E-9</v>
      </c>
      <c r="BG5" s="115">
        <v>1.0178336012548534E-10</v>
      </c>
      <c r="BH5" s="115">
        <v>1.8162639018761801E-9</v>
      </c>
      <c r="BI5" s="115">
        <v>1.623101434802868E-12</v>
      </c>
      <c r="BJ5" s="115">
        <v>2.191906599906251E-9</v>
      </c>
      <c r="BK5" s="115">
        <v>1.1752985328276393E-10</v>
      </c>
      <c r="BL5" s="115">
        <v>5.3581559991436582E-13</v>
      </c>
      <c r="BM5" s="115">
        <v>6.4115793176595722E-8</v>
      </c>
      <c r="BN5" s="115">
        <v>1.4297148954029511E-9</v>
      </c>
      <c r="BO5" s="115">
        <v>9.065524734327045E-10</v>
      </c>
      <c r="BP5" s="115">
        <v>4.2654953358784663E-8</v>
      </c>
      <c r="BQ5" s="115">
        <v>2.954731507346028E-10</v>
      </c>
      <c r="BR5" s="115">
        <v>8.2054659176929956E-10</v>
      </c>
      <c r="BS5" s="115">
        <v>1.8315583245818564E-7</v>
      </c>
      <c r="BT5" s="115">
        <v>3.08651764285556E-8</v>
      </c>
      <c r="BU5" s="115">
        <v>1.8482453126372983E-8</v>
      </c>
      <c r="BV5" s="115">
        <v>6.7324173540331997E-11</v>
      </c>
      <c r="BW5" s="115">
        <v>8.7281081459963142E-11</v>
      </c>
      <c r="BX5" s="115">
        <v>4.2950520338539492E-8</v>
      </c>
      <c r="BY5" s="115">
        <v>8.2230636907365469E-10</v>
      </c>
      <c r="BZ5" s="115">
        <v>3.7090213808304947E-12</v>
      </c>
      <c r="CA5" s="115">
        <v>4.0901684349718559E-19</v>
      </c>
      <c r="CB5" s="115">
        <v>8.601960513682692E-10</v>
      </c>
      <c r="CC5" s="115">
        <v>2.2847568326451485E-10</v>
      </c>
      <c r="CD5" s="115">
        <v>5.7637594613114235E-10</v>
      </c>
      <c r="CE5" s="115">
        <v>4.6472379014091279E-8</v>
      </c>
      <c r="CF5" s="115">
        <v>1.3685463789081885E-10</v>
      </c>
      <c r="CG5" s="115">
        <v>2.5399060164289282E-18</v>
      </c>
      <c r="CH5" s="115">
        <v>4.2876446886667554E-8</v>
      </c>
      <c r="CI5" s="115">
        <v>1.6316828904517011E-9</v>
      </c>
      <c r="CJ5" s="115">
        <v>1.4801701164421732E-7</v>
      </c>
      <c r="CK5" s="115">
        <v>2.0638260755409971E-7</v>
      </c>
      <c r="CL5" s="115">
        <v>2.8658882954516417E-9</v>
      </c>
      <c r="CM5" s="115">
        <v>2.2214228563484014E-7</v>
      </c>
      <c r="CN5" s="115">
        <v>7.6485508806037864E-10</v>
      </c>
      <c r="CO5" s="115">
        <v>2.6868247306514154E-8</v>
      </c>
      <c r="CP5" s="115">
        <v>3.046444328575805E-11</v>
      </c>
      <c r="CQ5" s="115">
        <v>2.3562240188782708E-7</v>
      </c>
      <c r="CR5" s="115">
        <v>3.2314325841199969E-15</v>
      </c>
      <c r="CS5" s="115">
        <v>1.3087552952215424E-35</v>
      </c>
      <c r="CT5" s="115">
        <v>3.375807300180998E-9</v>
      </c>
      <c r="CU5" s="115">
        <v>4.7623624727748779E-14</v>
      </c>
      <c r="CV5" s="115">
        <v>4.3381025169464563E-7</v>
      </c>
      <c r="CW5" s="115">
        <v>5.3874947686627424E-8</v>
      </c>
      <c r="CX5" s="115">
        <v>4.2750728443152696E-7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  <c r="BD6" s="115">
        <v>0</v>
      </c>
      <c r="BE6" s="115">
        <v>0</v>
      </c>
      <c r="BF6" s="115">
        <v>0</v>
      </c>
      <c r="BG6" s="115">
        <v>0</v>
      </c>
      <c r="BH6" s="115">
        <v>0</v>
      </c>
      <c r="BI6" s="115">
        <v>0</v>
      </c>
      <c r="BJ6" s="115">
        <v>0</v>
      </c>
      <c r="BK6" s="115">
        <v>0</v>
      </c>
      <c r="BL6" s="115">
        <v>0</v>
      </c>
      <c r="BM6" s="115">
        <v>0</v>
      </c>
      <c r="BN6" s="115">
        <v>0</v>
      </c>
      <c r="BO6" s="115">
        <v>0</v>
      </c>
      <c r="BP6" s="115">
        <v>0</v>
      </c>
      <c r="BQ6" s="115">
        <v>0</v>
      </c>
      <c r="BR6" s="115">
        <v>0</v>
      </c>
      <c r="BS6" s="115">
        <v>0</v>
      </c>
      <c r="BT6" s="115">
        <v>0</v>
      </c>
      <c r="BU6" s="115">
        <v>0</v>
      </c>
      <c r="BV6" s="115">
        <v>0</v>
      </c>
      <c r="BW6" s="115">
        <v>0</v>
      </c>
      <c r="BX6" s="115">
        <v>0</v>
      </c>
      <c r="BY6" s="115">
        <v>0</v>
      </c>
      <c r="BZ6" s="115">
        <v>0</v>
      </c>
      <c r="CA6" s="115">
        <v>0</v>
      </c>
      <c r="CB6" s="115">
        <v>0</v>
      </c>
      <c r="CC6" s="115">
        <v>0</v>
      </c>
      <c r="CD6" s="115">
        <v>0</v>
      </c>
      <c r="CE6" s="115">
        <v>0</v>
      </c>
      <c r="CF6" s="115">
        <v>0</v>
      </c>
      <c r="CG6" s="115">
        <v>0</v>
      </c>
      <c r="CH6" s="115">
        <v>0</v>
      </c>
      <c r="CI6" s="115">
        <v>0</v>
      </c>
      <c r="CJ6" s="115">
        <v>0</v>
      </c>
      <c r="CK6" s="115">
        <v>0</v>
      </c>
      <c r="CL6" s="115">
        <v>0</v>
      </c>
      <c r="CM6" s="115">
        <v>0</v>
      </c>
      <c r="CN6" s="115">
        <v>0</v>
      </c>
      <c r="CO6" s="115">
        <v>0</v>
      </c>
      <c r="CP6" s="115">
        <v>0</v>
      </c>
      <c r="CQ6" s="115">
        <v>0</v>
      </c>
      <c r="CR6" s="115">
        <v>0</v>
      </c>
      <c r="CS6" s="115">
        <v>0</v>
      </c>
      <c r="CT6" s="115">
        <v>0</v>
      </c>
      <c r="CU6" s="115">
        <v>0</v>
      </c>
      <c r="CV6" s="115">
        <v>0</v>
      </c>
      <c r="CW6" s="115">
        <v>0</v>
      </c>
      <c r="CX6" s="115">
        <v>0</v>
      </c>
    </row>
    <row r="7" spans="1:102" s="115" customFormat="1">
      <c r="A7" s="252" t="str">
        <f>Parameters!A53</f>
        <v>High Yield</v>
      </c>
      <c r="B7" s="253"/>
      <c r="C7" s="115">
        <v>9.2787193706791903E-21</v>
      </c>
      <c r="D7" s="115">
        <v>1.3684109760926821E-27</v>
      </c>
      <c r="E7" s="115">
        <v>3.7738744422090109E-9</v>
      </c>
      <c r="F7" s="115">
        <v>3.0149780123134076E-13</v>
      </c>
      <c r="G7" s="115">
        <v>1.491326223061915E-11</v>
      </c>
      <c r="H7" s="115">
        <v>7.309730085014041E-10</v>
      </c>
      <c r="I7" s="115">
        <v>9.9431745076130803E-9</v>
      </c>
      <c r="J7" s="115">
        <v>3.2927241991600713E-12</v>
      </c>
      <c r="K7" s="115">
        <v>1.6919520906871461E-9</v>
      </c>
      <c r="L7" s="115">
        <v>1.4316571564242726E-10</v>
      </c>
      <c r="M7" s="115">
        <v>4.0614142458733238E-9</v>
      </c>
      <c r="N7" s="115">
        <v>2.5418714197420908E-21</v>
      </c>
      <c r="O7" s="115">
        <v>3.9783767617342092E-10</v>
      </c>
      <c r="P7" s="115">
        <v>8.6374487508784717E-21</v>
      </c>
      <c r="Q7" s="115">
        <v>1.8074755627605883E-12</v>
      </c>
      <c r="R7" s="115">
        <v>3.3443548832119182E-10</v>
      </c>
      <c r="S7" s="115">
        <v>9.0744036392118637E-9</v>
      </c>
      <c r="T7" s="115">
        <v>2.430551041398872E-11</v>
      </c>
      <c r="U7" s="115">
        <v>1.4816735595045446E-23</v>
      </c>
      <c r="V7" s="115">
        <v>9.7619206373966457E-12</v>
      </c>
      <c r="W7" s="115">
        <v>1.6533742536570119E-11</v>
      </c>
      <c r="X7" s="115">
        <v>3.1231334982711544E-10</v>
      </c>
      <c r="Y7" s="115">
        <v>1.6737213892900715E-9</v>
      </c>
      <c r="Z7" s="115">
        <v>1.7510136985615832E-8</v>
      </c>
      <c r="AA7" s="115">
        <v>2.0915495261965349E-21</v>
      </c>
      <c r="AB7" s="115">
        <v>2.265362138411006E-8</v>
      </c>
      <c r="AC7" s="115">
        <v>1.0367387822429623E-9</v>
      </c>
      <c r="AD7" s="115">
        <v>6.973554812174606E-9</v>
      </c>
      <c r="AE7" s="115">
        <v>1.9220451736897082E-8</v>
      </c>
      <c r="AF7" s="115">
        <v>9.6841584940666415E-10</v>
      </c>
      <c r="AG7" s="115">
        <v>3.6356386215695958E-21</v>
      </c>
      <c r="AH7" s="115">
        <v>1.3383532710501399E-16</v>
      </c>
      <c r="AI7" s="115">
        <v>1.5734189886759727E-8</v>
      </c>
      <c r="AJ7" s="115">
        <v>4.7861195254886004E-10</v>
      </c>
      <c r="AK7" s="115">
        <v>7.0605553522512209E-11</v>
      </c>
      <c r="AL7" s="115">
        <v>9.2190760406522691E-17</v>
      </c>
      <c r="AM7" s="115">
        <v>7.3041237292947628E-9</v>
      </c>
      <c r="AN7" s="115">
        <v>1.3918618144393134E-21</v>
      </c>
      <c r="AO7" s="115">
        <v>7.4824193558782094E-9</v>
      </c>
      <c r="AP7" s="115">
        <v>3.1542140300704499E-10</v>
      </c>
      <c r="AQ7" s="115">
        <v>3.590199728021298E-11</v>
      </c>
      <c r="AR7" s="115">
        <v>5.5880175245297038E-12</v>
      </c>
      <c r="AS7" s="115">
        <v>2.3840704088791863E-8</v>
      </c>
      <c r="AT7" s="115">
        <v>1.0951987667240978E-13</v>
      </c>
      <c r="AU7" s="115">
        <v>3.4730115597228206E-9</v>
      </c>
      <c r="AV7" s="115">
        <v>3.1868340057734719E-8</v>
      </c>
      <c r="AW7" s="115">
        <v>3.845406462613163E-9</v>
      </c>
      <c r="AX7" s="115">
        <v>5.0546245775475157E-8</v>
      </c>
      <c r="AY7" s="115">
        <v>1.514293148279961E-9</v>
      </c>
      <c r="AZ7" s="115">
        <v>4.3784621573040797E-9</v>
      </c>
      <c r="BA7" s="115">
        <v>2.5950163514981581E-11</v>
      </c>
      <c r="BB7" s="115">
        <v>5.6366505324532365E-17</v>
      </c>
      <c r="BC7" s="115">
        <v>4.8755413929352855E-8</v>
      </c>
      <c r="BD7" s="115">
        <v>5.8902339142644066E-8</v>
      </c>
      <c r="BE7" s="115">
        <v>1.4253968264760298E-10</v>
      </c>
      <c r="BF7" s="115">
        <v>7.5159349439750516E-10</v>
      </c>
      <c r="BG7" s="115">
        <v>1.603658543434168E-8</v>
      </c>
      <c r="BH7" s="115">
        <v>3.4098929854076688E-8</v>
      </c>
      <c r="BI7" s="115">
        <v>1.8484171071503291E-9</v>
      </c>
      <c r="BJ7" s="115">
        <v>7.899049374691396E-10</v>
      </c>
      <c r="BK7" s="115">
        <v>2.2090232330189603E-9</v>
      </c>
      <c r="BL7" s="115">
        <v>2.3835667508631331E-11</v>
      </c>
      <c r="BM7" s="115">
        <v>5.4696783487469744E-10</v>
      </c>
      <c r="BN7" s="115">
        <v>6.3569836118847037E-14</v>
      </c>
      <c r="BO7" s="115">
        <v>6.3520359623283034E-8</v>
      </c>
      <c r="BP7" s="115">
        <v>1.7673553867980503E-13</v>
      </c>
      <c r="BQ7" s="115">
        <v>1.0904082691627277E-8</v>
      </c>
      <c r="BR7" s="115">
        <v>7.766241180505089E-9</v>
      </c>
      <c r="BS7" s="115">
        <v>3.5924712615938843E-15</v>
      </c>
      <c r="BT7" s="115">
        <v>3.9565106187752904E-8</v>
      </c>
      <c r="BU7" s="115">
        <v>4.0068894166594343E-10</v>
      </c>
      <c r="BV7" s="115">
        <v>2.1904865931972144E-8</v>
      </c>
      <c r="BW7" s="115">
        <v>4.6145403072286797E-13</v>
      </c>
      <c r="BX7" s="115">
        <v>9.7372109914403465E-11</v>
      </c>
      <c r="BY7" s="115">
        <v>5.2906904017761481E-8</v>
      </c>
      <c r="BZ7" s="115">
        <v>3.1380581267662471E-10</v>
      </c>
      <c r="CA7" s="115">
        <v>6.5625814907427199E-8</v>
      </c>
      <c r="CB7" s="115">
        <v>2.8183672423826578E-8</v>
      </c>
      <c r="CC7" s="115">
        <v>1.0700285012965451E-13</v>
      </c>
      <c r="CD7" s="115">
        <v>3.2628975682934511E-8</v>
      </c>
      <c r="CE7" s="115">
        <v>2.3789770371606588E-12</v>
      </c>
      <c r="CF7" s="115">
        <v>2.8062235703878949E-10</v>
      </c>
      <c r="CG7" s="115">
        <v>3.892355861280465E-8</v>
      </c>
      <c r="CH7" s="115">
        <v>3.2406123379151371E-8</v>
      </c>
      <c r="CI7" s="115">
        <v>2.7613043554695805E-8</v>
      </c>
      <c r="CJ7" s="115">
        <v>1.0263621611887049E-8</v>
      </c>
      <c r="CK7" s="115">
        <v>1.4756263766894214E-14</v>
      </c>
      <c r="CL7" s="115">
        <v>6.2402994594630679E-8</v>
      </c>
      <c r="CM7" s="115">
        <v>3.6413038527409672E-8</v>
      </c>
      <c r="CN7" s="115">
        <v>5.7473586388602314E-8</v>
      </c>
      <c r="CO7" s="115">
        <v>6.9179790059257937E-12</v>
      </c>
      <c r="CP7" s="115">
        <v>5.6429007756069627E-9</v>
      </c>
      <c r="CQ7" s="115">
        <v>9.3876980918190337E-11</v>
      </c>
      <c r="CR7" s="115">
        <v>4.5519627800608149E-12</v>
      </c>
      <c r="CS7" s="115">
        <v>5.5733492385486267E-8</v>
      </c>
      <c r="CT7" s="115">
        <v>2.4806309785277469E-8</v>
      </c>
      <c r="CU7" s="115">
        <v>2.7305277564164912E-14</v>
      </c>
      <c r="CV7" s="115">
        <v>7.4201430427294661E-17</v>
      </c>
      <c r="CW7" s="115">
        <v>6.9511298695562511E-10</v>
      </c>
      <c r="CX7" s="115">
        <v>9.7735682590627153E-10</v>
      </c>
    </row>
    <row r="8" spans="1:102" s="115" customFormat="1">
      <c r="A8" s="252" t="str">
        <f>Parameters!A54</f>
        <v>Emerging market debt</v>
      </c>
      <c r="B8" s="253"/>
      <c r="C8" s="115">
        <v>6.7027090839526338E-20</v>
      </c>
      <c r="D8" s="115">
        <v>3.6994416783572792E-10</v>
      </c>
      <c r="E8" s="115">
        <v>7.6064011947214165E-13</v>
      </c>
      <c r="F8" s="115">
        <v>3.541281659781858E-12</v>
      </c>
      <c r="G8" s="115">
        <v>1.0846638546246447E-14</v>
      </c>
      <c r="H8" s="115">
        <v>5.7298525466656088E-11</v>
      </c>
      <c r="I8" s="115">
        <v>3.6167642874825414E-15</v>
      </c>
      <c r="J8" s="115">
        <v>1.2211933763675861E-8</v>
      </c>
      <c r="K8" s="115">
        <v>1.8533287949181646E-18</v>
      </c>
      <c r="L8" s="115">
        <v>8.4166745272257572E-16</v>
      </c>
      <c r="M8" s="115">
        <v>1.1730663037559114E-16</v>
      </c>
      <c r="N8" s="115">
        <v>1.8314877367784067E-9</v>
      </c>
      <c r="O8" s="115">
        <v>2.6114746680424694E-13</v>
      </c>
      <c r="P8" s="115">
        <v>2.2005366705947031E-10</v>
      </c>
      <c r="Q8" s="115">
        <v>1.9356610881971829E-12</v>
      </c>
      <c r="R8" s="115">
        <v>4.2918915270917683E-11</v>
      </c>
      <c r="S8" s="115">
        <v>5.2134236039029747E-10</v>
      </c>
      <c r="T8" s="115">
        <v>1.8814710778912005E-12</v>
      </c>
      <c r="U8" s="115">
        <v>5.893560281949888E-13</v>
      </c>
      <c r="V8" s="115">
        <v>8.7176305748300399E-19</v>
      </c>
      <c r="W8" s="115">
        <v>1.6562439266806469E-8</v>
      </c>
      <c r="X8" s="115">
        <v>1.0308043304497444E-12</v>
      </c>
      <c r="Y8" s="115">
        <v>6.8545731965848157E-9</v>
      </c>
      <c r="Z8" s="115">
        <v>2.9861156259227297E-13</v>
      </c>
      <c r="AA8" s="115">
        <v>4.683022582716649E-10</v>
      </c>
      <c r="AB8" s="115">
        <v>1.0317811578571234E-15</v>
      </c>
      <c r="AC8" s="115">
        <v>3.0860038986704449E-11</v>
      </c>
      <c r="AD8" s="115">
        <v>2.401632759467512E-15</v>
      </c>
      <c r="AE8" s="115">
        <v>4.1724267729797037E-13</v>
      </c>
      <c r="AF8" s="115">
        <v>2.275748825079953E-13</v>
      </c>
      <c r="AG8" s="115">
        <v>2.5962081182286419E-9</v>
      </c>
      <c r="AH8" s="115">
        <v>1.1071889609803668E-11</v>
      </c>
      <c r="AI8" s="115">
        <v>1.1844167054467425E-9</v>
      </c>
      <c r="AJ8" s="115">
        <v>1.4955307059263948E-9</v>
      </c>
      <c r="AK8" s="115">
        <v>8.450361090989544E-13</v>
      </c>
      <c r="AL8" s="115">
        <v>8.6099331179327432E-10</v>
      </c>
      <c r="AM8" s="115">
        <v>5.2638419833174832E-11</v>
      </c>
      <c r="AN8" s="115">
        <v>1.2886599759473376E-8</v>
      </c>
      <c r="AO8" s="115">
        <v>1.487298977927471E-10</v>
      </c>
      <c r="AP8" s="115">
        <v>2.1446470220127659E-13</v>
      </c>
      <c r="AQ8" s="115">
        <v>2.7356488841925928E-8</v>
      </c>
      <c r="AR8" s="115">
        <v>1.7152356951274926E-13</v>
      </c>
      <c r="AS8" s="115">
        <v>1.914037807044623E-13</v>
      </c>
      <c r="AT8" s="115">
        <v>2.5173016851646346E-17</v>
      </c>
      <c r="AU8" s="115">
        <v>9.3895544266496775E-15</v>
      </c>
      <c r="AV8" s="115">
        <v>4.4281282529072206E-26</v>
      </c>
      <c r="AW8" s="115">
        <v>6.0204218499828064E-10</v>
      </c>
      <c r="AX8" s="115">
        <v>4.2229666434330901E-12</v>
      </c>
      <c r="AY8" s="115">
        <v>8.2966026762605771E-16</v>
      </c>
      <c r="AZ8" s="115">
        <v>5.0491613705227056E-10</v>
      </c>
      <c r="BA8" s="115">
        <v>5.3522488066466622E-9</v>
      </c>
      <c r="BB8" s="115">
        <v>1.6359362926827945E-9</v>
      </c>
      <c r="BC8" s="115">
        <v>8.962212185100228E-13</v>
      </c>
      <c r="BD8" s="115">
        <v>1.6125704525945796E-14</v>
      </c>
      <c r="BE8" s="115">
        <v>3.779503813905331E-13</v>
      </c>
      <c r="BF8" s="115">
        <v>5.3988799719416654E-8</v>
      </c>
      <c r="BG8" s="115">
        <v>3.1991413267982081E-9</v>
      </c>
      <c r="BH8" s="115">
        <v>1.3386402327002782E-8</v>
      </c>
      <c r="BI8" s="115">
        <v>4.5135657605939708E-13</v>
      </c>
      <c r="BJ8" s="115">
        <v>3.7679474604400024E-8</v>
      </c>
      <c r="BK8" s="115">
        <v>6.0793129815687261E-8</v>
      </c>
      <c r="BL8" s="115">
        <v>3.419906797080416E-8</v>
      </c>
      <c r="BM8" s="115">
        <v>6.415575544329842E-16</v>
      </c>
      <c r="BN8" s="115">
        <v>1.1569643819863894E-10</v>
      </c>
      <c r="BO8" s="115">
        <v>1.006637906827489E-10</v>
      </c>
      <c r="BP8" s="115">
        <v>5.9032323239917975E-8</v>
      </c>
      <c r="BQ8" s="115">
        <v>2.0036591173999822E-9</v>
      </c>
      <c r="BR8" s="115">
        <v>1.0450997008914452E-8</v>
      </c>
      <c r="BS8" s="115">
        <v>1.057735916571843E-12</v>
      </c>
      <c r="BT8" s="115">
        <v>6.5180283959246246E-12</v>
      </c>
      <c r="BU8" s="115">
        <v>7.6909864780531835E-11</v>
      </c>
      <c r="BV8" s="115">
        <v>3.4546346578754177E-17</v>
      </c>
      <c r="BW8" s="115">
        <v>7.7548662825823341E-8</v>
      </c>
      <c r="BX8" s="115">
        <v>2.8149700835536654E-15</v>
      </c>
      <c r="BY8" s="115">
        <v>1.1241175294160412E-8</v>
      </c>
      <c r="BZ8" s="115">
        <v>8.8419089952169687E-10</v>
      </c>
      <c r="CA8" s="115">
        <v>3.5782937341279461E-8</v>
      </c>
      <c r="CB8" s="115">
        <v>2.0857393085202395E-8</v>
      </c>
      <c r="CC8" s="115">
        <v>1.6097191078542595E-10</v>
      </c>
      <c r="CD8" s="115">
        <v>3.5526326250835278E-9</v>
      </c>
      <c r="CE8" s="115">
        <v>2.9591035879088662E-9</v>
      </c>
      <c r="CF8" s="115">
        <v>1.5824879789134179E-9</v>
      </c>
      <c r="CG8" s="115">
        <v>2.5630857998906864E-9</v>
      </c>
      <c r="CH8" s="115">
        <v>1.5763233260674376E-16</v>
      </c>
      <c r="CI8" s="115">
        <v>7.1465998505595435E-10</v>
      </c>
      <c r="CJ8" s="115">
        <v>4.470999639571207E-9</v>
      </c>
      <c r="CK8" s="115">
        <v>1.7067524345717061E-9</v>
      </c>
      <c r="CL8" s="115">
        <v>6.3777551780905829E-8</v>
      </c>
      <c r="CM8" s="115">
        <v>3.930376151649829E-12</v>
      </c>
      <c r="CN8" s="115">
        <v>2.1410558976463417E-14</v>
      </c>
      <c r="CO8" s="115">
        <v>1.2553476626184769E-14</v>
      </c>
      <c r="CP8" s="115">
        <v>9.4355882336755928E-11</v>
      </c>
      <c r="CQ8" s="115">
        <v>2.6827861728754357E-8</v>
      </c>
      <c r="CR8" s="115">
        <v>5.3142460719808309E-18</v>
      </c>
      <c r="CS8" s="115">
        <v>3.3431101267406203E-8</v>
      </c>
      <c r="CT8" s="115">
        <v>2.445040992704177E-12</v>
      </c>
      <c r="CU8" s="115">
        <v>2.9978168734885866E-11</v>
      </c>
      <c r="CV8" s="115">
        <v>1.4155193510090519E-18</v>
      </c>
      <c r="CW8" s="115">
        <v>5.9586345415884875E-10</v>
      </c>
      <c r="CX8" s="115">
        <v>4.6537038849526458E-10</v>
      </c>
    </row>
    <row r="9" spans="1:102" s="115" customFormat="1">
      <c r="A9" s="252" t="str">
        <f>Parameters!A55</f>
        <v>Aandelen ontwikkeld</v>
      </c>
      <c r="B9" s="253"/>
      <c r="C9" s="115">
        <v>2.8613142946674738E-15</v>
      </c>
      <c r="D9" s="115">
        <v>8.3983901676314801E-10</v>
      </c>
      <c r="E9" s="115">
        <v>8.3367522118398946E-13</v>
      </c>
      <c r="F9" s="115">
        <v>2.2038485204609975E-16</v>
      </c>
      <c r="G9" s="115">
        <v>1.8598295503811245E-9</v>
      </c>
      <c r="H9" s="115">
        <v>3.7259747112185361E-11</v>
      </c>
      <c r="I9" s="115">
        <v>1.4444318781276146E-10</v>
      </c>
      <c r="J9" s="115">
        <v>4.3859690302734464E-19</v>
      </c>
      <c r="K9" s="115">
        <v>3.2837623369615243E-14</v>
      </c>
      <c r="L9" s="115">
        <v>5.7071884342683885E-10</v>
      </c>
      <c r="M9" s="115">
        <v>2.8695386204982937E-9</v>
      </c>
      <c r="N9" s="115">
        <v>3.8688281488768087E-16</v>
      </c>
      <c r="O9" s="115">
        <v>1.879348066596602E-15</v>
      </c>
      <c r="P9" s="115">
        <v>7.6472026547517893E-10</v>
      </c>
      <c r="Q9" s="115">
        <v>6.2679805643563292E-10</v>
      </c>
      <c r="R9" s="115">
        <v>1.1433871837939137E-8</v>
      </c>
      <c r="S9" s="115">
        <v>1.6656155271583214E-14</v>
      </c>
      <c r="T9" s="115">
        <v>1.7755559974981245E-10</v>
      </c>
      <c r="U9" s="115">
        <v>1.1390947042738475E-17</v>
      </c>
      <c r="V9" s="115">
        <v>3.831262198358605E-10</v>
      </c>
      <c r="W9" s="115">
        <v>4.6048479397520455E-11</v>
      </c>
      <c r="X9" s="115">
        <v>1.9369119119468971E-9</v>
      </c>
      <c r="Y9" s="115">
        <v>8.531270808395458E-11</v>
      </c>
      <c r="Z9" s="115">
        <v>6.0919583051995794E-10</v>
      </c>
      <c r="AA9" s="115">
        <v>1.0044502402316497E-9</v>
      </c>
      <c r="AB9" s="115">
        <v>4.6605009241177266E-11</v>
      </c>
      <c r="AC9" s="115">
        <v>4.4087340071970061E-13</v>
      </c>
      <c r="AD9" s="115">
        <v>1.0937486721653031E-8</v>
      </c>
      <c r="AE9" s="115">
        <v>7.1648896276886799E-12</v>
      </c>
      <c r="AF9" s="115">
        <v>5.1701298199170242E-12</v>
      </c>
      <c r="AG9" s="115">
        <v>2.1471166948571644E-11</v>
      </c>
      <c r="AH9" s="115">
        <v>1.5791751124590989E-10</v>
      </c>
      <c r="AI9" s="115">
        <v>6.4881841592916773E-12</v>
      </c>
      <c r="AJ9" s="115">
        <v>1.9489882108835215E-9</v>
      </c>
      <c r="AK9" s="115">
        <v>5.9855284564175694E-10</v>
      </c>
      <c r="AL9" s="115">
        <v>5.3946778688911886E-10</v>
      </c>
      <c r="AM9" s="115">
        <v>7.390098658286176E-20</v>
      </c>
      <c r="AN9" s="115">
        <v>5.0105045633320058E-18</v>
      </c>
      <c r="AO9" s="115">
        <v>3.4735556048583622E-13</v>
      </c>
      <c r="AP9" s="115">
        <v>1.5295346457530898E-10</v>
      </c>
      <c r="AQ9" s="115">
        <v>1.2822543398848675E-13</v>
      </c>
      <c r="AR9" s="115">
        <v>1.5185701914056378E-9</v>
      </c>
      <c r="AS9" s="115">
        <v>7.7321758011942709E-9</v>
      </c>
      <c r="AT9" s="115">
        <v>1.1366389896130936E-11</v>
      </c>
      <c r="AU9" s="115">
        <v>1.3684770639207871E-12</v>
      </c>
      <c r="AV9" s="115">
        <v>6.9063656341156522E-9</v>
      </c>
      <c r="AW9" s="115">
        <v>2.8798457936660833E-8</v>
      </c>
      <c r="AX9" s="115">
        <v>8.5449599607151185E-16</v>
      </c>
      <c r="AY9" s="115">
        <v>1.9182576736968717E-24</v>
      </c>
      <c r="AZ9" s="115">
        <v>6.4171346942557383E-15</v>
      </c>
      <c r="BA9" s="115">
        <v>1.6333791352515909E-10</v>
      </c>
      <c r="BB9" s="115">
        <v>1.6253772380719909E-12</v>
      </c>
      <c r="BC9" s="115">
        <v>5.4672065802955395E-30</v>
      </c>
      <c r="BD9" s="115">
        <v>1.22842442400522E-10</v>
      </c>
      <c r="BE9" s="115">
        <v>1.0194245976272927E-8</v>
      </c>
      <c r="BF9" s="115">
        <v>7.9609643616142696E-9</v>
      </c>
      <c r="BG9" s="115">
        <v>1.0246912917284923E-18</v>
      </c>
      <c r="BH9" s="115">
        <v>1.160269060899858E-10</v>
      </c>
      <c r="BI9" s="115">
        <v>4.0748489211569642E-8</v>
      </c>
      <c r="BJ9" s="115">
        <v>8.4711584929621211E-14</v>
      </c>
      <c r="BK9" s="115">
        <v>6.951411318494979E-10</v>
      </c>
      <c r="BL9" s="115">
        <v>7.3253081737793532E-15</v>
      </c>
      <c r="BM9" s="115">
        <v>3.275064189551278E-8</v>
      </c>
      <c r="BN9" s="115">
        <v>4.4675826593447943E-17</v>
      </c>
      <c r="BO9" s="115">
        <v>1.5354181345893971E-10</v>
      </c>
      <c r="BP9" s="115">
        <v>1.7835270476512329E-12</v>
      </c>
      <c r="BQ9" s="115">
        <v>3.6254063791627303E-10</v>
      </c>
      <c r="BR9" s="115">
        <v>8.0007295899236066E-12</v>
      </c>
      <c r="BS9" s="115">
        <v>3.732465727946329E-12</v>
      </c>
      <c r="BT9" s="115">
        <v>1.0797495535869302E-8</v>
      </c>
      <c r="BU9" s="115">
        <v>1.7814822502466328E-9</v>
      </c>
      <c r="BV9" s="115">
        <v>8.291597682618177E-14</v>
      </c>
      <c r="BW9" s="115">
        <v>2.2531022027137405E-11</v>
      </c>
      <c r="BX9" s="115">
        <v>6.2269740102261643E-9</v>
      </c>
      <c r="BY9" s="115">
        <v>2.8954644079195409E-8</v>
      </c>
      <c r="BZ9" s="115">
        <v>4.5176333676796078E-8</v>
      </c>
      <c r="CA9" s="115">
        <v>6.9782005776325233E-9</v>
      </c>
      <c r="CB9" s="115">
        <v>4.8427368701654003E-11</v>
      </c>
      <c r="CC9" s="115">
        <v>4.7475046016887246E-9</v>
      </c>
      <c r="CD9" s="115">
        <v>1.964405743989463E-9</v>
      </c>
      <c r="CE9" s="115">
        <v>9.0059643165264813E-9</v>
      </c>
      <c r="CF9" s="115">
        <v>1.5329385298835952E-9</v>
      </c>
      <c r="CG9" s="115">
        <v>5.4133384054297666E-8</v>
      </c>
      <c r="CH9" s="115">
        <v>1.8184028827871949E-10</v>
      </c>
      <c r="CI9" s="115">
        <v>2.3010903886842222E-12</v>
      </c>
      <c r="CJ9" s="115">
        <v>7.9727548778216459E-9</v>
      </c>
      <c r="CK9" s="115">
        <v>5.5530010031118886E-13</v>
      </c>
      <c r="CL9" s="115">
        <v>6.500724316964313E-10</v>
      </c>
      <c r="CM9" s="115">
        <v>8.2582179457663005E-11</v>
      </c>
      <c r="CN9" s="115">
        <v>2.460123626419875E-8</v>
      </c>
      <c r="CO9" s="115">
        <v>5.2017355062450283E-8</v>
      </c>
      <c r="CP9" s="115">
        <v>5.2426803831896816E-8</v>
      </c>
      <c r="CQ9" s="115">
        <v>1.6229921052392152E-9</v>
      </c>
      <c r="CR9" s="115">
        <v>2.4526850648771564E-10</v>
      </c>
      <c r="CS9" s="115">
        <v>6.9596940003245002E-8</v>
      </c>
      <c r="CT9" s="115">
        <v>2.6213046339484005E-8</v>
      </c>
      <c r="CU9" s="115">
        <v>4.4491914679213232E-8</v>
      </c>
      <c r="CV9" s="115">
        <v>3.2377983369796635E-18</v>
      </c>
      <c r="CW9" s="115">
        <v>8.3856574985759472E-9</v>
      </c>
      <c r="CX9" s="115">
        <v>9.025917779357929E-9</v>
      </c>
    </row>
    <row r="10" spans="1:102" s="115" customFormat="1">
      <c r="A10" s="252" t="str">
        <f>Parameters!A56</f>
        <v>Aandelen opkomend</v>
      </c>
      <c r="B10" s="253"/>
      <c r="C10" s="115">
        <v>8.7767502008116102E-12</v>
      </c>
      <c r="D10" s="115">
        <v>3.7017040048737673E-12</v>
      </c>
      <c r="E10" s="115">
        <v>1.0515694216803843E-12</v>
      </c>
      <c r="F10" s="115">
        <v>2.7870162084107656E-9</v>
      </c>
      <c r="G10" s="115">
        <v>1.8799534549281978E-14</v>
      </c>
      <c r="H10" s="115">
        <v>2.7687929374957245E-9</v>
      </c>
      <c r="I10" s="115">
        <v>6.2285173769393473E-28</v>
      </c>
      <c r="J10" s="115">
        <v>6.7029841385910942E-18</v>
      </c>
      <c r="K10" s="115">
        <v>7.0787071672637881E-9</v>
      </c>
      <c r="L10" s="115">
        <v>4.9102942055761181E-9</v>
      </c>
      <c r="M10" s="115">
        <v>2.5545139677437753E-9</v>
      </c>
      <c r="N10" s="115">
        <v>5.2113055549101277E-9</v>
      </c>
      <c r="O10" s="115">
        <v>2.2908267466609604E-9</v>
      </c>
      <c r="P10" s="115">
        <v>2.5423984858854619E-13</v>
      </c>
      <c r="Q10" s="115">
        <v>1.9181298926334933E-10</v>
      </c>
      <c r="R10" s="115">
        <v>4.9363127541649099E-10</v>
      </c>
      <c r="S10" s="115">
        <v>5.3351985150380047E-13</v>
      </c>
      <c r="T10" s="115">
        <v>6.028638852550214E-15</v>
      </c>
      <c r="U10" s="115">
        <v>2.6174151884966522E-10</v>
      </c>
      <c r="V10" s="115">
        <v>1.6794519532480502E-9</v>
      </c>
      <c r="W10" s="115">
        <v>5.7950006458880496E-13</v>
      </c>
      <c r="X10" s="115">
        <v>5.4866133834866276E-9</v>
      </c>
      <c r="Y10" s="115">
        <v>9.1518672613124885E-15</v>
      </c>
      <c r="Z10" s="115">
        <v>2.1899760341402439E-9</v>
      </c>
      <c r="AA10" s="115">
        <v>3.3811694398377923E-18</v>
      </c>
      <c r="AB10" s="115">
        <v>8.7119338365607144E-10</v>
      </c>
      <c r="AC10" s="115">
        <v>3.6103468680324558E-11</v>
      </c>
      <c r="AD10" s="115">
        <v>4.1067488519016322E-13</v>
      </c>
      <c r="AE10" s="115">
        <v>1.065725303915987E-11</v>
      </c>
      <c r="AF10" s="115">
        <v>1.6252565767591918E-8</v>
      </c>
      <c r="AG10" s="115">
        <v>1.5224163653344172E-10</v>
      </c>
      <c r="AH10" s="115">
        <v>2.736409466320072E-9</v>
      </c>
      <c r="AI10" s="115">
        <v>3.3871071918778579E-10</v>
      </c>
      <c r="AJ10" s="115">
        <v>1.7436405026257003E-11</v>
      </c>
      <c r="AK10" s="115">
        <v>4.0373115996142203E-16</v>
      </c>
      <c r="AL10" s="115">
        <v>9.5134904124633273E-13</v>
      </c>
      <c r="AM10" s="115">
        <v>1.8289045089319683E-12</v>
      </c>
      <c r="AN10" s="115">
        <v>5.2761508177838864E-17</v>
      </c>
      <c r="AO10" s="115">
        <v>3.0656585303974221E-10</v>
      </c>
      <c r="AP10" s="115">
        <v>7.1765139694164437E-15</v>
      </c>
      <c r="AQ10" s="115">
        <v>1.1766401535364381E-8</v>
      </c>
      <c r="AR10" s="115">
        <v>2.0864413954782063E-8</v>
      </c>
      <c r="AS10" s="115">
        <v>3.0572197312334279E-10</v>
      </c>
      <c r="AT10" s="115">
        <v>1.3018920682720255E-13</v>
      </c>
      <c r="AU10" s="115">
        <v>7.2222945950458388E-9</v>
      </c>
      <c r="AV10" s="115">
        <v>1.2226221436239305E-19</v>
      </c>
      <c r="AW10" s="115">
        <v>1.0522205605280468E-9</v>
      </c>
      <c r="AX10" s="115">
        <v>7.4227104488888988E-12</v>
      </c>
      <c r="AY10" s="115">
        <v>4.2026110667215576E-9</v>
      </c>
      <c r="AZ10" s="115">
        <v>1.8083623967505701E-10</v>
      </c>
      <c r="BA10" s="115">
        <v>6.09670013911017E-9</v>
      </c>
      <c r="BB10" s="115">
        <v>7.4836610399215243E-11</v>
      </c>
      <c r="BC10" s="115">
        <v>7.2063137812012379E-9</v>
      </c>
      <c r="BD10" s="115">
        <v>1.6946803374293082E-19</v>
      </c>
      <c r="BE10" s="115">
        <v>1.1703749906176862E-11</v>
      </c>
      <c r="BF10" s="115">
        <v>2.9121452282284914E-16</v>
      </c>
      <c r="BG10" s="115">
        <v>2.0031175957053017E-8</v>
      </c>
      <c r="BH10" s="115">
        <v>2.7580650938940367E-10</v>
      </c>
      <c r="BI10" s="115">
        <v>3.6580546933875988E-17</v>
      </c>
      <c r="BJ10" s="115">
        <v>3.832444659263056E-15</v>
      </c>
      <c r="BK10" s="115">
        <v>1.8187557649072213E-29</v>
      </c>
      <c r="BL10" s="115">
        <v>2.5947701867115967E-12</v>
      </c>
      <c r="BM10" s="115">
        <v>5.9774344416053238E-16</v>
      </c>
      <c r="BN10" s="115">
        <v>1.6233287520289417E-15</v>
      </c>
      <c r="BO10" s="115">
        <v>3.3374703857393189E-21</v>
      </c>
      <c r="BP10" s="115">
        <v>1.332294999171503E-22</v>
      </c>
      <c r="BQ10" s="115">
        <v>4.5810052890297731E-8</v>
      </c>
      <c r="BR10" s="115">
        <v>1.9609398718862225E-20</v>
      </c>
      <c r="BS10" s="115">
        <v>9.6312492476690402E-11</v>
      </c>
      <c r="BT10" s="115">
        <v>1.317137387675186E-8</v>
      </c>
      <c r="BU10" s="115">
        <v>1.0334515611425876E-9</v>
      </c>
      <c r="BV10" s="115">
        <v>4.6078264442722564E-8</v>
      </c>
      <c r="BW10" s="115">
        <v>1.8611524503287246E-8</v>
      </c>
      <c r="BX10" s="115">
        <v>3.0882635626588219E-9</v>
      </c>
      <c r="BY10" s="115">
        <v>2.2967923839009966E-10</v>
      </c>
      <c r="BZ10" s="115">
        <v>2.4185080287939113E-8</v>
      </c>
      <c r="CA10" s="115">
        <v>5.5184558593331066E-15</v>
      </c>
      <c r="CB10" s="115">
        <v>3.4804262612684587E-15</v>
      </c>
      <c r="CC10" s="115">
        <v>9.2288181690048991E-12</v>
      </c>
      <c r="CD10" s="115">
        <v>1.7512935148047759E-10</v>
      </c>
      <c r="CE10" s="115">
        <v>3.0483898345634429E-9</v>
      </c>
      <c r="CF10" s="115">
        <v>5.3365065349322376E-8</v>
      </c>
      <c r="CG10" s="115">
        <v>1.8845497886375041E-13</v>
      </c>
      <c r="CH10" s="115">
        <v>4.7358847147554312E-8</v>
      </c>
      <c r="CI10" s="115">
        <v>2.775502794402174E-12</v>
      </c>
      <c r="CJ10" s="115">
        <v>8.0526348166053954E-16</v>
      </c>
      <c r="CK10" s="115">
        <v>3.6759224116806372E-23</v>
      </c>
      <c r="CL10" s="115">
        <v>7.1488447316226681E-11</v>
      </c>
      <c r="CM10" s="115">
        <v>4.260034066426662E-9</v>
      </c>
      <c r="CN10" s="115">
        <v>5.1543741485774581E-8</v>
      </c>
      <c r="CO10" s="115">
        <v>1.3213647566829531E-13</v>
      </c>
      <c r="CP10" s="115">
        <v>4.7971880485597558E-10</v>
      </c>
      <c r="CQ10" s="115">
        <v>2.289398149682388E-8</v>
      </c>
      <c r="CR10" s="115">
        <v>1.0475275127514611E-8</v>
      </c>
      <c r="CS10" s="115">
        <v>2.9703870366474181E-23</v>
      </c>
      <c r="CT10" s="115">
        <v>3.2255588999911178E-10</v>
      </c>
      <c r="CU10" s="115">
        <v>5.9709883044539079E-8</v>
      </c>
      <c r="CV10" s="115">
        <v>5.1251396844827516E-10</v>
      </c>
      <c r="CW10" s="115">
        <v>6.4233850417631583E-8</v>
      </c>
      <c r="CX10" s="115">
        <v>8.3725649764276765E-11</v>
      </c>
    </row>
    <row r="11" spans="1:102" s="115" customFormat="1">
      <c r="A11" s="252" t="str">
        <f>Parameters!A57</f>
        <v>Hedge funds</v>
      </c>
      <c r="B11" s="253"/>
      <c r="C11" s="115">
        <v>1.8960214695868866E-19</v>
      </c>
      <c r="D11" s="115">
        <v>1.0706231596538276E-9</v>
      </c>
      <c r="E11" s="115">
        <v>6.2433036825974634E-19</v>
      </c>
      <c r="F11" s="115">
        <v>2.4138062140190999E-14</v>
      </c>
      <c r="G11" s="115">
        <v>3.3061952401181122E-9</v>
      </c>
      <c r="H11" s="115">
        <v>1.8269392018609261E-18</v>
      </c>
      <c r="I11" s="115">
        <v>2.0593640531427543E-11</v>
      </c>
      <c r="J11" s="115">
        <v>2.5254367902950941E-12</v>
      </c>
      <c r="K11" s="115">
        <v>3.4809539858438109E-14</v>
      </c>
      <c r="L11" s="115">
        <v>2.6055905716959338E-9</v>
      </c>
      <c r="M11" s="115">
        <v>6.8734964906823463E-11</v>
      </c>
      <c r="N11" s="115">
        <v>2.8828150697214568E-9</v>
      </c>
      <c r="O11" s="115">
        <v>1.5889205951654948E-9</v>
      </c>
      <c r="P11" s="115">
        <v>1.2523040608304531E-8</v>
      </c>
      <c r="Q11" s="115">
        <v>1.5714499383206411E-11</v>
      </c>
      <c r="R11" s="115">
        <v>3.346657167335774E-13</v>
      </c>
      <c r="S11" s="115">
        <v>7.6387674160193918E-10</v>
      </c>
      <c r="T11" s="115">
        <v>3.8474180883092954E-13</v>
      </c>
      <c r="U11" s="115">
        <v>1.2432352559656432E-13</v>
      </c>
      <c r="V11" s="115">
        <v>1.1339393421315246E-8</v>
      </c>
      <c r="W11" s="115">
        <v>3.7266196278277814E-9</v>
      </c>
      <c r="X11" s="115">
        <v>4.0765798713836167E-21</v>
      </c>
      <c r="Y11" s="115">
        <v>9.6321349174311719E-9</v>
      </c>
      <c r="Z11" s="115">
        <v>4.46706636133567E-11</v>
      </c>
      <c r="AA11" s="115">
        <v>1.734888390863871E-8</v>
      </c>
      <c r="AB11" s="115">
        <v>7.6949823080418083E-11</v>
      </c>
      <c r="AC11" s="115">
        <v>1.8607927720033115E-8</v>
      </c>
      <c r="AD11" s="115">
        <v>2.8424575220604153E-9</v>
      </c>
      <c r="AE11" s="115">
        <v>2.5450213268458753E-12</v>
      </c>
      <c r="AF11" s="115">
        <v>1.4624014566907114E-10</v>
      </c>
      <c r="AG11" s="115">
        <v>4.2588539222021249E-13</v>
      </c>
      <c r="AH11" s="115">
        <v>2.8288368405368614E-21</v>
      </c>
      <c r="AI11" s="115">
        <v>2.0234487985145732E-13</v>
      </c>
      <c r="AJ11" s="115">
        <v>1.7510389996393844E-8</v>
      </c>
      <c r="AK11" s="115">
        <v>6.3290071649837049E-9</v>
      </c>
      <c r="AL11" s="115">
        <v>1.9290521695691499E-10</v>
      </c>
      <c r="AM11" s="115">
        <v>5.064872278397931E-9</v>
      </c>
      <c r="AN11" s="115">
        <v>2.3418102355594544E-8</v>
      </c>
      <c r="AO11" s="115">
        <v>6.7944063382460566E-13</v>
      </c>
      <c r="AP11" s="115">
        <v>3.9160387213306635E-8</v>
      </c>
      <c r="AQ11" s="115">
        <v>9.4555080330762246E-10</v>
      </c>
      <c r="AR11" s="115">
        <v>1.1679713456671996E-12</v>
      </c>
      <c r="AS11" s="115">
        <v>5.5419032606161686E-11</v>
      </c>
      <c r="AT11" s="115">
        <v>1.5737632994668585E-16</v>
      </c>
      <c r="AU11" s="115">
        <v>9.0261752843333519E-9</v>
      </c>
      <c r="AV11" s="115">
        <v>3.7197390220901493E-9</v>
      </c>
      <c r="AW11" s="115">
        <v>3.6149307453829871E-10</v>
      </c>
      <c r="AX11" s="115">
        <v>1.8620885502818224E-10</v>
      </c>
      <c r="AY11" s="115">
        <v>1.72213827143326E-11</v>
      </c>
      <c r="AZ11" s="115">
        <v>8.3654521754855878E-14</v>
      </c>
      <c r="BA11" s="115">
        <v>2.3954956228165825E-8</v>
      </c>
      <c r="BB11" s="115">
        <v>1.7162782867922538E-9</v>
      </c>
      <c r="BC11" s="115">
        <v>2.8921928173354839E-11</v>
      </c>
      <c r="BD11" s="115">
        <v>1.8659878913387248E-9</v>
      </c>
      <c r="BE11" s="115">
        <v>3.7051395750054811E-8</v>
      </c>
      <c r="BF11" s="115">
        <v>1.0681737428022231E-11</v>
      </c>
      <c r="BG11" s="115">
        <v>1.0860219110556551E-11</v>
      </c>
      <c r="BH11" s="115">
        <v>1.7789809988073531E-10</v>
      </c>
      <c r="BI11" s="115">
        <v>1.1670212547899744E-8</v>
      </c>
      <c r="BJ11" s="115">
        <v>6.5376293859994451E-11</v>
      </c>
      <c r="BK11" s="115">
        <v>9.5581835542047457E-24</v>
      </c>
      <c r="BL11" s="115">
        <v>2.3634626133482844E-14</v>
      </c>
      <c r="BM11" s="115">
        <v>1.2741837636433239E-9</v>
      </c>
      <c r="BN11" s="115">
        <v>1.3050184480828026E-11</v>
      </c>
      <c r="BO11" s="115">
        <v>2.4335885038791299E-10</v>
      </c>
      <c r="BP11" s="115">
        <v>4.7859109803258528E-10</v>
      </c>
      <c r="BQ11" s="115">
        <v>9.3444683940190826E-13</v>
      </c>
      <c r="BR11" s="115">
        <v>6.1636964144770676E-8</v>
      </c>
      <c r="BS11" s="115">
        <v>3.5635791127987648E-12</v>
      </c>
      <c r="BT11" s="115">
        <v>3.0065943565130167E-17</v>
      </c>
      <c r="BU11" s="115">
        <v>1.7192866711312571E-8</v>
      </c>
      <c r="BV11" s="115">
        <v>8.729599735692501E-13</v>
      </c>
      <c r="BW11" s="115">
        <v>7.2085154514299637E-13</v>
      </c>
      <c r="BX11" s="115">
        <v>3.021874822945028E-8</v>
      </c>
      <c r="BY11" s="115">
        <v>1.947576359357643E-14</v>
      </c>
      <c r="BZ11" s="115">
        <v>7.1104426852425108E-15</v>
      </c>
      <c r="CA11" s="115">
        <v>5.811089617289989E-14</v>
      </c>
      <c r="CB11" s="115">
        <v>5.0981989824467311E-11</v>
      </c>
      <c r="CC11" s="115">
        <v>2.1936228536118947E-9</v>
      </c>
      <c r="CD11" s="115">
        <v>1.8640623172737302E-8</v>
      </c>
      <c r="CE11" s="115">
        <v>4.4014241724736954E-8</v>
      </c>
      <c r="CF11" s="115">
        <v>9.2043566553291618E-10</v>
      </c>
      <c r="CG11" s="115">
        <v>1.9234031357098353E-9</v>
      </c>
      <c r="CH11" s="115">
        <v>4.5935773426671804E-12</v>
      </c>
      <c r="CI11" s="115">
        <v>1.3123936258747286E-9</v>
      </c>
      <c r="CJ11" s="115">
        <v>3.4770216149596896E-10</v>
      </c>
      <c r="CK11" s="115">
        <v>3.3055115203402284E-8</v>
      </c>
      <c r="CL11" s="115">
        <v>3.0458226722068846E-8</v>
      </c>
      <c r="CM11" s="115">
        <v>7.1555849581362048E-11</v>
      </c>
      <c r="CN11" s="115">
        <v>1.969485843452606E-9</v>
      </c>
      <c r="CO11" s="115">
        <v>2.7879533614136737E-9</v>
      </c>
      <c r="CP11" s="115">
        <v>3.848768413209229E-22</v>
      </c>
      <c r="CQ11" s="115">
        <v>4.0288355801866379E-10</v>
      </c>
      <c r="CR11" s="115">
        <v>6.8628624570457736E-8</v>
      </c>
      <c r="CS11" s="115">
        <v>1.2023479365785352E-11</v>
      </c>
      <c r="CT11" s="115">
        <v>2.2870098831245129E-9</v>
      </c>
      <c r="CU11" s="115">
        <v>1.1126076808283439E-10</v>
      </c>
      <c r="CV11" s="115">
        <v>2.159514683849301E-11</v>
      </c>
      <c r="CW11" s="115">
        <v>5.5603769162949452E-18</v>
      </c>
      <c r="CX11" s="115">
        <v>2.3161164763131577E-9</v>
      </c>
    </row>
    <row r="12" spans="1:102" s="115" customFormat="1">
      <c r="A12" s="252" t="str">
        <f>Parameters!A58</f>
        <v>Onroerend goed</v>
      </c>
      <c r="B12" s="253"/>
      <c r="C12" s="115">
        <v>4.414323760791369E-12</v>
      </c>
      <c r="D12" s="115">
        <v>1.3298707903092244E-11</v>
      </c>
      <c r="E12" s="115">
        <v>5.09840110373816E-12</v>
      </c>
      <c r="F12" s="115">
        <v>7.0623744153623809E-14</v>
      </c>
      <c r="G12" s="115">
        <v>2.7178280117017946E-10</v>
      </c>
      <c r="H12" s="115">
        <v>1.0660278176189866E-12</v>
      </c>
      <c r="I12" s="115">
        <v>1.013751781925057E-10</v>
      </c>
      <c r="J12" s="115">
        <v>4.7180534406734417E-12</v>
      </c>
      <c r="K12" s="115">
        <v>1.2080757246784165E-11</v>
      </c>
      <c r="L12" s="115">
        <v>4.6335657128398954E-11</v>
      </c>
      <c r="M12" s="115">
        <v>4.5348367011443003E-14</v>
      </c>
      <c r="N12" s="115">
        <v>5.4702491825898296E-10</v>
      </c>
      <c r="O12" s="115">
        <v>2.4028341509022745E-12</v>
      </c>
      <c r="P12" s="115">
        <v>1.492468425072481E-12</v>
      </c>
      <c r="Q12" s="115">
        <v>1.6447645615461811E-8</v>
      </c>
      <c r="R12" s="115">
        <v>1.852639585145125E-16</v>
      </c>
      <c r="S12" s="115">
        <v>9.0350611876307109E-9</v>
      </c>
      <c r="T12" s="115">
        <v>1.7376426843162331E-8</v>
      </c>
      <c r="U12" s="115">
        <v>1.5442214469911595E-12</v>
      </c>
      <c r="V12" s="115">
        <v>4.9280020186435643E-9</v>
      </c>
      <c r="W12" s="115">
        <v>1.4685971235839744E-23</v>
      </c>
      <c r="X12" s="115">
        <v>4.0239497806602132E-16</v>
      </c>
      <c r="Y12" s="115">
        <v>2.5464122273275278E-9</v>
      </c>
      <c r="Z12" s="115">
        <v>5.0471096467874509E-24</v>
      </c>
      <c r="AA12" s="115">
        <v>3.2860089831520216E-19</v>
      </c>
      <c r="AB12" s="115">
        <v>1.0756723533405848E-9</v>
      </c>
      <c r="AC12" s="115">
        <v>1.9801703151204628E-10</v>
      </c>
      <c r="AD12" s="115">
        <v>4.2996792103099771E-10</v>
      </c>
      <c r="AE12" s="115">
        <v>5.4770661964123041E-11</v>
      </c>
      <c r="AF12" s="115">
        <v>1.0149884665766443E-13</v>
      </c>
      <c r="AG12" s="115">
        <v>3.1160605148852966E-11</v>
      </c>
      <c r="AH12" s="115">
        <v>2.5620223087708881E-8</v>
      </c>
      <c r="AI12" s="115">
        <v>1.4495804545175257E-8</v>
      </c>
      <c r="AJ12" s="115">
        <v>1.026079987668062E-8</v>
      </c>
      <c r="AK12" s="115">
        <v>2.0847075411227622E-9</v>
      </c>
      <c r="AL12" s="115">
        <v>2.4109557549885511E-10</v>
      </c>
      <c r="AM12" s="115">
        <v>6.6197814162642094E-9</v>
      </c>
      <c r="AN12" s="115">
        <v>4.3718700511984993E-14</v>
      </c>
      <c r="AO12" s="115">
        <v>4.2375456505492789E-16</v>
      </c>
      <c r="AP12" s="115">
        <v>7.520685161223697E-11</v>
      </c>
      <c r="AQ12" s="115">
        <v>2.0126094558206248E-14</v>
      </c>
      <c r="AR12" s="115">
        <v>8.8619685739300168E-9</v>
      </c>
      <c r="AS12" s="115">
        <v>7.9733860486375916E-9</v>
      </c>
      <c r="AT12" s="115">
        <v>1.7543796315637813E-9</v>
      </c>
      <c r="AU12" s="115">
        <v>2.1099082944849198E-8</v>
      </c>
      <c r="AV12" s="115">
        <v>1.070168473729281E-9</v>
      </c>
      <c r="AW12" s="115">
        <v>6.5706268466601941E-13</v>
      </c>
      <c r="AX12" s="115">
        <v>4.7512918908098721E-20</v>
      </c>
      <c r="AY12" s="115">
        <v>8.6914868006586357E-14</v>
      </c>
      <c r="AZ12" s="115">
        <v>6.3149809824998096E-16</v>
      </c>
      <c r="BA12" s="115">
        <v>8.6675623005171249E-9</v>
      </c>
      <c r="BB12" s="115">
        <v>4.0757646936168282E-8</v>
      </c>
      <c r="BC12" s="115">
        <v>3.0254376755022023E-25</v>
      </c>
      <c r="BD12" s="115">
        <v>2.6404019813661206E-11</v>
      </c>
      <c r="BE12" s="115">
        <v>3.422539652313354E-9</v>
      </c>
      <c r="BF12" s="115">
        <v>4.8450667389926789E-9</v>
      </c>
      <c r="BG12" s="115">
        <v>1.6080880845060772E-8</v>
      </c>
      <c r="BH12" s="115">
        <v>2.0562952609500224E-8</v>
      </c>
      <c r="BI12" s="115">
        <v>1.6439371010284597E-10</v>
      </c>
      <c r="BJ12" s="115">
        <v>1.5373977302737879E-10</v>
      </c>
      <c r="BK12" s="115">
        <v>2.1022855965808588E-8</v>
      </c>
      <c r="BL12" s="115">
        <v>1.1376729629237815E-8</v>
      </c>
      <c r="BM12" s="115">
        <v>2.2467752464213482E-10</v>
      </c>
      <c r="BN12" s="115">
        <v>2.416018210027451E-13</v>
      </c>
      <c r="BO12" s="115">
        <v>2.163893026102736E-10</v>
      </c>
      <c r="BP12" s="115">
        <v>1.0200544026694903E-8</v>
      </c>
      <c r="BQ12" s="115">
        <v>6.3694168271169297E-10</v>
      </c>
      <c r="BR12" s="115">
        <v>5.8858817980703705E-9</v>
      </c>
      <c r="BS12" s="115">
        <v>2.0854846188358035E-16</v>
      </c>
      <c r="BT12" s="115">
        <v>2.766812543786714E-11</v>
      </c>
      <c r="BU12" s="115">
        <v>4.8705505460711345E-9</v>
      </c>
      <c r="BV12" s="115">
        <v>5.1951055708151785E-12</v>
      </c>
      <c r="BW12" s="115">
        <v>2.2776066598685269E-12</v>
      </c>
      <c r="BX12" s="115">
        <v>5.0678089257813306E-20</v>
      </c>
      <c r="BY12" s="115">
        <v>9.1721143080019478E-23</v>
      </c>
      <c r="BZ12" s="115">
        <v>8.9573823711987712E-22</v>
      </c>
      <c r="CA12" s="115">
        <v>6.3541435725961072E-16</v>
      </c>
      <c r="CB12" s="115">
        <v>1.2460276358870658E-25</v>
      </c>
      <c r="CC12" s="115">
        <v>3.2136011876034813E-10</v>
      </c>
      <c r="CD12" s="115">
        <v>5.871220616378627E-8</v>
      </c>
      <c r="CE12" s="115">
        <v>2.7452189803192015E-8</v>
      </c>
      <c r="CF12" s="115">
        <v>3.5051398620194469E-8</v>
      </c>
      <c r="CG12" s="115">
        <v>2.4786412076001254E-19</v>
      </c>
      <c r="CH12" s="115">
        <v>2.627547610088472E-14</v>
      </c>
      <c r="CI12" s="115">
        <v>2.9466163946536584E-12</v>
      </c>
      <c r="CJ12" s="115">
        <v>1.778345038261658E-14</v>
      </c>
      <c r="CK12" s="115">
        <v>1.2723705839572689E-10</v>
      </c>
      <c r="CL12" s="115">
        <v>1.1194417852405755E-12</v>
      </c>
      <c r="CM12" s="115">
        <v>1.5115354336869477E-8</v>
      </c>
      <c r="CN12" s="115">
        <v>1.5064383001687753E-9</v>
      </c>
      <c r="CO12" s="115">
        <v>1.5508532395995929E-9</v>
      </c>
      <c r="CP12" s="115">
        <v>4.5156735251939975E-8</v>
      </c>
      <c r="CQ12" s="115">
        <v>8.0729182594446389E-12</v>
      </c>
      <c r="CR12" s="115">
        <v>1.0252586496690855E-8</v>
      </c>
      <c r="CS12" s="115">
        <v>1.4211472272742078E-10</v>
      </c>
      <c r="CT12" s="115">
        <v>1.14877608387464E-8</v>
      </c>
      <c r="CU12" s="115">
        <v>2.5723542801712392E-8</v>
      </c>
      <c r="CV12" s="115">
        <v>5.8052658544752048E-10</v>
      </c>
      <c r="CW12" s="115">
        <v>7.6674924216262922E-8</v>
      </c>
      <c r="CX12" s="115">
        <v>2.948939283514767E-9</v>
      </c>
    </row>
    <row r="13" spans="1:102" s="116" customFormat="1">
      <c r="A13" s="254" t="str">
        <f>Parameters!A59</f>
        <v>Commodities</v>
      </c>
      <c r="B13" s="255"/>
      <c r="C13" s="116">
        <v>3.3804621198854321E-14</v>
      </c>
      <c r="D13" s="116">
        <v>5.7217366431246814E-11</v>
      </c>
      <c r="E13" s="116">
        <v>8.0834586408020839E-11</v>
      </c>
      <c r="F13" s="116">
        <v>9.8167589178692302E-12</v>
      </c>
      <c r="G13" s="116">
        <v>4.6299855661678864E-10</v>
      </c>
      <c r="H13" s="116">
        <v>2.4376327337536761E-9</v>
      </c>
      <c r="I13" s="116">
        <v>8.6062053092354348E-13</v>
      </c>
      <c r="J13" s="116">
        <v>5.4546941440856594E-27</v>
      </c>
      <c r="K13" s="116">
        <v>1.5169212262946624E-13</v>
      </c>
      <c r="L13" s="116">
        <v>6.9089296666954396E-21</v>
      </c>
      <c r="M13" s="116">
        <v>6.2621026173713118E-18</v>
      </c>
      <c r="N13" s="116">
        <v>3.136231743067595E-10</v>
      </c>
      <c r="O13" s="116">
        <v>1.6766722252528241E-9</v>
      </c>
      <c r="P13" s="116">
        <v>1.9167879625247102E-16</v>
      </c>
      <c r="Q13" s="116">
        <v>4.3727360681824367E-18</v>
      </c>
      <c r="R13" s="116">
        <v>2.6824819826845638E-16</v>
      </c>
      <c r="S13" s="116">
        <v>5.8667280264126701E-17</v>
      </c>
      <c r="T13" s="116">
        <v>5.254149820561979E-12</v>
      </c>
      <c r="U13" s="116">
        <v>1.1476150184201186E-8</v>
      </c>
      <c r="V13" s="116">
        <v>3.5798234599708996E-10</v>
      </c>
      <c r="W13" s="116">
        <v>7.9571527039563298E-13</v>
      </c>
      <c r="X13" s="116">
        <v>4.7411494192433459E-9</v>
      </c>
      <c r="Y13" s="116">
        <v>1.9964116410304828E-15</v>
      </c>
      <c r="Z13" s="116">
        <v>1.4148816753306077E-11</v>
      </c>
      <c r="AA13" s="116">
        <v>6.6657226696092962E-10</v>
      </c>
      <c r="AB13" s="116">
        <v>2.1922261008243096E-17</v>
      </c>
      <c r="AC13" s="116">
        <v>1.3059592010835916E-12</v>
      </c>
      <c r="AD13" s="116">
        <v>7.0477095569519612E-11</v>
      </c>
      <c r="AE13" s="116">
        <v>4.2377335377698707E-9</v>
      </c>
      <c r="AF13" s="116">
        <v>3.3453159678744745E-13</v>
      </c>
      <c r="AG13" s="116">
        <v>4.1344341852318352E-9</v>
      </c>
      <c r="AH13" s="116">
        <v>5.0127310003961157E-12</v>
      </c>
      <c r="AI13" s="116">
        <v>2.0375549894048358E-10</v>
      </c>
      <c r="AJ13" s="116">
        <v>2.4345473164324009E-10</v>
      </c>
      <c r="AK13" s="116">
        <v>6.5764685169613499E-11</v>
      </c>
      <c r="AL13" s="116">
        <v>1.9948284558372744E-8</v>
      </c>
      <c r="AM13" s="116">
        <v>1.0300435826218966E-8</v>
      </c>
      <c r="AN13" s="116">
        <v>3.7814767655235515E-13</v>
      </c>
      <c r="AO13" s="116">
        <v>1.1075202071931312E-9</v>
      </c>
      <c r="AP13" s="116">
        <v>6.9406568758771644E-11</v>
      </c>
      <c r="AQ13" s="116">
        <v>2.6797091465748895E-12</v>
      </c>
      <c r="AR13" s="116">
        <v>6.4030015972212414E-24</v>
      </c>
      <c r="AS13" s="116">
        <v>7.3069715863660052E-15</v>
      </c>
      <c r="AT13" s="116">
        <v>2.3264400502372165E-9</v>
      </c>
      <c r="AU13" s="116">
        <v>7.0491121138719677E-18</v>
      </c>
      <c r="AV13" s="116">
        <v>5.8669824660620653E-11</v>
      </c>
      <c r="AW13" s="116">
        <v>3.1265776132170965E-10</v>
      </c>
      <c r="AX13" s="116">
        <v>8.4443305820700586E-20</v>
      </c>
      <c r="AY13" s="116">
        <v>1.769254227424739E-20</v>
      </c>
      <c r="AZ13" s="116">
        <v>9.5640770853121214E-9</v>
      </c>
      <c r="BA13" s="116">
        <v>3.6479889050200231E-10</v>
      </c>
      <c r="BB13" s="116">
        <v>2.7682665995926993E-9</v>
      </c>
      <c r="BC13" s="116">
        <v>1.2405778101150925E-11</v>
      </c>
      <c r="BD13" s="116">
        <v>3.1925056549197796E-18</v>
      </c>
      <c r="BE13" s="116">
        <v>1.0393763109038994E-10</v>
      </c>
      <c r="BF13" s="116">
        <v>1.045030119197145E-23</v>
      </c>
      <c r="BG13" s="116">
        <v>1.4062277962939189E-10</v>
      </c>
      <c r="BH13" s="116">
        <v>3.3935769046034003E-9</v>
      </c>
      <c r="BI13" s="116">
        <v>1.5679060455130492E-13</v>
      </c>
      <c r="BJ13" s="116">
        <v>2.4486083072186747E-8</v>
      </c>
      <c r="BK13" s="116">
        <v>9.6301940618473107E-10</v>
      </c>
      <c r="BL13" s="116">
        <v>2.2454089598291875E-8</v>
      </c>
      <c r="BM13" s="116">
        <v>4.2996705777080481E-15</v>
      </c>
      <c r="BN13" s="116">
        <v>4.7195468726872758E-8</v>
      </c>
      <c r="BO13" s="116">
        <v>1.1640651331340558E-8</v>
      </c>
      <c r="BP13" s="116">
        <v>7.8797166262722328E-12</v>
      </c>
      <c r="BQ13" s="116">
        <v>1.3264403158438626E-13</v>
      </c>
      <c r="BR13" s="116">
        <v>2.1612668009954097E-13</v>
      </c>
      <c r="BS13" s="116">
        <v>4.5676987480913783E-11</v>
      </c>
      <c r="BT13" s="116">
        <v>2.2851443437448482E-13</v>
      </c>
      <c r="BU13" s="116">
        <v>3.3032133997377914E-8</v>
      </c>
      <c r="BV13" s="116">
        <v>2.1231790027861033E-17</v>
      </c>
      <c r="BW13" s="116">
        <v>1.5863991380777145E-9</v>
      </c>
      <c r="BX13" s="116">
        <v>1.9104776618206887E-8</v>
      </c>
      <c r="BY13" s="116">
        <v>7.781787650874675E-16</v>
      </c>
      <c r="BZ13" s="116">
        <v>4.8771894492308284E-26</v>
      </c>
      <c r="CA13" s="116">
        <v>4.1944901574012877E-12</v>
      </c>
      <c r="CB13" s="116">
        <v>3.4906519881161359E-8</v>
      </c>
      <c r="CC13" s="116">
        <v>5.8917135175522932E-8</v>
      </c>
      <c r="CD13" s="116">
        <v>2.8391762661758117E-11</v>
      </c>
      <c r="CE13" s="116">
        <v>1.8671627233904578E-13</v>
      </c>
      <c r="CF13" s="116">
        <v>1.0007849446789072E-12</v>
      </c>
      <c r="CG13" s="116">
        <v>1.2409216519570839E-9</v>
      </c>
      <c r="CH13" s="116">
        <v>1.3866066905687838E-11</v>
      </c>
      <c r="CI13" s="116">
        <v>5.73534989157654E-8</v>
      </c>
      <c r="CJ13" s="116">
        <v>1.7334784589688463E-8</v>
      </c>
      <c r="CK13" s="116">
        <v>2.4668331463528664E-14</v>
      </c>
      <c r="CL13" s="116">
        <v>5.2903477237768975E-16</v>
      </c>
      <c r="CM13" s="116">
        <v>1.2038320974522186E-12</v>
      </c>
      <c r="CN13" s="116">
        <v>1.0420218670838928E-19</v>
      </c>
      <c r="CO13" s="116">
        <v>4.9666513309122131E-8</v>
      </c>
      <c r="CP13" s="116">
        <v>3.0765988624337174E-8</v>
      </c>
      <c r="CQ13" s="116">
        <v>1.6241825901344928E-9</v>
      </c>
      <c r="CR13" s="116">
        <v>4.8322089087966178E-8</v>
      </c>
      <c r="CS13" s="116">
        <v>8.7166108169831142E-10</v>
      </c>
      <c r="CT13" s="116">
        <v>6.8075960530169549E-8</v>
      </c>
      <c r="CU13" s="116">
        <v>1.1110331079153063E-8</v>
      </c>
      <c r="CV13" s="116">
        <v>3.3988691484199068E-10</v>
      </c>
      <c r="CW13" s="116">
        <v>3.986255423450656E-9</v>
      </c>
      <c r="CX13" s="116">
        <v>7.4544438006377121E-10</v>
      </c>
    </row>
    <row r="15" spans="1:102" s="114" customFormat="1">
      <c r="A15" s="247" t="s">
        <v>140</v>
      </c>
      <c r="B15" s="248"/>
    </row>
    <row r="16" spans="1:102" s="115" customFormat="1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  <c r="BD16" s="146">
        <v>0</v>
      </c>
      <c r="BE16" s="146">
        <v>0</v>
      </c>
      <c r="BF16" s="146">
        <v>0</v>
      </c>
      <c r="BG16" s="146">
        <v>0</v>
      </c>
      <c r="BH16" s="146">
        <v>0</v>
      </c>
      <c r="BI16" s="146">
        <v>0</v>
      </c>
      <c r="BJ16" s="146">
        <v>0</v>
      </c>
      <c r="BK16" s="146">
        <v>0</v>
      </c>
      <c r="BL16" s="146">
        <v>0</v>
      </c>
      <c r="BM16" s="146">
        <v>0</v>
      </c>
      <c r="BN16" s="146">
        <v>0</v>
      </c>
      <c r="BO16" s="146">
        <v>0</v>
      </c>
      <c r="BP16" s="146">
        <v>0</v>
      </c>
      <c r="BQ16" s="146">
        <v>0</v>
      </c>
      <c r="BR16" s="146">
        <v>0</v>
      </c>
      <c r="BS16" s="146">
        <v>0</v>
      </c>
      <c r="BT16" s="146">
        <v>0</v>
      </c>
      <c r="BU16" s="146">
        <v>0</v>
      </c>
      <c r="BV16" s="146">
        <v>0</v>
      </c>
      <c r="BW16" s="146">
        <v>0</v>
      </c>
      <c r="BX16" s="146">
        <v>0</v>
      </c>
      <c r="BY16" s="146">
        <v>0</v>
      </c>
      <c r="BZ16" s="146">
        <v>0</v>
      </c>
      <c r="CA16" s="146">
        <v>0</v>
      </c>
      <c r="CB16" s="146">
        <v>0</v>
      </c>
      <c r="CC16" s="146">
        <v>0</v>
      </c>
      <c r="CD16" s="146">
        <v>0</v>
      </c>
      <c r="CE16" s="146">
        <v>0</v>
      </c>
      <c r="CF16" s="146">
        <v>0</v>
      </c>
      <c r="CG16" s="146">
        <v>0</v>
      </c>
      <c r="CH16" s="146">
        <v>0</v>
      </c>
      <c r="CI16" s="146">
        <v>0</v>
      </c>
      <c r="CJ16" s="146">
        <v>0</v>
      </c>
      <c r="CK16" s="146">
        <v>0</v>
      </c>
      <c r="CL16" s="146">
        <v>0</v>
      </c>
      <c r="CM16" s="146">
        <v>0</v>
      </c>
      <c r="CN16" s="146">
        <v>0</v>
      </c>
      <c r="CO16" s="146">
        <v>0</v>
      </c>
      <c r="CP16" s="146">
        <v>0</v>
      </c>
      <c r="CQ16" s="146">
        <v>0</v>
      </c>
      <c r="CR16" s="146">
        <v>0</v>
      </c>
      <c r="CS16" s="146">
        <v>0</v>
      </c>
      <c r="CT16" s="146">
        <v>0</v>
      </c>
      <c r="CU16" s="146">
        <v>0</v>
      </c>
      <c r="CV16" s="146">
        <v>0</v>
      </c>
      <c r="CW16" s="146">
        <v>0</v>
      </c>
      <c r="CX16" s="146">
        <v>0</v>
      </c>
    </row>
    <row r="17" spans="1:102" s="115" customFormat="1">
      <c r="A17" s="252" t="s">
        <v>4</v>
      </c>
      <c r="B17" s="253"/>
      <c r="C17" s="146">
        <v>7.0145384706339703E-10</v>
      </c>
      <c r="D17" s="146">
        <v>5.8115896496909675E-19</v>
      </c>
      <c r="E17" s="146">
        <v>0.97706665598814413</v>
      </c>
      <c r="F17" s="146">
        <v>1.0764815104171033E-4</v>
      </c>
      <c r="G17" s="146">
        <v>2.5209422907586016E-3</v>
      </c>
      <c r="H17" s="146">
        <v>0.12116197776293036</v>
      </c>
      <c r="I17" s="146">
        <v>0.9738232573937633</v>
      </c>
      <c r="J17" s="146">
        <v>2.6939924386760127E-4</v>
      </c>
      <c r="K17" s="146">
        <v>0.19264031663796455</v>
      </c>
      <c r="L17" s="146">
        <v>1.729868089707275E-2</v>
      </c>
      <c r="M17" s="146">
        <v>0.42508991950729696</v>
      </c>
      <c r="N17" s="146">
        <v>2.3565834132068876E-13</v>
      </c>
      <c r="O17" s="146">
        <v>6.6785765492441945E-2</v>
      </c>
      <c r="P17" s="146">
        <v>6.3935818529657541E-13</v>
      </c>
      <c r="Q17" s="146">
        <v>1.0456470127706513E-4</v>
      </c>
      <c r="R17" s="146">
        <v>2.7178403093026642E-2</v>
      </c>
      <c r="S17" s="146">
        <v>0.46786769965882224</v>
      </c>
      <c r="T17" s="146">
        <v>1.3821088861398869E-3</v>
      </c>
      <c r="U17" s="146">
        <v>1.2620567841273791E-15</v>
      </c>
      <c r="V17" s="146">
        <v>5.22091554036266E-4</v>
      </c>
      <c r="W17" s="146">
        <v>8.1234850823652313E-4</v>
      </c>
      <c r="X17" s="146">
        <v>2.5029080380105415E-2</v>
      </c>
      <c r="Y17" s="146">
        <v>8.0497693914435675E-2</v>
      </c>
      <c r="Z17" s="146">
        <v>0.85967055528309488</v>
      </c>
      <c r="AA17" s="146">
        <v>1.0732384643669942E-13</v>
      </c>
      <c r="AB17" s="146">
        <v>0.91625877231930364</v>
      </c>
      <c r="AC17" s="146">
        <v>5.2067614331460406E-2</v>
      </c>
      <c r="AD17" s="146">
        <v>0.32810000935222677</v>
      </c>
      <c r="AE17" s="146">
        <v>0.81671894798038414</v>
      </c>
      <c r="AF17" s="146">
        <v>5.5742402017555502E-2</v>
      </c>
      <c r="AG17" s="146">
        <v>5.2417375752837434E-13</v>
      </c>
      <c r="AH17" s="146">
        <v>4.6909340602333981E-9</v>
      </c>
      <c r="AI17" s="146">
        <v>0.49225386522447906</v>
      </c>
      <c r="AJ17" s="146">
        <v>1.4977586531481957E-2</v>
      </c>
      <c r="AK17" s="146">
        <v>7.7168896836873934E-3</v>
      </c>
      <c r="AL17" s="146">
        <v>4.2320987210573527E-9</v>
      </c>
      <c r="AM17" s="146">
        <v>0.24891641271230372</v>
      </c>
      <c r="AN17" s="146">
        <v>3.83378888638963E-14</v>
      </c>
      <c r="AO17" s="146">
        <v>0.82712824718107147</v>
      </c>
      <c r="AP17" s="146">
        <v>7.9304218093250826E-3</v>
      </c>
      <c r="AQ17" s="146">
        <v>8.9515156721366596E-4</v>
      </c>
      <c r="AR17" s="146">
        <v>1.7880580192508431E-4</v>
      </c>
      <c r="AS17" s="146">
        <v>0.59739750450305673</v>
      </c>
      <c r="AT17" s="146">
        <v>2.6761601792579321E-5</v>
      </c>
      <c r="AU17" s="146">
        <v>8.507707764852708E-2</v>
      </c>
      <c r="AV17" s="146">
        <v>0.73053511299422558</v>
      </c>
      <c r="AW17" s="146">
        <v>0.10995378131265901</v>
      </c>
      <c r="AX17" s="146">
        <v>0.99610091652375465</v>
      </c>
      <c r="AY17" s="146">
        <v>0.26408035967399546</v>
      </c>
      <c r="AZ17" s="146">
        <v>0.29931280375676517</v>
      </c>
      <c r="BA17" s="146">
        <v>5.8150904299841724E-4</v>
      </c>
      <c r="BB17" s="146">
        <v>1.2004471770135496E-9</v>
      </c>
      <c r="BC17" s="146">
        <v>0.87057095823168751</v>
      </c>
      <c r="BD17" s="146">
        <v>0.96691841237139997</v>
      </c>
      <c r="BE17" s="146">
        <v>2.798916272054136E-3</v>
      </c>
      <c r="BF17" s="146">
        <v>1.112530618863819E-2</v>
      </c>
      <c r="BG17" s="146">
        <v>0.28895130329762686</v>
      </c>
      <c r="BH17" s="146">
        <v>0.47352000263385741</v>
      </c>
      <c r="BI17" s="146">
        <v>3.3958204786619497E-2</v>
      </c>
      <c r="BJ17" s="146">
        <v>1.2503507670342591E-2</v>
      </c>
      <c r="BK17" s="146">
        <v>2.5781296863511195E-2</v>
      </c>
      <c r="BL17" s="146">
        <v>3.5023429798027142E-4</v>
      </c>
      <c r="BM17" s="146">
        <v>1.5719058002803078E-2</v>
      </c>
      <c r="BN17" s="146">
        <v>1.3432747557461493E-6</v>
      </c>
      <c r="BO17" s="146">
        <v>0.83717152002464201</v>
      </c>
      <c r="BP17" s="146">
        <v>2.5348859333438562E-6</v>
      </c>
      <c r="BQ17" s="146">
        <v>0.18259184570041903</v>
      </c>
      <c r="BR17" s="146">
        <v>9.0570204679449887E-2</v>
      </c>
      <c r="BS17" s="146">
        <v>2.3894506688023954E-5</v>
      </c>
      <c r="BT17" s="146">
        <v>0.62240220240902855</v>
      </c>
      <c r="BU17" s="146">
        <v>6.8625122525684291E-3</v>
      </c>
      <c r="BV17" s="146">
        <v>0.32218116510185335</v>
      </c>
      <c r="BW17" s="146">
        <v>4.7196672371250402E-6</v>
      </c>
      <c r="BX17" s="146">
        <v>1.6577887847118065E-3</v>
      </c>
      <c r="BY17" s="146">
        <v>0.56686521496547004</v>
      </c>
      <c r="BZ17" s="146">
        <v>4.4473979813368595E-3</v>
      </c>
      <c r="CA17" s="146">
        <v>0.60545328250788055</v>
      </c>
      <c r="CB17" s="146">
        <v>0.33533229007720661</v>
      </c>
      <c r="CC17" s="146">
        <v>1.6127047789205893E-6</v>
      </c>
      <c r="CD17" s="146">
        <v>0.28200785519797938</v>
      </c>
      <c r="CE17" s="146">
        <v>2.7508204242162647E-5</v>
      </c>
      <c r="CF17" s="146">
        <v>3.0261016477496068E-3</v>
      </c>
      <c r="CG17" s="146">
        <v>0.39402479274251256</v>
      </c>
      <c r="CH17" s="146">
        <v>0.40525233567575092</v>
      </c>
      <c r="CI17" s="146">
        <v>0.31738539751320899</v>
      </c>
      <c r="CJ17" s="146">
        <v>0.25411368424806902</v>
      </c>
      <c r="CK17" s="146">
        <v>4.2294040847169946E-7</v>
      </c>
      <c r="CL17" s="146">
        <v>0.39655832473318875</v>
      </c>
      <c r="CM17" s="146">
        <v>0.65084067805877621</v>
      </c>
      <c r="CN17" s="146">
        <v>0.4192260249913779</v>
      </c>
      <c r="CO17" s="146">
        <v>6.5245648563131697E-5</v>
      </c>
      <c r="CP17" s="146">
        <v>4.193391845995998E-2</v>
      </c>
      <c r="CQ17" s="146">
        <v>1.755567970572544E-3</v>
      </c>
      <c r="CR17" s="146">
        <v>3.3002361491778494E-5</v>
      </c>
      <c r="CS17" s="146">
        <v>0.34879793864235226</v>
      </c>
      <c r="CT17" s="146">
        <v>0.18624042434154772</v>
      </c>
      <c r="CU17" s="146">
        <v>1.9341174246512726E-7</v>
      </c>
      <c r="CV17" s="146">
        <v>5.1014278161464205E-8</v>
      </c>
      <c r="CW17" s="146">
        <v>4.497027259111659E-3</v>
      </c>
      <c r="CX17" s="146">
        <v>5.9008902066906073E-2</v>
      </c>
    </row>
    <row r="18" spans="1:102" s="115" customFormat="1">
      <c r="A18" s="252" t="s">
        <v>175</v>
      </c>
      <c r="B18" s="253"/>
      <c r="C18" s="146">
        <v>5.0671228268230282E-9</v>
      </c>
      <c r="D18" s="146">
        <v>0.15711388861382811</v>
      </c>
      <c r="E18" s="146">
        <v>1.9693185592789444E-4</v>
      </c>
      <c r="F18" s="146">
        <v>1.2643953668535378E-3</v>
      </c>
      <c r="G18" s="146">
        <v>1.8335190115321831E-6</v>
      </c>
      <c r="H18" s="146">
        <v>9.4974815590969236E-3</v>
      </c>
      <c r="I18" s="146">
        <v>3.5422180079057881E-7</v>
      </c>
      <c r="J18" s="146">
        <v>0.99913795480797074</v>
      </c>
      <c r="K18" s="146">
        <v>2.1101415805591453E-10</v>
      </c>
      <c r="L18" s="146">
        <v>1.0169848710472351E-7</v>
      </c>
      <c r="M18" s="146">
        <v>1.2277956161378866E-8</v>
      </c>
      <c r="N18" s="146">
        <v>0.16979826707449039</v>
      </c>
      <c r="O18" s="146">
        <v>4.3839320711623726E-5</v>
      </c>
      <c r="P18" s="146">
        <v>1.628873493746525E-2</v>
      </c>
      <c r="Q18" s="146">
        <v>1.1198039278154638E-4</v>
      </c>
      <c r="R18" s="146">
        <v>3.4878702179721496E-3</v>
      </c>
      <c r="S18" s="146">
        <v>2.6879920773691109E-2</v>
      </c>
      <c r="T18" s="146">
        <v>1.069879978439784E-4</v>
      </c>
      <c r="U18" s="146">
        <v>5.0200043651893962E-5</v>
      </c>
      <c r="V18" s="146">
        <v>4.6624034996671224E-11</v>
      </c>
      <c r="W18" s="146">
        <v>0.81375845797701318</v>
      </c>
      <c r="X18" s="146">
        <v>8.2609611331918161E-5</v>
      </c>
      <c r="Y18" s="146">
        <v>0.32967095875307073</v>
      </c>
      <c r="Z18" s="146">
        <v>1.4660511681806443E-5</v>
      </c>
      <c r="AA18" s="146">
        <v>2.4030030856646793E-2</v>
      </c>
      <c r="AB18" s="146">
        <v>4.1731894471560069E-8</v>
      </c>
      <c r="AC18" s="146">
        <v>1.5498683330214225E-3</v>
      </c>
      <c r="AD18" s="146">
        <v>1.1299484295530841E-7</v>
      </c>
      <c r="AE18" s="146">
        <v>1.7729552100024192E-5</v>
      </c>
      <c r="AF18" s="146">
        <v>1.3099300881569543E-5</v>
      </c>
      <c r="AG18" s="146">
        <v>0.37431227531356187</v>
      </c>
      <c r="AH18" s="146">
        <v>3.8807021438382625E-4</v>
      </c>
      <c r="AI18" s="146">
        <v>3.7055209419025979E-2</v>
      </c>
      <c r="AJ18" s="146">
        <v>4.6800838213947829E-2</v>
      </c>
      <c r="AK18" s="146">
        <v>9.2358888321296905E-5</v>
      </c>
      <c r="AL18" s="146">
        <v>3.9524662532466143E-2</v>
      </c>
      <c r="AM18" s="146">
        <v>1.7938588010451401E-3</v>
      </c>
      <c r="AN18" s="146">
        <v>0.35495264277454169</v>
      </c>
      <c r="AO18" s="146">
        <v>1.644103248076987E-2</v>
      </c>
      <c r="AP18" s="146">
        <v>5.3921374245787164E-6</v>
      </c>
      <c r="AQ18" s="146">
        <v>0.68208472272960652</v>
      </c>
      <c r="AR18" s="146">
        <v>5.4884239824142751E-6</v>
      </c>
      <c r="AS18" s="146">
        <v>4.7961729871498328E-6</v>
      </c>
      <c r="AT18" s="146">
        <v>6.1511231875899213E-9</v>
      </c>
      <c r="AU18" s="146">
        <v>2.3001243655661788E-7</v>
      </c>
      <c r="AV18" s="146">
        <v>1.015083674810154E-18</v>
      </c>
      <c r="AW18" s="146">
        <v>1.7214516955201663E-2</v>
      </c>
      <c r="AX18" s="146">
        <v>8.3220838252915763E-5</v>
      </c>
      <c r="AY18" s="146">
        <v>1.4468597585003813E-7</v>
      </c>
      <c r="AZ18" s="146">
        <v>3.4516197517213014E-2</v>
      </c>
      <c r="BA18" s="146">
        <v>0.11993685818764407</v>
      </c>
      <c r="BB18" s="146">
        <v>3.4840817130991179E-2</v>
      </c>
      <c r="BC18" s="146">
        <v>1.6002821063449381E-5</v>
      </c>
      <c r="BD18" s="146">
        <v>2.6471343660627819E-7</v>
      </c>
      <c r="BE18" s="146">
        <v>7.4214524184000579E-6</v>
      </c>
      <c r="BF18" s="146">
        <v>0.7991579651937547</v>
      </c>
      <c r="BG18" s="146">
        <v>5.7642947720783863E-2</v>
      </c>
      <c r="BH18" s="146">
        <v>0.18589232249417376</v>
      </c>
      <c r="BI18" s="146">
        <v>8.2920997551478842E-6</v>
      </c>
      <c r="BJ18" s="146">
        <v>0.59643328884622993</v>
      </c>
      <c r="BK18" s="146">
        <v>0.70951074828589389</v>
      </c>
      <c r="BL18" s="146">
        <v>0.50251106070332796</v>
      </c>
      <c r="BM18" s="146">
        <v>1.8437428615119259E-8</v>
      </c>
      <c r="BN18" s="146">
        <v>2.4447460344466732E-3</v>
      </c>
      <c r="BO18" s="146">
        <v>1.3267062585462686E-3</v>
      </c>
      <c r="BP18" s="146">
        <v>0.84668995783910528</v>
      </c>
      <c r="BQ18" s="146">
        <v>3.3551819694237595E-2</v>
      </c>
      <c r="BR18" s="146">
        <v>0.12187993087025664</v>
      </c>
      <c r="BS18" s="146">
        <v>7.0352902201020273E-3</v>
      </c>
      <c r="BT18" s="146">
        <v>1.0253568408831512E-4</v>
      </c>
      <c r="BU18" s="146">
        <v>1.3172185067183769E-3</v>
      </c>
      <c r="BV18" s="146">
        <v>5.081145999852907E-10</v>
      </c>
      <c r="BW18" s="146">
        <v>0.79315350794216644</v>
      </c>
      <c r="BX18" s="146">
        <v>4.7925692869516705E-8</v>
      </c>
      <c r="BY18" s="146">
        <v>0.12044233863031446</v>
      </c>
      <c r="BZ18" s="146">
        <v>1.2531153543995956E-2</v>
      </c>
      <c r="CA18" s="146">
        <v>0.33012766243912256</v>
      </c>
      <c r="CB18" s="146">
        <v>0.24816345021057393</v>
      </c>
      <c r="CC18" s="146">
        <v>2.4261051876756524E-3</v>
      </c>
      <c r="CD18" s="146">
        <v>3.0704926708139586E-2</v>
      </c>
      <c r="CE18" s="146">
        <v>3.4216230168856498E-2</v>
      </c>
      <c r="CF18" s="146">
        <v>1.7064818110240243E-2</v>
      </c>
      <c r="CG18" s="146">
        <v>2.594622349743151E-2</v>
      </c>
      <c r="CH18" s="146">
        <v>1.9712592654016057E-9</v>
      </c>
      <c r="CI18" s="146">
        <v>8.2143296878693824E-3</v>
      </c>
      <c r="CJ18" s="146">
        <v>0.11069603241874962</v>
      </c>
      <c r="CK18" s="146">
        <v>4.8918519161829495E-2</v>
      </c>
      <c r="CL18" s="146">
        <v>0.40529335577745434</v>
      </c>
      <c r="CM18" s="146">
        <v>7.0250898662034585E-5</v>
      </c>
      <c r="CN18" s="146">
        <v>1.5617371555442452E-7</v>
      </c>
      <c r="CO18" s="146">
        <v>1.1839580945474833E-7</v>
      </c>
      <c r="CP18" s="146">
        <v>7.0118402457670513E-4</v>
      </c>
      <c r="CQ18" s="146">
        <v>0.5017005692907196</v>
      </c>
      <c r="CR18" s="146">
        <v>3.8529021083391236E-11</v>
      </c>
      <c r="CS18" s="146">
        <v>0.20922247484443685</v>
      </c>
      <c r="CT18" s="146">
        <v>1.835684049563729E-5</v>
      </c>
      <c r="CU18" s="146">
        <v>2.1234465891448268E-4</v>
      </c>
      <c r="CV18" s="146">
        <v>9.7318471489665945E-10</v>
      </c>
      <c r="CW18" s="146">
        <v>3.8549332933580129E-3</v>
      </c>
      <c r="CX18" s="146">
        <v>2.8097205597445336E-2</v>
      </c>
    </row>
    <row r="19" spans="1:102" s="115" customFormat="1">
      <c r="A19" s="252" t="s">
        <v>176</v>
      </c>
      <c r="B19" s="253"/>
      <c r="C19" s="146">
        <v>2.1631001428865009E-4</v>
      </c>
      <c r="D19" s="146">
        <v>0.35667645338272808</v>
      </c>
      <c r="E19" s="146">
        <v>2.158408481829677E-4</v>
      </c>
      <c r="F19" s="146">
        <v>7.8687213450555049E-8</v>
      </c>
      <c r="G19" s="146">
        <v>0.31438614131870463</v>
      </c>
      <c r="H19" s="146">
        <v>6.1759662785829655E-3</v>
      </c>
      <c r="I19" s="146">
        <v>1.4146602330720766E-2</v>
      </c>
      <c r="J19" s="146">
        <v>3.5884473430352495E-11</v>
      </c>
      <c r="K19" s="146">
        <v>3.7387879942816884E-6</v>
      </c>
      <c r="L19" s="146">
        <v>6.8959828196895015E-2</v>
      </c>
      <c r="M19" s="146">
        <v>0.3003416709955436</v>
      </c>
      <c r="N19" s="146">
        <v>3.5868125245753253E-8</v>
      </c>
      <c r="O19" s="146">
        <v>3.1548972551227736E-7</v>
      </c>
      <c r="P19" s="146">
        <v>5.6605853799595526E-2</v>
      </c>
      <c r="Q19" s="146">
        <v>3.6261044344154315E-2</v>
      </c>
      <c r="R19" s="146">
        <v>0.9291907963638919</v>
      </c>
      <c r="S19" s="146">
        <v>8.5877566856312294E-7</v>
      </c>
      <c r="T19" s="146">
        <v>1.0096524122236718E-2</v>
      </c>
      <c r="U19" s="146">
        <v>9.7025568828608792E-10</v>
      </c>
      <c r="V19" s="146">
        <v>2.0490533670174216E-2</v>
      </c>
      <c r="W19" s="146">
        <v>2.2624891770509016E-3</v>
      </c>
      <c r="X19" s="146">
        <v>0.15522591000397104</v>
      </c>
      <c r="Y19" s="146">
        <v>4.1031179420289885E-3</v>
      </c>
      <c r="Z19" s="146">
        <v>2.9908830429450785E-2</v>
      </c>
      <c r="AA19" s="146">
        <v>5.154143470461512E-2</v>
      </c>
      <c r="AB19" s="146">
        <v>1.8850076032966431E-3</v>
      </c>
      <c r="AC19" s="146">
        <v>2.2141764724967294E-5</v>
      </c>
      <c r="AD19" s="146">
        <v>0.51459974035038292</v>
      </c>
      <c r="AE19" s="146">
        <v>3.0445179953227021E-4</v>
      </c>
      <c r="AF19" s="146">
        <v>2.9759473172742912E-4</v>
      </c>
      <c r="AG19" s="146">
        <v>3.0956383264222607E-3</v>
      </c>
      <c r="AH19" s="146">
        <v>5.5350156661512495E-3</v>
      </c>
      <c r="AI19" s="146">
        <v>2.0298685561098806E-4</v>
      </c>
      <c r="AJ19" s="146">
        <v>6.0991246503326962E-2</v>
      </c>
      <c r="AK19" s="146">
        <v>6.5419305553661211E-2</v>
      </c>
      <c r="AL19" s="146">
        <v>2.4764747799862465E-2</v>
      </c>
      <c r="AM19" s="146">
        <v>2.518463426670642E-12</v>
      </c>
      <c r="AN19" s="146">
        <v>1.380109469979594E-10</v>
      </c>
      <c r="AO19" s="146">
        <v>3.8397686928297961E-5</v>
      </c>
      <c r="AP19" s="146">
        <v>3.8456029924284168E-3</v>
      </c>
      <c r="AQ19" s="146">
        <v>3.1970699929473524E-6</v>
      </c>
      <c r="AR19" s="146">
        <v>4.8591322353926616E-2</v>
      </c>
      <c r="AS19" s="146">
        <v>0.19375193412110589</v>
      </c>
      <c r="AT19" s="146">
        <v>2.7774209528130594E-3</v>
      </c>
      <c r="AU19" s="146">
        <v>3.3523075701109692E-5</v>
      </c>
      <c r="AV19" s="146">
        <v>0.15831833693746364</v>
      </c>
      <c r="AW19" s="146">
        <v>0.82344984253175824</v>
      </c>
      <c r="AX19" s="146">
        <v>1.6839316783951801E-8</v>
      </c>
      <c r="AY19" s="146">
        <v>3.3452847422090876E-16</v>
      </c>
      <c r="AZ19" s="146">
        <v>4.3867698484463666E-7</v>
      </c>
      <c r="BA19" s="146">
        <v>3.6601878722089011E-3</v>
      </c>
      <c r="BB19" s="146">
        <v>3.461593912540096E-5</v>
      </c>
      <c r="BC19" s="146">
        <v>9.7621800080605956E-23</v>
      </c>
      <c r="BD19" s="146">
        <v>2.0165348457569939E-3</v>
      </c>
      <c r="BE19" s="146">
        <v>0.20017471916823104</v>
      </c>
      <c r="BF19" s="146">
        <v>0.11784051716785231</v>
      </c>
      <c r="BG19" s="146">
        <v>1.8463150116022892E-11</v>
      </c>
      <c r="BH19" s="146">
        <v>1.6112253701932508E-3</v>
      </c>
      <c r="BI19" s="146">
        <v>0.74861108785404629</v>
      </c>
      <c r="BJ19" s="146">
        <v>1.3409106611335464E-6</v>
      </c>
      <c r="BK19" s="146">
        <v>8.112925031465823E-3</v>
      </c>
      <c r="BL19" s="146">
        <v>1.0763592690675495E-7</v>
      </c>
      <c r="BM19" s="146">
        <v>0.94120569210899474</v>
      </c>
      <c r="BN19" s="146">
        <v>9.4403122170829252E-10</v>
      </c>
      <c r="BO19" s="146">
        <v>2.0236162723745767E-3</v>
      </c>
      <c r="BP19" s="146">
        <v>2.5580806546329391E-5</v>
      </c>
      <c r="BQ19" s="146">
        <v>6.0708420956280063E-3</v>
      </c>
      <c r="BR19" s="146">
        <v>9.3304817569055329E-5</v>
      </c>
      <c r="BS19" s="146">
        <v>2.4825648085954218E-2</v>
      </c>
      <c r="BT19" s="146">
        <v>0.1698563620715608</v>
      </c>
      <c r="BU19" s="146">
        <v>3.0511058576313577E-2</v>
      </c>
      <c r="BV19" s="146">
        <v>1.2195448309238933E-6</v>
      </c>
      <c r="BW19" s="146">
        <v>2.3044316313337439E-4</v>
      </c>
      <c r="BX19" s="146">
        <v>0.106016062360356</v>
      </c>
      <c r="BY19" s="146">
        <v>0.31023135533864565</v>
      </c>
      <c r="BZ19" s="146">
        <v>0.64025944415958713</v>
      </c>
      <c r="CA19" s="146">
        <v>6.4379763537958573E-2</v>
      </c>
      <c r="CB19" s="146">
        <v>5.7619391131618985E-4</v>
      </c>
      <c r="CC19" s="146">
        <v>7.155251799193936E-2</v>
      </c>
      <c r="CD19" s="146">
        <v>1.6978095052208427E-2</v>
      </c>
      <c r="CE19" s="146">
        <v>0.10413631655407557</v>
      </c>
      <c r="CF19" s="146">
        <v>1.6530499779596666E-2</v>
      </c>
      <c r="CG19" s="146">
        <v>0.54799448438480114</v>
      </c>
      <c r="CH19" s="146">
        <v>2.2739900321527666E-3</v>
      </c>
      <c r="CI19" s="146">
        <v>2.6448822502297755E-5</v>
      </c>
      <c r="CJ19" s="146">
        <v>0.19739485653519995</v>
      </c>
      <c r="CK19" s="146">
        <v>1.5915875113109422E-5</v>
      </c>
      <c r="CL19" s="146">
        <v>4.1310779417458943E-3</v>
      </c>
      <c r="CM19" s="146">
        <v>1.4760603302396366E-3</v>
      </c>
      <c r="CN19" s="146">
        <v>0.17944727546981584</v>
      </c>
      <c r="CO19" s="146">
        <v>0.49059213170220994</v>
      </c>
      <c r="CP19" s="146">
        <v>0.38959772720203595</v>
      </c>
      <c r="CQ19" s="146">
        <v>3.0351135375061601E-2</v>
      </c>
      <c r="CR19" s="146">
        <v>1.7782306896516559E-3</v>
      </c>
      <c r="CS19" s="146">
        <v>0.43555980739633177</v>
      </c>
      <c r="CT19" s="146">
        <v>0.19680189902520598</v>
      </c>
      <c r="CU19" s="146">
        <v>0.31515001902085893</v>
      </c>
      <c r="CV19" s="146">
        <v>2.2260210354738429E-9</v>
      </c>
      <c r="CW19" s="146">
        <v>5.4250936271282045E-2</v>
      </c>
      <c r="CX19" s="146">
        <v>0.54494887045190143</v>
      </c>
    </row>
    <row r="20" spans="1:102" s="115" customFormat="1">
      <c r="A20" s="252" t="s">
        <v>177</v>
      </c>
      <c r="B20" s="253"/>
      <c r="C20" s="146">
        <v>0.66350591575474061</v>
      </c>
      <c r="D20" s="146">
        <v>1.5720996876516528E-3</v>
      </c>
      <c r="E20" s="146">
        <v>2.7225426656728597E-4</v>
      </c>
      <c r="F20" s="146">
        <v>0.99508898749312047</v>
      </c>
      <c r="G20" s="146">
        <v>3.1778789213910846E-6</v>
      </c>
      <c r="H20" s="146">
        <v>0.45893955648346102</v>
      </c>
      <c r="I20" s="146">
        <v>6.1001394233809815E-20</v>
      </c>
      <c r="J20" s="146">
        <v>5.4841485328579742E-10</v>
      </c>
      <c r="K20" s="146">
        <v>0.80595922165580547</v>
      </c>
      <c r="L20" s="146">
        <v>0.59330973335234805</v>
      </c>
      <c r="M20" s="146">
        <v>0.26736946078125728</v>
      </c>
      <c r="N20" s="146">
        <v>0.48314309435448133</v>
      </c>
      <c r="O20" s="146">
        <v>0.38456543220813744</v>
      </c>
      <c r="P20" s="146">
        <v>1.8819252410281082E-5</v>
      </c>
      <c r="Q20" s="146">
        <v>1.1096619139209731E-2</v>
      </c>
      <c r="R20" s="146">
        <v>4.0115688230159999E-2</v>
      </c>
      <c r="S20" s="146">
        <v>2.750778073908551E-5</v>
      </c>
      <c r="T20" s="146">
        <v>3.4281260452947792E-7</v>
      </c>
      <c r="U20" s="146">
        <v>2.2294563970115241E-2</v>
      </c>
      <c r="V20" s="146">
        <v>8.9821226044545413E-2</v>
      </c>
      <c r="W20" s="146">
        <v>2.8472441248582646E-5</v>
      </c>
      <c r="X20" s="146">
        <v>0.43970226525976769</v>
      </c>
      <c r="Y20" s="146">
        <v>4.401594042238769E-7</v>
      </c>
      <c r="Z20" s="146">
        <v>0.10751817160954098</v>
      </c>
      <c r="AA20" s="146">
        <v>1.7349821517136466E-10</v>
      </c>
      <c r="AB20" s="146">
        <v>3.5236687619460305E-2</v>
      </c>
      <c r="AC20" s="146">
        <v>1.8132064850589897E-3</v>
      </c>
      <c r="AD20" s="146">
        <v>1.9321915049176998E-5</v>
      </c>
      <c r="AE20" s="146">
        <v>4.528499438852709E-4</v>
      </c>
      <c r="AF20" s="146">
        <v>0.93550415907477902</v>
      </c>
      <c r="AG20" s="146">
        <v>2.1949670740253897E-2</v>
      </c>
      <c r="AH20" s="146">
        <v>9.5911271306072243E-2</v>
      </c>
      <c r="AI20" s="146">
        <v>1.0596774407397667E-2</v>
      </c>
      <c r="AJ20" s="146">
        <v>5.4565136471820699E-4</v>
      </c>
      <c r="AK20" s="146">
        <v>4.4126115692812555E-8</v>
      </c>
      <c r="AL20" s="146">
        <v>4.3672522528113143E-5</v>
      </c>
      <c r="AM20" s="146">
        <v>6.2327031472762074E-5</v>
      </c>
      <c r="AN20" s="146">
        <v>1.4532799275252599E-9</v>
      </c>
      <c r="AO20" s="146">
        <v>3.3888674853692499E-2</v>
      </c>
      <c r="AP20" s="146">
        <v>1.8043411878652742E-7</v>
      </c>
      <c r="AQ20" s="146">
        <v>0.29337400626041793</v>
      </c>
      <c r="AR20" s="146">
        <v>0.66762107536441673</v>
      </c>
      <c r="AS20" s="146">
        <v>7.6607445457744783E-3</v>
      </c>
      <c r="AT20" s="146">
        <v>3.1812231867487578E-5</v>
      </c>
      <c r="AU20" s="146">
        <v>0.17692187529381312</v>
      </c>
      <c r="AV20" s="146">
        <v>2.802682550215761E-12</v>
      </c>
      <c r="AW20" s="146">
        <v>3.0086710086393017E-2</v>
      </c>
      <c r="AX20" s="146">
        <v>1.4627730641107495E-4</v>
      </c>
      <c r="AY20" s="146">
        <v>0.7329010524351649</v>
      </c>
      <c r="AZ20" s="146">
        <v>1.2362012042899256E-2</v>
      </c>
      <c r="BA20" s="146">
        <v>0.13661903368337169</v>
      </c>
      <c r="BB20" s="146">
        <v>1.5938081875709422E-3</v>
      </c>
      <c r="BC20" s="146">
        <v>0.12867509448097611</v>
      </c>
      <c r="BD20" s="146">
        <v>2.7819228322595599E-12</v>
      </c>
      <c r="BE20" s="146">
        <v>2.2981541313962903E-4</v>
      </c>
      <c r="BF20" s="146">
        <v>4.3106423314367575E-9</v>
      </c>
      <c r="BG20" s="146">
        <v>0.36092685834353005</v>
      </c>
      <c r="BH20" s="146">
        <v>3.8300292593168171E-3</v>
      </c>
      <c r="BI20" s="146">
        <v>6.7203971397029472E-10</v>
      </c>
      <c r="BJ20" s="146">
        <v>6.0664263407178963E-8</v>
      </c>
      <c r="BK20" s="146">
        <v>2.122652292489175E-22</v>
      </c>
      <c r="BL20" s="146">
        <v>3.8126791055211225E-5</v>
      </c>
      <c r="BM20" s="146">
        <v>1.7178274974262743E-8</v>
      </c>
      <c r="BN20" s="146">
        <v>3.4302063148325245E-8</v>
      </c>
      <c r="BO20" s="146">
        <v>4.3986450524478388E-14</v>
      </c>
      <c r="BP20" s="146">
        <v>1.9108866715158917E-15</v>
      </c>
      <c r="BQ20" s="146">
        <v>0.76710185949855358</v>
      </c>
      <c r="BR20" s="146">
        <v>2.2868556542726215E-13</v>
      </c>
      <c r="BS20" s="146">
        <v>0.64060066958016304</v>
      </c>
      <c r="BT20" s="146">
        <v>0.20720005326766192</v>
      </c>
      <c r="BU20" s="146">
        <v>1.7699699850188728E-2</v>
      </c>
      <c r="BV20" s="146">
        <v>0.67772836273602699</v>
      </c>
      <c r="BW20" s="146">
        <v>0.19035526094227195</v>
      </c>
      <c r="BX20" s="146">
        <v>5.2578594660323857E-2</v>
      </c>
      <c r="BY20" s="146">
        <v>2.4608729854878777E-3</v>
      </c>
      <c r="BZ20" s="146">
        <v>0.34276190212541097</v>
      </c>
      <c r="CA20" s="146">
        <v>5.0912392007949602E-8</v>
      </c>
      <c r="CB20" s="146">
        <v>4.1410476643538209E-8</v>
      </c>
      <c r="CC20" s="146">
        <v>1.3909310964062467E-4</v>
      </c>
      <c r="CD20" s="146">
        <v>1.5136194673451922E-3</v>
      </c>
      <c r="CE20" s="146">
        <v>3.524865052038776E-2</v>
      </c>
      <c r="CF20" s="146">
        <v>0.57546417145775708</v>
      </c>
      <c r="CG20" s="146">
        <v>1.9077375408233082E-6</v>
      </c>
      <c r="CH20" s="146">
        <v>0.59224249679320495</v>
      </c>
      <c r="CI20" s="146">
        <v>3.190173716111609E-5</v>
      </c>
      <c r="CJ20" s="146">
        <v>1.9937257807535683E-8</v>
      </c>
      <c r="CK20" s="146">
        <v>1.0535838548741962E-15</v>
      </c>
      <c r="CL20" s="146">
        <v>4.5429452688379365E-4</v>
      </c>
      <c r="CM20" s="146">
        <v>7.6143150159236381E-2</v>
      </c>
      <c r="CN20" s="146">
        <v>0.37597232422839844</v>
      </c>
      <c r="CO20" s="146">
        <v>1.2462209044635073E-6</v>
      </c>
      <c r="CP20" s="146">
        <v>3.5649198960752875E-3</v>
      </c>
      <c r="CQ20" s="146">
        <v>0.42813414152858176</v>
      </c>
      <c r="CR20" s="146">
        <v>7.5947197547044654E-2</v>
      </c>
      <c r="CS20" s="146">
        <v>1.8589627726655607E-16</v>
      </c>
      <c r="CT20" s="146">
        <v>2.4216800623425828E-3</v>
      </c>
      <c r="CU20" s="146">
        <v>0.42294360476267351</v>
      </c>
      <c r="CV20" s="146">
        <v>0.35235884264622863</v>
      </c>
      <c r="CW20" s="146">
        <v>0.41556032142473909</v>
      </c>
      <c r="CX20" s="146">
        <v>5.0550203737995732E-3</v>
      </c>
    </row>
    <row r="21" spans="1:102" s="115" customFormat="1">
      <c r="A21" s="252" t="s">
        <v>5</v>
      </c>
      <c r="B21" s="253"/>
      <c r="C21" s="146">
        <v>1.4333568036977555E-8</v>
      </c>
      <c r="D21" s="146">
        <v>0.45468960583243734</v>
      </c>
      <c r="E21" s="146">
        <v>1.6164087981430841E-10</v>
      </c>
      <c r="F21" s="146">
        <v>8.6183638769812836E-6</v>
      </c>
      <c r="G21" s="146">
        <v>0.55888022844566498</v>
      </c>
      <c r="H21" s="146">
        <v>3.0282317455730526E-10</v>
      </c>
      <c r="I21" s="146">
        <v>2.0169178453577422E-3</v>
      </c>
      <c r="J21" s="146">
        <v>2.0662245623683523E-4</v>
      </c>
      <c r="K21" s="146">
        <v>3.9633041722995804E-6</v>
      </c>
      <c r="L21" s="146">
        <v>0.3148329168469704</v>
      </c>
      <c r="M21" s="146">
        <v>7.1941789068343661E-3</v>
      </c>
      <c r="N21" s="146">
        <v>0.26726742052663505</v>
      </c>
      <c r="O21" s="146">
        <v>0.26673511487277185</v>
      </c>
      <c r="P21" s="146">
        <v>0.92697609544792781</v>
      </c>
      <c r="Q21" s="146">
        <v>9.0910326400980097E-4</v>
      </c>
      <c r="R21" s="146">
        <v>2.7197112951321565E-5</v>
      </c>
      <c r="S21" s="146">
        <v>3.9384764897587958E-2</v>
      </c>
      <c r="T21" s="146">
        <v>2.1877963630367403E-5</v>
      </c>
      <c r="U21" s="146">
        <v>1.0589603080873267E-5</v>
      </c>
      <c r="V21" s="146">
        <v>0.60645868298535111</v>
      </c>
      <c r="W21" s="146">
        <v>0.18309913129074609</v>
      </c>
      <c r="X21" s="146">
        <v>3.2670087696623241E-13</v>
      </c>
      <c r="Y21" s="146">
        <v>0.46325789542236928</v>
      </c>
      <c r="Z21" s="146">
        <v>2.1931327107780531E-3</v>
      </c>
      <c r="AA21" s="146">
        <v>0.8902246536063646</v>
      </c>
      <c r="AB21" s="146">
        <v>3.1123478772054746E-3</v>
      </c>
      <c r="AC21" s="146">
        <v>0.93453666500084542</v>
      </c>
      <c r="AD21" s="146">
        <v>0.1337352848999129</v>
      </c>
      <c r="AE21" s="146">
        <v>1.0814351135457575E-4</v>
      </c>
      <c r="AF21" s="146">
        <v>8.4176410330187492E-3</v>
      </c>
      <c r="AG21" s="146">
        <v>6.1402677645705302E-5</v>
      </c>
      <c r="AH21" s="146">
        <v>9.9150854809098125E-14</v>
      </c>
      <c r="AI21" s="146">
        <v>6.330484755308567E-6</v>
      </c>
      <c r="AJ21" s="146">
        <v>0.54796663554742953</v>
      </c>
      <c r="AK21" s="146">
        <v>0.69173383201186711</v>
      </c>
      <c r="AL21" s="146">
        <v>8.855485282567313E-3</v>
      </c>
      <c r="AM21" s="146">
        <v>0.17260521386410482</v>
      </c>
      <c r="AN21" s="146">
        <v>0.64503573285670945</v>
      </c>
      <c r="AO21" s="146">
        <v>7.5107330101385677E-5</v>
      </c>
      <c r="AP21" s="146">
        <v>0.98458248507342316</v>
      </c>
      <c r="AQ21" s="146">
        <v>2.3575604355790255E-2</v>
      </c>
      <c r="AR21" s="146">
        <v>3.7372834313922413E-5</v>
      </c>
      <c r="AS21" s="146">
        <v>1.3886834741788973E-3</v>
      </c>
      <c r="AT21" s="146">
        <v>3.8455509644230439E-8</v>
      </c>
      <c r="AU21" s="146">
        <v>0.221110872316167</v>
      </c>
      <c r="AV21" s="146">
        <v>8.5269579836560111E-2</v>
      </c>
      <c r="AW21" s="146">
        <v>1.0336366480440725E-2</v>
      </c>
      <c r="AX21" s="146">
        <v>3.6695665189917393E-3</v>
      </c>
      <c r="AY21" s="146">
        <v>3.0032685193419912E-3</v>
      </c>
      <c r="AZ21" s="146">
        <v>5.7186447099029465E-6</v>
      </c>
      <c r="BA21" s="146">
        <v>0.53679907116067238</v>
      </c>
      <c r="BB21" s="146">
        <v>3.6551874424130895E-2</v>
      </c>
      <c r="BC21" s="146">
        <v>5.1642656055119591E-4</v>
      </c>
      <c r="BD21" s="146">
        <v>3.0631348018762314E-2</v>
      </c>
      <c r="BE21" s="146">
        <v>0.72754304303826656</v>
      </c>
      <c r="BF21" s="146">
        <v>1.581141939083E-4</v>
      </c>
      <c r="BG21" s="146">
        <v>1.9568220921724731E-4</v>
      </c>
      <c r="BH21" s="146">
        <v>2.4704091619465567E-3</v>
      </c>
      <c r="BI21" s="146">
        <v>0.21439937234508918</v>
      </c>
      <c r="BJ21" s="146">
        <v>1.0348498318747978E-3</v>
      </c>
      <c r="BK21" s="146">
        <v>1.115526373844924E-16</v>
      </c>
      <c r="BL21" s="146">
        <v>3.4728025505847693E-7</v>
      </c>
      <c r="BM21" s="146">
        <v>3.6618183391949707E-2</v>
      </c>
      <c r="BN21" s="146">
        <v>2.7575945513141263E-4</v>
      </c>
      <c r="BO21" s="146">
        <v>3.2073668962041163E-3</v>
      </c>
      <c r="BP21" s="146">
        <v>6.8643457410358186E-3</v>
      </c>
      <c r="BQ21" s="146">
        <v>1.5647567790945884E-5</v>
      </c>
      <c r="BR21" s="146">
        <v>0.71881265707083408</v>
      </c>
      <c r="BS21" s="146">
        <v>2.3702337122188631E-2</v>
      </c>
      <c r="BT21" s="146">
        <v>4.7297003080545461E-10</v>
      </c>
      <c r="BU21" s="146">
        <v>0.29445848436097893</v>
      </c>
      <c r="BV21" s="146">
        <v>1.2839670520937192E-5</v>
      </c>
      <c r="BW21" s="146">
        <v>7.3727374644725632E-6</v>
      </c>
      <c r="BX21" s="146">
        <v>0.51448306857939508</v>
      </c>
      <c r="BY21" s="146">
        <v>2.0867093096929417E-7</v>
      </c>
      <c r="BZ21" s="146">
        <v>1.0077241136812939E-7</v>
      </c>
      <c r="CA21" s="146">
        <v>5.3612184301234463E-7</v>
      </c>
      <c r="CB21" s="146">
        <v>6.0658906133462319E-4</v>
      </c>
      <c r="CC21" s="146">
        <v>3.3061418970455093E-2</v>
      </c>
      <c r="CD21" s="146">
        <v>0.16110840289867862</v>
      </c>
      <c r="CE21" s="146">
        <v>0.50893839327387158</v>
      </c>
      <c r="CF21" s="146">
        <v>9.92555230990258E-3</v>
      </c>
      <c r="CG21" s="146">
        <v>1.9470689446649189E-2</v>
      </c>
      <c r="CH21" s="146">
        <v>5.7444635553684463E-5</v>
      </c>
      <c r="CI21" s="146">
        <v>1.5084703423473853E-2</v>
      </c>
      <c r="CJ21" s="146">
        <v>8.6086452345852625E-3</v>
      </c>
      <c r="CK21" s="146">
        <v>0.94741759479598409</v>
      </c>
      <c r="CL21" s="146">
        <v>0.19355582919872449</v>
      </c>
      <c r="CM21" s="146">
        <v>1.2789775186036485E-3</v>
      </c>
      <c r="CN21" s="146">
        <v>1.4365898725108361E-2</v>
      </c>
      <c r="CO21" s="146">
        <v>2.6294070142939868E-2</v>
      </c>
      <c r="CP21" s="146">
        <v>2.8601236709398897E-15</v>
      </c>
      <c r="CQ21" s="146">
        <v>7.5342161987957731E-3</v>
      </c>
      <c r="CR21" s="146">
        <v>0.4975670466109432</v>
      </c>
      <c r="CS21" s="146">
        <v>7.5246761661519328E-5</v>
      </c>
      <c r="CT21" s="146">
        <v>1.7170377004612516E-2</v>
      </c>
      <c r="CU21" s="146">
        <v>7.880944983013412E-4</v>
      </c>
      <c r="CV21" s="146">
        <v>1.4846894748693494E-2</v>
      </c>
      <c r="CW21" s="146">
        <v>3.5972808784696014E-11</v>
      </c>
      <c r="CX21" s="146">
        <v>0.13983786341245391</v>
      </c>
    </row>
    <row r="22" spans="1:102" s="115" customFormat="1">
      <c r="A22" s="252" t="s">
        <v>178</v>
      </c>
      <c r="B22" s="253"/>
      <c r="C22" s="146">
        <v>0.33371462811724339</v>
      </c>
      <c r="D22" s="146">
        <v>5.6479109386096994E-3</v>
      </c>
      <c r="E22" s="146">
        <v>1.3199903159469807E-3</v>
      </c>
      <c r="F22" s="146">
        <v>2.5215823952052489E-5</v>
      </c>
      <c r="G22" s="146">
        <v>4.5942245685456344E-2</v>
      </c>
      <c r="H22" s="146">
        <v>1.7669877988766905E-4</v>
      </c>
      <c r="I22" s="146">
        <v>9.928570213739293E-3</v>
      </c>
      <c r="J22" s="146">
        <v>3.8601472597327906E-4</v>
      </c>
      <c r="K22" s="146">
        <v>1.3754768317947659E-3</v>
      </c>
      <c r="L22" s="146">
        <v>5.5987269244146404E-3</v>
      </c>
      <c r="M22" s="146">
        <v>4.7464091362432586E-6</v>
      </c>
      <c r="N22" s="146">
        <v>5.0714990497464717E-2</v>
      </c>
      <c r="O22" s="146">
        <v>4.0336832766295789E-4</v>
      </c>
      <c r="P22" s="146">
        <v>1.1047497141673115E-4</v>
      </c>
      <c r="Q22" s="146">
        <v>0.95151668212047558</v>
      </c>
      <c r="R22" s="146">
        <v>1.5055754305241078E-8</v>
      </c>
      <c r="S22" s="146">
        <v>0.46583923993275572</v>
      </c>
      <c r="T22" s="146">
        <v>0.98809338048182516</v>
      </c>
      <c r="U22" s="146">
        <v>1.3153336920055991E-4</v>
      </c>
      <c r="V22" s="146">
        <v>0.26356168296955335</v>
      </c>
      <c r="W22" s="146">
        <v>7.2156239272816076E-16</v>
      </c>
      <c r="X22" s="146">
        <v>3.2248305287431479E-8</v>
      </c>
      <c r="Y22" s="146">
        <v>0.12246979298169364</v>
      </c>
      <c r="Z22" s="146">
        <v>2.4779084002556336E-16</v>
      </c>
      <c r="AA22" s="146">
        <v>1.6861523912309383E-11</v>
      </c>
      <c r="AB22" s="146">
        <v>4.3507137917515752E-2</v>
      </c>
      <c r="AC22" s="146">
        <v>9.9449105256039609E-3</v>
      </c>
      <c r="AD22" s="146">
        <v>2.0229636492587681E-2</v>
      </c>
      <c r="AE22" s="146">
        <v>2.3273249781979011E-3</v>
      </c>
      <c r="AF22" s="146">
        <v>5.8423140412005905E-6</v>
      </c>
      <c r="AG22" s="146">
        <v>4.4926278950905901E-3</v>
      </c>
      <c r="AH22" s="146">
        <v>0.89798993817686235</v>
      </c>
      <c r="AI22" s="146">
        <v>0.45351021363392158</v>
      </c>
      <c r="AJ22" s="146">
        <v>0.32109941512485407</v>
      </c>
      <c r="AK22" s="146">
        <v>0.22784975564940732</v>
      </c>
      <c r="AL22" s="146">
        <v>1.1067706484055639E-2</v>
      </c>
      <c r="AM22" s="146">
        <v>0.22559478784119094</v>
      </c>
      <c r="AN22" s="146">
        <v>1.204201928750827E-6</v>
      </c>
      <c r="AO22" s="146">
        <v>4.6843053557738186E-8</v>
      </c>
      <c r="AP22" s="146">
        <v>1.8908737661757157E-3</v>
      </c>
      <c r="AQ22" s="146">
        <v>5.0180787840452652E-7</v>
      </c>
      <c r="AR22" s="146">
        <v>0.28356593202162739</v>
      </c>
      <c r="AS22" s="146">
        <v>0.19979615157989097</v>
      </c>
      <c r="AT22" s="146">
        <v>0.42868938972015452</v>
      </c>
      <c r="AU22" s="146">
        <v>0.51685641903101254</v>
      </c>
      <c r="AV22" s="146">
        <v>2.4532047965545971E-2</v>
      </c>
      <c r="AW22" s="146">
        <v>1.8787747781903054E-5</v>
      </c>
      <c r="AX22" s="146">
        <v>9.3632398103914495E-13</v>
      </c>
      <c r="AY22" s="146">
        <v>1.5157243252581717E-5</v>
      </c>
      <c r="AZ22" s="146">
        <v>4.3169373072907439E-8</v>
      </c>
      <c r="BA22" s="146">
        <v>0.19422867434315086</v>
      </c>
      <c r="BB22" s="146">
        <v>0.86802263018678782</v>
      </c>
      <c r="BC22" s="146">
        <v>5.4021860629646013E-18</v>
      </c>
      <c r="BD22" s="146">
        <v>4.3343835389322778E-4</v>
      </c>
      <c r="BE22" s="146">
        <v>6.7205158217541777E-2</v>
      </c>
      <c r="BF22" s="146">
        <v>7.1718091464974806E-2</v>
      </c>
      <c r="BG22" s="146">
        <v>0.28974942935194115</v>
      </c>
      <c r="BH22" s="146">
        <v>0.28555058517903403</v>
      </c>
      <c r="BI22" s="146">
        <v>3.0201599258681735E-3</v>
      </c>
      <c r="BJ22" s="146">
        <v>2.4335668003843316E-3</v>
      </c>
      <c r="BK22" s="146">
        <v>0.24535572214540696</v>
      </c>
      <c r="BL22" s="146">
        <v>0.16716632389525451</v>
      </c>
      <c r="BM22" s="146">
        <v>6.4569044404320444E-3</v>
      </c>
      <c r="BN22" s="146">
        <v>5.1052141535892544E-6</v>
      </c>
      <c r="BO22" s="146">
        <v>2.8519196436808843E-3</v>
      </c>
      <c r="BP22" s="146">
        <v>0.14630456193968772</v>
      </c>
      <c r="BQ22" s="146">
        <v>1.0665762608271503E-2</v>
      </c>
      <c r="BR22" s="146">
        <v>6.8641380917764908E-2</v>
      </c>
      <c r="BS22" s="146">
        <v>1.3871127294817724E-6</v>
      </c>
      <c r="BT22" s="146">
        <v>4.3524974070177825E-4</v>
      </c>
      <c r="BU22" s="146">
        <v>8.3416858624046991E-2</v>
      </c>
      <c r="BV22" s="146">
        <v>7.6410655551621107E-5</v>
      </c>
      <c r="BW22" s="146">
        <v>2.3294943409206144E-5</v>
      </c>
      <c r="BX22" s="146">
        <v>8.6280936169587227E-13</v>
      </c>
      <c r="BY22" s="146">
        <v>9.8273611836139625E-16</v>
      </c>
      <c r="BZ22" s="146">
        <v>1.2694807637863501E-14</v>
      </c>
      <c r="CA22" s="146">
        <v>5.8622313322607817E-9</v>
      </c>
      <c r="CB22" s="146">
        <v>1.4825367480792167E-18</v>
      </c>
      <c r="CC22" s="146">
        <v>4.8434130366745484E-3</v>
      </c>
      <c r="CD22" s="146">
        <v>0.5074417136193059</v>
      </c>
      <c r="CE22" s="146">
        <v>0.31743074111472502</v>
      </c>
      <c r="CF22" s="146">
        <v>0.37797806361464348</v>
      </c>
      <c r="CG22" s="146">
        <v>2.5091387399157382E-12</v>
      </c>
      <c r="CH22" s="146">
        <v>3.2858598778669319E-7</v>
      </c>
      <c r="CI22" s="146">
        <v>3.3868523543361816E-5</v>
      </c>
      <c r="CJ22" s="146">
        <v>4.4029468994995168E-7</v>
      </c>
      <c r="CK22" s="146">
        <v>3.6468373228294836E-3</v>
      </c>
      <c r="CL22" s="146">
        <v>7.113824614909251E-6</v>
      </c>
      <c r="CM22" s="146">
        <v>0.27016936414964493</v>
      </c>
      <c r="CN22" s="146">
        <v>1.0988319681400033E-2</v>
      </c>
      <c r="CO22" s="146">
        <v>1.462658752754745E-2</v>
      </c>
      <c r="CP22" s="146">
        <v>0.3355718856795194</v>
      </c>
      <c r="CQ22" s="146">
        <v>1.5096945584223696E-4</v>
      </c>
      <c r="CR22" s="146">
        <v>7.4332674087681794E-2</v>
      </c>
      <c r="CS22" s="146">
        <v>8.8939917841865444E-4</v>
      </c>
      <c r="CT22" s="146">
        <v>8.624763102056103E-2</v>
      </c>
      <c r="CU22" s="146">
        <v>0.18220782498782978</v>
      </c>
      <c r="CV22" s="146">
        <v>0.39911824528993217</v>
      </c>
      <c r="CW22" s="146">
        <v>0.49604773721896683</v>
      </c>
      <c r="CX22" s="146">
        <v>0.17804517732898398</v>
      </c>
    </row>
    <row r="23" spans="1:102" s="115" customFormat="1">
      <c r="A23" s="252" t="s">
        <v>6</v>
      </c>
      <c r="B23" s="253"/>
      <c r="C23" s="146">
        <v>2.5555661984334281E-3</v>
      </c>
      <c r="D23" s="146">
        <v>2.4299999075123438E-2</v>
      </c>
      <c r="E23" s="146">
        <v>2.0928300673309832E-2</v>
      </c>
      <c r="F23" s="146">
        <v>3.5050204094854735E-3</v>
      </c>
      <c r="G23" s="146">
        <v>7.8265413957452762E-2</v>
      </c>
      <c r="H23" s="146">
        <v>0.40404830225777988</v>
      </c>
      <c r="I23" s="146">
        <v>8.428820073128781E-5</v>
      </c>
      <c r="J23" s="146">
        <v>4.4628410673464723E-19</v>
      </c>
      <c r="K23" s="146">
        <v>1.7271185570601763E-5</v>
      </c>
      <c r="L23" s="146">
        <v>8.3480440207477391E-13</v>
      </c>
      <c r="M23" s="146">
        <v>6.554260502408824E-10</v>
      </c>
      <c r="N23" s="146">
        <v>2.9076182407511083E-2</v>
      </c>
      <c r="O23" s="146">
        <v>0.28146614750135884</v>
      </c>
      <c r="P23" s="146">
        <v>1.4188380257462923E-8</v>
      </c>
      <c r="Q23" s="146">
        <v>2.5296820059608646E-10</v>
      </c>
      <c r="R23" s="146">
        <v>2.1799593392781293E-8</v>
      </c>
      <c r="S23" s="146">
        <v>3.0248296806863618E-9</v>
      </c>
      <c r="T23" s="146">
        <v>2.9877204931806595E-4</v>
      </c>
      <c r="U23" s="146">
        <v>0.97751310352591547</v>
      </c>
      <c r="V23" s="146">
        <v>1.9145777381469498E-2</v>
      </c>
      <c r="W23" s="146">
        <v>3.9095692427602524E-5</v>
      </c>
      <c r="X23" s="146">
        <v>0.37996009448209961</v>
      </c>
      <c r="Y23" s="146">
        <v>9.6017493852458677E-8</v>
      </c>
      <c r="Z23" s="146">
        <v>6.946445458939171E-4</v>
      </c>
      <c r="AA23" s="146">
        <v>3.4203875510598433E-2</v>
      </c>
      <c r="AB23" s="146">
        <v>8.8667783473972147E-10</v>
      </c>
      <c r="AC23" s="146">
        <v>6.5588537034883546E-5</v>
      </c>
      <c r="AD23" s="146">
        <v>3.3158892900802209E-3</v>
      </c>
      <c r="AE23" s="146">
        <v>0.18007054798532765</v>
      </c>
      <c r="AF23" s="146">
        <v>1.9255771956980894E-5</v>
      </c>
      <c r="AG23" s="146">
        <v>0.59608837062884867</v>
      </c>
      <c r="AH23" s="146">
        <v>1.756964404928408E-4</v>
      </c>
      <c r="AI23" s="146">
        <v>6.3746168462474806E-3</v>
      </c>
      <c r="AJ23" s="146">
        <v>7.6186235848614767E-3</v>
      </c>
      <c r="AK23" s="146">
        <v>7.1878031573610768E-3</v>
      </c>
      <c r="AL23" s="146">
        <v>0.91574371655583298</v>
      </c>
      <c r="AM23" s="146">
        <v>0.35102739633947533</v>
      </c>
      <c r="AN23" s="146">
        <v>1.0415821058820274E-5</v>
      </c>
      <c r="AO23" s="146">
        <v>0.12242848257009431</v>
      </c>
      <c r="AP23" s="146">
        <v>1.745041272873578E-3</v>
      </c>
      <c r="AQ23" s="146">
        <v>6.6813715780524328E-5</v>
      </c>
      <c r="AR23" s="146">
        <v>2.0488372312595707E-16</v>
      </c>
      <c r="AS23" s="146">
        <v>1.8309721788887821E-7</v>
      </c>
      <c r="AT23" s="146">
        <v>0.5684745464513562</v>
      </c>
      <c r="AU23" s="146">
        <v>1.7267948820559683E-10</v>
      </c>
      <c r="AV23" s="146">
        <v>1.3449199710480475E-3</v>
      </c>
      <c r="AW23" s="146">
        <v>8.9399920264114658E-3</v>
      </c>
      <c r="AX23" s="146">
        <v>1.6641009244470411E-12</v>
      </c>
      <c r="AY23" s="146">
        <v>3.0854348992054071E-12</v>
      </c>
      <c r="AZ23" s="146">
        <v>0.65380277935602893</v>
      </c>
      <c r="BA23" s="146">
        <v>8.1746634690850542E-3</v>
      </c>
      <c r="BB23" s="146">
        <v>5.8956250801229251E-2</v>
      </c>
      <c r="BC23" s="146">
        <v>2.2151612013340976E-4</v>
      </c>
      <c r="BD23" s="146">
        <v>5.2406959456503214E-11</v>
      </c>
      <c r="BE23" s="146">
        <v>2.040924474743416E-3</v>
      </c>
      <c r="BF23" s="146">
        <v>1.5468840721854835E-16</v>
      </c>
      <c r="BG23" s="146">
        <v>2.5337772566118464E-3</v>
      </c>
      <c r="BH23" s="146">
        <v>4.7125424512813097E-2</v>
      </c>
      <c r="BI23" s="146">
        <v>2.8804794314955814E-6</v>
      </c>
      <c r="BJ23" s="146">
        <v>0.38759338369333096</v>
      </c>
      <c r="BK23" s="146">
        <v>1.1239306506631803E-2</v>
      </c>
      <c r="BL23" s="146">
        <v>0.3299337979268297</v>
      </c>
      <c r="BM23" s="146">
        <v>1.2356626275733709E-7</v>
      </c>
      <c r="BN23" s="146">
        <v>0.99727300866234869</v>
      </c>
      <c r="BO23" s="146">
        <v>0.15341886958655049</v>
      </c>
      <c r="BP23" s="146">
        <v>1.1301735340768547E-4</v>
      </c>
      <c r="BQ23" s="146">
        <v>2.221160571969518E-6</v>
      </c>
      <c r="BR23" s="146">
        <v>2.5204776929207276E-6</v>
      </c>
      <c r="BS23" s="146">
        <v>0.30381010824488619</v>
      </c>
      <c r="BT23" s="146">
        <v>3.5947808799501817E-6</v>
      </c>
      <c r="BU23" s="146">
        <v>0.56573416611650673</v>
      </c>
      <c r="BV23" s="146">
        <v>3.1228142959733312E-10</v>
      </c>
      <c r="BW23" s="146">
        <v>1.6225399581535717E-2</v>
      </c>
      <c r="BX23" s="146">
        <v>0.32526443598612825</v>
      </c>
      <c r="BY23" s="146">
        <v>8.33771094987492E-9</v>
      </c>
      <c r="BZ23" s="146">
        <v>6.912173591079677E-19</v>
      </c>
      <c r="CA23" s="146">
        <v>3.8697695987896844E-5</v>
      </c>
      <c r="CB23" s="146">
        <v>0.41532143413928169</v>
      </c>
      <c r="CC23" s="146">
        <v>0.8879758374916753</v>
      </c>
      <c r="CD23" s="146">
        <v>2.4538619205628683E-4</v>
      </c>
      <c r="CE23" s="146">
        <v>2.1590075375287748E-6</v>
      </c>
      <c r="CF23" s="146">
        <v>1.0792001756714002E-5</v>
      </c>
      <c r="CG23" s="146">
        <v>1.2561901176251535E-2</v>
      </c>
      <c r="CH23" s="146">
        <v>1.7340105554808209E-4</v>
      </c>
      <c r="CI23" s="146">
        <v>0.6592233491428372</v>
      </c>
      <c r="CJ23" s="146">
        <v>0.4291863188555809</v>
      </c>
      <c r="CK23" s="146">
        <v>7.0703765874035993E-7</v>
      </c>
      <c r="CL23" s="146">
        <v>3.361908261334491E-9</v>
      </c>
      <c r="CM23" s="146">
        <v>2.1517097453565821E-5</v>
      </c>
      <c r="CN23" s="146">
        <v>7.6007556295165414E-13</v>
      </c>
      <c r="CO23" s="146">
        <v>0.46842059941889413</v>
      </c>
      <c r="CP23" s="146">
        <v>0.22863036399470293</v>
      </c>
      <c r="CQ23" s="146">
        <v>3.0373398310353704E-2</v>
      </c>
      <c r="CR23" s="146">
        <v>0.35034184793964396</v>
      </c>
      <c r="CS23" s="146">
        <v>5.4551325509669367E-3</v>
      </c>
      <c r="CT23" s="146">
        <v>0.51109963095445621</v>
      </c>
      <c r="CU23" s="146">
        <v>7.8697917951348659E-2</v>
      </c>
      <c r="CV23" s="146">
        <v>0.23367589435059066</v>
      </c>
      <c r="CW23" s="146">
        <v>2.5789043849620486E-2</v>
      </c>
      <c r="CX23" s="146">
        <v>4.5006954730909113E-2</v>
      </c>
    </row>
    <row r="24" spans="1:102" s="115" customFormat="1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16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6" spans="1:102" s="121" customFormat="1">
      <c r="A26"/>
      <c r="B26"/>
      <c r="C26" s="28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247" t="s">
        <v>131</v>
      </c>
      <c r="B27" s="248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4"/>
      <c r="CC27" s="114"/>
      <c r="CD27" s="114"/>
      <c r="CE27" s="114"/>
      <c r="CF27" s="114"/>
      <c r="CG27" s="114"/>
      <c r="CH27" s="114"/>
      <c r="CI27" s="114"/>
      <c r="CJ27" s="114"/>
      <c r="CK27" s="114"/>
      <c r="CL27" s="114"/>
      <c r="CM27" s="114"/>
      <c r="CN27" s="114"/>
      <c r="CO27" s="114"/>
      <c r="CP27" s="114"/>
      <c r="CQ27" s="114"/>
      <c r="CR27" s="114"/>
      <c r="CS27" s="114"/>
      <c r="CT27" s="114"/>
      <c r="CU27" s="114"/>
      <c r="CV27" s="114"/>
      <c r="CW27" s="114"/>
      <c r="CX27" s="114"/>
    </row>
    <row r="28" spans="1:102">
      <c r="A28" s="250" t="str">
        <f t="shared" ref="A28:A37" si="0">A4</f>
        <v>Nominale matching</v>
      </c>
      <c r="B28" s="251"/>
      <c r="C28" s="117">
        <v>0.1</v>
      </c>
      <c r="D28" s="117">
        <v>0.1</v>
      </c>
      <c r="E28" s="117">
        <v>0.1</v>
      </c>
      <c r="F28" s="117">
        <v>0.1</v>
      </c>
      <c r="G28" s="117">
        <v>0.1</v>
      </c>
      <c r="H28" s="117">
        <v>0.1</v>
      </c>
      <c r="I28" s="117">
        <v>0.1</v>
      </c>
      <c r="J28" s="117">
        <v>0.1</v>
      </c>
      <c r="K28" s="117">
        <v>0.1</v>
      </c>
      <c r="L28" s="117">
        <v>0.1</v>
      </c>
      <c r="M28" s="117">
        <v>0.1</v>
      </c>
      <c r="N28" s="117">
        <v>0.1</v>
      </c>
      <c r="O28" s="117">
        <v>0.1</v>
      </c>
      <c r="P28" s="117">
        <v>0.1</v>
      </c>
      <c r="Q28" s="117">
        <v>0.1</v>
      </c>
      <c r="R28" s="117">
        <v>0.1</v>
      </c>
      <c r="S28" s="117">
        <v>0.1</v>
      </c>
      <c r="T28" s="117">
        <v>0.1</v>
      </c>
      <c r="U28" s="117">
        <v>0.1</v>
      </c>
      <c r="V28" s="117">
        <v>0.1</v>
      </c>
      <c r="W28" s="117">
        <v>0.1</v>
      </c>
      <c r="X28" s="117">
        <v>0.1</v>
      </c>
      <c r="Y28" s="117">
        <v>0.1</v>
      </c>
      <c r="Z28" s="117">
        <v>0.1</v>
      </c>
      <c r="AA28" s="117">
        <v>0.1</v>
      </c>
      <c r="AB28" s="117">
        <v>0.1</v>
      </c>
      <c r="AC28" s="117">
        <v>0.1</v>
      </c>
      <c r="AD28" s="117">
        <v>0.1</v>
      </c>
      <c r="AE28" s="117">
        <v>0.1</v>
      </c>
      <c r="AF28" s="117">
        <v>0.1</v>
      </c>
      <c r="AG28" s="117">
        <v>0.1</v>
      </c>
      <c r="AH28" s="117">
        <v>0.1</v>
      </c>
      <c r="AI28" s="117">
        <v>0.1</v>
      </c>
      <c r="AJ28" s="117">
        <v>0.1</v>
      </c>
      <c r="AK28" s="117">
        <v>0.1</v>
      </c>
      <c r="AL28" s="117">
        <v>0.1</v>
      </c>
      <c r="AM28" s="117">
        <v>0.1</v>
      </c>
      <c r="AN28" s="117">
        <v>0.1</v>
      </c>
      <c r="AO28" s="117">
        <v>0.1</v>
      </c>
      <c r="AP28" s="117">
        <v>0.1</v>
      </c>
      <c r="AQ28" s="117">
        <v>0.1</v>
      </c>
      <c r="AR28" s="117">
        <v>0.1</v>
      </c>
      <c r="AS28" s="117">
        <v>0.1</v>
      </c>
      <c r="AT28" s="117">
        <v>0.1</v>
      </c>
      <c r="AU28" s="117">
        <v>0.1</v>
      </c>
      <c r="AV28" s="117">
        <v>0.1</v>
      </c>
      <c r="AW28" s="117">
        <v>0.1</v>
      </c>
      <c r="AX28" s="117">
        <v>0.1</v>
      </c>
      <c r="AY28" s="117">
        <v>0.1</v>
      </c>
      <c r="AZ28" s="117">
        <v>0.1</v>
      </c>
      <c r="BA28" s="117">
        <v>0.1</v>
      </c>
      <c r="BB28" s="117">
        <v>0.1</v>
      </c>
      <c r="BC28" s="117">
        <v>0.1</v>
      </c>
      <c r="BD28" s="117">
        <v>0.1</v>
      </c>
      <c r="BE28" s="117">
        <v>0.1</v>
      </c>
      <c r="BF28" s="117">
        <v>0.1</v>
      </c>
      <c r="BG28" s="117">
        <v>0.1</v>
      </c>
      <c r="BH28" s="117">
        <v>0.1</v>
      </c>
      <c r="BI28" s="117">
        <v>0.1</v>
      </c>
      <c r="BJ28" s="117">
        <v>0.1</v>
      </c>
      <c r="BK28" s="117">
        <v>0.1</v>
      </c>
      <c r="BL28" s="117">
        <v>0.1</v>
      </c>
      <c r="BM28" s="117">
        <v>0.1</v>
      </c>
      <c r="BN28" s="117">
        <v>0.1</v>
      </c>
      <c r="BO28" s="117">
        <v>0.1</v>
      </c>
      <c r="BP28" s="117">
        <v>0.1</v>
      </c>
      <c r="BQ28" s="117">
        <v>0.1</v>
      </c>
      <c r="BR28" s="117">
        <v>0.1</v>
      </c>
      <c r="BS28" s="117">
        <v>0.1</v>
      </c>
      <c r="BT28" s="117">
        <v>0.1</v>
      </c>
      <c r="BU28" s="117">
        <v>0.1</v>
      </c>
      <c r="BV28" s="117">
        <v>0.1</v>
      </c>
      <c r="BW28" s="117">
        <v>0.1</v>
      </c>
      <c r="BX28" s="117">
        <v>0.1</v>
      </c>
      <c r="BY28" s="117">
        <v>0.1</v>
      </c>
      <c r="BZ28" s="117">
        <v>0.1</v>
      </c>
      <c r="CA28" s="117">
        <v>0.1</v>
      </c>
      <c r="CB28" s="117">
        <v>0.1</v>
      </c>
      <c r="CC28" s="117">
        <v>0.1</v>
      </c>
      <c r="CD28" s="117">
        <v>0.1</v>
      </c>
      <c r="CE28" s="117">
        <v>0.1</v>
      </c>
      <c r="CF28" s="117">
        <v>0.1</v>
      </c>
      <c r="CG28" s="117">
        <v>0.1</v>
      </c>
      <c r="CH28" s="117">
        <v>0.1</v>
      </c>
      <c r="CI28" s="117">
        <v>0.1</v>
      </c>
      <c r="CJ28" s="117">
        <v>0.1</v>
      </c>
      <c r="CK28" s="117">
        <v>0.1</v>
      </c>
      <c r="CL28" s="117">
        <v>0.1</v>
      </c>
      <c r="CM28" s="117">
        <v>0.1</v>
      </c>
      <c r="CN28" s="117">
        <v>0.1</v>
      </c>
      <c r="CO28" s="117">
        <v>0.1</v>
      </c>
      <c r="CP28" s="117">
        <v>0.1</v>
      </c>
      <c r="CQ28" s="117">
        <v>0.1</v>
      </c>
      <c r="CR28" s="117">
        <v>0.1</v>
      </c>
      <c r="CS28" s="117">
        <v>0.1</v>
      </c>
      <c r="CT28" s="117">
        <v>0.1</v>
      </c>
      <c r="CU28" s="117">
        <v>0.1</v>
      </c>
      <c r="CV28" s="117">
        <v>0.1</v>
      </c>
      <c r="CW28" s="117">
        <v>0.1</v>
      </c>
      <c r="CX28" s="117">
        <v>0.1</v>
      </c>
    </row>
    <row r="29" spans="1:102" s="131" customFormat="1">
      <c r="A29" s="252" t="str">
        <f t="shared" si="0"/>
        <v>Reele matching</v>
      </c>
      <c r="B29" s="253"/>
      <c r="C29" s="117">
        <v>29.298844938313184</v>
      </c>
      <c r="D29" s="117">
        <v>0.75261037117502361</v>
      </c>
      <c r="E29" s="117">
        <v>0.38121888558758299</v>
      </c>
      <c r="F29" s="117">
        <v>0.35779624907299656</v>
      </c>
      <c r="G29" s="117">
        <v>0.40276505527467832</v>
      </c>
      <c r="H29" s="117">
        <v>0.24473984653022235</v>
      </c>
      <c r="I29" s="117">
        <v>0.20821871859522761</v>
      </c>
      <c r="J29" s="117">
        <v>0.2061014509245046</v>
      </c>
      <c r="K29" s="117">
        <v>0.18550069637261332</v>
      </c>
      <c r="L29" s="117">
        <v>0.2285303932011386</v>
      </c>
      <c r="M29" s="117">
        <v>0.20504369139888146</v>
      </c>
      <c r="N29" s="117">
        <v>0.19913243740604536</v>
      </c>
      <c r="O29" s="117">
        <v>0.34524997069587537</v>
      </c>
      <c r="P29" s="117">
        <v>0.25258700782845822</v>
      </c>
      <c r="Q29" s="117">
        <v>0.43988439419631997</v>
      </c>
      <c r="R29" s="117">
        <v>0.18810794249470481</v>
      </c>
      <c r="S29" s="117">
        <v>0.21182626304794111</v>
      </c>
      <c r="T29" s="117">
        <v>0.4595076192419526</v>
      </c>
      <c r="U29" s="117">
        <v>0.18381378399449783</v>
      </c>
      <c r="V29" s="117">
        <v>0.22055091173319219</v>
      </c>
      <c r="W29" s="117">
        <v>0.19023096863940619</v>
      </c>
      <c r="X29" s="117">
        <v>0.17622769061272353</v>
      </c>
      <c r="Y29" s="117">
        <v>0.20135221946630277</v>
      </c>
      <c r="Z29" s="117">
        <v>0.15035604889529314</v>
      </c>
      <c r="AA29" s="117">
        <v>0.20326863147980084</v>
      </c>
      <c r="AB29" s="117">
        <v>0.14520484207007772</v>
      </c>
      <c r="AC29" s="117">
        <v>0.22521700707430903</v>
      </c>
      <c r="AD29" s="117">
        <v>0.15491229055890085</v>
      </c>
      <c r="AE29" s="117">
        <v>0.14742035591381253</v>
      </c>
      <c r="AF29" s="117">
        <v>0.14118645656596338</v>
      </c>
      <c r="AG29" s="117">
        <v>0.29266930791243495</v>
      </c>
      <c r="AH29" s="117">
        <v>0.25728954792283265</v>
      </c>
      <c r="AI29" s="117">
        <v>0.1638299952739723</v>
      </c>
      <c r="AJ29" s="117">
        <v>0.19028445806448119</v>
      </c>
      <c r="AK29" s="117">
        <v>0.25343556848922422</v>
      </c>
      <c r="AL29" s="117">
        <v>0.14817064031563484</v>
      </c>
      <c r="AM29" s="117">
        <v>0.1555428206888485</v>
      </c>
      <c r="AN29" s="117">
        <v>0.15620507553999716</v>
      </c>
      <c r="AO29" s="117">
        <v>0.22206206034754078</v>
      </c>
      <c r="AP29" s="117">
        <v>0.15424141297753485</v>
      </c>
      <c r="AQ29" s="117">
        <v>0.12709251323615195</v>
      </c>
      <c r="AR29" s="117">
        <v>0.13242077855797849</v>
      </c>
      <c r="AS29" s="117">
        <v>0.13520030363302898</v>
      </c>
      <c r="AT29" s="117">
        <v>0.21656546407252023</v>
      </c>
      <c r="AU29" s="117">
        <v>0.15730756889762046</v>
      </c>
      <c r="AV29" s="117">
        <v>0.12686272667749471</v>
      </c>
      <c r="AW29" s="117">
        <v>0.12908304915117591</v>
      </c>
      <c r="AX29" s="117">
        <v>0.12138893078968596</v>
      </c>
      <c r="AY29" s="117">
        <v>0.19382063888643952</v>
      </c>
      <c r="AZ29" s="117">
        <v>0.19544001070161632</v>
      </c>
      <c r="BA29" s="117">
        <v>0.14813937983911205</v>
      </c>
      <c r="BB29" s="117">
        <v>0.21548745761875621</v>
      </c>
      <c r="BC29" s="117">
        <v>0.11811793019700662</v>
      </c>
      <c r="BD29" s="117">
        <v>0.11810571810551854</v>
      </c>
      <c r="BE29" s="117">
        <v>0.13923313714904517</v>
      </c>
      <c r="BF29" s="117">
        <v>0.12138601971287094</v>
      </c>
      <c r="BG29" s="117">
        <v>0.12238734104283311</v>
      </c>
      <c r="BH29" s="117">
        <v>0.12370373677447352</v>
      </c>
      <c r="BI29" s="117">
        <v>0.12145115841271491</v>
      </c>
      <c r="BJ29" s="117">
        <v>0.1195385467058302</v>
      </c>
      <c r="BK29" s="117">
        <v>0.12221233159091105</v>
      </c>
      <c r="BL29" s="117">
        <v>0.12211084668171597</v>
      </c>
      <c r="BM29" s="117">
        <v>0.14724548134576723</v>
      </c>
      <c r="BN29" s="117">
        <v>0.12135123725205567</v>
      </c>
      <c r="BO29" s="117">
        <v>0.11456158868376627</v>
      </c>
      <c r="BP29" s="117">
        <v>0.13645240192791167</v>
      </c>
      <c r="BQ29" s="117">
        <v>0.11295738269178068</v>
      </c>
      <c r="BR29" s="117">
        <v>0.12425649619007798</v>
      </c>
      <c r="BS29" s="117">
        <v>0.15452275800820159</v>
      </c>
      <c r="BT29" s="117">
        <v>0.11840919971137914</v>
      </c>
      <c r="BU29" s="117">
        <v>0.12850742733653281</v>
      </c>
      <c r="BV29" s="117">
        <v>0.11162550197682387</v>
      </c>
      <c r="BW29" s="117">
        <v>0.11178428134783343</v>
      </c>
      <c r="BX29" s="117">
        <v>0.13250462170223129</v>
      </c>
      <c r="BY29" s="117">
        <v>0.11184985359721497</v>
      </c>
      <c r="BZ29" s="117">
        <v>0.11254253287374869</v>
      </c>
      <c r="CA29" s="117">
        <v>0.11082550784733249</v>
      </c>
      <c r="CB29" s="117">
        <v>0.11366684342498061</v>
      </c>
      <c r="CC29" s="117">
        <v>0.11551615789521985</v>
      </c>
      <c r="CD29" s="117">
        <v>0.12291848833273937</v>
      </c>
      <c r="CE29" s="117">
        <v>0.13381839620852731</v>
      </c>
      <c r="CF29" s="117">
        <v>0.11282430100140745</v>
      </c>
      <c r="CG29" s="117">
        <v>0.11084267500981275</v>
      </c>
      <c r="CH29" s="117">
        <v>0.11214346552145607</v>
      </c>
      <c r="CI29" s="117">
        <v>0.11247979223138931</v>
      </c>
      <c r="CJ29" s="117">
        <v>0.13786910846876435</v>
      </c>
      <c r="CK29" s="117">
        <v>0.13919012145218862</v>
      </c>
      <c r="CL29" s="117">
        <v>0.10881005318601537</v>
      </c>
      <c r="CM29" s="117">
        <v>0.127407262403954</v>
      </c>
      <c r="CN29" s="117">
        <v>0.10665749309752662</v>
      </c>
      <c r="CO29" s="117">
        <v>0.11173111538556313</v>
      </c>
      <c r="CP29" s="117">
        <v>0.11215549210485827</v>
      </c>
      <c r="CQ29" s="117">
        <v>0.12447980487414256</v>
      </c>
      <c r="CR29" s="117">
        <v>0.11126971967858501</v>
      </c>
      <c r="CS29" s="117">
        <v>0.10696105167754692</v>
      </c>
      <c r="CT29" s="117">
        <v>0.10901622680164912</v>
      </c>
      <c r="CU29" s="117">
        <v>0.10734001960391501</v>
      </c>
      <c r="CV29" s="117">
        <v>0.12295369421145289</v>
      </c>
      <c r="CW29" s="117">
        <v>0.11110385756562285</v>
      </c>
      <c r="CX29" s="117">
        <v>0.12234205190113626</v>
      </c>
    </row>
    <row r="30" spans="1:102" s="115" customFormat="1">
      <c r="A30" s="252" t="str">
        <f t="shared" si="0"/>
        <v>Credits</v>
      </c>
      <c r="B30" s="253"/>
      <c r="C30" s="117">
        <v>24.254435261998371</v>
      </c>
      <c r="D30" s="117">
        <v>3.0302329660767087</v>
      </c>
      <c r="E30" s="117">
        <v>1.3331084734092236</v>
      </c>
      <c r="F30" s="117">
        <v>1.1880689655237011</v>
      </c>
      <c r="G30" s="117">
        <v>1.2668974730815439</v>
      </c>
      <c r="H30" s="117">
        <v>0.7756035473407904</v>
      </c>
      <c r="I30" s="117">
        <v>0.56795521930219817</v>
      </c>
      <c r="J30" s="117">
        <v>0.74230849340099503</v>
      </c>
      <c r="K30" s="117">
        <v>0.47559024593209731</v>
      </c>
      <c r="L30" s="117">
        <v>0.57502023419821469</v>
      </c>
      <c r="M30" s="117">
        <v>0.54213241263004919</v>
      </c>
      <c r="N30" s="117">
        <v>0.53222013034671267</v>
      </c>
      <c r="O30" s="117">
        <v>0.63674285902816896</v>
      </c>
      <c r="P30" s="117">
        <v>0.70528344197388837</v>
      </c>
      <c r="Q30" s="117">
        <v>0.8949519316465846</v>
      </c>
      <c r="R30" s="117">
        <v>0.50425592084262283</v>
      </c>
      <c r="S30" s="117">
        <v>0.50760251774515308</v>
      </c>
      <c r="T30" s="117">
        <v>0.70644149563373326</v>
      </c>
      <c r="U30" s="117">
        <v>0.54649852995807602</v>
      </c>
      <c r="V30" s="117">
        <v>0.54444208137937289</v>
      </c>
      <c r="W30" s="117">
        <v>0.4841131150367175</v>
      </c>
      <c r="X30" s="117">
        <v>0.42481096456259326</v>
      </c>
      <c r="Y30" s="117">
        <v>0.50682045995959235</v>
      </c>
      <c r="Z30" s="117">
        <v>0.3212061691011156</v>
      </c>
      <c r="AA30" s="117">
        <v>0.51588039806770103</v>
      </c>
      <c r="AB30" s="117">
        <v>0.29529966241307959</v>
      </c>
      <c r="AC30" s="117">
        <v>0.46144567591828278</v>
      </c>
      <c r="AD30" s="117">
        <v>0.35719441885145831</v>
      </c>
      <c r="AE30" s="117">
        <v>0.30913752225808022</v>
      </c>
      <c r="AF30" s="117">
        <v>0.28102206960820475</v>
      </c>
      <c r="AG30" s="117">
        <v>0.34741556674927732</v>
      </c>
      <c r="AH30" s="117">
        <v>0.5144362948664658</v>
      </c>
      <c r="AI30" s="117">
        <v>0.33708050216913132</v>
      </c>
      <c r="AJ30" s="117">
        <v>0.39010152230448902</v>
      </c>
      <c r="AK30" s="117">
        <v>0.25532486639739815</v>
      </c>
      <c r="AL30" s="117">
        <v>0.35006881069718476</v>
      </c>
      <c r="AM30" s="117">
        <v>0.33864140341298155</v>
      </c>
      <c r="AN30" s="117">
        <v>0.32927359967460468</v>
      </c>
      <c r="AO30" s="117">
        <v>0.254473278653363</v>
      </c>
      <c r="AP30" s="117">
        <v>0.30983275372104813</v>
      </c>
      <c r="AQ30" s="117">
        <v>0.23647010228637216</v>
      </c>
      <c r="AR30" s="117">
        <v>0.23439864436348101</v>
      </c>
      <c r="AS30" s="117">
        <v>0.24408450457612493</v>
      </c>
      <c r="AT30" s="117">
        <v>0.18925529135522084</v>
      </c>
      <c r="AU30" s="117">
        <v>0.2933957491418549</v>
      </c>
      <c r="AV30" s="117">
        <v>0.21794797531245486</v>
      </c>
      <c r="AW30" s="117">
        <v>0.24614562462613973</v>
      </c>
      <c r="AX30" s="117">
        <v>0.19344330012566072</v>
      </c>
      <c r="AY30" s="117">
        <v>0.19508278492170028</v>
      </c>
      <c r="AZ30" s="117">
        <v>0.24333325971015607</v>
      </c>
      <c r="BA30" s="117">
        <v>0.26086692607937501</v>
      </c>
      <c r="BB30" s="117">
        <v>0.32126668253625834</v>
      </c>
      <c r="BC30" s="117">
        <v>0.17927005787835554</v>
      </c>
      <c r="BD30" s="117">
        <v>0.17893789581234446</v>
      </c>
      <c r="BE30" s="117">
        <v>0.25210950337976934</v>
      </c>
      <c r="BF30" s="117">
        <v>0.21535010774640528</v>
      </c>
      <c r="BG30" s="117">
        <v>0.19158769385424829</v>
      </c>
      <c r="BH30" s="117">
        <v>0.19640974486658075</v>
      </c>
      <c r="BI30" s="117">
        <v>0.20481436439098299</v>
      </c>
      <c r="BJ30" s="117">
        <v>0.20623772940783708</v>
      </c>
      <c r="BK30" s="117">
        <v>0.20862717829794963</v>
      </c>
      <c r="BL30" s="117">
        <v>0.21361916026056929</v>
      </c>
      <c r="BM30" s="117">
        <v>0.20712130862579758</v>
      </c>
      <c r="BN30" s="117">
        <v>0.21174622647828345</v>
      </c>
      <c r="BO30" s="117">
        <v>0.16486449963048361</v>
      </c>
      <c r="BP30" s="117">
        <v>0.2084297085887804</v>
      </c>
      <c r="BQ30" s="117">
        <v>0.15695947593466672</v>
      </c>
      <c r="BR30" s="117">
        <v>0.19635530688315031</v>
      </c>
      <c r="BS30" s="117">
        <v>0.13360783119966479</v>
      </c>
      <c r="BT30" s="117">
        <v>0.16447640623106968</v>
      </c>
      <c r="BU30" s="117">
        <v>0.20590950245452611</v>
      </c>
      <c r="BV30" s="117">
        <v>0.15103180989989615</v>
      </c>
      <c r="BW30" s="117">
        <v>0.16246507572015406</v>
      </c>
      <c r="BX30" s="117">
        <v>0.19472121720642471</v>
      </c>
      <c r="BY30" s="117">
        <v>0.15537672814965076</v>
      </c>
      <c r="BZ30" s="117">
        <v>0.16005443087138169</v>
      </c>
      <c r="CA30" s="117">
        <v>0.1511919409044975</v>
      </c>
      <c r="CB30" s="117">
        <v>0.1681378288000247</v>
      </c>
      <c r="CC30" s="117">
        <v>0.18198999441109742</v>
      </c>
      <c r="CD30" s="117">
        <v>0.17907763220934786</v>
      </c>
      <c r="CE30" s="117">
        <v>0.18551632417592351</v>
      </c>
      <c r="CF30" s="117">
        <v>0.15139235701736511</v>
      </c>
      <c r="CG30" s="117">
        <v>0.15209572016521539</v>
      </c>
      <c r="CH30" s="117">
        <v>0.14256880014806611</v>
      </c>
      <c r="CI30" s="117">
        <v>0.16119013892688422</v>
      </c>
      <c r="CJ30" s="117">
        <v>0.16085287605625243</v>
      </c>
      <c r="CK30" s="117">
        <v>0.14112521287635948</v>
      </c>
      <c r="CL30" s="117">
        <v>0.14073756421593359</v>
      </c>
      <c r="CM30" s="117">
        <v>0.13858901893657741</v>
      </c>
      <c r="CN30" s="117">
        <v>0.1296646625775171</v>
      </c>
      <c r="CO30" s="117">
        <v>0.15050976594534587</v>
      </c>
      <c r="CP30" s="117">
        <v>0.15372273201582734</v>
      </c>
      <c r="CQ30" s="117">
        <v>0.13768453839253758</v>
      </c>
      <c r="CR30" s="117">
        <v>0.14938981493499501</v>
      </c>
      <c r="CS30" s="117">
        <v>0.13428093035202399</v>
      </c>
      <c r="CT30" s="117">
        <v>0.14317164077217234</v>
      </c>
      <c r="CU30" s="117">
        <v>0.13256202852936169</v>
      </c>
      <c r="CV30" s="117">
        <v>0.11435432382165651</v>
      </c>
      <c r="CW30" s="117">
        <v>0.13502914367746055</v>
      </c>
      <c r="CX30" s="117">
        <v>0.11692405578546075</v>
      </c>
    </row>
    <row r="31" spans="1:102" s="115" customFormat="1">
      <c r="A31" s="252" t="str">
        <f t="shared" si="0"/>
        <v>High Yield</v>
      </c>
      <c r="B31" s="253"/>
      <c r="C31" s="117">
        <v>51.809740394926123</v>
      </c>
      <c r="D31" s="117">
        <v>5.913395948573541</v>
      </c>
      <c r="E31" s="117">
        <v>2.6997266518061966</v>
      </c>
      <c r="F31" s="117">
        <v>2.3700244574862706</v>
      </c>
      <c r="G31" s="117">
        <v>2.3931186538307374</v>
      </c>
      <c r="H31" s="117">
        <v>1.4710473543234746</v>
      </c>
      <c r="I31" s="117">
        <v>1.0875439373798261</v>
      </c>
      <c r="J31" s="117">
        <v>1.4127181898404617</v>
      </c>
      <c r="K31" s="117">
        <v>0.88482422871206257</v>
      </c>
      <c r="L31" s="117">
        <v>1.0789034743983819</v>
      </c>
      <c r="M31" s="117">
        <v>1.0186615709638189</v>
      </c>
      <c r="N31" s="117">
        <v>0.98598308456716532</v>
      </c>
      <c r="O31" s="117">
        <v>1.1975650828650219</v>
      </c>
      <c r="P31" s="117">
        <v>1.2753228227754674</v>
      </c>
      <c r="Q31" s="117">
        <v>1.5518422643180467</v>
      </c>
      <c r="R31" s="117">
        <v>0.91727656442686878</v>
      </c>
      <c r="S31" s="117">
        <v>0.93244009323556953</v>
      </c>
      <c r="T31" s="117">
        <v>1.2112196299678797</v>
      </c>
      <c r="U31" s="117">
        <v>0.95019023383622514</v>
      </c>
      <c r="V31" s="117">
        <v>0.96809103209886782</v>
      </c>
      <c r="W31" s="117">
        <v>0.87936555134788097</v>
      </c>
      <c r="X31" s="117">
        <v>0.75750521665115866</v>
      </c>
      <c r="Y31" s="117">
        <v>0.90925104857842143</v>
      </c>
      <c r="Z31" s="117">
        <v>0.56572474156176</v>
      </c>
      <c r="AA31" s="117">
        <v>0.90682811422561382</v>
      </c>
      <c r="AB31" s="117">
        <v>0.5115032662176805</v>
      </c>
      <c r="AC31" s="117">
        <v>0.80952071594863939</v>
      </c>
      <c r="AD31" s="117">
        <v>0.62451098434485119</v>
      </c>
      <c r="AE31" s="117">
        <v>0.53411324737304222</v>
      </c>
      <c r="AF31" s="117">
        <v>0.4777098083405461</v>
      </c>
      <c r="AG31" s="117">
        <v>0.60468698274691735</v>
      </c>
      <c r="AH31" s="117">
        <v>0.88948678217019772</v>
      </c>
      <c r="AI31" s="117">
        <v>0.58600766498974277</v>
      </c>
      <c r="AJ31" s="117">
        <v>0.66152846905973406</v>
      </c>
      <c r="AK31" s="117">
        <v>0.41965862958811362</v>
      </c>
      <c r="AL31" s="117">
        <v>0.57638514506921368</v>
      </c>
      <c r="AM31" s="117">
        <v>0.56915397529106826</v>
      </c>
      <c r="AN31" s="117">
        <v>0.55286419674091292</v>
      </c>
      <c r="AO31" s="117">
        <v>0.4277551863794854</v>
      </c>
      <c r="AP31" s="117">
        <v>0.50620024519498996</v>
      </c>
      <c r="AQ31" s="117">
        <v>0.38163935540341609</v>
      </c>
      <c r="AR31" s="117">
        <v>0.37744803647434477</v>
      </c>
      <c r="AS31" s="117">
        <v>0.39840700402727203</v>
      </c>
      <c r="AT31" s="117">
        <v>0.28791565415260717</v>
      </c>
      <c r="AU31" s="117">
        <v>0.48579396140764286</v>
      </c>
      <c r="AV31" s="117">
        <v>0.34581629285551918</v>
      </c>
      <c r="AW31" s="117">
        <v>0.39603100224909094</v>
      </c>
      <c r="AX31" s="117">
        <v>0.29737791426773091</v>
      </c>
      <c r="AY31" s="117">
        <v>0.30313768568316357</v>
      </c>
      <c r="AZ31" s="117">
        <v>0.39207604750049552</v>
      </c>
      <c r="BA31" s="117">
        <v>0.41994864713341118</v>
      </c>
      <c r="BB31" s="117">
        <v>0.51335188699411194</v>
      </c>
      <c r="BC31" s="117">
        <v>0.26707269324784999</v>
      </c>
      <c r="BD31" s="117">
        <v>0.26648414752010691</v>
      </c>
      <c r="BE31" s="117">
        <v>0.39739151373158199</v>
      </c>
      <c r="BF31" s="117">
        <v>0.33442482586290873</v>
      </c>
      <c r="BG31" s="117">
        <v>0.28950419885845546</v>
      </c>
      <c r="BH31" s="117">
        <v>0.29809180551967118</v>
      </c>
      <c r="BI31" s="117">
        <v>0.31003397401077426</v>
      </c>
      <c r="BJ31" s="117">
        <v>0.30966066351699084</v>
      </c>
      <c r="BK31" s="117">
        <v>0.31876106106491331</v>
      </c>
      <c r="BL31" s="117">
        <v>0.32247322605078854</v>
      </c>
      <c r="BM31" s="117">
        <v>0.31843799470330192</v>
      </c>
      <c r="BN31" s="117">
        <v>0.31214921262516426</v>
      </c>
      <c r="BO31" s="117">
        <v>0.23494098176477629</v>
      </c>
      <c r="BP31" s="117">
        <v>0.3213270853607415</v>
      </c>
      <c r="BQ31" s="117">
        <v>0.21893632548685116</v>
      </c>
      <c r="BR31" s="117">
        <v>0.28970129198669492</v>
      </c>
      <c r="BS31" s="117">
        <v>0.17306530658325042</v>
      </c>
      <c r="BT31" s="117">
        <v>0.23500122816362332</v>
      </c>
      <c r="BU31" s="117">
        <v>0.30392308094785647</v>
      </c>
      <c r="BV31" s="117">
        <v>0.20677589135844818</v>
      </c>
      <c r="BW31" s="117">
        <v>0.22846932597818875</v>
      </c>
      <c r="BX31" s="117">
        <v>0.28615872934311493</v>
      </c>
      <c r="BY31" s="117">
        <v>0.21492648135806186</v>
      </c>
      <c r="BZ31" s="117">
        <v>0.2228974601574315</v>
      </c>
      <c r="CA31" s="117">
        <v>0.20696605935967599</v>
      </c>
      <c r="CB31" s="117">
        <v>0.23660812092130987</v>
      </c>
      <c r="CC31" s="117">
        <v>0.25633856670875865</v>
      </c>
      <c r="CD31" s="117">
        <v>0.25797454796520886</v>
      </c>
      <c r="CE31" s="117">
        <v>0.26809138352797957</v>
      </c>
      <c r="CF31" s="117">
        <v>0.20563952617415859</v>
      </c>
      <c r="CG31" s="117">
        <v>0.20686447687142548</v>
      </c>
      <c r="CH31" s="117">
        <v>0.18928370715371512</v>
      </c>
      <c r="CI31" s="117">
        <v>0.220574587826249</v>
      </c>
      <c r="CJ31" s="117">
        <v>0.22447327489825297</v>
      </c>
      <c r="CK31" s="117">
        <v>0.18464122655253096</v>
      </c>
      <c r="CL31" s="117">
        <v>0.18402201705996257</v>
      </c>
      <c r="CM31" s="117">
        <v>0.18154066730939084</v>
      </c>
      <c r="CN31" s="117">
        <v>0.16178815531057639</v>
      </c>
      <c r="CO31" s="117">
        <v>0.19907253539420966</v>
      </c>
      <c r="CP31" s="117">
        <v>0.20514898835429934</v>
      </c>
      <c r="CQ31" s="117">
        <v>0.17912183186639802</v>
      </c>
      <c r="CR31" s="117">
        <v>0.19570018724480553</v>
      </c>
      <c r="CS31" s="117">
        <v>0.17043601312099199</v>
      </c>
      <c r="CT31" s="117">
        <v>0.18485218290929137</v>
      </c>
      <c r="CU31" s="117">
        <v>0.16640332142215125</v>
      </c>
      <c r="CV31" s="117">
        <v>0.13115922340396813</v>
      </c>
      <c r="CW31" s="117">
        <v>0.17138045976150212</v>
      </c>
      <c r="CX31" s="117">
        <v>0.13612721402885164</v>
      </c>
    </row>
    <row r="32" spans="1:102" s="116" customFormat="1">
      <c r="A32" s="252" t="str">
        <f t="shared" si="0"/>
        <v>Emerging market debt</v>
      </c>
      <c r="B32" s="253"/>
      <c r="C32" s="117">
        <v>25.174380443494687</v>
      </c>
      <c r="D32" s="117">
        <v>3.5912067314237213</v>
      </c>
      <c r="E32" s="117">
        <v>1.6356694267319936</v>
      </c>
      <c r="F32" s="117">
        <v>1.448915679528797</v>
      </c>
      <c r="G32" s="117">
        <v>1.4642168487107283</v>
      </c>
      <c r="H32" s="117">
        <v>0.92865597919077258</v>
      </c>
      <c r="I32" s="117">
        <v>0.68252401012035446</v>
      </c>
      <c r="J32" s="117">
        <v>0.9181656390424382</v>
      </c>
      <c r="K32" s="117">
        <v>0.56661872919570655</v>
      </c>
      <c r="L32" s="117">
        <v>0.67782052913370483</v>
      </c>
      <c r="M32" s="117">
        <v>0.64459187659222683</v>
      </c>
      <c r="N32" s="117">
        <v>0.62951888491627739</v>
      </c>
      <c r="O32" s="117">
        <v>0.72907303181289962</v>
      </c>
      <c r="P32" s="117">
        <v>0.79662914306160715</v>
      </c>
      <c r="Q32" s="117">
        <v>0.9214361914526179</v>
      </c>
      <c r="R32" s="117">
        <v>0.58922494812462634</v>
      </c>
      <c r="S32" s="117">
        <v>0.58751007047517945</v>
      </c>
      <c r="T32" s="117">
        <v>0.70427835658339222</v>
      </c>
      <c r="U32" s="117">
        <v>0.63273708328399725</v>
      </c>
      <c r="V32" s="117">
        <v>0.61240320388578728</v>
      </c>
      <c r="W32" s="117">
        <v>0.57594257940387961</v>
      </c>
      <c r="X32" s="117">
        <v>0.49586630834380763</v>
      </c>
      <c r="Y32" s="117">
        <v>0.58455496371644267</v>
      </c>
      <c r="Z32" s="117">
        <v>0.37532775578722288</v>
      </c>
      <c r="AA32" s="117">
        <v>0.57979414119613804</v>
      </c>
      <c r="AB32" s="117">
        <v>0.34280189631374325</v>
      </c>
      <c r="AC32" s="117">
        <v>0.51167004947343209</v>
      </c>
      <c r="AD32" s="117">
        <v>0.41285441079561547</v>
      </c>
      <c r="AE32" s="117">
        <v>0.35846524217269182</v>
      </c>
      <c r="AF32" s="117">
        <v>0.3247610938103716</v>
      </c>
      <c r="AG32" s="117">
        <v>0.374460321324246</v>
      </c>
      <c r="AH32" s="117">
        <v>0.55295199569119902</v>
      </c>
      <c r="AI32" s="117">
        <v>0.38513945856242326</v>
      </c>
      <c r="AJ32" s="117">
        <v>0.428982006575376</v>
      </c>
      <c r="AK32" s="117">
        <v>0.26187932274866399</v>
      </c>
      <c r="AL32" s="117">
        <v>0.39813855227936978</v>
      </c>
      <c r="AM32" s="117">
        <v>0.38351735820194188</v>
      </c>
      <c r="AN32" s="117">
        <v>0.37196502558969435</v>
      </c>
      <c r="AO32" s="117">
        <v>0.27396347936438947</v>
      </c>
      <c r="AP32" s="117">
        <v>0.3402022323144322</v>
      </c>
      <c r="AQ32" s="117">
        <v>0.27130754730228201</v>
      </c>
      <c r="AR32" s="117">
        <v>0.26467311242857494</v>
      </c>
      <c r="AS32" s="117">
        <v>0.27606242642468676</v>
      </c>
      <c r="AT32" s="117">
        <v>0.18958319888056158</v>
      </c>
      <c r="AU32" s="117">
        <v>0.32585032340818937</v>
      </c>
      <c r="AV32" s="117">
        <v>0.24543827352835709</v>
      </c>
      <c r="AW32" s="117">
        <v>0.27779333398840123</v>
      </c>
      <c r="AX32" s="117">
        <v>0.21645992205500195</v>
      </c>
      <c r="AY32" s="117">
        <v>0.20346268907323767</v>
      </c>
      <c r="AZ32" s="117">
        <v>0.26175941813943926</v>
      </c>
      <c r="BA32" s="117">
        <v>0.28838729682483394</v>
      </c>
      <c r="BB32" s="117">
        <v>0.33170141068341297</v>
      </c>
      <c r="BC32" s="117">
        <v>0.19874047885662904</v>
      </c>
      <c r="BD32" s="117">
        <v>0.19823730084574881</v>
      </c>
      <c r="BE32" s="117">
        <v>0.27611192134800211</v>
      </c>
      <c r="BF32" s="117">
        <v>0.24453343746340311</v>
      </c>
      <c r="BG32" s="117">
        <v>0.21223485021526761</v>
      </c>
      <c r="BH32" s="117">
        <v>0.21769110468968272</v>
      </c>
      <c r="BI32" s="117">
        <v>0.22599943980903081</v>
      </c>
      <c r="BJ32" s="117">
        <v>0.23079006329650481</v>
      </c>
      <c r="BK32" s="117">
        <v>0.2344849540895978</v>
      </c>
      <c r="BL32" s="117">
        <v>0.23829347073233692</v>
      </c>
      <c r="BM32" s="117">
        <v>0.22495109570800093</v>
      </c>
      <c r="BN32" s="117">
        <v>0.23305178149293881</v>
      </c>
      <c r="BO32" s="117">
        <v>0.18027957636799447</v>
      </c>
      <c r="BP32" s="117">
        <v>0.23267400896736568</v>
      </c>
      <c r="BQ32" s="117">
        <v>0.17075360881574725</v>
      </c>
      <c r="BR32" s="117">
        <v>0.21266457083560425</v>
      </c>
      <c r="BS32" s="117">
        <v>0.13221873214938576</v>
      </c>
      <c r="BT32" s="117">
        <v>0.17913648329201598</v>
      </c>
      <c r="BU32" s="117">
        <v>0.22384999954884321</v>
      </c>
      <c r="BV32" s="117">
        <v>0.16342661361742028</v>
      </c>
      <c r="BW32" s="117">
        <v>0.17872742321552024</v>
      </c>
      <c r="BX32" s="117">
        <v>0.20993922870833087</v>
      </c>
      <c r="BY32" s="117">
        <v>0.16850802594479503</v>
      </c>
      <c r="BZ32" s="117">
        <v>0.17360594744474517</v>
      </c>
      <c r="CA32" s="117">
        <v>0.16400812224182801</v>
      </c>
      <c r="CB32" s="117">
        <v>0.1835534045986181</v>
      </c>
      <c r="CC32" s="117">
        <v>0.19769341900426618</v>
      </c>
      <c r="CD32" s="117">
        <v>0.19239603769754404</v>
      </c>
      <c r="CE32" s="117">
        <v>0.19670481621227948</v>
      </c>
      <c r="CF32" s="117">
        <v>0.16259811326656864</v>
      </c>
      <c r="CG32" s="117">
        <v>0.16384463786406972</v>
      </c>
      <c r="CH32" s="117">
        <v>0.15242171052710402</v>
      </c>
      <c r="CI32" s="117">
        <v>0.17398723572766162</v>
      </c>
      <c r="CJ32" s="117">
        <v>0.16934682694693734</v>
      </c>
      <c r="CK32" s="117">
        <v>0.14324453415148153</v>
      </c>
      <c r="CL32" s="117">
        <v>0.15045362470513418</v>
      </c>
      <c r="CM32" s="117">
        <v>0.14382588698420207</v>
      </c>
      <c r="CN32" s="117">
        <v>0.13671131703386497</v>
      </c>
      <c r="CO32" s="117">
        <v>0.16025328110316542</v>
      </c>
      <c r="CP32" s="117">
        <v>0.16350813010571091</v>
      </c>
      <c r="CQ32" s="117">
        <v>0.14363749172738155</v>
      </c>
      <c r="CR32" s="117">
        <v>0.15804641895478619</v>
      </c>
      <c r="CS32" s="117">
        <v>0.1422856192985969</v>
      </c>
      <c r="CT32" s="117">
        <v>0.15185484826738749</v>
      </c>
      <c r="CU32" s="117">
        <v>0.13969741840909528</v>
      </c>
      <c r="CV32" s="117">
        <v>0.11381587251752051</v>
      </c>
      <c r="CW32" s="117">
        <v>0.14176064746826511</v>
      </c>
      <c r="CX32" s="117">
        <v>0.11707883961708232</v>
      </c>
    </row>
    <row r="33" spans="1:102" s="131" customFormat="1">
      <c r="A33" s="252" t="str">
        <f t="shared" si="0"/>
        <v>Aandelen ontwikkeld</v>
      </c>
      <c r="B33" s="253"/>
      <c r="C33" s="117">
        <v>43.979587030370816</v>
      </c>
      <c r="D33" s="117">
        <v>5.6185404453659906</v>
      </c>
      <c r="E33" s="117">
        <v>2.4844768513719537</v>
      </c>
      <c r="F33" s="117">
        <v>2.2151174316990141</v>
      </c>
      <c r="G33" s="117">
        <v>2.2730861403016425</v>
      </c>
      <c r="H33" s="117">
        <v>1.3856160877683457</v>
      </c>
      <c r="I33" s="117">
        <v>1.0055449650508446</v>
      </c>
      <c r="J33" s="117">
        <v>1.3273475700054607</v>
      </c>
      <c r="K33" s="117">
        <v>0.83019921989649137</v>
      </c>
      <c r="L33" s="117">
        <v>1.0120166078062827</v>
      </c>
      <c r="M33" s="117">
        <v>0.95592924249153632</v>
      </c>
      <c r="N33" s="117">
        <v>0.92814426464271216</v>
      </c>
      <c r="O33" s="117">
        <v>1.1054284411013762</v>
      </c>
      <c r="P33" s="117">
        <v>1.2092560479387049</v>
      </c>
      <c r="Q33" s="117">
        <v>1.4659848826804343</v>
      </c>
      <c r="R33" s="117">
        <v>0.88041562757326775</v>
      </c>
      <c r="S33" s="117">
        <v>0.8670409182466815</v>
      </c>
      <c r="T33" s="117">
        <v>1.1254211062422481</v>
      </c>
      <c r="U33" s="117">
        <v>0.91144819173482994</v>
      </c>
      <c r="V33" s="117">
        <v>0.91641475524237437</v>
      </c>
      <c r="W33" s="117">
        <v>0.82602193885395325</v>
      </c>
      <c r="X33" s="117">
        <v>0.71781847249690323</v>
      </c>
      <c r="Y33" s="117">
        <v>0.85631346329659597</v>
      </c>
      <c r="Z33" s="117">
        <v>0.52855624609416563</v>
      </c>
      <c r="AA33" s="117">
        <v>0.8618166295979246</v>
      </c>
      <c r="AB33" s="117">
        <v>0.47763405844731821</v>
      </c>
      <c r="AC33" s="117">
        <v>0.76043793971730433</v>
      </c>
      <c r="AD33" s="117">
        <v>0.5942850252623797</v>
      </c>
      <c r="AE33" s="117">
        <v>0.50034796381725721</v>
      </c>
      <c r="AF33" s="117">
        <v>0.45202820729782001</v>
      </c>
      <c r="AG33" s="117">
        <v>0.54877981909599027</v>
      </c>
      <c r="AH33" s="117">
        <v>0.83865081983575163</v>
      </c>
      <c r="AI33" s="117">
        <v>0.54769089193472209</v>
      </c>
      <c r="AJ33" s="117">
        <v>0.62738879008399318</v>
      </c>
      <c r="AK33" s="117">
        <v>0.378524512805678</v>
      </c>
      <c r="AL33" s="117">
        <v>0.5545467324365474</v>
      </c>
      <c r="AM33" s="117">
        <v>0.54022389911952484</v>
      </c>
      <c r="AN33" s="117">
        <v>0.52465083642650012</v>
      </c>
      <c r="AO33" s="117">
        <v>0.3874170729962092</v>
      </c>
      <c r="AP33" s="117">
        <v>0.48266917973855517</v>
      </c>
      <c r="AQ33" s="117">
        <v>0.36300378280647994</v>
      </c>
      <c r="AR33" s="117">
        <v>0.35912896582863496</v>
      </c>
      <c r="AS33" s="117">
        <v>0.37646882443441487</v>
      </c>
      <c r="AT33" s="117">
        <v>0.25829968853287222</v>
      </c>
      <c r="AU33" s="117">
        <v>0.45969054152473543</v>
      </c>
      <c r="AV33" s="117">
        <v>0.32730804744232261</v>
      </c>
      <c r="AW33" s="117">
        <v>0.38223404675372608</v>
      </c>
      <c r="AX33" s="117">
        <v>0.28090563617073905</v>
      </c>
      <c r="AY33" s="117">
        <v>0.27583801889722503</v>
      </c>
      <c r="AZ33" s="117">
        <v>0.36197155207787102</v>
      </c>
      <c r="BA33" s="117">
        <v>0.39872800868630465</v>
      </c>
      <c r="BB33" s="117">
        <v>0.48250278652166945</v>
      </c>
      <c r="BC33" s="117">
        <v>0.25361763866458242</v>
      </c>
      <c r="BD33" s="117">
        <v>0.25266919828552642</v>
      </c>
      <c r="BE33" s="117">
        <v>0.38138533412632836</v>
      </c>
      <c r="BF33" s="117">
        <v>0.3200669139594246</v>
      </c>
      <c r="BG33" s="117">
        <v>0.27587973957430201</v>
      </c>
      <c r="BH33" s="117">
        <v>0.2829171701112505</v>
      </c>
      <c r="BI33" s="117">
        <v>0.30079011203209527</v>
      </c>
      <c r="BJ33" s="117">
        <v>0.29783450148591084</v>
      </c>
      <c r="BK33" s="117">
        <v>0.3045649054167871</v>
      </c>
      <c r="BL33" s="117">
        <v>0.31012122802948672</v>
      </c>
      <c r="BM33" s="117">
        <v>0.30371997092391029</v>
      </c>
      <c r="BN33" s="117">
        <v>0.30254889345291924</v>
      </c>
      <c r="BO33" s="117">
        <v>0.22437526510553427</v>
      </c>
      <c r="BP33" s="117">
        <v>0.30400791923794379</v>
      </c>
      <c r="BQ33" s="117">
        <v>0.21067748188013813</v>
      </c>
      <c r="BR33" s="117">
        <v>0.27775604035858181</v>
      </c>
      <c r="BS33" s="117">
        <v>0.1594894833511199</v>
      </c>
      <c r="BT33" s="117">
        <v>0.22449002113448385</v>
      </c>
      <c r="BU33" s="117">
        <v>0.29264290903164986</v>
      </c>
      <c r="BV33" s="117">
        <v>0.19916818523895316</v>
      </c>
      <c r="BW33" s="117">
        <v>0.22004637937020577</v>
      </c>
      <c r="BX33" s="117">
        <v>0.27412251128978493</v>
      </c>
      <c r="BY33" s="117">
        <v>0.20703326709363237</v>
      </c>
      <c r="BZ33" s="117">
        <v>0.21638893036523724</v>
      </c>
      <c r="CA33" s="117">
        <v>0.19880410865923448</v>
      </c>
      <c r="CB33" s="117">
        <v>0.22786505405475901</v>
      </c>
      <c r="CC33" s="117">
        <v>0.24935220333921118</v>
      </c>
      <c r="CD33" s="117">
        <v>0.24651408346564449</v>
      </c>
      <c r="CE33" s="117">
        <v>0.25643431606515926</v>
      </c>
      <c r="CF33" s="117">
        <v>0.19861077458483692</v>
      </c>
      <c r="CG33" s="117">
        <v>0.20057505724810587</v>
      </c>
      <c r="CH33" s="117">
        <v>0.18239121088535187</v>
      </c>
      <c r="CI33" s="117">
        <v>0.21345481415683226</v>
      </c>
      <c r="CJ33" s="117">
        <v>0.21234144221393442</v>
      </c>
      <c r="CK33" s="117">
        <v>0.17389916262575197</v>
      </c>
      <c r="CL33" s="117">
        <v>0.17781037219942897</v>
      </c>
      <c r="CM33" s="117">
        <v>0.17204815674265256</v>
      </c>
      <c r="CN33" s="117">
        <v>0.1575081053334359</v>
      </c>
      <c r="CO33" s="117">
        <v>0.19443674131261279</v>
      </c>
      <c r="CP33" s="117">
        <v>0.20026926232436834</v>
      </c>
      <c r="CQ33" s="117">
        <v>0.17086309836025521</v>
      </c>
      <c r="CR33" s="117">
        <v>0.19054396245223998</v>
      </c>
      <c r="CS33" s="117">
        <v>0.16615972171230287</v>
      </c>
      <c r="CT33" s="117">
        <v>0.1803260658701103</v>
      </c>
      <c r="CU33" s="117">
        <v>0.16254883041345591</v>
      </c>
      <c r="CV33" s="117">
        <v>0.12543040508342118</v>
      </c>
      <c r="CW33" s="117">
        <v>0.16639174121636857</v>
      </c>
      <c r="CX33" s="117">
        <v>0.13042340942597505</v>
      </c>
    </row>
    <row r="34" spans="1:102" s="115" customFormat="1">
      <c r="A34" s="252" t="str">
        <f t="shared" si="0"/>
        <v>Aandelen opkomend</v>
      </c>
      <c r="B34" s="253"/>
      <c r="C34" s="117">
        <v>80.086234473809725</v>
      </c>
      <c r="D34" s="117">
        <v>9.1203666749022503</v>
      </c>
      <c r="E34" s="117">
        <v>4.0777888734377035</v>
      </c>
      <c r="F34" s="117">
        <v>3.6528596670024638</v>
      </c>
      <c r="G34" s="117">
        <v>3.6578670385385759</v>
      </c>
      <c r="H34" s="117">
        <v>2.2329179250688047</v>
      </c>
      <c r="I34" s="117">
        <v>1.6111627468327572</v>
      </c>
      <c r="J34" s="117">
        <v>2.1259978829695023</v>
      </c>
      <c r="K34" s="117">
        <v>1.3247569021772987</v>
      </c>
      <c r="L34" s="117">
        <v>1.6282471782488941</v>
      </c>
      <c r="M34" s="117">
        <v>1.523388345139677</v>
      </c>
      <c r="N34" s="117">
        <v>1.4823255030435767</v>
      </c>
      <c r="O34" s="117">
        <v>1.8046620716715904</v>
      </c>
      <c r="P34" s="117">
        <v>1.9211137553850102</v>
      </c>
      <c r="Q34" s="117">
        <v>2.3623908133209257</v>
      </c>
      <c r="R34" s="117">
        <v>1.3717759615507152</v>
      </c>
      <c r="S34" s="117">
        <v>1.3781158901247308</v>
      </c>
      <c r="T34" s="117">
        <v>1.8283358055211048</v>
      </c>
      <c r="U34" s="117">
        <v>1.4144032344114597</v>
      </c>
      <c r="V34" s="117">
        <v>1.4489032589187161</v>
      </c>
      <c r="W34" s="117">
        <v>1.3034619131204677</v>
      </c>
      <c r="X34" s="117">
        <v>1.124132330682408</v>
      </c>
      <c r="Y34" s="117">
        <v>1.3499976919151513</v>
      </c>
      <c r="Z34" s="117">
        <v>0.81538146567520942</v>
      </c>
      <c r="AA34" s="117">
        <v>1.3499100034785489</v>
      </c>
      <c r="AB34" s="117">
        <v>0.73045123320260896</v>
      </c>
      <c r="AC34" s="117">
        <v>1.1973951376118122</v>
      </c>
      <c r="AD34" s="117">
        <v>0.9108644253273267</v>
      </c>
      <c r="AE34" s="117">
        <v>0.7651825120874538</v>
      </c>
      <c r="AF34" s="117">
        <v>0.69072879905364926</v>
      </c>
      <c r="AG34" s="117">
        <v>0.87864720455178114</v>
      </c>
      <c r="AH34" s="117">
        <v>1.3324259820422437</v>
      </c>
      <c r="AI34" s="117">
        <v>0.8462844592467994</v>
      </c>
      <c r="AJ34" s="117">
        <v>0.97026131432130247</v>
      </c>
      <c r="AK34" s="117">
        <v>0.59360628945922167</v>
      </c>
      <c r="AL34" s="117">
        <v>0.8362562843249246</v>
      </c>
      <c r="AM34" s="117">
        <v>0.82298301926159656</v>
      </c>
      <c r="AN34" s="117">
        <v>0.80045491069988217</v>
      </c>
      <c r="AO34" s="117">
        <v>0.60336358967064685</v>
      </c>
      <c r="AP34" s="117">
        <v>0.72905362199263568</v>
      </c>
      <c r="AQ34" s="117">
        <v>0.5379043865422829</v>
      </c>
      <c r="AR34" s="117">
        <v>0.53410094728837965</v>
      </c>
      <c r="AS34" s="117">
        <v>0.55879414653321136</v>
      </c>
      <c r="AT34" s="117">
        <v>0.38956429381439817</v>
      </c>
      <c r="AU34" s="117">
        <v>0.70000343765620743</v>
      </c>
      <c r="AV34" s="117">
        <v>0.47735832313220117</v>
      </c>
      <c r="AW34" s="117">
        <v>0.55991699176014709</v>
      </c>
      <c r="AX34" s="117">
        <v>0.40195319504389526</v>
      </c>
      <c r="AY34" s="117">
        <v>0.41444987366400965</v>
      </c>
      <c r="AZ34" s="117">
        <v>0.54980138169612858</v>
      </c>
      <c r="BA34" s="117">
        <v>0.59711324404398092</v>
      </c>
      <c r="BB34" s="117">
        <v>0.74157437792290271</v>
      </c>
      <c r="BC34" s="117">
        <v>0.35668078785410773</v>
      </c>
      <c r="BD34" s="117">
        <v>0.35474722779486767</v>
      </c>
      <c r="BE34" s="117">
        <v>0.56131148908253814</v>
      </c>
      <c r="BF34" s="117">
        <v>0.46237761916057962</v>
      </c>
      <c r="BG34" s="117">
        <v>0.39431382009355309</v>
      </c>
      <c r="BH34" s="117">
        <v>0.4042032540840117</v>
      </c>
      <c r="BI34" s="117">
        <v>0.42648383432223047</v>
      </c>
      <c r="BJ34" s="117">
        <v>0.42371306270910958</v>
      </c>
      <c r="BK34" s="117">
        <v>0.4378479807042791</v>
      </c>
      <c r="BL34" s="117">
        <v>0.44373025330568039</v>
      </c>
      <c r="BM34" s="117">
        <v>0.43922191360162965</v>
      </c>
      <c r="BN34" s="117">
        <v>0.4278106706836633</v>
      </c>
      <c r="BO34" s="117">
        <v>0.30672495830102181</v>
      </c>
      <c r="BP34" s="117">
        <v>0.44166045841290513</v>
      </c>
      <c r="BQ34" s="117">
        <v>0.28557557460652427</v>
      </c>
      <c r="BR34" s="117">
        <v>0.39316481951392357</v>
      </c>
      <c r="BS34" s="117">
        <v>0.21248015451531124</v>
      </c>
      <c r="BT34" s="117">
        <v>0.3083986976789444</v>
      </c>
      <c r="BU34" s="117">
        <v>0.41547412196518585</v>
      </c>
      <c r="BV34" s="117">
        <v>0.26624166578683384</v>
      </c>
      <c r="BW34" s="117">
        <v>0.29934373465795283</v>
      </c>
      <c r="BX34" s="117">
        <v>0.38839721770227453</v>
      </c>
      <c r="BY34" s="117">
        <v>0.27689561224914538</v>
      </c>
      <c r="BZ34" s="117">
        <v>0.29178270755824598</v>
      </c>
      <c r="CA34" s="117">
        <v>0.26416078683089972</v>
      </c>
      <c r="CB34" s="117">
        <v>0.31019873973346179</v>
      </c>
      <c r="CC34" s="117">
        <v>0.34173065730328012</v>
      </c>
      <c r="CD34" s="117">
        <v>0.3433424142306849</v>
      </c>
      <c r="CE34" s="117">
        <v>0.36080425095946278</v>
      </c>
      <c r="CF34" s="117">
        <v>0.26524280922057797</v>
      </c>
      <c r="CG34" s="117">
        <v>0.26508947059029164</v>
      </c>
      <c r="CH34" s="117">
        <v>0.23872219540439688</v>
      </c>
      <c r="CI34" s="117">
        <v>0.28565270803755882</v>
      </c>
      <c r="CJ34" s="117">
        <v>0.29191183856892444</v>
      </c>
      <c r="CK34" s="117">
        <v>0.23065168633677965</v>
      </c>
      <c r="CL34" s="117">
        <v>0.22914609211464798</v>
      </c>
      <c r="CM34" s="117">
        <v>0.22537892156536174</v>
      </c>
      <c r="CN34" s="117">
        <v>0.19584808658547737</v>
      </c>
      <c r="CO34" s="117">
        <v>0.25364998248380144</v>
      </c>
      <c r="CP34" s="117">
        <v>0.26317450440390311</v>
      </c>
      <c r="CQ34" s="117">
        <v>0.22279733780142624</v>
      </c>
      <c r="CR34" s="117">
        <v>0.24835924825043329</v>
      </c>
      <c r="CS34" s="117">
        <v>0.20875387490017133</v>
      </c>
      <c r="CT34" s="117">
        <v>0.23106460991113761</v>
      </c>
      <c r="CU34" s="117">
        <v>0.20367993331055195</v>
      </c>
      <c r="CV34" s="117">
        <v>0.14797739504496907</v>
      </c>
      <c r="CW34" s="117">
        <v>0.21149970149385011</v>
      </c>
      <c r="CX34" s="117">
        <v>0.15571145263099381</v>
      </c>
    </row>
    <row r="35" spans="1:102" s="115" customFormat="1">
      <c r="A35" s="252" t="str">
        <f t="shared" si="0"/>
        <v>Hedge funds</v>
      </c>
      <c r="B35" s="253"/>
      <c r="C35" s="117">
        <v>34.107139139328204</v>
      </c>
      <c r="D35" s="117">
        <v>3.5235511920132456</v>
      </c>
      <c r="E35" s="117">
        <v>1.55473229158068</v>
      </c>
      <c r="F35" s="117">
        <v>1.3871720998208046</v>
      </c>
      <c r="G35" s="117">
        <v>1.4727614671728795</v>
      </c>
      <c r="H35" s="117">
        <v>0.88130775094237146</v>
      </c>
      <c r="I35" s="117">
        <v>0.65296226779473832</v>
      </c>
      <c r="J35" s="117">
        <v>0.83552793344607657</v>
      </c>
      <c r="K35" s="117">
        <v>0.54357387189907413</v>
      </c>
      <c r="L35" s="117">
        <v>0.66547124041584405</v>
      </c>
      <c r="M35" s="117">
        <v>0.62133005374108319</v>
      </c>
      <c r="N35" s="117">
        <v>0.60924931176468577</v>
      </c>
      <c r="O35" s="117">
        <v>0.75498976614466062</v>
      </c>
      <c r="P35" s="117">
        <v>0.81847680080185004</v>
      </c>
      <c r="Q35" s="117">
        <v>1.0922271918002691</v>
      </c>
      <c r="R35" s="117">
        <v>0.57052479869543982</v>
      </c>
      <c r="S35" s="117">
        <v>0.5876999923129802</v>
      </c>
      <c r="T35" s="117">
        <v>0.8814637507140104</v>
      </c>
      <c r="U35" s="117">
        <v>0.59381118094304286</v>
      </c>
      <c r="V35" s="117">
        <v>0.63019828824663826</v>
      </c>
      <c r="W35" s="117">
        <v>0.54795928018190887</v>
      </c>
      <c r="X35" s="117">
        <v>0.47703240961810889</v>
      </c>
      <c r="Y35" s="117">
        <v>0.58055114081658399</v>
      </c>
      <c r="Z35" s="117">
        <v>0.3611327825603694</v>
      </c>
      <c r="AA35" s="117">
        <v>0.59180755727605083</v>
      </c>
      <c r="AB35" s="117">
        <v>0.33087295721792565</v>
      </c>
      <c r="AC35" s="117">
        <v>0.53752369448935255</v>
      </c>
      <c r="AD35" s="117">
        <v>0.40063204079011971</v>
      </c>
      <c r="AE35" s="117">
        <v>0.34449821372714445</v>
      </c>
      <c r="AF35" s="117">
        <v>0.31378286001037392</v>
      </c>
      <c r="AG35" s="117">
        <v>0.41601143546668551</v>
      </c>
      <c r="AH35" s="117">
        <v>0.6107311934968197</v>
      </c>
      <c r="AI35" s="117">
        <v>0.38309165368706288</v>
      </c>
      <c r="AJ35" s="117">
        <v>0.44872270059591834</v>
      </c>
      <c r="AK35" s="117">
        <v>0.31081719488373599</v>
      </c>
      <c r="AL35" s="117">
        <v>0.37711304665221212</v>
      </c>
      <c r="AM35" s="117">
        <v>0.37542196027193864</v>
      </c>
      <c r="AN35" s="117">
        <v>0.37032183314422806</v>
      </c>
      <c r="AO35" s="117">
        <v>0.30172707896131129</v>
      </c>
      <c r="AP35" s="117">
        <v>0.34973906474508565</v>
      </c>
      <c r="AQ35" s="117">
        <v>0.25888218686515485</v>
      </c>
      <c r="AR35" s="117">
        <v>0.25928721769930119</v>
      </c>
      <c r="AS35" s="117">
        <v>0.27043010140178669</v>
      </c>
      <c r="AT35" s="117">
        <v>0.22651031527159551</v>
      </c>
      <c r="AU35" s="117">
        <v>0.33267702713536818</v>
      </c>
      <c r="AV35" s="117">
        <v>0.23900858381671089</v>
      </c>
      <c r="AW35" s="117">
        <v>0.269546651568079</v>
      </c>
      <c r="AX35" s="117">
        <v>0.21038226019652212</v>
      </c>
      <c r="AY35" s="117">
        <v>0.22893958659490551</v>
      </c>
      <c r="AZ35" s="117">
        <v>0.27944901972551284</v>
      </c>
      <c r="BA35" s="117">
        <v>0.29263638634343631</v>
      </c>
      <c r="BB35" s="117">
        <v>0.37749623030168333</v>
      </c>
      <c r="BC35" s="117">
        <v>0.19363251621881414</v>
      </c>
      <c r="BD35" s="117">
        <v>0.19325685246481225</v>
      </c>
      <c r="BE35" s="117">
        <v>0.28029376045328852</v>
      </c>
      <c r="BF35" s="117">
        <v>0.23294257561401804</v>
      </c>
      <c r="BG35" s="117">
        <v>0.20862530806048735</v>
      </c>
      <c r="BH35" s="117">
        <v>0.213791005997304</v>
      </c>
      <c r="BI35" s="117">
        <v>0.22185897049328934</v>
      </c>
      <c r="BJ35" s="117">
        <v>0.21973182384061293</v>
      </c>
      <c r="BK35" s="117">
        <v>0.22600443752466909</v>
      </c>
      <c r="BL35" s="117">
        <v>0.22872173191150377</v>
      </c>
      <c r="BM35" s="117">
        <v>0.23038236702278669</v>
      </c>
      <c r="BN35" s="117">
        <v>0.22343328558447045</v>
      </c>
      <c r="BO35" s="117">
        <v>0.17590590823917063</v>
      </c>
      <c r="BP35" s="117">
        <v>0.22901240560351963</v>
      </c>
      <c r="BQ35" s="117">
        <v>0.16724819889477133</v>
      </c>
      <c r="BR35" s="117">
        <v>0.21431944567572217</v>
      </c>
      <c r="BS35" s="117">
        <v>0.15049635354383822</v>
      </c>
      <c r="BT35" s="117">
        <v>0.17685613508525111</v>
      </c>
      <c r="BU35" s="117">
        <v>0.2215163999906189</v>
      </c>
      <c r="BV35" s="117">
        <v>0.16027037608795158</v>
      </c>
      <c r="BW35" s="117">
        <v>0.1723094862715113</v>
      </c>
      <c r="BX35" s="117">
        <v>0.21203939324858423</v>
      </c>
      <c r="BY35" s="117">
        <v>0.16484222974936474</v>
      </c>
      <c r="BZ35" s="117">
        <v>0.17012722304518885</v>
      </c>
      <c r="CA35" s="117">
        <v>0.15995053606089363</v>
      </c>
      <c r="CB35" s="117">
        <v>0.17772053284396999</v>
      </c>
      <c r="CC35" s="117">
        <v>0.19096385316251588</v>
      </c>
      <c r="CD35" s="117">
        <v>0.19497351914034716</v>
      </c>
      <c r="CE35" s="117">
        <v>0.20442203055432628</v>
      </c>
      <c r="CF35" s="117">
        <v>0.16106321654336156</v>
      </c>
      <c r="CG35" s="117">
        <v>0.16075615778948624</v>
      </c>
      <c r="CH35" s="117">
        <v>0.15083786628846832</v>
      </c>
      <c r="CI35" s="117">
        <v>0.16920433828983203</v>
      </c>
      <c r="CJ35" s="117">
        <v>0.17590462195780976</v>
      </c>
      <c r="CK35" s="117">
        <v>0.15547396104033423</v>
      </c>
      <c r="CL35" s="117">
        <v>0.14773364630798147</v>
      </c>
      <c r="CM35" s="117">
        <v>0.14992579628503555</v>
      </c>
      <c r="CN35" s="117">
        <v>0.13494275308800316</v>
      </c>
      <c r="CO35" s="117">
        <v>0.15771421487710702</v>
      </c>
      <c r="CP35" s="117">
        <v>0.16204411375404149</v>
      </c>
      <c r="CQ35" s="117">
        <v>0.14794623841537724</v>
      </c>
      <c r="CR35" s="117">
        <v>0.15696866950766469</v>
      </c>
      <c r="CS35" s="117">
        <v>0.13990969897297281</v>
      </c>
      <c r="CT35" s="117">
        <v>0.14909030800370424</v>
      </c>
      <c r="CU35" s="117">
        <v>0.13817267845094958</v>
      </c>
      <c r="CV35" s="117">
        <v>0.1214874324890895</v>
      </c>
      <c r="CW35" s="117">
        <v>0.14212648802271788</v>
      </c>
      <c r="CX35" s="117">
        <v>0.12420089103564107</v>
      </c>
    </row>
    <row r="36" spans="1:102" s="115" customFormat="1">
      <c r="A36" s="252" t="str">
        <f t="shared" si="0"/>
        <v>Onroerend goed</v>
      </c>
      <c r="B36" s="253"/>
      <c r="C36" s="117">
        <v>22.357576267320979</v>
      </c>
      <c r="D36" s="117">
        <v>1.4525992300725115</v>
      </c>
      <c r="E36" s="117">
        <v>0.64326613564525437</v>
      </c>
      <c r="F36" s="117">
        <v>0.58764688563702505</v>
      </c>
      <c r="G36" s="117">
        <v>0.66744417020411417</v>
      </c>
      <c r="H36" s="117">
        <v>0.39232844210871953</v>
      </c>
      <c r="I36" s="117">
        <v>0.30721498829197907</v>
      </c>
      <c r="J36" s="117">
        <v>0.35892167444511347</v>
      </c>
      <c r="K36" s="117">
        <v>0.26650991186017786</v>
      </c>
      <c r="L36" s="117">
        <v>0.32484375973409718</v>
      </c>
      <c r="M36" s="117">
        <v>0.29820138117737061</v>
      </c>
      <c r="N36" s="117">
        <v>0.29599573328095186</v>
      </c>
      <c r="O36" s="117">
        <v>0.39976776864599062</v>
      </c>
      <c r="P36" s="117">
        <v>0.40562234983579881</v>
      </c>
      <c r="Q36" s="117">
        <v>0.62834557833670057</v>
      </c>
      <c r="R36" s="117">
        <v>0.27849321041905251</v>
      </c>
      <c r="S36" s="117">
        <v>0.30126968781780722</v>
      </c>
      <c r="T36" s="117">
        <v>0.5543898819556573</v>
      </c>
      <c r="U36" s="117">
        <v>0.28369781156981833</v>
      </c>
      <c r="V36" s="117">
        <v>0.32834872738169324</v>
      </c>
      <c r="W36" s="117">
        <v>0.2723643882227163</v>
      </c>
      <c r="X36" s="117">
        <v>0.24405047440115227</v>
      </c>
      <c r="Y36" s="117">
        <v>0.29669523089637684</v>
      </c>
      <c r="Z36" s="117">
        <v>0.19760862600132412</v>
      </c>
      <c r="AA36" s="117">
        <v>0.30779170327278937</v>
      </c>
      <c r="AB36" s="117">
        <v>0.18678320341029567</v>
      </c>
      <c r="AC36" s="117">
        <v>0.29808170732017925</v>
      </c>
      <c r="AD36" s="117">
        <v>0.21394143755376174</v>
      </c>
      <c r="AE36" s="117">
        <v>0.19169160810427371</v>
      </c>
      <c r="AF36" s="117">
        <v>0.18032513509627082</v>
      </c>
      <c r="AG36" s="117">
        <v>0.27396522398935563</v>
      </c>
      <c r="AH36" s="117">
        <v>0.35127466227336479</v>
      </c>
      <c r="AI36" s="117">
        <v>0.21548719639185815</v>
      </c>
      <c r="AJ36" s="117">
        <v>0.25671715961698127</v>
      </c>
      <c r="AK36" s="117">
        <v>0.23022236896806414</v>
      </c>
      <c r="AL36" s="117">
        <v>0.20371509189128445</v>
      </c>
      <c r="AM36" s="117">
        <v>0.20936321445381906</v>
      </c>
      <c r="AN36" s="117">
        <v>0.2108473024661594</v>
      </c>
      <c r="AO36" s="117">
        <v>0.2101508061358271</v>
      </c>
      <c r="AP36" s="117">
        <v>0.20751086760868387</v>
      </c>
      <c r="AQ36" s="117">
        <v>0.15808434768000132</v>
      </c>
      <c r="AR36" s="117">
        <v>0.16177719487194328</v>
      </c>
      <c r="AS36" s="117">
        <v>0.16613985571605633</v>
      </c>
      <c r="AT36" s="117">
        <v>0.18641747401647479</v>
      </c>
      <c r="AU36" s="117">
        <v>0.20042334351723687</v>
      </c>
      <c r="AV36" s="117">
        <v>0.1525758636115972</v>
      </c>
      <c r="AW36" s="117">
        <v>0.16313702967191546</v>
      </c>
      <c r="AX36" s="117">
        <v>0.14123231064631414</v>
      </c>
      <c r="AY36" s="117">
        <v>0.17705535366252068</v>
      </c>
      <c r="AZ36" s="117">
        <v>0.19299917818038223</v>
      </c>
      <c r="BA36" s="117">
        <v>0.18259867272406693</v>
      </c>
      <c r="BB36" s="117">
        <v>0.25013555132462162</v>
      </c>
      <c r="BC36" s="117">
        <v>0.13500345876052866</v>
      </c>
      <c r="BD36" s="117">
        <v>0.13492850242737442</v>
      </c>
      <c r="BE36" s="117">
        <v>0.1760009463140409</v>
      </c>
      <c r="BF36" s="117">
        <v>0.14844371062061634</v>
      </c>
      <c r="BG36" s="117">
        <v>0.14229744075235251</v>
      </c>
      <c r="BH36" s="117">
        <v>0.14464246854035734</v>
      </c>
      <c r="BI36" s="117">
        <v>0.14644366259930933</v>
      </c>
      <c r="BJ36" s="117">
        <v>0.14366298422068383</v>
      </c>
      <c r="BK36" s="117">
        <v>0.14788977092174033</v>
      </c>
      <c r="BL36" s="117">
        <v>0.1484054289763988</v>
      </c>
      <c r="BM36" s="117">
        <v>0.15896419524162572</v>
      </c>
      <c r="BN36" s="117">
        <v>0.14610765629418754</v>
      </c>
      <c r="BO36" s="117">
        <v>0.12839264873264725</v>
      </c>
      <c r="BP36" s="117">
        <v>0.15385752704850447</v>
      </c>
      <c r="BQ36" s="117">
        <v>0.12525423404947394</v>
      </c>
      <c r="BR36" s="117">
        <v>0.14784525904252155</v>
      </c>
      <c r="BS36" s="117">
        <v>0.13756887801153206</v>
      </c>
      <c r="BT36" s="117">
        <v>0.13032974560642718</v>
      </c>
      <c r="BU36" s="117">
        <v>0.14986483208234613</v>
      </c>
      <c r="BV36" s="117">
        <v>0.12260970556378002</v>
      </c>
      <c r="BW36" s="117">
        <v>0.12612559900130316</v>
      </c>
      <c r="BX36" s="117">
        <v>0.14875587114692251</v>
      </c>
      <c r="BY36" s="117">
        <v>0.12410570624667384</v>
      </c>
      <c r="BZ36" s="117">
        <v>0.12619019396381312</v>
      </c>
      <c r="CA36" s="117">
        <v>0.12208690991496002</v>
      </c>
      <c r="CB36" s="117">
        <v>0.12872940050015294</v>
      </c>
      <c r="CC36" s="117">
        <v>0.13399220736952522</v>
      </c>
      <c r="CD36" s="117">
        <v>0.14086587277567147</v>
      </c>
      <c r="CE36" s="117">
        <v>0.1488799095382673</v>
      </c>
      <c r="CF36" s="117">
        <v>0.12407567698861906</v>
      </c>
      <c r="CG36" s="117">
        <v>0.12265733672210613</v>
      </c>
      <c r="CH36" s="117">
        <v>0.12003457327487435</v>
      </c>
      <c r="CI36" s="117">
        <v>0.12587702430414011</v>
      </c>
      <c r="CJ36" s="117">
        <v>0.13832471146169983</v>
      </c>
      <c r="CK36" s="117">
        <v>0.13372174558526467</v>
      </c>
      <c r="CL36" s="117">
        <v>0.11799237654064992</v>
      </c>
      <c r="CM36" s="117">
        <v>0.1263738908878359</v>
      </c>
      <c r="CN36" s="117">
        <v>0.11311807702839971</v>
      </c>
      <c r="CO36" s="117">
        <v>0.12235866537038681</v>
      </c>
      <c r="CP36" s="117">
        <v>0.12459424313846153</v>
      </c>
      <c r="CQ36" s="117">
        <v>0.12432592563850856</v>
      </c>
      <c r="CR36" s="117">
        <v>0.12288821723660809</v>
      </c>
      <c r="CS36" s="117">
        <v>0.11475573919730296</v>
      </c>
      <c r="CT36" s="117">
        <v>0.11863184699928354</v>
      </c>
      <c r="CU36" s="117">
        <v>0.11461720815285739</v>
      </c>
      <c r="CV36" s="117">
        <v>0.11589076097622791</v>
      </c>
      <c r="CW36" s="117">
        <v>0.11778348686365861</v>
      </c>
      <c r="CX36" s="117">
        <v>0.11650494973730798</v>
      </c>
    </row>
    <row r="37" spans="1:102" s="131" customFormat="1">
      <c r="A37" s="254" t="str">
        <f t="shared" si="0"/>
        <v>Commodities</v>
      </c>
      <c r="B37" s="255"/>
      <c r="C37" s="118">
        <v>41.227765289288598</v>
      </c>
      <c r="D37" s="118">
        <v>5.2645947021592452</v>
      </c>
      <c r="E37" s="118">
        <v>2.3122976427378497</v>
      </c>
      <c r="F37" s="118">
        <v>2.0443913396357201</v>
      </c>
      <c r="G37" s="118">
        <v>2.1427599446012042</v>
      </c>
      <c r="H37" s="118">
        <v>1.3292641982344535</v>
      </c>
      <c r="I37" s="118">
        <v>0.93820990031357665</v>
      </c>
      <c r="J37" s="118">
        <v>1.2850258121606235</v>
      </c>
      <c r="K37" s="118">
        <v>0.77160629425008498</v>
      </c>
      <c r="L37" s="118">
        <v>0.94118245588847171</v>
      </c>
      <c r="M37" s="118">
        <v>0.88936235743233283</v>
      </c>
      <c r="N37" s="118">
        <v>0.86949963462603908</v>
      </c>
      <c r="O37" s="118">
        <v>1.0547725550034364</v>
      </c>
      <c r="P37" s="118">
        <v>1.1374557244524905</v>
      </c>
      <c r="Q37" s="118">
        <v>1.3744049273258088</v>
      </c>
      <c r="R37" s="118">
        <v>0.81894889776106505</v>
      </c>
      <c r="S37" s="118">
        <v>0.812452682630177</v>
      </c>
      <c r="T37" s="118">
        <v>1.0605643476113182</v>
      </c>
      <c r="U37" s="118">
        <v>0.94133675615654866</v>
      </c>
      <c r="V37" s="118">
        <v>0.86299365769784231</v>
      </c>
      <c r="W37" s="118">
        <v>0.79674292285682358</v>
      </c>
      <c r="X37" s="118">
        <v>0.68916894450550858</v>
      </c>
      <c r="Y37" s="118">
        <v>0.81452268909379844</v>
      </c>
      <c r="Z37" s="118">
        <v>0.49620442526498809</v>
      </c>
      <c r="AA37" s="118">
        <v>0.8167897423161895</v>
      </c>
      <c r="AB37" s="118">
        <v>0.44945003472662204</v>
      </c>
      <c r="AC37" s="118">
        <v>0.71809491448356066</v>
      </c>
      <c r="AD37" s="118">
        <v>0.55687579130861431</v>
      </c>
      <c r="AE37" s="118">
        <v>0.47813858360899242</v>
      </c>
      <c r="AF37" s="118">
        <v>0.4235688406569561</v>
      </c>
      <c r="AG37" s="118">
        <v>0.54278543055757411</v>
      </c>
      <c r="AH37" s="118">
        <v>0.78594390417270965</v>
      </c>
      <c r="AI37" s="118">
        <v>0.51613431649791708</v>
      </c>
      <c r="AJ37" s="118">
        <v>0.59433971734148427</v>
      </c>
      <c r="AK37" s="118">
        <v>0.3620023243202769</v>
      </c>
      <c r="AL37" s="118">
        <v>0.57041757264010207</v>
      </c>
      <c r="AM37" s="118">
        <v>0.53086113951706215</v>
      </c>
      <c r="AN37" s="118">
        <v>0.50210491789384348</v>
      </c>
      <c r="AO37" s="118">
        <v>0.37046762267129829</v>
      </c>
      <c r="AP37" s="118">
        <v>0.45826667855904701</v>
      </c>
      <c r="AQ37" s="118">
        <v>0.34745382657407314</v>
      </c>
      <c r="AR37" s="118">
        <v>0.33835928509544794</v>
      </c>
      <c r="AS37" s="118">
        <v>0.35577013043777406</v>
      </c>
      <c r="AT37" s="118">
        <v>0.25266684452689736</v>
      </c>
      <c r="AU37" s="118">
        <v>0.43337810309769209</v>
      </c>
      <c r="AV37" s="118">
        <v>0.31040238508128387</v>
      </c>
      <c r="AW37" s="118">
        <v>0.36044618008051121</v>
      </c>
      <c r="AX37" s="118">
        <v>0.26745665651952716</v>
      </c>
      <c r="AY37" s="118">
        <v>0.26409689620372478</v>
      </c>
      <c r="AZ37" s="118">
        <v>0.35739708714478169</v>
      </c>
      <c r="BA37" s="118">
        <v>0.37936739460439639</v>
      </c>
      <c r="BB37" s="118">
        <v>0.46581560210079631</v>
      </c>
      <c r="BC37" s="118">
        <v>0.24200270739594634</v>
      </c>
      <c r="BD37" s="118">
        <v>0.24134338304767156</v>
      </c>
      <c r="BE37" s="118">
        <v>0.36221166338382704</v>
      </c>
      <c r="BF37" s="118">
        <v>0.3103640394775854</v>
      </c>
      <c r="BG37" s="118">
        <v>0.2625213352426532</v>
      </c>
      <c r="BH37" s="118">
        <v>0.2719188916296279</v>
      </c>
      <c r="BI37" s="118">
        <v>0.28536104900304449</v>
      </c>
      <c r="BJ37" s="118">
        <v>0.29802685855325217</v>
      </c>
      <c r="BK37" s="118">
        <v>0.29667164742613561</v>
      </c>
      <c r="BL37" s="118">
        <v>0.30992102877885536</v>
      </c>
      <c r="BM37" s="118">
        <v>0.28845847491132448</v>
      </c>
      <c r="BN37" s="118">
        <v>0.31087711331189738</v>
      </c>
      <c r="BO37" s="118">
        <v>0.21713306558902351</v>
      </c>
      <c r="BP37" s="118">
        <v>0.29623527556847157</v>
      </c>
      <c r="BQ37" s="118">
        <v>0.20187278715016271</v>
      </c>
      <c r="BR37" s="118">
        <v>0.26677525796975798</v>
      </c>
      <c r="BS37" s="118">
        <v>0.15624901638933805</v>
      </c>
      <c r="BT37" s="118">
        <v>0.21501177009932704</v>
      </c>
      <c r="BU37" s="118">
        <v>0.29316270031099029</v>
      </c>
      <c r="BV37" s="118">
        <v>0.19127822518276838</v>
      </c>
      <c r="BW37" s="118">
        <v>0.21396789877225131</v>
      </c>
      <c r="BX37" s="118">
        <v>0.26881586649470046</v>
      </c>
      <c r="BY37" s="118">
        <v>0.19923760894728459</v>
      </c>
      <c r="BZ37" s="118">
        <v>0.20710219380185002</v>
      </c>
      <c r="CA37" s="118">
        <v>0.19232772224417177</v>
      </c>
      <c r="CB37" s="118">
        <v>0.22562878995864136</v>
      </c>
      <c r="CC37" s="118">
        <v>0.25375776495887425</v>
      </c>
      <c r="CD37" s="118">
        <v>0.23640706770907108</v>
      </c>
      <c r="CE37" s="118">
        <v>0.24607925021542917</v>
      </c>
      <c r="CF37" s="118">
        <v>0.1908071508821074</v>
      </c>
      <c r="CG37" s="118">
        <v>0.19304140137389014</v>
      </c>
      <c r="CH37" s="118">
        <v>0.17595259448872769</v>
      </c>
      <c r="CI37" s="118">
        <v>0.21343081182489693</v>
      </c>
      <c r="CJ37" s="118">
        <v>0.20874479978890242</v>
      </c>
      <c r="CK37" s="118">
        <v>0.1695831525479394</v>
      </c>
      <c r="CL37" s="118">
        <v>0.17314493920317775</v>
      </c>
      <c r="CM37" s="118">
        <v>0.16713096674467695</v>
      </c>
      <c r="CN37" s="118">
        <v>0.15300481139915759</v>
      </c>
      <c r="CO37" s="118">
        <v>0.1921379354635305</v>
      </c>
      <c r="CP37" s="118">
        <v>0.19603531684214587</v>
      </c>
      <c r="CQ37" s="118">
        <v>0.16651832404867101</v>
      </c>
      <c r="CR37" s="118">
        <v>0.18854973027603122</v>
      </c>
      <c r="CS37" s="118">
        <v>0.16150226892895245</v>
      </c>
      <c r="CT37" s="118">
        <v>0.17918201697967268</v>
      </c>
      <c r="CU37" s="118">
        <v>0.15804690765864801</v>
      </c>
      <c r="CV37" s="118">
        <v>0.12404922177647737</v>
      </c>
      <c r="CW37" s="118">
        <v>0.16144565325660387</v>
      </c>
      <c r="CX37" s="118">
        <v>0.12866082499156617</v>
      </c>
    </row>
    <row r="38" spans="1:102" s="115" customFormat="1">
      <c r="A38" s="76" t="s">
        <v>132</v>
      </c>
      <c r="B38" s="119"/>
      <c r="C38" s="120">
        <v>15483222575816.891</v>
      </c>
      <c r="D38" s="120">
        <v>51048643568.896698</v>
      </c>
      <c r="E38" s="120">
        <v>9815516628.0452061</v>
      </c>
      <c r="F38" s="120">
        <v>7657320190.834198</v>
      </c>
      <c r="G38" s="120">
        <v>8083410671.4511251</v>
      </c>
      <c r="H38" s="120">
        <v>2803251083.4540386</v>
      </c>
      <c r="I38" s="120">
        <v>1416325133.9059656</v>
      </c>
      <c r="J38" s="120">
        <v>2643193654.2096553</v>
      </c>
      <c r="K38" s="120">
        <v>910058002.22236943</v>
      </c>
      <c r="L38" s="120">
        <v>1430092709.0776422</v>
      </c>
      <c r="M38" s="120">
        <v>1237241639.1112895</v>
      </c>
      <c r="N38" s="120">
        <v>1163790724.5727651</v>
      </c>
      <c r="O38" s="120">
        <v>2112357777.3881054</v>
      </c>
      <c r="P38" s="120">
        <v>2178931788.1111279</v>
      </c>
      <c r="Q38" s="120">
        <v>4887789887.281683</v>
      </c>
      <c r="R38" s="120">
        <v>1007178597.6267743</v>
      </c>
      <c r="S38" s="120">
        <v>1033545354.6875947</v>
      </c>
      <c r="T38" s="120">
        <v>3676132829.5794473</v>
      </c>
      <c r="U38" s="120">
        <v>1218011970.9817798</v>
      </c>
      <c r="V38" s="120">
        <v>1188714715.2761986</v>
      </c>
      <c r="W38" s="120">
        <v>912989055.38580549</v>
      </c>
      <c r="X38" s="120">
        <v>646623437.10764349</v>
      </c>
      <c r="Y38" s="120">
        <v>991535674.93094242</v>
      </c>
      <c r="Z38" s="120">
        <v>315223339.90394557</v>
      </c>
      <c r="AA38" s="120">
        <v>1022194021.4573133</v>
      </c>
      <c r="AB38" s="120">
        <v>245957420.117479</v>
      </c>
      <c r="AC38" s="120">
        <v>827719267.73867404</v>
      </c>
      <c r="AD38" s="120">
        <v>406523588.52139568</v>
      </c>
      <c r="AE38" s="120">
        <v>274838236.2167514</v>
      </c>
      <c r="AF38" s="120">
        <v>211632936.07434833</v>
      </c>
      <c r="AG38" s="120">
        <v>778428952.69361651</v>
      </c>
      <c r="AH38" s="120">
        <v>1177688551.1377015</v>
      </c>
      <c r="AI38" s="120">
        <v>350133062.67100978</v>
      </c>
      <c r="AJ38" s="120">
        <v>517855790.07963324</v>
      </c>
      <c r="AK38" s="120">
        <v>445110060.51882595</v>
      </c>
      <c r="AL38" s="120">
        <v>380886917.04568034</v>
      </c>
      <c r="AM38" s="120">
        <v>335786532.90135193</v>
      </c>
      <c r="AN38" s="120">
        <v>312949690.21736014</v>
      </c>
      <c r="AO38" s="120">
        <v>312094361.54227221</v>
      </c>
      <c r="AP38" s="120">
        <v>263030766.67727315</v>
      </c>
      <c r="AQ38" s="120">
        <v>117840591.53327532</v>
      </c>
      <c r="AR38" s="120">
        <v>114575023.60680455</v>
      </c>
      <c r="AS38" s="120">
        <v>130101124.77187605</v>
      </c>
      <c r="AT38" s="120">
        <v>244309895.94109485</v>
      </c>
      <c r="AU38" s="120">
        <v>231729562.8227438</v>
      </c>
      <c r="AV38" s="120">
        <v>87939097.545959562</v>
      </c>
      <c r="AW38" s="120">
        <v>131584762.02085806</v>
      </c>
      <c r="AX38" s="120">
        <v>56575802.112970829</v>
      </c>
      <c r="AY38" s="120">
        <v>167477461.38724288</v>
      </c>
      <c r="AZ38" s="120">
        <v>212236275.68327492</v>
      </c>
      <c r="BA38" s="120">
        <v>158938098.30689061</v>
      </c>
      <c r="BB38" s="120">
        <v>407219148.6050936</v>
      </c>
      <c r="BC38" s="120">
        <v>40568440.507531866</v>
      </c>
      <c r="BD38" s="120">
        <v>40252582.531962365</v>
      </c>
      <c r="BE38" s="120">
        <v>137790031.27671304</v>
      </c>
      <c r="BF38" s="120">
        <v>82861512.805420488</v>
      </c>
      <c r="BG38" s="120">
        <v>52861364.785867803</v>
      </c>
      <c r="BH38" s="120">
        <v>57541807.802002691</v>
      </c>
      <c r="BI38" s="120">
        <v>66664564.302517995</v>
      </c>
      <c r="BJ38" s="120">
        <v>69041117.673744738</v>
      </c>
      <c r="BK38" s="120">
        <v>72309436.791985318</v>
      </c>
      <c r="BL38" s="120">
        <v>77607412.865756601</v>
      </c>
      <c r="BM38" s="120">
        <v>82897869.324693993</v>
      </c>
      <c r="BN38" s="120">
        <v>76509459.696011662</v>
      </c>
      <c r="BO38" s="120">
        <v>26526472.084806696</v>
      </c>
      <c r="BP38" s="120">
        <v>76789638.419305652</v>
      </c>
      <c r="BQ38" s="120">
        <v>20894667.416929994</v>
      </c>
      <c r="BR38" s="120">
        <v>55407267.822453246</v>
      </c>
      <c r="BS38" s="120">
        <v>52973083.509825453</v>
      </c>
      <c r="BT38" s="120">
        <v>26870034.500908326</v>
      </c>
      <c r="BU38" s="120">
        <v>66828526.578867339</v>
      </c>
      <c r="BV38" s="120">
        <v>16781073.519144077</v>
      </c>
      <c r="BW38" s="120">
        <v>24676525.08125139</v>
      </c>
      <c r="BX38" s="120">
        <v>55990358.157970898</v>
      </c>
      <c r="BY38" s="120">
        <v>19290987.99993702</v>
      </c>
      <c r="BZ38" s="120">
        <v>22524100.229476221</v>
      </c>
      <c r="CA38" s="120">
        <v>16678354.862656567</v>
      </c>
      <c r="CB38" s="120">
        <v>28232476.029248271</v>
      </c>
      <c r="CC38" s="120">
        <v>40717183.300771572</v>
      </c>
      <c r="CD38" s="120">
        <v>38517898.52736403</v>
      </c>
      <c r="CE38" s="120">
        <v>48781937.685841523</v>
      </c>
      <c r="CF38" s="120">
        <v>16656367.90708668</v>
      </c>
      <c r="CG38" s="120">
        <v>16836238.279480789</v>
      </c>
      <c r="CH38" s="120">
        <v>11821697.304927509</v>
      </c>
      <c r="CI38" s="120">
        <v>22562549.218072265</v>
      </c>
      <c r="CJ38" s="120">
        <v>35346079.446640365</v>
      </c>
      <c r="CK38" s="120">
        <v>29356964.717013016</v>
      </c>
      <c r="CL38" s="120">
        <v>10333616.798073553</v>
      </c>
      <c r="CM38" s="120">
        <v>16852470.955532085</v>
      </c>
      <c r="CN38" s="120">
        <v>5595227.4869091436</v>
      </c>
      <c r="CO38" s="120">
        <v>15207719.612564994</v>
      </c>
      <c r="CP38" s="120">
        <v>16964395.403616313</v>
      </c>
      <c r="CQ38" s="120">
        <v>14442416.834761295</v>
      </c>
      <c r="CR38" s="120">
        <v>14216267.706671132</v>
      </c>
      <c r="CS38" s="120">
        <v>7305333.2089935718</v>
      </c>
      <c r="CT38" s="120">
        <v>11089407.058736099</v>
      </c>
      <c r="CU38" s="120">
        <v>6560265.5033551762</v>
      </c>
      <c r="CV38" s="120">
        <v>9389326.2678077351</v>
      </c>
      <c r="CW38" s="120">
        <v>7839943.0555966496</v>
      </c>
      <c r="CX38" s="120">
        <v>8968328.8938970193</v>
      </c>
    </row>
    <row r="39" spans="1:102" s="11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115" customFormat="1">
      <c r="A40" s="144" t="s">
        <v>133</v>
      </c>
      <c r="B40" s="14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31" customFormat="1">
      <c r="A41" s="128" t="str">
        <f>Parameters!A40</f>
        <v>Basis</v>
      </c>
      <c r="B41" s="122" t="s">
        <v>29</v>
      </c>
      <c r="C41" s="123">
        <v>6.1989202406832579E-13</v>
      </c>
      <c r="D41" s="123">
        <v>6.4674357356857629E-11</v>
      </c>
      <c r="E41" s="123">
        <v>1.0431811407755605E-10</v>
      </c>
      <c r="F41" s="123">
        <v>1.7217750411987708E-10</v>
      </c>
      <c r="G41" s="123">
        <v>1.6255994192835237E-10</v>
      </c>
      <c r="H41" s="123">
        <v>3.169019161062969E-10</v>
      </c>
      <c r="I41" s="123">
        <v>2.7068569517779051E-10</v>
      </c>
      <c r="J41" s="123">
        <v>3.2418512044447508E-10</v>
      </c>
      <c r="K41" s="123">
        <v>4.808300746255249E-10</v>
      </c>
      <c r="L41" s="123">
        <v>3.8157266203651977E-10</v>
      </c>
      <c r="M41" s="123">
        <v>3.6491325058804956E-10</v>
      </c>
      <c r="N41" s="123">
        <v>4.5595489905420486E-10</v>
      </c>
      <c r="O41" s="123">
        <v>2.7067145847105491E-10</v>
      </c>
      <c r="P41" s="123">
        <v>2.9682787495160724E-10</v>
      </c>
      <c r="Q41" s="123">
        <v>3.2350211225750567E-10</v>
      </c>
      <c r="R41" s="123">
        <v>4.3322145196970742E-10</v>
      </c>
      <c r="S41" s="123">
        <v>4.2960129519031572E-10</v>
      </c>
      <c r="T41" s="123">
        <v>3.1315899605879718E-10</v>
      </c>
      <c r="U41" s="123">
        <v>6.0117901491247286E-10</v>
      </c>
      <c r="V41" s="123">
        <v>4.6152662015739716E-10</v>
      </c>
      <c r="W41" s="123">
        <v>5.2023148131195079E-10</v>
      </c>
      <c r="X41" s="123">
        <v>6.5430260220350131E-10</v>
      </c>
      <c r="Y41" s="123">
        <v>4.7755047453948954E-10</v>
      </c>
      <c r="Z41" s="123">
        <v>6.213769887103269E-10</v>
      </c>
      <c r="AA41" s="123">
        <v>4.4758218061672799E-10</v>
      </c>
      <c r="AB41" s="123">
        <v>6.7604693735929949E-10</v>
      </c>
      <c r="AC41" s="123">
        <v>4.2736072203840579E-10</v>
      </c>
      <c r="AD41" s="123">
        <v>6.3181329183682671E-10</v>
      </c>
      <c r="AE41" s="123">
        <v>7.2723158735556286E-10</v>
      </c>
      <c r="AF41" s="123">
        <v>1.0294879599704735E-9</v>
      </c>
      <c r="AG41" s="123">
        <v>2.9030197840344128E-10</v>
      </c>
      <c r="AH41" s="123">
        <v>6.257370472542075E-10</v>
      </c>
      <c r="AI41" s="123">
        <v>7.3513129512193997E-10</v>
      </c>
      <c r="AJ41" s="123">
        <v>6.8362832324051687E-10</v>
      </c>
      <c r="AK41" s="123">
        <v>1.9629625068216745E-10</v>
      </c>
      <c r="AL41" s="123">
        <v>1.0666620930825271E-9</v>
      </c>
      <c r="AM41" s="123">
        <v>9.4378268269689518E-10</v>
      </c>
      <c r="AN41" s="123">
        <v>8.3682233811198392E-10</v>
      </c>
      <c r="AO41" s="123">
        <v>2.7755975096062872E-10</v>
      </c>
      <c r="AP41" s="123">
        <v>8.4613893747822334E-10</v>
      </c>
      <c r="AQ41" s="123">
        <v>1.4711564096480699E-9</v>
      </c>
      <c r="AR41" s="123">
        <v>1.4929030136817059E-9</v>
      </c>
      <c r="AS41" s="123">
        <v>1.057791574588232E-9</v>
      </c>
      <c r="AT41" s="123">
        <v>1.4990016488343405E-10</v>
      </c>
      <c r="AU41" s="123">
        <v>1.0991186556358983E-9</v>
      </c>
      <c r="AV41" s="123">
        <v>1.1821320961776399E-9</v>
      </c>
      <c r="AW41" s="123">
        <v>1.1956359779981345E-9</v>
      </c>
      <c r="AX41" s="123">
        <v>1.3437974572518027E-9</v>
      </c>
      <c r="AY41" s="123">
        <v>2.9920859390136315E-10</v>
      </c>
      <c r="AZ41" s="123">
        <v>6.2809101362525955E-10</v>
      </c>
      <c r="BA41" s="123">
        <v>1.2011747087065877E-9</v>
      </c>
      <c r="BB41" s="123">
        <v>9.4340574527712879E-10</v>
      </c>
      <c r="BC41" s="123">
        <v>1.7367425184337211E-9</v>
      </c>
      <c r="BD41" s="123">
        <v>1.6048229287280682E-9</v>
      </c>
      <c r="BE41" s="123">
        <v>1.2034148229807429E-9</v>
      </c>
      <c r="BF41" s="123">
        <v>1.8112253979338707E-9</v>
      </c>
      <c r="BG41" s="123">
        <v>2.0335973341985173E-9</v>
      </c>
      <c r="BH41" s="123">
        <v>1.8185560013602463E-9</v>
      </c>
      <c r="BI41" s="123">
        <v>1.6985108151730135E-9</v>
      </c>
      <c r="BJ41" s="123">
        <v>2.2728219979439556E-9</v>
      </c>
      <c r="BK41" s="123">
        <v>2.1145626632219525E-9</v>
      </c>
      <c r="BL41" s="123">
        <v>2.2530801470489268E-9</v>
      </c>
      <c r="BM41" s="123">
        <v>1.1705719928844927E-9</v>
      </c>
      <c r="BN41" s="123">
        <v>2.4092369478708364E-9</v>
      </c>
      <c r="BO41" s="123">
        <v>2.2933668482962724E-9</v>
      </c>
      <c r="BP41" s="123">
        <v>1.7562919292324182E-9</v>
      </c>
      <c r="BQ41" s="123">
        <v>3.1859177902638966E-9</v>
      </c>
      <c r="BR41" s="123">
        <v>1.889692201925412E-9</v>
      </c>
      <c r="BS41" s="123">
        <v>8.4893453376271646E-12</v>
      </c>
      <c r="BT41" s="123">
        <v>2.2308182847121987E-9</v>
      </c>
      <c r="BU41" s="123">
        <v>2.2705320199034299E-9</v>
      </c>
      <c r="BV41" s="123">
        <v>3.4171676711565869E-9</v>
      </c>
      <c r="BW41" s="123">
        <v>3.2846995207255027E-9</v>
      </c>
      <c r="BX41" s="123">
        <v>2.0192151168972821E-9</v>
      </c>
      <c r="BY41" s="123">
        <v>2.7089654293236666E-9</v>
      </c>
      <c r="BZ41" s="123">
        <v>3.0727372549142827E-9</v>
      </c>
      <c r="CA41" s="123">
        <v>2.9280668416637603E-9</v>
      </c>
      <c r="CB41" s="123">
        <v>3.082248898405651E-9</v>
      </c>
      <c r="CC41" s="123">
        <v>3.2233930862509742E-9</v>
      </c>
      <c r="CD41" s="123">
        <v>2.4667093421751302E-9</v>
      </c>
      <c r="CE41" s="123">
        <v>1.9894669082449658E-9</v>
      </c>
      <c r="CF41" s="123">
        <v>4.0242655093846912E-9</v>
      </c>
      <c r="CG41" s="123">
        <v>3.063072860247931E-9</v>
      </c>
      <c r="CH41" s="123">
        <v>3.7811868226663759E-9</v>
      </c>
      <c r="CI41" s="123">
        <v>3.7023562391272507E-9</v>
      </c>
      <c r="CJ41" s="123">
        <v>1.5554965105363307E-9</v>
      </c>
      <c r="CK41" s="123">
        <v>7.4616130574390974E-10</v>
      </c>
      <c r="CL41" s="123">
        <v>4.0158530570289512E-9</v>
      </c>
      <c r="CM41" s="123">
        <v>1.4978434064097191E-9</v>
      </c>
      <c r="CN41" s="123">
        <v>5.6093311165387307E-9</v>
      </c>
      <c r="CO41" s="123">
        <v>4.4054109321182129E-9</v>
      </c>
      <c r="CP41" s="123">
        <v>4.3465462563289302E-9</v>
      </c>
      <c r="CQ41" s="123">
        <v>2.2707890172037961E-9</v>
      </c>
      <c r="CR41" s="123">
        <v>4.7478118480830595E-9</v>
      </c>
      <c r="CS41" s="123">
        <v>4.8018918205115389E-9</v>
      </c>
      <c r="CT41" s="123">
        <v>5.2987898629418015E-9</v>
      </c>
      <c r="CU41" s="123">
        <v>6.227062307291129E-9</v>
      </c>
      <c r="CV41" s="123">
        <v>5.9560137155287619E-11</v>
      </c>
      <c r="CW41" s="123">
        <v>5.8305175534595227E-9</v>
      </c>
      <c r="CX41" s="123">
        <v>4.9239133435994785E-10</v>
      </c>
    </row>
    <row r="42" spans="1:102" s="115" customFormat="1">
      <c r="A42" s="23"/>
      <c r="B42" s="14" t="s">
        <v>30</v>
      </c>
      <c r="C42" s="125">
        <v>2.9999999990152584E-2</v>
      </c>
      <c r="D42" s="125">
        <v>2.9999999926532035E-2</v>
      </c>
      <c r="E42" s="125">
        <v>2.9999999884124353E-2</v>
      </c>
      <c r="F42" s="125">
        <v>2.9999999907422737E-2</v>
      </c>
      <c r="G42" s="125">
        <v>2.9999999794236624E-2</v>
      </c>
      <c r="H42" s="125">
        <v>2.9999999819008406E-2</v>
      </c>
      <c r="I42" s="125">
        <v>2.9999999689040088E-2</v>
      </c>
      <c r="J42" s="125">
        <v>2.9999999632982752E-2</v>
      </c>
      <c r="K42" s="125">
        <v>2.9999999736417784E-2</v>
      </c>
      <c r="L42" s="125">
        <v>2.9999999669697172E-2</v>
      </c>
      <c r="M42" s="125">
        <v>2.9999999673130905E-2</v>
      </c>
      <c r="N42" s="125">
        <v>2.9999999673430713E-2</v>
      </c>
      <c r="O42" s="125">
        <v>2.999999945238617E-2</v>
      </c>
      <c r="P42" s="125">
        <v>2.9999999594713174E-2</v>
      </c>
      <c r="Q42" s="125">
        <v>2.9999999481428626E-2</v>
      </c>
      <c r="R42" s="125">
        <v>2.9999999578218531E-2</v>
      </c>
      <c r="S42" s="125">
        <v>2.9999999418083591E-2</v>
      </c>
      <c r="T42" s="125">
        <v>2.9999999314813869E-2</v>
      </c>
      <c r="U42" s="125">
        <v>2.9999999647795692E-2</v>
      </c>
      <c r="V42" s="125">
        <v>2.9999999438384353E-2</v>
      </c>
      <c r="W42" s="125">
        <v>2.9999999256322483E-2</v>
      </c>
      <c r="X42" s="125">
        <v>2.9999999552761648E-2</v>
      </c>
      <c r="Y42" s="125">
        <v>2.9999999337759879E-2</v>
      </c>
      <c r="Z42" s="125">
        <v>2.9999999388947388E-2</v>
      </c>
      <c r="AA42" s="125">
        <v>2.9999999415353838E-2</v>
      </c>
      <c r="AB42" s="125">
        <v>2.9999999258278932E-2</v>
      </c>
      <c r="AC42" s="125">
        <v>2.9999999155801146E-2</v>
      </c>
      <c r="AD42" s="125">
        <v>2.9999999362369481E-2</v>
      </c>
      <c r="AE42" s="125">
        <v>2.9999999269955849E-2</v>
      </c>
      <c r="AF42" s="125">
        <v>2.9999999478728872E-2</v>
      </c>
      <c r="AG42" s="125">
        <v>2.9999998651671612E-2</v>
      </c>
      <c r="AH42" s="125">
        <v>2.9999999131728333E-2</v>
      </c>
      <c r="AI42" s="125">
        <v>2.9999999040748564E-2</v>
      </c>
      <c r="AJ42" s="125">
        <v>2.9999998921213234E-2</v>
      </c>
      <c r="AK42" s="125">
        <v>2.9999998124659456E-2</v>
      </c>
      <c r="AL42" s="125">
        <v>2.9999999324751076E-2</v>
      </c>
      <c r="AM42" s="125">
        <v>2.9999999119689966E-2</v>
      </c>
      <c r="AN42" s="125">
        <v>2.9999998822928847E-2</v>
      </c>
      <c r="AO42" s="125">
        <v>2.9999997991555945E-2</v>
      </c>
      <c r="AP42" s="125">
        <v>2.999999880653861E-2</v>
      </c>
      <c r="AQ42" s="125">
        <v>2.9999998796755384E-2</v>
      </c>
      <c r="AR42" s="125">
        <v>2.9999999062444362E-2</v>
      </c>
      <c r="AS42" s="125">
        <v>2.9999998742296714E-2</v>
      </c>
      <c r="AT42" s="125">
        <v>2.999999743447351E-2</v>
      </c>
      <c r="AU42" s="125">
        <v>2.9999998719217106E-2</v>
      </c>
      <c r="AV42" s="125">
        <v>2.9999998679368936E-2</v>
      </c>
      <c r="AW42" s="125">
        <v>2.9999998950812727E-2</v>
      </c>
      <c r="AX42" s="125">
        <v>2.9999998477678036E-2</v>
      </c>
      <c r="AY42" s="125">
        <v>2.9999997152023054E-2</v>
      </c>
      <c r="AZ42" s="125">
        <v>2.9999997644859722E-2</v>
      </c>
      <c r="BA42" s="125">
        <v>2.9999998367450074E-2</v>
      </c>
      <c r="BB42" s="125">
        <v>2.9999998081123479E-2</v>
      </c>
      <c r="BC42" s="125">
        <v>2.9999998319847985E-2</v>
      </c>
      <c r="BD42" s="125">
        <v>2.9999998172473775E-2</v>
      </c>
      <c r="BE42" s="125">
        <v>2.9999998383400433E-2</v>
      </c>
      <c r="BF42" s="125">
        <v>2.9999997927637637E-2</v>
      </c>
      <c r="BG42" s="125">
        <v>2.9999998331970305E-2</v>
      </c>
      <c r="BH42" s="125">
        <v>2.9999997785165555E-2</v>
      </c>
      <c r="BI42" s="125">
        <v>2.9999998366989217E-2</v>
      </c>
      <c r="BJ42" s="125">
        <v>2.9999998039005472E-2</v>
      </c>
      <c r="BK42" s="125">
        <v>2.9999997425981251E-2</v>
      </c>
      <c r="BL42" s="125">
        <v>2.9999997958295981E-2</v>
      </c>
      <c r="BM42" s="125">
        <v>2.9999997032633952E-2</v>
      </c>
      <c r="BN42" s="125">
        <v>2.9999998537376393E-2</v>
      </c>
      <c r="BO42" s="125">
        <v>2.999999769655683E-2</v>
      </c>
      <c r="BP42" s="125">
        <v>2.9999996628714796E-2</v>
      </c>
      <c r="BQ42" s="125">
        <v>2.9999998199591229E-2</v>
      </c>
      <c r="BR42" s="125">
        <v>2.9999997402936417E-2</v>
      </c>
      <c r="BS42" s="125">
        <v>2.999999450082156E-2</v>
      </c>
      <c r="BT42" s="125">
        <v>2.9999997166996174E-2</v>
      </c>
      <c r="BU42" s="125">
        <v>2.9999997693886941E-2</v>
      </c>
      <c r="BV42" s="125">
        <v>2.9999997958308381E-2</v>
      </c>
      <c r="BW42" s="125">
        <v>2.9999997064209454E-2</v>
      </c>
      <c r="BX42" s="125">
        <v>2.9999996949403123E-2</v>
      </c>
      <c r="BY42" s="125">
        <v>2.999999717536166E-2</v>
      </c>
      <c r="BZ42" s="125">
        <v>2.9999997883111296E-2</v>
      </c>
      <c r="CA42" s="125">
        <v>2.9999996748267768E-2</v>
      </c>
      <c r="CB42" s="125">
        <v>2.9999997452788304E-2</v>
      </c>
      <c r="CC42" s="125">
        <v>2.9999998002653624E-2</v>
      </c>
      <c r="CD42" s="125">
        <v>2.999999651164011E-2</v>
      </c>
      <c r="CE42" s="125">
        <v>2.9999996011357836E-2</v>
      </c>
      <c r="CF42" s="125">
        <v>2.9999997213883491E-2</v>
      </c>
      <c r="CG42" s="125">
        <v>2.9999997036468364E-2</v>
      </c>
      <c r="CH42" s="125">
        <v>2.9999996314756989E-2</v>
      </c>
      <c r="CI42" s="125">
        <v>2.9999997341007428E-2</v>
      </c>
      <c r="CJ42" s="125">
        <v>2.9999994347800343E-2</v>
      </c>
      <c r="CK42" s="125">
        <v>2.9999992761840979E-2</v>
      </c>
      <c r="CL42" s="125">
        <v>2.9999995193187332E-2</v>
      </c>
      <c r="CM42" s="125">
        <v>2.9999991657313853E-2</v>
      </c>
      <c r="CN42" s="125">
        <v>2.9999995864235282E-2</v>
      </c>
      <c r="CO42" s="125">
        <v>2.9999996013069425E-2</v>
      </c>
      <c r="CP42" s="125">
        <v>2.9999995962097983E-2</v>
      </c>
      <c r="CQ42" s="125">
        <v>2.9999991327129265E-2</v>
      </c>
      <c r="CR42" s="125">
        <v>2.9999995862158506E-2</v>
      </c>
      <c r="CS42" s="125">
        <v>2.9999995206390604E-2</v>
      </c>
      <c r="CT42" s="125">
        <v>2.9999995902884945E-2</v>
      </c>
      <c r="CU42" s="125">
        <v>2.9999995764707955E-2</v>
      </c>
      <c r="CV42" s="125">
        <v>2.9999986942095828E-2</v>
      </c>
      <c r="CW42" s="125">
        <v>2.9999993746618242E-2</v>
      </c>
      <c r="CX42" s="125">
        <v>2.9999986677934427E-2</v>
      </c>
    </row>
    <row r="43" spans="1:102" s="115" customFormat="1">
      <c r="A43" s="23"/>
      <c r="B43" s="67" t="s">
        <v>56</v>
      </c>
      <c r="C43" s="125">
        <v>0.11132913524513031</v>
      </c>
      <c r="D43" s="125">
        <v>0.11132913515213713</v>
      </c>
      <c r="E43" s="125">
        <v>0.11132913505977636</v>
      </c>
      <c r="F43" s="125">
        <v>0.11132913492899622</v>
      </c>
      <c r="G43" s="125">
        <v>0.1113291348427775</v>
      </c>
      <c r="H43" s="125">
        <v>0.11132913462051074</v>
      </c>
      <c r="I43" s="125">
        <v>0.11132913469391091</v>
      </c>
      <c r="J43" s="125">
        <v>0.11132913488508334</v>
      </c>
      <c r="K43" s="125">
        <v>0.11132913437473328</v>
      </c>
      <c r="L43" s="125">
        <v>0.1113291342459148</v>
      </c>
      <c r="M43" s="125">
        <v>0.11132913444899603</v>
      </c>
      <c r="N43" s="125">
        <v>0.1113291344117382</v>
      </c>
      <c r="O43" s="125">
        <v>0.11132913334475983</v>
      </c>
      <c r="P43" s="125">
        <v>0.11132913462249495</v>
      </c>
      <c r="Q43" s="125">
        <v>0.11132913451176314</v>
      </c>
      <c r="R43" s="125">
        <v>0.11132913437331753</v>
      </c>
      <c r="S43" s="125">
        <v>0.11132913432800148</v>
      </c>
      <c r="T43" s="125">
        <v>0.11132913393248532</v>
      </c>
      <c r="U43" s="125">
        <v>0.1113291338448075</v>
      </c>
      <c r="V43" s="125">
        <v>0.11132913425583389</v>
      </c>
      <c r="W43" s="125">
        <v>0.11132913406750697</v>
      </c>
      <c r="X43" s="125">
        <v>0.11132913367589933</v>
      </c>
      <c r="Y43" s="125">
        <v>0.11132913423996291</v>
      </c>
      <c r="Z43" s="125">
        <v>0.11132913401228549</v>
      </c>
      <c r="AA43" s="125">
        <v>0.11132913428479252</v>
      </c>
      <c r="AB43" s="125">
        <v>0.11132913386031866</v>
      </c>
      <c r="AC43" s="125">
        <v>0.11132913338823898</v>
      </c>
      <c r="AD43" s="125">
        <v>0.11132913411690294</v>
      </c>
      <c r="AE43" s="125">
        <v>0.11132913359256494</v>
      </c>
      <c r="AF43" s="125">
        <v>0.1113291333572884</v>
      </c>
      <c r="AG43" s="125">
        <v>0.11132913043936685</v>
      </c>
      <c r="AH43" s="125">
        <v>0.11132913380342216</v>
      </c>
      <c r="AI43" s="125">
        <v>0.11132913366936496</v>
      </c>
      <c r="AJ43" s="125">
        <v>0.11132913332436922</v>
      </c>
      <c r="AK43" s="125">
        <v>0.11132912889723873</v>
      </c>
      <c r="AL43" s="125">
        <v>0.11132913267811893</v>
      </c>
      <c r="AM43" s="125">
        <v>0.11132913307523745</v>
      </c>
      <c r="AN43" s="125">
        <v>0.11132913339963325</v>
      </c>
      <c r="AO43" s="125">
        <v>0.11132912824057382</v>
      </c>
      <c r="AP43" s="125">
        <v>0.11132913333763712</v>
      </c>
      <c r="AQ43" s="125">
        <v>0.11132913300099778</v>
      </c>
      <c r="AR43" s="125">
        <v>0.1113291324224472</v>
      </c>
      <c r="AS43" s="125">
        <v>0.1113291329091485</v>
      </c>
      <c r="AT43" s="125">
        <v>0.11132912585469634</v>
      </c>
      <c r="AU43" s="125">
        <v>0.11132913269885659</v>
      </c>
      <c r="AV43" s="125">
        <v>0.11132913283413928</v>
      </c>
      <c r="AW43" s="125">
        <v>0.11132913326799969</v>
      </c>
      <c r="AX43" s="125">
        <v>0.1113291324412769</v>
      </c>
      <c r="AY43" s="125">
        <v>0.11132912478387816</v>
      </c>
      <c r="AZ43" s="125">
        <v>0.11132912671574821</v>
      </c>
      <c r="BA43" s="125">
        <v>0.11132913172410076</v>
      </c>
      <c r="BB43" s="125">
        <v>0.11132913113962516</v>
      </c>
      <c r="BC43" s="125">
        <v>0.11132913172283888</v>
      </c>
      <c r="BD43" s="125">
        <v>0.11132913188471956</v>
      </c>
      <c r="BE43" s="125">
        <v>0.11132913241223605</v>
      </c>
      <c r="BF43" s="125">
        <v>0.11132913267257083</v>
      </c>
      <c r="BG43" s="125">
        <v>0.11132913126000023</v>
      </c>
      <c r="BH43" s="125">
        <v>0.11132913138492473</v>
      </c>
      <c r="BI43" s="125">
        <v>0.11132913233592477</v>
      </c>
      <c r="BJ43" s="125">
        <v>0.11132913076498742</v>
      </c>
      <c r="BK43" s="125">
        <v>0.11132913211399685</v>
      </c>
      <c r="BL43" s="125">
        <v>0.11132913093047517</v>
      </c>
      <c r="BM43" s="125">
        <v>0.11132912621908503</v>
      </c>
      <c r="BN43" s="125">
        <v>0.11132912933358466</v>
      </c>
      <c r="BO43" s="125">
        <v>0.11132913016430437</v>
      </c>
      <c r="BP43" s="125">
        <v>0.11132912815965282</v>
      </c>
      <c r="BQ43" s="125">
        <v>0.11132912927676257</v>
      </c>
      <c r="BR43" s="125">
        <v>0.11132913116414705</v>
      </c>
      <c r="BS43" s="125">
        <v>0.11132911487377324</v>
      </c>
      <c r="BT43" s="125">
        <v>0.11132912751871075</v>
      </c>
      <c r="BU43" s="125">
        <v>0.11132912788580658</v>
      </c>
      <c r="BV43" s="125">
        <v>0.11132912876775797</v>
      </c>
      <c r="BW43" s="125">
        <v>0.11132913043804339</v>
      </c>
      <c r="BX43" s="125">
        <v>0.11132912598262941</v>
      </c>
      <c r="BY43" s="125">
        <v>0.11132913022726751</v>
      </c>
      <c r="BZ43" s="125">
        <v>0.1113291299505277</v>
      </c>
      <c r="CA43" s="125">
        <v>0.1113291300622319</v>
      </c>
      <c r="CB43" s="125">
        <v>0.11132912865048472</v>
      </c>
      <c r="CC43" s="125">
        <v>0.11132912764410362</v>
      </c>
      <c r="CD43" s="125">
        <v>0.1113291296948998</v>
      </c>
      <c r="CE43" s="125">
        <v>0.11132912583247737</v>
      </c>
      <c r="CF43" s="125">
        <v>0.11132912743779531</v>
      </c>
      <c r="CG43" s="125">
        <v>0.11132912976197301</v>
      </c>
      <c r="CH43" s="125">
        <v>0.11132912325539951</v>
      </c>
      <c r="CI43" s="125">
        <v>0.1113291264369686</v>
      </c>
      <c r="CJ43" s="125">
        <v>0.11132911549867928</v>
      </c>
      <c r="CK43" s="125">
        <v>0.11132911063641869</v>
      </c>
      <c r="CL43" s="125">
        <v>0.11132912788194342</v>
      </c>
      <c r="CM43" s="125">
        <v>0.11132910736108609</v>
      </c>
      <c r="CN43" s="125">
        <v>0.11132912454302425</v>
      </c>
      <c r="CO43" s="125">
        <v>0.11132912310602704</v>
      </c>
      <c r="CP43" s="125">
        <v>0.11132912626229159</v>
      </c>
      <c r="CQ43" s="125">
        <v>0.11132910524539304</v>
      </c>
      <c r="CR43" s="125">
        <v>0.1113291243629078</v>
      </c>
      <c r="CS43" s="125">
        <v>0.1113291270953391</v>
      </c>
      <c r="CT43" s="125">
        <v>0.1113291230695039</v>
      </c>
      <c r="CU43" s="125">
        <v>0.11132912348349963</v>
      </c>
      <c r="CV43" s="125">
        <v>0.11132908685912887</v>
      </c>
      <c r="CW43" s="125">
        <v>0.11132911759216821</v>
      </c>
      <c r="CX43" s="125">
        <v>0.11132908677423735</v>
      </c>
    </row>
    <row r="44" spans="1:102" s="115" customFormat="1">
      <c r="A44" s="126"/>
      <c r="B44" s="129" t="s">
        <v>114</v>
      </c>
      <c r="C44" s="127">
        <v>0.6305586598517301</v>
      </c>
      <c r="D44" s="127">
        <v>0.63055865931273103</v>
      </c>
      <c r="E44" s="127">
        <v>0.63055865899185637</v>
      </c>
      <c r="F44" s="127">
        <v>0.63055865804052968</v>
      </c>
      <c r="G44" s="127">
        <v>0.63055865863611926</v>
      </c>
      <c r="H44" s="127">
        <v>0.63055865659071175</v>
      </c>
      <c r="I44" s="127">
        <v>0.63055865771706221</v>
      </c>
      <c r="J44" s="127">
        <v>0.63055865727912597</v>
      </c>
      <c r="K44" s="127">
        <v>0.63055865487490181</v>
      </c>
      <c r="L44" s="127">
        <v>0.63055865640327391</v>
      </c>
      <c r="M44" s="127">
        <v>0.63055865659844179</v>
      </c>
      <c r="N44" s="127">
        <v>0.63055865545193157</v>
      </c>
      <c r="O44" s="127">
        <v>0.63055865870956596</v>
      </c>
      <c r="P44" s="127">
        <v>0.63055865778373488</v>
      </c>
      <c r="Q44" s="127">
        <v>0.63055865792320653</v>
      </c>
      <c r="R44" s="127">
        <v>0.63055865613714435</v>
      </c>
      <c r="S44" s="127">
        <v>0.63055865685415324</v>
      </c>
      <c r="T44" s="127">
        <v>0.63055865875195738</v>
      </c>
      <c r="U44" s="127">
        <v>0.6305586537325848</v>
      </c>
      <c r="V44" s="127">
        <v>0.63055865636742636</v>
      </c>
      <c r="W44" s="127">
        <v>0.63055865639236419</v>
      </c>
      <c r="X44" s="127">
        <v>0.63055865346281148</v>
      </c>
      <c r="Y44" s="127">
        <v>0.63055865658778842</v>
      </c>
      <c r="Z44" s="127">
        <v>0.63055865456389448</v>
      </c>
      <c r="AA44" s="127">
        <v>0.63055865663940991</v>
      </c>
      <c r="AB44" s="127">
        <v>0.63055865442408909</v>
      </c>
      <c r="AC44" s="127">
        <v>0.63055865798212718</v>
      </c>
      <c r="AD44" s="127">
        <v>0.63055865454405668</v>
      </c>
      <c r="AE44" s="127">
        <v>0.63055865373125175</v>
      </c>
      <c r="AF44" s="127">
        <v>0.63055864905361958</v>
      </c>
      <c r="AG44" s="127">
        <v>0.63055866182013887</v>
      </c>
      <c r="AH44" s="127">
        <v>0.63055865558760471</v>
      </c>
      <c r="AI44" s="127">
        <v>0.63055865459297777</v>
      </c>
      <c r="AJ44" s="127">
        <v>0.63055865574208547</v>
      </c>
      <c r="AK44" s="127">
        <v>0.63055866521251813</v>
      </c>
      <c r="AL44" s="127">
        <v>0.63055864923164129</v>
      </c>
      <c r="AM44" s="127">
        <v>0.630558651637247</v>
      </c>
      <c r="AN44" s="127">
        <v>0.63055865422711133</v>
      </c>
      <c r="AO44" s="127">
        <v>0.63055866474839128</v>
      </c>
      <c r="AP44" s="127">
        <v>0.63055865417864032</v>
      </c>
      <c r="AQ44" s="127">
        <v>0.63055864635729209</v>
      </c>
      <c r="AR44" s="127">
        <v>0.63055864496965908</v>
      </c>
      <c r="AS44" s="127">
        <v>0.63055865178554404</v>
      </c>
      <c r="AT44" s="127">
        <v>0.63055866869020649</v>
      </c>
      <c r="AU44" s="127">
        <v>0.63055865136244871</v>
      </c>
      <c r="AV44" s="127">
        <v>0.63055865048527515</v>
      </c>
      <c r="AW44" s="127">
        <v>0.63055864917720017</v>
      </c>
      <c r="AX44" s="127">
        <v>0.63055864929733474</v>
      </c>
      <c r="AY44" s="127">
        <v>0.63055866799634619</v>
      </c>
      <c r="AZ44" s="127">
        <v>0.63055866179265208</v>
      </c>
      <c r="BA44" s="127">
        <v>0.63055865155365143</v>
      </c>
      <c r="BB44" s="127">
        <v>0.63055865599685057</v>
      </c>
      <c r="BC44" s="127">
        <v>0.63055864501610981</v>
      </c>
      <c r="BD44" s="127">
        <v>0.63055864729354638</v>
      </c>
      <c r="BE44" s="127">
        <v>0.6305586514585898</v>
      </c>
      <c r="BF44" s="127">
        <v>0.63055864572375242</v>
      </c>
      <c r="BG44" s="127">
        <v>0.63055864123101135</v>
      </c>
      <c r="BH44" s="127">
        <v>0.63055864622894386</v>
      </c>
      <c r="BI44" s="127">
        <v>0.63055864529937322</v>
      </c>
      <c r="BJ44" s="127">
        <v>0.63055863945014301</v>
      </c>
      <c r="BK44" s="127">
        <v>0.63055864401145767</v>
      </c>
      <c r="BL44" s="127">
        <v>0.6305586400369112</v>
      </c>
      <c r="BM44" s="127">
        <v>0.63055865753569684</v>
      </c>
      <c r="BN44" s="127">
        <v>0.63055863564437686</v>
      </c>
      <c r="BO44" s="127">
        <v>0.63055864062763767</v>
      </c>
      <c r="BP44" s="127">
        <v>0.63055865186135918</v>
      </c>
      <c r="BQ44" s="127">
        <v>0.6305586272905479</v>
      </c>
      <c r="BR44" s="127">
        <v>0.63055864693683306</v>
      </c>
      <c r="BS44" s="127">
        <v>0.63055868277031257</v>
      </c>
      <c r="BT44" s="127">
        <v>0.63055864363498926</v>
      </c>
      <c r="BU44" s="127">
        <v>0.63055864092608238</v>
      </c>
      <c r="BV44" s="127">
        <v>0.63055862539328766</v>
      </c>
      <c r="BW44" s="127">
        <v>0.63055863080875074</v>
      </c>
      <c r="BX44" s="127">
        <v>0.63055864720923882</v>
      </c>
      <c r="BY44" s="127">
        <v>0.63055863758508712</v>
      </c>
      <c r="BZ44" s="127">
        <v>0.63055863004134249</v>
      </c>
      <c r="CA44" s="127">
        <v>0.63055863661978084</v>
      </c>
      <c r="CB44" s="127">
        <v>0.63055863172609872</v>
      </c>
      <c r="CC44" s="127">
        <v>0.63055862764491777</v>
      </c>
      <c r="CD44" s="127">
        <v>0.63055864341561563</v>
      </c>
      <c r="CE44" s="127">
        <v>0.63055865151681656</v>
      </c>
      <c r="CF44" s="127">
        <v>0.63055862087781789</v>
      </c>
      <c r="CG44" s="127">
        <v>0.63055863371301313</v>
      </c>
      <c r="CH44" s="127">
        <v>0.6305586277057813</v>
      </c>
      <c r="CI44" s="127">
        <v>0.63055862439420773</v>
      </c>
      <c r="CJ44" s="127">
        <v>0.63055866395146454</v>
      </c>
      <c r="CK44" s="127">
        <v>0.63055868078261379</v>
      </c>
      <c r="CL44" s="127">
        <v>0.63055862945671681</v>
      </c>
      <c r="CM44" s="127">
        <v>0.63055867595831727</v>
      </c>
      <c r="CN44" s="127">
        <v>0.63055860659784768</v>
      </c>
      <c r="CO44" s="127">
        <v>0.63055862111840988</v>
      </c>
      <c r="CP44" s="127">
        <v>0.63055862207262536</v>
      </c>
      <c r="CQ44" s="127">
        <v>0.630558667619604</v>
      </c>
      <c r="CR44" s="127">
        <v>0.63055861744398856</v>
      </c>
      <c r="CS44" s="127">
        <v>0.6305586195134234</v>
      </c>
      <c r="CT44" s="127">
        <v>0.63055861034222005</v>
      </c>
      <c r="CU44" s="127">
        <v>0.63055859924446578</v>
      </c>
      <c r="CV44" s="127">
        <v>0.63055871382273676</v>
      </c>
      <c r="CW44" s="127">
        <v>0.63055861269492319</v>
      </c>
      <c r="CX44" s="127">
        <v>0.63055870948562864</v>
      </c>
    </row>
    <row r="45" spans="1:102" s="131" customFormat="1">
      <c r="A45" s="108" t="str">
        <f>Parameters!A41</f>
        <v>Groei recessie</v>
      </c>
      <c r="B45" s="122" t="s">
        <v>29</v>
      </c>
      <c r="C45" s="123">
        <v>-4.2731548020517397E-12</v>
      </c>
      <c r="D45" s="123">
        <v>5.352271542594789E-11</v>
      </c>
      <c r="E45" s="123">
        <v>1.1217574931348496E-10</v>
      </c>
      <c r="F45" s="123">
        <v>1.3938663423390554E-10</v>
      </c>
      <c r="G45" s="123">
        <v>1.0444846179116245E-10</v>
      </c>
      <c r="H45" s="123">
        <v>1.3287347669535893E-10</v>
      </c>
      <c r="I45" s="123">
        <v>3.0005785096734237E-10</v>
      </c>
      <c r="J45" s="123">
        <v>3.0528520952629197E-10</v>
      </c>
      <c r="K45" s="123">
        <v>4.1570127716497782E-10</v>
      </c>
      <c r="L45" s="123">
        <v>2.9231939036505037E-10</v>
      </c>
      <c r="M45" s="123">
        <v>3.0679959147784036E-10</v>
      </c>
      <c r="N45" s="123">
        <v>3.767376040848626E-10</v>
      </c>
      <c r="O45" s="123">
        <v>-4.0350185186367584E-11</v>
      </c>
      <c r="P45" s="123">
        <v>3.2061535448875199E-10</v>
      </c>
      <c r="Q45" s="123">
        <v>2.6034179016735113E-11</v>
      </c>
      <c r="R45" s="123">
        <v>2.9610029508049058E-10</v>
      </c>
      <c r="S45" s="123">
        <v>3.0331814762463437E-10</v>
      </c>
      <c r="T45" s="123">
        <v>-7.3655070220552826E-11</v>
      </c>
      <c r="U45" s="123">
        <v>-1.4741596976995503E-10</v>
      </c>
      <c r="V45" s="123">
        <v>3.5911162269907177E-10</v>
      </c>
      <c r="W45" s="123">
        <v>4.3726223433277645E-10</v>
      </c>
      <c r="X45" s="123">
        <v>2.3778305946976809E-10</v>
      </c>
      <c r="Y45" s="123">
        <v>4.3212775534486056E-10</v>
      </c>
      <c r="Z45" s="123">
        <v>6.5431767876152727E-10</v>
      </c>
      <c r="AA45" s="123">
        <v>4.3751354583359488E-10</v>
      </c>
      <c r="AB45" s="123">
        <v>7.2751268059943551E-10</v>
      </c>
      <c r="AC45" s="123">
        <v>3.5009897351129358E-10</v>
      </c>
      <c r="AD45" s="123">
        <v>5.4885842708731771E-10</v>
      </c>
      <c r="AE45" s="123">
        <v>5.0597115643255071E-10</v>
      </c>
      <c r="AF45" s="123">
        <v>8.7060855489881185E-10</v>
      </c>
      <c r="AG45" s="123">
        <v>-5.5480035353260105E-10</v>
      </c>
      <c r="AH45" s="123">
        <v>1.3907190170191548E-10</v>
      </c>
      <c r="AI45" s="123">
        <v>5.1623804688598053E-10</v>
      </c>
      <c r="AJ45" s="123">
        <v>4.5175035099692777E-10</v>
      </c>
      <c r="AK45" s="123">
        <v>-6.3466093386161531E-10</v>
      </c>
      <c r="AL45" s="123">
        <v>-2.5098317300162431E-10</v>
      </c>
      <c r="AM45" s="123">
        <v>1.9580009753278722E-10</v>
      </c>
      <c r="AN45" s="123">
        <v>8.3168921744994206E-10</v>
      </c>
      <c r="AO45" s="123">
        <v>-6.4003658883880127E-10</v>
      </c>
      <c r="AP45" s="123">
        <v>9.3775038539351789E-10</v>
      </c>
      <c r="AQ45" s="123">
        <v>1.313983157536084E-9</v>
      </c>
      <c r="AR45" s="123">
        <v>1.1139676997785709E-9</v>
      </c>
      <c r="AS45" s="123">
        <v>8.9536576007438837E-10</v>
      </c>
      <c r="AT45" s="123">
        <v>-1.2537069813299952E-9</v>
      </c>
      <c r="AU45" s="123">
        <v>6.618901025333493E-10</v>
      </c>
      <c r="AV45" s="123">
        <v>1.2098362648790834E-9</v>
      </c>
      <c r="AW45" s="123">
        <v>9.0878847910076872E-10</v>
      </c>
      <c r="AX45" s="123">
        <v>1.5212767491899674E-9</v>
      </c>
      <c r="AY45" s="123">
        <v>-1.0754467066500731E-9</v>
      </c>
      <c r="AZ45" s="123">
        <v>-9.3895850559646266E-10</v>
      </c>
      <c r="BA45" s="123">
        <v>8.6719368258251405E-10</v>
      </c>
      <c r="BB45" s="123">
        <v>-2.0857689131978876E-10</v>
      </c>
      <c r="BC45" s="123">
        <v>1.8347464677356509E-9</v>
      </c>
      <c r="BD45" s="123">
        <v>1.8142443649560449E-9</v>
      </c>
      <c r="BE45" s="123">
        <v>1.0896009494130392E-9</v>
      </c>
      <c r="BF45" s="123">
        <v>1.5487189707994527E-9</v>
      </c>
      <c r="BG45" s="123">
        <v>1.5906750248972768E-9</v>
      </c>
      <c r="BH45" s="123">
        <v>1.3041223941774556E-9</v>
      </c>
      <c r="BI45" s="123">
        <v>1.3499757487158604E-9</v>
      </c>
      <c r="BJ45" s="123">
        <v>5.9098583346173378E-10</v>
      </c>
      <c r="BK45" s="123">
        <v>1.5882101518371054E-9</v>
      </c>
      <c r="BL45" s="123">
        <v>5.4094573397714672E-10</v>
      </c>
      <c r="BM45" s="123">
        <v>-9.6446409028950186E-11</v>
      </c>
      <c r="BN45" s="123">
        <v>-6.8006248170961783E-10</v>
      </c>
      <c r="BO45" s="123">
        <v>1.7408831964799549E-9</v>
      </c>
      <c r="BP45" s="123">
        <v>8.4723470704398754E-10</v>
      </c>
      <c r="BQ45" s="123">
        <v>2.7439085667906479E-9</v>
      </c>
      <c r="BR45" s="123">
        <v>1.9389447747053419E-9</v>
      </c>
      <c r="BS45" s="123">
        <v>-2.7428078914076789E-9</v>
      </c>
      <c r="BT45" s="123">
        <v>1.6732107463697703E-9</v>
      </c>
      <c r="BU45" s="123">
        <v>-2.2232316122201649E-10</v>
      </c>
      <c r="BV45" s="123">
        <v>3.0320312213960612E-9</v>
      </c>
      <c r="BW45" s="123">
        <v>2.8753968574294158E-9</v>
      </c>
      <c r="BX45" s="123">
        <v>1.1989068845444524E-10</v>
      </c>
      <c r="BY45" s="123">
        <v>2.5916111044965975E-9</v>
      </c>
      <c r="BZ45" s="123">
        <v>2.4078950209734874E-9</v>
      </c>
      <c r="CA45" s="123">
        <v>3.0377457340679601E-9</v>
      </c>
      <c r="CB45" s="123">
        <v>8.6696557286043147E-10</v>
      </c>
      <c r="CC45" s="123">
        <v>-6.545816562775009E-10</v>
      </c>
      <c r="CD45" s="123">
        <v>1.5573538088380427E-9</v>
      </c>
      <c r="CE45" s="123">
        <v>7.9956942952903076E-10</v>
      </c>
      <c r="CF45" s="123">
        <v>2.8575840843670599E-9</v>
      </c>
      <c r="CG45" s="123">
        <v>2.6131866054589209E-9</v>
      </c>
      <c r="CH45" s="123">
        <v>2.7753985222844886E-9</v>
      </c>
      <c r="CI45" s="123">
        <v>4.873657991861942E-11</v>
      </c>
      <c r="CJ45" s="123">
        <v>-1.8361194403495937E-9</v>
      </c>
      <c r="CK45" s="123">
        <v>-2.2717964348063809E-9</v>
      </c>
      <c r="CL45" s="123">
        <v>4.1633604283365514E-9</v>
      </c>
      <c r="CM45" s="123">
        <v>-2.016251485551238E-9</v>
      </c>
      <c r="CN45" s="123">
        <v>5.0319966783848836E-9</v>
      </c>
      <c r="CO45" s="123">
        <v>2.6704736722802129E-10</v>
      </c>
      <c r="CP45" s="123">
        <v>1.0751642953628285E-9</v>
      </c>
      <c r="CQ45" s="123">
        <v>-1.6530500349496194E-9</v>
      </c>
      <c r="CR45" s="123">
        <v>1.4908149847622324E-9</v>
      </c>
      <c r="CS45" s="123">
        <v>4.2357667210703945E-9</v>
      </c>
      <c r="CT45" s="123">
        <v>4.6499896984708776E-10</v>
      </c>
      <c r="CU45" s="123">
        <v>4.038618946844856E-9</v>
      </c>
      <c r="CV45" s="123">
        <v>-6.4849835092358739E-9</v>
      </c>
      <c r="CW45" s="123">
        <v>2.6933729316866475E-9</v>
      </c>
      <c r="CX45" s="123">
        <v>-6.0974010807905406E-9</v>
      </c>
    </row>
    <row r="46" spans="1:102" s="115" customFormat="1">
      <c r="A46" s="23"/>
      <c r="B46" s="14" t="s">
        <v>30</v>
      </c>
      <c r="C46" s="125">
        <v>2.9999999990152584E-2</v>
      </c>
      <c r="D46" s="125">
        <v>2.9999999926532035E-2</v>
      </c>
      <c r="E46" s="125">
        <v>2.9999999884124353E-2</v>
      </c>
      <c r="F46" s="125">
        <v>2.999999990742273E-2</v>
      </c>
      <c r="G46" s="125">
        <v>2.9999999794236624E-2</v>
      </c>
      <c r="H46" s="125">
        <v>2.9999999819008392E-2</v>
      </c>
      <c r="I46" s="125">
        <v>2.9999999689040078E-2</v>
      </c>
      <c r="J46" s="125">
        <v>2.9999999632982745E-2</v>
      </c>
      <c r="K46" s="125">
        <v>2.9999999736417749E-2</v>
      </c>
      <c r="L46" s="125">
        <v>2.9999999669697155E-2</v>
      </c>
      <c r="M46" s="125">
        <v>2.999999967313088E-2</v>
      </c>
      <c r="N46" s="125">
        <v>2.9999999673430693E-2</v>
      </c>
      <c r="O46" s="125">
        <v>2.9999999452386159E-2</v>
      </c>
      <c r="P46" s="125">
        <v>2.9999999594713188E-2</v>
      </c>
      <c r="Q46" s="125">
        <v>2.9999999481428612E-2</v>
      </c>
      <c r="R46" s="125">
        <v>2.9999999578218493E-2</v>
      </c>
      <c r="S46" s="125">
        <v>2.9999999418083578E-2</v>
      </c>
      <c r="T46" s="125">
        <v>2.9999999314813855E-2</v>
      </c>
      <c r="U46" s="125">
        <v>2.9999999647795646E-2</v>
      </c>
      <c r="V46" s="125">
        <v>2.9999999438384356E-2</v>
      </c>
      <c r="W46" s="125">
        <v>2.9999999256322477E-2</v>
      </c>
      <c r="X46" s="125">
        <v>2.9999999552761589E-2</v>
      </c>
      <c r="Y46" s="125">
        <v>2.9999999337759889E-2</v>
      </c>
      <c r="Z46" s="125">
        <v>2.9999999388947336E-2</v>
      </c>
      <c r="AA46" s="125">
        <v>2.9999999415353865E-2</v>
      </c>
      <c r="AB46" s="125">
        <v>2.999999925827888E-2</v>
      </c>
      <c r="AC46" s="125">
        <v>2.9999999155801177E-2</v>
      </c>
      <c r="AD46" s="125">
        <v>2.9999999362369422E-2</v>
      </c>
      <c r="AE46" s="125">
        <v>2.9999999269955786E-2</v>
      </c>
      <c r="AF46" s="125">
        <v>2.9999999478728709E-2</v>
      </c>
      <c r="AG46" s="125">
        <v>2.9999998651671564E-2</v>
      </c>
      <c r="AH46" s="125">
        <v>2.9999999131728298E-2</v>
      </c>
      <c r="AI46" s="125">
        <v>2.9999999040748525E-2</v>
      </c>
      <c r="AJ46" s="125">
        <v>2.9999998921213234E-2</v>
      </c>
      <c r="AK46" s="125">
        <v>2.9999998124659377E-2</v>
      </c>
      <c r="AL46" s="125">
        <v>2.999999932475093E-2</v>
      </c>
      <c r="AM46" s="125">
        <v>2.9999999119689865E-2</v>
      </c>
      <c r="AN46" s="125">
        <v>2.9999998822928919E-2</v>
      </c>
      <c r="AO46" s="125">
        <v>2.9999997991555848E-2</v>
      </c>
      <c r="AP46" s="125">
        <v>2.9999998806538773E-2</v>
      </c>
      <c r="AQ46" s="125">
        <v>2.9999998796755186E-2</v>
      </c>
      <c r="AR46" s="125">
        <v>2.9999999062444067E-2</v>
      </c>
      <c r="AS46" s="125">
        <v>2.9999998742296582E-2</v>
      </c>
      <c r="AT46" s="125">
        <v>2.9999997434473347E-2</v>
      </c>
      <c r="AU46" s="125">
        <v>2.9999998719217033E-2</v>
      </c>
      <c r="AV46" s="125">
        <v>2.9999998679368776E-2</v>
      </c>
      <c r="AW46" s="125">
        <v>2.9999998950812453E-2</v>
      </c>
      <c r="AX46" s="125">
        <v>2.9999998477677831E-2</v>
      </c>
      <c r="AY46" s="125">
        <v>2.9999997152022818E-2</v>
      </c>
      <c r="AZ46" s="125">
        <v>2.9999997644859562E-2</v>
      </c>
      <c r="BA46" s="125">
        <v>2.999999836745007E-2</v>
      </c>
      <c r="BB46" s="125">
        <v>2.9999998081123355E-2</v>
      </c>
      <c r="BC46" s="125">
        <v>2.9999998319847596E-2</v>
      </c>
      <c r="BD46" s="125">
        <v>2.9999998172473497E-2</v>
      </c>
      <c r="BE46" s="125">
        <v>2.9999998383400527E-2</v>
      </c>
      <c r="BF46" s="125">
        <v>2.9999997927637342E-2</v>
      </c>
      <c r="BG46" s="125">
        <v>2.9999998331969837E-2</v>
      </c>
      <c r="BH46" s="125">
        <v>2.999999778516527E-2</v>
      </c>
      <c r="BI46" s="125">
        <v>2.9999998366988783E-2</v>
      </c>
      <c r="BJ46" s="125">
        <v>2.9999998039004813E-2</v>
      </c>
      <c r="BK46" s="125">
        <v>2.9999997425980855E-2</v>
      </c>
      <c r="BL46" s="125">
        <v>2.9999997958295329E-2</v>
      </c>
      <c r="BM46" s="125">
        <v>2.9999997032633546E-2</v>
      </c>
      <c r="BN46" s="125">
        <v>2.9999998537375654E-2</v>
      </c>
      <c r="BO46" s="125">
        <v>2.9999997696556212E-2</v>
      </c>
      <c r="BP46" s="125">
        <v>2.9999996628714522E-2</v>
      </c>
      <c r="BQ46" s="125">
        <v>2.9999998199589699E-2</v>
      </c>
      <c r="BR46" s="125">
        <v>2.999999740293682E-2</v>
      </c>
      <c r="BS46" s="125">
        <v>2.9999994500820758E-2</v>
      </c>
      <c r="BT46" s="125">
        <v>2.9999997166995345E-2</v>
      </c>
      <c r="BU46" s="125">
        <v>2.99999976938863E-2</v>
      </c>
      <c r="BV46" s="125">
        <v>2.9999997958306608E-2</v>
      </c>
      <c r="BW46" s="125">
        <v>2.9999997064208524E-2</v>
      </c>
      <c r="BX46" s="125">
        <v>2.9999996949402686E-2</v>
      </c>
      <c r="BY46" s="125">
        <v>2.9999997175360608E-2</v>
      </c>
      <c r="BZ46" s="125">
        <v>2.9999997883109548E-2</v>
      </c>
      <c r="CA46" s="125">
        <v>2.9999996748266925E-2</v>
      </c>
      <c r="CB46" s="125">
        <v>2.9999997452787138E-2</v>
      </c>
      <c r="CC46" s="125">
        <v>2.9999998002652312E-2</v>
      </c>
      <c r="CD46" s="125">
        <v>2.9999996511639756E-2</v>
      </c>
      <c r="CE46" s="125">
        <v>2.99999960113577E-2</v>
      </c>
      <c r="CF46" s="125">
        <v>2.999999721388159E-2</v>
      </c>
      <c r="CG46" s="125">
        <v>2.9999997036466781E-2</v>
      </c>
      <c r="CH46" s="125">
        <v>2.9999996314754616E-2</v>
      </c>
      <c r="CI46" s="125">
        <v>2.9999997341005714E-2</v>
      </c>
      <c r="CJ46" s="125">
        <v>2.9999994347799423E-2</v>
      </c>
      <c r="CK46" s="125">
        <v>2.9999992761839882E-2</v>
      </c>
      <c r="CL46" s="125">
        <v>2.9999995193186659E-2</v>
      </c>
      <c r="CM46" s="125">
        <v>2.9999991657312281E-2</v>
      </c>
      <c r="CN46" s="125">
        <v>2.9999995864230404E-2</v>
      </c>
      <c r="CO46" s="125">
        <v>2.9999996013066764E-2</v>
      </c>
      <c r="CP46" s="125">
        <v>2.9999995962095575E-2</v>
      </c>
      <c r="CQ46" s="125">
        <v>2.9999991327126954E-2</v>
      </c>
      <c r="CR46" s="125">
        <v>2.9999995862156615E-2</v>
      </c>
      <c r="CS46" s="125">
        <v>2.9999995206387162E-2</v>
      </c>
      <c r="CT46" s="125">
        <v>2.999999590288141E-2</v>
      </c>
      <c r="CU46" s="125">
        <v>2.9999995764702338E-2</v>
      </c>
      <c r="CV46" s="125">
        <v>2.9999986942091324E-2</v>
      </c>
      <c r="CW46" s="125">
        <v>2.9999993746614252E-2</v>
      </c>
      <c r="CX46" s="125">
        <v>2.9999986677929941E-2</v>
      </c>
    </row>
    <row r="47" spans="1:102" s="115" customFormat="1">
      <c r="A47" s="23"/>
      <c r="B47" s="67" t="s">
        <v>56</v>
      </c>
      <c r="C47" s="125">
        <v>0.10471338656831422</v>
      </c>
      <c r="D47" s="125">
        <v>0.10471338647909101</v>
      </c>
      <c r="E47" s="125">
        <v>0.10471338638193789</v>
      </c>
      <c r="F47" s="125">
        <v>0.10471338629415219</v>
      </c>
      <c r="G47" s="125">
        <v>0.10471338618793759</v>
      </c>
      <c r="H47" s="125">
        <v>0.10471338597757546</v>
      </c>
      <c r="I47" s="125">
        <v>0.10471338601954987</v>
      </c>
      <c r="J47" s="125">
        <v>0.10471338616645827</v>
      </c>
      <c r="K47" s="125">
        <v>0.10471338580382568</v>
      </c>
      <c r="L47" s="125">
        <v>0.10471338567414426</v>
      </c>
      <c r="M47" s="125">
        <v>0.10471338582259117</v>
      </c>
      <c r="N47" s="125">
        <v>0.1047133858198506</v>
      </c>
      <c r="O47" s="125">
        <v>0.10471338478640403</v>
      </c>
      <c r="P47" s="125">
        <v>0.10471338601110218</v>
      </c>
      <c r="Q47" s="125">
        <v>0.10471338579195819</v>
      </c>
      <c r="R47" s="125">
        <v>0.10471338572568305</v>
      </c>
      <c r="S47" s="125">
        <v>0.1047133856303354</v>
      </c>
      <c r="T47" s="125">
        <v>0.10471338524144402</v>
      </c>
      <c r="U47" s="125">
        <v>0.10471338514111646</v>
      </c>
      <c r="V47" s="125">
        <v>0.10471338564981315</v>
      </c>
      <c r="W47" s="125">
        <v>0.10471338538417213</v>
      </c>
      <c r="X47" s="125">
        <v>0.10471338508664293</v>
      </c>
      <c r="Y47" s="125">
        <v>0.10471338559291098</v>
      </c>
      <c r="Z47" s="125">
        <v>0.10471338537380326</v>
      </c>
      <c r="AA47" s="125">
        <v>0.10471338569720745</v>
      </c>
      <c r="AB47" s="125">
        <v>0.10471338520039164</v>
      </c>
      <c r="AC47" s="125">
        <v>0.10471338486427539</v>
      </c>
      <c r="AD47" s="125">
        <v>0.10471338546619822</v>
      </c>
      <c r="AE47" s="125">
        <v>0.10471338491534836</v>
      </c>
      <c r="AF47" s="125">
        <v>0.10471338492626268</v>
      </c>
      <c r="AG47" s="125">
        <v>0.10471338199529864</v>
      </c>
      <c r="AH47" s="125">
        <v>0.10471338509956558</v>
      </c>
      <c r="AI47" s="125">
        <v>0.10471338495780803</v>
      </c>
      <c r="AJ47" s="125">
        <v>0.10471338473559121</v>
      </c>
      <c r="AK47" s="125">
        <v>0.10471338060023962</v>
      </c>
      <c r="AL47" s="125">
        <v>0.1047133839522951</v>
      </c>
      <c r="AM47" s="125">
        <v>0.1047133843824639</v>
      </c>
      <c r="AN47" s="125">
        <v>0.10471338482438995</v>
      </c>
      <c r="AO47" s="125">
        <v>0.10471337994877286</v>
      </c>
      <c r="AP47" s="125">
        <v>0.10471338486971821</v>
      </c>
      <c r="AQ47" s="125">
        <v>0.1047133844168943</v>
      </c>
      <c r="AR47" s="125">
        <v>0.10471338403798937</v>
      </c>
      <c r="AS47" s="125">
        <v>0.10471338424391487</v>
      </c>
      <c r="AT47" s="125">
        <v>0.10471337770383066</v>
      </c>
      <c r="AU47" s="125">
        <v>0.10471338413481961</v>
      </c>
      <c r="AV47" s="125">
        <v>0.10471338419387999</v>
      </c>
      <c r="AW47" s="125">
        <v>0.10471338463655856</v>
      </c>
      <c r="AX47" s="125">
        <v>0.1047133837818901</v>
      </c>
      <c r="AY47" s="125">
        <v>0.10471337675944466</v>
      </c>
      <c r="AZ47" s="125">
        <v>0.10471337843816038</v>
      </c>
      <c r="BA47" s="125">
        <v>0.10471338329007618</v>
      </c>
      <c r="BB47" s="125">
        <v>0.10471338246114403</v>
      </c>
      <c r="BC47" s="125">
        <v>0.1047133831712659</v>
      </c>
      <c r="BD47" s="125">
        <v>0.10471338323741498</v>
      </c>
      <c r="BE47" s="125">
        <v>0.10471338395425525</v>
      </c>
      <c r="BF47" s="125">
        <v>0.10471338382398872</v>
      </c>
      <c r="BG47" s="125">
        <v>0.10471338283760234</v>
      </c>
      <c r="BH47" s="125">
        <v>0.10471338262815529</v>
      </c>
      <c r="BI47" s="125">
        <v>0.10471338376390302</v>
      </c>
      <c r="BJ47" s="125">
        <v>0.10471338191715202</v>
      </c>
      <c r="BK47" s="125">
        <v>0.10471338318055184</v>
      </c>
      <c r="BL47" s="125">
        <v>0.10471338205359812</v>
      </c>
      <c r="BM47" s="125">
        <v>0.1047133780059319</v>
      </c>
      <c r="BN47" s="125">
        <v>0.10471338054593697</v>
      </c>
      <c r="BO47" s="125">
        <v>0.10471338148608424</v>
      </c>
      <c r="BP47" s="125">
        <v>0.10471337954600213</v>
      </c>
      <c r="BQ47" s="125">
        <v>0.10471338129158199</v>
      </c>
      <c r="BR47" s="125">
        <v>0.10471338277587522</v>
      </c>
      <c r="BS47" s="125">
        <v>0.1047133674078333</v>
      </c>
      <c r="BT47" s="125">
        <v>0.10471337926994592</v>
      </c>
      <c r="BU47" s="125">
        <v>0.10471337934367268</v>
      </c>
      <c r="BV47" s="125">
        <v>0.1047133807970026</v>
      </c>
      <c r="BW47" s="125">
        <v>0.10471338178633291</v>
      </c>
      <c r="BX47" s="125">
        <v>0.10471337775664938</v>
      </c>
      <c r="BY47" s="125">
        <v>0.10471338157119188</v>
      </c>
      <c r="BZ47" s="125">
        <v>0.10471338168467352</v>
      </c>
      <c r="CA47" s="125">
        <v>0.10471338129849424</v>
      </c>
      <c r="CB47" s="125">
        <v>0.10471337983292897</v>
      </c>
      <c r="CC47" s="125">
        <v>0.10471337883524613</v>
      </c>
      <c r="CD47" s="125">
        <v>0.10471338096664745</v>
      </c>
      <c r="CE47" s="125">
        <v>0.10471337767039936</v>
      </c>
      <c r="CF47" s="125">
        <v>0.10471337947698743</v>
      </c>
      <c r="CG47" s="125">
        <v>0.10471338115440292</v>
      </c>
      <c r="CH47" s="125">
        <v>0.10471337559135188</v>
      </c>
      <c r="CI47" s="125">
        <v>0.10471337764052743</v>
      </c>
      <c r="CJ47" s="125">
        <v>0.10471336775532747</v>
      </c>
      <c r="CK47" s="125">
        <v>0.10471336349510872</v>
      </c>
      <c r="CL47" s="125">
        <v>0.10471337920352748</v>
      </c>
      <c r="CM47" s="125">
        <v>0.10471336018935953</v>
      </c>
      <c r="CN47" s="125">
        <v>0.10471337670594995</v>
      </c>
      <c r="CO47" s="125">
        <v>0.10471337454761549</v>
      </c>
      <c r="CP47" s="125">
        <v>0.10471337745010151</v>
      </c>
      <c r="CQ47" s="125">
        <v>0.10471335838558855</v>
      </c>
      <c r="CR47" s="125">
        <v>0.10471337606497269</v>
      </c>
      <c r="CS47" s="125">
        <v>0.10471337840049272</v>
      </c>
      <c r="CT47" s="125">
        <v>0.10471337426639721</v>
      </c>
      <c r="CU47" s="125">
        <v>0.10471337566242195</v>
      </c>
      <c r="CV47" s="125">
        <v>0.10471334105557006</v>
      </c>
      <c r="CW47" s="125">
        <v>0.10471337003527725</v>
      </c>
      <c r="CX47" s="125">
        <v>0.10471334093598199</v>
      </c>
    </row>
    <row r="48" spans="1:102" s="115" customFormat="1">
      <c r="A48" s="126"/>
      <c r="B48" s="67" t="s">
        <v>114</v>
      </c>
      <c r="C48" s="125">
        <v>0.63055865991328197</v>
      </c>
      <c r="D48" s="125">
        <v>0.63055865945301248</v>
      </c>
      <c r="E48" s="125">
        <v>0.63055865889301177</v>
      </c>
      <c r="F48" s="125">
        <v>0.6305586584530205</v>
      </c>
      <c r="G48" s="125">
        <v>0.63055865936712918</v>
      </c>
      <c r="H48" s="125">
        <v>0.63055865890568674</v>
      </c>
      <c r="I48" s="125">
        <v>0.63055865734757699</v>
      </c>
      <c r="J48" s="125">
        <v>0.63055865751687634</v>
      </c>
      <c r="K48" s="125">
        <v>0.63055865569418579</v>
      </c>
      <c r="L48" s="125">
        <v>0.63055865752603024</v>
      </c>
      <c r="M48" s="125">
        <v>0.63055865732947924</v>
      </c>
      <c r="N48" s="125">
        <v>0.63055865644844089</v>
      </c>
      <c r="O48" s="125">
        <v>0.63055866262204452</v>
      </c>
      <c r="P48" s="125">
        <v>0.63055865748450157</v>
      </c>
      <c r="Q48" s="125">
        <v>0.63055866166518704</v>
      </c>
      <c r="R48" s="125">
        <v>0.63055865786205201</v>
      </c>
      <c r="S48" s="125">
        <v>0.63055865844272474</v>
      </c>
      <c r="T48" s="125">
        <v>0.63055866361786217</v>
      </c>
      <c r="U48" s="125">
        <v>0.63055866314949149</v>
      </c>
      <c r="V48" s="125">
        <v>0.63055865765574981</v>
      </c>
      <c r="W48" s="125">
        <v>0.63055865743607098</v>
      </c>
      <c r="X48" s="125">
        <v>0.6305586587023948</v>
      </c>
      <c r="Y48" s="125">
        <v>0.6305586571591808</v>
      </c>
      <c r="Z48" s="125">
        <v>0.63055865414951928</v>
      </c>
      <c r="AA48" s="125">
        <v>0.63055865676606759</v>
      </c>
      <c r="AB48" s="125">
        <v>0.63055865377667908</v>
      </c>
      <c r="AC48" s="125">
        <v>0.63055865895403673</v>
      </c>
      <c r="AD48" s="125">
        <v>0.63055865558758284</v>
      </c>
      <c r="AE48" s="125">
        <v>0.63055865651458465</v>
      </c>
      <c r="AF48" s="125">
        <v>0.63055865105223441</v>
      </c>
      <c r="AG48" s="125">
        <v>0.63055867245105446</v>
      </c>
      <c r="AH48" s="125">
        <v>0.63055866170958053</v>
      </c>
      <c r="AI48" s="125">
        <v>0.63055865734653271</v>
      </c>
      <c r="AJ48" s="125">
        <v>0.63055865865898097</v>
      </c>
      <c r="AK48" s="125">
        <v>0.63055867566549573</v>
      </c>
      <c r="AL48" s="125">
        <v>0.63055866580688313</v>
      </c>
      <c r="AM48" s="125">
        <v>0.63055866104645042</v>
      </c>
      <c r="AN48" s="125">
        <v>0.63055865429168279</v>
      </c>
      <c r="AO48" s="125">
        <v>0.63055867629124129</v>
      </c>
      <c r="AP48" s="125">
        <v>0.63055865302621883</v>
      </c>
      <c r="AQ48" s="125">
        <v>0.63055864833444464</v>
      </c>
      <c r="AR48" s="125">
        <v>0.63055864973645492</v>
      </c>
      <c r="AS48" s="125">
        <v>0.63055865382877063</v>
      </c>
      <c r="AT48" s="125">
        <v>0.63055868634680157</v>
      </c>
      <c r="AU48" s="125">
        <v>0.63055865686253998</v>
      </c>
      <c r="AV48" s="125">
        <v>0.63055865013677281</v>
      </c>
      <c r="AW48" s="125">
        <v>0.63055865278558265</v>
      </c>
      <c r="AX48" s="125">
        <v>0.63055864706474529</v>
      </c>
      <c r="AY48" s="125">
        <v>0.6305586852887437</v>
      </c>
      <c r="AZ48" s="125">
        <v>0.63055868150526084</v>
      </c>
      <c r="BA48" s="125">
        <v>0.63055865575494618</v>
      </c>
      <c r="BB48" s="125">
        <v>0.6305586704881494</v>
      </c>
      <c r="BC48" s="125">
        <v>0.63055864378327653</v>
      </c>
      <c r="BD48" s="125">
        <v>0.63055864465914269</v>
      </c>
      <c r="BE48" s="125">
        <v>0.63055865289030444</v>
      </c>
      <c r="BF48" s="125">
        <v>0.63055864902593795</v>
      </c>
      <c r="BG48" s="125">
        <v>0.63055864680272866</v>
      </c>
      <c r="BH48" s="125">
        <v>0.6305586527002327</v>
      </c>
      <c r="BI48" s="125">
        <v>0.63055864968375164</v>
      </c>
      <c r="BJ48" s="125">
        <v>0.63055866060670607</v>
      </c>
      <c r="BK48" s="125">
        <v>0.63055865063268035</v>
      </c>
      <c r="BL48" s="125">
        <v>0.63055866157460927</v>
      </c>
      <c r="BM48" s="125">
        <v>0.63055867347408312</v>
      </c>
      <c r="BN48" s="125">
        <v>0.63055867450604164</v>
      </c>
      <c r="BO48" s="125">
        <v>0.6305586475775764</v>
      </c>
      <c r="BP48" s="125">
        <v>0.63055866329679322</v>
      </c>
      <c r="BQ48" s="125">
        <v>0.63055863285078373</v>
      </c>
      <c r="BR48" s="125">
        <v>0.63055864631726144</v>
      </c>
      <c r="BS48" s="125">
        <v>0.63055871738010205</v>
      </c>
      <c r="BT48" s="125">
        <v>0.63055865064938466</v>
      </c>
      <c r="BU48" s="125">
        <v>0.63055867228481199</v>
      </c>
      <c r="BV48" s="125">
        <v>0.63055863023809677</v>
      </c>
      <c r="BW48" s="125">
        <v>0.63055863595755401</v>
      </c>
      <c r="BX48" s="125">
        <v>0.63055867110168251</v>
      </c>
      <c r="BY48" s="125">
        <v>0.63055863906134357</v>
      </c>
      <c r="BZ48" s="125">
        <v>0.63055863840469428</v>
      </c>
      <c r="CA48" s="125">
        <v>0.63055863524008515</v>
      </c>
      <c r="CB48" s="125">
        <v>0.63055865959313206</v>
      </c>
      <c r="CC48" s="125">
        <v>0.63055867642768093</v>
      </c>
      <c r="CD48" s="125">
        <v>0.63055865485480278</v>
      </c>
      <c r="CE48" s="125">
        <v>0.6305586664850642</v>
      </c>
      <c r="CF48" s="125">
        <v>0.63055863555402758</v>
      </c>
      <c r="CG48" s="125">
        <v>0.63055863937233791</v>
      </c>
      <c r="CH48" s="125">
        <v>0.63055864035804754</v>
      </c>
      <c r="CI48" s="125">
        <v>0.63055867035471214</v>
      </c>
      <c r="CJ48" s="125">
        <v>0.63055870661610802</v>
      </c>
      <c r="CK48" s="125">
        <v>0.63055871874684732</v>
      </c>
      <c r="CL48" s="125">
        <v>0.63055862760115899</v>
      </c>
      <c r="CM48" s="125">
        <v>0.63055872016368375</v>
      </c>
      <c r="CN48" s="125">
        <v>0.6305586138604139</v>
      </c>
      <c r="CO48" s="125">
        <v>0.63055867317672853</v>
      </c>
      <c r="CP48" s="125">
        <v>0.63055866322479781</v>
      </c>
      <c r="CQ48" s="125">
        <v>0.63055871697932808</v>
      </c>
      <c r="CR48" s="125">
        <v>0.63055865841520253</v>
      </c>
      <c r="CS48" s="125">
        <v>0.63055862663497653</v>
      </c>
      <c r="CT48" s="125">
        <v>0.63055867114863118</v>
      </c>
      <c r="CU48" s="125">
        <v>0.6305586267738883</v>
      </c>
      <c r="CV48" s="125">
        <v>0.63055879614948473</v>
      </c>
      <c r="CW48" s="125">
        <v>0.63055865215847451</v>
      </c>
      <c r="CX48" s="125">
        <v>0.63055879238158186</v>
      </c>
    </row>
    <row r="49" spans="1:102" s="131" customFormat="1">
      <c r="A49" s="108" t="str">
        <f>Parameters!A42</f>
        <v>Inflatie is een fiscaal verschijnsel</v>
      </c>
      <c r="B49" s="122" t="s">
        <v>29</v>
      </c>
      <c r="C49" s="123">
        <v>3.278443684777479E-11</v>
      </c>
      <c r="D49" s="123">
        <v>1.974788406425226E-10</v>
      </c>
      <c r="E49" s="123">
        <v>1.3151139447013863E-10</v>
      </c>
      <c r="F49" s="123">
        <v>3.6908375717298021E-10</v>
      </c>
      <c r="G49" s="123">
        <v>5.6152138030581693E-10</v>
      </c>
      <c r="H49" s="123">
        <v>7.3369833185991609E-10</v>
      </c>
      <c r="I49" s="123">
        <v>3.4929851697413982E-10</v>
      </c>
      <c r="J49" s="123">
        <v>9.9724167081736586E-10</v>
      </c>
      <c r="K49" s="123">
        <v>9.1470512259953058E-10</v>
      </c>
      <c r="L49" s="123">
        <v>1.0904255600744351E-9</v>
      </c>
      <c r="M49" s="123">
        <v>8.6367015417716989E-10</v>
      </c>
      <c r="N49" s="123">
        <v>1.0388110653863688E-9</v>
      </c>
      <c r="O49" s="123">
        <v>1.8676665352117934E-9</v>
      </c>
      <c r="P49" s="123">
        <v>8.4589714686241157E-10</v>
      </c>
      <c r="Q49" s="123">
        <v>8.7031183661381559E-10</v>
      </c>
      <c r="R49" s="123">
        <v>1.3928658964322607E-9</v>
      </c>
      <c r="S49" s="123">
        <v>8.0461826621786224E-10</v>
      </c>
      <c r="T49" s="123">
        <v>1.3722403956922946E-9</v>
      </c>
      <c r="U49" s="123">
        <v>1.7533694080867618E-9</v>
      </c>
      <c r="V49" s="123">
        <v>1.2137663621663237E-9</v>
      </c>
      <c r="W49" s="123">
        <v>2.0228434903642052E-9</v>
      </c>
      <c r="X49" s="123">
        <v>1.8247395199064558E-9</v>
      </c>
      <c r="Y49" s="123">
        <v>1.4475171621637367E-9</v>
      </c>
      <c r="Z49" s="123">
        <v>8.8346973784076757E-10</v>
      </c>
      <c r="AA49" s="123">
        <v>1.2795438066500692E-9</v>
      </c>
      <c r="AB49" s="123">
        <v>8.7990694589379848E-10</v>
      </c>
      <c r="AC49" s="123">
        <v>1.988559797576546E-9</v>
      </c>
      <c r="AD49" s="123">
        <v>1.5150325819976569E-9</v>
      </c>
      <c r="AE49" s="123">
        <v>1.3259487226234712E-9</v>
      </c>
      <c r="AF49" s="123">
        <v>2.0158226603749978E-9</v>
      </c>
      <c r="AG49" s="123">
        <v>4.6548277972552483E-9</v>
      </c>
      <c r="AH49" s="123">
        <v>1.6111758850033838E-9</v>
      </c>
      <c r="AI49" s="123">
        <v>1.3559008051217813E-9</v>
      </c>
      <c r="AJ49" s="123">
        <v>2.3101677944183922E-9</v>
      </c>
      <c r="AK49" s="123">
        <v>5.8872059807525324E-9</v>
      </c>
      <c r="AL49" s="123">
        <v>3.2120167032238748E-9</v>
      </c>
      <c r="AM49" s="123">
        <v>2.3987270300480135E-9</v>
      </c>
      <c r="AN49" s="123">
        <v>2.7488264668746818E-9</v>
      </c>
      <c r="AO49" s="123">
        <v>6.241455143060191E-9</v>
      </c>
      <c r="AP49" s="123">
        <v>2.3897098524401364E-9</v>
      </c>
      <c r="AQ49" s="123">
        <v>3.7190517491609204E-9</v>
      </c>
      <c r="AR49" s="123">
        <v>3.1103953976894799E-9</v>
      </c>
      <c r="AS49" s="123">
        <v>2.145859013005932E-9</v>
      </c>
      <c r="AT49" s="123">
        <v>8.5761743106157046E-9</v>
      </c>
      <c r="AU49" s="123">
        <v>2.7207695647873111E-9</v>
      </c>
      <c r="AV49" s="123">
        <v>2.0170927923121765E-9</v>
      </c>
      <c r="AW49" s="123">
        <v>3.2465748852593013E-9</v>
      </c>
      <c r="AX49" s="123">
        <v>1.6044434017536863E-9</v>
      </c>
      <c r="AY49" s="123">
        <v>9.4794500688440086E-9</v>
      </c>
      <c r="AZ49" s="123">
        <v>8.0233045181020995E-9</v>
      </c>
      <c r="BA49" s="123">
        <v>4.0786403829525165E-9</v>
      </c>
      <c r="BB49" s="123">
        <v>4.302331705504155E-9</v>
      </c>
      <c r="BC49" s="123">
        <v>2.4154172526303283E-9</v>
      </c>
      <c r="BD49" s="123">
        <v>1.9807131143790121E-9</v>
      </c>
      <c r="BE49" s="123">
        <v>3.7230004080267272E-9</v>
      </c>
      <c r="BF49" s="123">
        <v>5.6048909855613841E-9</v>
      </c>
      <c r="BG49" s="123">
        <v>3.9985553170714689E-9</v>
      </c>
      <c r="BH49" s="123">
        <v>3.8909385582759397E-9</v>
      </c>
      <c r="BI49" s="123">
        <v>4.8413303999340964E-9</v>
      </c>
      <c r="BJ49" s="123">
        <v>7.0001762454548036E-9</v>
      </c>
      <c r="BK49" s="123">
        <v>6.2526612298736032E-9</v>
      </c>
      <c r="BL49" s="123">
        <v>6.699130766216792E-9</v>
      </c>
      <c r="BM49" s="123">
        <v>9.7910208705197129E-9</v>
      </c>
      <c r="BN49" s="123">
        <v>7.2325210472095919E-9</v>
      </c>
      <c r="BO49" s="123">
        <v>3.88588086835115E-9</v>
      </c>
      <c r="BP49" s="123">
        <v>9.5940800084281023E-9</v>
      </c>
      <c r="BQ49" s="123">
        <v>6.1717461497401808E-9</v>
      </c>
      <c r="BR49" s="123">
        <v>5.1580223889273184E-9</v>
      </c>
      <c r="BS49" s="123">
        <v>1.8334816121421104E-8</v>
      </c>
      <c r="BT49" s="123">
        <v>7.0154424556121573E-9</v>
      </c>
      <c r="BU49" s="123">
        <v>8.3892163762703383E-9</v>
      </c>
      <c r="BV49" s="123">
        <v>6.2983155123439435E-9</v>
      </c>
      <c r="BW49" s="123">
        <v>8.8339631444618344E-9</v>
      </c>
      <c r="BX49" s="123">
        <v>9.9750724056779248E-9</v>
      </c>
      <c r="BY49" s="123">
        <v>5.5884663619697914E-9</v>
      </c>
      <c r="BZ49" s="123">
        <v>7.5399538136538818E-9</v>
      </c>
      <c r="CA49" s="123">
        <v>5.6827502326660027E-9</v>
      </c>
      <c r="CB49" s="123">
        <v>7.9180505592788809E-9</v>
      </c>
      <c r="CC49" s="123">
        <v>9.4963362912448499E-9</v>
      </c>
      <c r="CD49" s="123">
        <v>5.5109893803470494E-9</v>
      </c>
      <c r="CE49" s="123">
        <v>1.0107750184625144E-8</v>
      </c>
      <c r="CF49" s="123">
        <v>8.5163363083524145E-9</v>
      </c>
      <c r="CG49" s="123">
        <v>7.1498191639028908E-9</v>
      </c>
      <c r="CH49" s="123">
        <v>1.1085882008583185E-8</v>
      </c>
      <c r="CI49" s="123">
        <v>9.7736206551131138E-9</v>
      </c>
      <c r="CJ49" s="123">
        <v>1.8907837251529693E-8</v>
      </c>
      <c r="CK49" s="123">
        <v>2.2766834337104003E-8</v>
      </c>
      <c r="CL49" s="123">
        <v>9.3529752171905169E-9</v>
      </c>
      <c r="CM49" s="123">
        <v>2.4611737226163962E-8</v>
      </c>
      <c r="CN49" s="123">
        <v>1.0802463120093819E-8</v>
      </c>
      <c r="CO49" s="123">
        <v>1.5579893540916299E-8</v>
      </c>
      <c r="CP49" s="123">
        <v>1.2254509471355803E-8</v>
      </c>
      <c r="CQ49" s="123">
        <v>2.8965940636775325E-8</v>
      </c>
      <c r="CR49" s="123">
        <v>1.3152271919047776E-8</v>
      </c>
      <c r="CS49" s="123">
        <v>1.1578914668384169E-8</v>
      </c>
      <c r="CT49" s="123">
        <v>1.4675210547208716E-8</v>
      </c>
      <c r="CU49" s="123">
        <v>1.4608130400051447E-8</v>
      </c>
      <c r="CV49" s="123">
        <v>4.3523247841159271E-8</v>
      </c>
      <c r="CW49" s="123">
        <v>1.835373535478354E-8</v>
      </c>
      <c r="CX49" s="123">
        <v>4.4123419967397231E-8</v>
      </c>
    </row>
    <row r="50" spans="1:102" s="115" customFormat="1">
      <c r="A50" s="23"/>
      <c r="B50" s="14" t="s">
        <v>30</v>
      </c>
      <c r="C50" s="125">
        <v>2.9999999990152584E-2</v>
      </c>
      <c r="D50" s="125">
        <v>2.9999999926532035E-2</v>
      </c>
      <c r="E50" s="125">
        <v>2.9999999884124353E-2</v>
      </c>
      <c r="F50" s="125">
        <v>2.9999999907422723E-2</v>
      </c>
      <c r="G50" s="125">
        <v>2.9999999794236617E-2</v>
      </c>
      <c r="H50" s="125">
        <v>2.9999999819008378E-2</v>
      </c>
      <c r="I50" s="125">
        <v>2.9999999689040067E-2</v>
      </c>
      <c r="J50" s="125">
        <v>2.9999999632982745E-2</v>
      </c>
      <c r="K50" s="125">
        <v>2.9999999736417687E-2</v>
      </c>
      <c r="L50" s="125">
        <v>2.9999999669697117E-2</v>
      </c>
      <c r="M50" s="125">
        <v>2.9999999673130863E-2</v>
      </c>
      <c r="N50" s="125">
        <v>2.9999999673430647E-2</v>
      </c>
      <c r="O50" s="125">
        <v>2.9999999452386142E-2</v>
      </c>
      <c r="P50" s="125">
        <v>2.9999999594713157E-2</v>
      </c>
      <c r="Q50" s="125">
        <v>2.9999999481428702E-2</v>
      </c>
      <c r="R50" s="125">
        <v>2.9999999578218483E-2</v>
      </c>
      <c r="S50" s="125">
        <v>2.9999999418083581E-2</v>
      </c>
      <c r="T50" s="125">
        <v>2.9999999314813949E-2</v>
      </c>
      <c r="U50" s="125">
        <v>2.9999999647795577E-2</v>
      </c>
      <c r="V50" s="125">
        <v>2.9999999438384328E-2</v>
      </c>
      <c r="W50" s="125">
        <v>2.9999999256322456E-2</v>
      </c>
      <c r="X50" s="125">
        <v>2.999999955276153E-2</v>
      </c>
      <c r="Y50" s="125">
        <v>2.9999999337759854E-2</v>
      </c>
      <c r="Z50" s="125">
        <v>2.9999999388947273E-2</v>
      </c>
      <c r="AA50" s="125">
        <v>2.9999999415353799E-2</v>
      </c>
      <c r="AB50" s="125">
        <v>2.9999999258278807E-2</v>
      </c>
      <c r="AC50" s="125">
        <v>2.9999999155801104E-2</v>
      </c>
      <c r="AD50" s="125">
        <v>2.9999999362369387E-2</v>
      </c>
      <c r="AE50" s="125">
        <v>2.9999999269955731E-2</v>
      </c>
      <c r="AF50" s="125">
        <v>2.9999999478728407E-2</v>
      </c>
      <c r="AG50" s="125">
        <v>2.9999998651671553E-2</v>
      </c>
      <c r="AH50" s="125">
        <v>2.9999999131728492E-2</v>
      </c>
      <c r="AI50" s="125">
        <v>2.9999999040748522E-2</v>
      </c>
      <c r="AJ50" s="125">
        <v>2.9999998921213213E-2</v>
      </c>
      <c r="AK50" s="125">
        <v>2.9999998124659394E-2</v>
      </c>
      <c r="AL50" s="125">
        <v>2.9999999324750715E-2</v>
      </c>
      <c r="AM50" s="125">
        <v>2.9999999119689796E-2</v>
      </c>
      <c r="AN50" s="125">
        <v>2.9999998822928749E-2</v>
      </c>
      <c r="AO50" s="125">
        <v>2.9999997991555855E-2</v>
      </c>
      <c r="AP50" s="125">
        <v>2.9999998806538485E-2</v>
      </c>
      <c r="AQ50" s="125">
        <v>2.9999998796754877E-2</v>
      </c>
      <c r="AR50" s="125">
        <v>2.9999999062443546E-2</v>
      </c>
      <c r="AS50" s="125">
        <v>2.9999998742296457E-2</v>
      </c>
      <c r="AT50" s="125">
        <v>2.9999997434473413E-2</v>
      </c>
      <c r="AU50" s="125">
        <v>2.9999998719217016E-2</v>
      </c>
      <c r="AV50" s="125">
        <v>2.9999998679368593E-2</v>
      </c>
      <c r="AW50" s="125">
        <v>2.9999998950812366E-2</v>
      </c>
      <c r="AX50" s="125">
        <v>2.9999998477677529E-2</v>
      </c>
      <c r="AY50" s="125">
        <v>2.9999997152022877E-2</v>
      </c>
      <c r="AZ50" s="125">
        <v>2.9999997644859482E-2</v>
      </c>
      <c r="BA50" s="125">
        <v>2.9999998367449824E-2</v>
      </c>
      <c r="BB50" s="125">
        <v>2.9999998081123885E-2</v>
      </c>
      <c r="BC50" s="125">
        <v>2.9999998319847076E-2</v>
      </c>
      <c r="BD50" s="125">
        <v>2.999999817247307E-2</v>
      </c>
      <c r="BE50" s="125">
        <v>2.9999998383400169E-2</v>
      </c>
      <c r="BF50" s="125">
        <v>2.9999997927637353E-2</v>
      </c>
      <c r="BG50" s="125">
        <v>2.9999998331969115E-2</v>
      </c>
      <c r="BH50" s="125">
        <v>2.9999997785165114E-2</v>
      </c>
      <c r="BI50" s="125">
        <v>2.9999998366988519E-2</v>
      </c>
      <c r="BJ50" s="125">
        <v>2.999999803900438E-2</v>
      </c>
      <c r="BK50" s="125">
        <v>2.9999997425981226E-2</v>
      </c>
      <c r="BL50" s="125">
        <v>2.9999997958295128E-2</v>
      </c>
      <c r="BM50" s="125">
        <v>2.999999703263349E-2</v>
      </c>
      <c r="BN50" s="125">
        <v>2.9999998537374475E-2</v>
      </c>
      <c r="BO50" s="125">
        <v>2.999999769655563E-2</v>
      </c>
      <c r="BP50" s="125">
        <v>2.999999662871454E-2</v>
      </c>
      <c r="BQ50" s="125">
        <v>2.9999998199587059E-2</v>
      </c>
      <c r="BR50" s="125">
        <v>2.9999997402935921E-2</v>
      </c>
      <c r="BS50" s="125">
        <v>2.9999994500821265E-2</v>
      </c>
      <c r="BT50" s="125">
        <v>2.9999997166994471E-2</v>
      </c>
      <c r="BU50" s="125">
        <v>2.9999997693885515E-2</v>
      </c>
      <c r="BV50" s="125">
        <v>2.999999795830369E-2</v>
      </c>
      <c r="BW50" s="125">
        <v>2.9999997064207473E-2</v>
      </c>
      <c r="BX50" s="125">
        <v>2.9999996949401985E-2</v>
      </c>
      <c r="BY50" s="125">
        <v>2.9999997175359967E-2</v>
      </c>
      <c r="BZ50" s="125">
        <v>2.9999997883108184E-2</v>
      </c>
      <c r="CA50" s="125">
        <v>2.9999996748266072E-2</v>
      </c>
      <c r="CB50" s="125">
        <v>2.9999997452786201E-2</v>
      </c>
      <c r="CC50" s="125">
        <v>2.9999998002650432E-2</v>
      </c>
      <c r="CD50" s="125">
        <v>2.9999996511640356E-2</v>
      </c>
      <c r="CE50" s="125">
        <v>2.9999996011357288E-2</v>
      </c>
      <c r="CF50" s="125">
        <v>2.9999997213878235E-2</v>
      </c>
      <c r="CG50" s="125">
        <v>2.9999997036466143E-2</v>
      </c>
      <c r="CH50" s="125">
        <v>2.9999996314750973E-2</v>
      </c>
      <c r="CI50" s="125">
        <v>2.9999997341003795E-2</v>
      </c>
      <c r="CJ50" s="125">
        <v>2.9999994347799097E-2</v>
      </c>
      <c r="CK50" s="125">
        <v>2.9999992761840098E-2</v>
      </c>
      <c r="CL50" s="125">
        <v>2.999999519318473E-2</v>
      </c>
      <c r="CM50" s="125">
        <v>2.9999991657311858E-2</v>
      </c>
      <c r="CN50" s="125">
        <v>2.9999995864224534E-2</v>
      </c>
      <c r="CO50" s="125">
        <v>2.9999996013064769E-2</v>
      </c>
      <c r="CP50" s="125">
        <v>2.9999995962095152E-2</v>
      </c>
      <c r="CQ50" s="125">
        <v>2.9999991327126052E-2</v>
      </c>
      <c r="CR50" s="125">
        <v>2.9999995862153638E-2</v>
      </c>
      <c r="CS50" s="125">
        <v>2.999999520638574E-2</v>
      </c>
      <c r="CT50" s="125">
        <v>2.9999995902878447E-2</v>
      </c>
      <c r="CU50" s="125">
        <v>2.9999995764696252E-2</v>
      </c>
      <c r="CV50" s="125">
        <v>2.9999986942094117E-2</v>
      </c>
      <c r="CW50" s="125">
        <v>2.9999993746609135E-2</v>
      </c>
      <c r="CX50" s="125">
        <v>2.9999986677932411E-2</v>
      </c>
    </row>
    <row r="51" spans="1:102" s="115" customFormat="1">
      <c r="A51" s="23"/>
      <c r="B51" s="67" t="s">
        <v>56</v>
      </c>
      <c r="C51" s="125">
        <v>0.10897750336055818</v>
      </c>
      <c r="D51" s="125">
        <v>0.10897750329578201</v>
      </c>
      <c r="E51" s="125">
        <v>0.10897750324501354</v>
      </c>
      <c r="F51" s="125">
        <v>0.10897750316914122</v>
      </c>
      <c r="G51" s="125">
        <v>0.10897750304704142</v>
      </c>
      <c r="H51" s="125">
        <v>0.10897750295651235</v>
      </c>
      <c r="I51" s="125">
        <v>0.10897750299192961</v>
      </c>
      <c r="J51" s="125">
        <v>0.1089775031298566</v>
      </c>
      <c r="K51" s="125">
        <v>0.10897750283702841</v>
      </c>
      <c r="L51" s="125">
        <v>0.10897750263440756</v>
      </c>
      <c r="M51" s="125">
        <v>0.10897750277757771</v>
      </c>
      <c r="N51" s="125">
        <v>0.10897750284782592</v>
      </c>
      <c r="O51" s="125">
        <v>0.10897750167941415</v>
      </c>
      <c r="P51" s="125">
        <v>0.10897750293525851</v>
      </c>
      <c r="Q51" s="125">
        <v>0.10897750306110041</v>
      </c>
      <c r="R51" s="125">
        <v>0.10897750260961603</v>
      </c>
      <c r="S51" s="125">
        <v>0.10897750285457554</v>
      </c>
      <c r="T51" s="125">
        <v>0.10897750250621624</v>
      </c>
      <c r="U51" s="125">
        <v>0.10897750236437875</v>
      </c>
      <c r="V51" s="125">
        <v>0.10897750275926826</v>
      </c>
      <c r="W51" s="125">
        <v>0.10897750242621765</v>
      </c>
      <c r="X51" s="125">
        <v>0.10897750222510021</v>
      </c>
      <c r="Y51" s="125">
        <v>0.10897750267272498</v>
      </c>
      <c r="Z51" s="125">
        <v>0.10897750254648608</v>
      </c>
      <c r="AA51" s="125">
        <v>0.10897750269819051</v>
      </c>
      <c r="AB51" s="125">
        <v>0.10897750245137866</v>
      </c>
      <c r="AC51" s="125">
        <v>0.10897750183017343</v>
      </c>
      <c r="AD51" s="125">
        <v>0.1089775024990237</v>
      </c>
      <c r="AE51" s="125">
        <v>0.10897750220275354</v>
      </c>
      <c r="AF51" s="125">
        <v>0.10897750221965861</v>
      </c>
      <c r="AG51" s="125">
        <v>0.1089774988202397</v>
      </c>
      <c r="AH51" s="125">
        <v>0.10897750269909945</v>
      </c>
      <c r="AI51" s="125">
        <v>0.10897750247369739</v>
      </c>
      <c r="AJ51" s="125">
        <v>0.10897750202575916</v>
      </c>
      <c r="AK51" s="125">
        <v>0.1089774972946598</v>
      </c>
      <c r="AL51" s="125">
        <v>0.10897750150075147</v>
      </c>
      <c r="AM51" s="125">
        <v>0.10897750192165799</v>
      </c>
      <c r="AN51" s="125">
        <v>0.1089775020139578</v>
      </c>
      <c r="AO51" s="125">
        <v>0.10897749667925075</v>
      </c>
      <c r="AP51" s="125">
        <v>0.10897750205782718</v>
      </c>
      <c r="AQ51" s="125">
        <v>0.10897750194964646</v>
      </c>
      <c r="AR51" s="125">
        <v>0.10897750171078427</v>
      </c>
      <c r="AS51" s="125">
        <v>0.10897750173748394</v>
      </c>
      <c r="AT51" s="125">
        <v>0.10897749428519267</v>
      </c>
      <c r="AU51" s="125">
        <v>0.1089775018814403</v>
      </c>
      <c r="AV51" s="125">
        <v>0.10897750166417025</v>
      </c>
      <c r="AW51" s="125">
        <v>0.10897750174648078</v>
      </c>
      <c r="AX51" s="125">
        <v>0.10897750147067764</v>
      </c>
      <c r="AY51" s="125">
        <v>0.10897749332376519</v>
      </c>
      <c r="AZ51" s="125">
        <v>0.10897749540067041</v>
      </c>
      <c r="BA51" s="125">
        <v>0.10897750079184351</v>
      </c>
      <c r="BB51" s="125">
        <v>0.10897750047980824</v>
      </c>
      <c r="BC51" s="125">
        <v>0.10897750104058225</v>
      </c>
      <c r="BD51" s="125">
        <v>0.10897750109166345</v>
      </c>
      <c r="BE51" s="125">
        <v>0.10897750127016691</v>
      </c>
      <c r="BF51" s="125">
        <v>0.10897750156667145</v>
      </c>
      <c r="BG51" s="125">
        <v>0.10897750101266747</v>
      </c>
      <c r="BH51" s="125">
        <v>0.1089775009206765</v>
      </c>
      <c r="BI51" s="125">
        <v>0.10897750098344362</v>
      </c>
      <c r="BJ51" s="125">
        <v>0.108977500145523</v>
      </c>
      <c r="BK51" s="125">
        <v>0.10897750149425159</v>
      </c>
      <c r="BL51" s="125">
        <v>0.1089775004718347</v>
      </c>
      <c r="BM51" s="125">
        <v>0.10897749477501252</v>
      </c>
      <c r="BN51" s="125">
        <v>0.10897749907129277</v>
      </c>
      <c r="BO51" s="125">
        <v>0.10897749983749479</v>
      </c>
      <c r="BP51" s="125">
        <v>0.10897749727312553</v>
      </c>
      <c r="BQ51" s="125">
        <v>0.10897749968212461</v>
      </c>
      <c r="BR51" s="125">
        <v>0.10897750061897889</v>
      </c>
      <c r="BS51" s="125">
        <v>0.10897748342464576</v>
      </c>
      <c r="BT51" s="125">
        <v>0.10897749709487353</v>
      </c>
      <c r="BU51" s="125">
        <v>0.10897749763060606</v>
      </c>
      <c r="BV51" s="125">
        <v>0.10897749934268373</v>
      </c>
      <c r="BW51" s="125">
        <v>0.1089775002689954</v>
      </c>
      <c r="BX51" s="125">
        <v>0.10897749550090152</v>
      </c>
      <c r="BY51" s="125">
        <v>0.10897749965459241</v>
      </c>
      <c r="BZ51" s="125">
        <v>0.10897749951689774</v>
      </c>
      <c r="CA51" s="125">
        <v>0.10897749979714103</v>
      </c>
      <c r="CB51" s="125">
        <v>0.1089774986962273</v>
      </c>
      <c r="CC51" s="125">
        <v>0.10897749786037317</v>
      </c>
      <c r="CD51" s="125">
        <v>0.10897750024852808</v>
      </c>
      <c r="CE51" s="125">
        <v>0.10897749566640996</v>
      </c>
      <c r="CF51" s="125">
        <v>0.10897749889002248</v>
      </c>
      <c r="CG51" s="125">
        <v>0.10897749910072864</v>
      </c>
      <c r="CH51" s="125">
        <v>0.10897749417968805</v>
      </c>
      <c r="CI51" s="125">
        <v>0.10897749704812124</v>
      </c>
      <c r="CJ51" s="125">
        <v>0.10897748485600582</v>
      </c>
      <c r="CK51" s="125">
        <v>0.10897747975947994</v>
      </c>
      <c r="CL51" s="125">
        <v>0.10897749828049641</v>
      </c>
      <c r="CM51" s="125">
        <v>0.10897747723465587</v>
      </c>
      <c r="CN51" s="125">
        <v>0.10897749626697648</v>
      </c>
      <c r="CO51" s="125">
        <v>0.10897749347566603</v>
      </c>
      <c r="CP51" s="125">
        <v>0.10897749712274181</v>
      </c>
      <c r="CQ51" s="125">
        <v>0.10897747530253711</v>
      </c>
      <c r="CR51" s="125">
        <v>0.10897749591098733</v>
      </c>
      <c r="CS51" s="125">
        <v>0.10897749714968517</v>
      </c>
      <c r="CT51" s="125">
        <v>0.10897749452251324</v>
      </c>
      <c r="CU51" s="125">
        <v>0.10897749566369982</v>
      </c>
      <c r="CV51" s="125">
        <v>0.10897745604329896</v>
      </c>
      <c r="CW51" s="125">
        <v>0.10897749089746667</v>
      </c>
      <c r="CX51" s="125">
        <v>0.10897745612695606</v>
      </c>
    </row>
    <row r="52" spans="1:102" s="116" customFormat="1">
      <c r="A52" s="126"/>
      <c r="B52" s="67" t="s">
        <v>114</v>
      </c>
      <c r="C52" s="125">
        <v>0.63055865944711809</v>
      </c>
      <c r="D52" s="125">
        <v>0.63055865764212493</v>
      </c>
      <c r="E52" s="125">
        <v>0.63055865864978022</v>
      </c>
      <c r="F52" s="125">
        <v>0.63055865556355917</v>
      </c>
      <c r="G52" s="125">
        <v>0.63055865361740737</v>
      </c>
      <c r="H52" s="125">
        <v>0.63055865134764599</v>
      </c>
      <c r="I52" s="125">
        <v>0.63055865672815692</v>
      </c>
      <c r="J52" s="125">
        <v>0.63055864881245072</v>
      </c>
      <c r="K52" s="125">
        <v>0.63055864941699657</v>
      </c>
      <c r="L52" s="125">
        <v>0.63055864748630075</v>
      </c>
      <c r="M52" s="125">
        <v>0.63055865032435887</v>
      </c>
      <c r="N52" s="125">
        <v>0.63055864811992701</v>
      </c>
      <c r="O52" s="125">
        <v>0.63055863862026029</v>
      </c>
      <c r="P52" s="125">
        <v>0.63055865087675023</v>
      </c>
      <c r="Q52" s="125">
        <v>0.63055865104464548</v>
      </c>
      <c r="R52" s="125">
        <v>0.63055864406535367</v>
      </c>
      <c r="S52" s="125">
        <v>0.6305586521366493</v>
      </c>
      <c r="T52" s="125">
        <v>0.63055864542930484</v>
      </c>
      <c r="U52" s="125">
        <v>0.63055863923867395</v>
      </c>
      <c r="V52" s="125">
        <v>0.63055864690467089</v>
      </c>
      <c r="W52" s="125">
        <v>0.63055863749034469</v>
      </c>
      <c r="X52" s="125">
        <v>0.63055863873936946</v>
      </c>
      <c r="Y52" s="125">
        <v>0.6305586443861495</v>
      </c>
      <c r="Z52" s="125">
        <v>0.63055865126691468</v>
      </c>
      <c r="AA52" s="125">
        <v>0.63055864617379775</v>
      </c>
      <c r="AB52" s="125">
        <v>0.63055865185964466</v>
      </c>
      <c r="AC52" s="125">
        <v>0.6305586383431151</v>
      </c>
      <c r="AD52" s="125">
        <v>0.63055864343365187</v>
      </c>
      <c r="AE52" s="125">
        <v>0.63055864619972524</v>
      </c>
      <c r="AF52" s="125">
        <v>0.63055863664608203</v>
      </c>
      <c r="AG52" s="125">
        <v>0.63055860691684074</v>
      </c>
      <c r="AH52" s="125">
        <v>0.63055864319133392</v>
      </c>
      <c r="AI52" s="125">
        <v>0.63055864678404416</v>
      </c>
      <c r="AJ52" s="125">
        <v>0.63055863528112743</v>
      </c>
      <c r="AK52" s="125">
        <v>0.6305585936240492</v>
      </c>
      <c r="AL52" s="125">
        <v>0.63055862224428005</v>
      </c>
      <c r="AM52" s="125">
        <v>0.6305586333348604</v>
      </c>
      <c r="AN52" s="125">
        <v>0.63055863017516744</v>
      </c>
      <c r="AO52" s="125">
        <v>0.63055858972591472</v>
      </c>
      <c r="AP52" s="125">
        <v>0.63055863476138074</v>
      </c>
      <c r="AQ52" s="125">
        <v>0.63055861808002578</v>
      </c>
      <c r="AR52" s="125">
        <v>0.63055862462251155</v>
      </c>
      <c r="AS52" s="125">
        <v>0.6305586380982644</v>
      </c>
      <c r="AT52" s="125">
        <v>0.63055856269237576</v>
      </c>
      <c r="AU52" s="125">
        <v>0.63055863096298603</v>
      </c>
      <c r="AV52" s="125">
        <v>0.63055863998193729</v>
      </c>
      <c r="AW52" s="125">
        <v>0.63055862337753543</v>
      </c>
      <c r="AX52" s="125">
        <v>0.63055864601855638</v>
      </c>
      <c r="AY52" s="125">
        <v>0.63055855251402559</v>
      </c>
      <c r="AZ52" s="125">
        <v>0.63055856876499061</v>
      </c>
      <c r="BA52" s="125">
        <v>0.63055861535674007</v>
      </c>
      <c r="BB52" s="125">
        <v>0.63055861374343447</v>
      </c>
      <c r="BC52" s="125">
        <v>0.63055863647876431</v>
      </c>
      <c r="BD52" s="125">
        <v>0.63055864256506056</v>
      </c>
      <c r="BE52" s="125">
        <v>0.6305586197636105</v>
      </c>
      <c r="BF52" s="125">
        <v>0.63055859800155645</v>
      </c>
      <c r="BG52" s="125">
        <v>0.63055861651294132</v>
      </c>
      <c r="BH52" s="125">
        <v>0.63055862015952924</v>
      </c>
      <c r="BI52" s="125">
        <v>0.63055860576445955</v>
      </c>
      <c r="BJ52" s="125">
        <v>0.63055857998266762</v>
      </c>
      <c r="BK52" s="125">
        <v>0.630558591956485</v>
      </c>
      <c r="BL52" s="125">
        <v>0.63055858410807752</v>
      </c>
      <c r="BM52" s="125">
        <v>0.63055854909525522</v>
      </c>
      <c r="BN52" s="125">
        <v>0.63055857497016166</v>
      </c>
      <c r="BO52" s="125">
        <v>0.63055862059470469</v>
      </c>
      <c r="BP52" s="125">
        <v>0.63055855326635213</v>
      </c>
      <c r="BQ52" s="125">
        <v>0.63055858973050993</v>
      </c>
      <c r="BR52" s="125">
        <v>0.63055860582306389</v>
      </c>
      <c r="BS52" s="125">
        <v>0.63055845223530771</v>
      </c>
      <c r="BT52" s="125">
        <v>0.63055858344709115</v>
      </c>
      <c r="BU52" s="125">
        <v>0.63055856395645005</v>
      </c>
      <c r="BV52" s="125">
        <v>0.63055858915007412</v>
      </c>
      <c r="BW52" s="125">
        <v>0.63055856100211438</v>
      </c>
      <c r="BX52" s="125">
        <v>0.63055854712899106</v>
      </c>
      <c r="BY52" s="125">
        <v>0.63055860136257769</v>
      </c>
      <c r="BZ52" s="125">
        <v>0.63055857384626202</v>
      </c>
      <c r="CA52" s="125">
        <v>0.6305586019674061</v>
      </c>
      <c r="CB52" s="125">
        <v>0.63055857089441791</v>
      </c>
      <c r="CC52" s="125">
        <v>0.63055854873480244</v>
      </c>
      <c r="CD52" s="125">
        <v>0.63055860512026796</v>
      </c>
      <c r="CE52" s="125">
        <v>0.63055854939333511</v>
      </c>
      <c r="CF52" s="125">
        <v>0.63055856437009206</v>
      </c>
      <c r="CG52" s="125">
        <v>0.63055858230403128</v>
      </c>
      <c r="CH52" s="125">
        <v>0.63055853581680732</v>
      </c>
      <c r="CI52" s="125">
        <v>0.63055854802109912</v>
      </c>
      <c r="CJ52" s="125">
        <v>0.63055844566866326</v>
      </c>
      <c r="CK52" s="125">
        <v>0.63055840377476635</v>
      </c>
      <c r="CL52" s="125">
        <v>0.63055856231870022</v>
      </c>
      <c r="CM52" s="125">
        <v>0.63055838519834972</v>
      </c>
      <c r="CN52" s="125">
        <v>0.63055854127118149</v>
      </c>
      <c r="CO52" s="125">
        <v>0.63055848054965336</v>
      </c>
      <c r="CP52" s="125">
        <v>0.63055852259486012</v>
      </c>
      <c r="CQ52" s="125">
        <v>0.63055833180939014</v>
      </c>
      <c r="CR52" s="125">
        <v>0.63055851172057653</v>
      </c>
      <c r="CS52" s="125">
        <v>0.63055853426226538</v>
      </c>
      <c r="CT52" s="125">
        <v>0.63055849239208983</v>
      </c>
      <c r="CU52" s="125">
        <v>0.63055849381533846</v>
      </c>
      <c r="CV52" s="125">
        <v>0.6305581670735082</v>
      </c>
      <c r="CW52" s="125">
        <v>0.63055845515983255</v>
      </c>
      <c r="CX52" s="125">
        <v>0.63055816063133718</v>
      </c>
    </row>
    <row r="53" spans="1:102" s="115" customFormat="1">
      <c r="A53" s="108" t="str">
        <f>Parameters!A43</f>
        <v>Vermogenseffect &amp; innovatie</v>
      </c>
      <c r="B53" s="122" t="s">
        <v>29</v>
      </c>
      <c r="C53" s="123">
        <v>4.2868695341421468E-12</v>
      </c>
      <c r="D53" s="123">
        <v>3.8826708246559681E-10</v>
      </c>
      <c r="E53" s="123">
        <v>4.3167812848583311E-10</v>
      </c>
      <c r="F53" s="123">
        <v>1.1508644592586941E-9</v>
      </c>
      <c r="G53" s="123">
        <v>1.0330528093830326E-9</v>
      </c>
      <c r="H53" s="123">
        <v>2.0857511885260434E-9</v>
      </c>
      <c r="I53" s="123">
        <v>1.1127961171529806E-9</v>
      </c>
      <c r="J53" s="123">
        <v>1.222529548530811E-9</v>
      </c>
      <c r="K53" s="123">
        <v>3.0953885936478034E-9</v>
      </c>
      <c r="L53" s="123">
        <v>2.4723806357907745E-9</v>
      </c>
      <c r="M53" s="123">
        <v>2.2088183043538003E-9</v>
      </c>
      <c r="N53" s="123">
        <v>2.8368540091119294E-9</v>
      </c>
      <c r="O53" s="123">
        <v>1.7471883175242594E-9</v>
      </c>
      <c r="P53" s="123">
        <v>1.5910484727179083E-9</v>
      </c>
      <c r="Q53" s="123">
        <v>2.7049038833671209E-9</v>
      </c>
      <c r="R53" s="123">
        <v>3.1015726707531448E-9</v>
      </c>
      <c r="S53" s="123">
        <v>2.4580348218592857E-9</v>
      </c>
      <c r="T53" s="123">
        <v>2.6555132777649698E-9</v>
      </c>
      <c r="U53" s="123">
        <v>4.1246795890973031E-9</v>
      </c>
      <c r="V53" s="123">
        <v>2.8998466200425464E-9</v>
      </c>
      <c r="W53" s="123">
        <v>2.0799619898017838E-9</v>
      </c>
      <c r="X53" s="123">
        <v>4.4350734417973751E-9</v>
      </c>
      <c r="Y53" s="123">
        <v>2.3265319184380151E-9</v>
      </c>
      <c r="Z53" s="123">
        <v>2.9282712094197449E-9</v>
      </c>
      <c r="AA53" s="123">
        <v>2.4396203107127342E-9</v>
      </c>
      <c r="AB53" s="123">
        <v>2.9525453416022286E-9</v>
      </c>
      <c r="AC53" s="123">
        <v>2.2054956508337846E-9</v>
      </c>
      <c r="AD53" s="123">
        <v>3.8790318323432994E-9</v>
      </c>
      <c r="AE53" s="123">
        <v>3.5448300272164069E-9</v>
      </c>
      <c r="AF53" s="123">
        <v>6.8095999629154121E-9</v>
      </c>
      <c r="AG53" s="123">
        <v>1.7794183291774173E-9</v>
      </c>
      <c r="AH53" s="123">
        <v>5.0115757577962898E-9</v>
      </c>
      <c r="AI53" s="123">
        <v>4.1808058124446309E-9</v>
      </c>
      <c r="AJ53" s="123">
        <v>4.2454187604198242E-9</v>
      </c>
      <c r="AK53" s="123">
        <v>1.1891566766867235E-9</v>
      </c>
      <c r="AL53" s="123">
        <v>7.2606413321430883E-9</v>
      </c>
      <c r="AM53" s="123">
        <v>5.9391350413879434E-9</v>
      </c>
      <c r="AN53" s="123">
        <v>3.8647901675219968E-9</v>
      </c>
      <c r="AO53" s="123">
        <v>1.325688088821936E-9</v>
      </c>
      <c r="AP53" s="123">
        <v>4.4150699263858746E-9</v>
      </c>
      <c r="AQ53" s="123">
        <v>7.687055779231916E-9</v>
      </c>
      <c r="AR53" s="123">
        <v>1.0296671678636205E-8</v>
      </c>
      <c r="AS53" s="123">
        <v>5.7999419537604461E-9</v>
      </c>
      <c r="AT53" s="123">
        <v>1.080317823979294E-9</v>
      </c>
      <c r="AU53" s="123">
        <v>7.500367614020148E-9</v>
      </c>
      <c r="AV53" s="123">
        <v>5.7106854986474551E-9</v>
      </c>
      <c r="AW53" s="123">
        <v>8.2516872671818206E-9</v>
      </c>
      <c r="AX53" s="123">
        <v>5.4069529582203447E-9</v>
      </c>
      <c r="AY53" s="123">
        <v>1.8928078632964961E-9</v>
      </c>
      <c r="AZ53" s="123">
        <v>3.9386451619293704E-9</v>
      </c>
      <c r="BA53" s="123">
        <v>7.1508502081325941E-9</v>
      </c>
      <c r="BB53" s="123">
        <v>7.4661308219823339E-9</v>
      </c>
      <c r="BC53" s="123">
        <v>8.1657310606586751E-9</v>
      </c>
      <c r="BD53" s="123">
        <v>6.5128178223031501E-9</v>
      </c>
      <c r="BE53" s="123">
        <v>7.1940087164921782E-9</v>
      </c>
      <c r="BF53" s="123">
        <v>8.197098176095647E-9</v>
      </c>
      <c r="BG53" s="123">
        <v>1.2734361558858517E-8</v>
      </c>
      <c r="BH53" s="123">
        <v>9.4043347896384645E-9</v>
      </c>
      <c r="BI53" s="123">
        <v>1.1692454511384152E-8</v>
      </c>
      <c r="BJ53" s="123">
        <v>1.2452473671381769E-8</v>
      </c>
      <c r="BK53" s="123">
        <v>9.9788364455221714E-9</v>
      </c>
      <c r="BL53" s="123">
        <v>1.2988958352443523E-8</v>
      </c>
      <c r="BM53" s="123">
        <v>8.4197742300512742E-9</v>
      </c>
      <c r="BN53" s="123">
        <v>1.6531462908018118E-8</v>
      </c>
      <c r="BO53" s="123">
        <v>1.0946596492299058E-8</v>
      </c>
      <c r="BP53" s="123">
        <v>7.4891815530571777E-9</v>
      </c>
      <c r="BQ53" s="123">
        <v>2.0401598956813933E-8</v>
      </c>
      <c r="BR53" s="123">
        <v>9.5372004825163324E-9</v>
      </c>
      <c r="BS53" s="123">
        <v>5.7056773739049714E-11</v>
      </c>
      <c r="BT53" s="123">
        <v>1.2338629431710619E-8</v>
      </c>
      <c r="BU53" s="123">
        <v>1.5104107346417472E-8</v>
      </c>
      <c r="BV53" s="123">
        <v>2.1297732718598675E-8</v>
      </c>
      <c r="BW53" s="123">
        <v>1.597599897451353E-8</v>
      </c>
      <c r="BX53" s="123">
        <v>1.2848858601888997E-8</v>
      </c>
      <c r="BY53" s="123">
        <v>1.4091702280853916E-8</v>
      </c>
      <c r="BZ53" s="123">
        <v>2.1369574579797174E-8</v>
      </c>
      <c r="CA53" s="123">
        <v>1.231323291529969E-8</v>
      </c>
      <c r="CB53" s="123">
        <v>1.732219685663316E-8</v>
      </c>
      <c r="CC53" s="123">
        <v>2.2117282807906837E-8</v>
      </c>
      <c r="CD53" s="123">
        <v>1.5260545852023841E-8</v>
      </c>
      <c r="CE53" s="123">
        <v>1.2761715621315605E-8</v>
      </c>
      <c r="CF53" s="123">
        <v>2.7893692259445165E-8</v>
      </c>
      <c r="CG53" s="123">
        <v>1.8580847453799444E-8</v>
      </c>
      <c r="CH53" s="123">
        <v>2.2993043874755687E-8</v>
      </c>
      <c r="CI53" s="123">
        <v>2.3232402856642435E-8</v>
      </c>
      <c r="CJ53" s="123">
        <v>9.6387521496029755E-9</v>
      </c>
      <c r="CK53" s="123">
        <v>3.8259725050206672E-9</v>
      </c>
      <c r="CL53" s="123">
        <v>1.6565961717869428E-8</v>
      </c>
      <c r="CM53" s="123">
        <v>7.9277580214900585E-9</v>
      </c>
      <c r="CN53" s="123">
        <v>3.3927078189761997E-8</v>
      </c>
      <c r="CO53" s="123">
        <v>3.0927713656929507E-8</v>
      </c>
      <c r="CP53" s="123">
        <v>3.1456125273322839E-8</v>
      </c>
      <c r="CQ53" s="123">
        <v>1.3134809118905767E-8</v>
      </c>
      <c r="CR53" s="123">
        <v>3.0372791508607332E-8</v>
      </c>
      <c r="CS53" s="123">
        <v>2.7005481892413492E-8</v>
      </c>
      <c r="CT53" s="123">
        <v>3.5129361505547282E-8</v>
      </c>
      <c r="CU53" s="123">
        <v>4.3459664732953457E-8</v>
      </c>
      <c r="CV53" s="123">
        <v>4.1934598926879356E-10</v>
      </c>
      <c r="CW53" s="123">
        <v>4.156264670948817E-8</v>
      </c>
      <c r="CX53" s="123">
        <v>3.3995789612568863E-9</v>
      </c>
    </row>
    <row r="54" spans="1:102">
      <c r="A54" s="23"/>
      <c r="B54" s="14" t="s">
        <v>30</v>
      </c>
      <c r="C54" s="125">
        <v>2.9999999990152584E-2</v>
      </c>
      <c r="D54" s="125">
        <v>2.9999999926532035E-2</v>
      </c>
      <c r="E54" s="125">
        <v>2.9999999884124353E-2</v>
      </c>
      <c r="F54" s="125">
        <v>2.999999990742273E-2</v>
      </c>
      <c r="G54" s="125">
        <v>2.9999999794236624E-2</v>
      </c>
      <c r="H54" s="125">
        <v>2.9999999819008395E-2</v>
      </c>
      <c r="I54" s="125">
        <v>2.9999999689040067E-2</v>
      </c>
      <c r="J54" s="125">
        <v>2.9999999632982766E-2</v>
      </c>
      <c r="K54" s="125">
        <v>2.9999999736417725E-2</v>
      </c>
      <c r="L54" s="125">
        <v>2.9999999669697141E-2</v>
      </c>
      <c r="M54" s="125">
        <v>2.999999967313087E-2</v>
      </c>
      <c r="N54" s="125">
        <v>2.9999999673430682E-2</v>
      </c>
      <c r="O54" s="125">
        <v>2.9999999452386159E-2</v>
      </c>
      <c r="P54" s="125">
        <v>2.9999999594713164E-2</v>
      </c>
      <c r="Q54" s="125">
        <v>2.9999999481428698E-2</v>
      </c>
      <c r="R54" s="125">
        <v>2.9999999578218486E-2</v>
      </c>
      <c r="S54" s="125">
        <v>2.9999999418083585E-2</v>
      </c>
      <c r="T54" s="125">
        <v>2.9999999314813949E-2</v>
      </c>
      <c r="U54" s="125">
        <v>2.9999999647795671E-2</v>
      </c>
      <c r="V54" s="125">
        <v>2.9999999438384346E-2</v>
      </c>
      <c r="W54" s="125">
        <v>2.9999999256322511E-2</v>
      </c>
      <c r="X54" s="125">
        <v>2.9999999552761603E-2</v>
      </c>
      <c r="Y54" s="125">
        <v>2.9999999337759882E-2</v>
      </c>
      <c r="Z54" s="125">
        <v>2.9999999388947284E-2</v>
      </c>
      <c r="AA54" s="125">
        <v>2.9999999415353817E-2</v>
      </c>
      <c r="AB54" s="125">
        <v>2.9999999258278804E-2</v>
      </c>
      <c r="AC54" s="125">
        <v>2.9999999155801125E-2</v>
      </c>
      <c r="AD54" s="125">
        <v>2.9999999362369401E-2</v>
      </c>
      <c r="AE54" s="125">
        <v>2.9999999269955759E-2</v>
      </c>
      <c r="AF54" s="125">
        <v>2.9999999478728594E-2</v>
      </c>
      <c r="AG54" s="125">
        <v>2.9999998651671609E-2</v>
      </c>
      <c r="AH54" s="125">
        <v>2.9999999131728492E-2</v>
      </c>
      <c r="AI54" s="125">
        <v>2.9999999040748543E-2</v>
      </c>
      <c r="AJ54" s="125">
        <v>2.9999998921213245E-2</v>
      </c>
      <c r="AK54" s="125">
        <v>2.9999998124659435E-2</v>
      </c>
      <c r="AL54" s="125">
        <v>2.999999932475101E-2</v>
      </c>
      <c r="AM54" s="125">
        <v>2.9999999119689928E-2</v>
      </c>
      <c r="AN54" s="125">
        <v>2.9999998822928843E-2</v>
      </c>
      <c r="AO54" s="125">
        <v>2.99999979915559E-2</v>
      </c>
      <c r="AP54" s="125">
        <v>2.9999998806538534E-2</v>
      </c>
      <c r="AQ54" s="125">
        <v>2.9999998796755276E-2</v>
      </c>
      <c r="AR54" s="125">
        <v>2.9999999062443886E-2</v>
      </c>
      <c r="AS54" s="125">
        <v>2.9999998742296488E-2</v>
      </c>
      <c r="AT54" s="125">
        <v>2.9999997434473492E-2</v>
      </c>
      <c r="AU54" s="125">
        <v>2.9999998719217102E-2</v>
      </c>
      <c r="AV54" s="125">
        <v>2.99999986793686E-2</v>
      </c>
      <c r="AW54" s="125">
        <v>2.9999998950812408E-2</v>
      </c>
      <c r="AX54" s="125">
        <v>2.9999998477677491E-2</v>
      </c>
      <c r="AY54" s="125">
        <v>2.9999997152022971E-2</v>
      </c>
      <c r="AZ54" s="125">
        <v>2.9999997644859677E-2</v>
      </c>
      <c r="BA54" s="125">
        <v>2.9999998367449991E-2</v>
      </c>
      <c r="BB54" s="125">
        <v>2.999999808112392E-2</v>
      </c>
      <c r="BC54" s="125">
        <v>2.9999998319847156E-2</v>
      </c>
      <c r="BD54" s="125">
        <v>2.9999998172473018E-2</v>
      </c>
      <c r="BE54" s="125">
        <v>2.9999998383400287E-2</v>
      </c>
      <c r="BF54" s="125">
        <v>2.9999997927637925E-2</v>
      </c>
      <c r="BG54" s="125">
        <v>2.9999998331969577E-2</v>
      </c>
      <c r="BH54" s="125">
        <v>2.999999778516535E-2</v>
      </c>
      <c r="BI54" s="125">
        <v>2.9999998366988637E-2</v>
      </c>
      <c r="BJ54" s="125">
        <v>2.9999998039005604E-2</v>
      </c>
      <c r="BK54" s="125">
        <v>2.9999997425981931E-2</v>
      </c>
      <c r="BL54" s="125">
        <v>2.9999997958296189E-2</v>
      </c>
      <c r="BM54" s="125">
        <v>2.999999703263356E-2</v>
      </c>
      <c r="BN54" s="125">
        <v>2.9999998537376029E-2</v>
      </c>
      <c r="BO54" s="125">
        <v>2.9999997696555872E-2</v>
      </c>
      <c r="BP54" s="125">
        <v>2.9999996628715279E-2</v>
      </c>
      <c r="BQ54" s="125">
        <v>2.9999998199588727E-2</v>
      </c>
      <c r="BR54" s="125">
        <v>2.9999997402936209E-2</v>
      </c>
      <c r="BS54" s="125">
        <v>2.9999994500821511E-2</v>
      </c>
      <c r="BT54" s="125">
        <v>2.9999997166994818E-2</v>
      </c>
      <c r="BU54" s="125">
        <v>2.9999997693886643E-2</v>
      </c>
      <c r="BV54" s="125">
        <v>2.9999997958305429E-2</v>
      </c>
      <c r="BW54" s="125">
        <v>2.9999997064209534E-2</v>
      </c>
      <c r="BX54" s="125">
        <v>2.999999694940279E-2</v>
      </c>
      <c r="BY54" s="125">
        <v>2.999999717536015E-2</v>
      </c>
      <c r="BZ54" s="125">
        <v>2.9999997883109104E-2</v>
      </c>
      <c r="CA54" s="125">
        <v>2.999999674826655E-2</v>
      </c>
      <c r="CB54" s="125">
        <v>2.9999997452787905E-2</v>
      </c>
      <c r="CC54" s="125">
        <v>2.9999998002653003E-2</v>
      </c>
      <c r="CD54" s="125">
        <v>2.9999996511640599E-2</v>
      </c>
      <c r="CE54" s="125">
        <v>2.9999996011357707E-2</v>
      </c>
      <c r="CF54" s="125">
        <v>2.9999997213880535E-2</v>
      </c>
      <c r="CG54" s="125">
        <v>2.9999997036466344E-2</v>
      </c>
      <c r="CH54" s="125">
        <v>2.9999996314753075E-2</v>
      </c>
      <c r="CI54" s="125">
        <v>2.9999997341006571E-2</v>
      </c>
      <c r="CJ54" s="125">
        <v>2.9999994347800037E-2</v>
      </c>
      <c r="CK54" s="125">
        <v>2.9999992761840726E-2</v>
      </c>
      <c r="CL54" s="125">
        <v>2.9999995193186291E-2</v>
      </c>
      <c r="CM54" s="125">
        <v>2.9999991657312639E-2</v>
      </c>
      <c r="CN54" s="125">
        <v>2.9999995864227719E-2</v>
      </c>
      <c r="CO54" s="125">
        <v>2.9999996013067885E-2</v>
      </c>
      <c r="CP54" s="125">
        <v>2.9999995962097282E-2</v>
      </c>
      <c r="CQ54" s="125">
        <v>2.9999991327128071E-2</v>
      </c>
      <c r="CR54" s="125">
        <v>2.999999586215725E-2</v>
      </c>
      <c r="CS54" s="125">
        <v>2.9999995206386829E-2</v>
      </c>
      <c r="CT54" s="125">
        <v>2.9999995902883221E-2</v>
      </c>
      <c r="CU54" s="125">
        <v>2.9999995764701221E-2</v>
      </c>
      <c r="CV54" s="125">
        <v>2.999998694209554E-2</v>
      </c>
      <c r="CW54" s="125">
        <v>2.9999993746613558E-2</v>
      </c>
      <c r="CX54" s="125">
        <v>2.9999986677933924E-2</v>
      </c>
    </row>
    <row r="55" spans="1:102">
      <c r="A55" s="23"/>
      <c r="B55" s="67" t="s">
        <v>56</v>
      </c>
      <c r="C55" s="125">
        <v>0.11097723365626398</v>
      </c>
      <c r="D55" s="125">
        <v>0.11097723357483379</v>
      </c>
      <c r="E55" s="125">
        <v>0.11097723352112139</v>
      </c>
      <c r="F55" s="125">
        <v>0.11097723342524697</v>
      </c>
      <c r="G55" s="125">
        <v>0.11097723329309772</v>
      </c>
      <c r="H55" s="125">
        <v>0.11097723313028078</v>
      </c>
      <c r="I55" s="125">
        <v>0.11097723324036939</v>
      </c>
      <c r="J55" s="125">
        <v>0.1109772332530706</v>
      </c>
      <c r="K55" s="125">
        <v>0.11097723302526645</v>
      </c>
      <c r="L55" s="125">
        <v>0.11097723283034162</v>
      </c>
      <c r="M55" s="125">
        <v>0.11097723301594335</v>
      </c>
      <c r="N55" s="125">
        <v>0.11097723300194313</v>
      </c>
      <c r="O55" s="125">
        <v>0.1109772318474828</v>
      </c>
      <c r="P55" s="125">
        <v>0.11097723311064837</v>
      </c>
      <c r="Q55" s="125">
        <v>0.11097723320277485</v>
      </c>
      <c r="R55" s="125">
        <v>0.1109772328950247</v>
      </c>
      <c r="S55" s="125">
        <v>0.11097723301042438</v>
      </c>
      <c r="T55" s="125">
        <v>0.11097723263132254</v>
      </c>
      <c r="U55" s="125">
        <v>0.11097723228384618</v>
      </c>
      <c r="V55" s="125">
        <v>0.11097723286784666</v>
      </c>
      <c r="W55" s="125">
        <v>0.11097723244372634</v>
      </c>
      <c r="X55" s="125">
        <v>0.11097723228363772</v>
      </c>
      <c r="Y55" s="125">
        <v>0.11097723274726387</v>
      </c>
      <c r="Z55" s="125">
        <v>0.11097723272909762</v>
      </c>
      <c r="AA55" s="125">
        <v>0.11097723280292476</v>
      </c>
      <c r="AB55" s="125">
        <v>0.11097723261868742</v>
      </c>
      <c r="AC55" s="125">
        <v>0.11097723192708471</v>
      </c>
      <c r="AD55" s="125">
        <v>0.11097723273127366</v>
      </c>
      <c r="AE55" s="125">
        <v>0.1109772322690144</v>
      </c>
      <c r="AF55" s="125">
        <v>0.1109772322801445</v>
      </c>
      <c r="AG55" s="125">
        <v>0.11097722886698491</v>
      </c>
      <c r="AH55" s="125">
        <v>0.11097723271895123</v>
      </c>
      <c r="AI55" s="125">
        <v>0.11097723253421939</v>
      </c>
      <c r="AJ55" s="125">
        <v>0.11097723202296529</v>
      </c>
      <c r="AK55" s="125">
        <v>0.1109772274031091</v>
      </c>
      <c r="AL55" s="125">
        <v>0.11097723113071459</v>
      </c>
      <c r="AM55" s="125">
        <v>0.11097723173914634</v>
      </c>
      <c r="AN55" s="125">
        <v>0.11097723190102739</v>
      </c>
      <c r="AO55" s="125">
        <v>0.11097722678240544</v>
      </c>
      <c r="AP55" s="125">
        <v>0.11097723198065527</v>
      </c>
      <c r="AQ55" s="125">
        <v>0.11097723168245253</v>
      </c>
      <c r="AR55" s="125">
        <v>0.11097723163018673</v>
      </c>
      <c r="AS55" s="125">
        <v>0.11097723184071429</v>
      </c>
      <c r="AT55" s="125">
        <v>0.11097722432697452</v>
      </c>
      <c r="AU55" s="125">
        <v>0.11097723177556543</v>
      </c>
      <c r="AV55" s="125">
        <v>0.1109772317645622</v>
      </c>
      <c r="AW55" s="125">
        <v>0.11097723199192265</v>
      </c>
      <c r="AX55" s="125">
        <v>0.11097723152829993</v>
      </c>
      <c r="AY55" s="125">
        <v>0.11097722337513835</v>
      </c>
      <c r="AZ55" s="125">
        <v>0.11097722522808165</v>
      </c>
      <c r="BA55" s="125">
        <v>0.11097723058860749</v>
      </c>
      <c r="BB55" s="125">
        <v>0.11097723023511251</v>
      </c>
      <c r="BC55" s="125">
        <v>0.110977231005814</v>
      </c>
      <c r="BD55" s="125">
        <v>0.11097723109421177</v>
      </c>
      <c r="BE55" s="125">
        <v>0.11097723117695031</v>
      </c>
      <c r="BF55" s="125">
        <v>0.11097723104719227</v>
      </c>
      <c r="BG55" s="125">
        <v>0.11097723075154807</v>
      </c>
      <c r="BH55" s="125">
        <v>0.11097723055784964</v>
      </c>
      <c r="BI55" s="125">
        <v>0.1109772311653469</v>
      </c>
      <c r="BJ55" s="125">
        <v>0.11097722910105148</v>
      </c>
      <c r="BK55" s="125">
        <v>0.11097723069250187</v>
      </c>
      <c r="BL55" s="125">
        <v>0.11097722944764475</v>
      </c>
      <c r="BM55" s="125">
        <v>0.1109772249311774</v>
      </c>
      <c r="BN55" s="125">
        <v>0.11097722782795781</v>
      </c>
      <c r="BO55" s="125">
        <v>0.11097722945004564</v>
      </c>
      <c r="BP55" s="125">
        <v>0.11097722654812248</v>
      </c>
      <c r="BQ55" s="125">
        <v>0.11097722924414893</v>
      </c>
      <c r="BR55" s="125">
        <v>0.11097723009364213</v>
      </c>
      <c r="BS55" s="125">
        <v>0.11097721335198801</v>
      </c>
      <c r="BT55" s="125">
        <v>0.11097722695885347</v>
      </c>
      <c r="BU55" s="125">
        <v>0.1109772265911733</v>
      </c>
      <c r="BV55" s="125">
        <v>0.11097722888400435</v>
      </c>
      <c r="BW55" s="125">
        <v>0.1109772291504732</v>
      </c>
      <c r="BX55" s="125">
        <v>0.11097722476181263</v>
      </c>
      <c r="BY55" s="125">
        <v>0.11097722954276447</v>
      </c>
      <c r="BZ55" s="125">
        <v>0.11097722946326095</v>
      </c>
      <c r="CA55" s="125">
        <v>0.11097722927936868</v>
      </c>
      <c r="CB55" s="125">
        <v>0.11097722742715752</v>
      </c>
      <c r="CC55" s="125">
        <v>0.1109772262145045</v>
      </c>
      <c r="CD55" s="125">
        <v>0.11097722961900122</v>
      </c>
      <c r="CE55" s="125">
        <v>0.11097722511735754</v>
      </c>
      <c r="CF55" s="125">
        <v>0.11097722807458126</v>
      </c>
      <c r="CG55" s="125">
        <v>0.11097722912739783</v>
      </c>
      <c r="CH55" s="125">
        <v>0.11097722356763091</v>
      </c>
      <c r="CI55" s="125">
        <v>0.110977225323696</v>
      </c>
      <c r="CJ55" s="125">
        <v>0.11097721417893827</v>
      </c>
      <c r="CK55" s="125">
        <v>0.11097720930621463</v>
      </c>
      <c r="CL55" s="125">
        <v>0.11097722708614755</v>
      </c>
      <c r="CM55" s="125">
        <v>0.11097720671546413</v>
      </c>
      <c r="CN55" s="125">
        <v>0.11097722553375365</v>
      </c>
      <c r="CO55" s="125">
        <v>0.11097722206939058</v>
      </c>
      <c r="CP55" s="125">
        <v>0.11097722597372134</v>
      </c>
      <c r="CQ55" s="125">
        <v>0.11097720436638404</v>
      </c>
      <c r="CR55" s="125">
        <v>0.11097722374549374</v>
      </c>
      <c r="CS55" s="125">
        <v>0.11097722669066219</v>
      </c>
      <c r="CT55" s="125">
        <v>0.11097722235283412</v>
      </c>
      <c r="CU55" s="125">
        <v>0.11097722452045829</v>
      </c>
      <c r="CV55" s="125">
        <v>0.11097718544841682</v>
      </c>
      <c r="CW55" s="125">
        <v>0.11097721932804286</v>
      </c>
      <c r="CX55" s="125">
        <v>0.11097718548409895</v>
      </c>
    </row>
    <row r="56" spans="1:102">
      <c r="A56" s="126"/>
      <c r="B56" s="67" t="s">
        <v>114</v>
      </c>
      <c r="C56" s="125">
        <v>0.63055865980560166</v>
      </c>
      <c r="D56" s="125">
        <v>0.63055865524211552</v>
      </c>
      <c r="E56" s="125">
        <v>0.63055865487385043</v>
      </c>
      <c r="F56" s="125">
        <v>0.63055864572919484</v>
      </c>
      <c r="G56" s="125">
        <v>0.6305586476858055</v>
      </c>
      <c r="H56" s="125">
        <v>0.63055863433957648</v>
      </c>
      <c r="I56" s="125">
        <v>0.63055864712378384</v>
      </c>
      <c r="J56" s="125">
        <v>0.63055864597845512</v>
      </c>
      <c r="K56" s="125">
        <v>0.63055862198521662</v>
      </c>
      <c r="L56" s="125">
        <v>0.63055863010207791</v>
      </c>
      <c r="M56" s="125">
        <v>0.63055863340314666</v>
      </c>
      <c r="N56" s="125">
        <v>0.63055862550155117</v>
      </c>
      <c r="O56" s="125">
        <v>0.63055864013580887</v>
      </c>
      <c r="P56" s="125">
        <v>0.63055864150316299</v>
      </c>
      <c r="Q56" s="125">
        <v>0.63055862796650242</v>
      </c>
      <c r="R56" s="125">
        <v>0.63055862257077688</v>
      </c>
      <c r="S56" s="125">
        <v>0.6305586313375926</v>
      </c>
      <c r="T56" s="125">
        <v>0.63055862928644868</v>
      </c>
      <c r="U56" s="125">
        <v>0.63055860940891595</v>
      </c>
      <c r="V56" s="125">
        <v>0.63055862569472287</v>
      </c>
      <c r="W56" s="125">
        <v>0.63055863677182555</v>
      </c>
      <c r="X56" s="125">
        <v>0.6305586059028262</v>
      </c>
      <c r="Y56" s="125">
        <v>0.63055863332863482</v>
      </c>
      <c r="Z56" s="125">
        <v>0.6305586255444543</v>
      </c>
      <c r="AA56" s="125">
        <v>0.63055863158068326</v>
      </c>
      <c r="AB56" s="125">
        <v>0.63055862578701127</v>
      </c>
      <c r="AC56" s="125">
        <v>0.63055863561418313</v>
      </c>
      <c r="AD56" s="125">
        <v>0.63055861369586141</v>
      </c>
      <c r="AE56" s="125">
        <v>0.63055861828743742</v>
      </c>
      <c r="AF56" s="125">
        <v>0.63055857634303902</v>
      </c>
      <c r="AG56" s="125">
        <v>0.63055864308788678</v>
      </c>
      <c r="AH56" s="125">
        <v>0.63055860041620193</v>
      </c>
      <c r="AI56" s="125">
        <v>0.63055861124831636</v>
      </c>
      <c r="AJ56" s="125">
        <v>0.63055861093675047</v>
      </c>
      <c r="AK56" s="125">
        <v>0.63055865272288836</v>
      </c>
      <c r="AL56" s="125">
        <v>0.63055857131484039</v>
      </c>
      <c r="AM56" s="125">
        <v>0.63055858879850324</v>
      </c>
      <c r="AN56" s="125">
        <v>0.63055861613696651</v>
      </c>
      <c r="AO56" s="125">
        <v>0.63055865156352209</v>
      </c>
      <c r="AP56" s="125">
        <v>0.63055860928348129</v>
      </c>
      <c r="AQ56" s="125">
        <v>0.63055856816474687</v>
      </c>
      <c r="AR56" s="125">
        <v>0.63055853422316299</v>
      </c>
      <c r="AS56" s="125">
        <v>0.63055859213193999</v>
      </c>
      <c r="AT56" s="125">
        <v>0.6305586569860715</v>
      </c>
      <c r="AU56" s="125">
        <v>0.63055857083830869</v>
      </c>
      <c r="AV56" s="125">
        <v>0.63055859351860222</v>
      </c>
      <c r="AW56" s="125">
        <v>0.63055856041601377</v>
      </c>
      <c r="AX56" s="125">
        <v>0.63055859818510829</v>
      </c>
      <c r="AY56" s="125">
        <v>0.63055864794975669</v>
      </c>
      <c r="AZ56" s="125">
        <v>0.6305586201477279</v>
      </c>
      <c r="BA56" s="125">
        <v>0.63055857671005311</v>
      </c>
      <c r="BB56" s="125">
        <v>0.63055857394460546</v>
      </c>
      <c r="BC56" s="125">
        <v>0.63055856414302336</v>
      </c>
      <c r="BD56" s="125">
        <v>0.63055858555371158</v>
      </c>
      <c r="BE56" s="125">
        <v>0.63055857610026123</v>
      </c>
      <c r="BF56" s="125">
        <v>0.63055856539303234</v>
      </c>
      <c r="BG56" s="125">
        <v>0.63055850662136526</v>
      </c>
      <c r="BH56" s="125">
        <v>0.6305585508040763</v>
      </c>
      <c r="BI56" s="125">
        <v>0.63055851958113585</v>
      </c>
      <c r="BJ56" s="125">
        <v>0.63055851139579766</v>
      </c>
      <c r="BK56" s="125">
        <v>0.63055854508327314</v>
      </c>
      <c r="BL56" s="125">
        <v>0.63055850498554511</v>
      </c>
      <c r="BM56" s="125">
        <v>0.63055856634477436</v>
      </c>
      <c r="BN56" s="125">
        <v>0.63055845799464472</v>
      </c>
      <c r="BO56" s="125">
        <v>0.63055853177483523</v>
      </c>
      <c r="BP56" s="125">
        <v>0.6305585797447999</v>
      </c>
      <c r="BQ56" s="125">
        <v>0.63055841072687424</v>
      </c>
      <c r="BR56" s="125">
        <v>0.63055855073544176</v>
      </c>
      <c r="BS56" s="125">
        <v>0.63055868215936151</v>
      </c>
      <c r="BT56" s="125">
        <v>0.63055851648436079</v>
      </c>
      <c r="BU56" s="125">
        <v>0.63055847948685428</v>
      </c>
      <c r="BV56" s="125">
        <v>0.63055840046574385</v>
      </c>
      <c r="BW56" s="125">
        <v>0.63055847115926777</v>
      </c>
      <c r="BX56" s="125">
        <v>0.63055851097835625</v>
      </c>
      <c r="BY56" s="125">
        <v>0.63055849439660239</v>
      </c>
      <c r="BZ56" s="125">
        <v>0.63055839987732187</v>
      </c>
      <c r="CA56" s="125">
        <v>0.63055851855962253</v>
      </c>
      <c r="CB56" s="125">
        <v>0.63055845259548249</v>
      </c>
      <c r="CC56" s="125">
        <v>0.63055838997030333</v>
      </c>
      <c r="CD56" s="125">
        <v>0.63055848247627055</v>
      </c>
      <c r="CE56" s="125">
        <v>0.63055851600792368</v>
      </c>
      <c r="CF56" s="125">
        <v>0.63055832061370853</v>
      </c>
      <c r="CG56" s="125">
        <v>0.63055843850805215</v>
      </c>
      <c r="CH56" s="125">
        <v>0.63055838603131453</v>
      </c>
      <c r="CI56" s="125">
        <v>0.63055837871708753</v>
      </c>
      <c r="CJ56" s="125">
        <v>0.63055856226860574</v>
      </c>
      <c r="CK56" s="125">
        <v>0.63055864204030243</v>
      </c>
      <c r="CL56" s="125">
        <v>0.63055847158333012</v>
      </c>
      <c r="CM56" s="125">
        <v>0.63055859507356704</v>
      </c>
      <c r="CN56" s="125">
        <v>0.63055825037633106</v>
      </c>
      <c r="CO56" s="125">
        <v>0.63055828748257114</v>
      </c>
      <c r="CP56" s="125">
        <v>0.630558281049172</v>
      </c>
      <c r="CQ56" s="125">
        <v>0.63055853095626313</v>
      </c>
      <c r="CR56" s="125">
        <v>0.63055829509597361</v>
      </c>
      <c r="CS56" s="125">
        <v>0.63055834020460066</v>
      </c>
      <c r="CT56" s="125">
        <v>0.63055823509018372</v>
      </c>
      <c r="CU56" s="125">
        <v>0.63055813087898327</v>
      </c>
      <c r="CV56" s="125">
        <v>0.63055870929683133</v>
      </c>
      <c r="CW56" s="125">
        <v>0.6305581632045334</v>
      </c>
      <c r="CX56" s="125">
        <v>0.63055867291482048</v>
      </c>
    </row>
    <row r="57" spans="1:102">
      <c r="A57" s="108" t="str">
        <f>Parameters!A44</f>
        <v>Schuld deflatie</v>
      </c>
      <c r="B57" s="122" t="s">
        <v>29</v>
      </c>
      <c r="C57" s="123">
        <v>-3.5206089711029363E-11</v>
      </c>
      <c r="D57" s="123">
        <v>-5.8737994903748724E-10</v>
      </c>
      <c r="E57" s="123">
        <v>-7.848170162384994E-10</v>
      </c>
      <c r="F57" s="123">
        <v>-9.2451213066676167E-10</v>
      </c>
      <c r="G57" s="123">
        <v>-1.599011555416872E-9</v>
      </c>
      <c r="H57" s="123">
        <v>-1.9070877913302737E-9</v>
      </c>
      <c r="I57" s="123">
        <v>-2.0725634828144054E-9</v>
      </c>
      <c r="J57" s="123">
        <v>-2.2014498681458839E-9</v>
      </c>
      <c r="K57" s="123">
        <v>-2.6063753702847099E-9</v>
      </c>
      <c r="L57" s="123">
        <v>-2.6270392626066335E-9</v>
      </c>
      <c r="M57" s="123">
        <v>-2.6398588468961219E-9</v>
      </c>
      <c r="N57" s="123">
        <v>-2.8606170272666402E-9</v>
      </c>
      <c r="O57" s="123">
        <v>-2.9792454353953122E-9</v>
      </c>
      <c r="P57" s="123">
        <v>-3.0244746829493705E-9</v>
      </c>
      <c r="Q57" s="123">
        <v>-3.5431158020905149E-9</v>
      </c>
      <c r="R57" s="123">
        <v>-3.8382291450107241E-9</v>
      </c>
      <c r="S57" s="123">
        <v>-3.8841613763476972E-9</v>
      </c>
      <c r="T57" s="123">
        <v>-4.0610499260968305E-9</v>
      </c>
      <c r="U57" s="123">
        <v>-4.1008522389427929E-9</v>
      </c>
      <c r="V57" s="123">
        <v>-4.2621563664192768E-9</v>
      </c>
      <c r="W57" s="123">
        <v>-4.2623046242970167E-9</v>
      </c>
      <c r="X57" s="123">
        <v>-4.30183366140357E-9</v>
      </c>
      <c r="Y57" s="123">
        <v>-4.3507679503044554E-9</v>
      </c>
      <c r="Z57" s="123">
        <v>-4.4004118983703494E-9</v>
      </c>
      <c r="AA57" s="123">
        <v>-4.435684271022621E-9</v>
      </c>
      <c r="AB57" s="123">
        <v>-5.0555513823571971E-9</v>
      </c>
      <c r="AC57" s="123">
        <v>-5.1812497762686676E-9</v>
      </c>
      <c r="AD57" s="123">
        <v>-5.4120900496970878E-9</v>
      </c>
      <c r="AE57" s="123">
        <v>-5.4245532778893775E-9</v>
      </c>
      <c r="AF57" s="123">
        <v>-5.4286734232998559E-9</v>
      </c>
      <c r="AG57" s="123">
        <v>-5.7766891118956839E-9</v>
      </c>
      <c r="AH57" s="123">
        <v>-6.0919942826013137E-9</v>
      </c>
      <c r="AI57" s="123">
        <v>-6.4420353389048076E-9</v>
      </c>
      <c r="AJ57" s="123">
        <v>-7.3452845085834235E-9</v>
      </c>
      <c r="AK57" s="123">
        <v>-7.3623690371249406E-9</v>
      </c>
      <c r="AL57" s="123">
        <v>-7.4621436238120338E-9</v>
      </c>
      <c r="AM57" s="123">
        <v>-7.5142656345735496E-9</v>
      </c>
      <c r="AN57" s="123">
        <v>-7.7647710096632085E-9</v>
      </c>
      <c r="AO57" s="123">
        <v>-7.7994322296898263E-9</v>
      </c>
      <c r="AP57" s="123">
        <v>-8.7644763858380322E-9</v>
      </c>
      <c r="AQ57" s="123">
        <v>-8.9057001596444925E-9</v>
      </c>
      <c r="AR57" s="123">
        <v>-8.905983847803193E-9</v>
      </c>
      <c r="AS57" s="123">
        <v>-8.9941163913670254E-9</v>
      </c>
      <c r="AT57" s="123">
        <v>-9.3111207710627938E-9</v>
      </c>
      <c r="AU57" s="123">
        <v>-9.3988076172780893E-9</v>
      </c>
      <c r="AV57" s="123">
        <v>-9.5382660049303599E-9</v>
      </c>
      <c r="AW57" s="123">
        <v>-1.0042786951587533E-8</v>
      </c>
      <c r="AX57" s="123">
        <v>-1.0153350800129597E-8</v>
      </c>
      <c r="AY57" s="123">
        <v>-1.0571341791769641E-8</v>
      </c>
      <c r="AZ57" s="123">
        <v>-1.0759526200720623E-8</v>
      </c>
      <c r="BA57" s="123">
        <v>-1.1079102725889387E-8</v>
      </c>
      <c r="BB57" s="123">
        <v>-1.1517705997240472E-8</v>
      </c>
      <c r="BC57" s="123">
        <v>-1.2068086402220863E-8</v>
      </c>
      <c r="BD57" s="123">
        <v>-1.2233121763651251E-8</v>
      </c>
      <c r="BE57" s="123">
        <v>-1.2258781741018524E-8</v>
      </c>
      <c r="BF57" s="123">
        <v>-1.3380124811159436E-8</v>
      </c>
      <c r="BG57" s="123">
        <v>-1.3471100558355696E-8</v>
      </c>
      <c r="BH57" s="123">
        <v>-1.4873510955180053E-8</v>
      </c>
      <c r="BI57" s="123">
        <v>-1.519485413020401E-8</v>
      </c>
      <c r="BJ57" s="123">
        <v>-1.5774763530654271E-8</v>
      </c>
      <c r="BK57" s="123">
        <v>-1.6146491323637014E-8</v>
      </c>
      <c r="BL57" s="123">
        <v>-1.629576795872614E-8</v>
      </c>
      <c r="BM57" s="123">
        <v>-1.6671423197861272E-8</v>
      </c>
      <c r="BN57" s="123">
        <v>-1.668514351060667E-8</v>
      </c>
      <c r="BO57" s="123">
        <v>-1.7029953971938099E-8</v>
      </c>
      <c r="BP57" s="123">
        <v>-1.7040040672011137E-8</v>
      </c>
      <c r="BQ57" s="123">
        <v>-1.746664195105913E-8</v>
      </c>
      <c r="BR57" s="123">
        <v>-1.8256266691567458E-8</v>
      </c>
      <c r="BS57" s="123">
        <v>-1.8364485068821553E-8</v>
      </c>
      <c r="BT57" s="123">
        <v>-1.84604140385929E-8</v>
      </c>
      <c r="BU57" s="123">
        <v>-1.9125163736055862E-8</v>
      </c>
      <c r="BV57" s="123">
        <v>-1.9134006186170543E-8</v>
      </c>
      <c r="BW57" s="123">
        <v>-2.0485880662259523E-8</v>
      </c>
      <c r="BX57" s="123">
        <v>-2.0505659932511726E-8</v>
      </c>
      <c r="BY57" s="123">
        <v>-2.1446918130482561E-8</v>
      </c>
      <c r="BZ57" s="123">
        <v>-2.1514413786064223E-8</v>
      </c>
      <c r="CA57" s="123">
        <v>-2.1661034625187391E-8</v>
      </c>
      <c r="CB57" s="123">
        <v>-2.1720112165753331E-8</v>
      </c>
      <c r="CC57" s="123">
        <v>-2.2646914878138267E-8</v>
      </c>
      <c r="CD57" s="123">
        <v>-2.3721585167076712E-8</v>
      </c>
      <c r="CE57" s="123">
        <v>-2.4031262875434256E-8</v>
      </c>
      <c r="CF57" s="123">
        <v>-2.5104486087336267E-8</v>
      </c>
      <c r="CG57" s="123">
        <v>-2.5343613956768492E-8</v>
      </c>
      <c r="CH57" s="123">
        <v>-2.5984121532099439E-8</v>
      </c>
      <c r="CI57" s="123">
        <v>-2.6179034826794471E-8</v>
      </c>
      <c r="CJ57" s="123">
        <v>-2.6194704781562921E-8</v>
      </c>
      <c r="CK57" s="123">
        <v>-2.8243227125259401E-8</v>
      </c>
      <c r="CL57" s="123">
        <v>-3.1166079054058832E-8</v>
      </c>
      <c r="CM57" s="123">
        <v>-3.392476378728298E-8</v>
      </c>
      <c r="CN57" s="123">
        <v>-3.6180149340764394E-8</v>
      </c>
      <c r="CO57" s="123">
        <v>-3.6600259434109365E-8</v>
      </c>
      <c r="CP57" s="123">
        <v>-3.6829604894299635E-8</v>
      </c>
      <c r="CQ57" s="123">
        <v>-3.6881715279660617E-8</v>
      </c>
      <c r="CR57" s="123">
        <v>-3.7488125195033857E-8</v>
      </c>
      <c r="CS57" s="123">
        <v>-3.8379528194804242E-8</v>
      </c>
      <c r="CT57" s="123">
        <v>-3.9893695108693205E-8</v>
      </c>
      <c r="CU57" s="123">
        <v>-4.1517945078831014E-8</v>
      </c>
      <c r="CV57" s="123">
        <v>-4.3784846325023107E-8</v>
      </c>
      <c r="CW57" s="123">
        <v>-4.5434476413700951E-8</v>
      </c>
      <c r="CX57" s="123">
        <v>-4.7124773034509225E-8</v>
      </c>
    </row>
    <row r="58" spans="1:102">
      <c r="A58" s="23"/>
      <c r="B58" s="14" t="s">
        <v>30</v>
      </c>
      <c r="C58" s="125">
        <v>2.9999999990152584E-2</v>
      </c>
      <c r="D58" s="125">
        <v>2.9999999926532038E-2</v>
      </c>
      <c r="E58" s="125">
        <v>2.9999999884124367E-2</v>
      </c>
      <c r="F58" s="125">
        <v>2.9999999907422741E-2</v>
      </c>
      <c r="G58" s="125">
        <v>2.9999999794236631E-2</v>
      </c>
      <c r="H58" s="125">
        <v>2.9999999819008423E-2</v>
      </c>
      <c r="I58" s="125">
        <v>2.9999999689040161E-2</v>
      </c>
      <c r="J58" s="125">
        <v>2.9999999632982752E-2</v>
      </c>
      <c r="K58" s="125">
        <v>2.9999999736417832E-2</v>
      </c>
      <c r="L58" s="125">
        <v>2.9999999669697203E-2</v>
      </c>
      <c r="M58" s="125">
        <v>2.9999999673130967E-2</v>
      </c>
      <c r="N58" s="125">
        <v>2.9999999673430758E-2</v>
      </c>
      <c r="O58" s="125">
        <v>2.9999999452386166E-2</v>
      </c>
      <c r="P58" s="125">
        <v>2.9999999594713202E-2</v>
      </c>
      <c r="Q58" s="125">
        <v>2.9999999481428605E-2</v>
      </c>
      <c r="R58" s="125">
        <v>2.9999999578218587E-2</v>
      </c>
      <c r="S58" s="125">
        <v>2.9999999418083682E-2</v>
      </c>
      <c r="T58" s="125">
        <v>2.9999999314813838E-2</v>
      </c>
      <c r="U58" s="125">
        <v>2.9999999647795619E-2</v>
      </c>
      <c r="V58" s="125">
        <v>2.9999999438384398E-2</v>
      </c>
      <c r="W58" s="125">
        <v>2.9999999256322501E-2</v>
      </c>
      <c r="X58" s="125">
        <v>2.9999999552761718E-2</v>
      </c>
      <c r="Y58" s="125">
        <v>2.9999999337759934E-2</v>
      </c>
      <c r="Z58" s="125">
        <v>2.9999999388947707E-2</v>
      </c>
      <c r="AA58" s="125">
        <v>2.999999941535389E-2</v>
      </c>
      <c r="AB58" s="125">
        <v>2.9999999258279363E-2</v>
      </c>
      <c r="AC58" s="125">
        <v>2.9999999155801205E-2</v>
      </c>
      <c r="AD58" s="125">
        <v>2.99999993623697E-2</v>
      </c>
      <c r="AE58" s="125">
        <v>2.9999999269956223E-2</v>
      </c>
      <c r="AF58" s="125">
        <v>2.9999999478729028E-2</v>
      </c>
      <c r="AG58" s="125">
        <v>2.9999998651671425E-2</v>
      </c>
      <c r="AH58" s="125">
        <v>2.9999999131728308E-2</v>
      </c>
      <c r="AI58" s="125">
        <v>2.9999999040748845E-2</v>
      </c>
      <c r="AJ58" s="125">
        <v>2.9999998921213303E-2</v>
      </c>
      <c r="AK58" s="125">
        <v>2.9999998124659189E-2</v>
      </c>
      <c r="AL58" s="125">
        <v>2.9999999324750847E-2</v>
      </c>
      <c r="AM58" s="125">
        <v>2.9999999119690084E-2</v>
      </c>
      <c r="AN58" s="125">
        <v>2.9999998822928985E-2</v>
      </c>
      <c r="AO58" s="125">
        <v>2.9999997991555692E-2</v>
      </c>
      <c r="AP58" s="125">
        <v>2.9999998806538822E-2</v>
      </c>
      <c r="AQ58" s="125">
        <v>2.9999998796755765E-2</v>
      </c>
      <c r="AR58" s="125">
        <v>2.9999999062444691E-2</v>
      </c>
      <c r="AS58" s="125">
        <v>2.9999998742297498E-2</v>
      </c>
      <c r="AT58" s="125">
        <v>2.9999997434472812E-2</v>
      </c>
      <c r="AU58" s="125">
        <v>2.9999998719217356E-2</v>
      </c>
      <c r="AV58" s="125">
        <v>2.999999867937013E-2</v>
      </c>
      <c r="AW58" s="125">
        <v>2.999999895081322E-2</v>
      </c>
      <c r="AX58" s="125">
        <v>2.9999998477679899E-2</v>
      </c>
      <c r="AY58" s="125">
        <v>2.9999997152022301E-2</v>
      </c>
      <c r="AZ58" s="125">
        <v>2.9999997644859229E-2</v>
      </c>
      <c r="BA58" s="125">
        <v>2.9999998367450403E-2</v>
      </c>
      <c r="BB58" s="125">
        <v>2.999999808112325E-2</v>
      </c>
      <c r="BC58" s="125">
        <v>2.9999998319850448E-2</v>
      </c>
      <c r="BD58" s="125">
        <v>2.9999998172476405E-2</v>
      </c>
      <c r="BE58" s="125">
        <v>2.9999998383400908E-2</v>
      </c>
      <c r="BF58" s="125">
        <v>2.9999997927637995E-2</v>
      </c>
      <c r="BG58" s="125">
        <v>2.9999998331971662E-2</v>
      </c>
      <c r="BH58" s="125">
        <v>2.9999997785167178E-2</v>
      </c>
      <c r="BI58" s="125">
        <v>2.9999998366990181E-2</v>
      </c>
      <c r="BJ58" s="125">
        <v>2.9999998039005195E-2</v>
      </c>
      <c r="BK58" s="125">
        <v>2.9999997425981331E-2</v>
      </c>
      <c r="BL58" s="125">
        <v>2.9999997958295607E-2</v>
      </c>
      <c r="BM58" s="125">
        <v>2.9999997032633983E-2</v>
      </c>
      <c r="BN58" s="125">
        <v>2.9999998537375061E-2</v>
      </c>
      <c r="BO58" s="125">
        <v>2.9999997696560771E-2</v>
      </c>
      <c r="BP58" s="125">
        <v>2.999999662871464E-2</v>
      </c>
      <c r="BQ58" s="125">
        <v>2.999999819959346E-2</v>
      </c>
      <c r="BR58" s="125">
        <v>2.9999997402937583E-2</v>
      </c>
      <c r="BS58" s="125">
        <v>2.9999994500818267E-2</v>
      </c>
      <c r="BT58" s="125">
        <v>2.9999997166999217E-2</v>
      </c>
      <c r="BU58" s="125">
        <v>2.999999769388639E-2</v>
      </c>
      <c r="BV58" s="125">
        <v>2.9999997958311767E-2</v>
      </c>
      <c r="BW58" s="125">
        <v>2.9999997064210998E-2</v>
      </c>
      <c r="BX58" s="125">
        <v>2.9999996949403276E-2</v>
      </c>
      <c r="BY58" s="125">
        <v>2.999999717536676E-2</v>
      </c>
      <c r="BZ58" s="125">
        <v>2.9999997883113593E-2</v>
      </c>
      <c r="CA58" s="125">
        <v>2.9999996748273645E-2</v>
      </c>
      <c r="CB58" s="125">
        <v>2.9999997452790077E-2</v>
      </c>
      <c r="CC58" s="125">
        <v>2.9999998002651913E-2</v>
      </c>
      <c r="CD58" s="125">
        <v>2.9999996511642119E-2</v>
      </c>
      <c r="CE58" s="125">
        <v>2.9999996011358429E-2</v>
      </c>
      <c r="CF58" s="125">
        <v>2.9999997213885896E-2</v>
      </c>
      <c r="CG58" s="125">
        <v>2.9999997036473644E-2</v>
      </c>
      <c r="CH58" s="125">
        <v>2.9999996314761811E-2</v>
      </c>
      <c r="CI58" s="125">
        <v>2.9999997341008326E-2</v>
      </c>
      <c r="CJ58" s="125">
        <v>2.9999994347798251E-2</v>
      </c>
      <c r="CK58" s="125">
        <v>2.9999992761837107E-2</v>
      </c>
      <c r="CL58" s="125">
        <v>2.9999995193195864E-2</v>
      </c>
      <c r="CM58" s="125">
        <v>2.9999991657311081E-2</v>
      </c>
      <c r="CN58" s="125">
        <v>2.9999995864248841E-2</v>
      </c>
      <c r="CO58" s="125">
        <v>2.9999996013071423E-2</v>
      </c>
      <c r="CP58" s="125">
        <v>2.99999959621008E-2</v>
      </c>
      <c r="CQ58" s="125">
        <v>2.9999991327124768E-2</v>
      </c>
      <c r="CR58" s="125">
        <v>2.9999995862159748E-2</v>
      </c>
      <c r="CS58" s="125">
        <v>2.999999520640283E-2</v>
      </c>
      <c r="CT58" s="125">
        <v>2.9999995902888155E-2</v>
      </c>
      <c r="CU58" s="125">
        <v>2.9999995764715841E-2</v>
      </c>
      <c r="CV58" s="125">
        <v>2.9999986942077339E-2</v>
      </c>
      <c r="CW58" s="125">
        <v>2.9999993746622954E-2</v>
      </c>
      <c r="CX58" s="125">
        <v>2.999998667791666E-2</v>
      </c>
    </row>
    <row r="59" spans="1:102">
      <c r="A59" s="23"/>
      <c r="B59" s="67" t="s">
        <v>56</v>
      </c>
      <c r="C59" s="125">
        <v>8.0695994715342362E-2</v>
      </c>
      <c r="D59" s="125">
        <v>8.0695994556637243E-2</v>
      </c>
      <c r="E59" s="125">
        <v>8.0695994344252661E-2</v>
      </c>
      <c r="F59" s="125">
        <v>8.0695994290752499E-2</v>
      </c>
      <c r="G59" s="125">
        <v>8.0695994201726365E-2</v>
      </c>
      <c r="H59" s="125">
        <v>8.0695994035242413E-2</v>
      </c>
      <c r="I59" s="125">
        <v>8.0695993679905084E-2</v>
      </c>
      <c r="J59" s="125">
        <v>8.0695994108488919E-2</v>
      </c>
      <c r="K59" s="125">
        <v>8.0695993480125822E-2</v>
      </c>
      <c r="L59" s="125">
        <v>8.0695993505822683E-2</v>
      </c>
      <c r="M59" s="125">
        <v>8.0695993568738605E-2</v>
      </c>
      <c r="N59" s="125">
        <v>8.069599356539113E-2</v>
      </c>
      <c r="O59" s="125">
        <v>8.0695993100025065E-2</v>
      </c>
      <c r="P59" s="125">
        <v>8.0695993723896617E-2</v>
      </c>
      <c r="Q59" s="125">
        <v>8.06959936878648E-2</v>
      </c>
      <c r="R59" s="125">
        <v>8.069599350150089E-2</v>
      </c>
      <c r="S59" s="125">
        <v>8.0695993185241663E-2</v>
      </c>
      <c r="T59" s="125">
        <v>8.0695993275749417E-2</v>
      </c>
      <c r="U59" s="125">
        <v>8.0695993758704704E-2</v>
      </c>
      <c r="V59" s="125">
        <v>8.0695993276856726E-2</v>
      </c>
      <c r="W59" s="125">
        <v>8.0695993241175629E-2</v>
      </c>
      <c r="X59" s="125">
        <v>8.0695993115242587E-2</v>
      </c>
      <c r="Y59" s="125">
        <v>8.069599322947725E-2</v>
      </c>
      <c r="Z59" s="125">
        <v>8.0695992535587055E-2</v>
      </c>
      <c r="AA59" s="125">
        <v>8.0695993273082758E-2</v>
      </c>
      <c r="AB59" s="125">
        <v>8.0695992189049742E-2</v>
      </c>
      <c r="AC59" s="125">
        <v>8.0695992553843895E-2</v>
      </c>
      <c r="AD59" s="125">
        <v>8.0695992831414903E-2</v>
      </c>
      <c r="AE59" s="125">
        <v>8.069599233282998E-2</v>
      </c>
      <c r="AF59" s="125">
        <v>8.0695992136904954E-2</v>
      </c>
      <c r="AG59" s="125">
        <v>8.0695991173914239E-2</v>
      </c>
      <c r="AH59" s="125">
        <v>8.0695992764505259E-2</v>
      </c>
      <c r="AI59" s="125">
        <v>8.06959921266341E-2</v>
      </c>
      <c r="AJ59" s="125">
        <v>8.0695992180827444E-2</v>
      </c>
      <c r="AK59" s="125">
        <v>8.0695989773427346E-2</v>
      </c>
      <c r="AL59" s="125">
        <v>8.0695992924102511E-2</v>
      </c>
      <c r="AM59" s="125">
        <v>8.06959923652983E-2</v>
      </c>
      <c r="AN59" s="125">
        <v>8.0695992079168472E-2</v>
      </c>
      <c r="AO59" s="125">
        <v>8.0695989149039443E-2</v>
      </c>
      <c r="AP59" s="125">
        <v>8.0695991743205103E-2</v>
      </c>
      <c r="AQ59" s="125">
        <v>8.069599144598269E-2</v>
      </c>
      <c r="AR59" s="125">
        <v>8.0695990887260108E-2</v>
      </c>
      <c r="AS59" s="125">
        <v>8.0695990921958019E-2</v>
      </c>
      <c r="AT59" s="125">
        <v>8.0695987876020087E-2</v>
      </c>
      <c r="AU59" s="125">
        <v>8.0695991201588213E-2</v>
      </c>
      <c r="AV59" s="125">
        <v>8.069599046597023E-2</v>
      </c>
      <c r="AW59" s="125">
        <v>8.069599161338227E-2</v>
      </c>
      <c r="AX59" s="125">
        <v>8.0695989491461159E-2</v>
      </c>
      <c r="AY59" s="125">
        <v>8.0695986741505507E-2</v>
      </c>
      <c r="AZ59" s="125">
        <v>8.0695988294199217E-2</v>
      </c>
      <c r="BA59" s="125">
        <v>8.069599038208454E-2</v>
      </c>
      <c r="BB59" s="125">
        <v>8.0695990514572352E-2</v>
      </c>
      <c r="BC59" s="125">
        <v>8.0695988583379522E-2</v>
      </c>
      <c r="BD59" s="125">
        <v>8.0695988488922885E-2</v>
      </c>
      <c r="BE59" s="125">
        <v>8.0695990612932547E-2</v>
      </c>
      <c r="BF59" s="125">
        <v>8.0695990773596168E-2</v>
      </c>
      <c r="BG59" s="125">
        <v>8.0695988874035479E-2</v>
      </c>
      <c r="BH59" s="125">
        <v>8.0695988814143332E-2</v>
      </c>
      <c r="BI59" s="125">
        <v>8.0695990147748003E-2</v>
      </c>
      <c r="BJ59" s="125">
        <v>8.0695990506368956E-2</v>
      </c>
      <c r="BK59" s="125">
        <v>8.0695989978753921E-2</v>
      </c>
      <c r="BL59" s="125">
        <v>8.0695990452723645E-2</v>
      </c>
      <c r="BM59" s="125">
        <v>8.0695986576602569E-2</v>
      </c>
      <c r="BN59" s="125">
        <v>8.0695990740372717E-2</v>
      </c>
      <c r="BO59" s="125">
        <v>8.0695987083396162E-2</v>
      </c>
      <c r="BP59" s="125">
        <v>8.0695987606414346E-2</v>
      </c>
      <c r="BQ59" s="125">
        <v>8.0695986388291396E-2</v>
      </c>
      <c r="BR59" s="125">
        <v>8.0695988351754053E-2</v>
      </c>
      <c r="BS59" s="125">
        <v>8.0695979943254961E-2</v>
      </c>
      <c r="BT59" s="125">
        <v>8.0695985199022865E-2</v>
      </c>
      <c r="BU59" s="125">
        <v>8.0695988598831925E-2</v>
      </c>
      <c r="BV59" s="125">
        <v>8.0695985398348866E-2</v>
      </c>
      <c r="BW59" s="125">
        <v>8.0695987733053975E-2</v>
      </c>
      <c r="BX59" s="125">
        <v>8.0695986414108786E-2</v>
      </c>
      <c r="BY59" s="125">
        <v>8.0695986080134938E-2</v>
      </c>
      <c r="BZ59" s="125">
        <v>8.0695987054803381E-2</v>
      </c>
      <c r="CA59" s="125">
        <v>8.0695985490028876E-2</v>
      </c>
      <c r="CB59" s="125">
        <v>8.0695987796567573E-2</v>
      </c>
      <c r="CC59" s="125">
        <v>8.0695989277517421E-2</v>
      </c>
      <c r="CD59" s="125">
        <v>8.0695986072059578E-2</v>
      </c>
      <c r="CE59" s="125">
        <v>8.0695984668566798E-2</v>
      </c>
      <c r="CF59" s="125">
        <v>8.0695984165425477E-2</v>
      </c>
      <c r="CG59" s="125">
        <v>8.0695985659964303E-2</v>
      </c>
      <c r="CH59" s="125">
        <v>8.0695980642841877E-2</v>
      </c>
      <c r="CI59" s="125">
        <v>8.0695986899486094E-2</v>
      </c>
      <c r="CJ59" s="125">
        <v>8.0695979364324863E-2</v>
      </c>
      <c r="CK59" s="125">
        <v>8.0695975508500661E-2</v>
      </c>
      <c r="CL59" s="125">
        <v>8.0695982390253135E-2</v>
      </c>
      <c r="CM59" s="125">
        <v>8.0695971487362753E-2</v>
      </c>
      <c r="CN59" s="125">
        <v>8.0695978459969467E-2</v>
      </c>
      <c r="CO59" s="125">
        <v>8.0695983700932117E-2</v>
      </c>
      <c r="CP59" s="125">
        <v>8.0695984361849549E-2</v>
      </c>
      <c r="CQ59" s="125">
        <v>8.0695970513411222E-2</v>
      </c>
      <c r="CR59" s="125">
        <v>8.0695983380355135E-2</v>
      </c>
      <c r="CS59" s="125">
        <v>8.0695981152100249E-2</v>
      </c>
      <c r="CT59" s="125">
        <v>8.0695983143755035E-2</v>
      </c>
      <c r="CU59" s="125">
        <v>8.0695979302712217E-2</v>
      </c>
      <c r="CV59" s="125">
        <v>8.0695959593212144E-2</v>
      </c>
      <c r="CW59" s="125">
        <v>8.0695974866291778E-2</v>
      </c>
      <c r="CX59" s="125">
        <v>8.0695958918043639E-2</v>
      </c>
    </row>
    <row r="60" spans="1:102">
      <c r="A60" s="126"/>
      <c r="B60" s="67" t="s">
        <v>114</v>
      </c>
      <c r="C60" s="125">
        <v>0.63055866030240093</v>
      </c>
      <c r="D60" s="125">
        <v>0.63055866751520973</v>
      </c>
      <c r="E60" s="125">
        <v>0.63055867017667921</v>
      </c>
      <c r="F60" s="125">
        <v>0.63055867183627212</v>
      </c>
      <c r="G60" s="125">
        <v>0.63055868079570376</v>
      </c>
      <c r="H60" s="125">
        <v>0.63055868456725872</v>
      </c>
      <c r="I60" s="125">
        <v>0.63055868719382646</v>
      </c>
      <c r="J60" s="125">
        <v>0.63055868905020218</v>
      </c>
      <c r="K60" s="125">
        <v>0.63055869371021989</v>
      </c>
      <c r="L60" s="125">
        <v>0.63055869424992961</v>
      </c>
      <c r="M60" s="125">
        <v>0.63055869439679446</v>
      </c>
      <c r="N60" s="125">
        <v>0.63055869717255186</v>
      </c>
      <c r="O60" s="125">
        <v>0.63055869959170363</v>
      </c>
      <c r="P60" s="125">
        <v>0.6305586995638639</v>
      </c>
      <c r="Q60" s="125">
        <v>0.6305587065630982</v>
      </c>
      <c r="R60" s="125">
        <v>0.63055870986960416</v>
      </c>
      <c r="S60" s="125">
        <v>0.6305587111188754</v>
      </c>
      <c r="T60" s="125">
        <v>0.63055871377706019</v>
      </c>
      <c r="U60" s="125">
        <v>0.63055871288150889</v>
      </c>
      <c r="V60" s="125">
        <v>0.63055871578871703</v>
      </c>
      <c r="W60" s="125">
        <v>0.63055871655399454</v>
      </c>
      <c r="X60" s="125">
        <v>0.63055871580823408</v>
      </c>
      <c r="Y60" s="125">
        <v>0.63055871732533453</v>
      </c>
      <c r="Z60" s="125">
        <v>0.63055871773518968</v>
      </c>
      <c r="AA60" s="125">
        <v>0.63055871806817132</v>
      </c>
      <c r="AB60" s="125">
        <v>0.6305587265243896</v>
      </c>
      <c r="AC60" s="125">
        <v>0.63055872853531136</v>
      </c>
      <c r="AD60" s="125">
        <v>0.63055873057298029</v>
      </c>
      <c r="AE60" s="125">
        <v>0.63055873111726424</v>
      </c>
      <c r="AF60" s="125">
        <v>0.63055873029367782</v>
      </c>
      <c r="AG60" s="125">
        <v>0.63055873813949648</v>
      </c>
      <c r="AH60" s="125">
        <v>0.6305587400929088</v>
      </c>
      <c r="AI60" s="125">
        <v>0.6305587448777199</v>
      </c>
      <c r="AJ60" s="125">
        <v>0.63055875674131934</v>
      </c>
      <c r="AK60" s="125">
        <v>0.6305587602963042</v>
      </c>
      <c r="AL60" s="125">
        <v>0.6305587565192482</v>
      </c>
      <c r="AM60" s="125">
        <v>0.63055875803476447</v>
      </c>
      <c r="AN60" s="125">
        <v>0.6305587624303457</v>
      </c>
      <c r="AO60" s="125">
        <v>0.63055876635243757</v>
      </c>
      <c r="AP60" s="125">
        <v>0.63055877507480607</v>
      </c>
      <c r="AQ60" s="125">
        <v>0.63055877689234396</v>
      </c>
      <c r="AR60" s="125">
        <v>0.63055877578183894</v>
      </c>
      <c r="AS60" s="125">
        <v>0.63055877823292228</v>
      </c>
      <c r="AT60" s="125">
        <v>0.63055878770456619</v>
      </c>
      <c r="AU60" s="125">
        <v>0.63055878342048988</v>
      </c>
      <c r="AV60" s="125">
        <v>0.63055878534188381</v>
      </c>
      <c r="AW60" s="125">
        <v>0.63055879055027286</v>
      </c>
      <c r="AX60" s="125">
        <v>0.63055879392502368</v>
      </c>
      <c r="AY60" s="125">
        <v>0.63055880474179937</v>
      </c>
      <c r="AZ60" s="125">
        <v>0.63055880504251405</v>
      </c>
      <c r="BA60" s="125">
        <v>0.63055880603267345</v>
      </c>
      <c r="BB60" s="125">
        <v>0.63055881275067016</v>
      </c>
      <c r="BC60" s="125">
        <v>0.63055881867312802</v>
      </c>
      <c r="BD60" s="125">
        <v>0.63055882136714225</v>
      </c>
      <c r="BE60" s="125">
        <v>0.63055882080549186</v>
      </c>
      <c r="BF60" s="125">
        <v>0.63055883682244285</v>
      </c>
      <c r="BG60" s="125">
        <v>0.63055883627143405</v>
      </c>
      <c r="BH60" s="125">
        <v>0.63055885620580576</v>
      </c>
      <c r="BI60" s="125">
        <v>0.63055885780844989</v>
      </c>
      <c r="BJ60" s="125">
        <v>0.63055886647867632</v>
      </c>
      <c r="BK60" s="125">
        <v>0.63055887372530672</v>
      </c>
      <c r="BL60" s="125">
        <v>0.63055887337104766</v>
      </c>
      <c r="BM60" s="125">
        <v>0.63055888197802157</v>
      </c>
      <c r="BN60" s="125">
        <v>0.63055887584100467</v>
      </c>
      <c r="BO60" s="125">
        <v>0.63055888370419055</v>
      </c>
      <c r="BP60" s="125">
        <v>0.63055888830871898</v>
      </c>
      <c r="BQ60" s="125">
        <v>0.63055888708818697</v>
      </c>
      <c r="BR60" s="125">
        <v>0.63055890036172435</v>
      </c>
      <c r="BS60" s="125">
        <v>0.63055891389208663</v>
      </c>
      <c r="BT60" s="125">
        <v>0.63055890391910963</v>
      </c>
      <c r="BU60" s="125">
        <v>0.63055891007196863</v>
      </c>
      <c r="BV60" s="125">
        <v>0.63055890907442513</v>
      </c>
      <c r="BW60" s="125">
        <v>0.63055892982935091</v>
      </c>
      <c r="BX60" s="125">
        <v>0.63055893055956957</v>
      </c>
      <c r="BY60" s="125">
        <v>0.63055894145256974</v>
      </c>
      <c r="BZ60" s="125">
        <v>0.63055893933393459</v>
      </c>
      <c r="CA60" s="125">
        <v>0.63055894593690309</v>
      </c>
      <c r="CB60" s="125">
        <v>0.63055894372591825</v>
      </c>
      <c r="CC60" s="125">
        <v>0.63055895307891974</v>
      </c>
      <c r="CD60" s="125">
        <v>0.63055897284970597</v>
      </c>
      <c r="CE60" s="125">
        <v>0.63055897884304579</v>
      </c>
      <c r="CF60" s="125">
        <v>0.63055898730120497</v>
      </c>
      <c r="CG60" s="125">
        <v>0.63055899105321678</v>
      </c>
      <c r="CH60" s="125">
        <v>0.63055900213669369</v>
      </c>
      <c r="CI60" s="125">
        <v>0.63055900028538026</v>
      </c>
      <c r="CJ60" s="125">
        <v>0.6305590130335017</v>
      </c>
      <c r="CK60" s="125">
        <v>0.63055904545295172</v>
      </c>
      <c r="CL60" s="125">
        <v>0.63055907202571393</v>
      </c>
      <c r="CM60" s="125">
        <v>0.63055912155495331</v>
      </c>
      <c r="CN60" s="125">
        <v>0.63055913228606653</v>
      </c>
      <c r="CO60" s="125">
        <v>0.63055913694677801</v>
      </c>
      <c r="CP60" s="125">
        <v>0.63055914004554292</v>
      </c>
      <c r="CQ60" s="125">
        <v>0.63055916013626945</v>
      </c>
      <c r="CR60" s="125">
        <v>0.63055914874842678</v>
      </c>
      <c r="CS60" s="125">
        <v>0.63055916271147006</v>
      </c>
      <c r="CT60" s="125">
        <v>0.63055917883836121</v>
      </c>
      <c r="CU60" s="125">
        <v>0.63055919984989006</v>
      </c>
      <c r="CV60" s="125">
        <v>0.63055926536101459</v>
      </c>
      <c r="CW60" s="125">
        <v>0.6305592575798441</v>
      </c>
      <c r="CX60" s="125">
        <v>0.6305593084830905</v>
      </c>
    </row>
    <row r="61" spans="1:102">
      <c r="A61" s="128" t="str">
        <f>Parameters!A45</f>
        <v>Kansgewogen</v>
      </c>
      <c r="B61" s="122" t="s">
        <v>29</v>
      </c>
      <c r="C61" s="123">
        <v>-3.9233322229866469E-12</v>
      </c>
      <c r="D61" s="123">
        <v>2.1994583334037422E-11</v>
      </c>
      <c r="E61" s="123">
        <v>2.7485755872204902E-11</v>
      </c>
      <c r="F61" s="123">
        <v>1.5449320554643123E-10</v>
      </c>
      <c r="G61" s="123">
        <v>3.3927403200203286E-11</v>
      </c>
      <c r="H61" s="123">
        <v>1.7989342878257247E-10</v>
      </c>
      <c r="I61" s="123">
        <v>7.0999457428605783E-11</v>
      </c>
      <c r="J61" s="123">
        <v>1.3605724485525089E-10</v>
      </c>
      <c r="K61" s="123">
        <v>4.142432620634038E-10</v>
      </c>
      <c r="L61" s="123">
        <v>2.6123539620409485E-10</v>
      </c>
      <c r="M61" s="123">
        <v>2.0579068892307305E-10</v>
      </c>
      <c r="N61" s="123">
        <v>3.2635921626634788E-10</v>
      </c>
      <c r="O61" s="123">
        <v>-2.2252025271299066E-11</v>
      </c>
      <c r="P61" s="123">
        <v>6.1944995844773015E-11</v>
      </c>
      <c r="Q61" s="123">
        <v>-2.3080096737086433E-11</v>
      </c>
      <c r="R61" s="123">
        <v>2.0644829555288357E-10</v>
      </c>
      <c r="S61" s="123">
        <v>4.8533732023305253E-11</v>
      </c>
      <c r="T61" s="123">
        <v>-1.1779949981288135E-10</v>
      </c>
      <c r="U61" s="123">
        <v>9.0461461469879766E-11</v>
      </c>
      <c r="V61" s="123">
        <v>1.324971478795659E-10</v>
      </c>
      <c r="W61" s="123">
        <v>1.3729029446180147E-10</v>
      </c>
      <c r="X61" s="123">
        <v>3.4512975473157717E-10</v>
      </c>
      <c r="Y61" s="123">
        <v>1.003929646433239E-10</v>
      </c>
      <c r="Z61" s="123">
        <v>2.6011647769840263E-10</v>
      </c>
      <c r="AA61" s="123">
        <v>9.1052914118680773E-11</v>
      </c>
      <c r="AB61" s="123">
        <v>2.0904739683579605E-10</v>
      </c>
      <c r="AC61" s="123">
        <v>-3.7447754950801585E-11</v>
      </c>
      <c r="AD61" s="123">
        <v>2.5085958184908822E-10</v>
      </c>
      <c r="AE61" s="123">
        <v>1.542190785209322E-10</v>
      </c>
      <c r="AF61" s="123">
        <v>9.3108637991912039E-10</v>
      </c>
      <c r="AG61" s="123">
        <v>-4.6698804980177574E-10</v>
      </c>
      <c r="AH61" s="123">
        <v>8.2497950800734232E-11</v>
      </c>
      <c r="AI61" s="123">
        <v>1.0614847967474012E-10</v>
      </c>
      <c r="AJ61" s="123">
        <v>3.7087127815455948E-11</v>
      </c>
      <c r="AK61" s="123">
        <v>-7.1805781630744828E-10</v>
      </c>
      <c r="AL61" s="123">
        <v>1.4038642277107102E-10</v>
      </c>
      <c r="AM61" s="123">
        <v>1.2108317254663272E-10</v>
      </c>
      <c r="AN61" s="123">
        <v>1.8889905083625183E-10</v>
      </c>
      <c r="AO61" s="123">
        <v>-7.3093806012744506E-10</v>
      </c>
      <c r="AP61" s="123">
        <v>1.4921024756230049E-10</v>
      </c>
      <c r="AQ61" s="123">
        <v>9.7749841237585621E-10</v>
      </c>
      <c r="AR61" s="123">
        <v>1.1880233342610422E-9</v>
      </c>
      <c r="AS61" s="123">
        <v>2.7267919170423954E-10</v>
      </c>
      <c r="AT61" s="123">
        <v>-1.1292271997989512E-9</v>
      </c>
      <c r="AU61" s="123">
        <v>3.8444501751004945E-10</v>
      </c>
      <c r="AV61" s="123">
        <v>3.5347396221623243E-10</v>
      </c>
      <c r="AW61" s="123">
        <v>6.0126562332553496E-10</v>
      </c>
      <c r="AX61" s="123">
        <v>3.6125071340296167E-10</v>
      </c>
      <c r="AY61" s="123">
        <v>-9.9910310637661452E-10</v>
      </c>
      <c r="AZ61" s="123">
        <v>-7.8417680736635529E-10</v>
      </c>
      <c r="BA61" s="123">
        <v>3.3894237018124084E-10</v>
      </c>
      <c r="BB61" s="123">
        <v>-3.0264924053017853E-10</v>
      </c>
      <c r="BC61" s="123">
        <v>7.5703630467009564E-10</v>
      </c>
      <c r="BD61" s="123">
        <v>4.2857233920931365E-10</v>
      </c>
      <c r="BE61" s="123">
        <v>2.6634465677154458E-10</v>
      </c>
      <c r="BF61" s="123">
        <v>7.1226648577624202E-10</v>
      </c>
      <c r="BG61" s="123">
        <v>1.2437496967209362E-9</v>
      </c>
      <c r="BH61" s="123">
        <v>3.511908675028291E-10</v>
      </c>
      <c r="BI61" s="123">
        <v>7.6875854639994712E-10</v>
      </c>
      <c r="BJ61" s="123">
        <v>5.5626564573164562E-10</v>
      </c>
      <c r="BK61" s="123">
        <v>6.5304398237239742E-10</v>
      </c>
      <c r="BL61" s="123">
        <v>4.9845907606557476E-10</v>
      </c>
      <c r="BM61" s="123">
        <v>-3.1651310353689819E-10</v>
      </c>
      <c r="BN61" s="123">
        <v>2.9216252530690565E-10</v>
      </c>
      <c r="BO61" s="123">
        <v>5.2061438277723264E-10</v>
      </c>
      <c r="BP61" s="123">
        <v>3.5119957226109709E-11</v>
      </c>
      <c r="BQ61" s="123">
        <v>2.7037633059116274E-9</v>
      </c>
      <c r="BR61" s="123">
        <v>3.7130917235826753E-10</v>
      </c>
      <c r="BS61" s="123">
        <v>-2.5583173669648729E-9</v>
      </c>
      <c r="BT61" s="123">
        <v>7.8720300235073631E-10</v>
      </c>
      <c r="BU61" s="123">
        <v>1.0236928244806553E-10</v>
      </c>
      <c r="BV61" s="123">
        <v>2.7736092639362514E-9</v>
      </c>
      <c r="BW61" s="123">
        <v>1.9321521757419335E-9</v>
      </c>
      <c r="BX61" s="123">
        <v>-7.9078545952949269E-11</v>
      </c>
      <c r="BY61" s="123">
        <v>1.0105309214506413E-9</v>
      </c>
      <c r="BZ61" s="123">
        <v>2.1770065130094234E-9</v>
      </c>
      <c r="CA61" s="123">
        <v>9.88752207224222E-10</v>
      </c>
      <c r="CB61" s="123">
        <v>6.5229710327612173E-10</v>
      </c>
      <c r="CC61" s="123">
        <v>4.7743982482327028E-10</v>
      </c>
      <c r="CD61" s="123">
        <v>2.1635532607960002E-10</v>
      </c>
      <c r="CE61" s="123">
        <v>-1.9991541193786466E-10</v>
      </c>
      <c r="CF61" s="123">
        <v>2.9845650072718116E-9</v>
      </c>
      <c r="CG61" s="123">
        <v>1.2684789042202854E-9</v>
      </c>
      <c r="CH61" s="123">
        <v>2.3251656656274498E-9</v>
      </c>
      <c r="CI61" s="123">
        <v>5.6460921793967788E-10</v>
      </c>
      <c r="CJ61" s="123">
        <v>-1.6942808338507783E-9</v>
      </c>
      <c r="CK61" s="123">
        <v>-2.7489826202092377E-9</v>
      </c>
      <c r="CL61" s="123">
        <v>1.2432961782925716E-9</v>
      </c>
      <c r="CM61" s="123">
        <v>-2.6481280335832829E-9</v>
      </c>
      <c r="CN61" s="123">
        <v>3.7614836463899522E-9</v>
      </c>
      <c r="CO61" s="123">
        <v>8.6733590785146371E-10</v>
      </c>
      <c r="CP61" s="123">
        <v>1.0645275812067585E-9</v>
      </c>
      <c r="CQ61" s="123">
        <v>-1.6572718814054656E-9</v>
      </c>
      <c r="CR61" s="123">
        <v>1.1424161297981379E-9</v>
      </c>
      <c r="CS61" s="123">
        <v>1.9932445541220406E-9</v>
      </c>
      <c r="CT61" s="123">
        <v>1.0318703961572351E-9</v>
      </c>
      <c r="CU61" s="123">
        <v>4.1752423562304233E-9</v>
      </c>
      <c r="CV61" s="123">
        <v>-6.0434903717887421E-9</v>
      </c>
      <c r="CW61" s="123">
        <v>2.8706228388584254E-9</v>
      </c>
      <c r="CX61" s="123">
        <v>-5.8048777627224494E-9</v>
      </c>
    </row>
    <row r="62" spans="1:102">
      <c r="A62" s="23"/>
      <c r="B62" s="14" t="s">
        <v>30</v>
      </c>
      <c r="C62" s="125">
        <v>2.9999999990152584E-2</v>
      </c>
      <c r="D62" s="125">
        <v>2.9999999926532038E-2</v>
      </c>
      <c r="E62" s="125">
        <v>2.9999999884124356E-2</v>
      </c>
      <c r="F62" s="125">
        <v>2.9999999907422737E-2</v>
      </c>
      <c r="G62" s="125">
        <v>2.9999999794236634E-2</v>
      </c>
      <c r="H62" s="125">
        <v>2.9999999819008416E-2</v>
      </c>
      <c r="I62" s="125">
        <v>2.9999999689040102E-2</v>
      </c>
      <c r="J62" s="125">
        <v>2.9999999632982766E-2</v>
      </c>
      <c r="K62" s="125">
        <v>2.9999999736417794E-2</v>
      </c>
      <c r="L62" s="125">
        <v>2.9999999669697193E-2</v>
      </c>
      <c r="M62" s="125">
        <v>2.9999999673130922E-2</v>
      </c>
      <c r="N62" s="125">
        <v>2.9999999673430738E-2</v>
      </c>
      <c r="O62" s="125">
        <v>2.999999945238619E-2</v>
      </c>
      <c r="P62" s="125">
        <v>2.9999999594713216E-2</v>
      </c>
      <c r="Q62" s="125">
        <v>2.9999999481428685E-2</v>
      </c>
      <c r="R62" s="125">
        <v>2.999999957821857E-2</v>
      </c>
      <c r="S62" s="125">
        <v>2.999999941808365E-2</v>
      </c>
      <c r="T62" s="125">
        <v>2.9999999314813938E-2</v>
      </c>
      <c r="U62" s="125">
        <v>2.9999999647795726E-2</v>
      </c>
      <c r="V62" s="125">
        <v>2.9999999438384429E-2</v>
      </c>
      <c r="W62" s="125">
        <v>2.9999999256322546E-2</v>
      </c>
      <c r="X62" s="125">
        <v>2.9999999552761707E-2</v>
      </c>
      <c r="Y62" s="125">
        <v>2.9999999337759955E-2</v>
      </c>
      <c r="Z62" s="125">
        <v>2.999999938894745E-2</v>
      </c>
      <c r="AA62" s="125">
        <v>2.9999999415353924E-2</v>
      </c>
      <c r="AB62" s="125">
        <v>2.9999999258279023E-2</v>
      </c>
      <c r="AC62" s="125">
        <v>2.9999999155801257E-2</v>
      </c>
      <c r="AD62" s="125">
        <v>2.9999999362369578E-2</v>
      </c>
      <c r="AE62" s="125">
        <v>2.9999999269955953E-2</v>
      </c>
      <c r="AF62" s="125">
        <v>2.9999999478728896E-2</v>
      </c>
      <c r="AG62" s="125">
        <v>2.9999998651671675E-2</v>
      </c>
      <c r="AH62" s="125">
        <v>2.9999999131728506E-2</v>
      </c>
      <c r="AI62" s="125">
        <v>2.9999999040748727E-2</v>
      </c>
      <c r="AJ62" s="125">
        <v>2.9999998921213439E-2</v>
      </c>
      <c r="AK62" s="125">
        <v>2.9999998124659553E-2</v>
      </c>
      <c r="AL62" s="125">
        <v>2.9999999324751198E-2</v>
      </c>
      <c r="AM62" s="125">
        <v>2.9999999119690139E-2</v>
      </c>
      <c r="AN62" s="125">
        <v>2.9999998822929107E-2</v>
      </c>
      <c r="AO62" s="125">
        <v>2.999999799155605E-2</v>
      </c>
      <c r="AP62" s="125">
        <v>2.9999998806538974E-2</v>
      </c>
      <c r="AQ62" s="125">
        <v>2.9999998796755627E-2</v>
      </c>
      <c r="AR62" s="125">
        <v>2.9999999062444552E-2</v>
      </c>
      <c r="AS62" s="125">
        <v>2.9999998742296995E-2</v>
      </c>
      <c r="AT62" s="125">
        <v>2.9999997434473631E-2</v>
      </c>
      <c r="AU62" s="125">
        <v>2.9999998719217463E-2</v>
      </c>
      <c r="AV62" s="125">
        <v>2.9999998679369259E-2</v>
      </c>
      <c r="AW62" s="125">
        <v>2.9999998950812998E-2</v>
      </c>
      <c r="AX62" s="125">
        <v>2.9999998477678418E-2</v>
      </c>
      <c r="AY62" s="125">
        <v>2.9999997152023204E-2</v>
      </c>
      <c r="AZ62" s="125">
        <v>2.9999997644859954E-2</v>
      </c>
      <c r="BA62" s="125">
        <v>2.9999998367450553E-2</v>
      </c>
      <c r="BB62" s="125">
        <v>2.9999998081123979E-2</v>
      </c>
      <c r="BC62" s="125">
        <v>2.9999998319848471E-2</v>
      </c>
      <c r="BD62" s="125">
        <v>2.9999998172474333E-2</v>
      </c>
      <c r="BE62" s="125">
        <v>2.999999838340105E-2</v>
      </c>
      <c r="BF62" s="125">
        <v>2.9999997927638213E-2</v>
      </c>
      <c r="BG62" s="125">
        <v>2.9999998331970888E-2</v>
      </c>
      <c r="BH62" s="125">
        <v>2.9999997785166366E-2</v>
      </c>
      <c r="BI62" s="125">
        <v>2.9999998366989911E-2</v>
      </c>
      <c r="BJ62" s="125">
        <v>2.9999998039006034E-2</v>
      </c>
      <c r="BK62" s="125">
        <v>2.9999997425982111E-2</v>
      </c>
      <c r="BL62" s="125">
        <v>2.999999795829664E-2</v>
      </c>
      <c r="BM62" s="125">
        <v>2.9999997032634639E-2</v>
      </c>
      <c r="BN62" s="125">
        <v>2.9999998537376973E-2</v>
      </c>
      <c r="BO62" s="125">
        <v>2.999999769655786E-2</v>
      </c>
      <c r="BP62" s="125">
        <v>2.9999996628715681E-2</v>
      </c>
      <c r="BQ62" s="125">
        <v>2.999999819959167E-2</v>
      </c>
      <c r="BR62" s="125">
        <v>2.9999997402937892E-2</v>
      </c>
      <c r="BS62" s="125">
        <v>2.9999994500821921E-2</v>
      </c>
      <c r="BT62" s="125">
        <v>2.999999716699709E-2</v>
      </c>
      <c r="BU62" s="125">
        <v>2.9999997693887892E-2</v>
      </c>
      <c r="BV62" s="125">
        <v>2.9999997958308992E-2</v>
      </c>
      <c r="BW62" s="125">
        <v>2.9999997064210783E-2</v>
      </c>
      <c r="BX62" s="125">
        <v>2.9999996949404351E-2</v>
      </c>
      <c r="BY62" s="125">
        <v>2.9999997175363148E-2</v>
      </c>
      <c r="BZ62" s="125">
        <v>2.9999997883112323E-2</v>
      </c>
      <c r="CA62" s="125">
        <v>2.9999996748269472E-2</v>
      </c>
      <c r="CB62" s="125">
        <v>2.9999997452789633E-2</v>
      </c>
      <c r="CC62" s="125">
        <v>2.9999998002654824E-2</v>
      </c>
      <c r="CD62" s="125">
        <v>2.9999996511642361E-2</v>
      </c>
      <c r="CE62" s="125">
        <v>2.9999996011359796E-2</v>
      </c>
      <c r="CF62" s="125">
        <v>2.9999997213885316E-2</v>
      </c>
      <c r="CG62" s="125">
        <v>2.9999997036470279E-2</v>
      </c>
      <c r="CH62" s="125">
        <v>2.99999963147583E-2</v>
      </c>
      <c r="CI62" s="125">
        <v>2.9999997341009259E-2</v>
      </c>
      <c r="CJ62" s="125">
        <v>2.9999994347801835E-2</v>
      </c>
      <c r="CK62" s="125">
        <v>2.9999992761842433E-2</v>
      </c>
      <c r="CL62" s="125">
        <v>2.9999995193191197E-2</v>
      </c>
      <c r="CM62" s="125">
        <v>2.999999165731608E-2</v>
      </c>
      <c r="CN62" s="125">
        <v>2.999999586423854E-2</v>
      </c>
      <c r="CO62" s="125">
        <v>2.9999996013073564E-2</v>
      </c>
      <c r="CP62" s="125">
        <v>2.9999995962102684E-2</v>
      </c>
      <c r="CQ62" s="125">
        <v>2.9999991327131915E-2</v>
      </c>
      <c r="CR62" s="125">
        <v>2.9999995862162992E-2</v>
      </c>
      <c r="CS62" s="125">
        <v>2.9999995206395163E-2</v>
      </c>
      <c r="CT62" s="125">
        <v>2.9999995902889806E-2</v>
      </c>
      <c r="CU62" s="125">
        <v>2.9999995764712847E-2</v>
      </c>
      <c r="CV62" s="125">
        <v>2.9999986942097902E-2</v>
      </c>
      <c r="CW62" s="125">
        <v>2.9999993746624921E-2</v>
      </c>
      <c r="CX62" s="125">
        <v>2.9999986677937424E-2</v>
      </c>
    </row>
    <row r="63" spans="1:102">
      <c r="A63" s="23"/>
      <c r="B63" s="67" t="s">
        <v>56</v>
      </c>
      <c r="C63" s="125">
        <v>0.1141477731325433</v>
      </c>
      <c r="D63" s="125">
        <v>0.11414777296293475</v>
      </c>
      <c r="E63" s="125">
        <v>0.11414777285804439</v>
      </c>
      <c r="F63" s="125">
        <v>0.11414777273022621</v>
      </c>
      <c r="G63" s="125">
        <v>0.11414777253793422</v>
      </c>
      <c r="H63" s="125">
        <v>0.1141477723008788</v>
      </c>
      <c r="I63" s="125">
        <v>0.11414777234420535</v>
      </c>
      <c r="J63" s="125">
        <v>0.11414777240426568</v>
      </c>
      <c r="K63" s="125">
        <v>0.11414777200546547</v>
      </c>
      <c r="L63" s="125">
        <v>0.11414777187997011</v>
      </c>
      <c r="M63" s="125">
        <v>0.11414777203520624</v>
      </c>
      <c r="N63" s="125">
        <v>0.11414777198438168</v>
      </c>
      <c r="O63" s="125">
        <v>0.11414777100797643</v>
      </c>
      <c r="P63" s="125">
        <v>0.11414777215402964</v>
      </c>
      <c r="Q63" s="125">
        <v>0.11414777197194825</v>
      </c>
      <c r="R63" s="125">
        <v>0.11414777173630673</v>
      </c>
      <c r="S63" s="125">
        <v>0.11414777175594043</v>
      </c>
      <c r="T63" s="125">
        <v>0.11414777138065088</v>
      </c>
      <c r="U63" s="125">
        <v>0.11414777124244996</v>
      </c>
      <c r="V63" s="125">
        <v>0.11414777165507006</v>
      </c>
      <c r="W63" s="125">
        <v>0.11414777134610213</v>
      </c>
      <c r="X63" s="125">
        <v>0.11414777109737949</v>
      </c>
      <c r="Y63" s="125">
        <v>0.11414777157045125</v>
      </c>
      <c r="Z63" s="125">
        <v>0.11414777140238873</v>
      </c>
      <c r="AA63" s="125">
        <v>0.11414777164815636</v>
      </c>
      <c r="AB63" s="125">
        <v>0.11414777117126827</v>
      </c>
      <c r="AC63" s="125">
        <v>0.1141477707516169</v>
      </c>
      <c r="AD63" s="125">
        <v>0.11414777128494859</v>
      </c>
      <c r="AE63" s="125">
        <v>0.11414777085658519</v>
      </c>
      <c r="AF63" s="125">
        <v>0.11414777071754376</v>
      </c>
      <c r="AG63" s="125">
        <v>0.11414776796205832</v>
      </c>
      <c r="AH63" s="125">
        <v>0.11414777098393111</v>
      </c>
      <c r="AI63" s="125">
        <v>0.11414777079300843</v>
      </c>
      <c r="AJ63" s="125">
        <v>0.11414777036021363</v>
      </c>
      <c r="AK63" s="125">
        <v>0.11414776639472561</v>
      </c>
      <c r="AL63" s="125">
        <v>0.11414776966521499</v>
      </c>
      <c r="AM63" s="125">
        <v>0.11414777007363537</v>
      </c>
      <c r="AN63" s="125">
        <v>0.1141477702971837</v>
      </c>
      <c r="AO63" s="125">
        <v>0.1141477657333559</v>
      </c>
      <c r="AP63" s="125">
        <v>0.11414777021562837</v>
      </c>
      <c r="AQ63" s="125">
        <v>0.11414776967411601</v>
      </c>
      <c r="AR63" s="125">
        <v>0.11414776938758271</v>
      </c>
      <c r="AS63" s="125">
        <v>0.11414776970580352</v>
      </c>
      <c r="AT63" s="125">
        <v>0.11414776337335954</v>
      </c>
      <c r="AU63" s="125">
        <v>0.11414776954398989</v>
      </c>
      <c r="AV63" s="125">
        <v>0.11414776956646526</v>
      </c>
      <c r="AW63" s="125">
        <v>0.11414776974467272</v>
      </c>
      <c r="AX63" s="125">
        <v>0.11414776916236062</v>
      </c>
      <c r="AY63" s="125">
        <v>0.11414776225601656</v>
      </c>
      <c r="AZ63" s="125">
        <v>0.1141477639003913</v>
      </c>
      <c r="BA63" s="125">
        <v>0.11414776839701629</v>
      </c>
      <c r="BB63" s="125">
        <v>0.11414776779010939</v>
      </c>
      <c r="BC63" s="125">
        <v>0.11414776826622999</v>
      </c>
      <c r="BD63" s="125">
        <v>0.11414776836545537</v>
      </c>
      <c r="BE63" s="125">
        <v>0.11414776882110812</v>
      </c>
      <c r="BF63" s="125">
        <v>0.11414776844511881</v>
      </c>
      <c r="BG63" s="125">
        <v>0.11414776767165605</v>
      </c>
      <c r="BH63" s="125">
        <v>0.11414776742500946</v>
      </c>
      <c r="BI63" s="125">
        <v>0.11414776811305377</v>
      </c>
      <c r="BJ63" s="125">
        <v>0.11414776645445926</v>
      </c>
      <c r="BK63" s="125">
        <v>0.11414776753814347</v>
      </c>
      <c r="BL63" s="125">
        <v>0.11414776656662329</v>
      </c>
      <c r="BM63" s="125">
        <v>0.1141477624546554</v>
      </c>
      <c r="BN63" s="125">
        <v>0.1141477652285155</v>
      </c>
      <c r="BO63" s="125">
        <v>0.11414776607862953</v>
      </c>
      <c r="BP63" s="125">
        <v>0.11414776388592002</v>
      </c>
      <c r="BQ63" s="125">
        <v>0.11414776540668919</v>
      </c>
      <c r="BR63" s="125">
        <v>0.11414776685284141</v>
      </c>
      <c r="BS63" s="125">
        <v>0.11414775224102053</v>
      </c>
      <c r="BT63" s="125">
        <v>0.11414776353371024</v>
      </c>
      <c r="BU63" s="125">
        <v>0.11414776365917305</v>
      </c>
      <c r="BV63" s="125">
        <v>0.1141477647285216</v>
      </c>
      <c r="BW63" s="125">
        <v>0.11414776533899761</v>
      </c>
      <c r="BX63" s="125">
        <v>0.11414776181277941</v>
      </c>
      <c r="BY63" s="125">
        <v>0.11414776529255123</v>
      </c>
      <c r="BZ63" s="125">
        <v>0.1141477650962459</v>
      </c>
      <c r="CA63" s="125">
        <v>0.11414776505652745</v>
      </c>
      <c r="CB63" s="125">
        <v>0.11414776378575714</v>
      </c>
      <c r="CC63" s="125">
        <v>0.11414776277844259</v>
      </c>
      <c r="CD63" s="125">
        <v>0.11414776475050367</v>
      </c>
      <c r="CE63" s="125">
        <v>0.11414776124135025</v>
      </c>
      <c r="CF63" s="125">
        <v>0.11414776269146347</v>
      </c>
      <c r="CG63" s="125">
        <v>0.1141477642263606</v>
      </c>
      <c r="CH63" s="125">
        <v>0.11414775880596444</v>
      </c>
      <c r="CI63" s="125">
        <v>0.11414776121755148</v>
      </c>
      <c r="CJ63" s="125">
        <v>0.11414775151450145</v>
      </c>
      <c r="CK63" s="125">
        <v>0.11414774705132587</v>
      </c>
      <c r="CL63" s="125">
        <v>0.11414776159704526</v>
      </c>
      <c r="CM63" s="125">
        <v>0.11414774328608944</v>
      </c>
      <c r="CN63" s="125">
        <v>0.11414775836072058</v>
      </c>
      <c r="CO63" s="125">
        <v>0.11414775646233509</v>
      </c>
      <c r="CP63" s="125">
        <v>0.11414775934826288</v>
      </c>
      <c r="CQ63" s="125">
        <v>0.11414774080005004</v>
      </c>
      <c r="CR63" s="125">
        <v>0.11414775789919283</v>
      </c>
      <c r="CS63" s="125">
        <v>0.11414775962893271</v>
      </c>
      <c r="CT63" s="125">
        <v>0.11414775603164221</v>
      </c>
      <c r="CU63" s="125">
        <v>0.11414775650645093</v>
      </c>
      <c r="CV63" s="125">
        <v>0.11414772348043295</v>
      </c>
      <c r="CW63" s="125">
        <v>0.11414775093764841</v>
      </c>
      <c r="CX63" s="125">
        <v>0.11414772286602508</v>
      </c>
    </row>
    <row r="64" spans="1:102">
      <c r="A64" s="126"/>
      <c r="B64" s="129" t="s">
        <v>114</v>
      </c>
      <c r="C64" s="127">
        <v>0.63055865990888138</v>
      </c>
      <c r="D64" s="127">
        <v>0.63055865984961867</v>
      </c>
      <c r="E64" s="127">
        <v>0.63055865995836446</v>
      </c>
      <c r="F64" s="127">
        <v>0.63055865826298829</v>
      </c>
      <c r="G64" s="127">
        <v>0.63055866025424467</v>
      </c>
      <c r="H64" s="127">
        <v>0.63055865831420199</v>
      </c>
      <c r="I64" s="127">
        <v>0.63055866022900342</v>
      </c>
      <c r="J64" s="127">
        <v>0.63055865964566959</v>
      </c>
      <c r="K64" s="127">
        <v>0.63055865571252667</v>
      </c>
      <c r="L64" s="127">
        <v>0.63055865791704935</v>
      </c>
      <c r="M64" s="127">
        <v>0.63055865860011462</v>
      </c>
      <c r="N64" s="127">
        <v>0.63055865708217262</v>
      </c>
      <c r="O64" s="127">
        <v>0.63055866239437963</v>
      </c>
      <c r="P64" s="127">
        <v>0.63055866073843003</v>
      </c>
      <c r="Q64" s="127">
        <v>0.63055866228301682</v>
      </c>
      <c r="R64" s="127">
        <v>0.63055865898982377</v>
      </c>
      <c r="S64" s="127">
        <v>0.63055866164776997</v>
      </c>
      <c r="T64" s="127">
        <v>0.63055866417317408</v>
      </c>
      <c r="U64" s="127">
        <v>0.63055866015712603</v>
      </c>
      <c r="V64" s="127">
        <v>0.63055866050643294</v>
      </c>
      <c r="W64" s="127">
        <v>0.63055866120955006</v>
      </c>
      <c r="X64" s="127">
        <v>0.63055865735203287</v>
      </c>
      <c r="Y64" s="127">
        <v>0.63055866133221883</v>
      </c>
      <c r="Z64" s="127">
        <v>0.63055865910834952</v>
      </c>
      <c r="AA64" s="127">
        <v>0.63055866112434855</v>
      </c>
      <c r="AB64" s="127">
        <v>0.63055866029868202</v>
      </c>
      <c r="AC64" s="127">
        <v>0.63055866382915771</v>
      </c>
      <c r="AD64" s="127">
        <v>0.63055865933624111</v>
      </c>
      <c r="AE64" s="127">
        <v>0.63055866093942847</v>
      </c>
      <c r="AF64" s="127">
        <v>0.6305586502914563</v>
      </c>
      <c r="AG64" s="127">
        <v>0.63055867134642418</v>
      </c>
      <c r="AH64" s="127">
        <v>0.63055866242124825</v>
      </c>
      <c r="AI64" s="127">
        <v>0.63055866250522952</v>
      </c>
      <c r="AJ64" s="127">
        <v>0.63055866387521187</v>
      </c>
      <c r="AK64" s="127">
        <v>0.63055867671458121</v>
      </c>
      <c r="AL64" s="127">
        <v>0.63055866088367118</v>
      </c>
      <c r="AM64" s="127">
        <v>0.63055866198634636</v>
      </c>
      <c r="AN64" s="127">
        <v>0.63055866237762326</v>
      </c>
      <c r="AO64" s="127">
        <v>0.63055867743473015</v>
      </c>
      <c r="AP64" s="127">
        <v>0.63055866294561247</v>
      </c>
      <c r="AQ64" s="127">
        <v>0.63055865256723298</v>
      </c>
      <c r="AR64" s="127">
        <v>0.63055864880487433</v>
      </c>
      <c r="AS64" s="127">
        <v>0.63055866166181818</v>
      </c>
      <c r="AT64" s="127">
        <v>0.63055868478091426</v>
      </c>
      <c r="AU64" s="127">
        <v>0.6305586603526423</v>
      </c>
      <c r="AV64" s="127">
        <v>0.63055866090933033</v>
      </c>
      <c r="AW64" s="127">
        <v>0.6305586566540462</v>
      </c>
      <c r="AX64" s="127">
        <v>0.63055866165722263</v>
      </c>
      <c r="AY64" s="127">
        <v>0.63055868432838214</v>
      </c>
      <c r="AZ64" s="127">
        <v>0.63055867955819178</v>
      </c>
      <c r="BA64" s="127">
        <v>0.63055866240005065</v>
      </c>
      <c r="BB64" s="127">
        <v>0.63055867167152435</v>
      </c>
      <c r="BC64" s="127">
        <v>0.63055865734026506</v>
      </c>
      <c r="BD64" s="127">
        <v>0.63055866209011968</v>
      </c>
      <c r="BE64" s="127">
        <v>0.63055866324640675</v>
      </c>
      <c r="BF64" s="127">
        <v>0.63055865954803969</v>
      </c>
      <c r="BG64" s="127">
        <v>0.63055865116685117</v>
      </c>
      <c r="BH64" s="127">
        <v>0.63055866468757482</v>
      </c>
      <c r="BI64" s="127">
        <v>0.6305586569951348</v>
      </c>
      <c r="BJ64" s="127">
        <v>0.63055866104346159</v>
      </c>
      <c r="BK64" s="127">
        <v>0.63055866239654368</v>
      </c>
      <c r="BL64" s="127">
        <v>0.6305586621090622</v>
      </c>
      <c r="BM64" s="127">
        <v>0.6305586762423947</v>
      </c>
      <c r="BN64" s="127">
        <v>0.63055866227598856</v>
      </c>
      <c r="BO64" s="127">
        <v>0.63055866292787011</v>
      </c>
      <c r="BP64" s="127">
        <v>0.63055867351273887</v>
      </c>
      <c r="BQ64" s="127">
        <v>0.63055863335578033</v>
      </c>
      <c r="BR64" s="127">
        <v>0.63055866603723809</v>
      </c>
      <c r="BS64" s="127">
        <v>0.63055871505930916</v>
      </c>
      <c r="BT64" s="127">
        <v>0.63055866179486042</v>
      </c>
      <c r="BU64" s="127">
        <v>0.63055866820035555</v>
      </c>
      <c r="BV64" s="127">
        <v>0.63055863348889085</v>
      </c>
      <c r="BW64" s="127">
        <v>0.63055864782303661</v>
      </c>
      <c r="BX64" s="127">
        <v>0.6305586736045975</v>
      </c>
      <c r="BY64" s="127">
        <v>0.63055865895043972</v>
      </c>
      <c r="BZ64" s="127">
        <v>0.6305586413091312</v>
      </c>
      <c r="CA64" s="127">
        <v>0.63055866101527047</v>
      </c>
      <c r="CB64" s="127">
        <v>0.63055866229353108</v>
      </c>
      <c r="CC64" s="127">
        <v>0.63055866218747225</v>
      </c>
      <c r="CD64" s="127">
        <v>0.63055867172380498</v>
      </c>
      <c r="CE64" s="127">
        <v>0.63055867905801744</v>
      </c>
      <c r="CF64" s="127">
        <v>0.63055863395666278</v>
      </c>
      <c r="CG64" s="127">
        <v>0.63055865628799623</v>
      </c>
      <c r="CH64" s="127">
        <v>0.63055864602171052</v>
      </c>
      <c r="CI64" s="127">
        <v>0.63055866386530735</v>
      </c>
      <c r="CJ64" s="127">
        <v>0.63055870483184728</v>
      </c>
      <c r="CK64" s="127">
        <v>0.6305587247495732</v>
      </c>
      <c r="CL64" s="127">
        <v>0.63055866433392194</v>
      </c>
      <c r="CM64" s="127">
        <v>0.63055872811232327</v>
      </c>
      <c r="CN64" s="127">
        <v>0.63055862984272615</v>
      </c>
      <c r="CO64" s="127">
        <v>0.63055866562540475</v>
      </c>
      <c r="CP64" s="127">
        <v>0.63055866335857191</v>
      </c>
      <c r="CQ64" s="127">
        <v>0.63055871703241573</v>
      </c>
      <c r="CR64" s="127">
        <v>0.63055866279783923</v>
      </c>
      <c r="CS64" s="127">
        <v>0.63055865484462315</v>
      </c>
      <c r="CT64" s="127">
        <v>0.63055866401766947</v>
      </c>
      <c r="CU64" s="127">
        <v>0.63055862505519789</v>
      </c>
      <c r="CV64" s="127">
        <v>0.63055879059571862</v>
      </c>
      <c r="CW64" s="127">
        <v>0.63055864992872457</v>
      </c>
      <c r="CX64" s="127">
        <v>0.63055878870176951</v>
      </c>
    </row>
    <row r="65" spans="1:102">
      <c r="A65" s="23"/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1:102">
      <c r="C66" s="132"/>
    </row>
    <row r="67" spans="1:102">
      <c r="C67" s="132"/>
    </row>
    <row r="68" spans="1:102">
      <c r="C68" s="132"/>
    </row>
    <row r="69" spans="1:102">
      <c r="C69" s="132"/>
    </row>
    <row r="70" spans="1:102">
      <c r="C70" s="132"/>
    </row>
    <row r="71" spans="1:102">
      <c r="C71" s="132"/>
    </row>
    <row r="77" spans="1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31" spans="3:3">
      <c r="C131" s="132"/>
    </row>
    <row r="141" spans="3:3">
      <c r="C141" s="132"/>
    </row>
    <row r="151" spans="3:3">
      <c r="C151" s="13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7:B7"/>
    <mergeCell ref="A8:B8"/>
    <mergeCell ref="A9:B9"/>
    <mergeCell ref="A10:B10"/>
    <mergeCell ref="A3:B3"/>
    <mergeCell ref="A4:B4"/>
    <mergeCell ref="A5:B5"/>
    <mergeCell ref="A6:B6"/>
    <mergeCell ref="A16:B16"/>
    <mergeCell ref="A17:B17"/>
    <mergeCell ref="A18:B18"/>
    <mergeCell ref="A19:B19"/>
    <mergeCell ref="A11:B11"/>
    <mergeCell ref="A12:B12"/>
    <mergeCell ref="A13:B13"/>
    <mergeCell ref="A15:B15"/>
    <mergeCell ref="A24:B24"/>
    <mergeCell ref="A25:B25"/>
    <mergeCell ref="A28:B28"/>
    <mergeCell ref="A20:B20"/>
    <mergeCell ref="A21:B21"/>
    <mergeCell ref="A22:B22"/>
    <mergeCell ref="A23:B23"/>
    <mergeCell ref="A27:B27"/>
  </mergeCells>
  <phoneticPr fontId="2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2" enableFormatConditionsCalculation="0">
    <tabColor indexed="52"/>
  </sheetPr>
  <dimension ref="A1:CX151"/>
  <sheetViews>
    <sheetView topLeftCell="A22" workbookViewId="0">
      <selection activeCell="O61" sqref="O61"/>
    </sheetView>
  </sheetViews>
  <sheetFormatPr defaultRowHeight="12.75"/>
  <cols>
    <col min="1" max="1" width="32.140625" customWidth="1"/>
    <col min="2" max="2" width="23.7109375" customWidth="1"/>
  </cols>
  <sheetData>
    <row r="1" spans="1:102">
      <c r="A1" s="2" t="s">
        <v>127</v>
      </c>
    </row>
    <row r="2" spans="1:102">
      <c r="A2" s="2" t="s">
        <v>128</v>
      </c>
      <c r="B2" s="21" t="str">
        <f>Parameters!A45</f>
        <v>Kansgewogen</v>
      </c>
      <c r="C2" s="2" t="s">
        <v>129</v>
      </c>
      <c r="D2" s="1">
        <v>6</v>
      </c>
    </row>
    <row r="3" spans="1:102" s="114" customFormat="1">
      <c r="A3" s="247" t="s">
        <v>130</v>
      </c>
      <c r="B3" s="248"/>
    </row>
    <row r="4" spans="1:102" s="115" customFormat="1">
      <c r="A4" s="250" t="str">
        <f>Parameters!A50</f>
        <v>Nominale matching</v>
      </c>
      <c r="B4" s="251"/>
      <c r="C4" s="115">
        <v>0.70548693178740562</v>
      </c>
      <c r="D4" s="115">
        <v>0.71046907763223666</v>
      </c>
      <c r="E4" s="115">
        <v>0.7015059691657215</v>
      </c>
      <c r="F4" s="115">
        <v>0.70243930712493552</v>
      </c>
      <c r="G4" s="115">
        <v>0.70301027627188639</v>
      </c>
      <c r="H4" s="115">
        <v>0.70393404648835867</v>
      </c>
      <c r="I4" s="115">
        <v>0.70799453752158759</v>
      </c>
      <c r="J4" s="115">
        <v>0.70407733581984033</v>
      </c>
      <c r="K4" s="115">
        <v>0.70125313691045776</v>
      </c>
      <c r="L4" s="115">
        <v>0.71183313076305532</v>
      </c>
      <c r="M4" s="115">
        <v>0.70043364154607668</v>
      </c>
      <c r="N4" s="115">
        <v>0.70096969600029557</v>
      </c>
      <c r="O4" s="115">
        <v>0.70842915934145112</v>
      </c>
    </row>
    <row r="5" spans="1:102" s="115" customFormat="1">
      <c r="A5" s="252" t="str">
        <f>Parameters!A51</f>
        <v>Reele matching</v>
      </c>
      <c r="B5" s="253"/>
      <c r="C5" s="115">
        <v>4.1285691776478617E-4</v>
      </c>
      <c r="D5" s="115">
        <v>1.1683949715160374E-5</v>
      </c>
      <c r="E5" s="115">
        <v>3.3303520874151313E-7</v>
      </c>
      <c r="F5" s="115">
        <v>5.4617328527894947E-6</v>
      </c>
      <c r="G5" s="115">
        <v>9.3167674143237404E-4</v>
      </c>
      <c r="H5" s="115">
        <v>8.3560067470706613E-5</v>
      </c>
      <c r="I5" s="115">
        <v>5.4823203650185694E-4</v>
      </c>
      <c r="J5" s="115">
        <v>2.673374352030681E-6</v>
      </c>
      <c r="K5" s="115">
        <v>7.4349166946038902E-4</v>
      </c>
      <c r="L5" s="115">
        <v>3.405456533651886E-5</v>
      </c>
      <c r="M5" s="115">
        <v>6.7427646576808062E-6</v>
      </c>
      <c r="N5" s="115">
        <v>2.2985787262491477E-4</v>
      </c>
      <c r="O5" s="115">
        <v>1.4319628560252816E-7</v>
      </c>
    </row>
    <row r="6" spans="1:102" s="115" customFormat="1">
      <c r="A6" s="252" t="str">
        <f>Parameters!A52</f>
        <v>Credits</v>
      </c>
      <c r="B6" s="253"/>
      <c r="C6" s="115">
        <v>0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</row>
    <row r="7" spans="1:102" s="115" customFormat="1">
      <c r="A7" s="252" t="str">
        <f>Parameters!A53</f>
        <v>High Yield</v>
      </c>
      <c r="B7" s="253"/>
      <c r="C7" s="115">
        <v>6.0453995263505701E-9</v>
      </c>
      <c r="D7" s="115">
        <v>1.9483824092572492E-5</v>
      </c>
      <c r="E7" s="115">
        <v>9.344384420880425E-3</v>
      </c>
      <c r="F7" s="115">
        <v>1.4384634946856968E-5</v>
      </c>
      <c r="G7" s="115">
        <v>9.6400194786991393E-8</v>
      </c>
      <c r="H7" s="115">
        <v>7.1375958917352872E-3</v>
      </c>
      <c r="I7" s="115">
        <v>2.0944128273825051E-6</v>
      </c>
      <c r="J7" s="115">
        <v>8.79017591390737E-6</v>
      </c>
      <c r="K7" s="115">
        <v>2.3548192856063196E-3</v>
      </c>
      <c r="L7" s="115">
        <v>5.0326025325833114E-4</v>
      </c>
      <c r="M7" s="115">
        <v>9.886923322832978E-3</v>
      </c>
      <c r="N7" s="115">
        <v>1.2767179364726553E-2</v>
      </c>
      <c r="O7" s="115">
        <v>7.5672037642689023E-6</v>
      </c>
    </row>
    <row r="8" spans="1:102" s="115" customFormat="1">
      <c r="A8" s="252" t="str">
        <f>Parameters!A54</f>
        <v>Emerging market debt</v>
      </c>
      <c r="B8" s="253"/>
      <c r="C8" s="115">
        <v>0.12871833898554053</v>
      </c>
      <c r="D8" s="115">
        <v>0.10810243854242294</v>
      </c>
      <c r="E8" s="115">
        <v>0.13835733449354176</v>
      </c>
      <c r="F8" s="115">
        <v>0.14623459680797607</v>
      </c>
      <c r="G8" s="115">
        <v>0.14138768239951058</v>
      </c>
      <c r="H8" s="115">
        <v>0.12437859537416797</v>
      </c>
      <c r="I8" s="115">
        <v>0.11073673055254538</v>
      </c>
      <c r="J8" s="115">
        <v>0.13433009655299633</v>
      </c>
      <c r="K8" s="115">
        <v>0.14499670768533196</v>
      </c>
      <c r="L8" s="115">
        <v>9.542799655667944E-2</v>
      </c>
      <c r="M8" s="115">
        <v>0.13588923045143855</v>
      </c>
      <c r="N8" s="115">
        <v>0.12908087995370357</v>
      </c>
      <c r="O8" s="115">
        <v>0.11289241437558759</v>
      </c>
    </row>
    <row r="9" spans="1:102" s="115" customFormat="1">
      <c r="A9" s="252" t="str">
        <f>Parameters!A55</f>
        <v>Aandelen ontwikkeld</v>
      </c>
      <c r="B9" s="253"/>
      <c r="C9" s="115">
        <v>1.6186278585500011E-2</v>
      </c>
      <c r="D9" s="115">
        <v>3.6685164990278643E-2</v>
      </c>
      <c r="E9" s="115">
        <v>1.065973050891196E-4</v>
      </c>
      <c r="F9" s="115">
        <v>7.4859827527500037E-14</v>
      </c>
      <c r="G9" s="115">
        <v>3.4401430152484749E-3</v>
      </c>
      <c r="H9" s="115">
        <v>1.7776033595938316E-2</v>
      </c>
      <c r="I9" s="115">
        <v>3.6551408619969666E-2</v>
      </c>
      <c r="J9" s="115">
        <v>1.3434521256814677E-2</v>
      </c>
      <c r="K9" s="115">
        <v>1.0559981948093313E-4</v>
      </c>
      <c r="L9" s="115">
        <v>4.9457993049576002E-2</v>
      </c>
      <c r="M9" s="115">
        <v>3.432205184691703E-4</v>
      </c>
      <c r="N9" s="115">
        <v>1.0486386826355234E-3</v>
      </c>
      <c r="O9" s="115">
        <v>2.8721216593438847E-2</v>
      </c>
    </row>
    <row r="10" spans="1:102" s="115" customFormat="1">
      <c r="A10" s="252" t="str">
        <f>Parameters!A56</f>
        <v>Aandelen opkomend</v>
      </c>
      <c r="B10" s="253"/>
      <c r="C10" s="115">
        <v>0.14684942747935087</v>
      </c>
      <c r="D10" s="115">
        <v>0.14459905059631906</v>
      </c>
      <c r="E10" s="115">
        <v>0.14851846805739288</v>
      </c>
      <c r="F10" s="115">
        <v>0.14747726676963618</v>
      </c>
      <c r="G10" s="115">
        <v>0.14781970955116117</v>
      </c>
      <c r="H10" s="115">
        <v>0.14553902111297554</v>
      </c>
      <c r="I10" s="115">
        <v>0.14343341413572072</v>
      </c>
      <c r="J10" s="115">
        <v>0.14561821579576506</v>
      </c>
      <c r="K10" s="115">
        <v>0.14761721364124594</v>
      </c>
      <c r="L10" s="115">
        <v>0.14209580893882201</v>
      </c>
      <c r="M10" s="115">
        <v>0.1480319385764276</v>
      </c>
      <c r="N10" s="115">
        <v>0.14917254368261709</v>
      </c>
      <c r="O10" s="115">
        <v>0.14501789857540551</v>
      </c>
    </row>
    <row r="11" spans="1:102" s="115" customFormat="1">
      <c r="A11" s="252" t="str">
        <f>Parameters!A57</f>
        <v>Hedge funds</v>
      </c>
      <c r="B11" s="253"/>
      <c r="C11" s="115">
        <v>2.0249200715016977E-3</v>
      </c>
      <c r="D11" s="115">
        <v>1.2041468087761024E-7</v>
      </c>
      <c r="E11" s="115">
        <v>4.2086537104485325E-15</v>
      </c>
      <c r="F11" s="115">
        <v>3.2133255107871382E-3</v>
      </c>
      <c r="G11" s="115">
        <v>1.2765341368177109E-6</v>
      </c>
      <c r="H11" s="115">
        <v>1.14722385070803E-3</v>
      </c>
      <c r="I11" s="115">
        <v>1.221620818783088E-8</v>
      </c>
      <c r="J11" s="115">
        <v>9.9706057054279847E-4</v>
      </c>
      <c r="K11" s="115">
        <v>1.1627125224913171E-3</v>
      </c>
      <c r="L11" s="115">
        <v>3.5201643555006119E-6</v>
      </c>
      <c r="M11" s="115">
        <v>3.3636234799632242E-3</v>
      </c>
      <c r="N11" s="115">
        <v>9.4116680135120936E-4</v>
      </c>
      <c r="O11" s="115">
        <v>1.0023073679956818E-6</v>
      </c>
    </row>
    <row r="12" spans="1:102" s="115" customFormat="1">
      <c r="A12" s="252" t="str">
        <f>Parameters!A58</f>
        <v>Onroerend goed</v>
      </c>
      <c r="B12" s="253"/>
      <c r="C12" s="115">
        <v>2.0507257496598212E-4</v>
      </c>
      <c r="D12" s="115">
        <v>1.4148721013831457E-6</v>
      </c>
      <c r="E12" s="115">
        <v>2.1460312528611717E-3</v>
      </c>
      <c r="F12" s="115">
        <v>3.5718856575555457E-7</v>
      </c>
      <c r="G12" s="115">
        <v>2.3154875541223996E-3</v>
      </c>
      <c r="H12" s="115">
        <v>3.4642155509753234E-9</v>
      </c>
      <c r="I12" s="115">
        <v>1.5877269272206834E-5</v>
      </c>
      <c r="J12" s="115">
        <v>5.0854207448184171E-5</v>
      </c>
      <c r="K12" s="115">
        <v>1.7650286758524728E-3</v>
      </c>
      <c r="L12" s="115">
        <v>1.174992085374459E-8</v>
      </c>
      <c r="M12" s="115">
        <v>2.0413322356648915E-3</v>
      </c>
      <c r="N12" s="115">
        <v>5.7408964842364033E-3</v>
      </c>
      <c r="O12" s="115">
        <v>3.0902195992893755E-3</v>
      </c>
    </row>
    <row r="13" spans="1:102" s="116" customFormat="1">
      <c r="A13" s="254" t="str">
        <f>Parameters!A59</f>
        <v>Commodities</v>
      </c>
      <c r="B13" s="255"/>
      <c r="C13" s="116">
        <v>1.1616755257089418E-4</v>
      </c>
      <c r="D13" s="116">
        <v>1.1156517815276096E-4</v>
      </c>
      <c r="E13" s="116">
        <v>2.0882269300272926E-5</v>
      </c>
      <c r="F13" s="116">
        <v>6.1530023022487372E-4</v>
      </c>
      <c r="G13" s="116">
        <v>1.0936515323069257E-3</v>
      </c>
      <c r="H13" s="116">
        <v>3.9201544299658021E-6</v>
      </c>
      <c r="I13" s="116">
        <v>7.1769323536708448E-4</v>
      </c>
      <c r="J13" s="116">
        <v>1.4804522463267187E-3</v>
      </c>
      <c r="K13" s="116">
        <v>1.2897900729937466E-6</v>
      </c>
      <c r="L13" s="116">
        <v>6.4422395899596942E-4</v>
      </c>
      <c r="M13" s="116">
        <v>3.3471044692019667E-6</v>
      </c>
      <c r="N13" s="116">
        <v>4.9141157809398059E-5</v>
      </c>
      <c r="O13" s="116">
        <v>1.8403788074097716E-3</v>
      </c>
    </row>
    <row r="15" spans="1:102" s="114" customFormat="1">
      <c r="A15" s="247" t="s">
        <v>140</v>
      </c>
      <c r="B15" s="248"/>
    </row>
    <row r="16" spans="1:102" s="115" customFormat="1">
      <c r="A16" s="252" t="s">
        <v>73</v>
      </c>
      <c r="B16" s="253"/>
      <c r="C16" s="146">
        <v>0</v>
      </c>
      <c r="D16" s="146">
        <v>0</v>
      </c>
      <c r="E16" s="146">
        <v>0</v>
      </c>
      <c r="F16" s="146">
        <v>0</v>
      </c>
      <c r="G16" s="146">
        <v>0</v>
      </c>
      <c r="H16" s="146">
        <v>0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  <c r="BA16" s="146"/>
      <c r="BB16" s="146"/>
      <c r="BC16" s="146"/>
      <c r="BD16" s="146"/>
      <c r="BE16" s="146"/>
      <c r="BF16" s="146"/>
      <c r="BG16" s="146"/>
      <c r="BH16" s="146"/>
      <c r="BI16" s="146"/>
      <c r="BJ16" s="146"/>
      <c r="BK16" s="146"/>
      <c r="BL16" s="146"/>
      <c r="BM16" s="146"/>
      <c r="BN16" s="146"/>
      <c r="BO16" s="146"/>
      <c r="BP16" s="146"/>
      <c r="BQ16" s="146"/>
      <c r="BR16" s="146"/>
      <c r="BS16" s="146"/>
      <c r="BT16" s="146"/>
      <c r="BU16" s="14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  <c r="CN16" s="146"/>
      <c r="CO16" s="146"/>
      <c r="CP16" s="146"/>
      <c r="CQ16" s="146"/>
      <c r="CR16" s="146"/>
      <c r="CS16" s="146"/>
      <c r="CT16" s="146"/>
      <c r="CU16" s="146"/>
      <c r="CV16" s="146"/>
      <c r="CW16" s="146"/>
      <c r="CX16" s="146"/>
    </row>
    <row r="17" spans="1:102" s="115" customFormat="1">
      <c r="A17" s="252" t="s">
        <v>4</v>
      </c>
      <c r="B17" s="253"/>
      <c r="C17" s="146">
        <v>2.0555576957033122E-8</v>
      </c>
      <c r="D17" s="146">
        <v>6.7297165463108279E-5</v>
      </c>
      <c r="E17" s="146">
        <v>3.1305131363847313E-2</v>
      </c>
      <c r="F17" s="146">
        <v>4.8342739234122414E-5</v>
      </c>
      <c r="G17" s="146">
        <v>3.2561247960717684E-7</v>
      </c>
      <c r="H17" s="146">
        <v>2.4114934029282404E-2</v>
      </c>
      <c r="I17" s="146">
        <v>7.1860040123449068E-6</v>
      </c>
      <c r="J17" s="146">
        <v>2.9704569434363654E-5</v>
      </c>
      <c r="K17" s="146">
        <v>7.901988740546281E-3</v>
      </c>
      <c r="L17" s="146">
        <v>1.7466259573103765E-3</v>
      </c>
      <c r="M17" s="146">
        <v>3.3004860485228826E-2</v>
      </c>
      <c r="N17" s="146">
        <v>4.2728113462376385E-2</v>
      </c>
      <c r="O17" s="146">
        <v>2.5953238203054636E-5</v>
      </c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  <c r="BS17" s="146"/>
      <c r="BT17" s="146"/>
      <c r="BU17" s="146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  <c r="CN17" s="146"/>
      <c r="CO17" s="146"/>
      <c r="CP17" s="146"/>
      <c r="CQ17" s="146"/>
      <c r="CR17" s="146"/>
      <c r="CS17" s="146"/>
      <c r="CT17" s="146"/>
      <c r="CU17" s="146"/>
      <c r="CV17" s="146"/>
      <c r="CW17" s="146"/>
      <c r="CX17" s="146"/>
    </row>
    <row r="18" spans="1:102" s="115" customFormat="1">
      <c r="A18" s="252" t="s">
        <v>175</v>
      </c>
      <c r="B18" s="253"/>
      <c r="C18" s="146">
        <v>0.43766829822676656</v>
      </c>
      <c r="D18" s="146">
        <v>0.37338602827605372</v>
      </c>
      <c r="E18" s="146">
        <v>0.46351844448882318</v>
      </c>
      <c r="F18" s="146">
        <v>0.49145362441329604</v>
      </c>
      <c r="G18" s="146">
        <v>0.47756743597606427</v>
      </c>
      <c r="H18" s="146">
        <v>0.42022295288192096</v>
      </c>
      <c r="I18" s="146">
        <v>0.37994161402221888</v>
      </c>
      <c r="J18" s="146">
        <v>0.4539405945073447</v>
      </c>
      <c r="K18" s="146">
        <v>0.48656062847334897</v>
      </c>
      <c r="L18" s="146">
        <v>0.33119447594138474</v>
      </c>
      <c r="M18" s="146">
        <v>0.45363000663079017</v>
      </c>
      <c r="N18" s="146">
        <v>0.43199694520805848</v>
      </c>
      <c r="O18" s="146">
        <v>0.38718710541959955</v>
      </c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46"/>
      <c r="AX18" s="146"/>
      <c r="AY18" s="146"/>
      <c r="AZ18" s="146"/>
      <c r="BA18" s="146"/>
      <c r="BB18" s="146"/>
      <c r="BC18" s="146"/>
      <c r="BD18" s="146"/>
      <c r="BE18" s="146"/>
      <c r="BF18" s="146"/>
      <c r="BG18" s="146"/>
      <c r="BH18" s="146"/>
      <c r="BI18" s="146"/>
      <c r="BJ18" s="146"/>
      <c r="BK18" s="146"/>
      <c r="BL18" s="146"/>
      <c r="BM18" s="146"/>
      <c r="BN18" s="146"/>
      <c r="BO18" s="146"/>
      <c r="BP18" s="146"/>
      <c r="BQ18" s="146"/>
      <c r="BR18" s="146"/>
      <c r="BS18" s="146"/>
      <c r="BT18" s="146"/>
      <c r="BU18" s="146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  <c r="CN18" s="146"/>
      <c r="CO18" s="146"/>
      <c r="CP18" s="146"/>
      <c r="CQ18" s="146"/>
      <c r="CR18" s="146"/>
      <c r="CS18" s="146"/>
      <c r="CT18" s="146"/>
      <c r="CU18" s="146"/>
      <c r="CV18" s="146"/>
      <c r="CW18" s="146"/>
      <c r="CX18" s="146"/>
    </row>
    <row r="19" spans="1:102" s="115" customFormat="1">
      <c r="A19" s="252" t="s">
        <v>176</v>
      </c>
      <c r="B19" s="253"/>
      <c r="C19" s="146">
        <v>5.5036609848857242E-2</v>
      </c>
      <c r="D19" s="146">
        <v>0.12671062963113863</v>
      </c>
      <c r="E19" s="146">
        <v>3.5711743958117078E-4</v>
      </c>
      <c r="F19" s="146">
        <v>2.5158296575778215E-13</v>
      </c>
      <c r="G19" s="146">
        <v>1.1619826078914973E-2</v>
      </c>
      <c r="H19" s="146">
        <v>6.0057739884758696E-2</v>
      </c>
      <c r="I19" s="146">
        <v>0.12540916746017933</v>
      </c>
      <c r="J19" s="146">
        <v>4.5399167593347368E-2</v>
      </c>
      <c r="K19" s="146">
        <v>3.5435780131518643E-4</v>
      </c>
      <c r="L19" s="146">
        <v>0.17164998407399182</v>
      </c>
      <c r="M19" s="146">
        <v>1.1457502964124318E-3</v>
      </c>
      <c r="N19" s="146">
        <v>3.5094950366624856E-3</v>
      </c>
      <c r="O19" s="146">
        <v>9.8505154473405507E-2</v>
      </c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  <c r="AP19" s="146"/>
      <c r="AQ19" s="146"/>
      <c r="AR19" s="146"/>
      <c r="AS19" s="146"/>
      <c r="AT19" s="146"/>
      <c r="AU19" s="146"/>
      <c r="AV19" s="146"/>
      <c r="AW19" s="146"/>
      <c r="AX19" s="146"/>
      <c r="AY19" s="146"/>
      <c r="AZ19" s="146"/>
      <c r="BA19" s="146"/>
      <c r="BB19" s="146"/>
      <c r="BC19" s="146"/>
      <c r="BD19" s="146"/>
      <c r="BE19" s="146"/>
      <c r="BF19" s="146"/>
      <c r="BG19" s="146"/>
      <c r="BH19" s="146"/>
      <c r="BI19" s="146"/>
      <c r="BJ19" s="146"/>
      <c r="BK19" s="146"/>
      <c r="BL19" s="146"/>
      <c r="BM19" s="146"/>
      <c r="BN19" s="146"/>
      <c r="BO19" s="146"/>
      <c r="BP19" s="146"/>
      <c r="BQ19" s="146"/>
      <c r="BR19" s="146"/>
      <c r="BS19" s="146"/>
      <c r="BT19" s="146"/>
      <c r="BU19" s="146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  <c r="CN19" s="146"/>
      <c r="CO19" s="146"/>
      <c r="CP19" s="146"/>
      <c r="CQ19" s="146"/>
      <c r="CR19" s="146"/>
      <c r="CS19" s="146"/>
      <c r="CT19" s="146"/>
      <c r="CU19" s="146"/>
      <c r="CV19" s="146"/>
      <c r="CW19" s="146"/>
      <c r="CX19" s="146"/>
    </row>
    <row r="20" spans="1:102" s="115" customFormat="1">
      <c r="A20" s="252" t="s">
        <v>177</v>
      </c>
      <c r="B20" s="253"/>
      <c r="C20" s="146">
        <v>0.49931765377800857</v>
      </c>
      <c r="D20" s="146">
        <v>0.49944539570640462</v>
      </c>
      <c r="E20" s="146">
        <v>0.49755981165594865</v>
      </c>
      <c r="F20" s="146">
        <v>0.49562989097359123</v>
      </c>
      <c r="G20" s="146">
        <v>0.4992929969500578</v>
      </c>
      <c r="H20" s="146">
        <v>0.49171513014481927</v>
      </c>
      <c r="I20" s="146">
        <v>0.49212508441888825</v>
      </c>
      <c r="J20" s="146">
        <v>0.49208644336341728</v>
      </c>
      <c r="K20" s="146">
        <v>0.49535417313502988</v>
      </c>
      <c r="L20" s="146">
        <v>0.49316079843516586</v>
      </c>
      <c r="M20" s="146">
        <v>0.49416520393049801</v>
      </c>
      <c r="N20" s="146">
        <v>0.49923802195119205</v>
      </c>
      <c r="O20" s="146">
        <v>0.49736787625640755</v>
      </c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6"/>
      <c r="AS20" s="146"/>
      <c r="AT20" s="146"/>
      <c r="AU20" s="146"/>
      <c r="AV20" s="146"/>
      <c r="AW20" s="146"/>
      <c r="AX20" s="146"/>
      <c r="AY20" s="146"/>
      <c r="AZ20" s="146"/>
      <c r="BA20" s="146"/>
      <c r="BB20" s="146"/>
      <c r="BC20" s="146"/>
      <c r="BD20" s="146"/>
      <c r="BE20" s="146"/>
      <c r="BF20" s="146"/>
      <c r="BG20" s="146"/>
      <c r="BH20" s="146"/>
      <c r="BI20" s="146"/>
      <c r="BJ20" s="146"/>
      <c r="BK20" s="146"/>
      <c r="BL20" s="146"/>
      <c r="BM20" s="146"/>
      <c r="BN20" s="146"/>
      <c r="BO20" s="146"/>
      <c r="BP20" s="146"/>
      <c r="BQ20" s="146"/>
      <c r="BR20" s="146"/>
      <c r="BS20" s="146"/>
      <c r="BT20" s="146"/>
      <c r="BU20" s="146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  <c r="CN20" s="146"/>
      <c r="CO20" s="146"/>
      <c r="CP20" s="146"/>
      <c r="CQ20" s="146"/>
      <c r="CR20" s="146"/>
      <c r="CS20" s="146"/>
      <c r="CT20" s="146"/>
      <c r="CU20" s="146"/>
      <c r="CV20" s="146"/>
      <c r="CW20" s="146"/>
      <c r="CX20" s="146"/>
    </row>
    <row r="21" spans="1:102" s="115" customFormat="1">
      <c r="A21" s="252" t="s">
        <v>5</v>
      </c>
      <c r="B21" s="253"/>
      <c r="C21" s="146">
        <v>6.8851364049914128E-3</v>
      </c>
      <c r="D21" s="146">
        <v>4.1591253671280629E-7</v>
      </c>
      <c r="E21" s="146">
        <v>1.4099640097867575E-14</v>
      </c>
      <c r="F21" s="146">
        <v>1.0799089293279404E-2</v>
      </c>
      <c r="G21" s="146">
        <v>4.3117697688356967E-6</v>
      </c>
      <c r="H21" s="146">
        <v>3.8759868023177648E-3</v>
      </c>
      <c r="I21" s="146">
        <v>4.1914239592919087E-8</v>
      </c>
      <c r="J21" s="146">
        <v>3.3693586155762686E-3</v>
      </c>
      <c r="K21" s="146">
        <v>3.9016757325617407E-3</v>
      </c>
      <c r="L21" s="146">
        <v>1.2217158810990083E-5</v>
      </c>
      <c r="M21" s="146">
        <v>1.1228561207169939E-2</v>
      </c>
      <c r="N21" s="146">
        <v>3.149817256132646E-3</v>
      </c>
      <c r="O21" s="146">
        <v>3.4376135075281537E-6</v>
      </c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146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  <c r="BA21" s="146"/>
      <c r="BB21" s="146"/>
      <c r="BC21" s="146"/>
      <c r="BD21" s="146"/>
      <c r="BE21" s="146"/>
      <c r="BF21" s="146"/>
      <c r="BG21" s="146"/>
      <c r="BH21" s="146"/>
      <c r="BI21" s="146"/>
      <c r="BJ21" s="146"/>
      <c r="BK21" s="146"/>
      <c r="BL21" s="146"/>
      <c r="BM21" s="146"/>
      <c r="BN21" s="146"/>
      <c r="BO21" s="146"/>
      <c r="BP21" s="146"/>
      <c r="BQ21" s="146"/>
      <c r="BR21" s="146"/>
      <c r="BS21" s="146"/>
      <c r="BT21" s="146"/>
      <c r="BU21" s="146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  <c r="CN21" s="146"/>
      <c r="CO21" s="146"/>
      <c r="CP21" s="146"/>
      <c r="CQ21" s="146"/>
      <c r="CR21" s="146"/>
      <c r="CS21" s="146"/>
      <c r="CT21" s="146"/>
      <c r="CU21" s="146"/>
      <c r="CV21" s="146"/>
      <c r="CW21" s="146"/>
      <c r="CX21" s="146"/>
    </row>
    <row r="22" spans="1:102" s="115" customFormat="1">
      <c r="A22" s="252" t="s">
        <v>178</v>
      </c>
      <c r="B22" s="253"/>
      <c r="C22" s="146">
        <v>6.9728809123636092E-4</v>
      </c>
      <c r="D22" s="146">
        <v>4.8869709284747276E-6</v>
      </c>
      <c r="E22" s="146">
        <v>7.1895362236617999E-3</v>
      </c>
      <c r="F22" s="146">
        <v>1.200410977096356E-6</v>
      </c>
      <c r="G22" s="146">
        <v>7.8210593418748236E-3</v>
      </c>
      <c r="H22" s="146">
        <v>1.1704127095751578E-8</v>
      </c>
      <c r="I22" s="146">
        <v>5.4475468829967046E-5</v>
      </c>
      <c r="J22" s="146">
        <v>1.7185120650249123E-4</v>
      </c>
      <c r="K22" s="146">
        <v>5.9228480115561871E-3</v>
      </c>
      <c r="L22" s="146">
        <v>4.0779530325750125E-8</v>
      </c>
      <c r="M22" s="146">
        <v>6.814444033011356E-3</v>
      </c>
      <c r="N22" s="146">
        <v>1.9213145624939258E-2</v>
      </c>
      <c r="O22" s="146">
        <v>1.0598525936198807E-2</v>
      </c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  <c r="BS22" s="146"/>
      <c r="BT22" s="146"/>
      <c r="BU22" s="146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  <c r="CN22" s="146"/>
      <c r="CO22" s="146"/>
      <c r="CP22" s="146"/>
      <c r="CQ22" s="146"/>
      <c r="CR22" s="146"/>
      <c r="CS22" s="146"/>
      <c r="CT22" s="146"/>
      <c r="CU22" s="146"/>
      <c r="CV22" s="146"/>
      <c r="CW22" s="146"/>
      <c r="CX22" s="146"/>
    </row>
    <row r="23" spans="1:102" s="115" customFormat="1">
      <c r="A23" s="252" t="s">
        <v>6</v>
      </c>
      <c r="B23" s="253"/>
      <c r="C23" s="146">
        <v>3.9499309456271877E-4</v>
      </c>
      <c r="D23" s="146">
        <v>3.8534633747436004E-4</v>
      </c>
      <c r="E23" s="146">
        <v>6.9958828123499472E-5</v>
      </c>
      <c r="F23" s="146">
        <v>2.0678521693701991E-3</v>
      </c>
      <c r="G23" s="146">
        <v>3.6940442708389728E-3</v>
      </c>
      <c r="H23" s="146">
        <v>1.3244552773390675E-5</v>
      </c>
      <c r="I23" s="146">
        <v>2.4624307116310334E-3</v>
      </c>
      <c r="J23" s="146">
        <v>5.0028801443774019E-3</v>
      </c>
      <c r="K23" s="146">
        <v>4.3281056413807715E-6</v>
      </c>
      <c r="L23" s="146">
        <v>2.2358576538052651E-3</v>
      </c>
      <c r="M23" s="146">
        <v>1.1173416888990573E-5</v>
      </c>
      <c r="N23" s="146">
        <v>1.644614606381756E-4</v>
      </c>
      <c r="O23" s="146">
        <v>6.3119470626775255E-3</v>
      </c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6"/>
      <c r="AZ23" s="146"/>
      <c r="BA23" s="146"/>
      <c r="BB23" s="146"/>
      <c r="BC23" s="146"/>
      <c r="BD23" s="146"/>
      <c r="BE23" s="146"/>
      <c r="BF23" s="146"/>
      <c r="BG23" s="146"/>
      <c r="BH23" s="146"/>
      <c r="BI23" s="146"/>
      <c r="BJ23" s="146"/>
      <c r="BK23" s="146"/>
      <c r="BL23" s="146"/>
      <c r="BM23" s="146"/>
      <c r="BN23" s="146"/>
      <c r="BO23" s="146"/>
      <c r="BP23" s="146"/>
      <c r="BQ23" s="146"/>
      <c r="BR23" s="146"/>
      <c r="BS23" s="146"/>
      <c r="BT23" s="146"/>
      <c r="BU23" s="146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  <c r="CN23" s="146"/>
      <c r="CO23" s="146"/>
      <c r="CP23" s="146"/>
      <c r="CQ23" s="146"/>
      <c r="CR23" s="146"/>
      <c r="CS23" s="146"/>
      <c r="CT23" s="146"/>
      <c r="CU23" s="146"/>
      <c r="CV23" s="146"/>
      <c r="CW23" s="146"/>
      <c r="CX23" s="146"/>
    </row>
    <row r="24" spans="1:102" s="115" customFormat="1">
      <c r="A24" s="252"/>
      <c r="B24" s="253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  <c r="BS24" s="146"/>
      <c r="BT24" s="146"/>
      <c r="BU24" s="146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  <c r="CN24" s="146"/>
      <c r="CO24" s="146"/>
      <c r="CP24" s="146"/>
      <c r="CQ24" s="146"/>
      <c r="CR24" s="146"/>
      <c r="CS24" s="146"/>
      <c r="CT24" s="146"/>
      <c r="CU24" s="146"/>
      <c r="CV24" s="146"/>
      <c r="CW24" s="146"/>
      <c r="CX24" s="146"/>
    </row>
    <row r="25" spans="1:102" s="116" customFormat="1">
      <c r="A25" s="254"/>
      <c r="B25" s="255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6"/>
      <c r="BM25" s="126"/>
      <c r="BN25" s="126"/>
      <c r="BO25" s="126"/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6"/>
      <c r="CC25" s="126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6"/>
      <c r="CS25" s="126"/>
      <c r="CT25" s="126"/>
      <c r="CU25" s="126"/>
      <c r="CV25" s="126"/>
      <c r="CW25" s="126"/>
      <c r="CX25" s="126"/>
    </row>
    <row r="26" spans="1:102" s="121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</row>
    <row r="27" spans="1:102">
      <c r="A27" s="247" t="s">
        <v>131</v>
      </c>
      <c r="B27" s="248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4"/>
      <c r="CB27" s="114"/>
      <c r="CC27" s="114"/>
      <c r="CD27" s="114"/>
      <c r="CE27" s="114"/>
      <c r="CF27" s="114"/>
      <c r="CG27" s="114"/>
      <c r="CH27" s="114"/>
      <c r="CI27" s="114"/>
      <c r="CJ27" s="114"/>
      <c r="CK27" s="114"/>
      <c r="CL27" s="114"/>
      <c r="CM27" s="114"/>
      <c r="CN27" s="114"/>
      <c r="CO27" s="114"/>
      <c r="CP27" s="114"/>
      <c r="CQ27" s="114"/>
      <c r="CR27" s="114"/>
      <c r="CS27" s="114"/>
      <c r="CT27" s="114"/>
      <c r="CU27" s="114"/>
      <c r="CV27" s="114"/>
      <c r="CW27" s="114"/>
      <c r="CX27" s="114"/>
    </row>
    <row r="28" spans="1:102">
      <c r="A28" s="250" t="str">
        <f t="shared" ref="A28:A37" si="0">A4</f>
        <v>Nominale matching</v>
      </c>
      <c r="B28" s="251"/>
      <c r="C28" s="117">
        <v>1.2499999999999997E-2</v>
      </c>
      <c r="D28" s="117">
        <v>1.2499999999999997E-2</v>
      </c>
      <c r="E28" s="117">
        <v>1.2499999999999997E-2</v>
      </c>
      <c r="F28" s="117">
        <v>1.2499999999999997E-2</v>
      </c>
      <c r="G28" s="117">
        <v>1.2499999999999997E-2</v>
      </c>
      <c r="H28" s="117">
        <v>1.2499999999999997E-2</v>
      </c>
      <c r="I28" s="117">
        <v>1.2499999999999997E-2</v>
      </c>
      <c r="J28" s="117">
        <v>1.2499999999999997E-2</v>
      </c>
      <c r="K28" s="117">
        <v>1.2499999999999997E-2</v>
      </c>
      <c r="L28" s="117">
        <v>1.2499999999999997E-2</v>
      </c>
      <c r="M28" s="117">
        <v>1.2499999999999997E-2</v>
      </c>
      <c r="N28" s="117">
        <v>1.2499999999999997E-2</v>
      </c>
      <c r="O28" s="117">
        <v>1.2499999999999997E-2</v>
      </c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7"/>
      <c r="CB28" s="117"/>
      <c r="CC28" s="117"/>
      <c r="CD28" s="117"/>
      <c r="CE28" s="117"/>
      <c r="CF28" s="117"/>
      <c r="CG28" s="117"/>
      <c r="CH28" s="117"/>
      <c r="CI28" s="117"/>
      <c r="CJ28" s="117"/>
      <c r="CK28" s="117"/>
      <c r="CL28" s="117"/>
      <c r="CM28" s="117"/>
      <c r="CN28" s="117"/>
      <c r="CO28" s="117"/>
      <c r="CP28" s="117"/>
      <c r="CQ28" s="117"/>
      <c r="CR28" s="117"/>
      <c r="CS28" s="117"/>
      <c r="CT28" s="117"/>
      <c r="CU28" s="117"/>
      <c r="CV28" s="117"/>
      <c r="CW28" s="117"/>
      <c r="CX28" s="117"/>
    </row>
    <row r="29" spans="1:102" s="131" customFormat="1">
      <c r="A29" s="252" t="str">
        <f t="shared" si="0"/>
        <v>Reele matching</v>
      </c>
      <c r="B29" s="253"/>
      <c r="C29" s="117">
        <v>1.8064807506624599E-2</v>
      </c>
      <c r="D29" s="117">
        <v>1.8113626951700029E-2</v>
      </c>
      <c r="E29" s="117">
        <v>1.8024971725175119E-2</v>
      </c>
      <c r="F29" s="117">
        <v>1.801832940862344E-2</v>
      </c>
      <c r="G29" s="117">
        <v>1.8062110744329986E-2</v>
      </c>
      <c r="H29" s="117">
        <v>1.8069440888246566E-2</v>
      </c>
      <c r="I29" s="117">
        <v>1.812400502866509E-2</v>
      </c>
      <c r="J29" s="117">
        <v>1.806474478422938E-2</v>
      </c>
      <c r="K29" s="117">
        <v>1.8034791183792517E-2</v>
      </c>
      <c r="L29" s="117">
        <v>1.8149783199727501E-2</v>
      </c>
      <c r="M29" s="117">
        <v>1.8032661567477504E-2</v>
      </c>
      <c r="N29" s="117">
        <v>1.8066214509962653E-2</v>
      </c>
      <c r="O29" s="117">
        <v>1.8142356989109858E-2</v>
      </c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7"/>
      <c r="CB29" s="117"/>
      <c r="CC29" s="117"/>
      <c r="CD29" s="117"/>
      <c r="CE29" s="117"/>
      <c r="CF29" s="117"/>
      <c r="CG29" s="117"/>
      <c r="CH29" s="117"/>
      <c r="CI29" s="117"/>
      <c r="CJ29" s="117"/>
      <c r="CK29" s="117"/>
      <c r="CL29" s="117"/>
      <c r="CM29" s="117"/>
      <c r="CN29" s="117"/>
      <c r="CO29" s="117"/>
      <c r="CP29" s="117"/>
      <c r="CQ29" s="117"/>
      <c r="CR29" s="117"/>
      <c r="CS29" s="117"/>
      <c r="CT29" s="117"/>
      <c r="CU29" s="117"/>
      <c r="CV29" s="117"/>
      <c r="CW29" s="117"/>
      <c r="CX29" s="117"/>
    </row>
    <row r="30" spans="1:102" s="115" customFormat="1">
      <c r="A30" s="252" t="str">
        <f t="shared" si="0"/>
        <v>Credits</v>
      </c>
      <c r="B30" s="253"/>
      <c r="C30" s="117">
        <v>2.0283263072287085E-2</v>
      </c>
      <c r="D30" s="117">
        <v>2.038710238347511E-2</v>
      </c>
      <c r="E30" s="117">
        <v>2.0277858348997254E-2</v>
      </c>
      <c r="F30" s="117">
        <v>2.0194017773565168E-2</v>
      </c>
      <c r="G30" s="117">
        <v>2.0242539198790929E-2</v>
      </c>
      <c r="H30" s="117">
        <v>2.0336722358276493E-2</v>
      </c>
      <c r="I30" s="117">
        <v>2.0372369820770991E-2</v>
      </c>
      <c r="J30" s="117">
        <v>2.0264413826315907E-2</v>
      </c>
      <c r="K30" s="117">
        <v>2.021774248916422E-2</v>
      </c>
      <c r="L30" s="117">
        <v>2.044585907645536E-2</v>
      </c>
      <c r="M30" s="117">
        <v>2.0293882590043014E-2</v>
      </c>
      <c r="N30" s="117">
        <v>2.0368396037563529E-2</v>
      </c>
      <c r="O30" s="117">
        <v>2.040797339939783E-2</v>
      </c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  <c r="AN30" s="117"/>
      <c r="AO30" s="117"/>
      <c r="AP30" s="117"/>
      <c r="AQ30" s="117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  <c r="BC30" s="117"/>
      <c r="BD30" s="117"/>
      <c r="BE30" s="117"/>
      <c r="BF30" s="117"/>
      <c r="BG30" s="117"/>
      <c r="BH30" s="117"/>
      <c r="BI30" s="117"/>
      <c r="BJ30" s="117"/>
      <c r="BK30" s="117"/>
      <c r="BL30" s="117"/>
      <c r="BM30" s="117"/>
      <c r="BN30" s="117"/>
      <c r="BO30" s="117"/>
      <c r="BP30" s="117"/>
      <c r="BQ30" s="117"/>
      <c r="BR30" s="117"/>
      <c r="BS30" s="117"/>
      <c r="BT30" s="117"/>
      <c r="BU30" s="117"/>
      <c r="BV30" s="117"/>
      <c r="BW30" s="117"/>
      <c r="BX30" s="117"/>
      <c r="BY30" s="117"/>
      <c r="BZ30" s="117"/>
      <c r="CA30" s="117"/>
      <c r="CB30" s="117"/>
      <c r="CC30" s="117"/>
      <c r="CD30" s="117"/>
      <c r="CE30" s="117"/>
      <c r="CF30" s="117"/>
      <c r="CG30" s="117"/>
      <c r="CH30" s="117"/>
      <c r="CI30" s="117"/>
      <c r="CJ30" s="117"/>
      <c r="CK30" s="117"/>
      <c r="CL30" s="117"/>
      <c r="CM30" s="117"/>
      <c r="CN30" s="117"/>
      <c r="CO30" s="117"/>
      <c r="CP30" s="117"/>
      <c r="CQ30" s="117"/>
      <c r="CR30" s="117"/>
      <c r="CS30" s="117"/>
      <c r="CT30" s="117"/>
      <c r="CU30" s="117"/>
      <c r="CV30" s="117"/>
      <c r="CW30" s="117"/>
      <c r="CX30" s="117"/>
    </row>
    <row r="31" spans="1:102" s="115" customFormat="1">
      <c r="A31" s="252" t="str">
        <f t="shared" si="0"/>
        <v>High Yield</v>
      </c>
      <c r="B31" s="253"/>
      <c r="C31" s="117">
        <v>3.2635496410640327E-2</v>
      </c>
      <c r="D31" s="117">
        <v>3.2669257043629593E-2</v>
      </c>
      <c r="E31" s="117">
        <v>3.2695919917507685E-2</v>
      </c>
      <c r="F31" s="117">
        <v>3.2612166758620539E-2</v>
      </c>
      <c r="G31" s="117">
        <v>3.2623617852232598E-2</v>
      </c>
      <c r="H31" s="117">
        <v>3.2725577748384041E-2</v>
      </c>
      <c r="I31" s="117">
        <v>3.2650276406973322E-2</v>
      </c>
      <c r="J31" s="117">
        <v>3.2628315448672181E-2</v>
      </c>
      <c r="K31" s="117">
        <v>3.2653069837943138E-2</v>
      </c>
      <c r="L31" s="117">
        <v>3.2659505710916595E-2</v>
      </c>
      <c r="M31" s="117">
        <v>3.27000674223768E-2</v>
      </c>
      <c r="N31" s="117">
        <v>3.2741416720066571E-2</v>
      </c>
      <c r="O31" s="117">
        <v>3.267287658552806E-2</v>
      </c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E31" s="117"/>
      <c r="AF31" s="117"/>
      <c r="AG31" s="117"/>
      <c r="AH31" s="117"/>
      <c r="AI31" s="117"/>
      <c r="AJ31" s="117"/>
      <c r="AK31" s="117"/>
      <c r="AL31" s="117"/>
      <c r="AM31" s="117"/>
      <c r="AN31" s="117"/>
      <c r="AO31" s="117"/>
      <c r="AP31" s="117"/>
      <c r="AQ31" s="117"/>
      <c r="AR31" s="117"/>
      <c r="AS31" s="117"/>
      <c r="AT31" s="117"/>
      <c r="AU31" s="117"/>
      <c r="AV31" s="117"/>
      <c r="AW31" s="117"/>
      <c r="AX31" s="117"/>
      <c r="AY31" s="117"/>
      <c r="AZ31" s="117"/>
      <c r="BA31" s="117"/>
      <c r="BB31" s="117"/>
      <c r="BC31" s="117"/>
      <c r="BD31" s="117"/>
      <c r="BE31" s="117"/>
      <c r="BF31" s="117"/>
      <c r="BG31" s="117"/>
      <c r="BH31" s="117"/>
      <c r="BI31" s="117"/>
      <c r="BJ31" s="117"/>
      <c r="BK31" s="117"/>
      <c r="BL31" s="117"/>
      <c r="BM31" s="117"/>
      <c r="BN31" s="117"/>
      <c r="BO31" s="117"/>
      <c r="BP31" s="117"/>
      <c r="BQ31" s="117"/>
      <c r="BR31" s="117"/>
      <c r="BS31" s="117"/>
      <c r="BT31" s="117"/>
      <c r="BU31" s="117"/>
      <c r="BV31" s="117"/>
      <c r="BW31" s="117"/>
      <c r="BX31" s="117"/>
      <c r="BY31" s="117"/>
      <c r="BZ31" s="117"/>
      <c r="CA31" s="117"/>
      <c r="CB31" s="117"/>
      <c r="CC31" s="117"/>
      <c r="CD31" s="117"/>
      <c r="CE31" s="117"/>
      <c r="CF31" s="117"/>
      <c r="CG31" s="117"/>
      <c r="CH31" s="117"/>
      <c r="CI31" s="117"/>
      <c r="CJ31" s="117"/>
      <c r="CK31" s="117"/>
      <c r="CL31" s="117"/>
      <c r="CM31" s="117"/>
      <c r="CN31" s="117"/>
      <c r="CO31" s="117"/>
      <c r="CP31" s="117"/>
      <c r="CQ31" s="117"/>
      <c r="CR31" s="117"/>
      <c r="CS31" s="117"/>
      <c r="CT31" s="117"/>
      <c r="CU31" s="117"/>
      <c r="CV31" s="117"/>
      <c r="CW31" s="117"/>
      <c r="CX31" s="117"/>
    </row>
    <row r="32" spans="1:102" s="116" customFormat="1">
      <c r="A32" s="252" t="str">
        <f t="shared" si="0"/>
        <v>Emerging market debt</v>
      </c>
      <c r="B32" s="253"/>
      <c r="C32" s="117">
        <v>3.2113911867076649E-2</v>
      </c>
      <c r="D32" s="117">
        <v>3.1719159674149594E-2</v>
      </c>
      <c r="E32" s="117">
        <v>3.2271273163986702E-2</v>
      </c>
      <c r="F32" s="117">
        <v>3.2464715742399348E-2</v>
      </c>
      <c r="G32" s="117">
        <v>3.2384416525275218E-2</v>
      </c>
      <c r="H32" s="117">
        <v>3.2029621013485096E-2</v>
      </c>
      <c r="I32" s="117">
        <v>3.1760913298358034E-2</v>
      </c>
      <c r="J32" s="117">
        <v>3.2237449300253712E-2</v>
      </c>
      <c r="K32" s="117">
        <v>3.2434957995244984E-2</v>
      </c>
      <c r="L32" s="117">
        <v>3.1471282646552592E-2</v>
      </c>
      <c r="M32" s="117">
        <v>3.2259562199427202E-2</v>
      </c>
      <c r="N32" s="117">
        <v>3.216211593992481E-2</v>
      </c>
      <c r="O32" s="117">
        <v>3.1905185318875706E-2</v>
      </c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  <c r="AN32" s="117"/>
      <c r="AO32" s="117"/>
      <c r="AP32" s="117"/>
      <c r="AQ32" s="117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17"/>
      <c r="BE32" s="117"/>
      <c r="BF32" s="117"/>
      <c r="BG32" s="117"/>
      <c r="BH32" s="117"/>
      <c r="BI32" s="117"/>
      <c r="BJ32" s="117"/>
      <c r="BK32" s="117"/>
      <c r="BL32" s="117"/>
      <c r="BM32" s="117"/>
      <c r="BN32" s="117"/>
      <c r="BO32" s="117"/>
      <c r="BP32" s="117"/>
      <c r="BQ32" s="117"/>
      <c r="BR32" s="117"/>
      <c r="BS32" s="117"/>
      <c r="BT32" s="117"/>
      <c r="BU32" s="117"/>
      <c r="BV32" s="117"/>
      <c r="BW32" s="117"/>
      <c r="BX32" s="117"/>
      <c r="BY32" s="117"/>
      <c r="BZ32" s="117"/>
      <c r="CA32" s="117"/>
      <c r="CB32" s="117"/>
      <c r="CC32" s="117"/>
      <c r="CD32" s="117"/>
      <c r="CE32" s="117"/>
      <c r="CF32" s="117"/>
      <c r="CG32" s="117"/>
      <c r="CH32" s="117"/>
      <c r="CI32" s="117"/>
      <c r="CJ32" s="117"/>
      <c r="CK32" s="117"/>
      <c r="CL32" s="117"/>
      <c r="CM32" s="117"/>
      <c r="CN32" s="117"/>
      <c r="CO32" s="117"/>
      <c r="CP32" s="117"/>
      <c r="CQ32" s="117"/>
      <c r="CR32" s="117"/>
      <c r="CS32" s="117"/>
      <c r="CT32" s="117"/>
      <c r="CU32" s="117"/>
      <c r="CV32" s="117"/>
      <c r="CW32" s="117"/>
      <c r="CX32" s="117"/>
    </row>
    <row r="33" spans="1:102" s="131" customFormat="1">
      <c r="A33" s="252" t="str">
        <f t="shared" si="0"/>
        <v>Aandelen ontwikkeld</v>
      </c>
      <c r="B33" s="253"/>
      <c r="C33" s="117">
        <v>3.8942183348160866E-2</v>
      </c>
      <c r="D33" s="117">
        <v>3.949646289276796E-2</v>
      </c>
      <c r="E33" s="117">
        <v>3.8498647543698236E-2</v>
      </c>
      <c r="F33" s="117">
        <v>3.8497790962928255E-2</v>
      </c>
      <c r="G33" s="117">
        <v>3.8630208779531293E-2</v>
      </c>
      <c r="H33" s="117">
        <v>3.8977611885465065E-2</v>
      </c>
      <c r="I33" s="117">
        <v>3.9454984285047845E-2</v>
      </c>
      <c r="J33" s="117">
        <v>3.8853603436751274E-2</v>
      </c>
      <c r="K33" s="117">
        <v>3.8521809772316215E-2</v>
      </c>
      <c r="L33" s="117">
        <v>3.9796705830305076E-2</v>
      </c>
      <c r="M33" s="117">
        <v>3.851938514161081E-2</v>
      </c>
      <c r="N33" s="117">
        <v>3.8608681879996928E-2</v>
      </c>
      <c r="O33" s="117">
        <v>3.9370228341169954E-2</v>
      </c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  <c r="AA33" s="117"/>
      <c r="AB33" s="117"/>
      <c r="AC33" s="117"/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  <c r="AN33" s="117"/>
      <c r="AO33" s="117"/>
      <c r="AP33" s="117"/>
      <c r="AQ33" s="117"/>
      <c r="AR33" s="117"/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  <c r="BC33" s="117"/>
      <c r="BD33" s="117"/>
      <c r="BE33" s="117"/>
      <c r="BF33" s="117"/>
      <c r="BG33" s="117"/>
      <c r="BH33" s="117"/>
      <c r="BI33" s="117"/>
      <c r="BJ33" s="117"/>
      <c r="BK33" s="117"/>
      <c r="BL33" s="117"/>
      <c r="BM33" s="117"/>
      <c r="BN33" s="117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17"/>
      <c r="BZ33" s="117"/>
      <c r="CA33" s="117"/>
      <c r="CB33" s="117"/>
      <c r="CC33" s="117"/>
      <c r="CD33" s="117"/>
      <c r="CE33" s="117"/>
      <c r="CF33" s="117"/>
      <c r="CG33" s="117"/>
      <c r="CH33" s="117"/>
      <c r="CI33" s="117"/>
      <c r="CJ33" s="117"/>
      <c r="CK33" s="117"/>
      <c r="CL33" s="117"/>
      <c r="CM33" s="117"/>
      <c r="CN33" s="117"/>
      <c r="CO33" s="117"/>
      <c r="CP33" s="117"/>
      <c r="CQ33" s="117"/>
      <c r="CR33" s="117"/>
      <c r="CS33" s="117"/>
      <c r="CT33" s="117"/>
      <c r="CU33" s="117"/>
      <c r="CV33" s="117"/>
      <c r="CW33" s="117"/>
      <c r="CX33" s="117"/>
    </row>
    <row r="34" spans="1:102" s="115" customFormat="1">
      <c r="A34" s="252" t="str">
        <f t="shared" si="0"/>
        <v>Aandelen opkomend</v>
      </c>
      <c r="B34" s="253"/>
      <c r="C34" s="117">
        <v>6.0181757872373058E-2</v>
      </c>
      <c r="D34" s="117">
        <v>6.0413605620410323E-2</v>
      </c>
      <c r="E34" s="117">
        <v>5.9963376582911974E-2</v>
      </c>
      <c r="F34" s="117">
        <v>5.9980349989578831E-2</v>
      </c>
      <c r="G34" s="117">
        <v>6.0095868839554693E-2</v>
      </c>
      <c r="H34" s="117">
        <v>6.0145154246301E-2</v>
      </c>
      <c r="I34" s="117">
        <v>6.0310125590498809E-2</v>
      </c>
      <c r="J34" s="117">
        <v>6.0100938306712516E-2</v>
      </c>
      <c r="K34" s="117">
        <v>6.0017093349274971E-2</v>
      </c>
      <c r="L34" s="117">
        <v>6.0428634384245034E-2</v>
      </c>
      <c r="M34" s="117">
        <v>5.9935562452330546E-2</v>
      </c>
      <c r="N34" s="117">
        <v>6.0054117134778401E-2</v>
      </c>
      <c r="O34" s="117">
        <v>6.0418487338311497E-2</v>
      </c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17"/>
      <c r="AP34" s="117"/>
      <c r="AQ34" s="117"/>
      <c r="AR34" s="117"/>
      <c r="AS34" s="117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  <c r="BG34" s="117"/>
      <c r="BH34" s="117"/>
      <c r="BI34" s="117"/>
      <c r="BJ34" s="117"/>
      <c r="BK34" s="117"/>
      <c r="BL34" s="117"/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7"/>
      <c r="CA34" s="117"/>
      <c r="CB34" s="117"/>
      <c r="CC34" s="117"/>
      <c r="CD34" s="117"/>
      <c r="CE34" s="117"/>
      <c r="CF34" s="117"/>
      <c r="CG34" s="117"/>
      <c r="CH34" s="117"/>
      <c r="CI34" s="117"/>
      <c r="CJ34" s="117"/>
      <c r="CK34" s="117"/>
      <c r="CL34" s="117"/>
      <c r="CM34" s="117"/>
      <c r="CN34" s="117"/>
      <c r="CO34" s="117"/>
      <c r="CP34" s="117"/>
      <c r="CQ34" s="117"/>
      <c r="CR34" s="117"/>
      <c r="CS34" s="117"/>
      <c r="CT34" s="117"/>
      <c r="CU34" s="117"/>
      <c r="CV34" s="117"/>
      <c r="CW34" s="117"/>
      <c r="CX34" s="117"/>
    </row>
    <row r="35" spans="1:102" s="115" customFormat="1">
      <c r="A35" s="252" t="str">
        <f t="shared" si="0"/>
        <v>Hedge funds</v>
      </c>
      <c r="B35" s="253"/>
      <c r="C35" s="117">
        <v>3.0940525945747741E-2</v>
      </c>
      <c r="D35" s="117">
        <v>3.0828974167765168E-2</v>
      </c>
      <c r="E35" s="117">
        <v>3.0904906662790565E-2</v>
      </c>
      <c r="F35" s="117">
        <v>3.1047479630920152E-2</v>
      </c>
      <c r="G35" s="117">
        <v>3.1021631243557616E-2</v>
      </c>
      <c r="H35" s="117">
        <v>3.0887878057962614E-2</v>
      </c>
      <c r="I35" s="117">
        <v>3.0852263753069955E-2</v>
      </c>
      <c r="J35" s="117">
        <v>3.0991079236969379E-2</v>
      </c>
      <c r="K35" s="117">
        <v>3.1026561055456769E-2</v>
      </c>
      <c r="L35" s="117">
        <v>3.0765491182156404E-2</v>
      </c>
      <c r="M35" s="117">
        <v>3.0933787918796821E-2</v>
      </c>
      <c r="N35" s="117">
        <v>3.0895279942268032E-2</v>
      </c>
      <c r="O35" s="117">
        <v>3.0934926329681377E-2</v>
      </c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7"/>
      <c r="AO35" s="117"/>
      <c r="AP35" s="117"/>
      <c r="AQ35" s="117"/>
      <c r="AR35" s="117"/>
      <c r="AS35" s="117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17"/>
      <c r="BE35" s="117"/>
      <c r="BF35" s="117"/>
      <c r="BG35" s="117"/>
      <c r="BH35" s="117"/>
      <c r="BI35" s="117"/>
      <c r="BJ35" s="117"/>
      <c r="BK35" s="117"/>
      <c r="BL35" s="117"/>
      <c r="BM35" s="117"/>
      <c r="BN35" s="117"/>
      <c r="BO35" s="117"/>
      <c r="BP35" s="117"/>
      <c r="BQ35" s="117"/>
      <c r="BR35" s="117"/>
      <c r="BS35" s="117"/>
      <c r="BT35" s="117"/>
      <c r="BU35" s="117"/>
      <c r="BV35" s="117"/>
      <c r="BW35" s="117"/>
      <c r="BX35" s="117"/>
      <c r="BY35" s="117"/>
      <c r="BZ35" s="117"/>
      <c r="CA35" s="117"/>
      <c r="CB35" s="117"/>
      <c r="CC35" s="117"/>
      <c r="CD35" s="117"/>
      <c r="CE35" s="117"/>
      <c r="CF35" s="117"/>
      <c r="CG35" s="117"/>
      <c r="CH35" s="117"/>
      <c r="CI35" s="117"/>
      <c r="CJ35" s="117"/>
      <c r="CK35" s="117"/>
      <c r="CL35" s="117"/>
      <c r="CM35" s="117"/>
      <c r="CN35" s="117"/>
      <c r="CO35" s="117"/>
      <c r="CP35" s="117"/>
      <c r="CQ35" s="117"/>
      <c r="CR35" s="117"/>
      <c r="CS35" s="117"/>
      <c r="CT35" s="117"/>
      <c r="CU35" s="117"/>
      <c r="CV35" s="117"/>
      <c r="CW35" s="117"/>
      <c r="CX35" s="117"/>
    </row>
    <row r="36" spans="1:102" s="115" customFormat="1">
      <c r="A36" s="252" t="str">
        <f t="shared" si="0"/>
        <v>Onroerend goed</v>
      </c>
      <c r="B36" s="253"/>
      <c r="C36" s="117">
        <v>2.3391326000799344E-2</v>
      </c>
      <c r="D36" s="117">
        <v>2.3379654257233554E-2</v>
      </c>
      <c r="E36" s="117">
        <v>2.3313545630512141E-2</v>
      </c>
      <c r="F36" s="117">
        <v>2.3411508991459416E-2</v>
      </c>
      <c r="G36" s="117">
        <v>2.345209825339244E-2</v>
      </c>
      <c r="H36" s="117">
        <v>2.3333566446519169E-2</v>
      </c>
      <c r="I36" s="117">
        <v>2.3409309222409344E-2</v>
      </c>
      <c r="J36" s="117">
        <v>2.3433032838093344E-2</v>
      </c>
      <c r="K36" s="117">
        <v>2.3410137317047601E-2</v>
      </c>
      <c r="L36" s="117">
        <v>2.3393145079710288E-2</v>
      </c>
      <c r="M36" s="117">
        <v>2.3337617403436602E-2</v>
      </c>
      <c r="N36" s="117">
        <v>2.3367592906701103E-2</v>
      </c>
      <c r="O36" s="117">
        <v>2.3506265961434729E-2</v>
      </c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  <c r="AN36" s="117"/>
      <c r="AO36" s="117"/>
      <c r="AP36" s="117"/>
      <c r="AQ36" s="117"/>
      <c r="AR36" s="117"/>
      <c r="AS36" s="117"/>
      <c r="AT36" s="117"/>
      <c r="AU36" s="117"/>
      <c r="AV36" s="117"/>
      <c r="AW36" s="117"/>
      <c r="AX36" s="117"/>
      <c r="AY36" s="117"/>
      <c r="AZ36" s="117"/>
      <c r="BA36" s="117"/>
      <c r="BB36" s="117"/>
      <c r="BC36" s="117"/>
      <c r="BD36" s="117"/>
      <c r="BE36" s="117"/>
      <c r="BF36" s="117"/>
      <c r="BG36" s="117"/>
      <c r="BH36" s="117"/>
      <c r="BI36" s="117"/>
      <c r="BJ36" s="117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117"/>
      <c r="BW36" s="117"/>
      <c r="BX36" s="117"/>
      <c r="BY36" s="117"/>
      <c r="BZ36" s="117"/>
      <c r="CA36" s="117"/>
      <c r="CB36" s="117"/>
      <c r="CC36" s="117"/>
      <c r="CD36" s="117"/>
      <c r="CE36" s="117"/>
      <c r="CF36" s="117"/>
      <c r="CG36" s="117"/>
      <c r="CH36" s="117"/>
      <c r="CI36" s="117"/>
      <c r="CJ36" s="117"/>
      <c r="CK36" s="117"/>
      <c r="CL36" s="117"/>
      <c r="CM36" s="117"/>
      <c r="CN36" s="117"/>
      <c r="CO36" s="117"/>
      <c r="CP36" s="117"/>
      <c r="CQ36" s="117"/>
      <c r="CR36" s="117"/>
      <c r="CS36" s="117"/>
      <c r="CT36" s="117"/>
      <c r="CU36" s="117"/>
      <c r="CV36" s="117"/>
      <c r="CW36" s="117"/>
      <c r="CX36" s="117"/>
    </row>
    <row r="37" spans="1:102" s="131" customFormat="1">
      <c r="A37" s="254" t="str">
        <f t="shared" si="0"/>
        <v>Commodities</v>
      </c>
      <c r="B37" s="255"/>
      <c r="C37" s="118">
        <v>4.1929545080401226E-2</v>
      </c>
      <c r="D37" s="118">
        <v>4.1668866316522488E-2</v>
      </c>
      <c r="E37" s="118">
        <v>4.1878725986371941E-2</v>
      </c>
      <c r="F37" s="118">
        <v>4.2197971255466885E-2</v>
      </c>
      <c r="G37" s="118">
        <v>4.2237213289437248E-2</v>
      </c>
      <c r="H37" s="118">
        <v>4.1761258011338037E-2</v>
      </c>
      <c r="I37" s="118">
        <v>4.1758110897268427E-2</v>
      </c>
      <c r="J37" s="118">
        <v>4.213300781221279E-2</v>
      </c>
      <c r="K37" s="118">
        <v>4.213696460958076E-2</v>
      </c>
      <c r="L37" s="118">
        <v>4.1539340882196608E-2</v>
      </c>
      <c r="M37" s="118">
        <v>4.1875161553093801E-2</v>
      </c>
      <c r="N37" s="118">
        <v>4.1835788135674463E-2</v>
      </c>
      <c r="O37" s="118">
        <v>4.2023311411726223E-2</v>
      </c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  <c r="BK37" s="118"/>
      <c r="BL37" s="118"/>
      <c r="BM37" s="118"/>
      <c r="BN37" s="118"/>
      <c r="BO37" s="118"/>
      <c r="BP37" s="118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18"/>
      <c r="CT37" s="118"/>
      <c r="CU37" s="118"/>
      <c r="CV37" s="118"/>
      <c r="CW37" s="118"/>
      <c r="CX37" s="118"/>
    </row>
    <row r="38" spans="1:102" s="115" customFormat="1">
      <c r="A38" s="76" t="s">
        <v>132</v>
      </c>
      <c r="B38" s="119"/>
      <c r="C38" s="120">
        <v>1.6854762832842232</v>
      </c>
      <c r="D38" s="120">
        <v>1.6860036544095633</v>
      </c>
      <c r="E38" s="120">
        <v>1.6805234407642571</v>
      </c>
      <c r="F38" s="120">
        <v>1.6906660004855938</v>
      </c>
      <c r="G38" s="120">
        <v>1.6926269355507415</v>
      </c>
      <c r="H38" s="120">
        <v>1.6803621272601383</v>
      </c>
      <c r="I38" s="120">
        <v>1.6820249252703459</v>
      </c>
      <c r="J38" s="120">
        <v>1.6866099859923513</v>
      </c>
      <c r="K38" s="120">
        <v>1.6910306480010717</v>
      </c>
      <c r="L38" s="120">
        <v>1.6825699791804671</v>
      </c>
      <c r="M38" s="120">
        <v>1.6786468296941237</v>
      </c>
      <c r="N38" s="120">
        <v>1.6804186803349739</v>
      </c>
      <c r="O38" s="120">
        <v>1.6919754103113398</v>
      </c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AX38" s="120"/>
      <c r="AY38" s="120"/>
      <c r="AZ38" s="120"/>
      <c r="BA38" s="120"/>
      <c r="BB38" s="120"/>
      <c r="BC38" s="120"/>
      <c r="BD38" s="120"/>
      <c r="BE38" s="120"/>
      <c r="BF38" s="120"/>
      <c r="BG38" s="120"/>
      <c r="BH38" s="120"/>
      <c r="BI38" s="120"/>
      <c r="BJ38" s="120"/>
      <c r="BK38" s="120"/>
      <c r="BL38" s="120"/>
      <c r="BM38" s="120"/>
      <c r="BN38" s="120"/>
      <c r="BO38" s="120"/>
      <c r="BP38" s="120"/>
      <c r="BQ38" s="120"/>
      <c r="BR38" s="120"/>
      <c r="BS38" s="120"/>
      <c r="BT38" s="120"/>
      <c r="BU38" s="120"/>
      <c r="BV38" s="120"/>
      <c r="BW38" s="120"/>
      <c r="BX38" s="120"/>
      <c r="BY38" s="120"/>
      <c r="BZ38" s="120"/>
      <c r="CA38" s="120"/>
      <c r="CB38" s="120"/>
      <c r="CC38" s="120"/>
      <c r="CD38" s="120"/>
      <c r="CE38" s="120"/>
      <c r="CF38" s="120"/>
      <c r="CG38" s="120"/>
      <c r="CH38" s="120"/>
      <c r="CI38" s="120"/>
      <c r="CJ38" s="120"/>
      <c r="CK38" s="120"/>
      <c r="CL38" s="120"/>
      <c r="CM38" s="120"/>
      <c r="CN38" s="120"/>
      <c r="CO38" s="120"/>
      <c r="CP38" s="120"/>
      <c r="CQ38" s="120"/>
      <c r="CR38" s="120"/>
      <c r="CS38" s="120"/>
      <c r="CT38" s="120"/>
      <c r="CU38" s="120"/>
      <c r="CV38" s="120"/>
      <c r="CW38" s="120"/>
      <c r="CX38" s="120"/>
    </row>
    <row r="39" spans="1:102" s="11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</row>
    <row r="40" spans="1:102" s="115" customFormat="1">
      <c r="A40" s="144" t="s">
        <v>133</v>
      </c>
      <c r="B40" s="144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</row>
    <row r="41" spans="1:102" s="131" customFormat="1">
      <c r="A41" s="128" t="str">
        <f>Parameters!A40</f>
        <v>Basis</v>
      </c>
      <c r="B41" s="122" t="s">
        <v>29</v>
      </c>
      <c r="C41" s="123">
        <v>1.3063402497119441E-2</v>
      </c>
      <c r="D41" s="123">
        <v>1.3036127427875254E-2</v>
      </c>
      <c r="E41" s="123">
        <v>1.3103547030968414E-2</v>
      </c>
      <c r="F41" s="123">
        <v>1.3057964576106185E-2</v>
      </c>
      <c r="G41" s="123">
        <v>1.3065557218882326E-2</v>
      </c>
      <c r="H41" s="123">
        <v>1.3083459761916017E-2</v>
      </c>
      <c r="I41" s="123">
        <v>1.3060347048174988E-2</v>
      </c>
      <c r="J41" s="123">
        <v>1.3087276483792648E-2</v>
      </c>
      <c r="K41" s="123">
        <v>1.3055826662927714E-2</v>
      </c>
      <c r="L41" s="123">
        <v>1.3024638892975815E-2</v>
      </c>
      <c r="M41" s="123">
        <v>1.3098978000696055E-2</v>
      </c>
      <c r="N41" s="123">
        <v>1.3105437878804471E-2</v>
      </c>
      <c r="O41" s="123">
        <v>1.305761274170281E-2</v>
      </c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</row>
    <row r="42" spans="1:102" s="115" customFormat="1">
      <c r="A42" s="23"/>
      <c r="B42" s="14" t="s">
        <v>30</v>
      </c>
      <c r="C42" s="125">
        <v>7.4472850247687628E-2</v>
      </c>
      <c r="D42" s="125">
        <v>7.4541422539311439E-2</v>
      </c>
      <c r="E42" s="125">
        <v>7.45838123288875E-2</v>
      </c>
      <c r="F42" s="125">
        <v>7.4314746444402474E-2</v>
      </c>
      <c r="G42" s="125">
        <v>7.4310877379022547E-2</v>
      </c>
      <c r="H42" s="125">
        <v>7.4522358053501145E-2</v>
      </c>
      <c r="I42" s="125">
        <v>7.4497444240903168E-2</v>
      </c>
      <c r="J42" s="125">
        <v>7.4362492923413043E-2</v>
      </c>
      <c r="K42" s="125">
        <v>7.4318915012823603E-2</v>
      </c>
      <c r="L42" s="125">
        <v>7.4538657435813713E-2</v>
      </c>
      <c r="M42" s="125">
        <v>7.4491366059423678E-2</v>
      </c>
      <c r="N42" s="125">
        <v>7.4482534943602907E-2</v>
      </c>
      <c r="O42" s="125">
        <v>7.4252408659086624E-2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5"/>
      <c r="BA42" s="125"/>
      <c r="BB42" s="125"/>
      <c r="BC42" s="125"/>
      <c r="BD42" s="125"/>
      <c r="BE42" s="125"/>
      <c r="BF42" s="125"/>
      <c r="BG42" s="125"/>
      <c r="BH42" s="125"/>
      <c r="BI42" s="125"/>
      <c r="BJ42" s="125"/>
      <c r="BK42" s="125"/>
      <c r="BL42" s="125"/>
      <c r="BM42" s="125"/>
      <c r="BN42" s="125"/>
      <c r="BO42" s="125"/>
      <c r="BP42" s="125"/>
      <c r="BQ42" s="125"/>
      <c r="BR42" s="125"/>
      <c r="BS42" s="125"/>
      <c r="BT42" s="125"/>
      <c r="BU42" s="125"/>
      <c r="BV42" s="125"/>
      <c r="BW42" s="125"/>
      <c r="BX42" s="125"/>
      <c r="BY42" s="125"/>
      <c r="BZ42" s="125"/>
      <c r="CA42" s="125"/>
      <c r="CB42" s="125"/>
      <c r="CC42" s="125"/>
      <c r="CD42" s="125"/>
      <c r="CE42" s="125"/>
      <c r="CF42" s="125"/>
      <c r="CG42" s="125"/>
      <c r="CH42" s="125"/>
      <c r="CI42" s="125"/>
      <c r="CJ42" s="125"/>
      <c r="CK42" s="125"/>
      <c r="CL42" s="125"/>
      <c r="CM42" s="125"/>
      <c r="CN42" s="125"/>
      <c r="CO42" s="125"/>
      <c r="CP42" s="125"/>
      <c r="CQ42" s="125"/>
      <c r="CR42" s="125"/>
      <c r="CS42" s="125"/>
      <c r="CT42" s="125"/>
      <c r="CU42" s="125"/>
      <c r="CV42" s="125"/>
      <c r="CW42" s="125"/>
      <c r="CX42" s="125"/>
    </row>
    <row r="43" spans="1:102" s="115" customFormat="1">
      <c r="A43" s="23"/>
      <c r="B43" s="67" t="s">
        <v>56</v>
      </c>
      <c r="C43" s="125">
        <v>0.11251873239746274</v>
      </c>
      <c r="D43" s="125">
        <v>0.11245986025305778</v>
      </c>
      <c r="E43" s="125">
        <v>0.11256552209335847</v>
      </c>
      <c r="F43" s="125">
        <v>0.11263352488022949</v>
      </c>
      <c r="G43" s="125">
        <v>0.11244940205718752</v>
      </c>
      <c r="H43" s="125">
        <v>0.11246918858760128</v>
      </c>
      <c r="I43" s="125">
        <v>0.11237349145636488</v>
      </c>
      <c r="J43" s="125">
        <v>0.11250401202096123</v>
      </c>
      <c r="K43" s="125">
        <v>0.11255034394173248</v>
      </c>
      <c r="L43" s="125">
        <v>0.11233886935608753</v>
      </c>
      <c r="M43" s="125">
        <v>0.1124478314077843</v>
      </c>
      <c r="N43" s="125">
        <v>0.11225538543209415</v>
      </c>
      <c r="O43" s="125">
        <v>0.11218234999134707</v>
      </c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125"/>
      <c r="AT43" s="125"/>
      <c r="AU43" s="125"/>
      <c r="AV43" s="125"/>
      <c r="AW43" s="125"/>
      <c r="AX43" s="125"/>
      <c r="AY43" s="125"/>
      <c r="AZ43" s="125"/>
      <c r="BA43" s="125"/>
      <c r="BB43" s="125"/>
      <c r="BC43" s="125"/>
      <c r="BD43" s="125"/>
      <c r="BE43" s="125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125"/>
      <c r="BQ43" s="125"/>
      <c r="BR43" s="125"/>
      <c r="BS43" s="125"/>
      <c r="BT43" s="125"/>
      <c r="BU43" s="125"/>
      <c r="BV43" s="125"/>
      <c r="BW43" s="125"/>
      <c r="BX43" s="125"/>
      <c r="BY43" s="125"/>
      <c r="BZ43" s="125"/>
      <c r="CA43" s="125"/>
      <c r="CB43" s="125"/>
      <c r="CC43" s="125"/>
      <c r="CD43" s="125"/>
      <c r="CE43" s="125"/>
      <c r="CF43" s="125"/>
      <c r="CG43" s="125"/>
      <c r="CH43" s="125"/>
      <c r="CI43" s="125"/>
      <c r="CJ43" s="125"/>
      <c r="CK43" s="125"/>
      <c r="CL43" s="125"/>
      <c r="CM43" s="125"/>
      <c r="CN43" s="125"/>
      <c r="CO43" s="125"/>
      <c r="CP43" s="125"/>
      <c r="CQ43" s="125"/>
      <c r="CR43" s="125"/>
      <c r="CS43" s="125"/>
      <c r="CT43" s="125"/>
      <c r="CU43" s="125"/>
      <c r="CV43" s="125"/>
      <c r="CW43" s="125"/>
      <c r="CX43" s="125"/>
    </row>
    <row r="44" spans="1:102" s="115" customFormat="1">
      <c r="A44" s="126"/>
      <c r="B44" s="129" t="s">
        <v>114</v>
      </c>
      <c r="C44" s="127">
        <v>0.48359434056912898</v>
      </c>
      <c r="D44" s="127">
        <v>0.4837552767932331</v>
      </c>
      <c r="E44" s="127">
        <v>0.48340418819541131</v>
      </c>
      <c r="F44" s="127">
        <v>0.48358862498203975</v>
      </c>
      <c r="G44" s="127">
        <v>0.48354704402888221</v>
      </c>
      <c r="H44" s="127">
        <v>0.4834979515338112</v>
      </c>
      <c r="I44" s="127">
        <v>0.48361610201266064</v>
      </c>
      <c r="J44" s="127">
        <v>0.48344203713870409</v>
      </c>
      <c r="K44" s="127">
        <v>0.48360101154754714</v>
      </c>
      <c r="L44" s="127">
        <v>0.48381611210758529</v>
      </c>
      <c r="M44" s="127">
        <v>0.4834080526221195</v>
      </c>
      <c r="N44" s="127">
        <v>0.48337151620390101</v>
      </c>
      <c r="O44" s="127">
        <v>0.48357674350745028</v>
      </c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7"/>
      <c r="AB44" s="127"/>
      <c r="AC44" s="127"/>
      <c r="AD44" s="127"/>
      <c r="AE44" s="127"/>
      <c r="AF44" s="127"/>
      <c r="AG44" s="127"/>
      <c r="AH44" s="127"/>
      <c r="AI44" s="127"/>
      <c r="AJ44" s="127"/>
      <c r="AK44" s="127"/>
      <c r="AL44" s="127"/>
      <c r="AM44" s="127"/>
      <c r="AN44" s="127"/>
      <c r="AO44" s="127"/>
      <c r="AP44" s="127"/>
      <c r="AQ44" s="127"/>
      <c r="AR44" s="127"/>
      <c r="AS44" s="127"/>
      <c r="AT44" s="127"/>
      <c r="AU44" s="127"/>
      <c r="AV44" s="127"/>
      <c r="AW44" s="127"/>
      <c r="AX44" s="127"/>
      <c r="AY44" s="127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  <c r="CG44" s="127"/>
      <c r="CH44" s="127"/>
      <c r="CI44" s="127"/>
      <c r="CJ44" s="127"/>
      <c r="CK44" s="127"/>
      <c r="CL44" s="127"/>
      <c r="CM44" s="127"/>
      <c r="CN44" s="127"/>
      <c r="CO44" s="127"/>
      <c r="CP44" s="127"/>
      <c r="CQ44" s="127"/>
      <c r="CR44" s="127"/>
      <c r="CS44" s="127"/>
      <c r="CT44" s="127"/>
      <c r="CU44" s="127"/>
      <c r="CV44" s="127"/>
      <c r="CW44" s="127"/>
      <c r="CX44" s="127"/>
    </row>
    <row r="45" spans="1:102" s="131" customFormat="1">
      <c r="A45" s="108" t="str">
        <f>Parameters!A41</f>
        <v>Groei recessie</v>
      </c>
      <c r="B45" s="122" t="s">
        <v>29</v>
      </c>
      <c r="C45" s="123">
        <v>1.1234455027250885E-2</v>
      </c>
      <c r="D45" s="123">
        <v>1.1074306669098288E-2</v>
      </c>
      <c r="E45" s="123">
        <v>1.1399492674253735E-2</v>
      </c>
      <c r="F45" s="123">
        <v>1.1327707969303854E-2</v>
      </c>
      <c r="G45" s="123">
        <v>1.1213248844286155E-2</v>
      </c>
      <c r="H45" s="123">
        <v>1.1298035345666575E-2</v>
      </c>
      <c r="I45" s="123">
        <v>1.1059645731026538E-2</v>
      </c>
      <c r="J45" s="123">
        <v>1.1205463153882943E-2</v>
      </c>
      <c r="K45" s="123">
        <v>1.1325903081506555E-2</v>
      </c>
      <c r="L45" s="123">
        <v>1.0954483633919744E-2</v>
      </c>
      <c r="M45" s="123">
        <v>1.1414544764333231E-2</v>
      </c>
      <c r="N45" s="123">
        <v>1.1345946822626289E-2</v>
      </c>
      <c r="O45" s="123">
        <v>1.0992147250193094E-2</v>
      </c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</row>
    <row r="46" spans="1:102" s="115" customFormat="1">
      <c r="A46" s="23"/>
      <c r="B46" s="14" t="s">
        <v>30</v>
      </c>
      <c r="C46" s="125">
        <v>6.5707579721978354E-2</v>
      </c>
      <c r="D46" s="125">
        <v>6.5031994424041936E-2</v>
      </c>
      <c r="E46" s="125">
        <v>6.6181338910697052E-2</v>
      </c>
      <c r="F46" s="125">
        <v>6.6166274975682435E-2</v>
      </c>
      <c r="G46" s="125">
        <v>6.5925921628569722E-2</v>
      </c>
      <c r="H46" s="125">
        <v>6.5601014130041546E-2</v>
      </c>
      <c r="I46" s="125">
        <v>6.5002476052953992E-2</v>
      </c>
      <c r="J46" s="125">
        <v>6.566765400073632E-2</v>
      </c>
      <c r="K46" s="125">
        <v>6.6098591675621529E-2</v>
      </c>
      <c r="L46" s="125">
        <v>6.4610132319131153E-2</v>
      </c>
      <c r="M46" s="125">
        <v>6.6162667591315782E-2</v>
      </c>
      <c r="N46" s="125">
        <v>6.5985903283097974E-2</v>
      </c>
      <c r="O46" s="125">
        <v>6.4971653844398694E-2</v>
      </c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</row>
    <row r="47" spans="1:102" s="115" customFormat="1">
      <c r="A47" s="23"/>
      <c r="B47" s="67" t="s">
        <v>56</v>
      </c>
      <c r="C47" s="125">
        <v>0.10334431069060458</v>
      </c>
      <c r="D47" s="125">
        <v>0.10284884966552137</v>
      </c>
      <c r="E47" s="125">
        <v>0.10358205552848961</v>
      </c>
      <c r="F47" s="125">
        <v>0.10379962546993611</v>
      </c>
      <c r="G47" s="125">
        <v>0.10346676062199532</v>
      </c>
      <c r="H47" s="125">
        <v>0.10318534871019659</v>
      </c>
      <c r="I47" s="125">
        <v>0.10274774570352256</v>
      </c>
      <c r="J47" s="125">
        <v>0.10332752150525157</v>
      </c>
      <c r="K47" s="125">
        <v>0.10366704637873218</v>
      </c>
      <c r="L47" s="125">
        <v>0.10247531161312853</v>
      </c>
      <c r="M47" s="125">
        <v>0.10353280930742434</v>
      </c>
      <c r="N47" s="125">
        <v>0.10324866593565758</v>
      </c>
      <c r="O47" s="125">
        <v>0.10269217298073537</v>
      </c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</row>
    <row r="48" spans="1:102" s="115" customFormat="1">
      <c r="A48" s="126"/>
      <c r="B48" s="67" t="s">
        <v>114</v>
      </c>
      <c r="C48" s="125">
        <v>0.49250547140991685</v>
      </c>
      <c r="D48" s="125">
        <v>0.4934099074843194</v>
      </c>
      <c r="E48" s="125">
        <v>0.49156446211771276</v>
      </c>
      <c r="F48" s="125">
        <v>0.49199526796503568</v>
      </c>
      <c r="G48" s="125">
        <v>0.49265859423577874</v>
      </c>
      <c r="H48" s="125">
        <v>0.49210671665694256</v>
      </c>
      <c r="I48" s="125">
        <v>0.49349688215705129</v>
      </c>
      <c r="J48" s="125">
        <v>0.4926770155160099</v>
      </c>
      <c r="K48" s="125">
        <v>0.49199796374333599</v>
      </c>
      <c r="L48" s="125">
        <v>0.49410665148196559</v>
      </c>
      <c r="M48" s="125">
        <v>0.49147134258676861</v>
      </c>
      <c r="N48" s="125">
        <v>0.49186314293985833</v>
      </c>
      <c r="O48" s="125">
        <v>0.49390820333693358</v>
      </c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</row>
    <row r="49" spans="1:102" s="131" customFormat="1">
      <c r="A49" s="108" t="str">
        <f>Parameters!A42</f>
        <v>Inflatie is een fiscaal verschijnsel</v>
      </c>
      <c r="B49" s="122" t="s">
        <v>29</v>
      </c>
      <c r="C49" s="123">
        <v>3.0154043303097386E-2</v>
      </c>
      <c r="D49" s="123">
        <v>3.0078214465170616E-2</v>
      </c>
      <c r="E49" s="123">
        <v>2.9744509938592251E-2</v>
      </c>
      <c r="F49" s="123">
        <v>3.0135946739709575E-2</v>
      </c>
      <c r="G49" s="123">
        <v>3.0207864983654874E-2</v>
      </c>
      <c r="H49" s="123">
        <v>2.9912527183503214E-2</v>
      </c>
      <c r="I49" s="123">
        <v>3.0282619812794911E-2</v>
      </c>
      <c r="J49" s="123">
        <v>3.0281602580362357E-2</v>
      </c>
      <c r="K49" s="123">
        <v>3.0079000951262373E-2</v>
      </c>
      <c r="L49" s="123">
        <v>3.0115384051958814E-2</v>
      </c>
      <c r="M49" s="123">
        <v>2.9719739548698072E-2</v>
      </c>
      <c r="N49" s="123">
        <v>2.9524568469841316E-2</v>
      </c>
      <c r="O49" s="123">
        <v>3.0128173385791664E-2</v>
      </c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</row>
    <row r="50" spans="1:102" s="115" customFormat="1">
      <c r="A50" s="23"/>
      <c r="B50" s="14" t="s">
        <v>30</v>
      </c>
      <c r="C50" s="125">
        <v>4.7846464974048597E-2</v>
      </c>
      <c r="D50" s="125">
        <v>4.7344679992923369E-2</v>
      </c>
      <c r="E50" s="125">
        <v>4.8126503491333607E-2</v>
      </c>
      <c r="F50" s="125">
        <v>4.83914356974251E-2</v>
      </c>
      <c r="G50" s="125">
        <v>4.8153848668164564E-2</v>
      </c>
      <c r="H50" s="125">
        <v>4.7754514398269124E-2</v>
      </c>
      <c r="I50" s="125">
        <v>4.7456913874644326E-2</v>
      </c>
      <c r="J50" s="125">
        <v>4.8034636622372097E-2</v>
      </c>
      <c r="K50" s="125">
        <v>4.8299311831898645E-2</v>
      </c>
      <c r="L50" s="125">
        <v>4.7157354448237418E-2</v>
      </c>
      <c r="M50" s="125">
        <v>4.80592060050163E-2</v>
      </c>
      <c r="N50" s="125">
        <v>4.7721755116819795E-2</v>
      </c>
      <c r="O50" s="125">
        <v>4.729597263940763E-2</v>
      </c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</row>
    <row r="51" spans="1:102" s="115" customFormat="1">
      <c r="A51" s="23"/>
      <c r="B51" s="67" t="s">
        <v>56</v>
      </c>
      <c r="C51" s="125">
        <v>0.1037287681961364</v>
      </c>
      <c r="D51" s="125">
        <v>0.10317804708357316</v>
      </c>
      <c r="E51" s="125">
        <v>0.10407736044273461</v>
      </c>
      <c r="F51" s="125">
        <v>0.1043370730714628</v>
      </c>
      <c r="G51" s="125">
        <v>0.10405517210798257</v>
      </c>
      <c r="H51" s="125">
        <v>0.10361281825650884</v>
      </c>
      <c r="I51" s="125">
        <v>0.10316580383472734</v>
      </c>
      <c r="J51" s="125">
        <v>0.10388786251973918</v>
      </c>
      <c r="K51" s="125">
        <v>0.10423600617710033</v>
      </c>
      <c r="L51" s="125">
        <v>0.1028370284770693</v>
      </c>
      <c r="M51" s="125">
        <v>0.10399854435912842</v>
      </c>
      <c r="N51" s="125">
        <v>0.10374603613364385</v>
      </c>
      <c r="O51" s="125">
        <v>0.10321839536488407</v>
      </c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/>
      <c r="AX51" s="125"/>
      <c r="AY51" s="125"/>
      <c r="AZ51" s="125"/>
      <c r="BA51" s="125"/>
      <c r="BB51" s="125"/>
      <c r="BC51" s="125"/>
      <c r="BD51" s="125"/>
      <c r="BE51" s="125"/>
      <c r="BF51" s="125"/>
      <c r="BG51" s="125"/>
      <c r="BH51" s="125"/>
      <c r="BI51" s="125"/>
      <c r="BJ51" s="125"/>
      <c r="BK51" s="125"/>
      <c r="BL51" s="125"/>
      <c r="BM51" s="125"/>
      <c r="BN51" s="125"/>
      <c r="BO51" s="125"/>
      <c r="BP51" s="125"/>
      <c r="BQ51" s="125"/>
      <c r="BR51" s="125"/>
      <c r="BS51" s="125"/>
      <c r="BT51" s="125"/>
      <c r="BU51" s="125"/>
      <c r="BV51" s="125"/>
      <c r="BW51" s="125"/>
      <c r="BX51" s="125"/>
      <c r="BY51" s="125"/>
      <c r="BZ51" s="125"/>
      <c r="CA51" s="125"/>
      <c r="CB51" s="125"/>
      <c r="CC51" s="125"/>
      <c r="CD51" s="125"/>
      <c r="CE51" s="125"/>
      <c r="CF51" s="125"/>
      <c r="CG51" s="125"/>
      <c r="CH51" s="125"/>
      <c r="CI51" s="125"/>
      <c r="CJ51" s="125"/>
      <c r="CK51" s="125"/>
      <c r="CL51" s="125"/>
      <c r="CM51" s="125"/>
      <c r="CN51" s="125"/>
      <c r="CO51" s="125"/>
      <c r="CP51" s="125"/>
      <c r="CQ51" s="125"/>
      <c r="CR51" s="125"/>
      <c r="CS51" s="125"/>
      <c r="CT51" s="125"/>
      <c r="CU51" s="125"/>
      <c r="CV51" s="125"/>
      <c r="CW51" s="125"/>
      <c r="CX51" s="125"/>
    </row>
    <row r="52" spans="1:102" s="116" customFormat="1">
      <c r="A52" s="126"/>
      <c r="B52" s="67" t="s">
        <v>114</v>
      </c>
      <c r="C52" s="125">
        <v>0.33679603548253989</v>
      </c>
      <c r="D52" s="125">
        <v>0.33575155911490673</v>
      </c>
      <c r="E52" s="125">
        <v>0.34080662027819408</v>
      </c>
      <c r="F52" s="125">
        <v>0.33866637105665059</v>
      </c>
      <c r="G52" s="125">
        <v>0.33736980140206596</v>
      </c>
      <c r="H52" s="125">
        <v>0.33834766884769663</v>
      </c>
      <c r="I52" s="125">
        <v>0.33454757284763104</v>
      </c>
      <c r="J52" s="125">
        <v>0.33642904441519106</v>
      </c>
      <c r="K52" s="125">
        <v>0.33880736865309063</v>
      </c>
      <c r="L52" s="125">
        <v>0.33485035948645803</v>
      </c>
      <c r="M52" s="125">
        <v>0.34078495401314757</v>
      </c>
      <c r="N52" s="125">
        <v>0.34122084825143156</v>
      </c>
      <c r="O52" s="125">
        <v>0.33520731757685651</v>
      </c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  <c r="AZ52" s="125"/>
      <c r="BA52" s="125"/>
      <c r="BB52" s="125"/>
      <c r="BC52" s="125"/>
      <c r="BD52" s="125"/>
      <c r="BE52" s="125"/>
      <c r="BF52" s="125"/>
      <c r="BG52" s="125"/>
      <c r="BH52" s="125"/>
      <c r="BI52" s="125"/>
      <c r="BJ52" s="125"/>
      <c r="BK52" s="125"/>
      <c r="BL52" s="125"/>
      <c r="BM52" s="125"/>
      <c r="BN52" s="125"/>
      <c r="BO52" s="125"/>
      <c r="BP52" s="125"/>
      <c r="BQ52" s="125"/>
      <c r="BR52" s="125"/>
      <c r="BS52" s="125"/>
      <c r="BT52" s="125"/>
      <c r="BU52" s="125"/>
      <c r="BV52" s="125"/>
      <c r="BW52" s="125"/>
      <c r="BX52" s="125"/>
      <c r="BY52" s="125"/>
      <c r="BZ52" s="125"/>
      <c r="CA52" s="125"/>
      <c r="CB52" s="125"/>
      <c r="CC52" s="125"/>
      <c r="CD52" s="125"/>
      <c r="CE52" s="125"/>
      <c r="CF52" s="125"/>
      <c r="CG52" s="125"/>
      <c r="CH52" s="125"/>
      <c r="CI52" s="125"/>
      <c r="CJ52" s="125"/>
      <c r="CK52" s="125"/>
      <c r="CL52" s="125"/>
      <c r="CM52" s="125"/>
      <c r="CN52" s="125"/>
      <c r="CO52" s="125"/>
      <c r="CP52" s="125"/>
      <c r="CQ52" s="125"/>
      <c r="CR52" s="125"/>
      <c r="CS52" s="125"/>
      <c r="CT52" s="125"/>
      <c r="CU52" s="125"/>
      <c r="CV52" s="125"/>
      <c r="CW52" s="125"/>
      <c r="CX52" s="125"/>
    </row>
    <row r="53" spans="1:102" s="115" customFormat="1">
      <c r="A53" s="108" t="str">
        <f>Parameters!A43</f>
        <v>Vermogenseffect &amp; innovatie</v>
      </c>
      <c r="B53" s="122" t="s">
        <v>29</v>
      </c>
      <c r="C53" s="123">
        <v>7.7650160967602189E-2</v>
      </c>
      <c r="D53" s="123">
        <v>7.9534310514133441E-2</v>
      </c>
      <c r="E53" s="123">
        <v>7.6311248614752608E-2</v>
      </c>
      <c r="F53" s="123">
        <v>7.5889856687509444E-2</v>
      </c>
      <c r="G53" s="123">
        <v>7.6565982802249036E-2</v>
      </c>
      <c r="H53" s="123">
        <v>7.7667846315704767E-2</v>
      </c>
      <c r="I53" s="123">
        <v>7.9497019699113464E-2</v>
      </c>
      <c r="J53" s="123">
        <v>7.7358915672703588E-2</v>
      </c>
      <c r="K53" s="123">
        <v>7.5923541974218384E-2</v>
      </c>
      <c r="L53" s="123">
        <v>8.0667949525528623E-2</v>
      </c>
      <c r="M53" s="123">
        <v>7.6329291982370567E-2</v>
      </c>
      <c r="N53" s="123">
        <v>7.6905470003786516E-2</v>
      </c>
      <c r="O53" s="123">
        <v>7.9261936183712647E-2</v>
      </c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</row>
    <row r="54" spans="1:102">
      <c r="A54" s="23"/>
      <c r="B54" s="14" t="s">
        <v>30</v>
      </c>
      <c r="C54" s="125">
        <v>6.381496212096556E-2</v>
      </c>
      <c r="D54" s="125">
        <v>6.2697838690806501E-2</v>
      </c>
      <c r="E54" s="125">
        <v>6.4328839058767781E-2</v>
      </c>
      <c r="F54" s="125">
        <v>6.474518742816153E-2</v>
      </c>
      <c r="G54" s="125">
        <v>6.4459363302592623E-2</v>
      </c>
      <c r="H54" s="125">
        <v>6.3513755021071844E-2</v>
      </c>
      <c r="I54" s="125">
        <v>6.2839563599901532E-2</v>
      </c>
      <c r="J54" s="125">
        <v>6.411223042138374E-2</v>
      </c>
      <c r="K54" s="125">
        <v>6.4584721886428983E-2</v>
      </c>
      <c r="L54" s="125">
        <v>6.206071646026954E-2</v>
      </c>
      <c r="M54" s="125">
        <v>6.4191931866506444E-2</v>
      </c>
      <c r="N54" s="125">
        <v>6.377332883749956E-2</v>
      </c>
      <c r="O54" s="125">
        <v>6.2898339235391579E-2</v>
      </c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5"/>
      <c r="BA54" s="125"/>
      <c r="BB54" s="125"/>
      <c r="BC54" s="125"/>
      <c r="BD54" s="125"/>
      <c r="BE54" s="125"/>
      <c r="BF54" s="125"/>
      <c r="BG54" s="125"/>
      <c r="BH54" s="125"/>
      <c r="BI54" s="125"/>
      <c r="BJ54" s="125"/>
      <c r="BK54" s="125"/>
      <c r="BL54" s="125"/>
      <c r="BM54" s="125"/>
      <c r="BN54" s="125"/>
      <c r="BO54" s="125"/>
      <c r="BP54" s="125"/>
      <c r="BQ54" s="125"/>
      <c r="BR54" s="125"/>
      <c r="BS54" s="125"/>
      <c r="BT54" s="125"/>
      <c r="BU54" s="125"/>
      <c r="BV54" s="125"/>
      <c r="BW54" s="125"/>
      <c r="BX54" s="125"/>
      <c r="BY54" s="125"/>
      <c r="BZ54" s="125"/>
      <c r="CA54" s="125"/>
      <c r="CB54" s="125"/>
      <c r="CC54" s="125"/>
      <c r="CD54" s="125"/>
      <c r="CE54" s="125"/>
      <c r="CF54" s="125"/>
      <c r="CG54" s="125"/>
      <c r="CH54" s="125"/>
      <c r="CI54" s="125"/>
      <c r="CJ54" s="125"/>
      <c r="CK54" s="125"/>
      <c r="CL54" s="125"/>
      <c r="CM54" s="125"/>
      <c r="CN54" s="125"/>
      <c r="CO54" s="125"/>
      <c r="CP54" s="125"/>
      <c r="CQ54" s="125"/>
      <c r="CR54" s="125"/>
      <c r="CS54" s="125"/>
      <c r="CT54" s="125"/>
      <c r="CU54" s="125"/>
      <c r="CV54" s="125"/>
      <c r="CW54" s="125"/>
      <c r="CX54" s="125"/>
    </row>
    <row r="55" spans="1:102">
      <c r="A55" s="23"/>
      <c r="B55" s="67" t="s">
        <v>56</v>
      </c>
      <c r="C55" s="125">
        <v>0.10979578106527726</v>
      </c>
      <c r="D55" s="125">
        <v>0.10919701768763154</v>
      </c>
      <c r="E55" s="125">
        <v>0.11010248817365026</v>
      </c>
      <c r="F55" s="125">
        <v>0.11039462875568132</v>
      </c>
      <c r="G55" s="125">
        <v>0.1101181504196858</v>
      </c>
      <c r="H55" s="125">
        <v>0.10961201048312642</v>
      </c>
      <c r="I55" s="125">
        <v>0.10917431845509278</v>
      </c>
      <c r="J55" s="125">
        <v>0.10994212094924317</v>
      </c>
      <c r="K55" s="125">
        <v>0.11027052166703183</v>
      </c>
      <c r="L55" s="125">
        <v>0.10878795608210894</v>
      </c>
      <c r="M55" s="125">
        <v>0.10998571485161335</v>
      </c>
      <c r="N55" s="125">
        <v>0.10970289440896601</v>
      </c>
      <c r="O55" s="125">
        <v>0.10921006367705634</v>
      </c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</row>
    <row r="56" spans="1:102">
      <c r="A56" s="126"/>
      <c r="B56" s="67" t="s">
        <v>114</v>
      </c>
      <c r="C56" s="125">
        <v>0.14454984038080429</v>
      </c>
      <c r="D56" s="125">
        <v>0.13370680904740215</v>
      </c>
      <c r="E56" s="125">
        <v>0.15131336708429916</v>
      </c>
      <c r="F56" s="125">
        <v>0.15441512163630633</v>
      </c>
      <c r="G56" s="125">
        <v>0.15087652028903681</v>
      </c>
      <c r="H56" s="125">
        <v>0.14334643961391022</v>
      </c>
      <c r="I56" s="125">
        <v>0.13437544346671756</v>
      </c>
      <c r="J56" s="125">
        <v>0.14671183109221661</v>
      </c>
      <c r="K56" s="125">
        <v>0.15369126626416199</v>
      </c>
      <c r="L56" s="125">
        <v>0.12741612897768151</v>
      </c>
      <c r="M56" s="125">
        <v>0.15073260618893003</v>
      </c>
      <c r="N56" s="125">
        <v>0.14706290645491482</v>
      </c>
      <c r="O56" s="125">
        <v>0.13541074305312525</v>
      </c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  <c r="AZ56" s="125"/>
      <c r="BA56" s="125"/>
      <c r="BB56" s="125"/>
      <c r="BC56" s="125"/>
      <c r="BD56" s="125"/>
      <c r="BE56" s="125"/>
      <c r="BF56" s="125"/>
      <c r="BG56" s="125"/>
      <c r="BH56" s="125"/>
      <c r="BI56" s="125"/>
      <c r="BJ56" s="125"/>
      <c r="BK56" s="125"/>
      <c r="BL56" s="125"/>
      <c r="BM56" s="125"/>
      <c r="BN56" s="125"/>
      <c r="BO56" s="125"/>
      <c r="BP56" s="125"/>
      <c r="BQ56" s="125"/>
      <c r="BR56" s="125"/>
      <c r="BS56" s="125"/>
      <c r="BT56" s="125"/>
      <c r="BU56" s="125"/>
      <c r="BV56" s="125"/>
      <c r="BW56" s="125"/>
      <c r="BX56" s="125"/>
      <c r="BY56" s="125"/>
      <c r="BZ56" s="125"/>
      <c r="CA56" s="125"/>
      <c r="CB56" s="125"/>
      <c r="CC56" s="125"/>
      <c r="CD56" s="125"/>
      <c r="CE56" s="125"/>
      <c r="CF56" s="125"/>
      <c r="CG56" s="125"/>
      <c r="CH56" s="125"/>
      <c r="CI56" s="125"/>
      <c r="CJ56" s="125"/>
      <c r="CK56" s="125"/>
      <c r="CL56" s="125"/>
      <c r="CM56" s="125"/>
      <c r="CN56" s="125"/>
      <c r="CO56" s="125"/>
      <c r="CP56" s="125"/>
      <c r="CQ56" s="125"/>
      <c r="CR56" s="125"/>
      <c r="CS56" s="125"/>
      <c r="CT56" s="125"/>
      <c r="CU56" s="125"/>
      <c r="CV56" s="125"/>
      <c r="CW56" s="125"/>
      <c r="CX56" s="125"/>
    </row>
    <row r="57" spans="1:102">
      <c r="A57" s="108" t="str">
        <f>Parameters!A44</f>
        <v>Schuld deflatie</v>
      </c>
      <c r="B57" s="122" t="s">
        <v>29</v>
      </c>
      <c r="C57" s="123">
        <v>-7.5585443861419369E-2</v>
      </c>
      <c r="D57" s="123">
        <v>-7.6780107063335407E-2</v>
      </c>
      <c r="E57" s="123">
        <v>-7.4767634411255224E-2</v>
      </c>
      <c r="F57" s="123">
        <v>-7.4440734022681448E-2</v>
      </c>
      <c r="G57" s="123">
        <v>-7.4723476131682245E-2</v>
      </c>
      <c r="H57" s="123">
        <v>-7.5983081181427423E-2</v>
      </c>
      <c r="I57" s="123">
        <v>-7.7106339468894114E-2</v>
      </c>
      <c r="J57" s="123">
        <v>-7.5557310637069983E-2</v>
      </c>
      <c r="K57" s="123">
        <v>-7.4523162635114201E-2</v>
      </c>
      <c r="L57" s="123">
        <v>-7.781540883447445E-2</v>
      </c>
      <c r="M57" s="123">
        <v>-7.5060742021578017E-2</v>
      </c>
      <c r="N57" s="123">
        <v>-7.5233221033480444E-2</v>
      </c>
      <c r="O57" s="123">
        <v>-7.6606651880220866E-2</v>
      </c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</row>
    <row r="58" spans="1:102">
      <c r="A58" s="23"/>
      <c r="B58" s="14" t="s">
        <v>30</v>
      </c>
      <c r="C58" s="125">
        <v>8.6562847272425372E-2</v>
      </c>
      <c r="D58" s="125">
        <v>8.711300223636656E-2</v>
      </c>
      <c r="E58" s="125">
        <v>8.7006938559357108E-2</v>
      </c>
      <c r="F58" s="125">
        <v>8.5899125724866465E-2</v>
      </c>
      <c r="G58" s="125">
        <v>8.5900264223402925E-2</v>
      </c>
      <c r="H58" s="125">
        <v>8.7382637990964365E-2</v>
      </c>
      <c r="I58" s="125">
        <v>8.7147431432720412E-2</v>
      </c>
      <c r="J58" s="125">
        <v>8.6408884535026514E-2</v>
      </c>
      <c r="K58" s="125">
        <v>8.6057214770694362E-2</v>
      </c>
      <c r="L58" s="125">
        <v>8.7471780477458697E-2</v>
      </c>
      <c r="M58" s="125">
        <v>8.7095514612791622E-2</v>
      </c>
      <c r="N58" s="125">
        <v>8.7272769958287741E-2</v>
      </c>
      <c r="O58" s="125">
        <v>8.6649924618785956E-2</v>
      </c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  <c r="AZ58" s="125"/>
      <c r="BA58" s="125"/>
      <c r="BB58" s="125"/>
      <c r="BC58" s="125"/>
      <c r="BD58" s="125"/>
      <c r="BE58" s="125"/>
      <c r="BF58" s="125"/>
      <c r="BG58" s="125"/>
      <c r="BH58" s="125"/>
      <c r="BI58" s="125"/>
      <c r="BJ58" s="125"/>
      <c r="BK58" s="125"/>
      <c r="BL58" s="125"/>
      <c r="BM58" s="125"/>
      <c r="BN58" s="125"/>
      <c r="BO58" s="125"/>
      <c r="BP58" s="125"/>
      <c r="BQ58" s="125"/>
      <c r="BR58" s="125"/>
      <c r="BS58" s="125"/>
      <c r="BT58" s="125"/>
      <c r="BU58" s="125"/>
      <c r="BV58" s="125"/>
      <c r="BW58" s="125"/>
      <c r="BX58" s="125"/>
      <c r="BY58" s="125"/>
      <c r="BZ58" s="125"/>
      <c r="CA58" s="125"/>
      <c r="CB58" s="125"/>
      <c r="CC58" s="125"/>
      <c r="CD58" s="125"/>
      <c r="CE58" s="125"/>
      <c r="CF58" s="125"/>
      <c r="CG58" s="125"/>
      <c r="CH58" s="125"/>
      <c r="CI58" s="125"/>
      <c r="CJ58" s="125"/>
      <c r="CK58" s="125"/>
      <c r="CL58" s="125"/>
      <c r="CM58" s="125"/>
      <c r="CN58" s="125"/>
      <c r="CO58" s="125"/>
      <c r="CP58" s="125"/>
      <c r="CQ58" s="125"/>
      <c r="CR58" s="125"/>
      <c r="CS58" s="125"/>
      <c r="CT58" s="125"/>
      <c r="CU58" s="125"/>
      <c r="CV58" s="125"/>
      <c r="CW58" s="125"/>
      <c r="CX58" s="125"/>
    </row>
    <row r="59" spans="1:102">
      <c r="A59" s="23"/>
      <c r="B59" s="67" t="s">
        <v>56</v>
      </c>
      <c r="C59" s="125">
        <v>9.3084711618718952E-2</v>
      </c>
      <c r="D59" s="125">
        <v>9.3409073143081528E-2</v>
      </c>
      <c r="E59" s="125">
        <v>9.3314638921034782E-2</v>
      </c>
      <c r="F59" s="125">
        <v>9.2764814213923644E-2</v>
      </c>
      <c r="G59" s="125">
        <v>9.2667887549344047E-2</v>
      </c>
      <c r="H59" s="125">
        <v>9.3572287912552607E-2</v>
      </c>
      <c r="I59" s="125">
        <v>9.3432064177339916E-2</v>
      </c>
      <c r="J59" s="125">
        <v>9.3078590841338349E-2</v>
      </c>
      <c r="K59" s="125">
        <v>9.2776747772882806E-2</v>
      </c>
      <c r="L59" s="125">
        <v>9.359455629502475E-2</v>
      </c>
      <c r="M59" s="125">
        <v>9.3303965308994083E-2</v>
      </c>
      <c r="N59" s="125">
        <v>9.3257197410080692E-2</v>
      </c>
      <c r="O59" s="125">
        <v>9.3043041099657733E-2</v>
      </c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  <c r="AZ59" s="125"/>
      <c r="BA59" s="125"/>
      <c r="BB59" s="125"/>
      <c r="BC59" s="125"/>
      <c r="BD59" s="125"/>
      <c r="BE59" s="125"/>
      <c r="BF59" s="125"/>
      <c r="BG59" s="125"/>
      <c r="BH59" s="125"/>
      <c r="BI59" s="125"/>
      <c r="BJ59" s="125"/>
      <c r="BK59" s="125"/>
      <c r="BL59" s="125"/>
      <c r="BM59" s="125"/>
      <c r="BN59" s="125"/>
      <c r="BO59" s="125"/>
      <c r="BP59" s="125"/>
      <c r="BQ59" s="125"/>
      <c r="BR59" s="125"/>
      <c r="BS59" s="125"/>
      <c r="BT59" s="125"/>
      <c r="BU59" s="125"/>
      <c r="BV59" s="125"/>
      <c r="BW59" s="125"/>
      <c r="BX59" s="125"/>
      <c r="BY59" s="125"/>
      <c r="BZ59" s="125"/>
      <c r="CA59" s="125"/>
      <c r="CB59" s="125"/>
      <c r="CC59" s="125"/>
      <c r="CD59" s="125"/>
      <c r="CE59" s="125"/>
      <c r="CF59" s="125"/>
      <c r="CG59" s="125"/>
      <c r="CH59" s="125"/>
      <c r="CI59" s="125"/>
      <c r="CJ59" s="125"/>
      <c r="CK59" s="125"/>
      <c r="CL59" s="125"/>
      <c r="CM59" s="125"/>
      <c r="CN59" s="125"/>
      <c r="CO59" s="125"/>
      <c r="CP59" s="125"/>
      <c r="CQ59" s="125"/>
      <c r="CR59" s="125"/>
      <c r="CS59" s="125"/>
      <c r="CT59" s="125"/>
      <c r="CU59" s="125"/>
      <c r="CV59" s="125"/>
      <c r="CW59" s="125"/>
      <c r="CX59" s="125"/>
    </row>
    <row r="60" spans="1:102">
      <c r="A60" s="126"/>
      <c r="B60" s="67" t="s">
        <v>114</v>
      </c>
      <c r="C60" s="125">
        <v>0.83859716787783001</v>
      </c>
      <c r="D60" s="125">
        <v>0.84041830807359708</v>
      </c>
      <c r="E60" s="125">
        <v>0.83503699580358981</v>
      </c>
      <c r="F60" s="125">
        <v>0.83720170492635215</v>
      </c>
      <c r="G60" s="125">
        <v>0.83800717011640147</v>
      </c>
      <c r="H60" s="125">
        <v>0.83743820741459496</v>
      </c>
      <c r="I60" s="125">
        <v>0.84123062455880726</v>
      </c>
      <c r="J60" s="125">
        <v>0.83894833399212287</v>
      </c>
      <c r="K60" s="125">
        <v>0.83699294371182975</v>
      </c>
      <c r="L60" s="125">
        <v>0.84229344839481946</v>
      </c>
      <c r="M60" s="125">
        <v>0.83562566614237122</v>
      </c>
      <c r="N60" s="125">
        <v>0.83562386386111787</v>
      </c>
      <c r="O60" s="125">
        <v>0.84122387636811191</v>
      </c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</row>
    <row r="61" spans="1:102">
      <c r="A61" s="128" t="str">
        <f>Parameters!A45</f>
        <v>Kansgewogen</v>
      </c>
      <c r="B61" s="122" t="s">
        <v>29</v>
      </c>
      <c r="C61" s="123">
        <v>1.0065784912587691E-2</v>
      </c>
      <c r="D61" s="123">
        <v>1.0065535965595736E-2</v>
      </c>
      <c r="E61" s="123">
        <v>1.0045688728936077E-2</v>
      </c>
      <c r="F61" s="123">
        <v>1.002758785527747E-2</v>
      </c>
      <c r="G61" s="123">
        <v>1.0025111805522201E-2</v>
      </c>
      <c r="H61" s="123">
        <v>1.0022788695891868E-2</v>
      </c>
      <c r="I61" s="123">
        <v>1.0022651454428318E-2</v>
      </c>
      <c r="J61" s="123">
        <v>1.0021678905711044E-2</v>
      </c>
      <c r="K61" s="123">
        <v>1.0013498844895798E-2</v>
      </c>
      <c r="L61" s="123">
        <v>1.0012109689205854E-2</v>
      </c>
      <c r="M61" s="123">
        <v>1.0010983307588631E-2</v>
      </c>
      <c r="N61" s="123">
        <v>1.0010862286105817E-2</v>
      </c>
      <c r="O61" s="123">
        <v>1.0006398334218788E-2</v>
      </c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</row>
    <row r="62" spans="1:102">
      <c r="A62" s="23"/>
      <c r="B62" s="14" t="s">
        <v>30</v>
      </c>
      <c r="C62" s="125">
        <v>7.9881048106354796E-2</v>
      </c>
      <c r="D62" s="125">
        <v>7.9909166717741717E-2</v>
      </c>
      <c r="E62" s="125">
        <v>7.9958905056245325E-2</v>
      </c>
      <c r="F62" s="125">
        <v>7.9742759616602196E-2</v>
      </c>
      <c r="G62" s="125">
        <v>7.9704317896002283E-2</v>
      </c>
      <c r="H62" s="125">
        <v>7.9981679249240809E-2</v>
      </c>
      <c r="I62" s="125">
        <v>7.9977159354935032E-2</v>
      </c>
      <c r="J62" s="125">
        <v>7.984488341123698E-2</v>
      </c>
      <c r="K62" s="125">
        <v>7.9725367611945291E-2</v>
      </c>
      <c r="L62" s="125">
        <v>7.9995780983148107E-2</v>
      </c>
      <c r="M62" s="125">
        <v>7.9992035670655354E-2</v>
      </c>
      <c r="N62" s="125">
        <v>7.9956992272190608E-2</v>
      </c>
      <c r="O62" s="125">
        <v>7.9761745619230967E-2</v>
      </c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  <c r="AZ62" s="125"/>
      <c r="BA62" s="125"/>
      <c r="BB62" s="125"/>
      <c r="BC62" s="125"/>
      <c r="BD62" s="125"/>
      <c r="BE62" s="125"/>
      <c r="BF62" s="125"/>
      <c r="BG62" s="125"/>
      <c r="BH62" s="125"/>
      <c r="BI62" s="125"/>
      <c r="BJ62" s="125"/>
      <c r="BK62" s="125"/>
      <c r="BL62" s="125"/>
      <c r="BM62" s="125"/>
      <c r="BN62" s="125"/>
      <c r="BO62" s="125"/>
      <c r="BP62" s="125"/>
      <c r="BQ62" s="125"/>
      <c r="BR62" s="125"/>
      <c r="BS62" s="125"/>
      <c r="BT62" s="125"/>
      <c r="BU62" s="125"/>
      <c r="BV62" s="125"/>
      <c r="BW62" s="125"/>
      <c r="BX62" s="125"/>
      <c r="BY62" s="125"/>
      <c r="BZ62" s="125"/>
      <c r="CA62" s="125"/>
      <c r="CB62" s="125"/>
      <c r="CC62" s="125"/>
      <c r="CD62" s="125"/>
      <c r="CE62" s="125"/>
      <c r="CF62" s="125"/>
      <c r="CG62" s="125"/>
      <c r="CH62" s="125"/>
      <c r="CI62" s="125"/>
      <c r="CJ62" s="125"/>
      <c r="CK62" s="125"/>
      <c r="CL62" s="125"/>
      <c r="CM62" s="125"/>
      <c r="CN62" s="125"/>
      <c r="CO62" s="125"/>
      <c r="CP62" s="125"/>
      <c r="CQ62" s="125"/>
      <c r="CR62" s="125"/>
      <c r="CS62" s="125"/>
      <c r="CT62" s="125"/>
      <c r="CU62" s="125"/>
      <c r="CV62" s="125"/>
      <c r="CW62" s="125"/>
      <c r="CX62" s="125"/>
    </row>
    <row r="63" spans="1:102">
      <c r="A63" s="23"/>
      <c r="B63" s="67" t="s">
        <v>56</v>
      </c>
      <c r="C63" s="125">
        <v>0.1091212613425457</v>
      </c>
      <c r="D63" s="125">
        <v>0.10888570509732806</v>
      </c>
      <c r="E63" s="125">
        <v>0.10930618465476001</v>
      </c>
      <c r="F63" s="125">
        <v>0.10936465176680223</v>
      </c>
      <c r="G63" s="125">
        <v>0.1091344519459594</v>
      </c>
      <c r="H63" s="125">
        <v>0.10907761102389726</v>
      </c>
      <c r="I63" s="125">
        <v>0.1088066000015203</v>
      </c>
      <c r="J63" s="125">
        <v>0.10911547174169345</v>
      </c>
      <c r="K63" s="125">
        <v>0.10926935407869891</v>
      </c>
      <c r="L63" s="125">
        <v>0.10868937386149198</v>
      </c>
      <c r="M63" s="125">
        <v>0.10925487903905443</v>
      </c>
      <c r="N63" s="125">
        <v>0.10907813659275396</v>
      </c>
      <c r="O63" s="125">
        <v>0.10872948335262003</v>
      </c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  <c r="BK63" s="125"/>
      <c r="BL63" s="125"/>
      <c r="BM63" s="125"/>
      <c r="BN63" s="125"/>
      <c r="BO63" s="125"/>
      <c r="BP63" s="125"/>
      <c r="BQ63" s="125"/>
      <c r="BR63" s="125"/>
      <c r="BS63" s="125"/>
      <c r="BT63" s="125"/>
      <c r="BU63" s="125"/>
      <c r="BV63" s="125"/>
      <c r="BW63" s="125"/>
      <c r="BX63" s="125"/>
      <c r="BY63" s="125"/>
      <c r="BZ63" s="125"/>
      <c r="CA63" s="125"/>
      <c r="CB63" s="125"/>
      <c r="CC63" s="125"/>
      <c r="CD63" s="125"/>
      <c r="CE63" s="125"/>
      <c r="CF63" s="125"/>
      <c r="CG63" s="125"/>
      <c r="CH63" s="125"/>
      <c r="CI63" s="125"/>
      <c r="CJ63" s="125"/>
      <c r="CK63" s="125"/>
      <c r="CL63" s="125"/>
      <c r="CM63" s="125"/>
      <c r="CN63" s="125"/>
      <c r="CO63" s="125"/>
      <c r="CP63" s="125"/>
      <c r="CQ63" s="125"/>
      <c r="CR63" s="125"/>
      <c r="CS63" s="125"/>
      <c r="CT63" s="125"/>
      <c r="CU63" s="125"/>
      <c r="CV63" s="125"/>
      <c r="CW63" s="125"/>
      <c r="CX63" s="125"/>
    </row>
    <row r="64" spans="1:102">
      <c r="A64" s="126"/>
      <c r="B64" s="129" t="s">
        <v>114</v>
      </c>
      <c r="C64" s="127">
        <v>0.47665493763299926</v>
      </c>
      <c r="D64" s="127">
        <v>0.47573986797023216</v>
      </c>
      <c r="E64" s="127">
        <v>0.4769718937316304</v>
      </c>
      <c r="F64" s="127">
        <v>0.47780632186908523</v>
      </c>
      <c r="G64" s="127">
        <v>0.47766469024248959</v>
      </c>
      <c r="H64" s="127">
        <v>0.47621649393321097</v>
      </c>
      <c r="I64" s="127">
        <v>0.47589379678282262</v>
      </c>
      <c r="J64" s="127">
        <v>0.47709813851377592</v>
      </c>
      <c r="K64" s="127">
        <v>0.47768214660770947</v>
      </c>
      <c r="L64" s="127">
        <v>0.47540546344370038</v>
      </c>
      <c r="M64" s="127">
        <v>0.47691504180307104</v>
      </c>
      <c r="N64" s="127">
        <v>0.47664298613646305</v>
      </c>
      <c r="O64" s="127">
        <v>0.47636084667303136</v>
      </c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127"/>
      <c r="AG64" s="127"/>
      <c r="AH64" s="127"/>
      <c r="AI64" s="127"/>
      <c r="AJ64" s="127"/>
      <c r="AK64" s="127"/>
      <c r="AL64" s="127"/>
      <c r="AM64" s="127"/>
      <c r="AN64" s="127"/>
      <c r="AO64" s="127"/>
      <c r="AP64" s="127"/>
      <c r="AQ64" s="127"/>
      <c r="AR64" s="127"/>
      <c r="AS64" s="127"/>
      <c r="AT64" s="127"/>
      <c r="AU64" s="127"/>
      <c r="AV64" s="127"/>
      <c r="AW64" s="127"/>
      <c r="AX64" s="127"/>
      <c r="AY64" s="127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27"/>
      <c r="BY64" s="127"/>
      <c r="BZ64" s="127"/>
      <c r="CA64" s="127"/>
      <c r="CB64" s="127"/>
      <c r="CC64" s="127"/>
      <c r="CD64" s="127"/>
      <c r="CE64" s="127"/>
      <c r="CF64" s="127"/>
      <c r="CG64" s="127"/>
      <c r="CH64" s="127"/>
      <c r="CI64" s="127"/>
      <c r="CJ64" s="127"/>
      <c r="CK64" s="127"/>
      <c r="CL64" s="127"/>
      <c r="CM64" s="127"/>
      <c r="CN64" s="127"/>
      <c r="CO64" s="127"/>
      <c r="CP64" s="127"/>
      <c r="CQ64" s="127"/>
      <c r="CR64" s="127"/>
      <c r="CS64" s="127"/>
      <c r="CT64" s="127"/>
      <c r="CU64" s="127"/>
      <c r="CV64" s="127"/>
      <c r="CW64" s="127"/>
      <c r="CX64" s="127"/>
    </row>
    <row r="65" spans="1:102">
      <c r="A65" s="23"/>
      <c r="B65" s="130"/>
      <c r="C65" s="125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</row>
    <row r="66" spans="1:102">
      <c r="C66" s="132"/>
    </row>
    <row r="67" spans="1:102">
      <c r="C67" s="132"/>
    </row>
    <row r="68" spans="1:102">
      <c r="C68" s="132"/>
    </row>
    <row r="69" spans="1:102">
      <c r="C69" s="132"/>
    </row>
    <row r="70" spans="1:102">
      <c r="C70" s="132"/>
    </row>
    <row r="71" spans="1:102">
      <c r="C71" s="132"/>
    </row>
    <row r="77" spans="1:102">
      <c r="C77" s="132"/>
    </row>
    <row r="81" spans="3:3">
      <c r="C81" s="132"/>
    </row>
    <row r="87" spans="3:3">
      <c r="C87" s="132"/>
    </row>
    <row r="91" spans="3:3">
      <c r="C91" s="132"/>
    </row>
    <row r="97" spans="3:3">
      <c r="C97" s="132"/>
    </row>
    <row r="101" spans="3:3">
      <c r="C101" s="132"/>
    </row>
    <row r="107" spans="3:3">
      <c r="C107" s="132"/>
    </row>
    <row r="111" spans="3:3">
      <c r="C111" s="132"/>
    </row>
    <row r="117" spans="3:3">
      <c r="C117" s="132"/>
    </row>
    <row r="121" spans="3:3">
      <c r="C121" s="132"/>
    </row>
    <row r="127" spans="3:3">
      <c r="C127" s="132"/>
    </row>
    <row r="129" spans="3:3">
      <c r="C129" s="132"/>
    </row>
    <row r="131" spans="3:3">
      <c r="C131" s="132"/>
    </row>
    <row r="139" spans="3:3">
      <c r="C139" s="132"/>
    </row>
    <row r="141" spans="3:3">
      <c r="C141" s="132"/>
    </row>
    <row r="151" spans="3:3">
      <c r="C151" s="132"/>
    </row>
  </sheetData>
  <mergeCells count="33">
    <mergeCell ref="A29:B29"/>
    <mergeCell ref="A30:B30"/>
    <mergeCell ref="A31:B31"/>
    <mergeCell ref="A32:B32"/>
    <mergeCell ref="A37:B37"/>
    <mergeCell ref="A33:B33"/>
    <mergeCell ref="A34:B34"/>
    <mergeCell ref="A35:B35"/>
    <mergeCell ref="A36:B36"/>
    <mergeCell ref="A28:B28"/>
    <mergeCell ref="A20:B20"/>
    <mergeCell ref="A21:B21"/>
    <mergeCell ref="A22:B22"/>
    <mergeCell ref="A23:B23"/>
    <mergeCell ref="A27:B27"/>
    <mergeCell ref="A16:B16"/>
    <mergeCell ref="A17:B17"/>
    <mergeCell ref="A18:B18"/>
    <mergeCell ref="A19:B19"/>
    <mergeCell ref="A24:B24"/>
    <mergeCell ref="A25:B25"/>
    <mergeCell ref="A9:B9"/>
    <mergeCell ref="A10:B10"/>
    <mergeCell ref="A11:B11"/>
    <mergeCell ref="A12:B12"/>
    <mergeCell ref="A13:B13"/>
    <mergeCell ref="A15:B15"/>
    <mergeCell ref="A3:B3"/>
    <mergeCell ref="A4:B4"/>
    <mergeCell ref="A5:B5"/>
    <mergeCell ref="A6:B6"/>
    <mergeCell ref="A7:B7"/>
    <mergeCell ref="A8:B8"/>
  </mergeCells>
  <phoneticPr fontId="2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3" enableFormatConditionsCalculation="0">
    <tabColor indexed="51"/>
  </sheetPr>
  <dimension ref="A1:AK78"/>
  <sheetViews>
    <sheetView topLeftCell="A40" workbookViewId="0">
      <selection activeCell="A69" sqref="A69"/>
    </sheetView>
  </sheetViews>
  <sheetFormatPr defaultRowHeight="12.75"/>
  <cols>
    <col min="1" max="1" width="32.28515625" customWidth="1"/>
    <col min="2" max="2" width="18.140625" customWidth="1"/>
    <col min="3" max="6" width="13.42578125" customWidth="1"/>
    <col min="19" max="19" width="29.7109375" customWidth="1"/>
    <col min="27" max="27" width="20.28515625" customWidth="1"/>
    <col min="32" max="32" width="18.7109375" customWidth="1"/>
  </cols>
  <sheetData>
    <row r="1" spans="1:31">
      <c r="A1" s="2" t="s">
        <v>134</v>
      </c>
    </row>
    <row r="2" spans="1:31">
      <c r="A2" s="102"/>
      <c r="D2" s="247" t="s">
        <v>136</v>
      </c>
      <c r="E2" s="256"/>
      <c r="F2" s="248"/>
      <c r="G2" s="247" t="s">
        <v>137</v>
      </c>
      <c r="H2" s="256"/>
      <c r="I2" s="256"/>
      <c r="J2" s="256"/>
      <c r="K2" s="256"/>
      <c r="L2" s="256"/>
      <c r="M2" s="256"/>
      <c r="N2" s="256"/>
      <c r="O2" s="256"/>
      <c r="P2" s="248"/>
      <c r="T2" s="163" t="s">
        <v>174</v>
      </c>
      <c r="U2" s="163" t="s">
        <v>119</v>
      </c>
      <c r="V2" s="163" t="s">
        <v>143</v>
      </c>
      <c r="X2" s="163" t="s">
        <v>169</v>
      </c>
    </row>
    <row r="3" spans="1:31">
      <c r="A3" s="108" t="str">
        <f>Parameters!A40</f>
        <v>Basis</v>
      </c>
      <c r="B3" s="109" t="s">
        <v>135</v>
      </c>
      <c r="C3" s="17" t="s">
        <v>117</v>
      </c>
      <c r="D3" s="134">
        <v>0.25</v>
      </c>
      <c r="E3" s="133">
        <v>0.5</v>
      </c>
      <c r="F3" s="135">
        <v>0.75</v>
      </c>
      <c r="G3" s="148">
        <v>0.41182132432853014</v>
      </c>
      <c r="H3" s="149">
        <v>0.17710477529249946</v>
      </c>
      <c r="I3" s="148">
        <v>0.12668223828968717</v>
      </c>
      <c r="J3" s="148">
        <v>0.10731255628352321</v>
      </c>
      <c r="K3" s="148">
        <v>8.9739555551843209E-2</v>
      </c>
      <c r="L3" s="148">
        <v>4.5137501357789711E-2</v>
      </c>
      <c r="M3" s="148">
        <v>4.0411004697542663E-2</v>
      </c>
      <c r="N3" s="148">
        <v>1.7910441985872216E-3</v>
      </c>
      <c r="O3" s="148">
        <v>0</v>
      </c>
      <c r="P3" s="150">
        <v>0</v>
      </c>
      <c r="S3" s="21" t="str">
        <f>A3</f>
        <v>Basis</v>
      </c>
      <c r="T3" s="21">
        <f>B4</f>
        <v>0.61534288117132652</v>
      </c>
      <c r="U3" s="28">
        <f>B5</f>
        <v>2.2393905916837906E-2</v>
      </c>
      <c r="V3" s="21">
        <f>1-T3-U3</f>
        <v>0.36226321291183555</v>
      </c>
      <c r="X3" s="21">
        <v>0</v>
      </c>
      <c r="AA3" t="str">
        <f>A4</f>
        <v>Nominale matching</v>
      </c>
      <c r="AB3" s="28">
        <f>D4</f>
        <v>0.55848299942109558</v>
      </c>
      <c r="AC3" s="28">
        <f>B4-D4</f>
        <v>5.6859881750230934E-2</v>
      </c>
      <c r="AD3" s="28">
        <f>F4-B4</f>
        <v>6.2488582417931982E-2</v>
      </c>
      <c r="AE3" s="28"/>
    </row>
    <row r="4" spans="1:31">
      <c r="A4" s="14" t="str">
        <f>Parameters!A50</f>
        <v>Nominale matching</v>
      </c>
      <c r="B4" s="101">
        <v>0.61534288117132652</v>
      </c>
      <c r="C4" s="16">
        <v>8.0313774837068877E-2</v>
      </c>
      <c r="D4" s="81">
        <v>0.55848299942109558</v>
      </c>
      <c r="E4" s="101">
        <v>0.62119030996514946</v>
      </c>
      <c r="F4" s="140">
        <v>0.6778314635892585</v>
      </c>
      <c r="G4" s="111">
        <v>1</v>
      </c>
      <c r="H4" s="111">
        <v>4.1812631397830348E-2</v>
      </c>
      <c r="I4" s="111">
        <v>-1.2381448504154341E-2</v>
      </c>
      <c r="J4" s="111">
        <v>-0.5962244640875769</v>
      </c>
      <c r="K4" s="111">
        <v>7.7486801400141721E-3</v>
      </c>
      <c r="L4" s="111">
        <v>-0.3138201604327075</v>
      </c>
      <c r="M4" s="111">
        <v>-0.18827009409363962</v>
      </c>
      <c r="N4" s="111">
        <v>-0.69624363200468509</v>
      </c>
      <c r="O4" s="111">
        <v>0.15584899290892298</v>
      </c>
      <c r="P4" s="112">
        <v>-0.71294083482493653</v>
      </c>
      <c r="S4" s="21" t="str">
        <f>A16</f>
        <v>Groei recessie</v>
      </c>
      <c r="T4" s="21">
        <f>B17</f>
        <v>0.58606388234551088</v>
      </c>
      <c r="U4" s="28">
        <f>B18</f>
        <v>7.3071607137562286E-3</v>
      </c>
      <c r="V4" s="21">
        <f>1-T4-U4</f>
        <v>0.40662895694073287</v>
      </c>
      <c r="X4" s="216">
        <v>0.6</v>
      </c>
      <c r="AA4" t="str">
        <f>A5</f>
        <v>Reele matching</v>
      </c>
      <c r="AB4" s="28">
        <f>D5</f>
        <v>8.0024247076160331E-5</v>
      </c>
      <c r="AC4" s="28">
        <f>B5-D5</f>
        <v>2.2313881669761747E-2</v>
      </c>
      <c r="AD4" s="28">
        <f>F5-B5</f>
        <v>7.0489317321891336E-3</v>
      </c>
      <c r="AE4" s="28"/>
    </row>
    <row r="5" spans="1:31">
      <c r="A5" s="14" t="str">
        <f>Parameters!A51</f>
        <v>Reele matching</v>
      </c>
      <c r="B5" s="101">
        <v>2.2393905916837906E-2</v>
      </c>
      <c r="C5" s="16">
        <v>3.1638511460655945E-2</v>
      </c>
      <c r="D5" s="81">
        <v>8.0024247076160331E-5</v>
      </c>
      <c r="E5" s="101">
        <v>7.9061107484221845E-3</v>
      </c>
      <c r="F5" s="140">
        <v>2.944283764902704E-2</v>
      </c>
      <c r="G5" s="111">
        <v>-0.11191118213845667</v>
      </c>
      <c r="H5" s="111">
        <v>2.4701070039015987E-2</v>
      </c>
      <c r="I5" s="111">
        <v>-4.3852554993377202E-2</v>
      </c>
      <c r="J5" s="111">
        <v>0.29045675671795501</v>
      </c>
      <c r="K5" s="111">
        <v>0.14869053091233303</v>
      </c>
      <c r="L5" s="111">
        <v>0.53922798482961221</v>
      </c>
      <c r="M5" s="111">
        <v>1</v>
      </c>
      <c r="N5" s="111">
        <v>-0.65208815114086383</v>
      </c>
      <c r="O5" s="111">
        <v>0.15584899290892285</v>
      </c>
      <c r="P5" s="112">
        <v>-0.7129408348249372</v>
      </c>
      <c r="S5" s="21" t="str">
        <f>A29</f>
        <v>Inflatie is een fiscaal verschijnsel</v>
      </c>
      <c r="T5" s="21">
        <f>B30</f>
        <v>0.37382261054515575</v>
      </c>
      <c r="U5" s="21">
        <f>B31</f>
        <v>0.38268738606757879</v>
      </c>
      <c r="V5" s="21">
        <f>1-T5-U5</f>
        <v>0.24349000338726545</v>
      </c>
      <c r="X5" s="216">
        <v>0.1</v>
      </c>
      <c r="AA5" t="s">
        <v>4</v>
      </c>
      <c r="AB5" s="28">
        <f>D7</f>
        <v>2.1135217939597731E-3</v>
      </c>
      <c r="AC5" s="28">
        <f>B7-D7</f>
        <v>6.2908038177110298E-2</v>
      </c>
      <c r="AD5" s="28">
        <f>F7-B7</f>
        <v>4.0078895425541786E-2</v>
      </c>
      <c r="AE5" s="28"/>
    </row>
    <row r="6" spans="1:31">
      <c r="A6" s="14" t="str">
        <f>Parameters!A52</f>
        <v>Credits</v>
      </c>
      <c r="B6" s="101">
        <v>0</v>
      </c>
      <c r="C6" s="16">
        <v>0</v>
      </c>
      <c r="D6" s="81">
        <v>0</v>
      </c>
      <c r="E6" s="101">
        <v>0</v>
      </c>
      <c r="F6" s="140">
        <v>0</v>
      </c>
      <c r="G6" s="111">
        <v>-6.1372371059437557E-19</v>
      </c>
      <c r="H6" s="111">
        <v>-1.8382139539934197E-16</v>
      </c>
      <c r="I6" s="111">
        <v>3.0392071481061404E-17</v>
      </c>
      <c r="J6" s="111">
        <v>-4.8025596007391676E-17</v>
      </c>
      <c r="K6" s="111">
        <v>2.0829409526161633E-16</v>
      </c>
      <c r="L6" s="111">
        <v>0</v>
      </c>
      <c r="M6" s="111">
        <v>7.6927115059310841E-17</v>
      </c>
      <c r="N6" s="111">
        <v>1.9856025646701162E-15</v>
      </c>
      <c r="O6" s="111">
        <v>1</v>
      </c>
      <c r="P6" s="112">
        <v>1</v>
      </c>
      <c r="S6" s="21" t="str">
        <f>A42</f>
        <v>Vermogenseffect &amp; innovatie</v>
      </c>
      <c r="T6" s="21">
        <f>B43</f>
        <v>0.56293516182923486</v>
      </c>
      <c r="U6" s="21">
        <f>B44</f>
        <v>1.1494241199083169E-2</v>
      </c>
      <c r="V6" s="21">
        <f>1-T6-U6</f>
        <v>0.42557059697168198</v>
      </c>
      <c r="X6" s="216">
        <v>0.15</v>
      </c>
      <c r="AA6" t="s">
        <v>175</v>
      </c>
      <c r="AB6" s="28">
        <f t="shared" ref="AB6:AB11" si="0">D8</f>
        <v>2.3653538284595048E-4</v>
      </c>
      <c r="AC6" s="28">
        <f t="shared" ref="AC6:AC11" si="1">B8-D8</f>
        <v>4.2774826380917327E-2</v>
      </c>
      <c r="AD6" s="28">
        <f t="shared" ref="AD6:AD11" si="2">F8-B8</f>
        <v>2.7721756909363647E-2</v>
      </c>
      <c r="AE6" s="28"/>
    </row>
    <row r="7" spans="1:31">
      <c r="A7" s="14" t="str">
        <f>Parameters!A53</f>
        <v>High Yield</v>
      </c>
      <c r="B7" s="101">
        <v>6.5021559971070064E-2</v>
      </c>
      <c r="C7" s="16">
        <v>6.5327462122974161E-2</v>
      </c>
      <c r="D7" s="81">
        <v>2.1135217939597731E-3</v>
      </c>
      <c r="E7" s="101">
        <v>5.4813180063704767E-2</v>
      </c>
      <c r="F7" s="140">
        <v>0.10510045539661185</v>
      </c>
      <c r="G7" s="111">
        <v>-0.51730257822273995</v>
      </c>
      <c r="H7" s="111">
        <v>-0.89730677659019775</v>
      </c>
      <c r="I7" s="111">
        <v>-0.40198564046413221</v>
      </c>
      <c r="J7" s="111">
        <v>-0.36665904889382239</v>
      </c>
      <c r="K7" s="111">
        <v>0.93878144927998242</v>
      </c>
      <c r="L7" s="111">
        <v>-0.47389885125165326</v>
      </c>
      <c r="M7" s="111">
        <v>-2.1462655960267387E-2</v>
      </c>
      <c r="N7" s="111">
        <v>-1.4763648537434173E-2</v>
      </c>
      <c r="O7" s="111">
        <v>0.15584899290892135</v>
      </c>
      <c r="P7" s="112">
        <v>-0.7129408348249312</v>
      </c>
      <c r="S7" s="21" t="str">
        <f>A55</f>
        <v>Schuld deflatie</v>
      </c>
      <c r="T7" s="21">
        <f>B56-V7</f>
        <v>0.89999992443495458</v>
      </c>
      <c r="U7" s="21">
        <f>B57</f>
        <v>2.7148566153486209E-8</v>
      </c>
      <c r="V7" s="21">
        <v>0.1</v>
      </c>
      <c r="X7" s="216">
        <v>0.15</v>
      </c>
      <c r="AA7" t="s">
        <v>176</v>
      </c>
      <c r="AB7" s="28">
        <f t="shared" si="0"/>
        <v>4.4641897398864433E-3</v>
      </c>
      <c r="AC7" s="28">
        <f t="shared" si="1"/>
        <v>5.5982585173242373E-2</v>
      </c>
      <c r="AD7" s="28">
        <f t="shared" si="2"/>
        <v>3.9084557683008878E-2</v>
      </c>
      <c r="AE7" s="28"/>
    </row>
    <row r="8" spans="1:31">
      <c r="A8" s="14" t="str">
        <f>Parameters!A54</f>
        <v>Emerging market debt</v>
      </c>
      <c r="B8" s="101">
        <v>4.301136176376328E-2</v>
      </c>
      <c r="C8" s="16">
        <v>5.279068765712179E-2</v>
      </c>
      <c r="D8" s="81">
        <v>2.3653538284595048E-4</v>
      </c>
      <c r="E8" s="101">
        <v>1.7330685339479207E-2</v>
      </c>
      <c r="F8" s="140">
        <v>7.0733118673126927E-2</v>
      </c>
      <c r="G8" s="111">
        <v>8.1482196165271623E-2</v>
      </c>
      <c r="H8" s="111">
        <v>-0.18568492549205093</v>
      </c>
      <c r="I8" s="111">
        <v>-0.80653008376671842</v>
      </c>
      <c r="J8" s="111">
        <v>1</v>
      </c>
      <c r="K8" s="111">
        <v>-0.8160321606429437</v>
      </c>
      <c r="L8" s="111">
        <v>-4.0455474322913083E-2</v>
      </c>
      <c r="M8" s="111">
        <v>-0.34981209299203742</v>
      </c>
      <c r="N8" s="111">
        <v>-2.1543578530266196E-2</v>
      </c>
      <c r="O8" s="111">
        <v>0.15584899290892143</v>
      </c>
      <c r="P8" s="112">
        <v>-0.7129408348249312</v>
      </c>
      <c r="S8" s="21" t="str">
        <f>A68</f>
        <v>Kansgewogen</v>
      </c>
      <c r="T8" s="21">
        <f>SUMPRODUCT(T3:T7,$X$3:$X$7)</f>
        <v>0.60846085340145051</v>
      </c>
      <c r="U8" s="21">
        <f>SUMPRODUCT(U3:U7,$X$3:$X$7)</f>
        <v>4.4377175287159024E-2</v>
      </c>
      <c r="V8" s="21">
        <f>SUMPRODUCT(V3:V7,$X$3:$X$7)</f>
        <v>0.34716196404891858</v>
      </c>
      <c r="AA8" t="s">
        <v>177</v>
      </c>
      <c r="AB8" s="28">
        <f t="shared" si="0"/>
        <v>5.3327894633419415E-5</v>
      </c>
      <c r="AC8" s="28">
        <f t="shared" si="1"/>
        <v>2.536807287280746E-2</v>
      </c>
      <c r="AD8" s="28">
        <f t="shared" si="2"/>
        <v>2.2224707093397085E-2</v>
      </c>
      <c r="AE8" s="28"/>
    </row>
    <row r="9" spans="1:31">
      <c r="A9" s="14" t="str">
        <f>Parameters!A55</f>
        <v>Aandelen ontwikkeld</v>
      </c>
      <c r="B9" s="101">
        <v>6.0446774913128817E-2</v>
      </c>
      <c r="C9" s="16">
        <v>5.3397162333792637E-2</v>
      </c>
      <c r="D9" s="81">
        <v>4.4641897398864433E-3</v>
      </c>
      <c r="E9" s="101">
        <v>5.7496658150731628E-2</v>
      </c>
      <c r="F9" s="140">
        <v>9.9531332596137695E-2</v>
      </c>
      <c r="G9" s="111">
        <v>8.8086609334983371E-2</v>
      </c>
      <c r="H9" s="111">
        <v>0.61355771241736912</v>
      </c>
      <c r="I9" s="111">
        <v>0.53183597344429767</v>
      </c>
      <c r="J9" s="111">
        <v>0.90423041398387438</v>
      </c>
      <c r="K9" s="111">
        <v>1</v>
      </c>
      <c r="L9" s="111">
        <v>-0.34342040944713642</v>
      </c>
      <c r="M9" s="111">
        <v>-0.15207213115946649</v>
      </c>
      <c r="N9" s="111">
        <v>0.18831135549955627</v>
      </c>
      <c r="O9" s="111">
        <v>0.15584899290892068</v>
      </c>
      <c r="P9" s="112">
        <v>-0.71294083482493009</v>
      </c>
      <c r="AA9" t="s">
        <v>5</v>
      </c>
      <c r="AB9" s="28">
        <f t="shared" si="0"/>
        <v>9.0274039837379041E-4</v>
      </c>
      <c r="AC9" s="28">
        <f t="shared" si="1"/>
        <v>4.9777292958448169E-2</v>
      </c>
      <c r="AD9" s="28">
        <f t="shared" si="2"/>
        <v>3.1858128084180717E-2</v>
      </c>
      <c r="AE9" s="28"/>
    </row>
    <row r="10" spans="1:31">
      <c r="A10" s="14" t="str">
        <f>Parameters!A56</f>
        <v>Aandelen opkomend</v>
      </c>
      <c r="B10" s="101">
        <v>2.5421400767440878E-2</v>
      </c>
      <c r="C10" s="16">
        <v>3.2558152139085979E-2</v>
      </c>
      <c r="D10" s="81">
        <v>5.3327894633419415E-5</v>
      </c>
      <c r="E10" s="101">
        <v>7.3191864685689181E-3</v>
      </c>
      <c r="F10" s="140">
        <v>4.7646107860837963E-2</v>
      </c>
      <c r="G10" s="111">
        <v>0.20675070907184406</v>
      </c>
      <c r="H10" s="111">
        <v>0.15061445453295266</v>
      </c>
      <c r="I10" s="111">
        <v>-4.3301987478547525E-3</v>
      </c>
      <c r="J10" s="111">
        <v>-0.34170746099949673</v>
      </c>
      <c r="K10" s="111">
        <v>-0.59353271865177981</v>
      </c>
      <c r="L10" s="111">
        <v>-0.42139097318072327</v>
      </c>
      <c r="M10" s="111">
        <v>0.65739212026433214</v>
      </c>
      <c r="N10" s="111">
        <v>1</v>
      </c>
      <c r="O10" s="111">
        <v>0.15584899290891849</v>
      </c>
      <c r="P10" s="112">
        <v>-0.71294083482492432</v>
      </c>
      <c r="AA10" t="s">
        <v>178</v>
      </c>
      <c r="AB10" s="28">
        <f t="shared" si="0"/>
        <v>6.0455365436094463E-3</v>
      </c>
      <c r="AC10" s="28">
        <f t="shared" si="1"/>
        <v>7.8211514570335594E-2</v>
      </c>
      <c r="AD10" s="28">
        <f t="shared" si="2"/>
        <v>5.2835598671303843E-2</v>
      </c>
      <c r="AE10" s="28"/>
    </row>
    <row r="11" spans="1:31">
      <c r="A11" s="14" t="str">
        <f>Parameters!A57</f>
        <v>Hedge funds</v>
      </c>
      <c r="B11" s="101">
        <v>5.068003335682196E-2</v>
      </c>
      <c r="C11" s="16">
        <v>5.9188777771513476E-2</v>
      </c>
      <c r="D11" s="81">
        <v>9.0274039837379041E-4</v>
      </c>
      <c r="E11" s="101">
        <v>2.8667064308716857E-2</v>
      </c>
      <c r="F11" s="140">
        <v>8.2538161441002678E-2</v>
      </c>
      <c r="G11" s="111">
        <v>-0.24859874533798934</v>
      </c>
      <c r="H11" s="111">
        <v>-0.70606494400131392</v>
      </c>
      <c r="I11" s="111">
        <v>1</v>
      </c>
      <c r="J11" s="111">
        <v>5.7044664438035103E-2</v>
      </c>
      <c r="K11" s="111">
        <v>-0.79617445432747203</v>
      </c>
      <c r="L11" s="111">
        <v>0.10016930107084195</v>
      </c>
      <c r="M11" s="111">
        <v>-0.25594237717095081</v>
      </c>
      <c r="N11" s="111">
        <v>-0.11735213905823745</v>
      </c>
      <c r="O11" s="111">
        <v>0.15584899290892165</v>
      </c>
      <c r="P11" s="112">
        <v>-0.71294083482493276</v>
      </c>
      <c r="AA11" t="s">
        <v>6</v>
      </c>
      <c r="AB11" s="28">
        <f t="shared" si="0"/>
        <v>1.4443846303467217E-4</v>
      </c>
      <c r="AC11" s="28">
        <f t="shared" si="1"/>
        <v>3.328059256263087E-2</v>
      </c>
      <c r="AD11" s="28">
        <f t="shared" si="2"/>
        <v>3.2111881235408098E-2</v>
      </c>
      <c r="AE11" s="28"/>
    </row>
    <row r="12" spans="1:31">
      <c r="A12" s="14" t="str">
        <f>Parameters!A58</f>
        <v>Onroerend goed</v>
      </c>
      <c r="B12" s="101">
        <v>8.4257051113945033E-2</v>
      </c>
      <c r="C12" s="16">
        <v>7.553024775576718E-2</v>
      </c>
      <c r="D12" s="81">
        <v>6.0455365436094463E-3</v>
      </c>
      <c r="E12" s="101">
        <v>8.0778862414023739E-2</v>
      </c>
      <c r="F12" s="140">
        <v>0.13709264978524888</v>
      </c>
      <c r="G12" s="111">
        <v>-0.73880663533824542</v>
      </c>
      <c r="H12" s="111">
        <v>1</v>
      </c>
      <c r="I12" s="111">
        <v>-0.13382619020955902</v>
      </c>
      <c r="J12" s="111">
        <v>-0.60294829521693694</v>
      </c>
      <c r="K12" s="111">
        <v>-0.37907912439761143</v>
      </c>
      <c r="L12" s="111">
        <v>-4.6411417265322198E-2</v>
      </c>
      <c r="M12" s="111">
        <v>-0.30354302938695704</v>
      </c>
      <c r="N12" s="111">
        <v>-0.29567441492557572</v>
      </c>
      <c r="O12" s="111">
        <v>0.15584899290892196</v>
      </c>
      <c r="P12" s="112">
        <v>-0.7129408348249332</v>
      </c>
      <c r="AB12" s="28"/>
      <c r="AC12" s="28"/>
      <c r="AD12" s="28"/>
      <c r="AE12" s="28"/>
    </row>
    <row r="13" spans="1:31">
      <c r="A13" s="15" t="str">
        <f>Parameters!A59</f>
        <v>Commodities</v>
      </c>
      <c r="B13" s="105">
        <v>3.342503102566554E-2</v>
      </c>
      <c r="C13" s="100">
        <v>3.7956728083573477E-2</v>
      </c>
      <c r="D13" s="136">
        <v>1.4443846303467217E-4</v>
      </c>
      <c r="E13" s="105">
        <v>1.2928512812171208E-2</v>
      </c>
      <c r="F13" s="141">
        <v>6.5536912261073638E-2</v>
      </c>
      <c r="G13" s="113">
        <v>0.24029962646533246</v>
      </c>
      <c r="H13" s="113">
        <v>-4.1629222303604239E-2</v>
      </c>
      <c r="I13" s="113">
        <v>-0.12892985675850202</v>
      </c>
      <c r="J13" s="113">
        <v>-0.34419256594203179</v>
      </c>
      <c r="K13" s="113">
        <v>0.48959779768747602</v>
      </c>
      <c r="L13" s="113">
        <v>1</v>
      </c>
      <c r="M13" s="113">
        <v>-0.38628973950101414</v>
      </c>
      <c r="N13" s="113">
        <v>0.60935420869753354</v>
      </c>
      <c r="O13" s="113">
        <v>0.15584899290891988</v>
      </c>
      <c r="P13" s="147">
        <v>-0.71294083482492709</v>
      </c>
    </row>
    <row r="14" spans="1:31">
      <c r="AB14" s="28"/>
      <c r="AC14" s="28"/>
      <c r="AD14" s="28"/>
      <c r="AE14" s="28"/>
    </row>
    <row r="15" spans="1:31">
      <c r="A15" s="2" t="s">
        <v>125</v>
      </c>
      <c r="D15" s="247" t="s">
        <v>136</v>
      </c>
      <c r="E15" s="256"/>
      <c r="F15" s="248"/>
      <c r="G15" s="247" t="s">
        <v>137</v>
      </c>
      <c r="H15" s="256"/>
      <c r="I15" s="256"/>
      <c r="J15" s="256"/>
      <c r="K15" s="256"/>
      <c r="L15" s="256"/>
      <c r="M15" s="256"/>
      <c r="N15" s="256"/>
      <c r="O15" s="256"/>
      <c r="P15" s="248"/>
    </row>
    <row r="16" spans="1:31">
      <c r="A16" s="108" t="str">
        <f>Parameters!A41</f>
        <v>Groei recessie</v>
      </c>
      <c r="B16" s="109" t="s">
        <v>116</v>
      </c>
      <c r="C16" s="17" t="s">
        <v>117</v>
      </c>
      <c r="D16" s="134">
        <v>0.25</v>
      </c>
      <c r="E16" s="133">
        <v>0.5</v>
      </c>
      <c r="F16" s="135">
        <v>0.75</v>
      </c>
      <c r="G16" s="148">
        <v>0.32332441840352077</v>
      </c>
      <c r="H16" s="149">
        <v>0.23072520899613824</v>
      </c>
      <c r="I16" s="148">
        <v>0.19683098133494015</v>
      </c>
      <c r="J16" s="148">
        <v>0.14313135792274589</v>
      </c>
      <c r="K16" s="148">
        <v>9.003567978066318E-2</v>
      </c>
      <c r="L16" s="148">
        <v>1.2970602230297001E-2</v>
      </c>
      <c r="M16" s="148">
        <v>1.9589521526063303E-3</v>
      </c>
      <c r="N16" s="148">
        <v>1.0227991790866531E-3</v>
      </c>
      <c r="O16" s="148">
        <v>-4.4408920985006262E-16</v>
      </c>
      <c r="P16" s="150">
        <v>-4.4408920985006262E-16</v>
      </c>
      <c r="AA16" t="str">
        <f>A17</f>
        <v>Nominale matching</v>
      </c>
      <c r="AB16" s="28">
        <f>D17</f>
        <v>0.55398701725883681</v>
      </c>
      <c r="AC16" s="28">
        <f>B17-D17</f>
        <v>3.2076865086674067E-2</v>
      </c>
      <c r="AD16" s="28">
        <f>F17-B17</f>
        <v>3.5802619648605094E-2</v>
      </c>
      <c r="AE16" s="28"/>
    </row>
    <row r="17" spans="1:31">
      <c r="A17" s="14" t="str">
        <f>A4</f>
        <v>Nominale matching</v>
      </c>
      <c r="B17" s="101">
        <v>0.58606388234551088</v>
      </c>
      <c r="C17" s="16">
        <v>5.9247336912473574E-2</v>
      </c>
      <c r="D17" s="81">
        <v>0.55398701725883681</v>
      </c>
      <c r="E17" s="101">
        <v>0.5884974130842846</v>
      </c>
      <c r="F17" s="140">
        <v>0.62186650199411597</v>
      </c>
      <c r="G17" s="111">
        <v>1</v>
      </c>
      <c r="H17" s="111">
        <v>-3.3175817278955501E-2</v>
      </c>
      <c r="I17" s="111">
        <v>0.15206219373727187</v>
      </c>
      <c r="J17" s="111">
        <v>0.97567405850382949</v>
      </c>
      <c r="K17" s="111">
        <v>-0.1395066629223625</v>
      </c>
      <c r="L17" s="111">
        <v>-0.53231625133608096</v>
      </c>
      <c r="M17" s="111">
        <v>-0.54268950343034228</v>
      </c>
      <c r="N17" s="111">
        <v>-8.3869589780691284E-2</v>
      </c>
      <c r="O17" s="111">
        <v>-0.34102961268537041</v>
      </c>
      <c r="P17" s="112">
        <v>0.32581074187717457</v>
      </c>
      <c r="AA17" t="str">
        <f>A18</f>
        <v>Reele matching</v>
      </c>
      <c r="AB17" s="28">
        <f>D18</f>
        <v>2.0290457584072688E-6</v>
      </c>
      <c r="AC17" s="28">
        <f>B18-D18</f>
        <v>7.3051316679978214E-3</v>
      </c>
      <c r="AD17" s="28">
        <f>F18-B18</f>
        <v>2.0079594912041894E-3</v>
      </c>
      <c r="AE17" s="28"/>
    </row>
    <row r="18" spans="1:31">
      <c r="A18" s="14" t="str">
        <f t="shared" ref="A18:A26" si="3">A5</f>
        <v>Reele matching</v>
      </c>
      <c r="B18" s="101">
        <v>7.3071607137562286E-3</v>
      </c>
      <c r="C18" s="16">
        <v>1.3992890815844851E-2</v>
      </c>
      <c r="D18" s="81">
        <v>2.0290457584072688E-6</v>
      </c>
      <c r="E18" s="101">
        <v>3.6533968231452726E-4</v>
      </c>
      <c r="F18" s="140">
        <v>9.3151202049604181E-3</v>
      </c>
      <c r="G18" s="111">
        <v>-4.3934604899379795E-2</v>
      </c>
      <c r="H18" s="111">
        <v>-2.6445524180033798E-2</v>
      </c>
      <c r="I18" s="111">
        <v>-4.3131802454108172E-2</v>
      </c>
      <c r="J18" s="111">
        <v>3.9338198673198187E-4</v>
      </c>
      <c r="K18" s="111">
        <v>-3.4800564426077117E-2</v>
      </c>
      <c r="L18" s="111">
        <v>1</v>
      </c>
      <c r="M18" s="111">
        <v>-0.8742973396162893</v>
      </c>
      <c r="N18" s="111">
        <v>-7.0051564779123818E-2</v>
      </c>
      <c r="O18" s="111">
        <v>-0.34102961268536358</v>
      </c>
      <c r="P18" s="112">
        <v>0.32581074187716963</v>
      </c>
      <c r="AA18" t="s">
        <v>4</v>
      </c>
      <c r="AB18" s="28">
        <f>D20</f>
        <v>8.8505167186769179E-2</v>
      </c>
      <c r="AC18" s="28">
        <f>B20-D20</f>
        <v>3.7211928217914969E-2</v>
      </c>
      <c r="AD18" s="28">
        <f>F20-B20</f>
        <v>4.8586670495145062E-2</v>
      </c>
      <c r="AE18" s="28"/>
    </row>
    <row r="19" spans="1:31">
      <c r="A19" s="14" t="str">
        <f t="shared" si="3"/>
        <v>Credits</v>
      </c>
      <c r="B19" s="101">
        <v>0</v>
      </c>
      <c r="C19" s="16">
        <v>0</v>
      </c>
      <c r="D19" s="81">
        <v>0</v>
      </c>
      <c r="E19" s="101">
        <v>0</v>
      </c>
      <c r="F19" s="140">
        <v>0</v>
      </c>
      <c r="G19" s="111">
        <v>-5.8230135948706335E-18</v>
      </c>
      <c r="H19" s="111">
        <v>-3.0988925510469494E-16</v>
      </c>
      <c r="I19" s="111">
        <v>1.3767716487833023E-16</v>
      </c>
      <c r="J19" s="111">
        <v>-2.8897667603273343E-16</v>
      </c>
      <c r="K19" s="111">
        <v>1.5464673218913884E-16</v>
      </c>
      <c r="L19" s="111">
        <v>-1.1118055433908904E-15</v>
      </c>
      <c r="M19" s="111">
        <v>-1.6923418309051616E-15</v>
      </c>
      <c r="N19" s="111">
        <v>-2.2770130142256213E-16</v>
      </c>
      <c r="O19" s="111">
        <v>1</v>
      </c>
      <c r="P19" s="112">
        <v>1</v>
      </c>
      <c r="AA19" t="s">
        <v>175</v>
      </c>
      <c r="AB19" s="28">
        <f t="shared" ref="AB19:AB24" si="4">D21</f>
        <v>2.1402862372486925E-2</v>
      </c>
      <c r="AC19" s="28">
        <f t="shared" ref="AC19:AC24" si="5">B21-D21</f>
        <v>5.9211338608296846E-2</v>
      </c>
      <c r="AD19" s="28">
        <f t="shared" ref="AD19:AD24" si="6">F21-B21</f>
        <v>5.5326226762231021E-2</v>
      </c>
      <c r="AE19" s="28"/>
    </row>
    <row r="20" spans="1:31">
      <c r="A20" s="14" t="str">
        <f t="shared" si="3"/>
        <v>High Yield</v>
      </c>
      <c r="B20" s="101">
        <v>0.12571709540468415</v>
      </c>
      <c r="C20" s="16">
        <v>6.4062083316753796E-2</v>
      </c>
      <c r="D20" s="81">
        <v>8.8505167186769179E-2</v>
      </c>
      <c r="E20" s="101">
        <v>0.135736116573314</v>
      </c>
      <c r="F20" s="140">
        <v>0.17430376589982921</v>
      </c>
      <c r="G20" s="111">
        <v>-0.98988294404867194</v>
      </c>
      <c r="H20" s="111">
        <v>0.1438534055177178</v>
      </c>
      <c r="I20" s="111">
        <v>-0.33114185750113467</v>
      </c>
      <c r="J20" s="111">
        <v>1</v>
      </c>
      <c r="K20" s="111">
        <v>-0.589609462646973</v>
      </c>
      <c r="L20" s="111">
        <v>-0.14277646442890254</v>
      </c>
      <c r="M20" s="111">
        <v>0.20151608933773121</v>
      </c>
      <c r="N20" s="111">
        <v>-0.15402246000656084</v>
      </c>
      <c r="O20" s="111">
        <v>-0.3410296126853809</v>
      </c>
      <c r="P20" s="112">
        <v>0.32581074187718606</v>
      </c>
      <c r="AA20" t="s">
        <v>176</v>
      </c>
      <c r="AB20" s="28">
        <f t="shared" si="4"/>
        <v>1.1921021265089796E-2</v>
      </c>
      <c r="AC20" s="28">
        <f t="shared" si="5"/>
        <v>5.6673476199518992E-2</v>
      </c>
      <c r="AD20" s="28">
        <f t="shared" si="6"/>
        <v>5.0847694957484382E-2</v>
      </c>
      <c r="AE20" s="28"/>
    </row>
    <row r="21" spans="1:31">
      <c r="A21" s="14" t="str">
        <f t="shared" si="3"/>
        <v>Emerging market debt</v>
      </c>
      <c r="B21" s="101">
        <v>8.0614200980783771E-2</v>
      </c>
      <c r="C21" s="16">
        <v>6.311450735005053E-2</v>
      </c>
      <c r="D21" s="81">
        <v>2.1402862372486925E-2</v>
      </c>
      <c r="E21" s="101">
        <v>7.3819350958385738E-2</v>
      </c>
      <c r="F21" s="140">
        <v>0.13594042774301479</v>
      </c>
      <c r="G21" s="111">
        <v>0.20575259796969816</v>
      </c>
      <c r="H21" s="111">
        <v>-0.95820607406315594</v>
      </c>
      <c r="I21" s="111">
        <v>-0.51148972792313374</v>
      </c>
      <c r="J21" s="111">
        <v>-0.83940747012880945</v>
      </c>
      <c r="K21" s="111">
        <v>-0.23077691610573167</v>
      </c>
      <c r="L21" s="111">
        <v>-0.16060741284369273</v>
      </c>
      <c r="M21" s="111">
        <v>0.15782931917582399</v>
      </c>
      <c r="N21" s="111">
        <v>-0.14103144093958769</v>
      </c>
      <c r="O21" s="111">
        <v>-0.34102961268538068</v>
      </c>
      <c r="P21" s="112">
        <v>0.32581074187718556</v>
      </c>
      <c r="AA21" t="s">
        <v>177</v>
      </c>
      <c r="AB21" s="28">
        <f t="shared" si="4"/>
        <v>1.112083791621238E-3</v>
      </c>
      <c r="AC21" s="28">
        <f t="shared" si="5"/>
        <v>3.0562946109826513E-2</v>
      </c>
      <c r="AD21" s="28">
        <f t="shared" si="6"/>
        <v>2.27594869101568E-2</v>
      </c>
      <c r="AE21" s="28"/>
    </row>
    <row r="22" spans="1:31">
      <c r="A22" s="14" t="str">
        <f t="shared" si="3"/>
        <v>Aandelen ontwikkeld</v>
      </c>
      <c r="B22" s="101">
        <v>6.8594497464608786E-2</v>
      </c>
      <c r="C22" s="16">
        <v>6.0064177269914511E-2</v>
      </c>
      <c r="D22" s="81">
        <v>1.1921021265089796E-2</v>
      </c>
      <c r="E22" s="101">
        <v>5.4154166763330035E-2</v>
      </c>
      <c r="F22" s="140">
        <v>0.11944219242209317</v>
      </c>
      <c r="G22" s="111">
        <v>-0.25011652172144772</v>
      </c>
      <c r="H22" s="111">
        <v>-6.6900427780250682E-2</v>
      </c>
      <c r="I22" s="111">
        <v>1</v>
      </c>
      <c r="J22" s="111">
        <v>-0.62798654963727629</v>
      </c>
      <c r="K22" s="111">
        <v>-0.41361840760359986</v>
      </c>
      <c r="L22" s="111">
        <v>-6.6765766772853966E-2</v>
      </c>
      <c r="M22" s="111">
        <v>0.18188384191457346</v>
      </c>
      <c r="N22" s="111">
        <v>-0.14553467360635441</v>
      </c>
      <c r="O22" s="111">
        <v>-0.3410296126853804</v>
      </c>
      <c r="P22" s="112">
        <v>0.32581074187718589</v>
      </c>
      <c r="AA22" t="s">
        <v>5</v>
      </c>
      <c r="AB22" s="28">
        <f t="shared" si="4"/>
        <v>3.2417651086306632E-3</v>
      </c>
      <c r="AC22" s="28">
        <f t="shared" si="5"/>
        <v>6.2111197434249955E-2</v>
      </c>
      <c r="AD22" s="28">
        <f t="shared" si="6"/>
        <v>5.4836858676184513E-2</v>
      </c>
      <c r="AE22" s="28"/>
    </row>
    <row r="23" spans="1:31">
      <c r="A23" s="14" t="str">
        <f t="shared" si="3"/>
        <v>Aandelen opkomend</v>
      </c>
      <c r="B23" s="101">
        <v>3.167502990144775E-2</v>
      </c>
      <c r="C23" s="16">
        <v>3.3204494056599643E-2</v>
      </c>
      <c r="D23" s="81">
        <v>1.112083791621238E-3</v>
      </c>
      <c r="E23" s="101">
        <v>2.3279550896882488E-2</v>
      </c>
      <c r="F23" s="140">
        <v>5.443451681160455E-2</v>
      </c>
      <c r="G23" s="111">
        <v>0.38051277339709533</v>
      </c>
      <c r="H23" s="111">
        <v>-5.0813217728242252E-2</v>
      </c>
      <c r="I23" s="111">
        <v>7.4549990206592129E-2</v>
      </c>
      <c r="J23" s="111">
        <v>0.61805399189050558</v>
      </c>
      <c r="K23" s="111">
        <v>0.5727014340105514</v>
      </c>
      <c r="L23" s="111">
        <v>0.46577729694525349</v>
      </c>
      <c r="M23" s="111">
        <v>1</v>
      </c>
      <c r="N23" s="111">
        <v>-0.19689616651875652</v>
      </c>
      <c r="O23" s="111">
        <v>-0.3410296126853915</v>
      </c>
      <c r="P23" s="112">
        <v>0.32581074187719827</v>
      </c>
      <c r="AA23" t="s">
        <v>178</v>
      </c>
      <c r="AB23" s="28">
        <f t="shared" si="4"/>
        <v>1.8569307052658293E-4</v>
      </c>
      <c r="AC23" s="28">
        <f t="shared" si="5"/>
        <v>3.1739367023141632E-2</v>
      </c>
      <c r="AD23" s="28">
        <f t="shared" si="6"/>
        <v>1.511564249998866E-2</v>
      </c>
      <c r="AE23" s="28"/>
    </row>
    <row r="24" spans="1:31">
      <c r="A24" s="14" t="str">
        <f t="shared" si="3"/>
        <v>Hedge funds</v>
      </c>
      <c r="B24" s="101">
        <v>6.5352962542880616E-2</v>
      </c>
      <c r="C24" s="16">
        <v>6.4549189786269001E-2</v>
      </c>
      <c r="D24" s="81">
        <v>3.2417651086306632E-3</v>
      </c>
      <c r="E24" s="101">
        <v>4.184654833475035E-2</v>
      </c>
      <c r="F24" s="140">
        <v>0.12018982121906513</v>
      </c>
      <c r="G24" s="111">
        <v>0.37207573911437719</v>
      </c>
      <c r="H24" s="111">
        <v>1</v>
      </c>
      <c r="I24" s="111">
        <v>-0.3678005351989071</v>
      </c>
      <c r="J24" s="111">
        <v>-0.92700289536819924</v>
      </c>
      <c r="K24" s="111">
        <v>-0.13749111057579966</v>
      </c>
      <c r="L24" s="111">
        <v>-0.10674968185419553</v>
      </c>
      <c r="M24" s="111">
        <v>0.14361033538722587</v>
      </c>
      <c r="N24" s="111">
        <v>-0.13236253733251802</v>
      </c>
      <c r="O24" s="111">
        <v>-0.3410296126853799</v>
      </c>
      <c r="P24" s="112">
        <v>0.32581074187718512</v>
      </c>
      <c r="AA24" t="s">
        <v>6</v>
      </c>
      <c r="AB24" s="28">
        <f t="shared" si="4"/>
        <v>2.970638248788513E-6</v>
      </c>
      <c r="AC24" s="28">
        <f t="shared" si="5"/>
        <v>2.7471399144104376E-3</v>
      </c>
      <c r="AD24" s="28">
        <f t="shared" si="6"/>
        <v>5.2590919872611865E-4</v>
      </c>
      <c r="AE24" s="28"/>
    </row>
    <row r="25" spans="1:31">
      <c r="A25" s="14" t="str">
        <f t="shared" si="3"/>
        <v>Onroerend goed</v>
      </c>
      <c r="B25" s="101">
        <v>3.1925060093668217E-2</v>
      </c>
      <c r="C25" s="16">
        <v>4.8214523888019584E-2</v>
      </c>
      <c r="D25" s="81">
        <v>1.8569307052658293E-4</v>
      </c>
      <c r="E25" s="101">
        <v>8.5804423679592123E-3</v>
      </c>
      <c r="F25" s="140">
        <v>4.7040702593656877E-2</v>
      </c>
      <c r="G25" s="111">
        <v>-0.66855694626243878</v>
      </c>
      <c r="H25" s="111">
        <v>-3.0830740714683814E-3</v>
      </c>
      <c r="I25" s="111">
        <v>2.6786933683769418E-2</v>
      </c>
      <c r="J25" s="111">
        <v>-0.20889487726465403</v>
      </c>
      <c r="K25" s="111">
        <v>1</v>
      </c>
      <c r="L25" s="111">
        <v>-0.46940644428437089</v>
      </c>
      <c r="M25" s="111">
        <v>-0.42441033564453562</v>
      </c>
      <c r="N25" s="111">
        <v>-7.6231567036404074E-2</v>
      </c>
      <c r="O25" s="111">
        <v>-0.34102961268537174</v>
      </c>
      <c r="P25" s="112">
        <v>0.32581074187717612</v>
      </c>
    </row>
    <row r="26" spans="1:31">
      <c r="A26" s="15" t="str">
        <f t="shared" si="3"/>
        <v>Commodities</v>
      </c>
      <c r="B26" s="105">
        <v>2.7501105526592262E-3</v>
      </c>
      <c r="C26" s="100">
        <v>4.7079789381384652E-3</v>
      </c>
      <c r="D26" s="136">
        <v>2.970638248788513E-6</v>
      </c>
      <c r="E26" s="105">
        <v>6.2250505514220718E-4</v>
      </c>
      <c r="F26" s="141">
        <v>3.2760197513853448E-3</v>
      </c>
      <c r="G26" s="113">
        <v>-5.850093549232791E-3</v>
      </c>
      <c r="H26" s="113">
        <v>-5.2292704156100709E-3</v>
      </c>
      <c r="I26" s="113">
        <v>1.6480544965049641E-4</v>
      </c>
      <c r="J26" s="113">
        <v>9.1703600178718921E-3</v>
      </c>
      <c r="K26" s="113">
        <v>-2.6898309730006415E-2</v>
      </c>
      <c r="L26" s="113">
        <v>1.2844724574846422E-2</v>
      </c>
      <c r="M26" s="113">
        <v>0.15655759287570561</v>
      </c>
      <c r="N26" s="113">
        <v>1</v>
      </c>
      <c r="O26" s="113">
        <v>-0.34102961268537929</v>
      </c>
      <c r="P26" s="147">
        <v>0.32581074187718428</v>
      </c>
    </row>
    <row r="27" spans="1:31">
      <c r="A27" s="22"/>
      <c r="B27" s="101"/>
      <c r="C27" s="101"/>
      <c r="D27" s="101"/>
      <c r="E27" s="101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</row>
    <row r="28" spans="1:31">
      <c r="D28" s="247" t="s">
        <v>136</v>
      </c>
      <c r="E28" s="256"/>
      <c r="F28" s="248"/>
      <c r="G28" s="247" t="s">
        <v>137</v>
      </c>
      <c r="H28" s="256"/>
      <c r="I28" s="256"/>
      <c r="J28" s="256"/>
      <c r="K28" s="256"/>
      <c r="L28" s="256"/>
      <c r="M28" s="256"/>
      <c r="N28" s="256"/>
      <c r="O28" s="256"/>
      <c r="P28" s="248"/>
    </row>
    <row r="29" spans="1:31">
      <c r="A29" s="108" t="str">
        <f>Parameters!A42</f>
        <v>Inflatie is een fiscaal verschijnsel</v>
      </c>
      <c r="B29" s="109" t="s">
        <v>116</v>
      </c>
      <c r="C29" s="17" t="s">
        <v>117</v>
      </c>
      <c r="D29" s="134">
        <v>0.25</v>
      </c>
      <c r="E29" s="133">
        <v>0.5</v>
      </c>
      <c r="F29" s="135">
        <v>0.75</v>
      </c>
      <c r="G29" s="137">
        <v>0.33835088773985578</v>
      </c>
      <c r="H29" s="138">
        <v>0.18585366839311135</v>
      </c>
      <c r="I29" s="137">
        <v>0.14879640638082925</v>
      </c>
      <c r="J29" s="137">
        <v>0.13026316644507641</v>
      </c>
      <c r="K29" s="137">
        <v>0.11493724852433529</v>
      </c>
      <c r="L29" s="137">
        <v>5.8900401275862824E-2</v>
      </c>
      <c r="M29" s="137">
        <v>2.1843498495978997E-2</v>
      </c>
      <c r="N29" s="137">
        <v>1.0547227449496654E-3</v>
      </c>
      <c r="O29" s="137">
        <v>0</v>
      </c>
      <c r="P29" s="139">
        <v>0</v>
      </c>
      <c r="AA29" t="str">
        <f>A30</f>
        <v>Nominale matching</v>
      </c>
      <c r="AB29" s="28">
        <f>D30</f>
        <v>0.35457858776240603</v>
      </c>
      <c r="AC29" s="28">
        <f>B30-D30</f>
        <v>1.9244022782749726E-2</v>
      </c>
      <c r="AD29" s="28">
        <f>F30-B30</f>
        <v>1.6327765468648225E-2</v>
      </c>
      <c r="AE29" s="28"/>
    </row>
    <row r="30" spans="1:31">
      <c r="A30" s="14" t="str">
        <f>A17</f>
        <v>Nominale matching</v>
      </c>
      <c r="B30" s="101">
        <v>0.37382261054515575</v>
      </c>
      <c r="C30" s="16">
        <v>2.9527671016347363E-2</v>
      </c>
      <c r="D30" s="81">
        <v>0.35457858776240603</v>
      </c>
      <c r="E30" s="101">
        <v>0.36960779759533269</v>
      </c>
      <c r="F30" s="140">
        <v>0.39015037601380398</v>
      </c>
      <c r="G30" s="103">
        <v>-0.35816465005918274</v>
      </c>
      <c r="H30" s="103">
        <v>-0.76546124516008718</v>
      </c>
      <c r="I30" s="103">
        <v>-0.25697199042052749</v>
      </c>
      <c r="J30" s="103">
        <v>-0.31274202430112907</v>
      </c>
      <c r="K30" s="103">
        <v>-0.3333038815993381</v>
      </c>
      <c r="L30" s="103">
        <v>-0.50062276034130981</v>
      </c>
      <c r="M30" s="103">
        <v>-0.25178481168952016</v>
      </c>
      <c r="N30" s="103">
        <v>1</v>
      </c>
      <c r="O30" s="103">
        <v>1</v>
      </c>
      <c r="P30" s="104">
        <v>0.10021449825932208</v>
      </c>
      <c r="AA30" t="str">
        <f>A31</f>
        <v>Reele matching</v>
      </c>
      <c r="AB30" s="28">
        <f>D31</f>
        <v>0.35773911609828568</v>
      </c>
      <c r="AC30" s="28">
        <f>B31-D31</f>
        <v>2.4948269969293113E-2</v>
      </c>
      <c r="AD30" s="28">
        <f>F31-B31</f>
        <v>3.3611735332753911E-2</v>
      </c>
      <c r="AE30" s="28"/>
    </row>
    <row r="31" spans="1:31">
      <c r="A31" s="14" t="str">
        <f t="shared" ref="A31:A39" si="7">A18</f>
        <v>Reele matching</v>
      </c>
      <c r="B31" s="101">
        <v>0.38268738606757879</v>
      </c>
      <c r="C31" s="16">
        <v>4.6454360215506883E-2</v>
      </c>
      <c r="D31" s="81">
        <v>0.35773911609828568</v>
      </c>
      <c r="E31" s="101">
        <v>0.38376099651293927</v>
      </c>
      <c r="F31" s="140">
        <v>0.41629912140033271</v>
      </c>
      <c r="G31" s="103">
        <v>1</v>
      </c>
      <c r="H31" s="103">
        <v>0.36676245519964751</v>
      </c>
      <c r="I31" s="103">
        <v>-0.32579769461350083</v>
      </c>
      <c r="J31" s="103">
        <v>-0.74961527702648845</v>
      </c>
      <c r="K31" s="103">
        <v>-0.43170825347566055</v>
      </c>
      <c r="L31" s="103">
        <v>-0.14392269219147635</v>
      </c>
      <c r="M31" s="103">
        <v>-2.6421499593699171E-2</v>
      </c>
      <c r="N31" s="103">
        <v>-0.30017966433669785</v>
      </c>
      <c r="O31" s="103">
        <v>0.99999999999999378</v>
      </c>
      <c r="P31" s="104">
        <v>0.10021449825931665</v>
      </c>
      <c r="AA31" t="s">
        <v>4</v>
      </c>
      <c r="AB31" s="28">
        <f>D33</f>
        <v>4.6749922071730068E-4</v>
      </c>
      <c r="AC31" s="28">
        <f>B33-D33</f>
        <v>1.1316193056247701E-2</v>
      </c>
      <c r="AD31" s="28">
        <f>F33-B33</f>
        <v>6.7325734949920078E-3</v>
      </c>
      <c r="AE31" s="28"/>
    </row>
    <row r="32" spans="1:31">
      <c r="A32" s="14" t="str">
        <f t="shared" si="7"/>
        <v>Credits</v>
      </c>
      <c r="B32" s="101">
        <v>0</v>
      </c>
      <c r="C32" s="16">
        <v>0</v>
      </c>
      <c r="D32" s="81">
        <v>0</v>
      </c>
      <c r="E32" s="101">
        <v>0</v>
      </c>
      <c r="F32" s="140">
        <v>0</v>
      </c>
      <c r="G32" s="103">
        <v>0</v>
      </c>
      <c r="H32" s="103">
        <v>-1.8656609138215886E-16</v>
      </c>
      <c r="I32" s="103">
        <v>1.6456408788300177E-16</v>
      </c>
      <c r="J32" s="103">
        <v>4.0377195407426378E-16</v>
      </c>
      <c r="K32" s="103">
        <v>-2.6944490426578014E-16</v>
      </c>
      <c r="L32" s="103">
        <v>-3.2893588986206489E-16</v>
      </c>
      <c r="M32" s="103">
        <v>-7.7435925315248072E-16</v>
      </c>
      <c r="N32" s="103">
        <v>-1.0083000507205261E-14</v>
      </c>
      <c r="O32" s="103">
        <v>-0.90193048433385703</v>
      </c>
      <c r="P32" s="104">
        <v>1</v>
      </c>
      <c r="AA32" t="s">
        <v>175</v>
      </c>
      <c r="AB32" s="28">
        <f t="shared" ref="AB32:AB37" si="8">D34</f>
        <v>9.6667685053465555E-3</v>
      </c>
      <c r="AC32" s="28">
        <f t="shared" ref="AC32:AC37" si="9">B34-D34</f>
        <v>4.039010252998488E-2</v>
      </c>
      <c r="AD32" s="28">
        <f t="shared" ref="AD32:AD37" si="10">F34-B34</f>
        <v>2.6372700265371904E-2</v>
      </c>
      <c r="AE32" s="28"/>
    </row>
    <row r="33" spans="1:31">
      <c r="A33" s="14" t="str">
        <f t="shared" si="7"/>
        <v>High Yield</v>
      </c>
      <c r="B33" s="101">
        <v>1.1783692276965001E-2</v>
      </c>
      <c r="C33" s="16">
        <v>1.520457736859652E-2</v>
      </c>
      <c r="D33" s="81">
        <v>4.6749922071730068E-4</v>
      </c>
      <c r="E33" s="101">
        <v>5.1988651532062832E-3</v>
      </c>
      <c r="F33" s="140">
        <v>1.8516265771957009E-2</v>
      </c>
      <c r="G33" s="103">
        <v>-6.9506107649386209E-2</v>
      </c>
      <c r="H33" s="103">
        <v>0.13856322557163739</v>
      </c>
      <c r="I33" s="103">
        <v>1.3752471942457342E-2</v>
      </c>
      <c r="J33" s="103">
        <v>4.0581256963834154E-3</v>
      </c>
      <c r="K33" s="103">
        <v>2.1947801030649125E-2</v>
      </c>
      <c r="L33" s="103">
        <v>0.47848529386087807</v>
      </c>
      <c r="M33" s="103">
        <v>1</v>
      </c>
      <c r="N33" s="103">
        <v>0.47193020237052113</v>
      </c>
      <c r="O33" s="103">
        <v>0.99999999999999534</v>
      </c>
      <c r="P33" s="104">
        <v>0.10021449825932054</v>
      </c>
      <c r="AA33" t="s">
        <v>176</v>
      </c>
      <c r="AB33" s="28">
        <f t="shared" si="8"/>
        <v>2.602676678932252E-2</v>
      </c>
      <c r="AC33" s="28">
        <f t="shared" si="9"/>
        <v>3.093983462110653E-2</v>
      </c>
      <c r="AD33" s="28">
        <f t="shared" si="10"/>
        <v>3.5312942197144238E-2</v>
      </c>
      <c r="AE33" s="28"/>
    </row>
    <row r="34" spans="1:31">
      <c r="A34" s="14" t="str">
        <f t="shared" si="7"/>
        <v>Emerging market debt</v>
      </c>
      <c r="B34" s="101">
        <v>5.0056871035331435E-2</v>
      </c>
      <c r="C34" s="16">
        <v>3.9533843485704587E-2</v>
      </c>
      <c r="D34" s="81">
        <v>9.6667685053465555E-3</v>
      </c>
      <c r="E34" s="101">
        <v>5.0125470149988055E-2</v>
      </c>
      <c r="F34" s="140">
        <v>7.6429571300703339E-2</v>
      </c>
      <c r="G34" s="103">
        <v>0.41657898550000155</v>
      </c>
      <c r="H34" s="103">
        <v>-0.46177766032124967</v>
      </c>
      <c r="I34" s="103">
        <v>1</v>
      </c>
      <c r="J34" s="103">
        <v>0.11765163161169956</v>
      </c>
      <c r="K34" s="103">
        <v>-9.4871779052345909E-2</v>
      </c>
      <c r="L34" s="103">
        <v>0.12979269440150987</v>
      </c>
      <c r="M34" s="103">
        <v>-0.13098887740365658</v>
      </c>
      <c r="N34" s="103">
        <v>-2.0293327877949897E-2</v>
      </c>
      <c r="O34" s="103">
        <v>0.99999999999999512</v>
      </c>
      <c r="P34" s="104">
        <v>0.10021449825931775</v>
      </c>
      <c r="AA34" t="s">
        <v>177</v>
      </c>
      <c r="AB34" s="28">
        <f t="shared" si="8"/>
        <v>4.980792060500519E-3</v>
      </c>
      <c r="AC34" s="28">
        <f t="shared" si="9"/>
        <v>2.9039049811614086E-2</v>
      </c>
      <c r="AD34" s="28">
        <f t="shared" si="10"/>
        <v>2.3909276054164465E-2</v>
      </c>
      <c r="AE34" s="28"/>
    </row>
    <row r="35" spans="1:31">
      <c r="A35" s="14" t="str">
        <f t="shared" si="7"/>
        <v>Aandelen ontwikkeld</v>
      </c>
      <c r="B35" s="101">
        <v>5.6966601410429051E-2</v>
      </c>
      <c r="C35" s="16">
        <v>4.1686985333169085E-2</v>
      </c>
      <c r="D35" s="81">
        <v>2.602676678932252E-2</v>
      </c>
      <c r="E35" s="101">
        <v>4.3005333271531096E-2</v>
      </c>
      <c r="F35" s="140">
        <v>9.2279543607573289E-2</v>
      </c>
      <c r="G35" s="103">
        <v>-0.70573809271226717</v>
      </c>
      <c r="H35" s="103">
        <v>1</v>
      </c>
      <c r="I35" s="103">
        <v>0.25661041103779136</v>
      </c>
      <c r="J35" s="103">
        <v>6.8465994441869085E-2</v>
      </c>
      <c r="K35" s="103">
        <v>-0.27415871688712962</v>
      </c>
      <c r="L35" s="103">
        <v>-0.88746519198438234</v>
      </c>
      <c r="M35" s="103">
        <v>-4.4976519502713995E-2</v>
      </c>
      <c r="N35" s="103">
        <v>-0.22000396452939344</v>
      </c>
      <c r="O35" s="103">
        <v>0.99999999999999423</v>
      </c>
      <c r="P35" s="104">
        <v>0.10021449825931676</v>
      </c>
      <c r="AA35" t="s">
        <v>5</v>
      </c>
      <c r="AB35" s="28">
        <f t="shared" si="8"/>
        <v>1.6072498567565796E-3</v>
      </c>
      <c r="AC35" s="28">
        <f t="shared" si="9"/>
        <v>2.6773389829035255E-2</v>
      </c>
      <c r="AD35" s="28">
        <f t="shared" si="10"/>
        <v>1.8185279355208379E-2</v>
      </c>
      <c r="AE35" s="28"/>
    </row>
    <row r="36" spans="1:31">
      <c r="A36" s="14" t="str">
        <f t="shared" si="7"/>
        <v>Aandelen opkomend</v>
      </c>
      <c r="B36" s="101">
        <v>3.4019841872114605E-2</v>
      </c>
      <c r="C36" s="16">
        <v>3.1801122223751886E-2</v>
      </c>
      <c r="D36" s="81">
        <v>4.980792060500519E-3</v>
      </c>
      <c r="E36" s="101">
        <v>2.5580725692885595E-2</v>
      </c>
      <c r="F36" s="140">
        <v>5.792911792627907E-2</v>
      </c>
      <c r="G36" s="103">
        <v>0.23614640189788202</v>
      </c>
      <c r="H36" s="103">
        <v>-0.55106704394263772</v>
      </c>
      <c r="I36" s="103">
        <v>-0.30795199296645148</v>
      </c>
      <c r="J36" s="103">
        <v>0.98864430026447114</v>
      </c>
      <c r="K36" s="103">
        <v>0.27333496008095459</v>
      </c>
      <c r="L36" s="103">
        <v>-0.89073190746490227</v>
      </c>
      <c r="M36" s="103">
        <v>0.17257264044832021</v>
      </c>
      <c r="N36" s="103">
        <v>-0.57052633099102401</v>
      </c>
      <c r="O36" s="103">
        <v>0.99999999999999201</v>
      </c>
      <c r="P36" s="104">
        <v>0.10021449825931554</v>
      </c>
      <c r="AA36" t="s">
        <v>178</v>
      </c>
      <c r="AB36" s="28">
        <f t="shared" si="8"/>
        <v>1.9056173724036861E-3</v>
      </c>
      <c r="AC36" s="28">
        <f t="shared" si="9"/>
        <v>2.7098918094414091E-2</v>
      </c>
      <c r="AD36" s="28">
        <f t="shared" si="10"/>
        <v>1.2330656641091869E-2</v>
      </c>
      <c r="AE36" s="28"/>
    </row>
    <row r="37" spans="1:31">
      <c r="A37" s="14" t="str">
        <f t="shared" si="7"/>
        <v>Hedge funds</v>
      </c>
      <c r="B37" s="101">
        <v>2.8380639685791836E-2</v>
      </c>
      <c r="C37" s="16">
        <v>3.2776805399846606E-2</v>
      </c>
      <c r="D37" s="81">
        <v>1.6072498567565796E-3</v>
      </c>
      <c r="E37" s="101">
        <v>1.6471839326842742E-2</v>
      </c>
      <c r="F37" s="140">
        <v>4.6565919041000214E-2</v>
      </c>
      <c r="G37" s="103">
        <v>2.2581095274848573E-2</v>
      </c>
      <c r="H37" s="103">
        <v>0.24635167147006928</v>
      </c>
      <c r="I37" s="103">
        <v>-4.6956318885385279E-3</v>
      </c>
      <c r="J37" s="103">
        <v>-0.67599993564787719</v>
      </c>
      <c r="K37" s="103">
        <v>1</v>
      </c>
      <c r="L37" s="103">
        <v>-7.8353105134740433E-2</v>
      </c>
      <c r="M37" s="103">
        <v>-0.21639618930082502</v>
      </c>
      <c r="N37" s="103">
        <v>0.19375302959539628</v>
      </c>
      <c r="O37" s="103">
        <v>0.99999999999999667</v>
      </c>
      <c r="P37" s="104">
        <v>0.10021449825931879</v>
      </c>
      <c r="AA37" t="s">
        <v>6</v>
      </c>
      <c r="AB37" s="28">
        <f t="shared" si="8"/>
        <v>4.2516281415953226E-3</v>
      </c>
      <c r="AC37" s="28">
        <f t="shared" si="9"/>
        <v>2.9026193498220405E-2</v>
      </c>
      <c r="AD37" s="28">
        <f t="shared" si="10"/>
        <v>2.3144389180984687E-2</v>
      </c>
      <c r="AE37" s="28"/>
    </row>
    <row r="38" spans="1:31">
      <c r="A38" s="14" t="str">
        <f t="shared" si="7"/>
        <v>Onroerend goed</v>
      </c>
      <c r="B38" s="101">
        <v>2.9004535466817777E-2</v>
      </c>
      <c r="C38" s="16">
        <v>2.9695337030867255E-2</v>
      </c>
      <c r="D38" s="81">
        <v>1.9056173724036861E-3</v>
      </c>
      <c r="E38" s="101">
        <v>1.9869928286317163E-2</v>
      </c>
      <c r="F38" s="140">
        <v>4.1335192107909646E-2</v>
      </c>
      <c r="G38" s="103">
        <v>0.1251725022614297</v>
      </c>
      <c r="H38" s="103">
        <v>0.51643911880220816</v>
      </c>
      <c r="I38" s="103">
        <v>-0.2247432151012681</v>
      </c>
      <c r="J38" s="103">
        <v>1</v>
      </c>
      <c r="K38" s="103">
        <v>-4.3917362149479153E-2</v>
      </c>
      <c r="L38" s="103">
        <v>1</v>
      </c>
      <c r="M38" s="103">
        <v>-0.43189490419296961</v>
      </c>
      <c r="N38" s="103">
        <v>0.38457549107608074</v>
      </c>
      <c r="O38" s="103">
        <v>0.99999999999999745</v>
      </c>
      <c r="P38" s="104">
        <v>0.10021449825931955</v>
      </c>
    </row>
    <row r="39" spans="1:31">
      <c r="A39" s="15" t="str">
        <f t="shared" si="7"/>
        <v>Commodities</v>
      </c>
      <c r="B39" s="105">
        <v>3.3277821639815727E-2</v>
      </c>
      <c r="C39" s="100">
        <v>3.3292787922433821E-2</v>
      </c>
      <c r="D39" s="136">
        <v>4.2516281415953226E-3</v>
      </c>
      <c r="E39" s="105">
        <v>2.2825967062595282E-2</v>
      </c>
      <c r="F39" s="141">
        <v>5.6422210820800414E-2</v>
      </c>
      <c r="G39" s="106">
        <v>-0.66707013451332586</v>
      </c>
      <c r="H39" s="106">
        <v>-0.48981052161958782</v>
      </c>
      <c r="I39" s="106">
        <v>-0.15020235798996215</v>
      </c>
      <c r="J39" s="106">
        <v>-0.44046281503892737</v>
      </c>
      <c r="K39" s="106">
        <v>-0.11732276794765072</v>
      </c>
      <c r="L39" s="106">
        <v>0.89281766885442249</v>
      </c>
      <c r="M39" s="106">
        <v>-7.0109838764933527E-2</v>
      </c>
      <c r="N39" s="106">
        <v>-0.93925543530695332</v>
      </c>
      <c r="O39" s="106">
        <v>0.99999999999999056</v>
      </c>
      <c r="P39" s="107">
        <v>0.10021449825931397</v>
      </c>
    </row>
    <row r="40" spans="1:31">
      <c r="A40" s="22"/>
      <c r="B40" s="101"/>
      <c r="C40" s="101"/>
      <c r="D40" s="101"/>
      <c r="E40" s="101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</row>
    <row r="41" spans="1:31">
      <c r="D41" s="247" t="s">
        <v>136</v>
      </c>
      <c r="E41" s="256"/>
      <c r="F41" s="248"/>
      <c r="G41" s="247" t="s">
        <v>137</v>
      </c>
      <c r="H41" s="256"/>
      <c r="I41" s="256"/>
      <c r="J41" s="256"/>
      <c r="K41" s="256"/>
      <c r="L41" s="256"/>
      <c r="M41" s="256"/>
      <c r="N41" s="256"/>
      <c r="O41" s="256"/>
      <c r="P41" s="248"/>
    </row>
    <row r="42" spans="1:31">
      <c r="A42" s="108" t="str">
        <f>Parameters!A43</f>
        <v>Vermogenseffect &amp; innovatie</v>
      </c>
      <c r="B42" s="109" t="s">
        <v>116</v>
      </c>
      <c r="C42" s="17" t="s">
        <v>117</v>
      </c>
      <c r="D42" s="134">
        <v>0.25</v>
      </c>
      <c r="E42" s="133">
        <v>0.5</v>
      </c>
      <c r="F42" s="135">
        <v>0.75</v>
      </c>
      <c r="G42" s="148">
        <v>0.45408955016399899</v>
      </c>
      <c r="H42" s="149">
        <v>0.30825532889846008</v>
      </c>
      <c r="I42" s="148">
        <v>0.12432730937576297</v>
      </c>
      <c r="J42" s="148">
        <v>5.4968416372783713E-2</v>
      </c>
      <c r="K42" s="148">
        <v>3.187188234996996E-2</v>
      </c>
      <c r="L42" s="148">
        <v>2.2825358016224762E-2</v>
      </c>
      <c r="M42" s="148">
        <v>2.847855472869254E-3</v>
      </c>
      <c r="N42" s="148">
        <v>8.1429934992904851E-4</v>
      </c>
      <c r="O42" s="148">
        <v>0</v>
      </c>
      <c r="P42" s="150">
        <v>0</v>
      </c>
      <c r="AA42" t="str">
        <f>A43</f>
        <v>Nominale matching</v>
      </c>
      <c r="AB42" s="28">
        <f>D43</f>
        <v>0.52651026117844957</v>
      </c>
      <c r="AC42" s="28">
        <f>B43-D43</f>
        <v>3.6424900650785297E-2</v>
      </c>
      <c r="AD42" s="28">
        <f>F43-B43</f>
        <v>3.649782201883911E-2</v>
      </c>
      <c r="AE42" s="28"/>
    </row>
    <row r="43" spans="1:31">
      <c r="A43" s="14" t="str">
        <f>A17</f>
        <v>Nominale matching</v>
      </c>
      <c r="B43" s="101">
        <v>0.56293516182923486</v>
      </c>
      <c r="C43" s="16">
        <v>5.7265176928941654E-2</v>
      </c>
      <c r="D43" s="81">
        <v>0.52651026117844957</v>
      </c>
      <c r="E43" s="101">
        <v>0.55748749325857327</v>
      </c>
      <c r="F43" s="140">
        <v>0.59943298384807397</v>
      </c>
      <c r="G43" s="111">
        <v>-0.90498386404843056</v>
      </c>
      <c r="H43" s="111">
        <v>-0.61870031033465711</v>
      </c>
      <c r="I43" s="111">
        <v>-0.22466200113648865</v>
      </c>
      <c r="J43" s="111">
        <v>-0.39266681840814821</v>
      </c>
      <c r="K43" s="111">
        <v>-0.27660036304507524</v>
      </c>
      <c r="L43" s="111">
        <v>-0.33812666368006972</v>
      </c>
      <c r="M43" s="111">
        <v>-0.12960004144387746</v>
      </c>
      <c r="N43" s="111">
        <v>-0.78430593550387939</v>
      </c>
      <c r="O43" s="111">
        <v>0.99999999999999689</v>
      </c>
      <c r="P43" s="112">
        <v>0.11038333062359047</v>
      </c>
      <c r="AA43" t="str">
        <f>A44</f>
        <v>Reele matching</v>
      </c>
      <c r="AB43" s="28">
        <f>D44</f>
        <v>4.6299043860635947E-5</v>
      </c>
      <c r="AC43" s="28">
        <f>B44-D44</f>
        <v>1.1447942155222534E-2</v>
      </c>
      <c r="AD43" s="28">
        <f>F44-B44</f>
        <v>5.5184517717953643E-3</v>
      </c>
      <c r="AE43" s="28"/>
    </row>
    <row r="44" spans="1:31">
      <c r="A44" s="14" t="str">
        <f t="shared" ref="A44:A52" si="11">A18</f>
        <v>Reele matching</v>
      </c>
      <c r="B44" s="101">
        <v>1.1494241199083169E-2</v>
      </c>
      <c r="C44" s="16">
        <v>1.7644249533297102E-2</v>
      </c>
      <c r="D44" s="81">
        <v>4.6299043860635947E-5</v>
      </c>
      <c r="E44" s="101">
        <v>2.7579891457449419E-3</v>
      </c>
      <c r="F44" s="140">
        <v>1.7012692970878533E-2</v>
      </c>
      <c r="G44" s="111">
        <v>4.4675457160991118E-2</v>
      </c>
      <c r="H44" s="111">
        <v>7.7357356686010195E-2</v>
      </c>
      <c r="I44" s="111">
        <v>0.11554985453831473</v>
      </c>
      <c r="J44" s="111">
        <v>0.17718114593636738</v>
      </c>
      <c r="K44" s="111">
        <v>-5.7852344085660224E-3</v>
      </c>
      <c r="L44" s="111">
        <v>1</v>
      </c>
      <c r="M44" s="111">
        <v>-0.17411656635074188</v>
      </c>
      <c r="N44" s="111">
        <v>-0.69817088461803323</v>
      </c>
      <c r="O44" s="111">
        <v>0.99999999999999434</v>
      </c>
      <c r="P44" s="112">
        <v>0.11038333062359013</v>
      </c>
      <c r="AA44" t="s">
        <v>4</v>
      </c>
      <c r="AB44" s="28">
        <f>D46</f>
        <v>2.8128585474379401E-2</v>
      </c>
      <c r="AC44" s="28">
        <f>B46-D46</f>
        <v>5.3986068862648069E-2</v>
      </c>
      <c r="AD44" s="28">
        <f>F46-B46</f>
        <v>4.3642312015643031E-2</v>
      </c>
      <c r="AE44" s="28"/>
    </row>
    <row r="45" spans="1:31">
      <c r="A45" s="14" t="str">
        <f t="shared" si="11"/>
        <v>Credits</v>
      </c>
      <c r="B45" s="101">
        <v>0</v>
      </c>
      <c r="C45" s="16">
        <v>0</v>
      </c>
      <c r="D45" s="81">
        <v>0</v>
      </c>
      <c r="E45" s="101">
        <v>0</v>
      </c>
      <c r="F45" s="140">
        <v>0</v>
      </c>
      <c r="G45" s="111">
        <v>0</v>
      </c>
      <c r="H45" s="111">
        <v>0</v>
      </c>
      <c r="I45" s="111">
        <v>-1.6833513702245837E-16</v>
      </c>
      <c r="J45" s="111">
        <v>-1.5986516528646861E-16</v>
      </c>
      <c r="K45" s="111">
        <v>9.6181949266423735E-17</v>
      </c>
      <c r="L45" s="111">
        <v>-8.0983720212215808E-16</v>
      </c>
      <c r="M45" s="111">
        <v>6.0331489480206094E-16</v>
      </c>
      <c r="N45" s="111">
        <v>1.9122653662222985E-14</v>
      </c>
      <c r="O45" s="111">
        <v>-0.99344997561224968</v>
      </c>
      <c r="P45" s="112">
        <v>1</v>
      </c>
      <c r="AA45" t="s">
        <v>175</v>
      </c>
      <c r="AB45" s="28">
        <f t="shared" ref="AB45:AB50" si="12">D47</f>
        <v>4.1869041614141293E-5</v>
      </c>
      <c r="AC45" s="28">
        <f t="shared" ref="AC45:AC50" si="13">B47-D47</f>
        <v>4.3927806847634393E-3</v>
      </c>
      <c r="AD45" s="28">
        <f t="shared" ref="AD45:AD50" si="14">F47-B47</f>
        <v>8.3515007403598025E-4</v>
      </c>
      <c r="AE45" s="28"/>
    </row>
    <row r="46" spans="1:31">
      <c r="A46" s="14" t="str">
        <f t="shared" si="11"/>
        <v>High Yield</v>
      </c>
      <c r="B46" s="101">
        <v>8.2114654337027471E-2</v>
      </c>
      <c r="C46" s="16">
        <v>6.0027489031319325E-2</v>
      </c>
      <c r="D46" s="81">
        <v>2.8128585474379401E-2</v>
      </c>
      <c r="E46" s="101">
        <v>8.3033083900703894E-2</v>
      </c>
      <c r="F46" s="140">
        <v>0.1257569663526705</v>
      </c>
      <c r="G46" s="111">
        <v>1</v>
      </c>
      <c r="H46" s="111">
        <v>0.2363340176150642</v>
      </c>
      <c r="I46" s="111">
        <v>-0.98724099875818538</v>
      </c>
      <c r="J46" s="111">
        <v>-1.4214106120319855E-2</v>
      </c>
      <c r="K46" s="111">
        <v>-0.30095646130297549</v>
      </c>
      <c r="L46" s="111">
        <v>-0.24294359713452987</v>
      </c>
      <c r="M46" s="111">
        <v>-0.1093561754816072</v>
      </c>
      <c r="N46" s="111">
        <v>-0.27062604251510153</v>
      </c>
      <c r="O46" s="111">
        <v>0.99999999999999356</v>
      </c>
      <c r="P46" s="112">
        <v>0.11038333062358636</v>
      </c>
      <c r="AA46" t="s">
        <v>176</v>
      </c>
      <c r="AB46" s="28">
        <f t="shared" si="12"/>
        <v>8.0209016296813623E-2</v>
      </c>
      <c r="AC46" s="28">
        <f t="shared" si="13"/>
        <v>4.0344343643134634E-2</v>
      </c>
      <c r="AD46" s="28">
        <f t="shared" si="14"/>
        <v>5.0268080707468188E-2</v>
      </c>
      <c r="AE46" s="28"/>
    </row>
    <row r="47" spans="1:31">
      <c r="A47" s="14" t="str">
        <f t="shared" si="11"/>
        <v>Emerging market debt</v>
      </c>
      <c r="B47" s="101">
        <v>4.4346497263775802E-3</v>
      </c>
      <c r="C47" s="16">
        <v>6.8799371394638259E-3</v>
      </c>
      <c r="D47" s="81">
        <v>4.1869041614141293E-5</v>
      </c>
      <c r="E47" s="101">
        <v>9.8711307866259442E-4</v>
      </c>
      <c r="F47" s="140">
        <v>5.2697998004135604E-3</v>
      </c>
      <c r="G47" s="111">
        <v>-1.2582906722960899E-2</v>
      </c>
      <c r="H47" s="111">
        <v>2.4232264887598862E-2</v>
      </c>
      <c r="I47" s="111">
        <v>3.3091777058569471E-2</v>
      </c>
      <c r="J47" s="111">
        <v>-3.857316618007086E-2</v>
      </c>
      <c r="K47" s="111">
        <v>-5.5749607602548899E-2</v>
      </c>
      <c r="L47" s="111">
        <v>5.1112607191919651E-2</v>
      </c>
      <c r="M47" s="111">
        <v>1</v>
      </c>
      <c r="N47" s="111">
        <v>-3.890679721005158E-2</v>
      </c>
      <c r="O47" s="111">
        <v>1</v>
      </c>
      <c r="P47" s="112">
        <v>0.1103833306235846</v>
      </c>
      <c r="AA47" t="s">
        <v>177</v>
      </c>
      <c r="AB47" s="28">
        <f t="shared" si="12"/>
        <v>3.3304782234175011E-2</v>
      </c>
      <c r="AC47" s="28">
        <f t="shared" si="13"/>
        <v>2.7991915289427668E-2</v>
      </c>
      <c r="AD47" s="28">
        <f t="shared" si="14"/>
        <v>2.4416493550313494E-2</v>
      </c>
      <c r="AE47" s="28"/>
    </row>
    <row r="48" spans="1:31">
      <c r="A48" s="14" t="str">
        <f t="shared" si="11"/>
        <v>Aandelen ontwikkeld</v>
      </c>
      <c r="B48" s="101">
        <v>0.12055335993994826</v>
      </c>
      <c r="C48" s="16">
        <v>6.1704579668415978E-2</v>
      </c>
      <c r="D48" s="81">
        <v>8.0209016296813623E-2</v>
      </c>
      <c r="E48" s="101">
        <v>0.12695530132695429</v>
      </c>
      <c r="F48" s="140">
        <v>0.17082144064741644</v>
      </c>
      <c r="G48" s="111">
        <v>-0.60295717351216582</v>
      </c>
      <c r="H48" s="111">
        <v>1</v>
      </c>
      <c r="I48" s="111">
        <v>0.27350030957039584</v>
      </c>
      <c r="J48" s="111">
        <v>-0.10595331179903013</v>
      </c>
      <c r="K48" s="111">
        <v>-0.65030688452425911</v>
      </c>
      <c r="L48" s="111">
        <v>-0.15835824600085402</v>
      </c>
      <c r="M48" s="111">
        <v>-0.1529727806885732</v>
      </c>
      <c r="N48" s="111">
        <v>0.28330958278706603</v>
      </c>
      <c r="O48" s="111">
        <v>0.99999999999998845</v>
      </c>
      <c r="P48" s="112">
        <v>0.11038333062358194</v>
      </c>
      <c r="AA48" t="s">
        <v>5</v>
      </c>
      <c r="AB48" s="28">
        <f t="shared" si="12"/>
        <v>1.4211222028611933E-3</v>
      </c>
      <c r="AC48" s="28">
        <f t="shared" si="13"/>
        <v>2.3353189903811803E-2</v>
      </c>
      <c r="AD48" s="28">
        <f t="shared" si="14"/>
        <v>1.5994041115461405E-2</v>
      </c>
      <c r="AE48" s="28"/>
    </row>
    <row r="49" spans="1:31">
      <c r="A49" s="14" t="str">
        <f t="shared" si="11"/>
        <v>Aandelen opkomend</v>
      </c>
      <c r="B49" s="101">
        <v>6.1296697523602679E-2</v>
      </c>
      <c r="C49" s="16">
        <v>3.7331276392445358E-2</v>
      </c>
      <c r="D49" s="81">
        <v>3.3304782234175011E-2</v>
      </c>
      <c r="E49" s="101">
        <v>6.6089830483945497E-2</v>
      </c>
      <c r="F49" s="140">
        <v>8.5713191073916173E-2</v>
      </c>
      <c r="G49" s="111">
        <v>6.8823093010320469E-2</v>
      </c>
      <c r="H49" s="111">
        <v>-0.65047388528338579</v>
      </c>
      <c r="I49" s="111">
        <v>6.6637293144202997E-2</v>
      </c>
      <c r="J49" s="111">
        <v>0.49280745179426744</v>
      </c>
      <c r="K49" s="111">
        <v>-0.76568911151393282</v>
      </c>
      <c r="L49" s="111">
        <v>0.11857133155504952</v>
      </c>
      <c r="M49" s="111">
        <v>-0.11291371267132115</v>
      </c>
      <c r="N49" s="111">
        <v>1</v>
      </c>
      <c r="O49" s="111">
        <v>0.99999999999998268</v>
      </c>
      <c r="P49" s="112">
        <v>0.11038333062357607</v>
      </c>
      <c r="AA49" t="s">
        <v>178</v>
      </c>
      <c r="AB49" s="28">
        <f t="shared" si="12"/>
        <v>7.1461737977746881E-2</v>
      </c>
      <c r="AC49" s="28">
        <f t="shared" si="13"/>
        <v>3.7073267626661299E-2</v>
      </c>
      <c r="AD49" s="28">
        <f t="shared" si="14"/>
        <v>3.5471590987806445E-2</v>
      </c>
      <c r="AE49" s="28"/>
    </row>
    <row r="50" spans="1:31">
      <c r="A50" s="14" t="str">
        <f t="shared" si="11"/>
        <v>Hedge funds</v>
      </c>
      <c r="B50" s="101">
        <v>2.4774312106672997E-2</v>
      </c>
      <c r="C50" s="16">
        <v>2.7388000301845444E-2</v>
      </c>
      <c r="D50" s="81">
        <v>1.4211222028611933E-3</v>
      </c>
      <c r="E50" s="101">
        <v>1.3505140715030509E-2</v>
      </c>
      <c r="F50" s="140">
        <v>4.0768353222134401E-2</v>
      </c>
      <c r="G50" s="111">
        <v>-0.18173896268634354</v>
      </c>
      <c r="H50" s="111">
        <v>9.2702471702163863E-2</v>
      </c>
      <c r="I50" s="111">
        <v>0.12784171902342414</v>
      </c>
      <c r="J50" s="111">
        <v>1</v>
      </c>
      <c r="K50" s="111">
        <v>0.89230585073078028</v>
      </c>
      <c r="L50" s="111">
        <v>-0.38491696354986632</v>
      </c>
      <c r="M50" s="111">
        <v>-7.8017952503599219E-2</v>
      </c>
      <c r="N50" s="111">
        <v>-0.20010404388786282</v>
      </c>
      <c r="O50" s="111">
        <v>0.99999999999999223</v>
      </c>
      <c r="P50" s="112">
        <v>0.1103833306235856</v>
      </c>
      <c r="AA50" t="s">
        <v>6</v>
      </c>
      <c r="AB50" s="28">
        <f t="shared" si="12"/>
        <v>1.172996448312143E-3</v>
      </c>
      <c r="AC50" s="28">
        <f t="shared" si="13"/>
        <v>2.2688921285332602E-2</v>
      </c>
      <c r="AD50" s="28">
        <f t="shared" si="14"/>
        <v>1.9058822984261169E-2</v>
      </c>
      <c r="AE50" s="28"/>
    </row>
    <row r="51" spans="1:31">
      <c r="A51" s="14" t="str">
        <f t="shared" si="11"/>
        <v>Onroerend goed</v>
      </c>
      <c r="B51" s="101">
        <v>0.10853500560440818</v>
      </c>
      <c r="C51" s="16">
        <v>5.4457584568207464E-2</v>
      </c>
      <c r="D51" s="81">
        <v>7.1461737977746881E-2</v>
      </c>
      <c r="E51" s="101">
        <v>0.11246565394347513</v>
      </c>
      <c r="F51" s="140">
        <v>0.14400659659221463</v>
      </c>
      <c r="G51" s="111">
        <v>0.85498998145911986</v>
      </c>
      <c r="H51" s="111">
        <v>-0.15858597120469889</v>
      </c>
      <c r="I51" s="111">
        <v>1</v>
      </c>
      <c r="J51" s="111">
        <v>-0.50249202196378184</v>
      </c>
      <c r="K51" s="111">
        <v>0.1627818116665761</v>
      </c>
      <c r="L51" s="111">
        <v>-0.2611061118199649</v>
      </c>
      <c r="M51" s="111">
        <v>-0.13459577383184607</v>
      </c>
      <c r="N51" s="111">
        <v>-0.13745889653499754</v>
      </c>
      <c r="O51" s="111">
        <v>0.99999999999999234</v>
      </c>
      <c r="P51" s="112">
        <v>0.11038333062358527</v>
      </c>
    </row>
    <row r="52" spans="1:31">
      <c r="A52" s="15" t="str">
        <f t="shared" si="11"/>
        <v>Commodities</v>
      </c>
      <c r="B52" s="105">
        <v>2.3861917733644745E-2</v>
      </c>
      <c r="C52" s="100">
        <v>2.6323601738566928E-2</v>
      </c>
      <c r="D52" s="136">
        <v>1.172996448312143E-3</v>
      </c>
      <c r="E52" s="105">
        <v>1.4268832386093278E-2</v>
      </c>
      <c r="F52" s="141">
        <v>4.2920740717905914E-2</v>
      </c>
      <c r="G52" s="113">
        <v>-0.26622562466053101</v>
      </c>
      <c r="H52" s="113">
        <v>-2.865944068095462E-3</v>
      </c>
      <c r="I52" s="113">
        <v>-0.40471795344023342</v>
      </c>
      <c r="J52" s="113">
        <v>-0.6160891732592827</v>
      </c>
      <c r="K52" s="113">
        <v>1</v>
      </c>
      <c r="L52" s="113">
        <v>0.215767643438317</v>
      </c>
      <c r="M52" s="113">
        <v>-0.10842699702844176</v>
      </c>
      <c r="N52" s="113">
        <v>0.84626301748290389</v>
      </c>
      <c r="O52" s="113">
        <v>0.99999999999998468</v>
      </c>
      <c r="P52" s="147">
        <v>0.11038333062357744</v>
      </c>
    </row>
    <row r="53" spans="1:31">
      <c r="A53" s="22"/>
      <c r="B53" s="101"/>
      <c r="C53" s="101"/>
      <c r="D53" s="101"/>
      <c r="E53" s="101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</row>
    <row r="54" spans="1:31">
      <c r="D54" s="247" t="s">
        <v>136</v>
      </c>
      <c r="E54" s="256"/>
      <c r="F54" s="248"/>
      <c r="G54" s="247" t="s">
        <v>137</v>
      </c>
      <c r="H54" s="256"/>
      <c r="I54" s="256"/>
      <c r="J54" s="256"/>
      <c r="K54" s="256"/>
      <c r="L54" s="256"/>
      <c r="M54" s="256"/>
      <c r="N54" s="256"/>
      <c r="O54" s="256"/>
      <c r="P54" s="248"/>
    </row>
    <row r="55" spans="1:31">
      <c r="A55" s="108" t="str">
        <f>Parameters!A27</f>
        <v>Schuld deflatie</v>
      </c>
      <c r="B55" s="109" t="s">
        <v>116</v>
      </c>
      <c r="C55" s="17" t="s">
        <v>117</v>
      </c>
      <c r="D55" s="134">
        <v>0.25</v>
      </c>
      <c r="E55" s="133">
        <v>0.5</v>
      </c>
      <c r="F55" s="135">
        <v>0.75</v>
      </c>
      <c r="G55" s="137">
        <v>0.82414380265970677</v>
      </c>
      <c r="H55" s="138">
        <v>8.2299068568054579E-2</v>
      </c>
      <c r="I55" s="137">
        <v>2.3386984893758012E-2</v>
      </c>
      <c r="J55" s="137">
        <v>1.9142243543853188E-2</v>
      </c>
      <c r="K55" s="137">
        <v>1.8353244058137208E-2</v>
      </c>
      <c r="L55" s="137">
        <v>1.3395695043944111E-2</v>
      </c>
      <c r="M55" s="137">
        <v>1.0953525261249375E-2</v>
      </c>
      <c r="N55" s="137">
        <v>8.3254359712977566E-3</v>
      </c>
      <c r="O55" s="137">
        <v>0</v>
      </c>
      <c r="P55" s="139">
        <v>-2.2204460492503131E-16</v>
      </c>
      <c r="AA55" t="str">
        <f>A56</f>
        <v>Nominale matching</v>
      </c>
      <c r="AB55" s="28">
        <v>0.9</v>
      </c>
      <c r="AC55" s="28">
        <v>0.05</v>
      </c>
      <c r="AD55" s="28">
        <v>0.05</v>
      </c>
      <c r="AE55" s="28"/>
    </row>
    <row r="56" spans="1:31">
      <c r="A56" s="14" t="str">
        <f>A43</f>
        <v>Nominale matching</v>
      </c>
      <c r="B56" s="101">
        <v>0.99999992443495456</v>
      </c>
      <c r="C56" s="16">
        <v>7.8604768372736108E-8</v>
      </c>
      <c r="D56" s="81">
        <v>0.99999990360375723</v>
      </c>
      <c r="E56" s="101">
        <v>0.99999994419691407</v>
      </c>
      <c r="F56" s="140">
        <v>0.99999997770850291</v>
      </c>
      <c r="G56" s="103">
        <v>1</v>
      </c>
      <c r="H56" s="103">
        <v>0.91338212369429284</v>
      </c>
      <c r="I56" s="103">
        <v>0.11097589684336219</v>
      </c>
      <c r="J56" s="103">
        <v>-7.1366356755051874E-2</v>
      </c>
      <c r="K56" s="103">
        <v>2.2808236025337648E-2</v>
      </c>
      <c r="L56" s="103">
        <v>-6.461467782591708E-2</v>
      </c>
      <c r="M56" s="103">
        <v>-1.2993355881480914E-2</v>
      </c>
      <c r="N56" s="103">
        <v>2.4431335277416998E-2</v>
      </c>
      <c r="O56" s="103">
        <v>0.2261466109360678</v>
      </c>
      <c r="P56" s="104">
        <v>-0.49132335271412325</v>
      </c>
      <c r="AA56" t="str">
        <f>A57</f>
        <v>Reele matching</v>
      </c>
      <c r="AB56" s="28">
        <f>D57</f>
        <v>2.8944635004635319E-12</v>
      </c>
      <c r="AC56" s="28">
        <f>E57-D57</f>
        <v>8.0791515069932345E-10</v>
      </c>
      <c r="AD56" s="28">
        <f>F57-E57</f>
        <v>8.1998768748804962E-9</v>
      </c>
      <c r="AE56" s="28"/>
    </row>
    <row r="57" spans="1:31">
      <c r="A57" s="14" t="str">
        <f t="shared" ref="A57:A65" si="15">A44</f>
        <v>Reele matching</v>
      </c>
      <c r="B57" s="101">
        <v>2.7148566153486209E-8</v>
      </c>
      <c r="C57" s="16">
        <v>7.4122479576228001E-8</v>
      </c>
      <c r="D57" s="81">
        <v>2.8944635004635319E-12</v>
      </c>
      <c r="E57" s="101">
        <v>8.1080961419978698E-10</v>
      </c>
      <c r="F57" s="140">
        <v>9.0106864890802826E-9</v>
      </c>
      <c r="G57" s="103">
        <v>-0.9323521923490512</v>
      </c>
      <c r="H57" s="103">
        <v>1</v>
      </c>
      <c r="I57" s="103">
        <v>0.12539019522529818</v>
      </c>
      <c r="J57" s="103">
        <v>-6.6606185087548883E-2</v>
      </c>
      <c r="K57" s="103">
        <v>3.6258554157919155E-2</v>
      </c>
      <c r="L57" s="103">
        <v>-6.0792886850414479E-2</v>
      </c>
      <c r="M57" s="103">
        <v>-2.073383991743849E-2</v>
      </c>
      <c r="N57" s="103">
        <v>2.6537444480188226E-2</v>
      </c>
      <c r="O57" s="103">
        <v>0.2261466109971538</v>
      </c>
      <c r="P57" s="104">
        <v>-0.49132335284683765</v>
      </c>
      <c r="AA57" t="s">
        <v>4</v>
      </c>
      <c r="AB57" s="28">
        <f t="shared" ref="AB57:AB63" si="16">D59</f>
        <v>5.069990152295259E-12</v>
      </c>
      <c r="AC57" s="28">
        <f t="shared" ref="AC57:AD63" si="17">E59-D59</f>
        <v>7.3621326129715944E-10</v>
      </c>
      <c r="AD57" s="28">
        <f t="shared" si="17"/>
        <v>1.514410440910125E-8</v>
      </c>
      <c r="AE57" s="28"/>
    </row>
    <row r="58" spans="1:31">
      <c r="A58" s="14" t="str">
        <f t="shared" si="15"/>
        <v>Credits</v>
      </c>
      <c r="B58" s="101">
        <v>0</v>
      </c>
      <c r="C58" s="16">
        <v>0</v>
      </c>
      <c r="D58" s="81">
        <v>0</v>
      </c>
      <c r="E58" s="101">
        <v>0</v>
      </c>
      <c r="F58" s="140">
        <v>0</v>
      </c>
      <c r="G58" s="103">
        <v>0</v>
      </c>
      <c r="H58" s="103">
        <v>1.0839396600413911E-17</v>
      </c>
      <c r="I58" s="103">
        <v>-2.8637820871313817E-16</v>
      </c>
      <c r="J58" s="103">
        <v>5.0173963239402799E-16</v>
      </c>
      <c r="K58" s="103">
        <v>-2.3112949501507998E-16</v>
      </c>
      <c r="L58" s="103">
        <v>2.3972379672505705E-16</v>
      </c>
      <c r="M58" s="103">
        <v>7.8624541147380107E-16</v>
      </c>
      <c r="N58" s="103">
        <v>2.8827808554649007E-16</v>
      </c>
      <c r="O58" s="103">
        <v>1</v>
      </c>
      <c r="P58" s="104">
        <v>1</v>
      </c>
      <c r="AA58" t="s">
        <v>175</v>
      </c>
      <c r="AB58" s="28">
        <f t="shared" si="16"/>
        <v>2.2101979235463595E-13</v>
      </c>
      <c r="AC58" s="28">
        <f t="shared" si="17"/>
        <v>6.6883175331239316E-11</v>
      </c>
      <c r="AD58" s="28">
        <f t="shared" si="17"/>
        <v>2.5125427639360699E-9</v>
      </c>
      <c r="AE58" s="28"/>
    </row>
    <row r="59" spans="1:31">
      <c r="A59" s="14" t="str">
        <f t="shared" si="15"/>
        <v>High Yield</v>
      </c>
      <c r="B59" s="101">
        <v>1.093154268353222E-8</v>
      </c>
      <c r="C59" s="16">
        <v>1.8052920657438946E-8</v>
      </c>
      <c r="D59" s="81">
        <v>5.069990152295259E-12</v>
      </c>
      <c r="E59" s="101">
        <v>7.4128325144945468E-10</v>
      </c>
      <c r="F59" s="140">
        <v>1.5885387660550704E-8</v>
      </c>
      <c r="G59" s="103">
        <v>-5.7597186230773844E-3</v>
      </c>
      <c r="H59" s="103">
        <v>-0.47694511194710126</v>
      </c>
      <c r="I59" s="103">
        <v>1</v>
      </c>
      <c r="J59" s="103">
        <v>-0.35236596479282528</v>
      </c>
      <c r="K59" s="103">
        <v>0.30351926107015148</v>
      </c>
      <c r="L59" s="103">
        <v>0.40477726522846125</v>
      </c>
      <c r="M59" s="103">
        <v>-0.22082974693384602</v>
      </c>
      <c r="N59" s="103">
        <v>0.11459548365415716</v>
      </c>
      <c r="O59" s="103">
        <v>0.22614661090189236</v>
      </c>
      <c r="P59" s="104">
        <v>-0.49132335263987381</v>
      </c>
      <c r="AA59" t="s">
        <v>176</v>
      </c>
      <c r="AB59" s="28">
        <f t="shared" si="16"/>
        <v>1.1010761425523883E-12</v>
      </c>
      <c r="AC59" s="28">
        <f t="shared" si="17"/>
        <v>1.6934568049493339E-10</v>
      </c>
      <c r="AD59" s="28">
        <f t="shared" si="17"/>
        <v>5.3167925493199581E-9</v>
      </c>
      <c r="AE59" s="28"/>
    </row>
    <row r="60" spans="1:31">
      <c r="A60" s="14" t="str">
        <f t="shared" si="15"/>
        <v>Emerging market debt</v>
      </c>
      <c r="B60" s="101">
        <v>6.5816472501457847E-9</v>
      </c>
      <c r="C60" s="16">
        <v>1.5538621272802571E-8</v>
      </c>
      <c r="D60" s="81">
        <v>2.2101979235463595E-13</v>
      </c>
      <c r="E60" s="101">
        <v>6.7104195123593958E-11</v>
      </c>
      <c r="F60" s="140">
        <v>2.579646959059664E-9</v>
      </c>
      <c r="G60" s="103">
        <v>-9.5505099660162674E-3</v>
      </c>
      <c r="H60" s="103">
        <v>-0.27040818418141394</v>
      </c>
      <c r="I60" s="103">
        <v>0.28835554181132206</v>
      </c>
      <c r="J60" s="103">
        <v>1</v>
      </c>
      <c r="K60" s="103">
        <v>-0.85055155986085818</v>
      </c>
      <c r="L60" s="103">
        <v>-0.46815592999823946</v>
      </c>
      <c r="M60" s="103">
        <v>-5.1318602923434736E-2</v>
      </c>
      <c r="N60" s="103">
        <v>-3.1229050138671759E-2</v>
      </c>
      <c r="O60" s="103">
        <v>0.22614661099196218</v>
      </c>
      <c r="P60" s="104">
        <v>-0.49132335283555856</v>
      </c>
      <c r="AA60" t="s">
        <v>177</v>
      </c>
      <c r="AB60" s="28">
        <f t="shared" si="16"/>
        <v>7.4494370688242267E-14</v>
      </c>
      <c r="AC60" s="28">
        <f t="shared" si="17"/>
        <v>1.6361099963627142E-10</v>
      </c>
      <c r="AD60" s="28">
        <f t="shared" si="17"/>
        <v>3.4817518206832302E-9</v>
      </c>
      <c r="AE60" s="28"/>
    </row>
    <row r="61" spans="1:31">
      <c r="A61" s="14" t="str">
        <f t="shared" si="15"/>
        <v>Aandelen ontwikkeld</v>
      </c>
      <c r="B61" s="101">
        <v>6.4495261612309639E-9</v>
      </c>
      <c r="C61" s="16">
        <v>1.4167012655600187E-8</v>
      </c>
      <c r="D61" s="81">
        <v>1.1010761425523883E-12</v>
      </c>
      <c r="E61" s="101">
        <v>1.7044675663748577E-10</v>
      </c>
      <c r="F61" s="140">
        <v>5.4872393059574441E-9</v>
      </c>
      <c r="G61" s="103">
        <v>-1.5170762804689526E-2</v>
      </c>
      <c r="H61" s="103">
        <v>-0.35044412668351033</v>
      </c>
      <c r="I61" s="103">
        <v>-7.2265064776662696E-2</v>
      </c>
      <c r="J61" s="103">
        <v>-0.2973860835197622</v>
      </c>
      <c r="K61" s="103">
        <v>0.5259759233966762</v>
      </c>
      <c r="L61" s="103">
        <v>-0.77865419609240383</v>
      </c>
      <c r="M61" s="103">
        <v>1</v>
      </c>
      <c r="N61" s="103">
        <v>1.9528748089511435E-2</v>
      </c>
      <c r="O61" s="103">
        <v>0.22614661099509734</v>
      </c>
      <c r="P61" s="104">
        <v>-0.49132335284237005</v>
      </c>
      <c r="AA61" t="s">
        <v>5</v>
      </c>
      <c r="AB61" s="28">
        <v>0</v>
      </c>
      <c r="AC61" s="28">
        <v>0.05</v>
      </c>
      <c r="AD61" s="28">
        <v>0.05</v>
      </c>
      <c r="AE61" s="28"/>
    </row>
    <row r="62" spans="1:31">
      <c r="A62" s="14" t="str">
        <f t="shared" si="15"/>
        <v>Aandelen opkomend</v>
      </c>
      <c r="B62" s="101">
        <v>6.0879642610851324E-9</v>
      </c>
      <c r="C62" s="16">
        <v>1.3964632763771901E-8</v>
      </c>
      <c r="D62" s="81">
        <v>7.4494370688242267E-14</v>
      </c>
      <c r="E62" s="101">
        <v>1.6368549400695967E-10</v>
      </c>
      <c r="F62" s="140">
        <v>3.6454373146901897E-9</v>
      </c>
      <c r="G62" s="103">
        <v>-1.5785123487088208E-2</v>
      </c>
      <c r="H62" s="103">
        <v>-0.25471377717164356</v>
      </c>
      <c r="I62" s="103">
        <v>-0.28784079112765498</v>
      </c>
      <c r="J62" s="103">
        <v>-0.76144992349853402</v>
      </c>
      <c r="K62" s="103">
        <v>-0.67588746071512706</v>
      </c>
      <c r="L62" s="103">
        <v>-7.5747725671912763E-2</v>
      </c>
      <c r="M62" s="103">
        <v>-0.37580322619275713</v>
      </c>
      <c r="N62" s="103">
        <v>-0.74848872494890228</v>
      </c>
      <c r="O62" s="103">
        <v>0.22614661099963665</v>
      </c>
      <c r="P62" s="104">
        <v>-0.49132335285223139</v>
      </c>
      <c r="AA62" t="s">
        <v>178</v>
      </c>
      <c r="AB62" s="28">
        <f t="shared" si="16"/>
        <v>4.4933225283438228E-13</v>
      </c>
      <c r="AC62" s="28">
        <f t="shared" si="17"/>
        <v>1.5861740931227799E-10</v>
      </c>
      <c r="AD62" s="28">
        <f t="shared" si="17"/>
        <v>7.137516990885788E-9</v>
      </c>
      <c r="AE62" s="28"/>
    </row>
    <row r="63" spans="1:31">
      <c r="A63" s="14" t="str">
        <f t="shared" si="15"/>
        <v>Hedge funds</v>
      </c>
      <c r="B63" s="101">
        <v>5.9375376805316672E-9</v>
      </c>
      <c r="C63" s="16">
        <v>1.2812021090514689E-8</v>
      </c>
      <c r="D63" s="81">
        <v>9.0370340648557918E-13</v>
      </c>
      <c r="E63" s="101">
        <v>1.8205347745445878E-10</v>
      </c>
      <c r="F63" s="140">
        <v>3.0945051549197845E-9</v>
      </c>
      <c r="G63" s="103">
        <v>-5.13952826335674E-3</v>
      </c>
      <c r="H63" s="103">
        <v>-9.4618082518787394E-2</v>
      </c>
      <c r="I63" s="103">
        <v>-0.30437371286747661</v>
      </c>
      <c r="J63" s="103">
        <v>0.44489864171805876</v>
      </c>
      <c r="K63" s="103">
        <v>9.9412168888420485E-2</v>
      </c>
      <c r="L63" s="103">
        <v>1</v>
      </c>
      <c r="M63" s="103">
        <v>0.69585846567774479</v>
      </c>
      <c r="N63" s="103">
        <v>-0.31965928760334672</v>
      </c>
      <c r="O63" s="103">
        <v>0.22614661108876555</v>
      </c>
      <c r="P63" s="104">
        <v>-0.49132335304587177</v>
      </c>
      <c r="AA63" t="s">
        <v>6</v>
      </c>
      <c r="AB63" s="28">
        <f t="shared" si="16"/>
        <v>1.4216807710692625E-13</v>
      </c>
      <c r="AC63" s="28">
        <f t="shared" si="17"/>
        <v>6.2075086838010139E-11</v>
      </c>
      <c r="AD63" s="28">
        <f t="shared" si="17"/>
        <v>2.5407324117580706E-9</v>
      </c>
      <c r="AE63" s="28"/>
    </row>
    <row r="64" spans="1:31">
      <c r="A64" s="14" t="str">
        <f t="shared" si="15"/>
        <v>Onroerend goed</v>
      </c>
      <c r="B64" s="101">
        <v>6.1526089353710445E-9</v>
      </c>
      <c r="C64" s="16">
        <v>1.2787557980995132E-8</v>
      </c>
      <c r="D64" s="81">
        <v>4.4933225283438228E-13</v>
      </c>
      <c r="E64" s="101">
        <v>1.5906674156511237E-10</v>
      </c>
      <c r="F64" s="140">
        <v>7.2965837324509005E-9</v>
      </c>
      <c r="G64" s="103">
        <v>-1.2785238874526487E-2</v>
      </c>
      <c r="H64" s="103">
        <v>-0.23639602337253643</v>
      </c>
      <c r="I64" s="103">
        <v>-0.45748239050155959</v>
      </c>
      <c r="J64" s="103">
        <v>-0.31118202290363151</v>
      </c>
      <c r="K64" s="103">
        <v>-0.4615351232718139</v>
      </c>
      <c r="L64" s="103">
        <v>0.20636817915600053</v>
      </c>
      <c r="M64" s="103">
        <v>-0.12962492579427229</v>
      </c>
      <c r="N64" s="103">
        <v>1</v>
      </c>
      <c r="O64" s="103">
        <v>0.22614661073932812</v>
      </c>
      <c r="P64" s="104">
        <v>-0.49132335228668977</v>
      </c>
    </row>
    <row r="65" spans="1:37">
      <c r="A65" s="15" t="str">
        <f t="shared" si="15"/>
        <v>Commodities</v>
      </c>
      <c r="B65" s="105">
        <v>6.2756529541365454E-9</v>
      </c>
      <c r="C65" s="100">
        <v>1.4430486674667779E-8</v>
      </c>
      <c r="D65" s="136">
        <v>1.4216807710692625E-13</v>
      </c>
      <c r="E65" s="105">
        <v>6.2217254915117069E-11</v>
      </c>
      <c r="F65" s="141">
        <v>2.6029496666731875E-9</v>
      </c>
      <c r="G65" s="106">
        <v>-3.4569253776330707E-3</v>
      </c>
      <c r="H65" s="106">
        <v>-0.22985681804125549</v>
      </c>
      <c r="I65" s="106">
        <v>-0.40275967459710654</v>
      </c>
      <c r="J65" s="106">
        <v>0.41545789421940571</v>
      </c>
      <c r="K65" s="106">
        <v>1</v>
      </c>
      <c r="L65" s="106">
        <v>-0.16318002800062853</v>
      </c>
      <c r="M65" s="106">
        <v>-0.88455476866408878</v>
      </c>
      <c r="N65" s="106">
        <v>-8.5715947489413913E-2</v>
      </c>
      <c r="O65" s="106">
        <v>0.22614661096764779</v>
      </c>
      <c r="P65" s="107">
        <v>-0.49132335278273354</v>
      </c>
    </row>
    <row r="66" spans="1:37">
      <c r="A66" s="22"/>
      <c r="B66" s="101"/>
      <c r="C66" s="101"/>
      <c r="D66" s="101"/>
      <c r="E66" s="101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</row>
    <row r="67" spans="1:37">
      <c r="D67" s="247" t="s">
        <v>136</v>
      </c>
      <c r="E67" s="256"/>
      <c r="F67" s="248"/>
      <c r="G67" s="247" t="s">
        <v>137</v>
      </c>
      <c r="H67" s="256"/>
      <c r="I67" s="256"/>
      <c r="J67" s="256"/>
      <c r="K67" s="256"/>
      <c r="L67" s="256"/>
      <c r="M67" s="256"/>
      <c r="N67" s="256"/>
      <c r="O67" s="256"/>
      <c r="P67" s="248"/>
    </row>
    <row r="68" spans="1:37">
      <c r="A68" s="108" t="str">
        <f>Parameters!A28</f>
        <v>Kansgewogen</v>
      </c>
      <c r="B68" s="109" t="s">
        <v>116</v>
      </c>
      <c r="C68" s="17" t="s">
        <v>117</v>
      </c>
      <c r="D68" s="134">
        <v>0.25</v>
      </c>
      <c r="E68" s="133">
        <v>0.5</v>
      </c>
      <c r="F68" s="135">
        <v>0.75</v>
      </c>
      <c r="G68" s="137">
        <v>0.93828291908338213</v>
      </c>
      <c r="H68" s="138">
        <v>5.3291807180780748E-2</v>
      </c>
      <c r="I68" s="137">
        <v>5.1861143550694377E-3</v>
      </c>
      <c r="J68" s="137">
        <v>1.8769107048255407E-3</v>
      </c>
      <c r="K68" s="137">
        <v>8.8808172896381876E-4</v>
      </c>
      <c r="L68" s="137">
        <v>3.7464985700552678E-4</v>
      </c>
      <c r="M68" s="137">
        <v>7.9944707227497247E-5</v>
      </c>
      <c r="N68" s="137">
        <v>1.9572382745303152E-5</v>
      </c>
      <c r="O68" s="137">
        <v>0</v>
      </c>
      <c r="P68" s="139">
        <v>0</v>
      </c>
      <c r="AA68" t="str">
        <f>A69</f>
        <v>Nominale matching</v>
      </c>
      <c r="AB68" s="28">
        <f>D69</f>
        <v>0.70144276110190562</v>
      </c>
      <c r="AC68" s="28">
        <f>E69-D69</f>
        <v>2.491285386453046E-3</v>
      </c>
      <c r="AD68" s="28">
        <f>F69-E69</f>
        <v>4.1691464881947748E-3</v>
      </c>
      <c r="AE68" s="28"/>
      <c r="AF68" t="str">
        <f>AA68</f>
        <v>Nominale matching</v>
      </c>
      <c r="AG68" s="146">
        <f>AB16*$X$4+AB29*$X$5+AB42*$X$6+AB55*$X$7</f>
        <v>0.58182660830831012</v>
      </c>
      <c r="AH68" s="146">
        <f>AC16*$X$4+AC29*$X$5+AC42*$X$6+AC55*$X$7</f>
        <v>3.4134256427897205E-2</v>
      </c>
      <c r="AI68" s="146">
        <f>AD16*$X$4+AD29*$X$5+AD42*$X$6+AD55*$X$7</f>
        <v>3.6089021638853747E-2</v>
      </c>
      <c r="AK68" s="28">
        <f>AG68+AH68</f>
        <v>0.61596086473620737</v>
      </c>
    </row>
    <row r="69" spans="1:37">
      <c r="A69" s="122" t="str">
        <f>A56</f>
        <v>Nominale matching</v>
      </c>
      <c r="B69" s="101">
        <v>0.70475663433640834</v>
      </c>
      <c r="C69" s="16">
        <v>3.7929974671519736E-3</v>
      </c>
      <c r="D69" s="81">
        <v>0.70144276110190562</v>
      </c>
      <c r="E69" s="101">
        <v>0.70393404648835867</v>
      </c>
      <c r="F69" s="140">
        <v>0.70810319297655344</v>
      </c>
      <c r="G69" s="103">
        <v>0.21380355724294231</v>
      </c>
      <c r="H69" s="103">
        <v>-0.19696250245917393</v>
      </c>
      <c r="I69" s="103">
        <v>0.34653313083394782</v>
      </c>
      <c r="J69" s="103">
        <v>0.16319359844914352</v>
      </c>
      <c r="K69" s="103">
        <v>1</v>
      </c>
      <c r="L69" s="103">
        <v>0.60392418592125052</v>
      </c>
      <c r="M69" s="103">
        <v>-0.65437159199821771</v>
      </c>
      <c r="N69" s="103">
        <v>0.29107382649690111</v>
      </c>
      <c r="O69" s="103">
        <v>0.99999999999959754</v>
      </c>
      <c r="P69" s="104">
        <v>1.3789030635029812E-3</v>
      </c>
      <c r="AA69" t="str">
        <f>A70</f>
        <v>Reele matching</v>
      </c>
      <c r="AB69" s="28">
        <f>D70</f>
        <v>4.7646432275997911E-6</v>
      </c>
      <c r="AC69" s="28">
        <f>E70-D70</f>
        <v>2.9289922108919068E-5</v>
      </c>
      <c r="AD69" s="28">
        <f>F70-E70</f>
        <v>4.1264613211253496E-4</v>
      </c>
      <c r="AE69" s="28"/>
      <c r="AF69" t="str">
        <f t="shared" ref="AF69:AF76" si="18">AA69</f>
        <v>Reele matching</v>
      </c>
      <c r="AG69" s="146">
        <f t="shared" ref="AG69:AI76" si="19">AB17*$X$4+AB30*$X$5+AB43*$X$6+AB56*$X$7</f>
        <v>3.578207389429687E-2</v>
      </c>
      <c r="AH69" s="146">
        <f t="shared" si="19"/>
        <v>8.5950974421986556E-3</v>
      </c>
      <c r="AI69" s="146">
        <f t="shared" si="19"/>
        <v>5.3937182237487414E-3</v>
      </c>
      <c r="AK69" s="28">
        <f t="shared" ref="AK69:AK76" si="20">AG69+AH69</f>
        <v>4.4377171336495526E-2</v>
      </c>
    </row>
    <row r="70" spans="1:37">
      <c r="A70" s="14" t="str">
        <f t="shared" ref="A70:A78" si="21">A57</f>
        <v>Reele matching</v>
      </c>
      <c r="B70" s="101">
        <v>2.3159753258950394E-4</v>
      </c>
      <c r="C70" s="16">
        <v>3.2348620778040345E-4</v>
      </c>
      <c r="D70" s="81">
        <v>4.7646432275997911E-6</v>
      </c>
      <c r="E70" s="101">
        <v>3.405456533651886E-5</v>
      </c>
      <c r="F70" s="140">
        <v>4.4670069744905382E-4</v>
      </c>
      <c r="G70" s="103">
        <v>-4.4973619264004078E-3</v>
      </c>
      <c r="H70" s="103">
        <v>-2.5614723200046832E-2</v>
      </c>
      <c r="I70" s="103">
        <v>7.9149982221902684E-2</v>
      </c>
      <c r="J70" s="103">
        <v>-0.13547108456277773</v>
      </c>
      <c r="K70" s="103">
        <v>-8.7748908889317342E-2</v>
      </c>
      <c r="L70" s="103">
        <v>-0.75610935138134583</v>
      </c>
      <c r="M70" s="103">
        <v>0.20366432375803306</v>
      </c>
      <c r="N70" s="103">
        <v>1</v>
      </c>
      <c r="O70" s="103">
        <v>0.99999999999983069</v>
      </c>
      <c r="P70" s="104">
        <v>1.3789030635025586E-3</v>
      </c>
      <c r="AA70" t="s">
        <v>4</v>
      </c>
      <c r="AB70" s="28">
        <f t="shared" ref="AB70:AB76" si="22">D72</f>
        <v>6.1990060300473037E-6</v>
      </c>
      <c r="AC70" s="28">
        <f t="shared" ref="AC70:AD76" si="23">E72-D72</f>
        <v>1.3284818062525188E-5</v>
      </c>
      <c r="AD70" s="28">
        <f t="shared" si="23"/>
        <v>7.6698091999289984E-3</v>
      </c>
      <c r="AE70" s="28"/>
      <c r="AF70" t="str">
        <f t="shared" si="18"/>
        <v>High Yield</v>
      </c>
      <c r="AG70" s="146">
        <f t="shared" si="19"/>
        <v>5.7369138056050643E-2</v>
      </c>
      <c r="AH70" s="146">
        <f t="shared" si="19"/>
        <v>3.1556686676202948E-2</v>
      </c>
      <c r="AI70" s="146">
        <f t="shared" si="19"/>
        <v>3.637160872054835E-2</v>
      </c>
      <c r="AK70" s="28">
        <f t="shared" si="20"/>
        <v>8.8925824732253592E-2</v>
      </c>
    </row>
    <row r="71" spans="1:37">
      <c r="A71" s="14" t="str">
        <f t="shared" si="21"/>
        <v>Credits</v>
      </c>
      <c r="B71" s="101">
        <v>0</v>
      </c>
      <c r="C71" s="16">
        <v>0</v>
      </c>
      <c r="D71" s="81">
        <v>0</v>
      </c>
      <c r="E71" s="101">
        <v>0</v>
      </c>
      <c r="F71" s="140">
        <v>0</v>
      </c>
      <c r="G71" s="103">
        <v>0</v>
      </c>
      <c r="H71" s="103">
        <v>-3.6909930129739521E-17</v>
      </c>
      <c r="I71" s="103">
        <v>3.4707607275072221E-16</v>
      </c>
      <c r="J71" s="103">
        <v>0</v>
      </c>
      <c r="K71" s="103">
        <v>-4.3627480122517466E-16</v>
      </c>
      <c r="L71" s="103">
        <v>-1.0498851049945573E-15</v>
      </c>
      <c r="M71" s="103">
        <v>2.1621700053497937E-16</v>
      </c>
      <c r="N71" s="103">
        <v>-5.3554991715845105E-16</v>
      </c>
      <c r="O71" s="103">
        <v>-1.2410127571520132E-2</v>
      </c>
      <c r="P71" s="104">
        <v>1</v>
      </c>
      <c r="AA71" t="s">
        <v>175</v>
      </c>
      <c r="AB71" s="28">
        <f t="shared" si="22"/>
        <v>0.11235349341982703</v>
      </c>
      <c r="AC71" s="28">
        <f t="shared" si="23"/>
        <v>1.6727386533876537E-2</v>
      </c>
      <c r="AD71" s="28">
        <f t="shared" si="23"/>
        <v>1.0034041516330389E-2</v>
      </c>
      <c r="AE71" s="28"/>
      <c r="AF71" t="str">
        <f t="shared" si="18"/>
        <v>Emerging market debt</v>
      </c>
      <c r="AG71" s="146">
        <f t="shared" si="19"/>
        <v>1.3814674630302086E-2</v>
      </c>
      <c r="AH71" s="146">
        <f t="shared" si="19"/>
        <v>4.0224730530723576E-2</v>
      </c>
      <c r="AI71" s="146">
        <f t="shared" si="19"/>
        <v>3.5958278971862614E-2</v>
      </c>
      <c r="AK71" s="28">
        <f t="shared" si="20"/>
        <v>5.4039405161025664E-2</v>
      </c>
    </row>
    <row r="72" spans="1:37">
      <c r="A72" s="14" t="str">
        <f t="shared" si="21"/>
        <v>High Yield</v>
      </c>
      <c r="B72" s="101">
        <v>3.2343527104753229E-3</v>
      </c>
      <c r="C72" s="16">
        <v>4.7330451819263654E-3</v>
      </c>
      <c r="D72" s="81">
        <v>6.1990060300473037E-6</v>
      </c>
      <c r="E72" s="101">
        <v>1.9483824092572492E-5</v>
      </c>
      <c r="F72" s="140">
        <v>7.689293024021571E-3</v>
      </c>
      <c r="G72" s="103">
        <v>-0.11570041845772593</v>
      </c>
      <c r="H72" s="103">
        <v>1</v>
      </c>
      <c r="I72" s="103">
        <v>-0.73252615283236333</v>
      </c>
      <c r="J72" s="103">
        <v>-0.28173471042306164</v>
      </c>
      <c r="K72" s="103">
        <v>0.13875420219107046</v>
      </c>
      <c r="L72" s="103">
        <v>0.19844122590661972</v>
      </c>
      <c r="M72" s="103">
        <v>-0.19182192965247125</v>
      </c>
      <c r="N72" s="103">
        <v>-2.6321736374857154E-2</v>
      </c>
      <c r="O72" s="103">
        <v>0.99999999999971023</v>
      </c>
      <c r="P72" s="104">
        <v>1.3789030635026948E-3</v>
      </c>
      <c r="AA72" t="s">
        <v>176</v>
      </c>
      <c r="AB72" s="28">
        <f t="shared" si="22"/>
        <v>2.8406471512415764E-4</v>
      </c>
      <c r="AC72" s="28">
        <f t="shared" si="23"/>
        <v>1.3150456541690518E-2</v>
      </c>
      <c r="AD72" s="28">
        <f t="shared" si="23"/>
        <v>1.7244243343256874E-2</v>
      </c>
      <c r="AE72" s="28"/>
      <c r="AF72" t="str">
        <f t="shared" si="18"/>
        <v>Aandelen ontwikkeld</v>
      </c>
      <c r="AG72" s="146">
        <f t="shared" si="19"/>
        <v>2.1786641882673336E-2</v>
      </c>
      <c r="AH72" s="146">
        <f t="shared" si="19"/>
        <v>4.3149720753694089E-2</v>
      </c>
      <c r="AI72" s="146">
        <f t="shared" si="19"/>
        <v>4.1580124097844166E-2</v>
      </c>
      <c r="AK72" s="28">
        <f t="shared" si="20"/>
        <v>6.4936362636367428E-2</v>
      </c>
    </row>
    <row r="73" spans="1:37">
      <c r="A73" s="14" t="str">
        <f t="shared" si="21"/>
        <v>Emerging market debt</v>
      </c>
      <c r="B73" s="101">
        <v>0.12696408021011099</v>
      </c>
      <c r="C73" s="16">
        <v>1.5795989106399764E-2</v>
      </c>
      <c r="D73" s="81">
        <v>0.11235349341982703</v>
      </c>
      <c r="E73" s="101">
        <v>0.12908087995370357</v>
      </c>
      <c r="F73" s="140">
        <v>0.13911492147003396</v>
      </c>
      <c r="G73" s="103">
        <v>-0.9114553638209173</v>
      </c>
      <c r="H73" s="103">
        <v>-0.6719866340888393</v>
      </c>
      <c r="I73" s="103">
        <v>-0.4337156266090807</v>
      </c>
      <c r="J73" s="103">
        <v>-0.31677935890848913</v>
      </c>
      <c r="K73" s="103">
        <v>-8.3352973716039876E-4</v>
      </c>
      <c r="L73" s="103">
        <v>-1.6651129676862251E-2</v>
      </c>
      <c r="M73" s="103">
        <v>-0.23551080757439294</v>
      </c>
      <c r="N73" s="103">
        <v>-0.21150667441390081</v>
      </c>
      <c r="O73" s="103">
        <v>0.99999999999971301</v>
      </c>
      <c r="P73" s="104">
        <v>1.3789030635024703E-3</v>
      </c>
      <c r="AA73" t="s">
        <v>177</v>
      </c>
      <c r="AB73" s="28">
        <f t="shared" si="22"/>
        <v>0.1449131865806339</v>
      </c>
      <c r="AC73" s="28">
        <f t="shared" si="23"/>
        <v>1.9362408987169677E-3</v>
      </c>
      <c r="AD73" s="28">
        <f t="shared" si="23"/>
        <v>1.0233393281268988E-3</v>
      </c>
      <c r="AE73" s="28"/>
      <c r="AF73" t="str">
        <f t="shared" si="18"/>
        <v>Aandelen opkomend</v>
      </c>
      <c r="AG73" s="146">
        <f t="shared" si="19"/>
        <v>6.16104681616022E-3</v>
      </c>
      <c r="AH73" s="146">
        <f t="shared" si="19"/>
        <v>2.5440459965013113E-2</v>
      </c>
      <c r="AI73" s="146">
        <f t="shared" si="19"/>
        <v>1.9709094306320323E-2</v>
      </c>
      <c r="AK73" s="28">
        <f t="shared" si="20"/>
        <v>3.1601506781173336E-2</v>
      </c>
    </row>
    <row r="74" spans="1:37">
      <c r="A74" s="14" t="str">
        <f t="shared" si="21"/>
        <v>Aandelen ontwikkeld</v>
      </c>
      <c r="B74" s="101">
        <v>1.5681293540962635E-2</v>
      </c>
      <c r="C74" s="16">
        <v>1.7145488903717688E-2</v>
      </c>
      <c r="D74" s="81">
        <v>2.8406471512415764E-4</v>
      </c>
      <c r="E74" s="101">
        <v>1.3434521256814677E-2</v>
      </c>
      <c r="F74" s="140">
        <v>3.0678764600071549E-2</v>
      </c>
      <c r="G74" s="103">
        <v>1</v>
      </c>
      <c r="H74" s="103">
        <v>-0.42918269275704168</v>
      </c>
      <c r="I74" s="103">
        <v>-0.49252104506149391</v>
      </c>
      <c r="J74" s="103">
        <v>-0.30918459130153014</v>
      </c>
      <c r="K74" s="103">
        <v>-0.14828674432991887</v>
      </c>
      <c r="L74" s="103">
        <v>-0.19793948795997032</v>
      </c>
      <c r="M74" s="103">
        <v>-2.2269187781268487E-2</v>
      </c>
      <c r="N74" s="103">
        <v>-0.3282950768904101</v>
      </c>
      <c r="O74" s="103">
        <v>0.99999999999976663</v>
      </c>
      <c r="P74" s="104">
        <v>1.3789030635024055E-3</v>
      </c>
      <c r="AA74" t="s">
        <v>5</v>
      </c>
      <c r="AB74" s="28">
        <f t="shared" si="22"/>
        <v>7.818341962161639E-7</v>
      </c>
      <c r="AC74" s="28">
        <f t="shared" si="23"/>
        <v>9.4038496715499319E-4</v>
      </c>
      <c r="AD74" s="28">
        <f t="shared" si="23"/>
        <v>4.3709760839270254E-4</v>
      </c>
      <c r="AE74" s="28"/>
      <c r="AF74" t="str">
        <f t="shared" si="18"/>
        <v>Hedge funds</v>
      </c>
      <c r="AG74" s="146">
        <f t="shared" si="19"/>
        <v>2.3189523812832346E-3</v>
      </c>
      <c r="AH74" s="146">
        <f t="shared" si="19"/>
        <v>5.0947035929025261E-2</v>
      </c>
      <c r="AI74" s="146">
        <f t="shared" si="19"/>
        <v>4.4619749308550755E-2</v>
      </c>
      <c r="AK74" s="28">
        <f t="shared" si="20"/>
        <v>5.3265988310308494E-2</v>
      </c>
    </row>
    <row r="75" spans="1:37">
      <c r="A75" s="14" t="str">
        <f t="shared" si="21"/>
        <v>Aandelen opkomend</v>
      </c>
      <c r="B75" s="101">
        <v>0.14629153668560305</v>
      </c>
      <c r="C75" s="16">
        <v>2.1090608652891869E-3</v>
      </c>
      <c r="D75" s="81">
        <v>0.1449131865806339</v>
      </c>
      <c r="E75" s="101">
        <v>0.14684942747935087</v>
      </c>
      <c r="F75" s="140">
        <v>0.14787276680747777</v>
      </c>
      <c r="G75" s="103">
        <v>-0.11466517314873502</v>
      </c>
      <c r="H75" s="103">
        <v>0.13279109237892592</v>
      </c>
      <c r="I75" s="103">
        <v>0.35324885739407019</v>
      </c>
      <c r="J75" s="103">
        <v>0.13473009515185008</v>
      </c>
      <c r="K75" s="103">
        <v>0.72188408314826102</v>
      </c>
      <c r="L75" s="103">
        <v>-0.42371502535299399</v>
      </c>
      <c r="M75" s="103">
        <v>1</v>
      </c>
      <c r="N75" s="103">
        <v>-0.49254860422213681</v>
      </c>
      <c r="O75" s="103">
        <v>1</v>
      </c>
      <c r="P75" s="104">
        <v>1.37890306350287E-3</v>
      </c>
      <c r="AA75" t="s">
        <v>178</v>
      </c>
      <c r="AB75" s="28">
        <f t="shared" si="22"/>
        <v>1.1504512174762479E-6</v>
      </c>
      <c r="AC75" s="28">
        <f t="shared" si="23"/>
        <v>2.0392212374850587E-4</v>
      </c>
      <c r="AD75" s="28">
        <f t="shared" si="23"/>
        <v>1.9833227532104966E-3</v>
      </c>
      <c r="AE75" s="28"/>
      <c r="AF75" t="str">
        <f t="shared" si="18"/>
        <v>Onroerend goed</v>
      </c>
      <c r="AG75" s="146">
        <f t="shared" si="19"/>
        <v>1.1021238276285749E-2</v>
      </c>
      <c r="AH75" s="146">
        <f t="shared" si="19"/>
        <v>2.7314502191118192E-2</v>
      </c>
      <c r="AI75" s="146">
        <f t="shared" si="19"/>
        <v>1.5623190882900897E-2</v>
      </c>
      <c r="AK75" s="28">
        <f t="shared" si="20"/>
        <v>3.8335740467403942E-2</v>
      </c>
    </row>
    <row r="76" spans="1:37">
      <c r="A76" s="14" t="str">
        <f t="shared" si="21"/>
        <v>Hedge funds</v>
      </c>
      <c r="B76" s="101">
        <v>9.8892034185376959E-4</v>
      </c>
      <c r="C76" s="16">
        <v>1.2101708914977411E-3</v>
      </c>
      <c r="D76" s="81">
        <v>7.818341962161639E-7</v>
      </c>
      <c r="E76" s="101">
        <v>9.4116680135120936E-4</v>
      </c>
      <c r="F76" s="140">
        <v>1.3782644097439119E-3</v>
      </c>
      <c r="G76" s="103">
        <v>-3.8347286776941512E-2</v>
      </c>
      <c r="H76" s="103">
        <v>-1.0227702006269651E-2</v>
      </c>
      <c r="I76" s="103">
        <v>-0.38994802055090894</v>
      </c>
      <c r="J76" s="103">
        <v>1</v>
      </c>
      <c r="K76" s="103">
        <v>-0.4279984488038695</v>
      </c>
      <c r="L76" s="103">
        <v>-0.12882989919332105</v>
      </c>
      <c r="M76" s="103">
        <v>-0.19932689325263311</v>
      </c>
      <c r="N76" s="103">
        <v>-7.1052701301030419E-2</v>
      </c>
      <c r="O76" s="103">
        <v>0.99999999999973688</v>
      </c>
      <c r="P76" s="104">
        <v>1.3789030635023322E-3</v>
      </c>
      <c r="AA76" t="s">
        <v>6</v>
      </c>
      <c r="AB76" s="28">
        <f t="shared" si="22"/>
        <v>1.6641740582696146E-5</v>
      </c>
      <c r="AC76" s="28">
        <f t="shared" si="23"/>
        <v>9.9525811988198027E-5</v>
      </c>
      <c r="AD76" s="28">
        <f t="shared" si="23"/>
        <v>6.9551525703115034E-4</v>
      </c>
      <c r="AE76" s="28"/>
      <c r="AF76" t="str">
        <f t="shared" si="18"/>
        <v>Commodities</v>
      </c>
      <c r="AG76" s="146">
        <f t="shared" si="19"/>
        <v>6.0289466437695209E-4</v>
      </c>
      <c r="AH76" s="146">
        <f t="shared" si="19"/>
        <v>7.9542415005794571E-3</v>
      </c>
      <c r="AI76" s="146">
        <f t="shared" si="19"/>
        <v>5.4888082660831767E-3</v>
      </c>
      <c r="AK76" s="28">
        <f t="shared" si="20"/>
        <v>8.5571361649564096E-3</v>
      </c>
    </row>
    <row r="77" spans="1:37">
      <c r="A77" s="14" t="str">
        <f t="shared" si="21"/>
        <v>Onroerend goed</v>
      </c>
      <c r="B77" s="101">
        <v>1.3363528560397411E-3</v>
      </c>
      <c r="C77" s="16">
        <v>1.7460821523187066E-3</v>
      </c>
      <c r="D77" s="81">
        <v>1.1504512174762479E-6</v>
      </c>
      <c r="E77" s="101">
        <v>2.0507257496598212E-4</v>
      </c>
      <c r="F77" s="140">
        <v>2.1883953281764787E-3</v>
      </c>
      <c r="G77" s="103">
        <v>-3.816148775076552E-2</v>
      </c>
      <c r="H77" s="103">
        <v>0.26677321466761333</v>
      </c>
      <c r="I77" s="103">
        <v>1</v>
      </c>
      <c r="J77" s="103">
        <v>-0.17912049919056988</v>
      </c>
      <c r="K77" s="103">
        <v>-0.5623649898059494</v>
      </c>
      <c r="L77" s="103">
        <v>-0.27912051826331225</v>
      </c>
      <c r="M77" s="103">
        <v>-0.68587666270521219</v>
      </c>
      <c r="N77" s="103">
        <v>-0.36004178720472912</v>
      </c>
      <c r="O77" s="103">
        <v>0.99999999999960332</v>
      </c>
      <c r="P77" s="104">
        <v>1.3789030635019909E-3</v>
      </c>
    </row>
    <row r="78" spans="1:37">
      <c r="A78" s="15" t="str">
        <f t="shared" si="21"/>
        <v>Commodities</v>
      </c>
      <c r="B78" s="105">
        <v>5.1523178595667951E-4</v>
      </c>
      <c r="C78" s="100">
        <v>6.2325093120599382E-4</v>
      </c>
      <c r="D78" s="136">
        <v>1.6641740582696146E-5</v>
      </c>
      <c r="E78" s="105">
        <v>1.1616755257089418E-4</v>
      </c>
      <c r="F78" s="141">
        <v>8.1168280960204457E-4</v>
      </c>
      <c r="G78" s="106">
        <v>9.0235346385423906E-3</v>
      </c>
      <c r="H78" s="106">
        <v>-6.5590052535157164E-2</v>
      </c>
      <c r="I78" s="106">
        <v>0.26977887460394495</v>
      </c>
      <c r="J78" s="106">
        <v>-7.5633449214581788E-2</v>
      </c>
      <c r="K78" s="106">
        <v>-0.6334056637731128</v>
      </c>
      <c r="L78" s="106">
        <v>1</v>
      </c>
      <c r="M78" s="106">
        <v>0.78551274920554948</v>
      </c>
      <c r="N78" s="106">
        <v>0.19869275391016178</v>
      </c>
      <c r="O78" s="106">
        <v>0.9999999999999124</v>
      </c>
      <c r="P78" s="107">
        <v>1.3789030635029962E-3</v>
      </c>
    </row>
  </sheetData>
  <mergeCells count="12">
    <mergeCell ref="D41:F41"/>
    <mergeCell ref="G41:P41"/>
    <mergeCell ref="D54:F54"/>
    <mergeCell ref="G54:P54"/>
    <mergeCell ref="D67:F67"/>
    <mergeCell ref="G67:P67"/>
    <mergeCell ref="D2:F2"/>
    <mergeCell ref="G2:P2"/>
    <mergeCell ref="D15:F15"/>
    <mergeCell ref="G15:P15"/>
    <mergeCell ref="D28:F28"/>
    <mergeCell ref="G28:P28"/>
  </mergeCells>
  <phoneticPr fontId="2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4" enableFormatConditionsCalculation="0">
    <tabColor indexed="51"/>
  </sheetPr>
  <dimension ref="A1:AB78"/>
  <sheetViews>
    <sheetView workbookViewId="0">
      <selection activeCell="AA10" sqref="AA10"/>
    </sheetView>
  </sheetViews>
  <sheetFormatPr defaultRowHeight="12.75"/>
  <cols>
    <col min="1" max="1" width="32.28515625" customWidth="1"/>
    <col min="2" max="2" width="18.140625" customWidth="1"/>
    <col min="3" max="6" width="13.42578125" customWidth="1"/>
    <col min="18" max="18" width="20.5703125" bestFit="1" customWidth="1"/>
    <col min="19" max="19" width="19.5703125" bestFit="1" customWidth="1"/>
    <col min="20" max="20" width="20.5703125" bestFit="1" customWidth="1"/>
    <col min="26" max="26" width="19" customWidth="1"/>
  </cols>
  <sheetData>
    <row r="1" spans="1:24">
      <c r="A1" s="2" t="s">
        <v>134</v>
      </c>
    </row>
    <row r="2" spans="1:24">
      <c r="A2" s="102"/>
      <c r="D2" s="247" t="s">
        <v>136</v>
      </c>
      <c r="E2" s="256"/>
      <c r="F2" s="248"/>
      <c r="G2" s="247" t="s">
        <v>137</v>
      </c>
      <c r="H2" s="256"/>
      <c r="I2" s="256"/>
      <c r="J2" s="256"/>
      <c r="K2" s="256"/>
      <c r="L2" s="256"/>
      <c r="M2" s="256"/>
      <c r="N2" s="256"/>
      <c r="O2" s="256"/>
      <c r="P2" s="248"/>
    </row>
    <row r="3" spans="1:24">
      <c r="A3" s="108" t="str">
        <f>Parameters!A40</f>
        <v>Basis</v>
      </c>
      <c r="B3" s="109" t="s">
        <v>135</v>
      </c>
      <c r="C3" s="17" t="s">
        <v>117</v>
      </c>
      <c r="D3" s="134">
        <v>0.25</v>
      </c>
      <c r="E3" s="133">
        <v>0.5</v>
      </c>
      <c r="F3" s="135">
        <v>0.75</v>
      </c>
      <c r="G3" s="148">
        <v>0.25516807792905505</v>
      </c>
      <c r="H3" s="149">
        <v>0.23773536500652459</v>
      </c>
      <c r="I3" s="148">
        <v>0.17331630265165043</v>
      </c>
      <c r="J3" s="148">
        <v>0.14823443706778916</v>
      </c>
      <c r="K3" s="148">
        <v>0.12005775228264315</v>
      </c>
      <c r="L3" s="148">
        <v>6.548806506233662E-2</v>
      </c>
      <c r="M3" s="148">
        <v>-2.2204460492503131E-16</v>
      </c>
      <c r="N3" s="148" t="s">
        <v>141</v>
      </c>
      <c r="O3" s="148"/>
      <c r="P3" s="150"/>
    </row>
    <row r="4" spans="1:24">
      <c r="A4" s="14" t="s">
        <v>73</v>
      </c>
      <c r="B4" s="151">
        <v>0</v>
      </c>
      <c r="C4" s="152">
        <v>0</v>
      </c>
      <c r="D4" s="153">
        <v>0</v>
      </c>
      <c r="E4" s="151">
        <v>0</v>
      </c>
      <c r="F4" s="154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 t="s">
        <v>141</v>
      </c>
      <c r="O4" s="111"/>
      <c r="P4" s="112"/>
    </row>
    <row r="5" spans="1:24">
      <c r="A5" s="14" t="s">
        <v>4</v>
      </c>
      <c r="B5" s="151">
        <v>0.16669754066249731</v>
      </c>
      <c r="C5" s="152">
        <v>0.15567926596732129</v>
      </c>
      <c r="D5" s="153">
        <v>7.6131305370676951E-3</v>
      </c>
      <c r="E5" s="151">
        <v>0.15309989398634721</v>
      </c>
      <c r="F5" s="154">
        <v>0.27383902224307277</v>
      </c>
      <c r="G5" s="111">
        <v>-0.42582344684819307</v>
      </c>
      <c r="H5" s="111">
        <v>1</v>
      </c>
      <c r="I5" s="111">
        <v>3.4629037603550274E-2</v>
      </c>
      <c r="J5" s="111">
        <v>-0.75489750177653303</v>
      </c>
      <c r="K5" s="111">
        <v>-0.25422030524250416</v>
      </c>
      <c r="L5" s="111">
        <v>0.58100951905935516</v>
      </c>
      <c r="M5" s="111">
        <v>0.99999999999999933</v>
      </c>
      <c r="N5" s="111" t="s">
        <v>141</v>
      </c>
      <c r="O5" s="111"/>
      <c r="P5" s="112"/>
      <c r="R5" s="146">
        <f>D5</f>
        <v>7.6131305370676951E-3</v>
      </c>
      <c r="S5" s="146">
        <f>B5</f>
        <v>0.16669754066249731</v>
      </c>
      <c r="T5" s="146">
        <f>F5</f>
        <v>0.27383902224307277</v>
      </c>
      <c r="V5" s="28">
        <f>R5</f>
        <v>7.6131305370676951E-3</v>
      </c>
      <c r="W5" s="28">
        <f>S5-R5</f>
        <v>0.15908441012542962</v>
      </c>
      <c r="X5" s="28">
        <f>T5-S5</f>
        <v>0.10714148158057546</v>
      </c>
    </row>
    <row r="6" spans="1:24">
      <c r="A6" s="14" t="s">
        <v>175</v>
      </c>
      <c r="B6" s="151">
        <v>0.12184439267132186</v>
      </c>
      <c r="C6" s="152">
        <v>0.14675197319336916</v>
      </c>
      <c r="D6" s="153">
        <v>6.8246620746205845E-4</v>
      </c>
      <c r="E6" s="151">
        <v>5.19785232399195E-2</v>
      </c>
      <c r="F6" s="154">
        <v>0.22192903758436761</v>
      </c>
      <c r="G6" s="111">
        <v>-0.38653284429995122</v>
      </c>
      <c r="H6" s="111">
        <v>-0.43000514504131299</v>
      </c>
      <c r="I6" s="111">
        <v>1</v>
      </c>
      <c r="J6" s="111">
        <v>0.3019985490704154</v>
      </c>
      <c r="K6" s="111">
        <v>-0.73459492265119264</v>
      </c>
      <c r="L6" s="111">
        <v>-0.38474532644986187</v>
      </c>
      <c r="M6" s="111">
        <v>0.999999999999999</v>
      </c>
      <c r="N6" s="111" t="s">
        <v>141</v>
      </c>
      <c r="O6" s="111"/>
      <c r="P6" s="112"/>
      <c r="R6" s="146">
        <f t="shared" ref="R6:R11" si="0">D6</f>
        <v>6.8246620746205845E-4</v>
      </c>
      <c r="S6" s="146">
        <f t="shared" ref="S6:S11" si="1">B6</f>
        <v>0.12184439267132186</v>
      </c>
      <c r="T6" s="146">
        <f t="shared" ref="T6:T11" si="2">F6</f>
        <v>0.22192903758436761</v>
      </c>
      <c r="V6" s="28">
        <f t="shared" ref="V6:V11" si="3">R6</f>
        <v>6.8246620746205845E-4</v>
      </c>
      <c r="W6" s="28">
        <f t="shared" ref="W6:X11" si="4">S6-R6</f>
        <v>0.1211619264638598</v>
      </c>
      <c r="X6" s="28">
        <f t="shared" si="4"/>
        <v>0.10008464491304575</v>
      </c>
    </row>
    <row r="7" spans="1:24">
      <c r="A7" s="14" t="s">
        <v>176</v>
      </c>
      <c r="B7" s="151">
        <v>0.17302441783552452</v>
      </c>
      <c r="C7" s="152">
        <v>0.15475327857505655</v>
      </c>
      <c r="D7" s="153">
        <v>1.4274886287567522E-2</v>
      </c>
      <c r="E7" s="151">
        <v>0.14538403238472841</v>
      </c>
      <c r="F7" s="154">
        <v>0.2862797292721645</v>
      </c>
      <c r="G7" s="111">
        <v>0.292397203331412</v>
      </c>
      <c r="H7" s="111">
        <v>-0.86346929179008569</v>
      </c>
      <c r="I7" s="111">
        <v>-0.8208666568537667</v>
      </c>
      <c r="J7" s="111">
        <v>-0.49308800824826449</v>
      </c>
      <c r="K7" s="111">
        <v>-0.64446677735547186</v>
      </c>
      <c r="L7" s="111">
        <v>0.22502296198535643</v>
      </c>
      <c r="M7" s="111">
        <v>0.99999999999999889</v>
      </c>
      <c r="N7" s="111" t="s">
        <v>141</v>
      </c>
      <c r="O7" s="111"/>
      <c r="P7" s="112"/>
      <c r="R7" s="146">
        <f t="shared" si="0"/>
        <v>1.4274886287567522E-2</v>
      </c>
      <c r="S7" s="146">
        <f t="shared" si="1"/>
        <v>0.17302441783552452</v>
      </c>
      <c r="T7" s="146">
        <f t="shared" si="2"/>
        <v>0.2862797292721645</v>
      </c>
      <c r="V7" s="28">
        <f t="shared" si="3"/>
        <v>1.4274886287567522E-2</v>
      </c>
      <c r="W7" s="28">
        <f t="shared" si="4"/>
        <v>0.15874953154795701</v>
      </c>
      <c r="X7" s="28">
        <f t="shared" si="4"/>
        <v>0.11325531143663997</v>
      </c>
    </row>
    <row r="8" spans="1:24">
      <c r="A8" s="14" t="s">
        <v>177</v>
      </c>
      <c r="B8" s="151">
        <v>8.5197359457108657E-2</v>
      </c>
      <c r="C8" s="152">
        <v>0.11836942592556798</v>
      </c>
      <c r="D8" s="153">
        <v>1.8440651680535204E-4</v>
      </c>
      <c r="E8" s="151">
        <v>1.9537659226178679E-2</v>
      </c>
      <c r="F8" s="154">
        <v>0.14059669178160417</v>
      </c>
      <c r="G8" s="111">
        <v>8.7460019865900712E-2</v>
      </c>
      <c r="H8" s="111">
        <v>-0.38240753855268039</v>
      </c>
      <c r="I8" s="111">
        <v>0.3022058299016861</v>
      </c>
      <c r="J8" s="111">
        <v>0.64969306181122066</v>
      </c>
      <c r="K8" s="111">
        <v>0.64315857430737977</v>
      </c>
      <c r="L8" s="111">
        <v>1</v>
      </c>
      <c r="M8" s="111">
        <v>1</v>
      </c>
      <c r="N8" s="111" t="s">
        <v>141</v>
      </c>
      <c r="O8" s="111"/>
      <c r="P8" s="112"/>
      <c r="R8" s="146">
        <f t="shared" si="0"/>
        <v>1.8440651680535204E-4</v>
      </c>
      <c r="S8" s="146">
        <f t="shared" si="1"/>
        <v>8.5197359457108657E-2</v>
      </c>
      <c r="T8" s="146">
        <f t="shared" si="2"/>
        <v>0.14059669178160417</v>
      </c>
      <c r="V8" s="28">
        <f t="shared" si="3"/>
        <v>1.8440651680535204E-4</v>
      </c>
      <c r="W8" s="28">
        <f t="shared" si="4"/>
        <v>8.501295294030331E-2</v>
      </c>
      <c r="X8" s="28">
        <f t="shared" si="4"/>
        <v>5.5399332324495509E-2</v>
      </c>
    </row>
    <row r="9" spans="1:24">
      <c r="A9" s="14" t="s">
        <v>5</v>
      </c>
      <c r="B9" s="151">
        <v>0.13214028436686678</v>
      </c>
      <c r="C9" s="152">
        <v>0.14640277871151289</v>
      </c>
      <c r="D9" s="153">
        <v>2.7011188228225477E-3</v>
      </c>
      <c r="E9" s="151">
        <v>7.7502390205404226E-2</v>
      </c>
      <c r="F9" s="154">
        <v>0.21823141929474249</v>
      </c>
      <c r="G9" s="111">
        <v>-0.28652958865735695</v>
      </c>
      <c r="H9" s="111">
        <v>0.46879426849786526</v>
      </c>
      <c r="I9" s="111">
        <v>-0.87297485056371527</v>
      </c>
      <c r="J9" s="111">
        <v>1</v>
      </c>
      <c r="K9" s="111">
        <v>-2.3971079155107097E-2</v>
      </c>
      <c r="L9" s="111">
        <v>-0.42681275140874142</v>
      </c>
      <c r="M9" s="111">
        <v>0.99999999999999867</v>
      </c>
      <c r="N9" s="111" t="s">
        <v>141</v>
      </c>
      <c r="O9" s="111"/>
      <c r="P9" s="112"/>
      <c r="R9" s="146">
        <f t="shared" si="0"/>
        <v>2.7011188228225477E-3</v>
      </c>
      <c r="S9" s="146">
        <f t="shared" si="1"/>
        <v>0.13214028436686678</v>
      </c>
      <c r="T9" s="146">
        <f t="shared" si="2"/>
        <v>0.21823141929474249</v>
      </c>
      <c r="V9" s="28">
        <f t="shared" si="3"/>
        <v>2.7011188228225477E-3</v>
      </c>
      <c r="W9" s="28">
        <f t="shared" si="4"/>
        <v>0.12943916554404425</v>
      </c>
      <c r="X9" s="28">
        <f t="shared" si="4"/>
        <v>8.6091134927875707E-2</v>
      </c>
    </row>
    <row r="10" spans="1:24">
      <c r="A10" s="14" t="s">
        <v>178</v>
      </c>
      <c r="B10" s="151">
        <v>0.21402229041306023</v>
      </c>
      <c r="C10" s="152">
        <v>0.1756691610136398</v>
      </c>
      <c r="D10" s="153">
        <v>1.6927671653624896E-2</v>
      </c>
      <c r="E10" s="151">
        <v>0.22862672808984102</v>
      </c>
      <c r="F10" s="154">
        <v>0.36655996905412458</v>
      </c>
      <c r="G10" s="111">
        <v>1</v>
      </c>
      <c r="H10" s="111">
        <v>0.57615875327825106</v>
      </c>
      <c r="I10" s="111">
        <v>0.36303887679713981</v>
      </c>
      <c r="J10" s="111">
        <v>-2.2293216442621493E-2</v>
      </c>
      <c r="K10" s="111">
        <v>1.40945100968952E-2</v>
      </c>
      <c r="L10" s="111">
        <v>-0.35619737117675165</v>
      </c>
      <c r="M10" s="111">
        <v>0.99999999999999889</v>
      </c>
      <c r="N10" s="111" t="s">
        <v>141</v>
      </c>
      <c r="O10" s="111"/>
      <c r="P10" s="112"/>
      <c r="R10" s="146">
        <f t="shared" si="0"/>
        <v>1.6927671653624896E-2</v>
      </c>
      <c r="S10" s="146">
        <f t="shared" si="1"/>
        <v>0.21402229041306023</v>
      </c>
      <c r="T10" s="146">
        <f t="shared" si="2"/>
        <v>0.36655996905412458</v>
      </c>
      <c r="V10" s="28">
        <f t="shared" si="3"/>
        <v>1.6927671653624896E-2</v>
      </c>
      <c r="W10" s="28">
        <f t="shared" si="4"/>
        <v>0.19709461875943535</v>
      </c>
      <c r="X10" s="28">
        <f t="shared" si="4"/>
        <v>0.15253767864106435</v>
      </c>
    </row>
    <row r="11" spans="1:24">
      <c r="A11" s="14" t="s">
        <v>6</v>
      </c>
      <c r="B11" s="151">
        <v>0.10707371459362022</v>
      </c>
      <c r="C11" s="152">
        <v>0.12982949734180868</v>
      </c>
      <c r="D11" s="153">
        <v>3.6970441712472061E-4</v>
      </c>
      <c r="E11" s="151">
        <v>3.3242920866013333E-2</v>
      </c>
      <c r="F11" s="154">
        <v>0.19356844368502696</v>
      </c>
      <c r="G11" s="111">
        <v>-0.28097134339181196</v>
      </c>
      <c r="H11" s="111">
        <v>-0.36907104639203753</v>
      </c>
      <c r="I11" s="111">
        <v>-6.0322368848951761E-3</v>
      </c>
      <c r="J11" s="111">
        <v>-0.68141288441421755</v>
      </c>
      <c r="K11" s="111">
        <v>1</v>
      </c>
      <c r="L11" s="111">
        <v>-0.63827703200935804</v>
      </c>
      <c r="M11" s="111">
        <v>0.99999999999999878</v>
      </c>
      <c r="N11" s="111" t="s">
        <v>141</v>
      </c>
      <c r="O11" s="111"/>
      <c r="P11" s="112"/>
      <c r="R11" s="146">
        <f t="shared" si="0"/>
        <v>3.6970441712472061E-4</v>
      </c>
      <c r="S11" s="146">
        <f t="shared" si="1"/>
        <v>0.10707371459362022</v>
      </c>
      <c r="T11" s="146">
        <f t="shared" si="2"/>
        <v>0.19356844368502696</v>
      </c>
      <c r="V11" s="28">
        <f t="shared" si="3"/>
        <v>3.6970441712472061E-4</v>
      </c>
      <c r="W11" s="28">
        <f t="shared" si="4"/>
        <v>0.1067040101764955</v>
      </c>
      <c r="X11" s="28">
        <f t="shared" si="4"/>
        <v>8.6494729091406736E-2</v>
      </c>
    </row>
    <row r="12" spans="1:24">
      <c r="A12" s="14"/>
      <c r="B12" s="151"/>
      <c r="C12" s="152"/>
      <c r="D12" s="153"/>
      <c r="E12" s="151"/>
      <c r="F12" s="154"/>
      <c r="G12" s="111"/>
      <c r="H12" s="111"/>
      <c r="I12" s="111"/>
      <c r="J12" s="111"/>
      <c r="K12" s="111"/>
      <c r="L12" s="111"/>
      <c r="M12" s="111"/>
      <c r="N12" s="111"/>
      <c r="O12" s="111"/>
      <c r="P12" s="112"/>
    </row>
    <row r="13" spans="1:24">
      <c r="A13" s="15"/>
      <c r="B13" s="155"/>
      <c r="C13" s="156"/>
      <c r="D13" s="157"/>
      <c r="E13" s="155"/>
      <c r="F13" s="158"/>
      <c r="G13" s="113"/>
      <c r="H13" s="113"/>
      <c r="I13" s="113"/>
      <c r="J13" s="113"/>
      <c r="K13" s="113"/>
      <c r="L13" s="113"/>
      <c r="M13" s="113"/>
      <c r="N13" s="113"/>
      <c r="O13" s="113"/>
      <c r="P13" s="147"/>
    </row>
    <row r="15" spans="1:24">
      <c r="A15" s="2" t="s">
        <v>125</v>
      </c>
      <c r="D15" s="247" t="s">
        <v>136</v>
      </c>
      <c r="E15" s="256"/>
      <c r="F15" s="248"/>
      <c r="G15" s="247" t="s">
        <v>137</v>
      </c>
      <c r="H15" s="256"/>
      <c r="I15" s="256"/>
      <c r="J15" s="256"/>
      <c r="K15" s="256"/>
      <c r="L15" s="256"/>
      <c r="M15" s="256"/>
      <c r="N15" s="256"/>
      <c r="O15" s="256"/>
      <c r="P15" s="248"/>
      <c r="V15" s="2" t="s">
        <v>142</v>
      </c>
    </row>
    <row r="16" spans="1:24">
      <c r="A16" s="108" t="str">
        <f>Parameters!A41</f>
        <v>Groei recessie</v>
      </c>
      <c r="B16" s="109" t="s">
        <v>116</v>
      </c>
      <c r="C16" s="17" t="s">
        <v>117</v>
      </c>
      <c r="D16" s="134">
        <v>0.25</v>
      </c>
      <c r="E16" s="133">
        <v>0.5</v>
      </c>
      <c r="F16" s="135">
        <v>0.75</v>
      </c>
      <c r="G16" s="148">
        <v>0.29559525686211674</v>
      </c>
      <c r="H16" s="149">
        <v>0.26955303200235792</v>
      </c>
      <c r="I16" s="148">
        <v>0.23729756252916001</v>
      </c>
      <c r="J16" s="148">
        <v>0.11433530117826241</v>
      </c>
      <c r="K16" s="148">
        <v>8.1893775714996786E-2</v>
      </c>
      <c r="L16" s="148">
        <v>1.3250717131070289E-3</v>
      </c>
      <c r="M16" s="148">
        <v>-2.2204460492503131E-16</v>
      </c>
      <c r="N16" s="148" t="s">
        <v>141</v>
      </c>
      <c r="O16" s="137"/>
      <c r="P16" s="139"/>
    </row>
    <row r="17" spans="1:25">
      <c r="A17" s="14" t="s">
        <v>73</v>
      </c>
      <c r="B17" s="151">
        <v>0</v>
      </c>
      <c r="C17" s="152">
        <v>0</v>
      </c>
      <c r="D17" s="153">
        <v>0</v>
      </c>
      <c r="E17" s="151">
        <v>0</v>
      </c>
      <c r="F17" s="154">
        <v>0</v>
      </c>
      <c r="G17" s="111">
        <v>0</v>
      </c>
      <c r="H17" s="111">
        <v>0</v>
      </c>
      <c r="I17" s="111">
        <v>0</v>
      </c>
      <c r="J17" s="111">
        <v>0</v>
      </c>
      <c r="K17" s="111">
        <v>0</v>
      </c>
      <c r="L17" s="111">
        <v>0</v>
      </c>
      <c r="M17" s="111">
        <v>0</v>
      </c>
      <c r="N17" s="111" t="s">
        <v>141</v>
      </c>
      <c r="O17" s="103"/>
      <c r="P17" s="104"/>
      <c r="Y17" s="21">
        <v>0.6</v>
      </c>
    </row>
    <row r="18" spans="1:25">
      <c r="A18" s="14" t="s">
        <v>4</v>
      </c>
      <c r="B18" s="151">
        <v>0.30413264542829938</v>
      </c>
      <c r="C18" s="152">
        <v>0.14551725598939141</v>
      </c>
      <c r="D18" s="153">
        <v>0.2240022740260918</v>
      </c>
      <c r="E18" s="151">
        <v>0.33374914049739984</v>
      </c>
      <c r="F18" s="154">
        <v>0.42255625619427661</v>
      </c>
      <c r="G18" s="111">
        <v>-0.21064249022814899</v>
      </c>
      <c r="H18" s="111">
        <v>-0.97697486810131462</v>
      </c>
      <c r="I18" s="111">
        <v>-0.81275557535346687</v>
      </c>
      <c r="J18" s="111">
        <v>-0.30038489857956613</v>
      </c>
      <c r="K18" s="111">
        <v>-0.35711290824391206</v>
      </c>
      <c r="L18" s="111">
        <v>-0.18165663873232579</v>
      </c>
      <c r="M18" s="111">
        <v>0.99999999999998501</v>
      </c>
      <c r="N18" s="111" t="s">
        <v>141</v>
      </c>
      <c r="O18" s="103"/>
      <c r="P18" s="104"/>
      <c r="R18" s="146">
        <f>D18</f>
        <v>0.2240022740260918</v>
      </c>
      <c r="S18" s="146">
        <f>B18</f>
        <v>0.30413264542829938</v>
      </c>
      <c r="T18" s="146">
        <f>F18</f>
        <v>0.42255625619427661</v>
      </c>
      <c r="V18" s="28">
        <f>R18</f>
        <v>0.2240022740260918</v>
      </c>
      <c r="W18" s="28">
        <f>S18-R18</f>
        <v>8.0130371402207579E-2</v>
      </c>
      <c r="X18" s="28">
        <f>T18-S18</f>
        <v>0.11842361076597724</v>
      </c>
    </row>
    <row r="19" spans="1:25">
      <c r="A19" s="14" t="s">
        <v>175</v>
      </c>
      <c r="B19" s="151">
        <v>0.20064857783550649</v>
      </c>
      <c r="C19" s="152">
        <v>0.15725133336694458</v>
      </c>
      <c r="D19" s="153">
        <v>5.3090694530873207E-2</v>
      </c>
      <c r="E19" s="151">
        <v>0.16277705788810493</v>
      </c>
      <c r="F19" s="154">
        <v>0.34348671101850597</v>
      </c>
      <c r="G19" s="111">
        <v>1</v>
      </c>
      <c r="H19" s="111">
        <v>0.75404977730449951</v>
      </c>
      <c r="I19" s="111">
        <v>-0.24122648613425585</v>
      </c>
      <c r="J19" s="111">
        <v>-0.43580796412717276</v>
      </c>
      <c r="K19" s="111">
        <v>5.0613670034805006E-2</v>
      </c>
      <c r="L19" s="111">
        <v>-0.17124641308511096</v>
      </c>
      <c r="M19" s="111">
        <v>0.99999999999998501</v>
      </c>
      <c r="N19" s="111" t="s">
        <v>141</v>
      </c>
      <c r="O19" s="103"/>
      <c r="P19" s="104"/>
      <c r="R19" s="146">
        <f t="shared" ref="R19:R24" si="5">D19</f>
        <v>5.3090694530873207E-2</v>
      </c>
      <c r="S19" s="146">
        <f t="shared" ref="S19:S24" si="6">B19</f>
        <v>0.20064857783550649</v>
      </c>
      <c r="T19" s="146">
        <f t="shared" ref="T19:T24" si="7">F19</f>
        <v>0.34348671101850597</v>
      </c>
      <c r="V19" s="28">
        <f t="shared" ref="V19:V24" si="8">R19</f>
        <v>5.3090694530873207E-2</v>
      </c>
      <c r="W19" s="28">
        <f t="shared" ref="W19:X24" si="9">S19-R19</f>
        <v>0.14755788330463329</v>
      </c>
      <c r="X19" s="28">
        <f t="shared" si="9"/>
        <v>0.14283813318299948</v>
      </c>
    </row>
    <row r="20" spans="1:25">
      <c r="A20" s="14" t="s">
        <v>176</v>
      </c>
      <c r="B20" s="151">
        <v>0.16809555639232321</v>
      </c>
      <c r="C20" s="152">
        <v>0.14565760885755735</v>
      </c>
      <c r="D20" s="153">
        <v>2.8931620997162389E-2</v>
      </c>
      <c r="E20" s="151">
        <v>0.13607932269073914</v>
      </c>
      <c r="F20" s="154">
        <v>0.28353166049208106</v>
      </c>
      <c r="G20" s="111">
        <v>7.2258371335628971E-2</v>
      </c>
      <c r="H20" s="111">
        <v>-0.69847949376288088</v>
      </c>
      <c r="I20" s="111">
        <v>1</v>
      </c>
      <c r="J20" s="111">
        <v>-0.43242576485435846</v>
      </c>
      <c r="K20" s="111">
        <v>-9.164224023140731E-2</v>
      </c>
      <c r="L20" s="111">
        <v>-0.17228107888958297</v>
      </c>
      <c r="M20" s="111">
        <v>0.99999999999998523</v>
      </c>
      <c r="N20" s="111" t="s">
        <v>141</v>
      </c>
      <c r="O20" s="103"/>
      <c r="P20" s="104"/>
      <c r="R20" s="146">
        <f t="shared" si="5"/>
        <v>2.8931620997162389E-2</v>
      </c>
      <c r="S20" s="146">
        <f t="shared" si="6"/>
        <v>0.16809555639232321</v>
      </c>
      <c r="T20" s="146">
        <f t="shared" si="7"/>
        <v>0.28353166049208106</v>
      </c>
      <c r="V20" s="28">
        <f t="shared" si="8"/>
        <v>2.8931620997162389E-2</v>
      </c>
      <c r="W20" s="28">
        <f t="shared" si="9"/>
        <v>0.13916393539516081</v>
      </c>
      <c r="X20" s="28">
        <f t="shared" si="9"/>
        <v>0.11543610409975785</v>
      </c>
    </row>
    <row r="21" spans="1:25">
      <c r="A21" s="14" t="s">
        <v>177</v>
      </c>
      <c r="B21" s="151">
        <v>8.8401022430944193E-2</v>
      </c>
      <c r="C21" s="152">
        <v>0.10165492217754303</v>
      </c>
      <c r="D21" s="153">
        <v>2.5057623125759512E-3</v>
      </c>
      <c r="E21" s="151">
        <v>5.1677142269533183E-2</v>
      </c>
      <c r="F21" s="154">
        <v>0.14580784032986949</v>
      </c>
      <c r="G21" s="111">
        <v>7.7794613716068231E-2</v>
      </c>
      <c r="H21" s="111">
        <v>0.27159099514553708</v>
      </c>
      <c r="I21" s="111">
        <v>0.14081174776553043</v>
      </c>
      <c r="J21" s="111">
        <v>1</v>
      </c>
      <c r="K21" s="111">
        <v>-0.64351184943396122</v>
      </c>
      <c r="L21" s="111">
        <v>-0.16523700070613126</v>
      </c>
      <c r="M21" s="111">
        <v>0.99999999999998557</v>
      </c>
      <c r="N21" s="111" t="s">
        <v>141</v>
      </c>
      <c r="O21" s="103"/>
      <c r="P21" s="104"/>
      <c r="R21" s="146">
        <f t="shared" si="5"/>
        <v>2.5057623125759512E-3</v>
      </c>
      <c r="S21" s="146">
        <f t="shared" si="6"/>
        <v>8.8401022430944193E-2</v>
      </c>
      <c r="T21" s="146">
        <f t="shared" si="7"/>
        <v>0.14580784032986949</v>
      </c>
      <c r="V21" s="28">
        <f t="shared" si="8"/>
        <v>2.5057623125759512E-3</v>
      </c>
      <c r="W21" s="28">
        <f t="shared" si="9"/>
        <v>8.5895260118368247E-2</v>
      </c>
      <c r="X21" s="28">
        <f t="shared" si="9"/>
        <v>5.7406817898925294E-2</v>
      </c>
    </row>
    <row r="22" spans="1:25">
      <c r="A22" s="14" t="s">
        <v>5</v>
      </c>
      <c r="B22" s="151">
        <v>0.16262960099940155</v>
      </c>
      <c r="C22" s="152">
        <v>0.1590423526593682</v>
      </c>
      <c r="D22" s="153">
        <v>8.049906303856439E-3</v>
      </c>
      <c r="E22" s="151">
        <v>0.11555626597215418</v>
      </c>
      <c r="F22" s="154">
        <v>0.2894558474889542</v>
      </c>
      <c r="G22" s="111">
        <v>-0.93386962102551629</v>
      </c>
      <c r="H22" s="111">
        <v>1</v>
      </c>
      <c r="I22" s="111">
        <v>1.5139506602440785E-2</v>
      </c>
      <c r="J22" s="111">
        <v>-0.35497823645864379</v>
      </c>
      <c r="K22" s="111">
        <v>6.3172873928947923E-2</v>
      </c>
      <c r="L22" s="111">
        <v>-0.16307565967994866</v>
      </c>
      <c r="M22" s="111">
        <v>0.99999999999998523</v>
      </c>
      <c r="N22" s="111" t="s">
        <v>141</v>
      </c>
      <c r="O22" s="103"/>
      <c r="P22" s="104"/>
      <c r="R22" s="146">
        <f t="shared" si="5"/>
        <v>8.049906303856439E-3</v>
      </c>
      <c r="S22" s="146">
        <f t="shared" si="6"/>
        <v>0.16262960099940155</v>
      </c>
      <c r="T22" s="146">
        <f t="shared" si="7"/>
        <v>0.2894558474889542</v>
      </c>
      <c r="V22" s="28">
        <f t="shared" si="8"/>
        <v>8.049906303856439E-3</v>
      </c>
      <c r="W22" s="28">
        <f t="shared" si="9"/>
        <v>0.15457969469554511</v>
      </c>
      <c r="X22" s="28">
        <f t="shared" si="9"/>
        <v>0.12682624648955265</v>
      </c>
    </row>
    <row r="23" spans="1:25">
      <c r="A23" s="14" t="s">
        <v>178</v>
      </c>
      <c r="B23" s="151">
        <v>6.9289392775071151E-2</v>
      </c>
      <c r="C23" s="152">
        <v>9.5452021868533451E-2</v>
      </c>
      <c r="D23" s="153">
        <v>4.9107785833458573E-4</v>
      </c>
      <c r="E23" s="151">
        <v>2.1709297535190915E-2</v>
      </c>
      <c r="F23" s="154">
        <v>0.1093526006099263</v>
      </c>
      <c r="G23" s="111">
        <v>-1.0060656049387875E-2</v>
      </c>
      <c r="H23" s="111">
        <v>-0.3396924639328362</v>
      </c>
      <c r="I23" s="111">
        <v>-9.6846524612691817E-2</v>
      </c>
      <c r="J23" s="111">
        <v>0.54072627755535552</v>
      </c>
      <c r="K23" s="111">
        <v>1</v>
      </c>
      <c r="L23" s="111">
        <v>-0.14650320890691507</v>
      </c>
      <c r="M23" s="111">
        <v>0.99999999999998601</v>
      </c>
      <c r="N23" s="111" t="s">
        <v>141</v>
      </c>
      <c r="O23" s="103"/>
      <c r="P23" s="104"/>
      <c r="R23" s="146">
        <f t="shared" si="5"/>
        <v>4.9107785833458573E-4</v>
      </c>
      <c r="S23" s="146">
        <f t="shared" si="6"/>
        <v>6.9289392775071151E-2</v>
      </c>
      <c r="T23" s="146">
        <f t="shared" si="7"/>
        <v>0.1093526006099263</v>
      </c>
      <c r="V23" s="28">
        <f t="shared" si="8"/>
        <v>4.9107785833458573E-4</v>
      </c>
      <c r="W23" s="28">
        <f t="shared" si="9"/>
        <v>6.8798314916736561E-2</v>
      </c>
      <c r="X23" s="28">
        <f t="shared" si="9"/>
        <v>4.0063207834855147E-2</v>
      </c>
    </row>
    <row r="24" spans="1:25">
      <c r="A24" s="14" t="s">
        <v>6</v>
      </c>
      <c r="B24" s="151">
        <v>6.8032041384534295E-3</v>
      </c>
      <c r="C24" s="152">
        <v>1.1559866741624909E-2</v>
      </c>
      <c r="D24" s="153">
        <v>9.3637131890558552E-6</v>
      </c>
      <c r="E24" s="151">
        <v>1.410898275567445E-3</v>
      </c>
      <c r="F24" s="154">
        <v>8.0929562483560685E-3</v>
      </c>
      <c r="G24" s="111">
        <v>4.519782251356263E-3</v>
      </c>
      <c r="H24" s="111">
        <v>-1.0493946653004982E-2</v>
      </c>
      <c r="I24" s="111">
        <v>-5.1226682675572918E-3</v>
      </c>
      <c r="J24" s="111">
        <v>-1.7129413535615649E-2</v>
      </c>
      <c r="K24" s="111">
        <v>-2.1519546054472812E-2</v>
      </c>
      <c r="L24" s="111">
        <v>1</v>
      </c>
      <c r="M24" s="111">
        <v>1</v>
      </c>
      <c r="N24" s="111" t="s">
        <v>141</v>
      </c>
      <c r="O24" s="103"/>
      <c r="P24" s="104"/>
      <c r="R24" s="146">
        <f t="shared" si="5"/>
        <v>9.3637131890558552E-6</v>
      </c>
      <c r="S24" s="146">
        <f t="shared" si="6"/>
        <v>6.8032041384534295E-3</v>
      </c>
      <c r="T24" s="146">
        <f t="shared" si="7"/>
        <v>8.0929562483560685E-3</v>
      </c>
      <c r="V24" s="28">
        <f t="shared" si="8"/>
        <v>9.3637131890558552E-6</v>
      </c>
      <c r="W24" s="28">
        <f t="shared" si="9"/>
        <v>6.7938404252643738E-3</v>
      </c>
      <c r="X24" s="28">
        <f t="shared" si="9"/>
        <v>1.289752109902639E-3</v>
      </c>
    </row>
    <row r="25" spans="1:25">
      <c r="A25" s="14"/>
      <c r="B25" s="151"/>
      <c r="C25" s="152"/>
      <c r="D25" s="153"/>
      <c r="E25" s="151"/>
      <c r="F25" s="154"/>
      <c r="G25" s="103"/>
      <c r="H25" s="103"/>
      <c r="I25" s="103"/>
      <c r="J25" s="103"/>
      <c r="K25" s="103"/>
      <c r="L25" s="103"/>
      <c r="M25" s="103"/>
      <c r="N25" s="103"/>
      <c r="O25" s="103"/>
      <c r="P25" s="104"/>
    </row>
    <row r="26" spans="1:25">
      <c r="A26" s="15"/>
      <c r="B26" s="155"/>
      <c r="C26" s="156"/>
      <c r="D26" s="157"/>
      <c r="E26" s="155"/>
      <c r="F26" s="158"/>
      <c r="G26" s="106"/>
      <c r="H26" s="106"/>
      <c r="I26" s="106"/>
      <c r="J26" s="106"/>
      <c r="K26" s="106"/>
      <c r="L26" s="106"/>
      <c r="M26" s="106"/>
      <c r="N26" s="106"/>
      <c r="O26" s="106"/>
      <c r="P26" s="107"/>
    </row>
    <row r="27" spans="1:25">
      <c r="A27" s="22"/>
      <c r="B27" s="151"/>
      <c r="C27" s="151"/>
      <c r="D27" s="151"/>
      <c r="E27" s="151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</row>
    <row r="28" spans="1:25">
      <c r="D28" s="247" t="s">
        <v>136</v>
      </c>
      <c r="E28" s="256"/>
      <c r="F28" s="248"/>
      <c r="G28" s="247" t="s">
        <v>137</v>
      </c>
      <c r="H28" s="256"/>
      <c r="I28" s="256"/>
      <c r="J28" s="256"/>
      <c r="K28" s="256"/>
      <c r="L28" s="256"/>
      <c r="M28" s="256"/>
      <c r="N28" s="256"/>
      <c r="O28" s="256"/>
      <c r="P28" s="248"/>
    </row>
    <row r="29" spans="1:25">
      <c r="A29" s="108" t="str">
        <f>Parameters!A42</f>
        <v>Inflatie is een fiscaal verschijnsel</v>
      </c>
      <c r="B29" s="109" t="s">
        <v>116</v>
      </c>
      <c r="C29" s="17" t="s">
        <v>117</v>
      </c>
      <c r="D29" s="134">
        <v>0.25</v>
      </c>
      <c r="E29" s="133">
        <v>0.5</v>
      </c>
      <c r="F29" s="135">
        <v>0.75</v>
      </c>
      <c r="G29" s="137">
        <v>0.33952120238396566</v>
      </c>
      <c r="H29" s="138">
        <v>0.2064344440083592</v>
      </c>
      <c r="I29" s="137">
        <v>0.17681454281338338</v>
      </c>
      <c r="J29" s="137">
        <v>0.15933131529150013</v>
      </c>
      <c r="K29" s="137">
        <v>8.8381791518844732E-2</v>
      </c>
      <c r="L29" s="137">
        <v>2.9516703983948789E-2</v>
      </c>
      <c r="M29" s="137">
        <v>0</v>
      </c>
      <c r="N29" s="148" t="s">
        <v>141</v>
      </c>
      <c r="O29" s="137"/>
      <c r="P29" s="139"/>
    </row>
    <row r="30" spans="1:25">
      <c r="A30" s="14" t="s">
        <v>73</v>
      </c>
      <c r="B30" s="151">
        <v>0</v>
      </c>
      <c r="C30" s="152">
        <v>0</v>
      </c>
      <c r="D30" s="153">
        <v>0</v>
      </c>
      <c r="E30" s="151">
        <v>0</v>
      </c>
      <c r="F30" s="154">
        <v>0</v>
      </c>
      <c r="G30" s="103">
        <v>0</v>
      </c>
      <c r="H30" s="103">
        <v>0</v>
      </c>
      <c r="I30" s="103">
        <v>0</v>
      </c>
      <c r="J30" s="103">
        <v>0</v>
      </c>
      <c r="K30" s="103">
        <v>0</v>
      </c>
      <c r="L30" s="103">
        <v>0</v>
      </c>
      <c r="M30" s="103">
        <v>0</v>
      </c>
      <c r="N30" s="111" t="s">
        <v>141</v>
      </c>
      <c r="O30" s="103"/>
      <c r="P30" s="104"/>
      <c r="Y30" s="21">
        <v>0.1</v>
      </c>
    </row>
    <row r="31" spans="1:25">
      <c r="A31" s="14" t="s">
        <v>4</v>
      </c>
      <c r="B31" s="151">
        <v>4.6357434205310362E-2</v>
      </c>
      <c r="C31" s="152">
        <v>5.7574456641022266E-2</v>
      </c>
      <c r="D31" s="153">
        <v>2.2426394088036041E-3</v>
      </c>
      <c r="E31" s="151">
        <v>2.1883637493433743E-2</v>
      </c>
      <c r="F31" s="154">
        <v>7.0052537857419273E-2</v>
      </c>
      <c r="G31" s="103">
        <v>8.6807798970517339E-2</v>
      </c>
      <c r="H31" s="103">
        <v>2.3264114324143374E-2</v>
      </c>
      <c r="I31" s="103">
        <v>5.6761232277301787E-2</v>
      </c>
      <c r="J31" s="103">
        <v>-1.9464655502393825E-2</v>
      </c>
      <c r="K31" s="103">
        <v>0.22437625088926927</v>
      </c>
      <c r="L31" s="103">
        <v>1</v>
      </c>
      <c r="M31" s="103">
        <v>1</v>
      </c>
      <c r="N31" s="111" t="s">
        <v>141</v>
      </c>
      <c r="O31" s="103"/>
      <c r="P31" s="104"/>
      <c r="R31" s="146">
        <f>D31</f>
        <v>2.2426394088036041E-3</v>
      </c>
      <c r="S31" s="146">
        <f>B31</f>
        <v>4.6357434205310362E-2</v>
      </c>
      <c r="T31" s="146">
        <f>F31</f>
        <v>7.0052537857419273E-2</v>
      </c>
      <c r="V31" s="28">
        <f>R31</f>
        <v>2.2426394088036041E-3</v>
      </c>
      <c r="W31" s="28">
        <f>S31-R31</f>
        <v>4.4114794796506755E-2</v>
      </c>
      <c r="X31" s="28">
        <f>T31-S31</f>
        <v>2.3695103652108911E-2</v>
      </c>
    </row>
    <row r="32" spans="1:25">
      <c r="A32" s="14" t="s">
        <v>175</v>
      </c>
      <c r="B32" s="151">
        <v>0.21072459101340008</v>
      </c>
      <c r="C32" s="152">
        <v>0.15865011073174526</v>
      </c>
      <c r="D32" s="153">
        <v>4.1719582170407984E-2</v>
      </c>
      <c r="E32" s="151">
        <v>0.2326487906124417</v>
      </c>
      <c r="F32" s="154">
        <v>0.34428581941729897</v>
      </c>
      <c r="G32" s="103">
        <v>-0.85447213429839164</v>
      </c>
      <c r="H32" s="103">
        <v>1</v>
      </c>
      <c r="I32" s="103">
        <v>-0.53653131423616052</v>
      </c>
      <c r="J32" s="103">
        <v>-0.21485061611130943</v>
      </c>
      <c r="K32" s="103">
        <v>4.911299176306571E-2</v>
      </c>
      <c r="L32" s="103">
        <v>-0.1444727860852052</v>
      </c>
      <c r="M32" s="103">
        <v>1</v>
      </c>
      <c r="N32" s="111" t="s">
        <v>141</v>
      </c>
      <c r="O32" s="103"/>
      <c r="P32" s="104"/>
      <c r="R32" s="146">
        <f t="shared" ref="R32:R37" si="10">D32</f>
        <v>4.1719582170407984E-2</v>
      </c>
      <c r="S32" s="146">
        <f t="shared" ref="S32:S37" si="11">B32</f>
        <v>0.21072459101340008</v>
      </c>
      <c r="T32" s="146">
        <f t="shared" ref="T32:T37" si="12">F32</f>
        <v>0.34428581941729897</v>
      </c>
      <c r="V32" s="28">
        <f t="shared" ref="V32:V37" si="13">R32</f>
        <v>4.1719582170407984E-2</v>
      </c>
      <c r="W32" s="28">
        <f t="shared" ref="W32:X37" si="14">S32-R32</f>
        <v>0.16900500884299208</v>
      </c>
      <c r="X32" s="28">
        <f t="shared" si="14"/>
        <v>0.13356122840389889</v>
      </c>
    </row>
    <row r="33" spans="1:25">
      <c r="A33" s="14" t="s">
        <v>176</v>
      </c>
      <c r="B33" s="151">
        <v>0.22949824995644494</v>
      </c>
      <c r="C33" s="152">
        <v>0.15548516551521258</v>
      </c>
      <c r="D33" s="153">
        <v>0.11626823026444835</v>
      </c>
      <c r="E33" s="151">
        <v>0.19923286831994888</v>
      </c>
      <c r="F33" s="154">
        <v>0.37500082420876268</v>
      </c>
      <c r="G33" s="103">
        <v>1</v>
      </c>
      <c r="H33" s="103">
        <v>0.24881027014654575</v>
      </c>
      <c r="I33" s="103">
        <v>-0.84210775621693434</v>
      </c>
      <c r="J33" s="103">
        <v>0.18376761885545947</v>
      </c>
      <c r="K33" s="103">
        <v>-0.63995583734324912</v>
      </c>
      <c r="L33" s="103">
        <v>-0.12478746390223787</v>
      </c>
      <c r="M33" s="103">
        <v>0.99999999999999956</v>
      </c>
      <c r="N33" s="111" t="s">
        <v>141</v>
      </c>
      <c r="O33" s="103"/>
      <c r="P33" s="104"/>
      <c r="R33" s="146">
        <f t="shared" si="10"/>
        <v>0.11626823026444835</v>
      </c>
      <c r="S33" s="146">
        <f t="shared" si="11"/>
        <v>0.22949824995644494</v>
      </c>
      <c r="T33" s="146">
        <f t="shared" si="12"/>
        <v>0.37500082420876268</v>
      </c>
      <c r="V33" s="28">
        <f t="shared" si="13"/>
        <v>0.11626823026444835</v>
      </c>
      <c r="W33" s="28">
        <f t="shared" si="14"/>
        <v>0.11323001969199659</v>
      </c>
      <c r="X33" s="28">
        <f t="shared" si="14"/>
        <v>0.14550257425231775</v>
      </c>
    </row>
    <row r="34" spans="1:25">
      <c r="A34" s="14" t="s">
        <v>177</v>
      </c>
      <c r="B34" s="151">
        <v>0.14468160602197361</v>
      </c>
      <c r="C34" s="152">
        <v>0.13736959197652121</v>
      </c>
      <c r="D34" s="153">
        <v>1.9448725186428137E-2</v>
      </c>
      <c r="E34" s="151">
        <v>0.11348583804491114</v>
      </c>
      <c r="F34" s="154">
        <v>0.24882730621242322</v>
      </c>
      <c r="G34" s="103">
        <v>-0.63976172762114669</v>
      </c>
      <c r="H34" s="103">
        <v>-0.86748822543881821</v>
      </c>
      <c r="I34" s="103">
        <v>6.1735040377464884E-2</v>
      </c>
      <c r="J34" s="103">
        <v>-0.19117768684321343</v>
      </c>
      <c r="K34" s="103">
        <v>-0.88879709318440447</v>
      </c>
      <c r="L34" s="103">
        <v>-3.2795622531236156E-2</v>
      </c>
      <c r="M34" s="103">
        <v>0.99999999999999989</v>
      </c>
      <c r="N34" s="111" t="s">
        <v>141</v>
      </c>
      <c r="O34" s="103"/>
      <c r="P34" s="104"/>
      <c r="R34" s="146">
        <f t="shared" si="10"/>
        <v>1.9448725186428137E-2</v>
      </c>
      <c r="S34" s="146">
        <f t="shared" si="11"/>
        <v>0.14468160602197361</v>
      </c>
      <c r="T34" s="146">
        <f t="shared" si="12"/>
        <v>0.24882730621242322</v>
      </c>
      <c r="V34" s="28">
        <f t="shared" si="13"/>
        <v>1.9448725186428137E-2</v>
      </c>
      <c r="W34" s="28">
        <f t="shared" si="14"/>
        <v>0.12523288083554546</v>
      </c>
      <c r="X34" s="28">
        <f t="shared" si="14"/>
        <v>0.10414570019044961</v>
      </c>
    </row>
    <row r="35" spans="1:25">
      <c r="A35" s="14" t="s">
        <v>5</v>
      </c>
      <c r="B35" s="151">
        <v>0.11403623358493757</v>
      </c>
      <c r="C35" s="152">
        <v>0.12869848433346376</v>
      </c>
      <c r="D35" s="153">
        <v>7.2758087120193844E-3</v>
      </c>
      <c r="E35" s="151">
        <v>5.7002958962332637E-2</v>
      </c>
      <c r="F35" s="154">
        <v>0.19897462998636717</v>
      </c>
      <c r="G35" s="103">
        <v>-7.1194059252830802E-2</v>
      </c>
      <c r="H35" s="103">
        <v>0.17602492232711781</v>
      </c>
      <c r="I35" s="103">
        <v>0.98518986378915963</v>
      </c>
      <c r="J35" s="103">
        <v>1</v>
      </c>
      <c r="K35" s="103">
        <v>4.3462543544097031E-2</v>
      </c>
      <c r="L35" s="103">
        <v>-0.18272584710278739</v>
      </c>
      <c r="M35" s="103">
        <v>0.99999999999999922</v>
      </c>
      <c r="N35" s="111" t="s">
        <v>141</v>
      </c>
      <c r="O35" s="103"/>
      <c r="P35" s="104"/>
      <c r="R35" s="146">
        <f t="shared" si="10"/>
        <v>7.2758087120193844E-3</v>
      </c>
      <c r="S35" s="146">
        <f t="shared" si="11"/>
        <v>0.11403623358493757</v>
      </c>
      <c r="T35" s="146">
        <f t="shared" si="12"/>
        <v>0.19897462998636717</v>
      </c>
      <c r="V35" s="28">
        <f t="shared" si="13"/>
        <v>7.2758087120193844E-3</v>
      </c>
      <c r="W35" s="28">
        <f t="shared" si="14"/>
        <v>0.10676042487291819</v>
      </c>
      <c r="X35" s="28">
        <f t="shared" si="14"/>
        <v>8.4938396401429597E-2</v>
      </c>
    </row>
    <row r="36" spans="1:25">
      <c r="A36" s="14" t="s">
        <v>178</v>
      </c>
      <c r="B36" s="151">
        <v>0.11720035837260129</v>
      </c>
      <c r="C36" s="152">
        <v>0.11486410424103929</v>
      </c>
      <c r="D36" s="153">
        <v>7.9842484799504138E-3</v>
      </c>
      <c r="E36" s="151">
        <v>8.9697178413168266E-2</v>
      </c>
      <c r="F36" s="154">
        <v>0.1764975051003369</v>
      </c>
      <c r="G36" s="103">
        <v>-5.6489130050991921E-3</v>
      </c>
      <c r="H36" s="103">
        <v>-0.6988118928779451</v>
      </c>
      <c r="I36" s="103">
        <v>-0.72504706599083024</v>
      </c>
      <c r="J36" s="103">
        <v>0.1011740218743625</v>
      </c>
      <c r="K36" s="103">
        <v>1</v>
      </c>
      <c r="L36" s="103">
        <v>-0.26544358331288614</v>
      </c>
      <c r="M36" s="103">
        <v>0.99999999999999889</v>
      </c>
      <c r="N36" s="111" t="s">
        <v>141</v>
      </c>
      <c r="O36" s="103"/>
      <c r="P36" s="104"/>
      <c r="R36" s="146">
        <f t="shared" si="10"/>
        <v>7.9842484799504138E-3</v>
      </c>
      <c r="S36" s="146">
        <f t="shared" si="11"/>
        <v>0.11720035837260129</v>
      </c>
      <c r="T36" s="146">
        <f t="shared" si="12"/>
        <v>0.1764975051003369</v>
      </c>
      <c r="V36" s="28">
        <f t="shared" si="13"/>
        <v>7.9842484799504138E-3</v>
      </c>
      <c r="W36" s="28">
        <f t="shared" si="14"/>
        <v>0.10921610989265088</v>
      </c>
      <c r="X36" s="28">
        <f t="shared" si="14"/>
        <v>5.9297146727735617E-2</v>
      </c>
    </row>
    <row r="37" spans="1:25">
      <c r="A37" s="14" t="s">
        <v>6</v>
      </c>
      <c r="B37" s="151">
        <v>0.1375015268453316</v>
      </c>
      <c r="C37" s="152">
        <v>0.13444830930366369</v>
      </c>
      <c r="D37" s="153">
        <v>1.6747253085510099E-2</v>
      </c>
      <c r="E37" s="151">
        <v>0.10339809546385013</v>
      </c>
      <c r="F37" s="154">
        <v>0.22748366876109796</v>
      </c>
      <c r="G37" s="103">
        <v>0.48426903520695197</v>
      </c>
      <c r="H37" s="103">
        <v>0.11820081151895553</v>
      </c>
      <c r="I37" s="103">
        <v>1</v>
      </c>
      <c r="J37" s="103">
        <v>-0.85944868227290516</v>
      </c>
      <c r="K37" s="103">
        <v>0.21180114433122252</v>
      </c>
      <c r="L37" s="103">
        <v>-0.24977469706564812</v>
      </c>
      <c r="M37" s="103">
        <v>0.999999999999999</v>
      </c>
      <c r="N37" s="111" t="s">
        <v>141</v>
      </c>
      <c r="O37" s="103"/>
      <c r="P37" s="104"/>
      <c r="R37" s="146">
        <f t="shared" si="10"/>
        <v>1.6747253085510099E-2</v>
      </c>
      <c r="S37" s="146">
        <f t="shared" si="11"/>
        <v>0.1375015268453316</v>
      </c>
      <c r="T37" s="146">
        <f t="shared" si="12"/>
        <v>0.22748366876109796</v>
      </c>
      <c r="V37" s="28">
        <f t="shared" si="13"/>
        <v>1.6747253085510099E-2</v>
      </c>
      <c r="W37" s="28">
        <f t="shared" si="14"/>
        <v>0.12075427375982149</v>
      </c>
      <c r="X37" s="28">
        <f t="shared" si="14"/>
        <v>8.9982141915766367E-2</v>
      </c>
    </row>
    <row r="38" spans="1:25">
      <c r="A38" s="14"/>
      <c r="B38" s="151"/>
      <c r="C38" s="152"/>
      <c r="D38" s="153"/>
      <c r="E38" s="151"/>
      <c r="F38" s="154"/>
      <c r="G38" s="103"/>
      <c r="H38" s="103"/>
      <c r="I38" s="103"/>
      <c r="J38" s="103"/>
      <c r="K38" s="103"/>
      <c r="L38" s="103"/>
      <c r="M38" s="103"/>
      <c r="N38" s="103"/>
      <c r="O38" s="103"/>
      <c r="P38" s="104"/>
    </row>
    <row r="39" spans="1:25">
      <c r="A39" s="15"/>
      <c r="B39" s="155"/>
      <c r="C39" s="156"/>
      <c r="D39" s="157"/>
      <c r="E39" s="155"/>
      <c r="F39" s="158"/>
      <c r="G39" s="106"/>
      <c r="H39" s="106"/>
      <c r="I39" s="106"/>
      <c r="J39" s="106"/>
      <c r="K39" s="106"/>
      <c r="L39" s="106"/>
      <c r="M39" s="106"/>
      <c r="N39" s="106"/>
      <c r="O39" s="106"/>
      <c r="P39" s="107"/>
    </row>
    <row r="40" spans="1:25">
      <c r="A40" s="22"/>
      <c r="B40" s="151"/>
      <c r="C40" s="151"/>
      <c r="D40" s="151"/>
      <c r="E40" s="151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</row>
    <row r="41" spans="1:25">
      <c r="D41" s="247" t="s">
        <v>136</v>
      </c>
      <c r="E41" s="256"/>
      <c r="F41" s="248"/>
      <c r="G41" s="247" t="s">
        <v>137</v>
      </c>
      <c r="H41" s="256"/>
      <c r="I41" s="256"/>
      <c r="J41" s="256"/>
      <c r="K41" s="256"/>
      <c r="L41" s="256"/>
      <c r="M41" s="256"/>
      <c r="N41" s="256"/>
      <c r="O41" s="256"/>
      <c r="P41" s="248"/>
    </row>
    <row r="42" spans="1:25">
      <c r="A42" s="108" t="str">
        <f>Parameters!A43</f>
        <v>Vermogenseffect &amp; innovatie</v>
      </c>
      <c r="B42" s="109" t="s">
        <v>116</v>
      </c>
      <c r="C42" s="17" t="s">
        <v>117</v>
      </c>
      <c r="D42" s="134">
        <v>0.25</v>
      </c>
      <c r="E42" s="133">
        <v>0.5</v>
      </c>
      <c r="F42" s="135">
        <v>0.75</v>
      </c>
      <c r="G42" s="148">
        <v>0.50812457426562596</v>
      </c>
      <c r="H42" s="149">
        <v>0.23249699280724412</v>
      </c>
      <c r="I42" s="148">
        <v>0.1389257022940894</v>
      </c>
      <c r="J42" s="148">
        <v>6.8983288832489609E-2</v>
      </c>
      <c r="K42" s="148">
        <v>4.7398657390309129E-2</v>
      </c>
      <c r="L42" s="148">
        <v>4.0707844102433333E-3</v>
      </c>
      <c r="M42" s="148">
        <v>-2.2204460492503131E-16</v>
      </c>
      <c r="N42" s="148" t="s">
        <v>141</v>
      </c>
      <c r="O42" s="137"/>
      <c r="P42" s="139"/>
    </row>
    <row r="43" spans="1:25">
      <c r="A43" s="14" t="s">
        <v>73</v>
      </c>
      <c r="B43" s="151">
        <v>0</v>
      </c>
      <c r="C43" s="152">
        <v>0</v>
      </c>
      <c r="D43" s="153">
        <v>0</v>
      </c>
      <c r="E43" s="151">
        <v>0</v>
      </c>
      <c r="F43" s="154">
        <v>0</v>
      </c>
      <c r="G43" s="111">
        <v>0</v>
      </c>
      <c r="H43" s="111">
        <v>0</v>
      </c>
      <c r="I43" s="111">
        <v>0</v>
      </c>
      <c r="J43" s="111">
        <v>0</v>
      </c>
      <c r="K43" s="111">
        <v>0</v>
      </c>
      <c r="L43" s="111">
        <v>0</v>
      </c>
      <c r="M43" s="111">
        <v>0</v>
      </c>
      <c r="N43" s="111" t="s">
        <v>141</v>
      </c>
      <c r="O43" s="103"/>
      <c r="P43" s="104"/>
      <c r="Y43" s="21">
        <v>0.15</v>
      </c>
    </row>
    <row r="44" spans="1:25">
      <c r="A44" s="14" t="s">
        <v>4</v>
      </c>
      <c r="B44" s="151">
        <v>0.18221935521545515</v>
      </c>
      <c r="C44" s="152">
        <v>0.12276646651525826</v>
      </c>
      <c r="D44" s="153">
        <v>6.7296640790565937E-2</v>
      </c>
      <c r="E44" s="151">
        <v>0.19507889777167253</v>
      </c>
      <c r="F44" s="154">
        <v>0.26520206207546326</v>
      </c>
      <c r="G44" s="111">
        <v>-0.45098974674127801</v>
      </c>
      <c r="H44" s="111">
        <v>1</v>
      </c>
      <c r="I44" s="111">
        <v>-0.3397884148156915</v>
      </c>
      <c r="J44" s="111">
        <v>-0.18974230365652939</v>
      </c>
      <c r="K44" s="111">
        <v>-0.2430152857569558</v>
      </c>
      <c r="L44" s="111">
        <v>-0.15343982992105154</v>
      </c>
      <c r="M44" s="111">
        <v>0.99999999999999944</v>
      </c>
      <c r="N44" s="111" t="s">
        <v>141</v>
      </c>
      <c r="O44" s="103"/>
      <c r="P44" s="104"/>
      <c r="R44" s="146">
        <f>D44</f>
        <v>6.7296640790565937E-2</v>
      </c>
      <c r="S44" s="146">
        <f>B44</f>
        <v>0.18221935521545515</v>
      </c>
      <c r="T44" s="146">
        <f>F44</f>
        <v>0.26520206207546326</v>
      </c>
      <c r="V44" s="28">
        <f>R44</f>
        <v>6.7296640790565937E-2</v>
      </c>
      <c r="W44" s="28">
        <f>S44-R44</f>
        <v>0.11492271442488922</v>
      </c>
      <c r="X44" s="28">
        <f>T44-S44</f>
        <v>8.298270686000811E-2</v>
      </c>
    </row>
    <row r="45" spans="1:25">
      <c r="A45" s="14" t="s">
        <v>175</v>
      </c>
      <c r="B45" s="151">
        <v>1.051795741948992E-2</v>
      </c>
      <c r="C45" s="152">
        <v>1.6510022601714278E-2</v>
      </c>
      <c r="D45" s="153">
        <v>1.0438917824368918E-4</v>
      </c>
      <c r="E45" s="151">
        <v>2.4004914559954071E-3</v>
      </c>
      <c r="F45" s="154">
        <v>1.4015470517258093E-2</v>
      </c>
      <c r="G45" s="111">
        <v>2.3424721237742186E-2</v>
      </c>
      <c r="H45" s="111">
        <v>-4.5639908729541556E-3</v>
      </c>
      <c r="I45" s="111">
        <v>3.3778439137905951E-2</v>
      </c>
      <c r="J45" s="111">
        <v>3.4895293912772428E-2</v>
      </c>
      <c r="K45" s="111">
        <v>-6.7233055381533777E-2</v>
      </c>
      <c r="L45" s="111">
        <v>1</v>
      </c>
      <c r="M45" s="111">
        <v>0.99999999999999645</v>
      </c>
      <c r="N45" s="111" t="s">
        <v>141</v>
      </c>
      <c r="O45" s="103"/>
      <c r="P45" s="104"/>
      <c r="R45" s="146">
        <f t="shared" ref="R45:R50" si="15">D45</f>
        <v>1.0438917824368918E-4</v>
      </c>
      <c r="S45" s="146">
        <f t="shared" ref="S45:S50" si="16">B45</f>
        <v>1.051795741948992E-2</v>
      </c>
      <c r="T45" s="146">
        <f t="shared" ref="T45:T50" si="17">F45</f>
        <v>1.4015470517258093E-2</v>
      </c>
      <c r="V45" s="28">
        <f t="shared" ref="V45:V50" si="18">R45</f>
        <v>1.0438917824368918E-4</v>
      </c>
      <c r="W45" s="28">
        <f t="shared" ref="W45:X50" si="19">S45-R45</f>
        <v>1.0413568241246231E-2</v>
      </c>
      <c r="X45" s="28">
        <f t="shared" si="19"/>
        <v>3.4975130977681727E-3</v>
      </c>
    </row>
    <row r="46" spans="1:25">
      <c r="A46" s="14" t="s">
        <v>176</v>
      </c>
      <c r="B46" s="151">
        <v>0.28652028582802785</v>
      </c>
      <c r="C46" s="152">
        <v>0.14773348895834329</v>
      </c>
      <c r="D46" s="153">
        <v>0.17873276960562406</v>
      </c>
      <c r="E46" s="151">
        <v>0.29306502801500556</v>
      </c>
      <c r="F46" s="154">
        <v>0.4229171235405299</v>
      </c>
      <c r="G46" s="111">
        <v>1</v>
      </c>
      <c r="H46" s="111">
        <v>0.15646015987132414</v>
      </c>
      <c r="I46" s="111">
        <v>0.41495758566650837</v>
      </c>
      <c r="J46" s="111">
        <v>-2.6705683925835198E-2</v>
      </c>
      <c r="K46" s="111">
        <v>-0.61508220644887257</v>
      </c>
      <c r="L46" s="111">
        <v>-0.2098393529202664</v>
      </c>
      <c r="M46" s="111">
        <v>0.99999999999999933</v>
      </c>
      <c r="N46" s="111" t="s">
        <v>141</v>
      </c>
      <c r="O46" s="103"/>
      <c r="P46" s="104"/>
      <c r="R46" s="146">
        <f t="shared" si="15"/>
        <v>0.17873276960562406</v>
      </c>
      <c r="S46" s="146">
        <f t="shared" si="16"/>
        <v>0.28652028582802785</v>
      </c>
      <c r="T46" s="146">
        <f t="shared" si="17"/>
        <v>0.4229171235405299</v>
      </c>
      <c r="V46" s="28">
        <f t="shared" si="18"/>
        <v>0.17873276960562406</v>
      </c>
      <c r="W46" s="28">
        <f t="shared" si="19"/>
        <v>0.10778751622240379</v>
      </c>
      <c r="X46" s="28">
        <f t="shared" si="19"/>
        <v>0.13639683771250205</v>
      </c>
    </row>
    <row r="47" spans="1:25">
      <c r="A47" s="14" t="s">
        <v>177</v>
      </c>
      <c r="B47" s="151">
        <v>0.15126085333853825</v>
      </c>
      <c r="C47" s="152">
        <v>0.10090291391032377</v>
      </c>
      <c r="D47" s="153">
        <v>6.6775520481088563E-2</v>
      </c>
      <c r="E47" s="151">
        <v>0.15469409281623281</v>
      </c>
      <c r="F47" s="154">
        <v>0.21083879506648229</v>
      </c>
      <c r="G47" s="111">
        <v>-0.34165043939057416</v>
      </c>
      <c r="H47" s="111">
        <v>-0.72546841754353986</v>
      </c>
      <c r="I47" s="111">
        <v>-0.51824858270757401</v>
      </c>
      <c r="J47" s="111">
        <v>-0.21883457927788671</v>
      </c>
      <c r="K47" s="111">
        <v>-0.82272503879463321</v>
      </c>
      <c r="L47" s="111">
        <v>-0.17454660337816311</v>
      </c>
      <c r="M47" s="111">
        <v>1</v>
      </c>
      <c r="N47" s="111" t="s">
        <v>141</v>
      </c>
      <c r="O47" s="103"/>
      <c r="P47" s="104"/>
      <c r="R47" s="146">
        <f t="shared" si="15"/>
        <v>6.6775520481088563E-2</v>
      </c>
      <c r="S47" s="146">
        <f t="shared" si="16"/>
        <v>0.15126085333853825</v>
      </c>
      <c r="T47" s="146">
        <f t="shared" si="17"/>
        <v>0.21083879506648229</v>
      </c>
      <c r="V47" s="28">
        <f t="shared" si="18"/>
        <v>6.6775520481088563E-2</v>
      </c>
      <c r="W47" s="28">
        <f t="shared" si="19"/>
        <v>8.4485332857449691E-2</v>
      </c>
      <c r="X47" s="28">
        <f t="shared" si="19"/>
        <v>5.9577941727944034E-2</v>
      </c>
    </row>
    <row r="48" spans="1:25">
      <c r="A48" s="14" t="s">
        <v>5</v>
      </c>
      <c r="B48" s="151">
        <v>5.9116509847841975E-2</v>
      </c>
      <c r="C48" s="152">
        <v>6.60379054712118E-2</v>
      </c>
      <c r="D48" s="153">
        <v>3.6763440576946279E-3</v>
      </c>
      <c r="E48" s="151">
        <v>3.4783403578345543E-2</v>
      </c>
      <c r="F48" s="154">
        <v>9.3522228951974429E-2</v>
      </c>
      <c r="G48" s="111">
        <v>0.18253267586832211</v>
      </c>
      <c r="H48" s="111">
        <v>-0.18516934365485541</v>
      </c>
      <c r="I48" s="111">
        <v>-6.9130214683461325E-2</v>
      </c>
      <c r="J48" s="111">
        <v>-0.89156736661410851</v>
      </c>
      <c r="K48" s="111">
        <v>1</v>
      </c>
      <c r="L48" s="111">
        <v>-0.11935358193240865</v>
      </c>
      <c r="M48" s="111">
        <v>0.99999999999999978</v>
      </c>
      <c r="N48" s="111" t="s">
        <v>141</v>
      </c>
      <c r="O48" s="103"/>
      <c r="P48" s="104"/>
      <c r="R48" s="146">
        <f t="shared" si="15"/>
        <v>3.6763440576946279E-3</v>
      </c>
      <c r="S48" s="146">
        <f t="shared" si="16"/>
        <v>5.9116509847841975E-2</v>
      </c>
      <c r="T48" s="146">
        <f t="shared" si="17"/>
        <v>9.3522228951974429E-2</v>
      </c>
      <c r="V48" s="28">
        <f t="shared" si="18"/>
        <v>3.6763440576946279E-3</v>
      </c>
      <c r="W48" s="28">
        <f t="shared" si="19"/>
        <v>5.544016579014735E-2</v>
      </c>
      <c r="X48" s="28">
        <f t="shared" si="19"/>
        <v>3.4405719104132454E-2</v>
      </c>
    </row>
    <row r="49" spans="1:25">
      <c r="A49" s="14" t="s">
        <v>178</v>
      </c>
      <c r="B49" s="151">
        <v>0.24910973882962575</v>
      </c>
      <c r="C49" s="152">
        <v>0.11701922121406787</v>
      </c>
      <c r="D49" s="153">
        <v>0.17333008713057071</v>
      </c>
      <c r="E49" s="151">
        <v>0.26508761192268931</v>
      </c>
      <c r="F49" s="154">
        <v>0.32434326336148978</v>
      </c>
      <c r="G49" s="111">
        <v>-0.62370141879445895</v>
      </c>
      <c r="H49" s="111">
        <v>-0.15746142130548049</v>
      </c>
      <c r="I49" s="111">
        <v>1</v>
      </c>
      <c r="J49" s="111">
        <v>0.29195463956158768</v>
      </c>
      <c r="K49" s="111">
        <v>0.13660037450554882</v>
      </c>
      <c r="L49" s="111">
        <v>-0.18162510995827763</v>
      </c>
      <c r="M49" s="111">
        <v>0.99999999999999878</v>
      </c>
      <c r="N49" s="111" t="s">
        <v>141</v>
      </c>
      <c r="O49" s="103"/>
      <c r="P49" s="104"/>
      <c r="R49" s="146">
        <f t="shared" si="15"/>
        <v>0.17333008713057071</v>
      </c>
      <c r="S49" s="146">
        <f t="shared" si="16"/>
        <v>0.24910973882962575</v>
      </c>
      <c r="T49" s="146">
        <f t="shared" si="17"/>
        <v>0.32434326336148978</v>
      </c>
      <c r="V49" s="28">
        <f t="shared" si="18"/>
        <v>0.17333008713057071</v>
      </c>
      <c r="W49" s="28">
        <f t="shared" si="19"/>
        <v>7.577965169905504E-2</v>
      </c>
      <c r="X49" s="28">
        <f t="shared" si="19"/>
        <v>7.5233524531864021E-2</v>
      </c>
    </row>
    <row r="50" spans="1:25">
      <c r="A50" s="14" t="s">
        <v>6</v>
      </c>
      <c r="B50" s="151">
        <v>6.1255299521020969E-2</v>
      </c>
      <c r="C50" s="152">
        <v>7.3572501464759715E-2</v>
      </c>
      <c r="D50" s="153">
        <v>2.5895182579532081E-3</v>
      </c>
      <c r="E50" s="151">
        <v>3.3018026483356076E-2</v>
      </c>
      <c r="F50" s="154">
        <v>0.10332344089309695</v>
      </c>
      <c r="G50" s="111">
        <v>0.21038420782024683</v>
      </c>
      <c r="H50" s="111">
        <v>-8.3796986494494505E-2</v>
      </c>
      <c r="I50" s="111">
        <v>-0.5215688125976865</v>
      </c>
      <c r="J50" s="111">
        <v>1</v>
      </c>
      <c r="K50" s="111">
        <v>0.61145521187644625</v>
      </c>
      <c r="L50" s="111">
        <v>-0.1611955218898298</v>
      </c>
      <c r="M50" s="111">
        <v>0.99999999999999978</v>
      </c>
      <c r="N50" s="111" t="s">
        <v>141</v>
      </c>
      <c r="O50" s="103"/>
      <c r="P50" s="104"/>
      <c r="R50" s="146">
        <f t="shared" si="15"/>
        <v>2.5895182579532081E-3</v>
      </c>
      <c r="S50" s="146">
        <f t="shared" si="16"/>
        <v>6.1255299521020969E-2</v>
      </c>
      <c r="T50" s="146">
        <f t="shared" si="17"/>
        <v>0.10332344089309695</v>
      </c>
      <c r="V50" s="28">
        <f t="shared" si="18"/>
        <v>2.5895182579532081E-3</v>
      </c>
      <c r="W50" s="28">
        <f t="shared" si="19"/>
        <v>5.8665781263067762E-2</v>
      </c>
      <c r="X50" s="28">
        <f t="shared" si="19"/>
        <v>4.2068141372075978E-2</v>
      </c>
    </row>
    <row r="51" spans="1:25">
      <c r="A51" s="14"/>
      <c r="B51" s="151"/>
      <c r="C51" s="152"/>
      <c r="D51" s="153"/>
      <c r="E51" s="151"/>
      <c r="F51" s="154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5">
      <c r="A52" s="15"/>
      <c r="B52" s="155"/>
      <c r="C52" s="156"/>
      <c r="D52" s="157"/>
      <c r="E52" s="155"/>
      <c r="F52" s="158"/>
      <c r="G52" s="106"/>
      <c r="H52" s="106"/>
      <c r="I52" s="106"/>
      <c r="J52" s="106"/>
      <c r="K52" s="106"/>
      <c r="L52" s="106"/>
      <c r="M52" s="106"/>
      <c r="N52" s="106"/>
      <c r="O52" s="106"/>
      <c r="P52" s="107"/>
    </row>
    <row r="53" spans="1:25">
      <c r="A53" s="22"/>
      <c r="B53" s="151"/>
      <c r="C53" s="151"/>
      <c r="D53" s="151"/>
      <c r="E53" s="151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</row>
    <row r="54" spans="1:25">
      <c r="D54" s="247" t="s">
        <v>136</v>
      </c>
      <c r="E54" s="256"/>
      <c r="F54" s="248"/>
      <c r="G54" s="247" t="s">
        <v>137</v>
      </c>
      <c r="H54" s="256"/>
      <c r="I54" s="256"/>
      <c r="J54" s="256"/>
      <c r="K54" s="256"/>
      <c r="L54" s="256"/>
      <c r="M54" s="256"/>
      <c r="N54" s="256"/>
      <c r="O54" s="256"/>
      <c r="P54" s="248"/>
    </row>
    <row r="55" spans="1:25">
      <c r="A55" s="108" t="str">
        <f>Parameters!A27</f>
        <v>Schuld deflatie</v>
      </c>
      <c r="B55" s="109" t="s">
        <v>116</v>
      </c>
      <c r="C55" s="17" t="s">
        <v>117</v>
      </c>
      <c r="D55" s="134">
        <v>0.25</v>
      </c>
      <c r="E55" s="133">
        <v>0.5</v>
      </c>
      <c r="F55" s="135">
        <v>0.75</v>
      </c>
      <c r="G55" s="137">
        <v>0.25876651757689328</v>
      </c>
      <c r="H55" s="138">
        <v>0.18758203084741076</v>
      </c>
      <c r="I55" s="137">
        <v>0.16773910751049359</v>
      </c>
      <c r="J55" s="137">
        <v>0.13864987089210401</v>
      </c>
      <c r="K55" s="137">
        <v>0.12719778040473562</v>
      </c>
      <c r="L55" s="137">
        <v>0.12006469276818166</v>
      </c>
      <c r="M55" s="137">
        <v>1.7952306308188781E-13</v>
      </c>
      <c r="N55" s="148" t="s">
        <v>141</v>
      </c>
      <c r="O55" s="137"/>
      <c r="P55" s="139"/>
    </row>
    <row r="56" spans="1:25">
      <c r="A56" s="14" t="s">
        <v>73</v>
      </c>
      <c r="B56" s="151">
        <v>0</v>
      </c>
      <c r="C56" s="152">
        <v>0</v>
      </c>
      <c r="D56" s="153">
        <v>0</v>
      </c>
      <c r="E56" s="151">
        <v>0</v>
      </c>
      <c r="F56" s="154">
        <v>0</v>
      </c>
      <c r="G56" s="103">
        <v>0</v>
      </c>
      <c r="H56" s="103">
        <v>0</v>
      </c>
      <c r="I56" s="103">
        <v>0</v>
      </c>
      <c r="J56" s="103">
        <v>0</v>
      </c>
      <c r="K56" s="103">
        <v>0</v>
      </c>
      <c r="L56" s="103">
        <v>0</v>
      </c>
      <c r="M56" s="103">
        <v>0</v>
      </c>
      <c r="N56" s="111" t="s">
        <v>141</v>
      </c>
      <c r="O56" s="103"/>
      <c r="P56" s="104"/>
      <c r="Y56" s="21">
        <v>0.15</v>
      </c>
    </row>
    <row r="57" spans="1:25">
      <c r="A57" s="14" t="s">
        <v>4</v>
      </c>
      <c r="B57" s="151">
        <v>0.21134342201011411</v>
      </c>
      <c r="C57" s="152">
        <v>0.29863491453960272</v>
      </c>
      <c r="D57" s="153">
        <v>1.4322697648339733E-4</v>
      </c>
      <c r="E57" s="151">
        <v>2.6479849978268917E-2</v>
      </c>
      <c r="F57" s="154">
        <v>0.34206511435977943</v>
      </c>
      <c r="G57" s="103">
        <v>1</v>
      </c>
      <c r="H57" s="103">
        <v>-0.45104358087017687</v>
      </c>
      <c r="I57" s="103">
        <v>-0.12363550969166419</v>
      </c>
      <c r="J57" s="103">
        <v>-9.2471917016909988E-3</v>
      </c>
      <c r="K57" s="103">
        <v>-1.2434493163404307E-2</v>
      </c>
      <c r="L57" s="103">
        <v>-0.21581150797572674</v>
      </c>
      <c r="M57" s="103">
        <v>0.99999926319858212</v>
      </c>
      <c r="N57" s="111" t="s">
        <v>141</v>
      </c>
      <c r="O57" s="103"/>
      <c r="P57" s="104"/>
      <c r="R57" s="146">
        <f>D57</f>
        <v>1.4322697648339733E-4</v>
      </c>
      <c r="S57" s="146">
        <f>B57</f>
        <v>0.21134342201011411</v>
      </c>
      <c r="T57" s="146">
        <f>F57</f>
        <v>0.34206511435977943</v>
      </c>
      <c r="V57" s="28">
        <f>R57</f>
        <v>1.4322697648339733E-4</v>
      </c>
      <c r="W57" s="28">
        <f>S57-R57</f>
        <v>0.21120019503363072</v>
      </c>
      <c r="X57" s="28">
        <f>T57-S57</f>
        <v>0.13072169234966532</v>
      </c>
    </row>
    <row r="58" spans="1:25">
      <c r="A58" s="14" t="s">
        <v>175</v>
      </c>
      <c r="B58" s="151">
        <v>0.11110476506002791</v>
      </c>
      <c r="C58" s="152">
        <v>0.22824603705820415</v>
      </c>
      <c r="D58" s="153">
        <v>6.4549382004071665E-6</v>
      </c>
      <c r="E58" s="151">
        <v>2.1099819943603965E-3</v>
      </c>
      <c r="F58" s="154">
        <v>5.3280733441306682E-2</v>
      </c>
      <c r="G58" s="103">
        <v>-0.15934850697715022</v>
      </c>
      <c r="H58" s="103">
        <v>4.460304530178575E-2</v>
      </c>
      <c r="I58" s="103">
        <v>0.28168984662688334</v>
      </c>
      <c r="J58" s="103">
        <v>1</v>
      </c>
      <c r="K58" s="103">
        <v>-0.24782238809972623</v>
      </c>
      <c r="L58" s="103">
        <v>-3.698170395816542E-2</v>
      </c>
      <c r="M58" s="103">
        <v>0.99999929325720205</v>
      </c>
      <c r="N58" s="111" t="s">
        <v>141</v>
      </c>
      <c r="O58" s="103"/>
      <c r="P58" s="104"/>
      <c r="R58" s="146">
        <f t="shared" ref="R58:R63" si="20">D58</f>
        <v>6.4549382004071665E-6</v>
      </c>
      <c r="S58" s="146">
        <f t="shared" ref="S58:S63" si="21">B58</f>
        <v>0.11110476506002791</v>
      </c>
      <c r="T58" s="146">
        <f t="shared" ref="T58:T63" si="22">F58</f>
        <v>5.3280733441306682E-2</v>
      </c>
      <c r="V58" s="28">
        <f t="shared" ref="V58:V63" si="23">R58</f>
        <v>6.4549382004071665E-6</v>
      </c>
      <c r="W58" s="28">
        <f t="shared" ref="W58:X63" si="24">S58-R58</f>
        <v>0.1110983101218275</v>
      </c>
      <c r="X58" s="28">
        <f t="shared" si="24"/>
        <v>-5.7824031618721225E-2</v>
      </c>
    </row>
    <row r="59" spans="1:25">
      <c r="A59" s="14" t="s">
        <v>176</v>
      </c>
      <c r="B59" s="151">
        <v>0.11244096434610018</v>
      </c>
      <c r="C59" s="152">
        <v>0.2115598622964196</v>
      </c>
      <c r="D59" s="153">
        <v>3.4069507413255322E-5</v>
      </c>
      <c r="E59" s="151">
        <v>5.8029288808896275E-3</v>
      </c>
      <c r="F59" s="154">
        <v>0.11192828976410416</v>
      </c>
      <c r="G59" s="103">
        <v>-2.0219224406829529E-2</v>
      </c>
      <c r="H59" s="103">
        <v>-0.1318983475583661</v>
      </c>
      <c r="I59" s="103">
        <v>1.9062694734841529E-2</v>
      </c>
      <c r="J59" s="103">
        <v>-0.23101626754641735</v>
      </c>
      <c r="K59" s="103">
        <v>-0.27059185172787198</v>
      </c>
      <c r="L59" s="103">
        <v>1</v>
      </c>
      <c r="M59" s="103">
        <v>0.99999930168442985</v>
      </c>
      <c r="N59" s="111" t="s">
        <v>141</v>
      </c>
      <c r="O59" s="103"/>
      <c r="P59" s="104"/>
      <c r="R59" s="146">
        <f t="shared" si="20"/>
        <v>3.4069507413255322E-5</v>
      </c>
      <c r="S59" s="146">
        <f t="shared" si="21"/>
        <v>0.11244096434610018</v>
      </c>
      <c r="T59" s="146">
        <f t="shared" si="22"/>
        <v>0.11192828976410416</v>
      </c>
      <c r="V59" s="28">
        <f t="shared" si="23"/>
        <v>3.4069507413255322E-5</v>
      </c>
      <c r="W59" s="28">
        <f t="shared" si="24"/>
        <v>0.11240689483868692</v>
      </c>
      <c r="X59" s="28">
        <f t="shared" si="24"/>
        <v>-5.1267458199602545E-4</v>
      </c>
    </row>
    <row r="60" spans="1:25">
      <c r="A60" s="14" t="s">
        <v>177</v>
      </c>
      <c r="B60" s="151">
        <v>0.15315081965581459</v>
      </c>
      <c r="C60" s="152">
        <v>0.25170859332124956</v>
      </c>
      <c r="D60" s="153">
        <v>1.5769792226434076E-6</v>
      </c>
      <c r="E60" s="151">
        <v>3.6974745776960525E-3</v>
      </c>
      <c r="F60" s="154">
        <v>0.23728475702445961</v>
      </c>
      <c r="G60" s="103">
        <v>6.4130188223700361E-3</v>
      </c>
      <c r="H60" s="103">
        <v>1</v>
      </c>
      <c r="I60" s="103">
        <v>-0.57591282497945462</v>
      </c>
      <c r="J60" s="103">
        <v>-0.18185547229341575</v>
      </c>
      <c r="K60" s="103">
        <v>-0.31680280984137932</v>
      </c>
      <c r="L60" s="103">
        <v>-0.22341415834068121</v>
      </c>
      <c r="M60" s="103">
        <v>1</v>
      </c>
      <c r="N60" s="111" t="s">
        <v>141</v>
      </c>
      <c r="O60" s="103"/>
      <c r="P60" s="104"/>
      <c r="R60" s="146">
        <f t="shared" si="20"/>
        <v>1.5769792226434076E-6</v>
      </c>
      <c r="S60" s="146">
        <f t="shared" si="21"/>
        <v>0.15315081965581459</v>
      </c>
      <c r="T60" s="146">
        <f t="shared" si="22"/>
        <v>0.23728475702445961</v>
      </c>
      <c r="V60" s="28">
        <f t="shared" si="23"/>
        <v>1.5769792226434076E-6</v>
      </c>
      <c r="W60" s="28">
        <f t="shared" si="24"/>
        <v>0.15314924267659194</v>
      </c>
      <c r="X60" s="28">
        <f t="shared" si="24"/>
        <v>8.4133937368645023E-2</v>
      </c>
    </row>
    <row r="61" spans="1:25">
      <c r="A61" s="14" t="s">
        <v>5</v>
      </c>
      <c r="B61" s="151">
        <v>0.15229981501154774</v>
      </c>
      <c r="C61" s="152">
        <v>0.2674071259816645</v>
      </c>
      <c r="D61" s="153">
        <v>4.7408734933803435E-5</v>
      </c>
      <c r="E61" s="151">
        <v>7.3641975528150692E-3</v>
      </c>
      <c r="F61" s="154">
        <v>0.18832748024473528</v>
      </c>
      <c r="G61" s="103">
        <v>-0.600040982961214</v>
      </c>
      <c r="H61" s="103">
        <v>-0.81460772383742464</v>
      </c>
      <c r="I61" s="103">
        <v>-0.42487998390530085</v>
      </c>
      <c r="J61" s="103">
        <v>-0.21527080438210985</v>
      </c>
      <c r="K61" s="103">
        <v>-0.15415439582827711</v>
      </c>
      <c r="L61" s="103">
        <v>-0.36205075781444651</v>
      </c>
      <c r="M61" s="103">
        <v>0.99999930509486146</v>
      </c>
      <c r="N61" s="111" t="s">
        <v>141</v>
      </c>
      <c r="O61" s="103"/>
      <c r="P61" s="104"/>
      <c r="R61" s="146">
        <f t="shared" si="20"/>
        <v>4.7408734933803435E-5</v>
      </c>
      <c r="S61" s="146">
        <f t="shared" si="21"/>
        <v>0.15229981501154774</v>
      </c>
      <c r="T61" s="146">
        <f t="shared" si="22"/>
        <v>0.18832748024473528</v>
      </c>
      <c r="V61" s="28">
        <f t="shared" si="23"/>
        <v>4.7408734933803435E-5</v>
      </c>
      <c r="W61" s="28">
        <f t="shared" si="24"/>
        <v>0.15225240627661393</v>
      </c>
      <c r="X61" s="28">
        <f t="shared" si="24"/>
        <v>3.6027665233187539E-2</v>
      </c>
    </row>
    <row r="62" spans="1:25">
      <c r="A62" s="14" t="s">
        <v>178</v>
      </c>
      <c r="B62" s="151">
        <v>0.12693488226984692</v>
      </c>
      <c r="C62" s="152">
        <v>0.21877944249728357</v>
      </c>
      <c r="D62" s="153">
        <v>1.6972495517242384E-5</v>
      </c>
      <c r="E62" s="151">
        <v>5.6233189315121699E-3</v>
      </c>
      <c r="F62" s="154">
        <v>0.19701241296152092</v>
      </c>
      <c r="G62" s="103">
        <v>-0.12280628674395226</v>
      </c>
      <c r="H62" s="103">
        <v>0.16063469270648004</v>
      </c>
      <c r="I62" s="103">
        <v>-0.17632378710385335</v>
      </c>
      <c r="J62" s="103">
        <v>9.5225771805577508E-2</v>
      </c>
      <c r="K62" s="103">
        <v>1</v>
      </c>
      <c r="L62" s="103">
        <v>0.13268517336770788</v>
      </c>
      <c r="M62" s="103">
        <v>0.99999967530532952</v>
      </c>
      <c r="N62" s="111" t="s">
        <v>141</v>
      </c>
      <c r="O62" s="103"/>
      <c r="P62" s="104"/>
      <c r="R62" s="146">
        <f t="shared" si="20"/>
        <v>1.6972495517242384E-5</v>
      </c>
      <c r="S62" s="146">
        <f t="shared" si="21"/>
        <v>0.12693488226984692</v>
      </c>
      <c r="T62" s="146">
        <f t="shared" si="22"/>
        <v>0.19701241296152092</v>
      </c>
      <c r="V62" s="28">
        <f t="shared" si="23"/>
        <v>1.6972495517242384E-5</v>
      </c>
      <c r="W62" s="28">
        <f t="shared" si="24"/>
        <v>0.12691790977432968</v>
      </c>
      <c r="X62" s="28">
        <f t="shared" si="24"/>
        <v>7.0077530691673995E-2</v>
      </c>
    </row>
    <row r="63" spans="1:25">
      <c r="A63" s="14" t="s">
        <v>6</v>
      </c>
      <c r="B63" s="151">
        <v>0.13272524359245294</v>
      </c>
      <c r="C63" s="152">
        <v>0.24219655281159985</v>
      </c>
      <c r="D63" s="153">
        <v>2.3708191324451228E-6</v>
      </c>
      <c r="E63" s="151">
        <v>2.9357277442568245E-3</v>
      </c>
      <c r="F63" s="154">
        <v>0.16674470878593906</v>
      </c>
      <c r="G63" s="103">
        <v>-0.10399793387037612</v>
      </c>
      <c r="H63" s="103">
        <v>0.19231113567589189</v>
      </c>
      <c r="I63" s="103">
        <v>1</v>
      </c>
      <c r="J63" s="103">
        <v>-0.45783592127209749</v>
      </c>
      <c r="K63" s="103">
        <v>1.8057841699544938E-3</v>
      </c>
      <c r="L63" s="103">
        <v>-0.29442693696753797</v>
      </c>
      <c r="M63" s="103">
        <v>0.99999933311509825</v>
      </c>
      <c r="N63" s="111" t="s">
        <v>141</v>
      </c>
      <c r="O63" s="103"/>
      <c r="P63" s="104"/>
      <c r="R63" s="146">
        <f t="shared" si="20"/>
        <v>2.3708191324451228E-6</v>
      </c>
      <c r="S63" s="146">
        <f t="shared" si="21"/>
        <v>0.13272524359245294</v>
      </c>
      <c r="T63" s="146">
        <f t="shared" si="22"/>
        <v>0.16674470878593906</v>
      </c>
      <c r="V63" s="28">
        <f t="shared" si="23"/>
        <v>2.3708191324451228E-6</v>
      </c>
      <c r="W63" s="28">
        <f t="shared" si="24"/>
        <v>0.13272287277332048</v>
      </c>
      <c r="X63" s="28">
        <f t="shared" si="24"/>
        <v>3.4019465193486115E-2</v>
      </c>
    </row>
    <row r="64" spans="1:25">
      <c r="A64" s="14"/>
      <c r="B64" s="151"/>
      <c r="C64" s="152"/>
      <c r="D64" s="153"/>
      <c r="E64" s="151"/>
      <c r="F64" s="154"/>
      <c r="G64" s="103"/>
      <c r="H64" s="103"/>
      <c r="I64" s="103"/>
      <c r="J64" s="103"/>
      <c r="K64" s="103"/>
      <c r="L64" s="103"/>
      <c r="M64" s="103"/>
      <c r="N64" s="103"/>
      <c r="O64" s="103"/>
      <c r="P64" s="104"/>
    </row>
    <row r="65" spans="1:28">
      <c r="A65" s="15"/>
      <c r="B65" s="155"/>
      <c r="C65" s="156"/>
      <c r="D65" s="157"/>
      <c r="E65" s="155"/>
      <c r="F65" s="158"/>
      <c r="G65" s="106"/>
      <c r="H65" s="106"/>
      <c r="I65" s="106"/>
      <c r="J65" s="106"/>
      <c r="K65" s="106"/>
      <c r="L65" s="106"/>
      <c r="M65" s="106"/>
      <c r="N65" s="106"/>
      <c r="O65" s="106"/>
      <c r="P65" s="107"/>
    </row>
    <row r="66" spans="1:28">
      <c r="A66" s="22"/>
      <c r="B66" s="151"/>
      <c r="C66" s="151"/>
      <c r="D66" s="151"/>
      <c r="E66" s="151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</row>
    <row r="67" spans="1:28">
      <c r="D67" s="247" t="s">
        <v>136</v>
      </c>
      <c r="E67" s="256"/>
      <c r="F67" s="248"/>
      <c r="G67" s="247" t="s">
        <v>137</v>
      </c>
      <c r="H67" s="256"/>
      <c r="I67" s="256"/>
      <c r="J67" s="256"/>
      <c r="K67" s="256"/>
      <c r="L67" s="256"/>
      <c r="M67" s="256"/>
      <c r="N67" s="256"/>
      <c r="O67" s="256"/>
      <c r="P67" s="248"/>
    </row>
    <row r="68" spans="1:28">
      <c r="A68" s="108" t="str">
        <f>Parameters!A28</f>
        <v>Kansgewogen</v>
      </c>
      <c r="B68" s="109" t="s">
        <v>116</v>
      </c>
      <c r="C68" s="17" t="s">
        <v>117</v>
      </c>
      <c r="D68" s="134">
        <v>0.25</v>
      </c>
      <c r="E68" s="133">
        <v>0.5</v>
      </c>
      <c r="F68" s="135">
        <v>0.75</v>
      </c>
      <c r="G68" s="137">
        <v>0.93196221648526212</v>
      </c>
      <c r="H68" s="138">
        <v>5.9500949682125936E-2</v>
      </c>
      <c r="I68" s="137">
        <v>5.3878333451307103E-3</v>
      </c>
      <c r="J68" s="137">
        <v>1.9598335848486359E-3</v>
      </c>
      <c r="K68" s="137">
        <v>1.0035830947899838E-3</v>
      </c>
      <c r="L68" s="137">
        <v>1.8558380784250428E-4</v>
      </c>
      <c r="M68" s="137">
        <v>0</v>
      </c>
      <c r="N68" s="148" t="s">
        <v>141</v>
      </c>
      <c r="O68" s="137"/>
      <c r="P68" s="139"/>
    </row>
    <row r="69" spans="1:28">
      <c r="A69" s="122" t="s">
        <v>73</v>
      </c>
      <c r="B69" s="151">
        <v>0</v>
      </c>
      <c r="C69" s="152">
        <v>0</v>
      </c>
      <c r="D69" s="153">
        <v>0</v>
      </c>
      <c r="E69" s="151">
        <v>0</v>
      </c>
      <c r="F69" s="154">
        <v>0</v>
      </c>
      <c r="G69" s="103">
        <v>0</v>
      </c>
      <c r="H69" s="103">
        <v>0</v>
      </c>
      <c r="I69" s="103">
        <v>0</v>
      </c>
      <c r="J69" s="103">
        <v>0</v>
      </c>
      <c r="K69" s="103">
        <v>0</v>
      </c>
      <c r="L69" s="103">
        <v>0</v>
      </c>
      <c r="M69" s="103">
        <v>0</v>
      </c>
      <c r="N69" s="111" t="s">
        <v>141</v>
      </c>
      <c r="O69" s="103"/>
      <c r="P69" s="104"/>
    </row>
    <row r="70" spans="1:28">
      <c r="A70" s="14" t="s">
        <v>4</v>
      </c>
      <c r="B70" s="151">
        <v>1.0844652609461165E-2</v>
      </c>
      <c r="C70" s="152">
        <v>1.5846056338211848E-2</v>
      </c>
      <c r="D70" s="153">
        <v>2.1261429655377207E-5</v>
      </c>
      <c r="E70" s="151">
        <v>6.7297165463108279E-5</v>
      </c>
      <c r="F70" s="154">
        <v>2.5912483362923629E-2</v>
      </c>
      <c r="G70" s="103">
        <v>-0.10881493284340327</v>
      </c>
      <c r="H70" s="103">
        <v>1</v>
      </c>
      <c r="I70" s="103">
        <v>-0.69170207175446863</v>
      </c>
      <c r="J70" s="103">
        <v>-0.35218160636374612</v>
      </c>
      <c r="K70" s="103">
        <v>5.7797867148518825E-2</v>
      </c>
      <c r="L70" s="103">
        <v>-1.2447603078839702E-2</v>
      </c>
      <c r="M70" s="103">
        <v>0.99999999999994083</v>
      </c>
      <c r="N70" s="111" t="s">
        <v>141</v>
      </c>
      <c r="O70" s="103"/>
      <c r="P70" s="104"/>
      <c r="R70" s="146">
        <f>D70</f>
        <v>2.1261429655377207E-5</v>
      </c>
      <c r="S70" s="146">
        <f>B70</f>
        <v>1.0844652609461165E-2</v>
      </c>
      <c r="T70" s="146">
        <f>F70</f>
        <v>2.5912483362923629E-2</v>
      </c>
      <c r="V70" s="28">
        <f>R70</f>
        <v>2.1261429655377207E-5</v>
      </c>
      <c r="W70" s="28">
        <f>S70-R70</f>
        <v>1.0823391179805788E-2</v>
      </c>
      <c r="X70" s="28">
        <f>T70-S70</f>
        <v>1.5067830753462463E-2</v>
      </c>
      <c r="Z70" s="45">
        <f>V18*$Y$17+V31*$Y$30+V44*$Y$43+V57*$Y$56</f>
        <v>0.14474160852159282</v>
      </c>
      <c r="AA70" s="45">
        <f t="shared" ref="AA70:AB76" si="25">W18*$Y$17+W31*$Y$30+W44*$Y$43+W57*$Y$56</f>
        <v>0.10140813873975321</v>
      </c>
      <c r="AB70" s="45">
        <f t="shared" si="25"/>
        <v>0.10547933670624825</v>
      </c>
    </row>
    <row r="71" spans="1:28">
      <c r="A71" s="14" t="s">
        <v>175</v>
      </c>
      <c r="B71" s="151">
        <v>0.42986678111274385</v>
      </c>
      <c r="C71" s="152">
        <v>4.9123940924493403E-2</v>
      </c>
      <c r="D71" s="153">
        <v>0.38537573257025437</v>
      </c>
      <c r="E71" s="151">
        <v>0.43766829822676656</v>
      </c>
      <c r="F71" s="154">
        <v>0.46703069236063344</v>
      </c>
      <c r="G71" s="103">
        <v>-0.81539275083740081</v>
      </c>
      <c r="H71" s="103">
        <v>-0.73231968302771078</v>
      </c>
      <c r="I71" s="103">
        <v>-0.36352323915681289</v>
      </c>
      <c r="J71" s="103">
        <v>-0.33807383514753503</v>
      </c>
      <c r="K71" s="103">
        <v>1.965112483646158E-2</v>
      </c>
      <c r="L71" s="103">
        <v>-0.21316441831911023</v>
      </c>
      <c r="M71" s="103">
        <v>0.99999999999995637</v>
      </c>
      <c r="N71" s="111" t="s">
        <v>141</v>
      </c>
      <c r="O71" s="103"/>
      <c r="P71" s="104"/>
      <c r="R71" s="146">
        <f t="shared" ref="R71:R76" si="26">D71</f>
        <v>0.38537573257025437</v>
      </c>
      <c r="S71" s="146">
        <f t="shared" ref="S71:S76" si="27">B71</f>
        <v>0.42986678111274385</v>
      </c>
      <c r="T71" s="146">
        <f t="shared" ref="T71:T76" si="28">F71</f>
        <v>0.46703069236063344</v>
      </c>
      <c r="V71" s="28">
        <f t="shared" ref="V71:V76" si="29">R71</f>
        <v>0.38537573257025437</v>
      </c>
      <c r="W71" s="28">
        <f t="shared" ref="W71:X76" si="30">S71-R71</f>
        <v>4.4491048542489475E-2</v>
      </c>
      <c r="X71" s="28">
        <f t="shared" si="30"/>
        <v>3.7163911247889592E-2</v>
      </c>
      <c r="Z71" s="45">
        <f t="shared" ref="Z71:Z76" si="31">V19*$Y$17+V32*$Y$30+V45*$Y$43+V58*$Y$56</f>
        <v>3.6043001553031334E-2</v>
      </c>
      <c r="AA71" s="45">
        <f t="shared" si="25"/>
        <v>0.12366201262154024</v>
      </c>
      <c r="AB71" s="45">
        <f t="shared" si="25"/>
        <v>9.091002497204663E-2</v>
      </c>
    </row>
    <row r="72" spans="1:28">
      <c r="A72" s="14" t="s">
        <v>176</v>
      </c>
      <c r="B72" s="151">
        <v>5.3827307662985886E-2</v>
      </c>
      <c r="C72" s="152">
        <v>5.9252317467530506E-2</v>
      </c>
      <c r="D72" s="153">
        <v>9.4859208220461643E-4</v>
      </c>
      <c r="E72" s="151">
        <v>4.5399167593347368E-2</v>
      </c>
      <c r="F72" s="154">
        <v>0.10523115772009894</v>
      </c>
      <c r="G72" s="103">
        <v>1</v>
      </c>
      <c r="H72" s="103">
        <v>-0.47814851998283581</v>
      </c>
      <c r="I72" s="103">
        <v>-0.34666618308033365</v>
      </c>
      <c r="J72" s="103">
        <v>-0.27924121210702596</v>
      </c>
      <c r="K72" s="103">
        <v>2.2320048462538433E-2</v>
      </c>
      <c r="L72" s="103">
        <v>-0.21398292184217024</v>
      </c>
      <c r="M72" s="103">
        <v>0.99999999999995615</v>
      </c>
      <c r="N72" s="111" t="s">
        <v>141</v>
      </c>
      <c r="O72" s="103"/>
      <c r="P72" s="104"/>
      <c r="R72" s="146">
        <f t="shared" si="26"/>
        <v>9.4859208220461643E-4</v>
      </c>
      <c r="S72" s="146">
        <f t="shared" si="27"/>
        <v>5.3827307662985886E-2</v>
      </c>
      <c r="T72" s="146">
        <f t="shared" si="28"/>
        <v>0.10523115772009894</v>
      </c>
      <c r="V72" s="28">
        <f t="shared" si="29"/>
        <v>9.4859208220461643E-4</v>
      </c>
      <c r="W72" s="28">
        <f t="shared" si="30"/>
        <v>5.287871558078127E-2</v>
      </c>
      <c r="X72" s="28">
        <f t="shared" si="30"/>
        <v>5.1403850057113058E-2</v>
      </c>
      <c r="Z72" s="45">
        <f t="shared" si="31"/>
        <v>5.5800821491697863E-2</v>
      </c>
      <c r="AA72" s="45">
        <f t="shared" si="25"/>
        <v>0.12785052486545975</v>
      </c>
      <c r="AB72" s="45">
        <f t="shared" si="25"/>
        <v>0.1041945443546624</v>
      </c>
    </row>
    <row r="73" spans="1:28">
      <c r="A73" s="14" t="s">
        <v>177</v>
      </c>
      <c r="B73" s="151">
        <v>0.49588142159226378</v>
      </c>
      <c r="C73" s="152">
        <v>3.0138585642320798E-3</v>
      </c>
      <c r="D73" s="153">
        <v>0.49290186993109647</v>
      </c>
      <c r="E73" s="151">
        <v>0.49562989097359123</v>
      </c>
      <c r="F73" s="154">
        <v>0.49925176570090846</v>
      </c>
      <c r="G73" s="103">
        <v>-1.120227192527542E-2</v>
      </c>
      <c r="H73" s="103">
        <v>1.9370736860075212E-2</v>
      </c>
      <c r="I73" s="103">
        <v>0.54327522063891454</v>
      </c>
      <c r="J73" s="103">
        <v>8.6986232743140282E-2</v>
      </c>
      <c r="K73" s="103">
        <v>1</v>
      </c>
      <c r="L73" s="103">
        <v>0.36916087474968368</v>
      </c>
      <c r="M73" s="103">
        <v>0.99999999999990707</v>
      </c>
      <c r="N73" s="111" t="s">
        <v>141</v>
      </c>
      <c r="O73" s="103"/>
      <c r="P73" s="104"/>
      <c r="R73" s="146">
        <f t="shared" si="26"/>
        <v>0.49290186993109647</v>
      </c>
      <c r="S73" s="146">
        <f t="shared" si="27"/>
        <v>0.49588142159226378</v>
      </c>
      <c r="T73" s="146">
        <f t="shared" si="28"/>
        <v>0.49925176570090846</v>
      </c>
      <c r="V73" s="28">
        <f t="shared" si="29"/>
        <v>0.49290186993109647</v>
      </c>
      <c r="W73" s="28">
        <f t="shared" si="30"/>
        <v>2.9795516611673123E-3</v>
      </c>
      <c r="X73" s="28">
        <f t="shared" si="30"/>
        <v>3.3703441086446739E-3</v>
      </c>
      <c r="Z73" s="45">
        <f t="shared" si="31"/>
        <v>1.3464894525235065E-2</v>
      </c>
      <c r="AA73" s="45">
        <f t="shared" si="25"/>
        <v>9.9705630484681729E-2</v>
      </c>
      <c r="AB73" s="45">
        <f t="shared" si="25"/>
        <v>6.6415442622888496E-2</v>
      </c>
    </row>
    <row r="74" spans="1:28">
      <c r="A74" s="14" t="s">
        <v>5</v>
      </c>
      <c r="B74" s="151">
        <v>3.3253884369928415E-3</v>
      </c>
      <c r="C74" s="152">
        <v>4.0606830871034276E-3</v>
      </c>
      <c r="D74" s="153">
        <v>2.6821882648243169E-6</v>
      </c>
      <c r="E74" s="151">
        <v>3.149817256132646E-3</v>
      </c>
      <c r="F74" s="154">
        <v>4.6475409006691577E-3</v>
      </c>
      <c r="G74" s="103">
        <v>-3.7009296966735314E-2</v>
      </c>
      <c r="H74" s="103">
        <v>-7.2060510903756564E-3</v>
      </c>
      <c r="I74" s="103">
        <v>-0.4099626996227777</v>
      </c>
      <c r="J74" s="103">
        <v>1</v>
      </c>
      <c r="K74" s="103">
        <v>-0.1023776685136049</v>
      </c>
      <c r="L74" s="103">
        <v>-0.21287804813250419</v>
      </c>
      <c r="M74" s="103">
        <v>0.99999999999993061</v>
      </c>
      <c r="N74" s="111" t="s">
        <v>141</v>
      </c>
      <c r="O74" s="103"/>
      <c r="P74" s="104"/>
      <c r="R74" s="146">
        <f t="shared" si="26"/>
        <v>2.6821882648243169E-6</v>
      </c>
      <c r="S74" s="146">
        <f t="shared" si="27"/>
        <v>3.3253884369928415E-3</v>
      </c>
      <c r="T74" s="146">
        <f t="shared" si="28"/>
        <v>4.6475409006691577E-3</v>
      </c>
      <c r="V74" s="28">
        <f t="shared" si="29"/>
        <v>2.6821882648243169E-6</v>
      </c>
      <c r="W74" s="28">
        <f t="shared" si="30"/>
        <v>3.3227062487280173E-3</v>
      </c>
      <c r="X74" s="28">
        <f t="shared" si="30"/>
        <v>1.3221524636763161E-3</v>
      </c>
      <c r="Z74" s="45">
        <f t="shared" si="31"/>
        <v>6.1160875724100665E-3</v>
      </c>
      <c r="AA74" s="45">
        <f t="shared" si="25"/>
        <v>0.13457774511463308</v>
      </c>
      <c r="AB74" s="45">
        <f t="shared" si="25"/>
        <v>9.5154595184472557E-2</v>
      </c>
    </row>
    <row r="75" spans="1:28">
      <c r="A75" s="14" t="s">
        <v>178</v>
      </c>
      <c r="B75" s="151">
        <v>4.4991779848749264E-3</v>
      </c>
      <c r="C75" s="152">
        <v>5.8680902388799907E-3</v>
      </c>
      <c r="D75" s="153">
        <v>3.9653309406301349E-6</v>
      </c>
      <c r="E75" s="151">
        <v>6.9728809123636092E-4</v>
      </c>
      <c r="F75" s="154">
        <v>7.3474170032150551E-3</v>
      </c>
      <c r="G75" s="103">
        <v>-3.6496696313388262E-2</v>
      </c>
      <c r="H75" s="103">
        <v>0.26385749176625167</v>
      </c>
      <c r="I75" s="103">
        <v>1</v>
      </c>
      <c r="J75" s="103">
        <v>-9.4399066554058095E-2</v>
      </c>
      <c r="K75" s="103">
        <v>-0.35890100908531075</v>
      </c>
      <c r="L75" s="103">
        <v>-0.71668788337693456</v>
      </c>
      <c r="M75" s="103">
        <v>1</v>
      </c>
      <c r="N75" s="111" t="s">
        <v>141</v>
      </c>
      <c r="O75" s="103"/>
      <c r="P75" s="104"/>
      <c r="R75" s="146">
        <f t="shared" si="26"/>
        <v>3.9653309406301349E-6</v>
      </c>
      <c r="S75" s="146">
        <f t="shared" si="27"/>
        <v>4.4991779848749264E-3</v>
      </c>
      <c r="T75" s="146">
        <f t="shared" si="28"/>
        <v>7.3474170032150551E-3</v>
      </c>
      <c r="V75" s="28">
        <f t="shared" si="29"/>
        <v>3.9653309406301349E-6</v>
      </c>
      <c r="W75" s="28">
        <f t="shared" si="30"/>
        <v>4.4952126539342966E-3</v>
      </c>
      <c r="X75" s="28">
        <f t="shared" si="30"/>
        <v>2.8482390183401287E-3</v>
      </c>
      <c r="Z75" s="45">
        <f t="shared" si="31"/>
        <v>2.7095130506908986E-2</v>
      </c>
      <c r="AA75" s="45">
        <f t="shared" si="25"/>
        <v>8.2605234160314733E-2</v>
      </c>
      <c r="AB75" s="45">
        <f t="shared" si="25"/>
        <v>5.1764297657217351E-2</v>
      </c>
    </row>
    <row r="76" spans="1:28">
      <c r="A76" s="14" t="s">
        <v>6</v>
      </c>
      <c r="B76" s="151">
        <v>1.7552706006771471E-3</v>
      </c>
      <c r="C76" s="152">
        <v>2.1240328049358997E-3</v>
      </c>
      <c r="D76" s="153">
        <v>5.5780259285972275E-5</v>
      </c>
      <c r="E76" s="151">
        <v>3.9499309456271877E-4</v>
      </c>
      <c r="F76" s="154">
        <v>2.7703341014330175E-3</v>
      </c>
      <c r="G76" s="103">
        <v>8.9159488862019694E-3</v>
      </c>
      <c r="H76" s="103">
        <v>-6.5553974525405595E-2</v>
      </c>
      <c r="I76" s="103">
        <v>0.26857897297546252</v>
      </c>
      <c r="J76" s="103">
        <v>-2.3090512570749254E-2</v>
      </c>
      <c r="K76" s="103">
        <v>-0.63849036284859206</v>
      </c>
      <c r="L76" s="103">
        <v>1</v>
      </c>
      <c r="M76" s="103">
        <v>0.99999999999987466</v>
      </c>
      <c r="N76" s="111" t="s">
        <v>141</v>
      </c>
      <c r="O76" s="103"/>
      <c r="P76" s="104"/>
      <c r="R76" s="146">
        <f t="shared" si="26"/>
        <v>5.5780259285972275E-5</v>
      </c>
      <c r="S76" s="146">
        <f t="shared" si="27"/>
        <v>1.7552706006771471E-3</v>
      </c>
      <c r="T76" s="146">
        <f t="shared" si="28"/>
        <v>2.7703341014330175E-3</v>
      </c>
      <c r="V76" s="28">
        <f t="shared" si="29"/>
        <v>5.5780259285972275E-5</v>
      </c>
      <c r="W76" s="28">
        <f t="shared" si="30"/>
        <v>1.6994903413911748E-3</v>
      </c>
      <c r="X76" s="28">
        <f t="shared" si="30"/>
        <v>1.0150635007558704E-3</v>
      </c>
      <c r="Z76" s="45">
        <f t="shared" si="31"/>
        <v>2.0691268980272915E-3</v>
      </c>
      <c r="AA76" s="45">
        <f t="shared" si="25"/>
        <v>4.4860029736599014E-2</v>
      </c>
      <c r="AB76" s="45">
        <f t="shared" si="25"/>
        <v>2.1185206442352535E-2</v>
      </c>
    </row>
    <row r="77" spans="1:28">
      <c r="A77" s="14"/>
      <c r="B77" s="151"/>
      <c r="C77" s="152"/>
      <c r="D77" s="153"/>
      <c r="E77" s="151"/>
      <c r="F77" s="154"/>
      <c r="G77" s="103"/>
      <c r="H77" s="103"/>
      <c r="I77" s="103"/>
      <c r="J77" s="103"/>
      <c r="K77" s="103"/>
      <c r="L77" s="103"/>
      <c r="M77" s="103"/>
      <c r="N77" s="103"/>
      <c r="O77" s="103"/>
      <c r="P77" s="104"/>
    </row>
    <row r="78" spans="1:28">
      <c r="A78" s="15"/>
      <c r="B78" s="155"/>
      <c r="C78" s="156"/>
      <c r="D78" s="157"/>
      <c r="E78" s="155"/>
      <c r="F78" s="158"/>
      <c r="G78" s="106"/>
      <c r="H78" s="106"/>
      <c r="I78" s="106"/>
      <c r="J78" s="106"/>
      <c r="K78" s="106"/>
      <c r="L78" s="106"/>
      <c r="M78" s="106"/>
      <c r="N78" s="106"/>
      <c r="O78" s="106"/>
      <c r="P78" s="107"/>
    </row>
  </sheetData>
  <mergeCells count="12">
    <mergeCell ref="D2:F2"/>
    <mergeCell ref="G2:P2"/>
    <mergeCell ref="D15:F15"/>
    <mergeCell ref="G15:P15"/>
    <mergeCell ref="D54:F54"/>
    <mergeCell ref="G54:P54"/>
    <mergeCell ref="D67:F67"/>
    <mergeCell ref="G67:P67"/>
    <mergeCell ref="D28:F28"/>
    <mergeCell ref="G28:P28"/>
    <mergeCell ref="D41:F41"/>
    <mergeCell ref="G41:P41"/>
  </mergeCells>
  <phoneticPr fontId="2" type="noConversion"/>
  <pageMargins left="0.75" right="0.75" top="1" bottom="1" header="0.5" footer="0.5"/>
  <headerFooter alignWithMargins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7" enableFormatConditionsCalculation="0">
    <tabColor indexed="41"/>
  </sheetPr>
  <dimension ref="A1:CX57"/>
  <sheetViews>
    <sheetView tabSelected="1" zoomScale="75" workbookViewId="0">
      <selection activeCell="I30" sqref="I30"/>
    </sheetView>
  </sheetViews>
  <sheetFormatPr defaultRowHeight="12.75"/>
  <cols>
    <col min="1" max="1" width="33.85546875" customWidth="1"/>
    <col min="2" max="7" width="18.7109375" customWidth="1"/>
    <col min="8" max="8" width="12.85546875" customWidth="1"/>
    <col min="9" max="9" width="12.5703125" customWidth="1"/>
  </cols>
  <sheetData>
    <row r="1" spans="1:29">
      <c r="A1" s="163" t="s">
        <v>179</v>
      </c>
      <c r="Y1" t="s">
        <v>185</v>
      </c>
      <c r="Z1" t="s">
        <v>192</v>
      </c>
      <c r="AA1">
        <v>-1</v>
      </c>
      <c r="AC1" t="s">
        <v>75</v>
      </c>
    </row>
    <row r="2" spans="1:29">
      <c r="A2" s="2" t="s">
        <v>144</v>
      </c>
      <c r="B2" s="3" t="s">
        <v>184</v>
      </c>
      <c r="C2" s="3" t="s">
        <v>185</v>
      </c>
      <c r="D2" s="3" t="s">
        <v>186</v>
      </c>
      <c r="E2" s="3" t="s">
        <v>187</v>
      </c>
      <c r="F2" s="3" t="s">
        <v>188</v>
      </c>
      <c r="G2" s="224" t="s">
        <v>189</v>
      </c>
      <c r="H2" s="3" t="s">
        <v>194</v>
      </c>
      <c r="Z2" t="s">
        <v>193</v>
      </c>
      <c r="AA2">
        <v>1</v>
      </c>
      <c r="AC2" t="s">
        <v>76</v>
      </c>
    </row>
    <row r="3" spans="1:29">
      <c r="A3" t="s">
        <v>180</v>
      </c>
      <c r="B3" t="s">
        <v>2</v>
      </c>
      <c r="C3" s="1" t="s">
        <v>193</v>
      </c>
      <c r="D3" s="13">
        <v>1.1000000000000001</v>
      </c>
      <c r="E3" s="13">
        <v>0.15</v>
      </c>
      <c r="F3" s="225">
        <v>1.4999999999999999E-2</v>
      </c>
      <c r="G3" s="226">
        <f>BS(1,D3,E3,F3,1,AA3)</f>
        <v>2.9171119646205945E-2</v>
      </c>
      <c r="H3" s="227">
        <f>1%/G3</f>
        <v>0.34280480561878673</v>
      </c>
      <c r="AA3">
        <f>VLOOKUP(C3,$Z$1:$AA$2,2,0)</f>
        <v>1</v>
      </c>
    </row>
    <row r="4" spans="1:29">
      <c r="A4" t="s">
        <v>181</v>
      </c>
      <c r="B4" t="s">
        <v>176</v>
      </c>
      <c r="C4" s="1" t="s">
        <v>192</v>
      </c>
      <c r="D4" s="13">
        <v>0.8</v>
      </c>
      <c r="E4" s="13">
        <v>0.25</v>
      </c>
      <c r="F4" s="225">
        <v>1.4999999999999999E-2</v>
      </c>
      <c r="G4" s="226">
        <f>BS(1,D4,E4,F4,1,AA4)</f>
        <v>2.0123557738958603E-2</v>
      </c>
      <c r="H4" s="227">
        <f>1%/G4</f>
        <v>0.49693002249996288</v>
      </c>
      <c r="AA4">
        <f>VLOOKUP(C4,$Z$1:$AA$2,2,0)</f>
        <v>-1</v>
      </c>
    </row>
    <row r="5" spans="1:29">
      <c r="A5" t="s">
        <v>182</v>
      </c>
      <c r="B5" t="s">
        <v>176</v>
      </c>
      <c r="C5" s="1" t="s">
        <v>193</v>
      </c>
      <c r="D5" s="13">
        <v>1.2</v>
      </c>
      <c r="E5" s="13">
        <v>0.25</v>
      </c>
      <c r="F5" s="225">
        <v>1.4999999999999999E-2</v>
      </c>
      <c r="G5" s="226">
        <f>BS(1,D5,E5,F5,1,AA5)</f>
        <v>4.0719547967982439E-2</v>
      </c>
      <c r="H5" s="227">
        <f>1%/G5</f>
        <v>0.24558229398476983</v>
      </c>
      <c r="AA5">
        <f>VLOOKUP(C5,$Z$1:$AA$2,2,0)</f>
        <v>1</v>
      </c>
    </row>
    <row r="6" spans="1:29">
      <c r="A6" t="s">
        <v>183</v>
      </c>
      <c r="B6" t="s">
        <v>2</v>
      </c>
      <c r="C6" s="1" t="s">
        <v>192</v>
      </c>
      <c r="D6" s="13">
        <v>1</v>
      </c>
      <c r="E6" s="13">
        <v>0.2</v>
      </c>
      <c r="F6" s="225">
        <v>1.4999999999999999E-2</v>
      </c>
      <c r="G6" s="226">
        <f>BS(1,D6,E6,F6,1,AA6)</f>
        <v>7.1840199751242784E-2</v>
      </c>
      <c r="H6" s="227">
        <f>1%/G6</f>
        <v>0.13919783122299861</v>
      </c>
      <c r="AA6">
        <f>VLOOKUP(C6,$Z$1:$AA$2,2,0)</f>
        <v>-1</v>
      </c>
    </row>
    <row r="7" spans="1:29">
      <c r="A7" t="s">
        <v>190</v>
      </c>
      <c r="B7" t="s">
        <v>2</v>
      </c>
      <c r="C7" s="1" t="s">
        <v>192</v>
      </c>
      <c r="D7" s="13">
        <v>1</v>
      </c>
      <c r="E7" s="13">
        <v>0.2</v>
      </c>
      <c r="F7" s="225">
        <v>1.4999999999999999E-2</v>
      </c>
      <c r="G7" s="226">
        <f>BS(1,D7,E7,F7,1,AA7)</f>
        <v>7.1840199751242784E-2</v>
      </c>
      <c r="H7" s="227">
        <f>1%/G7</f>
        <v>0.13919783122299861</v>
      </c>
      <c r="AA7">
        <f>VLOOKUP(C7,$Z$1:$AA$2,2,0)</f>
        <v>-1</v>
      </c>
    </row>
    <row r="9" spans="1:29">
      <c r="G9" s="228"/>
    </row>
    <row r="10" spans="1:29" ht="13.5" thickBot="1">
      <c r="A10" s="2" t="s">
        <v>191</v>
      </c>
      <c r="B10" s="2" t="s">
        <v>196</v>
      </c>
      <c r="C10" s="1" t="s">
        <v>197</v>
      </c>
      <c r="D10" s="1" t="s">
        <v>198</v>
      </c>
      <c r="E10" s="1" t="s">
        <v>199</v>
      </c>
    </row>
    <row r="11" spans="1:29" s="231" customFormat="1">
      <c r="A11" s="261" t="str">
        <f>Parameters!A50</f>
        <v>Nominale matching</v>
      </c>
      <c r="B11" s="262"/>
      <c r="C11" s="229">
        <v>0.61596086453528598</v>
      </c>
      <c r="D11" s="229">
        <v>0.60598172403570849</v>
      </c>
      <c r="E11" s="230">
        <v>0.995</v>
      </c>
    </row>
    <row r="12" spans="1:29" s="22" customFormat="1">
      <c r="A12" s="257" t="str">
        <f>Parameters!A51</f>
        <v>Reele matching</v>
      </c>
      <c r="B12" s="258"/>
      <c r="C12" s="115">
        <v>4.4377171322020056E-2</v>
      </c>
      <c r="D12" s="115">
        <v>4.4367393038151903E-2</v>
      </c>
      <c r="E12" s="232">
        <v>0</v>
      </c>
    </row>
    <row r="13" spans="1:29" s="22" customFormat="1">
      <c r="A13" s="257" t="str">
        <f>Parameters!A52</f>
        <v>Credits</v>
      </c>
      <c r="B13" s="258"/>
      <c r="C13" s="115">
        <v>0</v>
      </c>
      <c r="D13" s="115">
        <v>0</v>
      </c>
      <c r="E13" s="232">
        <v>0</v>
      </c>
    </row>
    <row r="14" spans="1:29" s="22" customFormat="1">
      <c r="A14" s="257" t="str">
        <f>Parameters!A53</f>
        <v>High Yield</v>
      </c>
      <c r="B14" s="258"/>
      <c r="C14" s="115">
        <v>8.8925824703246711E-2</v>
      </c>
      <c r="D14" s="115">
        <v>8.8906230350311324E-2</v>
      </c>
      <c r="E14" s="232">
        <v>0</v>
      </c>
    </row>
    <row r="15" spans="1:29" s="22" customFormat="1">
      <c r="A15" s="257" t="str">
        <f>Parameters!A54</f>
        <v>Emerging market debt</v>
      </c>
      <c r="B15" s="258"/>
      <c r="C15" s="115">
        <v>5.4039405143398458E-2</v>
      </c>
      <c r="D15" s="115">
        <v>5.4027497835478257E-2</v>
      </c>
      <c r="E15" s="232">
        <v>0</v>
      </c>
    </row>
    <row r="16" spans="1:29" s="22" customFormat="1">
      <c r="A16" s="257" t="str">
        <f>Parameters!A55</f>
        <v>Aandelen ontwikkeld</v>
      </c>
      <c r="B16" s="258"/>
      <c r="C16" s="115">
        <v>6.4936362615185719E-2</v>
      </c>
      <c r="D16" s="115">
        <v>6.298611825005751E-2</v>
      </c>
      <c r="E16" s="232">
        <v>0</v>
      </c>
    </row>
    <row r="17" spans="1:102" s="22" customFormat="1">
      <c r="A17" s="257" t="str">
        <f>Parameters!A56</f>
        <v>Aandelen opkomend</v>
      </c>
      <c r="B17" s="258"/>
      <c r="C17" s="115">
        <v>3.1601506770865186E-2</v>
      </c>
      <c r="D17" s="115">
        <v>3.1594543539666314E-2</v>
      </c>
      <c r="E17" s="232">
        <v>0</v>
      </c>
    </row>
    <row r="18" spans="1:102" s="22" customFormat="1">
      <c r="A18" s="257" t="str">
        <f>Parameters!A57</f>
        <v>Hedge funds</v>
      </c>
      <c r="B18" s="258"/>
      <c r="C18" s="115">
        <v>5.3265988292933573E-2</v>
      </c>
      <c r="D18" s="115">
        <v>5.3254251403480508E-2</v>
      </c>
      <c r="E18" s="232">
        <v>0</v>
      </c>
    </row>
    <row r="19" spans="1:102" s="22" customFormat="1">
      <c r="A19" s="257" t="str">
        <f>Parameters!A58</f>
        <v>Onroerend goed</v>
      </c>
      <c r="B19" s="258"/>
      <c r="C19" s="115">
        <v>3.8335740454899139E-2</v>
      </c>
      <c r="D19" s="115">
        <v>3.8327293369578089E-2</v>
      </c>
      <c r="E19" s="232">
        <v>0</v>
      </c>
    </row>
    <row r="20" spans="1:102" s="235" customFormat="1" ht="13.5" thickBot="1">
      <c r="A20" s="259" t="str">
        <f>Parameters!A59</f>
        <v>Commodities</v>
      </c>
      <c r="B20" s="260"/>
      <c r="C20" s="233">
        <v>8.5571361621651423E-3</v>
      </c>
      <c r="D20" s="233">
        <v>8.5552506407585403E-3</v>
      </c>
      <c r="E20" s="234">
        <v>0</v>
      </c>
    </row>
    <row r="21" spans="1:102">
      <c r="A21" s="241" t="str">
        <f>A3</f>
        <v>Derivaat 1</v>
      </c>
      <c r="B21" s="242"/>
      <c r="C21" s="21">
        <v>0</v>
      </c>
      <c r="D21" s="45">
        <v>9.9996984164308321E-3</v>
      </c>
      <c r="E21" s="21">
        <v>0</v>
      </c>
    </row>
    <row r="22" spans="1:102">
      <c r="A22" s="241" t="str">
        <f>A4</f>
        <v>Derivaat 2</v>
      </c>
      <c r="B22" s="242"/>
      <c r="C22" s="21">
        <v>0</v>
      </c>
      <c r="D22" s="45">
        <v>1.9999991203782947E-3</v>
      </c>
      <c r="E22" s="21">
        <v>0</v>
      </c>
    </row>
    <row r="23" spans="1:102">
      <c r="A23" s="241" t="str">
        <f>A5</f>
        <v>Derivaat 3</v>
      </c>
      <c r="B23" s="242"/>
      <c r="C23" s="21">
        <v>0</v>
      </c>
      <c r="D23" s="21">
        <v>0</v>
      </c>
      <c r="E23" s="28">
        <v>5.0000000000000001E-3</v>
      </c>
    </row>
    <row r="24" spans="1:102">
      <c r="A24" s="241" t="str">
        <f>A6</f>
        <v>Derivaat 4</v>
      </c>
      <c r="B24" s="242"/>
      <c r="C24" s="21">
        <v>0</v>
      </c>
      <c r="D24" s="21">
        <v>0</v>
      </c>
      <c r="E24" s="21">
        <v>0</v>
      </c>
    </row>
    <row r="25" spans="1:102" s="236" customFormat="1" ht="13.5" thickBot="1">
      <c r="A25" s="243" t="str">
        <f>A7</f>
        <v>Derivaat 5</v>
      </c>
      <c r="B25" s="244"/>
      <c r="C25" s="237">
        <v>0</v>
      </c>
      <c r="D25" s="237">
        <v>0</v>
      </c>
      <c r="E25" s="237">
        <v>0</v>
      </c>
    </row>
    <row r="26" spans="1:102" s="22" customFormat="1">
      <c r="A26" s="22" t="s">
        <v>138</v>
      </c>
      <c r="C26" s="238" t="s">
        <v>75</v>
      </c>
      <c r="D26" s="238" t="s">
        <v>75</v>
      </c>
      <c r="E26" s="238" t="s">
        <v>76</v>
      </c>
    </row>
    <row r="28" spans="1:102">
      <c r="A28" t="s">
        <v>195</v>
      </c>
      <c r="B28">
        <v>100000</v>
      </c>
    </row>
    <row r="29" spans="1:102">
      <c r="A29" t="s">
        <v>200</v>
      </c>
      <c r="B29" s="21">
        <v>1</v>
      </c>
    </row>
    <row r="30" spans="1:102">
      <c r="A30" s="132" t="s">
        <v>201</v>
      </c>
      <c r="B30" s="21">
        <v>0.75</v>
      </c>
      <c r="C30" s="21"/>
    </row>
    <row r="31" spans="1:102">
      <c r="A31" s="132" t="s">
        <v>202</v>
      </c>
      <c r="B31" s="21">
        <v>1.5</v>
      </c>
    </row>
    <row r="32" spans="1:102" s="115" customFormat="1">
      <c r="A32" s="144" t="s">
        <v>133</v>
      </c>
      <c r="B32" s="144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</row>
    <row r="33" spans="1:102" s="131" customFormat="1">
      <c r="A33" s="128" t="s">
        <v>36</v>
      </c>
      <c r="B33" s="122" t="s">
        <v>29</v>
      </c>
      <c r="C33" s="239"/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239"/>
      <c r="T33" s="239"/>
      <c r="U33" s="239"/>
      <c r="V33" s="239"/>
      <c r="W33" s="239"/>
      <c r="X33" s="239"/>
      <c r="Y33" s="239"/>
      <c r="Z33" s="239"/>
      <c r="AA33" s="239"/>
      <c r="AB33" s="239"/>
      <c r="AC33" s="239"/>
      <c r="AD33" s="239"/>
      <c r="AE33" s="239"/>
      <c r="AF33" s="239"/>
      <c r="AG33" s="239"/>
      <c r="AH33" s="239"/>
      <c r="AI33" s="239"/>
      <c r="AJ33" s="239"/>
      <c r="AK33" s="239"/>
      <c r="AL33" s="239"/>
      <c r="AM33" s="239"/>
      <c r="AN33" s="239"/>
      <c r="AO33" s="239"/>
      <c r="AP33" s="239"/>
      <c r="AQ33" s="239"/>
      <c r="AR33" s="239"/>
      <c r="AS33" s="239"/>
      <c r="AT33" s="239"/>
      <c r="AU33" s="239"/>
      <c r="AV33" s="239"/>
      <c r="AW33" s="239"/>
      <c r="AX33" s="239"/>
      <c r="AY33" s="239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39"/>
      <c r="CB33" s="239"/>
      <c r="CC33" s="239"/>
      <c r="CD33" s="239"/>
      <c r="CE33" s="239"/>
      <c r="CF33" s="239"/>
      <c r="CG33" s="239"/>
      <c r="CH33" s="239"/>
      <c r="CI33" s="239"/>
      <c r="CJ33" s="239"/>
      <c r="CK33" s="239"/>
      <c r="CL33" s="239"/>
      <c r="CM33" s="239"/>
      <c r="CN33" s="239"/>
      <c r="CO33" s="239"/>
      <c r="CP33" s="239"/>
      <c r="CQ33" s="239"/>
      <c r="CR33" s="239"/>
      <c r="CS33" s="239"/>
      <c r="CT33" s="239"/>
      <c r="CU33" s="239"/>
      <c r="CV33" s="239"/>
      <c r="CW33" s="239"/>
      <c r="CX33" s="239"/>
    </row>
    <row r="34" spans="1:102" s="115" customFormat="1">
      <c r="B34" s="14" t="s">
        <v>30</v>
      </c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17"/>
      <c r="AP34" s="117"/>
      <c r="AQ34" s="117"/>
      <c r="AR34" s="117"/>
      <c r="AS34" s="117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  <c r="BG34" s="117"/>
      <c r="BH34" s="117"/>
      <c r="BI34" s="117"/>
      <c r="BJ34" s="117"/>
      <c r="BK34" s="117"/>
      <c r="BL34" s="117"/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7"/>
      <c r="CA34" s="117"/>
      <c r="CB34" s="117"/>
      <c r="CC34" s="117"/>
      <c r="CD34" s="117"/>
      <c r="CE34" s="117"/>
      <c r="CF34" s="117"/>
      <c r="CG34" s="117"/>
      <c r="CH34" s="117"/>
      <c r="CI34" s="117"/>
      <c r="CJ34" s="117"/>
      <c r="CK34" s="117"/>
      <c r="CL34" s="117"/>
      <c r="CM34" s="117"/>
      <c r="CN34" s="117"/>
      <c r="CO34" s="117"/>
      <c r="CP34" s="117"/>
      <c r="CQ34" s="117"/>
      <c r="CR34" s="117"/>
      <c r="CS34" s="117"/>
      <c r="CT34" s="117"/>
      <c r="CU34" s="117"/>
      <c r="CV34" s="117"/>
      <c r="CW34" s="117"/>
      <c r="CX34" s="117"/>
    </row>
    <row r="35" spans="1:102" s="115" customFormat="1">
      <c r="B35" s="67" t="s">
        <v>56</v>
      </c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7"/>
      <c r="AO35" s="117"/>
      <c r="AP35" s="117"/>
      <c r="AQ35" s="117"/>
      <c r="AR35" s="117"/>
      <c r="AS35" s="117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17"/>
      <c r="BE35" s="117"/>
      <c r="BF35" s="117"/>
      <c r="BG35" s="117"/>
      <c r="BH35" s="117"/>
      <c r="BI35" s="117"/>
      <c r="BJ35" s="117"/>
      <c r="BK35" s="117"/>
      <c r="BL35" s="117"/>
      <c r="BM35" s="117"/>
      <c r="BN35" s="117"/>
      <c r="BO35" s="117"/>
      <c r="BP35" s="117"/>
      <c r="BQ35" s="117"/>
      <c r="BR35" s="117"/>
      <c r="BS35" s="117"/>
      <c r="BT35" s="117"/>
      <c r="BU35" s="117"/>
      <c r="BV35" s="117"/>
      <c r="BW35" s="117"/>
      <c r="BX35" s="117"/>
      <c r="BY35" s="117"/>
      <c r="BZ35" s="117"/>
      <c r="CA35" s="117"/>
      <c r="CB35" s="117"/>
      <c r="CC35" s="117"/>
      <c r="CD35" s="117"/>
      <c r="CE35" s="117"/>
      <c r="CF35" s="117"/>
      <c r="CG35" s="117"/>
      <c r="CH35" s="117"/>
      <c r="CI35" s="117"/>
      <c r="CJ35" s="117"/>
      <c r="CK35" s="117"/>
      <c r="CL35" s="117"/>
      <c r="CM35" s="117"/>
      <c r="CN35" s="117"/>
      <c r="CO35" s="117"/>
      <c r="CP35" s="117"/>
      <c r="CQ35" s="117"/>
      <c r="CR35" s="117"/>
      <c r="CS35" s="117"/>
      <c r="CT35" s="117"/>
      <c r="CU35" s="117"/>
      <c r="CV35" s="117"/>
      <c r="CW35" s="117"/>
      <c r="CX35" s="117"/>
    </row>
    <row r="36" spans="1:102" s="115" customFormat="1">
      <c r="A36" s="116"/>
      <c r="B36" s="240" t="s">
        <v>114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  <c r="BK36" s="118"/>
      <c r="BL36" s="118"/>
      <c r="BM36" s="118"/>
      <c r="BN36" s="118"/>
      <c r="BO36" s="118"/>
      <c r="BP36" s="118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18"/>
      <c r="CT36" s="118"/>
      <c r="CU36" s="118"/>
      <c r="CV36" s="118"/>
      <c r="CW36" s="118"/>
      <c r="CX36" s="118"/>
    </row>
    <row r="37" spans="1:102" s="131" customFormat="1">
      <c r="A37" s="108" t="s">
        <v>21</v>
      </c>
      <c r="B37" s="122" t="s">
        <v>29</v>
      </c>
      <c r="C37" s="239"/>
      <c r="D37" s="239"/>
      <c r="E37" s="239"/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39"/>
      <c r="S37" s="239"/>
      <c r="T37" s="239"/>
      <c r="U37" s="239"/>
      <c r="V37" s="239"/>
      <c r="W37" s="239"/>
      <c r="X37" s="239"/>
      <c r="Y37" s="239"/>
      <c r="Z37" s="239"/>
      <c r="AA37" s="239"/>
      <c r="AB37" s="239"/>
      <c r="AC37" s="239"/>
      <c r="AD37" s="239"/>
      <c r="AE37" s="239"/>
      <c r="AF37" s="239"/>
      <c r="AG37" s="239"/>
      <c r="AH37" s="239"/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  <c r="AV37" s="239"/>
      <c r="AW37" s="239"/>
      <c r="AX37" s="239"/>
      <c r="AY37" s="239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39"/>
      <c r="CB37" s="239"/>
      <c r="CC37" s="239"/>
      <c r="CD37" s="239"/>
      <c r="CE37" s="239"/>
      <c r="CF37" s="239"/>
      <c r="CG37" s="239"/>
      <c r="CH37" s="239"/>
      <c r="CI37" s="239"/>
      <c r="CJ37" s="239"/>
      <c r="CK37" s="239"/>
      <c r="CL37" s="239"/>
      <c r="CM37" s="239"/>
      <c r="CN37" s="239"/>
      <c r="CO37" s="239"/>
      <c r="CP37" s="239"/>
      <c r="CQ37" s="239"/>
      <c r="CR37" s="239"/>
      <c r="CS37" s="239"/>
      <c r="CT37" s="239"/>
      <c r="CU37" s="239"/>
      <c r="CV37" s="239"/>
      <c r="CW37" s="239"/>
      <c r="CX37" s="239"/>
    </row>
    <row r="38" spans="1:102" s="115" customFormat="1">
      <c r="B38" s="14" t="s">
        <v>30</v>
      </c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7"/>
      <c r="AO38" s="117"/>
      <c r="AP38" s="117"/>
      <c r="AQ38" s="117"/>
      <c r="AR38" s="117"/>
      <c r="AS38" s="117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17"/>
      <c r="BE38" s="117"/>
      <c r="BF38" s="117"/>
      <c r="BG38" s="117"/>
      <c r="BH38" s="117"/>
      <c r="BI38" s="117"/>
      <c r="BJ38" s="117"/>
      <c r="BK38" s="117"/>
      <c r="BL38" s="117"/>
      <c r="BM38" s="117"/>
      <c r="BN38" s="117"/>
      <c r="BO38" s="117"/>
      <c r="BP38" s="117"/>
      <c r="BQ38" s="117"/>
      <c r="BR38" s="117"/>
      <c r="BS38" s="117"/>
      <c r="BT38" s="117"/>
      <c r="BU38" s="117"/>
      <c r="BV38" s="117"/>
      <c r="BW38" s="117"/>
      <c r="BX38" s="117"/>
      <c r="BY38" s="117"/>
      <c r="BZ38" s="117"/>
      <c r="CA38" s="117"/>
      <c r="CB38" s="117"/>
      <c r="CC38" s="117"/>
      <c r="CD38" s="117"/>
      <c r="CE38" s="117"/>
      <c r="CF38" s="117"/>
      <c r="CG38" s="117"/>
      <c r="CH38" s="117"/>
      <c r="CI38" s="117"/>
      <c r="CJ38" s="117"/>
      <c r="CK38" s="117"/>
      <c r="CL38" s="117"/>
      <c r="CM38" s="117"/>
      <c r="CN38" s="117"/>
      <c r="CO38" s="117"/>
      <c r="CP38" s="117"/>
      <c r="CQ38" s="117"/>
      <c r="CR38" s="117"/>
      <c r="CS38" s="117"/>
      <c r="CT38" s="117"/>
      <c r="CU38" s="117"/>
      <c r="CV38" s="117"/>
      <c r="CW38" s="117"/>
      <c r="CX38" s="117"/>
    </row>
    <row r="39" spans="1:102" s="115" customFormat="1">
      <c r="B39" s="67" t="s">
        <v>56</v>
      </c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17"/>
      <c r="AJ39" s="117"/>
      <c r="AK39" s="117"/>
      <c r="AL39" s="117"/>
      <c r="AM39" s="117"/>
      <c r="AN39" s="117"/>
      <c r="AO39" s="117"/>
      <c r="AP39" s="117"/>
      <c r="AQ39" s="117"/>
      <c r="AR39" s="117"/>
      <c r="AS39" s="117"/>
      <c r="AT39" s="117"/>
      <c r="AU39" s="117"/>
      <c r="AV39" s="117"/>
      <c r="AW39" s="117"/>
      <c r="AX39" s="117"/>
      <c r="AY39" s="117"/>
      <c r="AZ39" s="117"/>
      <c r="BA39" s="117"/>
      <c r="BB39" s="117"/>
      <c r="BC39" s="117"/>
      <c r="BD39" s="117"/>
      <c r="BE39" s="117"/>
      <c r="BF39" s="117"/>
      <c r="BG39" s="117"/>
      <c r="BH39" s="117"/>
      <c r="BI39" s="117"/>
      <c r="BJ39" s="117"/>
      <c r="BK39" s="117"/>
      <c r="BL39" s="117"/>
      <c r="BM39" s="117"/>
      <c r="BN39" s="117"/>
      <c r="BO39" s="117"/>
      <c r="BP39" s="117"/>
      <c r="BQ39" s="117"/>
      <c r="BR39" s="117"/>
      <c r="BS39" s="117"/>
      <c r="BT39" s="117"/>
      <c r="BU39" s="117"/>
      <c r="BV39" s="117"/>
      <c r="BW39" s="117"/>
      <c r="BX39" s="117"/>
      <c r="BY39" s="117"/>
      <c r="BZ39" s="117"/>
      <c r="CA39" s="117"/>
      <c r="CB39" s="117"/>
      <c r="CC39" s="117"/>
      <c r="CD39" s="117"/>
      <c r="CE39" s="117"/>
      <c r="CF39" s="117"/>
      <c r="CG39" s="117"/>
      <c r="CH39" s="117"/>
      <c r="CI39" s="117"/>
      <c r="CJ39" s="117"/>
      <c r="CK39" s="117"/>
      <c r="CL39" s="117"/>
      <c r="CM39" s="117"/>
      <c r="CN39" s="117"/>
      <c r="CO39" s="117"/>
      <c r="CP39" s="117"/>
      <c r="CQ39" s="117"/>
      <c r="CR39" s="117"/>
      <c r="CS39" s="117"/>
      <c r="CT39" s="117"/>
      <c r="CU39" s="117"/>
      <c r="CV39" s="117"/>
      <c r="CW39" s="117"/>
      <c r="CX39" s="117"/>
    </row>
    <row r="40" spans="1:102" s="115" customFormat="1">
      <c r="A40" s="116"/>
      <c r="B40" s="67" t="s">
        <v>114</v>
      </c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7"/>
      <c r="AO40" s="117"/>
      <c r="AP40" s="117"/>
      <c r="AQ40" s="117"/>
      <c r="AR40" s="117"/>
      <c r="AS40" s="117"/>
      <c r="AT40" s="117"/>
      <c r="AU40" s="117"/>
      <c r="AV40" s="117"/>
      <c r="AW40" s="117"/>
      <c r="AX40" s="117"/>
      <c r="AY40" s="117"/>
      <c r="AZ40" s="117"/>
      <c r="BA40" s="117"/>
      <c r="BB40" s="117"/>
      <c r="BC40" s="117"/>
      <c r="BD40" s="117"/>
      <c r="BE40" s="117"/>
      <c r="BF40" s="117"/>
      <c r="BG40" s="117"/>
      <c r="BH40" s="117"/>
      <c r="BI40" s="117"/>
      <c r="BJ40" s="117"/>
      <c r="BK40" s="117"/>
      <c r="BL40" s="117"/>
      <c r="BM40" s="117"/>
      <c r="BN40" s="117"/>
      <c r="BO40" s="117"/>
      <c r="BP40" s="117"/>
      <c r="BQ40" s="117"/>
      <c r="BR40" s="117"/>
      <c r="BS40" s="117"/>
      <c r="BT40" s="117"/>
      <c r="BU40" s="117"/>
      <c r="BV40" s="117"/>
      <c r="BW40" s="117"/>
      <c r="BX40" s="117"/>
      <c r="BY40" s="117"/>
      <c r="BZ40" s="117"/>
      <c r="CA40" s="117"/>
      <c r="CB40" s="117"/>
      <c r="CC40" s="117"/>
      <c r="CD40" s="117"/>
      <c r="CE40" s="117"/>
      <c r="CF40" s="117"/>
      <c r="CG40" s="117"/>
      <c r="CH40" s="117"/>
      <c r="CI40" s="117"/>
      <c r="CJ40" s="117"/>
      <c r="CK40" s="117"/>
      <c r="CL40" s="117"/>
      <c r="CM40" s="117"/>
      <c r="CN40" s="117"/>
      <c r="CO40" s="117"/>
      <c r="CP40" s="117"/>
      <c r="CQ40" s="117"/>
      <c r="CR40" s="117"/>
      <c r="CS40" s="117"/>
      <c r="CT40" s="117"/>
      <c r="CU40" s="117"/>
      <c r="CV40" s="117"/>
      <c r="CW40" s="117"/>
      <c r="CX40" s="117"/>
    </row>
    <row r="41" spans="1:102" s="131" customFormat="1">
      <c r="A41" s="108" t="s">
        <v>102</v>
      </c>
      <c r="B41" s="122" t="s">
        <v>29</v>
      </c>
      <c r="C41" s="239"/>
      <c r="D41" s="239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  <c r="AC41" s="239"/>
      <c r="AD41" s="239"/>
      <c r="AE41" s="239"/>
      <c r="AF41" s="239"/>
      <c r="AG41" s="239"/>
      <c r="AH41" s="239"/>
      <c r="AI41" s="239"/>
      <c r="AJ41" s="239"/>
      <c r="AK41" s="239"/>
      <c r="AL41" s="239"/>
      <c r="AM41" s="239"/>
      <c r="AN41" s="239"/>
      <c r="AO41" s="239"/>
      <c r="AP41" s="239"/>
      <c r="AQ41" s="239"/>
      <c r="AR41" s="239"/>
      <c r="AS41" s="239"/>
      <c r="AT41" s="239"/>
      <c r="AU41" s="239"/>
      <c r="AV41" s="239"/>
      <c r="AW41" s="239"/>
      <c r="AX41" s="239"/>
      <c r="AY41" s="239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39"/>
      <c r="CB41" s="239"/>
      <c r="CC41" s="239"/>
      <c r="CD41" s="239"/>
      <c r="CE41" s="239"/>
      <c r="CF41" s="239"/>
      <c r="CG41" s="239"/>
      <c r="CH41" s="239"/>
      <c r="CI41" s="239"/>
      <c r="CJ41" s="239"/>
      <c r="CK41" s="239"/>
      <c r="CL41" s="239"/>
      <c r="CM41" s="239"/>
      <c r="CN41" s="239"/>
      <c r="CO41" s="239"/>
      <c r="CP41" s="239"/>
      <c r="CQ41" s="239"/>
      <c r="CR41" s="239"/>
      <c r="CS41" s="239"/>
      <c r="CT41" s="239"/>
      <c r="CU41" s="239"/>
      <c r="CV41" s="239"/>
      <c r="CW41" s="239"/>
      <c r="CX41" s="239"/>
    </row>
    <row r="42" spans="1:102" s="115" customFormat="1">
      <c r="B42" s="14" t="s">
        <v>30</v>
      </c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7"/>
      <c r="CC42" s="117"/>
      <c r="CD42" s="117"/>
      <c r="CE42" s="117"/>
      <c r="CF42" s="117"/>
      <c r="CG42" s="117"/>
      <c r="CH42" s="117"/>
      <c r="CI42" s="117"/>
      <c r="CJ42" s="117"/>
      <c r="CK42" s="117"/>
      <c r="CL42" s="117"/>
      <c r="CM42" s="117"/>
      <c r="CN42" s="117"/>
      <c r="CO42" s="117"/>
      <c r="CP42" s="117"/>
      <c r="CQ42" s="117"/>
      <c r="CR42" s="117"/>
      <c r="CS42" s="117"/>
      <c r="CT42" s="117"/>
      <c r="CU42" s="117"/>
      <c r="CV42" s="117"/>
      <c r="CW42" s="117"/>
      <c r="CX42" s="117"/>
    </row>
    <row r="43" spans="1:102" s="115" customFormat="1">
      <c r="B43" s="67" t="s">
        <v>56</v>
      </c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  <c r="BC43" s="117"/>
      <c r="BD43" s="117"/>
      <c r="BE43" s="117"/>
      <c r="BF43" s="117"/>
      <c r="BG43" s="117"/>
      <c r="BH43" s="117"/>
      <c r="BI43" s="117"/>
      <c r="BJ43" s="117"/>
      <c r="BK43" s="117"/>
      <c r="BL43" s="117"/>
      <c r="BM43" s="117"/>
      <c r="BN43" s="117"/>
      <c r="BO43" s="117"/>
      <c r="BP43" s="117"/>
      <c r="BQ43" s="117"/>
      <c r="BR43" s="117"/>
      <c r="BS43" s="117"/>
      <c r="BT43" s="117"/>
      <c r="BU43" s="117"/>
      <c r="BV43" s="117"/>
      <c r="BW43" s="117"/>
      <c r="BX43" s="117"/>
      <c r="BY43" s="117"/>
      <c r="BZ43" s="117"/>
      <c r="CA43" s="117"/>
      <c r="CB43" s="117"/>
      <c r="CC43" s="117"/>
      <c r="CD43" s="117"/>
      <c r="CE43" s="117"/>
      <c r="CF43" s="117"/>
      <c r="CG43" s="117"/>
      <c r="CH43" s="117"/>
      <c r="CI43" s="117"/>
      <c r="CJ43" s="117"/>
      <c r="CK43" s="117"/>
      <c r="CL43" s="117"/>
      <c r="CM43" s="117"/>
      <c r="CN43" s="117"/>
      <c r="CO43" s="117"/>
      <c r="CP43" s="117"/>
      <c r="CQ43" s="117"/>
      <c r="CR43" s="117"/>
      <c r="CS43" s="117"/>
      <c r="CT43" s="117"/>
      <c r="CU43" s="117"/>
      <c r="CV43" s="117"/>
      <c r="CW43" s="117"/>
      <c r="CX43" s="117"/>
    </row>
    <row r="44" spans="1:102" s="116" customFormat="1">
      <c r="B44" s="67" t="s">
        <v>114</v>
      </c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  <c r="AN44" s="117"/>
      <c r="AO44" s="117"/>
      <c r="AP44" s="117"/>
      <c r="AQ44" s="117"/>
      <c r="AR44" s="117"/>
      <c r="AS44" s="117"/>
      <c r="AT44" s="117"/>
      <c r="AU44" s="117"/>
      <c r="AV44" s="117"/>
      <c r="AW44" s="117"/>
      <c r="AX44" s="117"/>
      <c r="AY44" s="117"/>
      <c r="AZ44" s="117"/>
      <c r="BA44" s="117"/>
      <c r="BB44" s="117"/>
      <c r="BC44" s="117"/>
      <c r="BD44" s="117"/>
      <c r="BE44" s="117"/>
      <c r="BF44" s="117"/>
      <c r="BG44" s="117"/>
      <c r="BH44" s="117"/>
      <c r="BI44" s="117"/>
      <c r="BJ44" s="117"/>
      <c r="BK44" s="117"/>
      <c r="BL44" s="117"/>
      <c r="BM44" s="117"/>
      <c r="BN44" s="117"/>
      <c r="BO44" s="117"/>
      <c r="BP44" s="117"/>
      <c r="BQ44" s="117"/>
      <c r="BR44" s="117"/>
      <c r="BS44" s="117"/>
      <c r="BT44" s="117"/>
      <c r="BU44" s="117"/>
      <c r="BV44" s="117"/>
      <c r="BW44" s="117"/>
      <c r="BX44" s="117"/>
      <c r="BY44" s="117"/>
      <c r="BZ44" s="117"/>
      <c r="CA44" s="117"/>
      <c r="CB44" s="117"/>
      <c r="CC44" s="117"/>
      <c r="CD44" s="117"/>
      <c r="CE44" s="117"/>
      <c r="CF44" s="117"/>
      <c r="CG44" s="117"/>
      <c r="CH44" s="117"/>
      <c r="CI44" s="117"/>
      <c r="CJ44" s="117"/>
      <c r="CK44" s="117"/>
      <c r="CL44" s="117"/>
      <c r="CM44" s="117"/>
      <c r="CN44" s="117"/>
      <c r="CO44" s="117"/>
      <c r="CP44" s="117"/>
      <c r="CQ44" s="117"/>
      <c r="CR44" s="117"/>
      <c r="CS44" s="117"/>
      <c r="CT44" s="117"/>
      <c r="CU44" s="117"/>
      <c r="CV44" s="117"/>
      <c r="CW44" s="117"/>
      <c r="CX44" s="117"/>
    </row>
    <row r="45" spans="1:102" s="115" customFormat="1">
      <c r="A45" s="108" t="s">
        <v>104</v>
      </c>
      <c r="B45" s="122" t="s">
        <v>29</v>
      </c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39"/>
      <c r="Q45" s="239"/>
      <c r="R45" s="239"/>
      <c r="S45" s="239"/>
      <c r="T45" s="239"/>
      <c r="U45" s="239"/>
      <c r="V45" s="239"/>
      <c r="W45" s="239"/>
      <c r="X45" s="239"/>
      <c r="Y45" s="239"/>
      <c r="Z45" s="239"/>
      <c r="AA45" s="239"/>
      <c r="AB45" s="239"/>
      <c r="AC45" s="239"/>
      <c r="AD45" s="239"/>
      <c r="AE45" s="239"/>
      <c r="AF45" s="239"/>
      <c r="AG45" s="239"/>
      <c r="AH45" s="239"/>
      <c r="AI45" s="239"/>
      <c r="AJ45" s="239"/>
      <c r="AK45" s="239"/>
      <c r="AL45" s="239"/>
      <c r="AM45" s="239"/>
      <c r="AN45" s="239"/>
      <c r="AO45" s="239"/>
      <c r="AP45" s="239"/>
      <c r="AQ45" s="239"/>
      <c r="AR45" s="239"/>
      <c r="AS45" s="239"/>
      <c r="AT45" s="239"/>
      <c r="AU45" s="239"/>
      <c r="AV45" s="239"/>
      <c r="AW45" s="239"/>
      <c r="AX45" s="239"/>
      <c r="AY45" s="239"/>
      <c r="AZ45" s="239"/>
      <c r="BA45" s="239"/>
      <c r="BB45" s="239"/>
      <c r="BC45" s="239"/>
      <c r="BD45" s="239"/>
      <c r="BE45" s="239"/>
      <c r="BF45" s="239"/>
      <c r="BG45" s="239"/>
      <c r="BH45" s="239"/>
      <c r="BI45" s="239"/>
      <c r="BJ45" s="239"/>
      <c r="BK45" s="239"/>
      <c r="BL45" s="239"/>
      <c r="BM45" s="239"/>
      <c r="BN45" s="239"/>
      <c r="BO45" s="239"/>
      <c r="BP45" s="239"/>
      <c r="BQ45" s="239"/>
      <c r="BR45" s="239"/>
      <c r="BS45" s="239"/>
      <c r="BT45" s="239"/>
      <c r="BU45" s="239"/>
      <c r="BV45" s="239"/>
      <c r="BW45" s="239"/>
      <c r="BX45" s="239"/>
      <c r="BY45" s="239"/>
      <c r="BZ45" s="239"/>
      <c r="CA45" s="239"/>
      <c r="CB45" s="239"/>
      <c r="CC45" s="239"/>
      <c r="CD45" s="239"/>
      <c r="CE45" s="239"/>
      <c r="CF45" s="239"/>
      <c r="CG45" s="239"/>
      <c r="CH45" s="239"/>
      <c r="CI45" s="239"/>
      <c r="CJ45" s="239"/>
      <c r="CK45" s="239"/>
      <c r="CL45" s="239"/>
      <c r="CM45" s="239"/>
      <c r="CN45" s="239"/>
      <c r="CO45" s="239"/>
      <c r="CP45" s="239"/>
      <c r="CQ45" s="239"/>
      <c r="CR45" s="239"/>
      <c r="CS45" s="239"/>
      <c r="CT45" s="239"/>
      <c r="CU45" s="239"/>
      <c r="CV45" s="239"/>
      <c r="CW45" s="239"/>
      <c r="CX45" s="239"/>
    </row>
    <row r="46" spans="1:102">
      <c r="A46" s="115"/>
      <c r="B46" s="14" t="s">
        <v>30</v>
      </c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7"/>
      <c r="AO46" s="117"/>
      <c r="AP46" s="117"/>
      <c r="AQ46" s="117"/>
      <c r="AR46" s="117"/>
      <c r="AS46" s="117"/>
      <c r="AT46" s="117"/>
      <c r="AU46" s="117"/>
      <c r="AV46" s="117"/>
      <c r="AW46" s="117"/>
      <c r="AX46" s="117"/>
      <c r="AY46" s="117"/>
      <c r="AZ46" s="117"/>
      <c r="BA46" s="117"/>
      <c r="BB46" s="117"/>
      <c r="BC46" s="117"/>
      <c r="BD46" s="117"/>
      <c r="BE46" s="117"/>
      <c r="BF46" s="117"/>
      <c r="BG46" s="117"/>
      <c r="BH46" s="117"/>
      <c r="BI46" s="117"/>
      <c r="BJ46" s="117"/>
      <c r="BK46" s="117"/>
      <c r="BL46" s="117"/>
      <c r="BM46" s="117"/>
      <c r="BN46" s="117"/>
      <c r="BO46" s="117"/>
      <c r="BP46" s="117"/>
      <c r="BQ46" s="117"/>
      <c r="BR46" s="117"/>
      <c r="BS46" s="117"/>
      <c r="BT46" s="117"/>
      <c r="BU46" s="117"/>
      <c r="BV46" s="117"/>
      <c r="BW46" s="117"/>
      <c r="BX46" s="117"/>
      <c r="BY46" s="117"/>
      <c r="BZ46" s="117"/>
      <c r="CA46" s="117"/>
      <c r="CB46" s="117"/>
      <c r="CC46" s="117"/>
      <c r="CD46" s="117"/>
      <c r="CE46" s="117"/>
      <c r="CF46" s="117"/>
      <c r="CG46" s="117"/>
      <c r="CH46" s="117"/>
      <c r="CI46" s="117"/>
      <c r="CJ46" s="117"/>
      <c r="CK46" s="117"/>
      <c r="CL46" s="117"/>
      <c r="CM46" s="117"/>
      <c r="CN46" s="117"/>
      <c r="CO46" s="117"/>
      <c r="CP46" s="117"/>
      <c r="CQ46" s="117"/>
      <c r="CR46" s="117"/>
      <c r="CS46" s="117"/>
      <c r="CT46" s="117"/>
      <c r="CU46" s="117"/>
      <c r="CV46" s="117"/>
      <c r="CW46" s="117"/>
      <c r="CX46" s="117"/>
    </row>
    <row r="47" spans="1:102">
      <c r="A47" s="115"/>
      <c r="B47" s="67" t="s">
        <v>56</v>
      </c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  <c r="AN47" s="117"/>
      <c r="AO47" s="117"/>
      <c r="AP47" s="117"/>
      <c r="AQ47" s="117"/>
      <c r="AR47" s="117"/>
      <c r="AS47" s="117"/>
      <c r="AT47" s="117"/>
      <c r="AU47" s="117"/>
      <c r="AV47" s="117"/>
      <c r="AW47" s="117"/>
      <c r="AX47" s="117"/>
      <c r="AY47" s="117"/>
      <c r="AZ47" s="117"/>
      <c r="BA47" s="117"/>
      <c r="BB47" s="117"/>
      <c r="BC47" s="117"/>
      <c r="BD47" s="117"/>
      <c r="BE47" s="117"/>
      <c r="BF47" s="117"/>
      <c r="BG47" s="117"/>
      <c r="BH47" s="117"/>
      <c r="BI47" s="117"/>
      <c r="BJ47" s="117"/>
      <c r="BK47" s="117"/>
      <c r="BL47" s="117"/>
      <c r="BM47" s="117"/>
      <c r="BN47" s="117"/>
      <c r="BO47" s="117"/>
      <c r="BP47" s="117"/>
      <c r="BQ47" s="117"/>
      <c r="BR47" s="117"/>
      <c r="BS47" s="117"/>
      <c r="BT47" s="117"/>
      <c r="BU47" s="117"/>
      <c r="BV47" s="117"/>
      <c r="BW47" s="117"/>
      <c r="BX47" s="117"/>
      <c r="BY47" s="117"/>
      <c r="BZ47" s="117"/>
      <c r="CA47" s="117"/>
      <c r="CB47" s="117"/>
      <c r="CC47" s="117"/>
      <c r="CD47" s="117"/>
      <c r="CE47" s="117"/>
      <c r="CF47" s="117"/>
      <c r="CG47" s="117"/>
      <c r="CH47" s="117"/>
      <c r="CI47" s="117"/>
      <c r="CJ47" s="117"/>
      <c r="CK47" s="117"/>
      <c r="CL47" s="117"/>
      <c r="CM47" s="117"/>
      <c r="CN47" s="117"/>
      <c r="CO47" s="117"/>
      <c r="CP47" s="117"/>
      <c r="CQ47" s="117"/>
      <c r="CR47" s="117"/>
      <c r="CS47" s="117"/>
      <c r="CT47" s="117"/>
      <c r="CU47" s="117"/>
      <c r="CV47" s="117"/>
      <c r="CW47" s="117"/>
      <c r="CX47" s="117"/>
    </row>
    <row r="48" spans="1:102">
      <c r="A48" s="116"/>
      <c r="B48" s="67" t="s">
        <v>114</v>
      </c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7"/>
      <c r="V48" s="117"/>
      <c r="W48" s="117"/>
      <c r="X48" s="117"/>
      <c r="Y48" s="117"/>
      <c r="Z48" s="117"/>
      <c r="AA48" s="117"/>
      <c r="AB48" s="117"/>
      <c r="AC48" s="117"/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  <c r="AN48" s="117"/>
      <c r="AO48" s="117"/>
      <c r="AP48" s="117"/>
      <c r="AQ48" s="117"/>
      <c r="AR48" s="117"/>
      <c r="AS48" s="117"/>
      <c r="AT48" s="117"/>
      <c r="AU48" s="117"/>
      <c r="AV48" s="117"/>
      <c r="AW48" s="117"/>
      <c r="AX48" s="117"/>
      <c r="AY48" s="117"/>
      <c r="AZ48" s="117"/>
      <c r="BA48" s="117"/>
      <c r="BB48" s="117"/>
      <c r="BC48" s="117"/>
      <c r="BD48" s="117"/>
      <c r="BE48" s="117"/>
      <c r="BF48" s="117"/>
      <c r="BG48" s="117"/>
      <c r="BH48" s="117"/>
      <c r="BI48" s="117"/>
      <c r="BJ48" s="117"/>
      <c r="BK48" s="117"/>
      <c r="BL48" s="117"/>
      <c r="BM48" s="117"/>
      <c r="BN48" s="117"/>
      <c r="BO48" s="117"/>
      <c r="BP48" s="117"/>
      <c r="BQ48" s="117"/>
      <c r="BR48" s="117"/>
      <c r="BS48" s="117"/>
      <c r="BT48" s="117"/>
      <c r="BU48" s="117"/>
      <c r="BV48" s="117"/>
      <c r="BW48" s="117"/>
      <c r="BX48" s="117"/>
      <c r="BY48" s="117"/>
      <c r="BZ48" s="117"/>
      <c r="CA48" s="117"/>
      <c r="CB48" s="117"/>
      <c r="CC48" s="117"/>
      <c r="CD48" s="117"/>
      <c r="CE48" s="117"/>
      <c r="CF48" s="117"/>
      <c r="CG48" s="117"/>
      <c r="CH48" s="117"/>
      <c r="CI48" s="117"/>
      <c r="CJ48" s="117"/>
      <c r="CK48" s="117"/>
      <c r="CL48" s="117"/>
      <c r="CM48" s="117"/>
      <c r="CN48" s="117"/>
      <c r="CO48" s="117"/>
      <c r="CP48" s="117"/>
      <c r="CQ48" s="117"/>
      <c r="CR48" s="117"/>
      <c r="CS48" s="117"/>
      <c r="CT48" s="117"/>
      <c r="CU48" s="117"/>
      <c r="CV48" s="117"/>
      <c r="CW48" s="117"/>
      <c r="CX48" s="117"/>
    </row>
    <row r="49" spans="1:102">
      <c r="A49" s="108" t="s">
        <v>37</v>
      </c>
      <c r="B49" s="122" t="s">
        <v>29</v>
      </c>
      <c r="C49" s="239"/>
      <c r="D49" s="239"/>
      <c r="E49" s="239"/>
      <c r="F49" s="239"/>
      <c r="G49" s="239"/>
      <c r="H49" s="239"/>
      <c r="I49" s="239"/>
      <c r="J49" s="239"/>
      <c r="K49" s="239"/>
      <c r="L49" s="239"/>
      <c r="M49" s="239"/>
      <c r="N49" s="239"/>
      <c r="O49" s="239"/>
      <c r="P49" s="239"/>
      <c r="Q49" s="239"/>
      <c r="R49" s="239"/>
      <c r="S49" s="239"/>
      <c r="T49" s="239"/>
      <c r="U49" s="239"/>
      <c r="V49" s="239"/>
      <c r="W49" s="239"/>
      <c r="X49" s="239"/>
      <c r="Y49" s="239"/>
      <c r="Z49" s="239"/>
      <c r="AA49" s="239"/>
      <c r="AB49" s="239"/>
      <c r="AC49" s="239"/>
      <c r="AD49" s="239"/>
      <c r="AE49" s="239"/>
      <c r="AF49" s="239"/>
      <c r="AG49" s="239"/>
      <c r="AH49" s="239"/>
      <c r="AI49" s="239"/>
      <c r="AJ49" s="239"/>
      <c r="AK49" s="239"/>
      <c r="AL49" s="239"/>
      <c r="AM49" s="239"/>
      <c r="AN49" s="239"/>
      <c r="AO49" s="239"/>
      <c r="AP49" s="239"/>
      <c r="AQ49" s="239"/>
      <c r="AR49" s="239"/>
      <c r="AS49" s="239"/>
      <c r="AT49" s="239"/>
      <c r="AU49" s="239"/>
      <c r="AV49" s="239"/>
      <c r="AW49" s="239"/>
      <c r="AX49" s="239"/>
      <c r="AY49" s="239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39"/>
      <c r="CB49" s="239"/>
      <c r="CC49" s="239"/>
      <c r="CD49" s="239"/>
      <c r="CE49" s="239"/>
      <c r="CF49" s="239"/>
      <c r="CG49" s="239"/>
      <c r="CH49" s="239"/>
      <c r="CI49" s="239"/>
      <c r="CJ49" s="239"/>
      <c r="CK49" s="239"/>
      <c r="CL49" s="239"/>
      <c r="CM49" s="239"/>
      <c r="CN49" s="239"/>
      <c r="CO49" s="239"/>
      <c r="CP49" s="239"/>
      <c r="CQ49" s="239"/>
      <c r="CR49" s="239"/>
      <c r="CS49" s="239"/>
      <c r="CT49" s="239"/>
      <c r="CU49" s="239"/>
      <c r="CV49" s="239"/>
      <c r="CW49" s="239"/>
      <c r="CX49" s="239"/>
    </row>
    <row r="50" spans="1:102">
      <c r="A50" s="115"/>
      <c r="B50" s="14" t="s">
        <v>30</v>
      </c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  <c r="AT50" s="117"/>
      <c r="AU50" s="117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17"/>
      <c r="BN50" s="117"/>
      <c r="BO50" s="117"/>
      <c r="BP50" s="117"/>
      <c r="BQ50" s="117"/>
      <c r="BR50" s="117"/>
      <c r="BS50" s="117"/>
      <c r="BT50" s="117"/>
      <c r="BU50" s="117"/>
      <c r="BV50" s="117"/>
      <c r="BW50" s="117"/>
      <c r="BX50" s="117"/>
      <c r="BY50" s="117"/>
      <c r="BZ50" s="117"/>
      <c r="CA50" s="117"/>
      <c r="CB50" s="117"/>
      <c r="CC50" s="117"/>
      <c r="CD50" s="117"/>
      <c r="CE50" s="117"/>
      <c r="CF50" s="117"/>
      <c r="CG50" s="117"/>
      <c r="CH50" s="117"/>
      <c r="CI50" s="117"/>
      <c r="CJ50" s="117"/>
      <c r="CK50" s="117"/>
      <c r="CL50" s="117"/>
      <c r="CM50" s="117"/>
      <c r="CN50" s="117"/>
      <c r="CO50" s="117"/>
      <c r="CP50" s="117"/>
      <c r="CQ50" s="117"/>
      <c r="CR50" s="117"/>
      <c r="CS50" s="117"/>
      <c r="CT50" s="117"/>
      <c r="CU50" s="117"/>
      <c r="CV50" s="117"/>
      <c r="CW50" s="117"/>
      <c r="CX50" s="117"/>
    </row>
    <row r="51" spans="1:102">
      <c r="A51" s="115"/>
      <c r="B51" s="67" t="s">
        <v>56</v>
      </c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117"/>
      <c r="AB51" s="117"/>
      <c r="AC51" s="117"/>
      <c r="AD51" s="117"/>
      <c r="AE51" s="117"/>
      <c r="AF51" s="117"/>
      <c r="AG51" s="117"/>
      <c r="AH51" s="117"/>
      <c r="AI51" s="117"/>
      <c r="AJ51" s="117"/>
      <c r="AK51" s="117"/>
      <c r="AL51" s="117"/>
      <c r="AM51" s="117"/>
      <c r="AN51" s="117"/>
      <c r="AO51" s="117"/>
      <c r="AP51" s="117"/>
      <c r="AQ51" s="117"/>
      <c r="AR51" s="117"/>
      <c r="AS51" s="117"/>
      <c r="AT51" s="117"/>
      <c r="AU51" s="117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17"/>
      <c r="BN51" s="117"/>
      <c r="BO51" s="117"/>
      <c r="BP51" s="117"/>
      <c r="BQ51" s="117"/>
      <c r="BR51" s="117"/>
      <c r="BS51" s="117"/>
      <c r="BT51" s="117"/>
      <c r="BU51" s="117"/>
      <c r="BV51" s="117"/>
      <c r="BW51" s="117"/>
      <c r="BX51" s="117"/>
      <c r="BY51" s="117"/>
      <c r="BZ51" s="117"/>
      <c r="CA51" s="117"/>
      <c r="CB51" s="117"/>
      <c r="CC51" s="117"/>
      <c r="CD51" s="117"/>
      <c r="CE51" s="117"/>
      <c r="CF51" s="117"/>
      <c r="CG51" s="117"/>
      <c r="CH51" s="117"/>
      <c r="CI51" s="117"/>
      <c r="CJ51" s="117"/>
      <c r="CK51" s="117"/>
      <c r="CL51" s="117"/>
      <c r="CM51" s="117"/>
      <c r="CN51" s="117"/>
      <c r="CO51" s="117"/>
      <c r="CP51" s="117"/>
      <c r="CQ51" s="117"/>
      <c r="CR51" s="117"/>
      <c r="CS51" s="117"/>
      <c r="CT51" s="117"/>
      <c r="CU51" s="117"/>
      <c r="CV51" s="117"/>
      <c r="CW51" s="117"/>
      <c r="CX51" s="117"/>
    </row>
    <row r="52" spans="1:102">
      <c r="A52" s="116"/>
      <c r="B52" s="67" t="s">
        <v>114</v>
      </c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  <c r="AA52" s="117"/>
      <c r="AB52" s="117"/>
      <c r="AC52" s="117"/>
      <c r="AD52" s="117"/>
      <c r="AE52" s="117"/>
      <c r="AF52" s="117"/>
      <c r="AG52" s="117"/>
      <c r="AH52" s="117"/>
      <c r="AI52" s="117"/>
      <c r="AJ52" s="117"/>
      <c r="AK52" s="117"/>
      <c r="AL52" s="117"/>
      <c r="AM52" s="117"/>
      <c r="AN52" s="117"/>
      <c r="AO52" s="117"/>
      <c r="AP52" s="117"/>
      <c r="AQ52" s="117"/>
      <c r="AR52" s="117"/>
      <c r="AS52" s="117"/>
      <c r="AT52" s="117"/>
      <c r="AU52" s="117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17"/>
      <c r="BN52" s="117"/>
      <c r="BO52" s="117"/>
      <c r="BP52" s="117"/>
      <c r="BQ52" s="117"/>
      <c r="BR52" s="117"/>
      <c r="BS52" s="117"/>
      <c r="BT52" s="117"/>
      <c r="BU52" s="117"/>
      <c r="BV52" s="117"/>
      <c r="BW52" s="117"/>
      <c r="BX52" s="117"/>
      <c r="BY52" s="117"/>
      <c r="BZ52" s="117"/>
      <c r="CA52" s="117"/>
      <c r="CB52" s="117"/>
      <c r="CC52" s="117"/>
      <c r="CD52" s="117"/>
      <c r="CE52" s="117"/>
      <c r="CF52" s="117"/>
      <c r="CG52" s="117"/>
      <c r="CH52" s="117"/>
      <c r="CI52" s="117"/>
      <c r="CJ52" s="117"/>
      <c r="CK52" s="117"/>
      <c r="CL52" s="117"/>
      <c r="CM52" s="117"/>
      <c r="CN52" s="117"/>
      <c r="CO52" s="117"/>
      <c r="CP52" s="117"/>
      <c r="CQ52" s="117"/>
      <c r="CR52" s="117"/>
      <c r="CS52" s="117"/>
      <c r="CT52" s="117"/>
      <c r="CU52" s="117"/>
      <c r="CV52" s="117"/>
      <c r="CW52" s="117"/>
      <c r="CX52" s="117"/>
    </row>
    <row r="53" spans="1:102">
      <c r="A53" s="128" t="s">
        <v>38</v>
      </c>
      <c r="B53" s="122" t="s">
        <v>29</v>
      </c>
      <c r="C53" s="239"/>
      <c r="D53" s="239"/>
      <c r="E53" s="239"/>
      <c r="F53" s="239"/>
      <c r="G53" s="239"/>
      <c r="H53" s="239"/>
      <c r="I53" s="239"/>
      <c r="J53" s="239"/>
      <c r="K53" s="239"/>
      <c r="L53" s="239"/>
      <c r="M53" s="239"/>
      <c r="N53" s="239"/>
      <c r="O53" s="239"/>
      <c r="P53" s="239"/>
      <c r="Q53" s="239"/>
      <c r="R53" s="239"/>
      <c r="S53" s="239"/>
      <c r="T53" s="239"/>
      <c r="U53" s="239"/>
      <c r="V53" s="239"/>
      <c r="W53" s="239"/>
      <c r="X53" s="239"/>
      <c r="Y53" s="239"/>
      <c r="Z53" s="239"/>
      <c r="AA53" s="239"/>
      <c r="AB53" s="239"/>
      <c r="AC53" s="239"/>
      <c r="AD53" s="239"/>
      <c r="AE53" s="239"/>
      <c r="AF53" s="239"/>
      <c r="AG53" s="239"/>
      <c r="AH53" s="239"/>
      <c r="AI53" s="239"/>
      <c r="AJ53" s="239"/>
      <c r="AK53" s="239"/>
      <c r="AL53" s="239"/>
      <c r="AM53" s="239"/>
      <c r="AN53" s="239"/>
      <c r="AO53" s="239"/>
      <c r="AP53" s="239"/>
      <c r="AQ53" s="239"/>
      <c r="AR53" s="239"/>
      <c r="AS53" s="239"/>
      <c r="AT53" s="239"/>
      <c r="AU53" s="239"/>
      <c r="AV53" s="239"/>
      <c r="AW53" s="239"/>
      <c r="AX53" s="239"/>
      <c r="AY53" s="239"/>
      <c r="AZ53" s="239"/>
      <c r="BA53" s="239"/>
      <c r="BB53" s="239"/>
      <c r="BC53" s="239"/>
      <c r="BD53" s="239"/>
      <c r="BE53" s="239"/>
      <c r="BF53" s="239"/>
      <c r="BG53" s="239"/>
      <c r="BH53" s="239"/>
      <c r="BI53" s="239"/>
      <c r="BJ53" s="239"/>
      <c r="BK53" s="239"/>
      <c r="BL53" s="239"/>
      <c r="BM53" s="239"/>
      <c r="BN53" s="239"/>
      <c r="BO53" s="239"/>
      <c r="BP53" s="239"/>
      <c r="BQ53" s="239"/>
      <c r="BR53" s="239"/>
      <c r="BS53" s="239"/>
      <c r="BT53" s="239"/>
      <c r="BU53" s="239"/>
      <c r="BV53" s="239"/>
      <c r="BW53" s="239"/>
      <c r="BX53" s="239"/>
      <c r="BY53" s="239"/>
      <c r="BZ53" s="239"/>
      <c r="CA53" s="239"/>
      <c r="CB53" s="239"/>
      <c r="CC53" s="239"/>
      <c r="CD53" s="239"/>
      <c r="CE53" s="239"/>
      <c r="CF53" s="239"/>
      <c r="CG53" s="239"/>
      <c r="CH53" s="239"/>
      <c r="CI53" s="239"/>
      <c r="CJ53" s="239"/>
      <c r="CK53" s="239"/>
      <c r="CL53" s="239"/>
      <c r="CM53" s="239"/>
      <c r="CN53" s="239"/>
      <c r="CO53" s="239"/>
      <c r="CP53" s="239"/>
      <c r="CQ53" s="239"/>
      <c r="CR53" s="239"/>
      <c r="CS53" s="239"/>
      <c r="CT53" s="239"/>
      <c r="CU53" s="239"/>
      <c r="CV53" s="239"/>
      <c r="CW53" s="239"/>
      <c r="CX53" s="239"/>
    </row>
    <row r="54" spans="1:102">
      <c r="A54" s="115"/>
      <c r="B54" s="14" t="s">
        <v>30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117"/>
      <c r="AF54" s="117"/>
      <c r="AG54" s="117"/>
      <c r="AH54" s="117"/>
      <c r="AI54" s="117"/>
      <c r="AJ54" s="117"/>
      <c r="AK54" s="117"/>
      <c r="AL54" s="117"/>
      <c r="AM54" s="117"/>
      <c r="AN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17"/>
      <c r="BU54" s="117"/>
      <c r="BV54" s="117"/>
      <c r="BW54" s="117"/>
      <c r="BX54" s="117"/>
      <c r="BY54" s="117"/>
      <c r="BZ54" s="117"/>
      <c r="CA54" s="117"/>
      <c r="CB54" s="117"/>
      <c r="CC54" s="117"/>
      <c r="CD54" s="117"/>
      <c r="CE54" s="117"/>
      <c r="CF54" s="117"/>
      <c r="CG54" s="117"/>
      <c r="CH54" s="117"/>
      <c r="CI54" s="117"/>
      <c r="CJ54" s="117"/>
      <c r="CK54" s="117"/>
      <c r="CL54" s="117"/>
      <c r="CM54" s="117"/>
      <c r="CN54" s="117"/>
      <c r="CO54" s="117"/>
      <c r="CP54" s="117"/>
      <c r="CQ54" s="117"/>
      <c r="CR54" s="117"/>
      <c r="CS54" s="117"/>
      <c r="CT54" s="117"/>
      <c r="CU54" s="117"/>
      <c r="CV54" s="117"/>
      <c r="CW54" s="117"/>
      <c r="CX54" s="117"/>
    </row>
    <row r="55" spans="1:102">
      <c r="A55" s="115"/>
      <c r="B55" s="67" t="s">
        <v>56</v>
      </c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17"/>
      <c r="Z55" s="117"/>
      <c r="AA55" s="117"/>
      <c r="AB55" s="117"/>
      <c r="AC55" s="117"/>
      <c r="AD55" s="117"/>
      <c r="AE55" s="117"/>
      <c r="AF55" s="117"/>
      <c r="AG55" s="117"/>
      <c r="AH55" s="117"/>
      <c r="AI55" s="117"/>
      <c r="AJ55" s="117"/>
      <c r="AK55" s="117"/>
      <c r="AL55" s="117"/>
      <c r="AM55" s="117"/>
      <c r="AN55" s="117"/>
      <c r="AO55" s="117"/>
      <c r="AP55" s="117"/>
      <c r="AQ55" s="117"/>
      <c r="AR55" s="117"/>
      <c r="AS55" s="117"/>
      <c r="AT55" s="117"/>
      <c r="AU55" s="117"/>
      <c r="AV55" s="117"/>
      <c r="AW55" s="117"/>
      <c r="AX55" s="117"/>
      <c r="AY55" s="117"/>
      <c r="AZ55" s="117"/>
      <c r="BA55" s="117"/>
      <c r="BB55" s="117"/>
      <c r="BC55" s="117"/>
      <c r="BD55" s="117"/>
      <c r="BE55" s="117"/>
      <c r="BF55" s="117"/>
      <c r="BG55" s="117"/>
      <c r="BH55" s="117"/>
      <c r="BI55" s="117"/>
      <c r="BJ55" s="117"/>
      <c r="BK55" s="117"/>
      <c r="BL55" s="117"/>
      <c r="BM55" s="117"/>
      <c r="BN55" s="117"/>
      <c r="BO55" s="117"/>
      <c r="BP55" s="117"/>
      <c r="BQ55" s="117"/>
      <c r="BR55" s="117"/>
      <c r="BS55" s="117"/>
      <c r="BT55" s="117"/>
      <c r="BU55" s="117"/>
      <c r="BV55" s="117"/>
      <c r="BW55" s="117"/>
      <c r="BX55" s="117"/>
      <c r="BY55" s="117"/>
      <c r="BZ55" s="117"/>
      <c r="CA55" s="117"/>
      <c r="CB55" s="117"/>
      <c r="CC55" s="117"/>
      <c r="CD55" s="117"/>
      <c r="CE55" s="117"/>
      <c r="CF55" s="117"/>
      <c r="CG55" s="117"/>
      <c r="CH55" s="117"/>
      <c r="CI55" s="117"/>
      <c r="CJ55" s="117"/>
      <c r="CK55" s="117"/>
      <c r="CL55" s="117"/>
      <c r="CM55" s="117"/>
      <c r="CN55" s="117"/>
      <c r="CO55" s="117"/>
      <c r="CP55" s="117"/>
      <c r="CQ55" s="117"/>
      <c r="CR55" s="117"/>
      <c r="CS55" s="117"/>
      <c r="CT55" s="117"/>
      <c r="CU55" s="117"/>
      <c r="CV55" s="117"/>
      <c r="CW55" s="117"/>
      <c r="CX55" s="117"/>
    </row>
    <row r="56" spans="1:102">
      <c r="A56" s="116"/>
      <c r="B56" s="240" t="s">
        <v>114</v>
      </c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8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8"/>
      <c r="AX56" s="118"/>
      <c r="AY56" s="118"/>
      <c r="AZ56" s="118"/>
      <c r="BA56" s="118"/>
      <c r="BB56" s="118"/>
      <c r="BC56" s="118"/>
      <c r="BD56" s="118"/>
      <c r="BE56" s="118"/>
      <c r="BF56" s="118"/>
      <c r="BG56" s="118"/>
      <c r="BH56" s="118"/>
      <c r="BI56" s="118"/>
      <c r="BJ56" s="118"/>
      <c r="BK56" s="118"/>
      <c r="BL56" s="118"/>
      <c r="BM56" s="118"/>
      <c r="BN56" s="118"/>
      <c r="BO56" s="118"/>
      <c r="BP56" s="118"/>
      <c r="BQ56" s="118"/>
      <c r="BR56" s="118"/>
      <c r="BS56" s="118"/>
      <c r="BT56" s="118"/>
      <c r="BU56" s="118"/>
      <c r="BV56" s="118"/>
      <c r="BW56" s="118"/>
      <c r="BX56" s="118"/>
      <c r="BY56" s="118"/>
      <c r="BZ56" s="118"/>
      <c r="CA56" s="118"/>
      <c r="CB56" s="118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118"/>
      <c r="CO56" s="118"/>
      <c r="CP56" s="118"/>
      <c r="CQ56" s="118"/>
      <c r="CR56" s="118"/>
      <c r="CS56" s="118"/>
      <c r="CT56" s="118"/>
      <c r="CU56" s="118"/>
      <c r="CV56" s="118"/>
      <c r="CW56" s="118"/>
      <c r="CX56" s="118"/>
    </row>
    <row r="57" spans="1:102">
      <c r="A57" s="115"/>
      <c r="B57" s="130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B57" s="117"/>
      <c r="AC57" s="117"/>
      <c r="AD57" s="117"/>
      <c r="AE57" s="117"/>
      <c r="AF57" s="117"/>
      <c r="AG57" s="117"/>
      <c r="AH57" s="117"/>
      <c r="AI57" s="117"/>
      <c r="AJ57" s="117"/>
      <c r="AK57" s="117"/>
      <c r="AL57" s="117"/>
      <c r="AM57" s="117"/>
      <c r="AN57" s="117"/>
      <c r="AO57" s="117"/>
      <c r="AP57" s="117"/>
      <c r="AQ57" s="117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17"/>
      <c r="BM57" s="117"/>
      <c r="BN57" s="117"/>
      <c r="BO57" s="117"/>
      <c r="BP57" s="117"/>
      <c r="BQ57" s="117"/>
      <c r="BR57" s="117"/>
      <c r="BS57" s="117"/>
      <c r="BT57" s="117"/>
      <c r="BU57" s="117"/>
      <c r="BV57" s="117"/>
      <c r="BW57" s="117"/>
      <c r="BX57" s="117"/>
      <c r="BY57" s="117"/>
      <c r="BZ57" s="117"/>
      <c r="CA57" s="117"/>
      <c r="CB57" s="117"/>
      <c r="CC57" s="117"/>
      <c r="CD57" s="117"/>
      <c r="CE57" s="117"/>
      <c r="CF57" s="117"/>
      <c r="CG57" s="117"/>
      <c r="CH57" s="117"/>
      <c r="CI57" s="117"/>
      <c r="CJ57" s="117"/>
      <c r="CK57" s="117"/>
      <c r="CL57" s="117"/>
      <c r="CM57" s="117"/>
      <c r="CN57" s="117"/>
      <c r="CO57" s="117"/>
      <c r="CP57" s="117"/>
      <c r="CQ57" s="117"/>
      <c r="CR57" s="117"/>
      <c r="CS57" s="117"/>
      <c r="CT57" s="117"/>
      <c r="CU57" s="117"/>
      <c r="CV57" s="117"/>
      <c r="CW57" s="117"/>
      <c r="CX57" s="117"/>
    </row>
  </sheetData>
  <mergeCells count="10">
    <mergeCell ref="A11:B11"/>
    <mergeCell ref="A12:B12"/>
    <mergeCell ref="A13:B13"/>
    <mergeCell ref="A14:B14"/>
    <mergeCell ref="A19:B19"/>
    <mergeCell ref="A20:B20"/>
    <mergeCell ref="A15:B15"/>
    <mergeCell ref="A16:B16"/>
    <mergeCell ref="A17:B17"/>
    <mergeCell ref="A18:B18"/>
  </mergeCells>
  <phoneticPr fontId="2" type="noConversion"/>
  <dataValidations count="3">
    <dataValidation type="list" allowBlank="1" showInputMessage="1" showErrorMessage="1" sqref="B3:B7">
      <formula1>$A$11:$A$20</formula1>
    </dataValidation>
    <dataValidation type="list" allowBlank="1" showInputMessage="1" showErrorMessage="1" sqref="C3:C7">
      <formula1>$Z$1:$Z$2</formula1>
    </dataValidation>
    <dataValidation type="list" allowBlank="1" showInputMessage="1" showErrorMessage="1" sqref="C26:E26">
      <formula1>$AC$1:$AC$2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22</vt:i4>
      </vt:variant>
      <vt:variant>
        <vt:lpstr>Charts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32" baseType="lpstr">
      <vt:lpstr>Parameters</vt:lpstr>
      <vt:lpstr>Economische visies</vt:lpstr>
      <vt:lpstr>Vertaling visies absoluut</vt:lpstr>
      <vt:lpstr>Vertaling visies absoluut (2)</vt:lpstr>
      <vt:lpstr>BL Visie 1</vt:lpstr>
      <vt:lpstr>BL Visie 2</vt:lpstr>
      <vt:lpstr>BL Visie 3</vt:lpstr>
      <vt:lpstr>BL Visie 4</vt:lpstr>
      <vt:lpstr>BL vertaling absoluut</vt:lpstr>
      <vt:lpstr>Historie rendementen</vt:lpstr>
      <vt:lpstr>Historie factoren</vt:lpstr>
      <vt:lpstr>Verplichtingen Nominaal</vt:lpstr>
      <vt:lpstr>Verplichtingen Reeel</vt:lpstr>
      <vt:lpstr>Scenario 1 Mixen</vt:lpstr>
      <vt:lpstr>Scenario 2 Mixen</vt:lpstr>
      <vt:lpstr>Scenario 3 Mixen</vt:lpstr>
      <vt:lpstr>Scenario 4 Mixen</vt:lpstr>
      <vt:lpstr>Scenario 5 Mixen</vt:lpstr>
      <vt:lpstr>Scenario 6 Mixen</vt:lpstr>
      <vt:lpstr>Samenvatting mixen</vt:lpstr>
      <vt:lpstr>Samenvatting mixen - return</vt:lpstr>
      <vt:lpstr>Derivatenanalyse</vt:lpstr>
      <vt:lpstr>Grafieken - matching &amp; return</vt:lpstr>
      <vt:lpstr>Grafieken - Returnportefeuille</vt:lpstr>
      <vt:lpstr>Basisanalyse</vt:lpstr>
      <vt:lpstr>Basisanalyse - returnport</vt:lpstr>
      <vt:lpstr>Groei Recessie</vt:lpstr>
      <vt:lpstr>Inflatie</vt:lpstr>
      <vt:lpstr>Vermogenseffect</vt:lpstr>
      <vt:lpstr>Deflatie</vt:lpstr>
      <vt:lpstr>Kansgewogen</vt:lpstr>
      <vt:lpstr>Sample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hhk</cp:lastModifiedBy>
  <dcterms:created xsi:type="dcterms:W3CDTF">2009-10-07T06:48:11Z</dcterms:created>
  <dcterms:modified xsi:type="dcterms:W3CDTF">2012-02-13T14:59:07Z</dcterms:modified>
</cp:coreProperties>
</file>