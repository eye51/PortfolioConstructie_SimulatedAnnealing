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990" yWindow="-15" windowWidth="13035" windowHeight="11880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ingle aandelen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70" i="11"/>
  <c r="C69"/>
  <c r="C68"/>
  <c r="C67"/>
  <c r="C66"/>
  <c r="C65"/>
  <c r="C64"/>
  <c r="E63"/>
  <c r="F63"/>
  <c r="C63"/>
  <c r="C10"/>
  <c r="C9"/>
  <c r="C8"/>
  <c r="C7"/>
  <c r="C6"/>
  <c r="C5"/>
  <c r="C4"/>
  <c r="C3"/>
  <c r="D24"/>
  <c r="D50"/>
  <c r="C47"/>
  <c r="C48"/>
  <c r="C49"/>
  <c r="C50"/>
  <c r="C51"/>
  <c r="C52"/>
  <c r="C53"/>
  <c r="C46"/>
  <c r="C21"/>
  <c r="C35"/>
  <c r="C22"/>
  <c r="C36"/>
  <c r="C23"/>
  <c r="C37"/>
  <c r="C24"/>
  <c r="C38"/>
  <c r="C25"/>
  <c r="C39"/>
  <c r="C26"/>
  <c r="C40"/>
  <c r="C27"/>
  <c r="C41"/>
  <c r="C20"/>
  <c r="C34"/>
  <c r="I27" i="14"/>
  <c r="H27"/>
  <c r="G27"/>
  <c r="F27"/>
  <c r="E27"/>
  <c r="D27"/>
  <c r="C27"/>
  <c r="I26"/>
  <c r="H26"/>
  <c r="G26"/>
  <c r="F26"/>
  <c r="E26"/>
  <c r="D26"/>
  <c r="C26"/>
  <c r="I25"/>
  <c r="H25"/>
  <c r="G25"/>
  <c r="F25"/>
  <c r="E25"/>
  <c r="D25"/>
  <c r="C25"/>
  <c r="I24"/>
  <c r="H24"/>
  <c r="G24"/>
  <c r="F24"/>
  <c r="E24"/>
  <c r="D24"/>
  <c r="C24"/>
  <c r="I23"/>
  <c r="H23"/>
  <c r="G23"/>
  <c r="F23"/>
  <c r="E23"/>
  <c r="D23"/>
  <c r="C23"/>
  <c r="I22"/>
  <c r="H22"/>
  <c r="G22"/>
  <c r="F22"/>
  <c r="E22"/>
  <c r="D22"/>
  <c r="C22"/>
  <c r="I21"/>
  <c r="H21"/>
  <c r="G21"/>
  <c r="F21"/>
  <c r="E21"/>
  <c r="D21"/>
  <c r="C21"/>
  <c r="I20"/>
  <c r="H20"/>
  <c r="G20"/>
  <c r="F20"/>
  <c r="E20"/>
  <c r="D20"/>
  <c r="C20"/>
  <c r="B35" i="7"/>
  <c r="C14" i="14"/>
  <c r="B33" i="7"/>
  <c r="D33"/>
  <c r="E33"/>
  <c r="F33"/>
  <c r="G33"/>
  <c r="H33"/>
  <c r="C33"/>
  <c r="I33"/>
  <c r="J12" i="14"/>
  <c r="I12"/>
  <c r="H12"/>
  <c r="G12"/>
  <c r="F12"/>
  <c r="E12"/>
  <c r="D12"/>
  <c r="C12"/>
  <c r="I10"/>
  <c r="J10"/>
  <c r="S10"/>
  <c r="H10"/>
  <c r="R10"/>
  <c r="G10"/>
  <c r="Q10"/>
  <c r="F10"/>
  <c r="P10"/>
  <c r="E10"/>
  <c r="O10"/>
  <c r="D10"/>
  <c r="N10"/>
  <c r="B31" i="7"/>
  <c r="C10" i="14"/>
  <c r="M10"/>
  <c r="I9"/>
  <c r="J9"/>
  <c r="S9"/>
  <c r="H9"/>
  <c r="R9"/>
  <c r="G9"/>
  <c r="Q9"/>
  <c r="F9"/>
  <c r="P9"/>
  <c r="E9"/>
  <c r="O9"/>
  <c r="D9"/>
  <c r="N9"/>
  <c r="B30" i="7"/>
  <c r="C9" i="14"/>
  <c r="M9"/>
  <c r="I8"/>
  <c r="J8"/>
  <c r="S8"/>
  <c r="H8"/>
  <c r="R8"/>
  <c r="G8"/>
  <c r="Q8"/>
  <c r="F8"/>
  <c r="P8"/>
  <c r="E8"/>
  <c r="O8"/>
  <c r="D8"/>
  <c r="N8"/>
  <c r="B29" i="7"/>
  <c r="C8" i="14"/>
  <c r="M8"/>
  <c r="I7"/>
  <c r="J7"/>
  <c r="S7"/>
  <c r="H7"/>
  <c r="R7"/>
  <c r="G7"/>
  <c r="Q7"/>
  <c r="F7"/>
  <c r="P7"/>
  <c r="E7"/>
  <c r="O7"/>
  <c r="D7"/>
  <c r="N7"/>
  <c r="B28" i="7"/>
  <c r="C7" i="14"/>
  <c r="M7"/>
  <c r="I6"/>
  <c r="J6"/>
  <c r="S6"/>
  <c r="H6"/>
  <c r="R6"/>
  <c r="G6"/>
  <c r="Q6"/>
  <c r="F6"/>
  <c r="P6"/>
  <c r="E6"/>
  <c r="O6"/>
  <c r="D6"/>
  <c r="N6"/>
  <c r="B27" i="7"/>
  <c r="C6" i="14"/>
  <c r="M6"/>
  <c r="I5"/>
  <c r="J5"/>
  <c r="S5"/>
  <c r="H5"/>
  <c r="R5"/>
  <c r="G5"/>
  <c r="Q5"/>
  <c r="F5"/>
  <c r="P5"/>
  <c r="E5"/>
  <c r="O5"/>
  <c r="D5"/>
  <c r="N5"/>
  <c r="B26" i="7"/>
  <c r="C5" i="14"/>
  <c r="M5"/>
  <c r="I4"/>
  <c r="J4"/>
  <c r="S4"/>
  <c r="H4"/>
  <c r="R4"/>
  <c r="G4"/>
  <c r="Q4"/>
  <c r="F4"/>
  <c r="P4"/>
  <c r="E4"/>
  <c r="O4"/>
  <c r="D4"/>
  <c r="N4"/>
  <c r="B25" i="7"/>
  <c r="C4" i="14"/>
  <c r="M4"/>
  <c r="I3"/>
  <c r="J3"/>
  <c r="S3"/>
  <c r="H3"/>
  <c r="R3"/>
  <c r="G3"/>
  <c r="Q3"/>
  <c r="F3"/>
  <c r="P3"/>
  <c r="E3"/>
  <c r="O3"/>
  <c r="D3"/>
  <c r="N3"/>
  <c r="B24" i="7"/>
  <c r="C3" i="14"/>
  <c r="M3"/>
  <c r="J10" i="11"/>
  <c r="I10"/>
  <c r="S10"/>
  <c r="H10"/>
  <c r="R10"/>
  <c r="G10"/>
  <c r="Q10"/>
  <c r="F10"/>
  <c r="P10"/>
  <c r="E10"/>
  <c r="O10"/>
  <c r="D10"/>
  <c r="N10"/>
  <c r="M10"/>
  <c r="J9"/>
  <c r="I9"/>
  <c r="S9"/>
  <c r="H9"/>
  <c r="R9"/>
  <c r="G9"/>
  <c r="Q9"/>
  <c r="F9"/>
  <c r="P9"/>
  <c r="E9"/>
  <c r="O9"/>
  <c r="D9"/>
  <c r="N9"/>
  <c r="M9"/>
  <c r="J8"/>
  <c r="I8"/>
  <c r="S8"/>
  <c r="H8"/>
  <c r="R8"/>
  <c r="G8"/>
  <c r="Q8"/>
  <c r="F8"/>
  <c r="P8"/>
  <c r="E8"/>
  <c r="O8"/>
  <c r="D8"/>
  <c r="N8"/>
  <c r="M8"/>
  <c r="J7"/>
  <c r="I7"/>
  <c r="S7"/>
  <c r="H7"/>
  <c r="R7"/>
  <c r="G7"/>
  <c r="Q7"/>
  <c r="F7"/>
  <c r="P7"/>
  <c r="E7"/>
  <c r="O7"/>
  <c r="D7"/>
  <c r="N7"/>
  <c r="M7"/>
  <c r="J6"/>
  <c r="I6"/>
  <c r="S6"/>
  <c r="H6"/>
  <c r="R6"/>
  <c r="G6"/>
  <c r="Q6"/>
  <c r="F6"/>
  <c r="P6"/>
  <c r="E6"/>
  <c r="O6"/>
  <c r="D6"/>
  <c r="N6"/>
  <c r="M6"/>
  <c r="J5"/>
  <c r="I5"/>
  <c r="S5"/>
  <c r="H5"/>
  <c r="R5"/>
  <c r="G5"/>
  <c r="Q5"/>
  <c r="F5"/>
  <c r="P5"/>
  <c r="E5"/>
  <c r="O5"/>
  <c r="D5"/>
  <c r="N5"/>
  <c r="M5"/>
  <c r="J4"/>
  <c r="I4"/>
  <c r="S4"/>
  <c r="H4"/>
  <c r="R4"/>
  <c r="G4"/>
  <c r="Q4"/>
  <c r="F4"/>
  <c r="P4"/>
  <c r="E4"/>
  <c r="O4"/>
  <c r="D4"/>
  <c r="N4"/>
  <c r="M4"/>
  <c r="J3"/>
  <c r="I3"/>
  <c r="S3"/>
  <c r="H3"/>
  <c r="R3"/>
  <c r="G3"/>
  <c r="Q3"/>
  <c r="F3"/>
  <c r="P3"/>
  <c r="E3"/>
  <c r="O3"/>
  <c r="D3"/>
  <c r="N3"/>
  <c r="M3"/>
  <c r="F10" i="9"/>
  <c r="G10"/>
  <c r="G82" i="11"/>
  <c r="F82"/>
  <c r="F9" i="9"/>
  <c r="G9"/>
  <c r="G81" i="11"/>
  <c r="F81"/>
  <c r="F8" i="9"/>
  <c r="G8"/>
  <c r="G80" i="11"/>
  <c r="F80"/>
  <c r="F7" i="9"/>
  <c r="G7"/>
  <c r="G79" i="11"/>
  <c r="F79"/>
  <c r="F6" i="9"/>
  <c r="G6"/>
  <c r="G78" i="11"/>
  <c r="F78"/>
  <c r="F5" i="9"/>
  <c r="G5"/>
  <c r="G77" i="11"/>
  <c r="F77"/>
  <c r="F4" i="9"/>
  <c r="G4"/>
  <c r="G76" i="11"/>
  <c r="F76"/>
  <c r="F3" i="9"/>
  <c r="G3"/>
  <c r="G75" i="11"/>
  <c r="F75"/>
  <c r="E82"/>
  <c r="D82"/>
  <c r="C82"/>
  <c r="E81"/>
  <c r="D81"/>
  <c r="C81"/>
  <c r="E80"/>
  <c r="D80"/>
  <c r="C80"/>
  <c r="E79"/>
  <c r="D79"/>
  <c r="C79"/>
  <c r="E78"/>
  <c r="D78"/>
  <c r="C78"/>
  <c r="E77"/>
  <c r="D77"/>
  <c r="C77"/>
  <c r="E76"/>
  <c r="D76"/>
  <c r="C76"/>
  <c r="E75"/>
  <c r="D75"/>
  <c r="C75"/>
  <c r="E64"/>
  <c r="F64"/>
  <c r="E65"/>
  <c r="F65"/>
  <c r="E66"/>
  <c r="F66"/>
  <c r="E67"/>
  <c r="F67"/>
  <c r="E68"/>
  <c r="F68"/>
  <c r="E69"/>
  <c r="F69"/>
  <c r="E70"/>
  <c r="F70"/>
  <c r="I17" i="13"/>
  <c r="I16"/>
  <c r="I15"/>
  <c r="I14"/>
  <c r="I13"/>
  <c r="I12"/>
  <c r="I11"/>
  <c r="I10"/>
  <c r="H11"/>
  <c r="H12"/>
  <c r="H13"/>
  <c r="H14"/>
  <c r="H15"/>
  <c r="H16"/>
  <c r="H17"/>
  <c r="F17"/>
  <c r="F10"/>
  <c r="E11"/>
  <c r="F11"/>
  <c r="E12"/>
  <c r="F12"/>
  <c r="E13"/>
  <c r="F13"/>
  <c r="E14"/>
  <c r="F14"/>
  <c r="E15"/>
  <c r="F15"/>
  <c r="E16"/>
  <c r="F16"/>
  <c r="E17"/>
  <c r="J27" i="11"/>
  <c r="J53"/>
  <c r="I27"/>
  <c r="I53"/>
  <c r="H27"/>
  <c r="H53"/>
  <c r="G27"/>
  <c r="G53"/>
  <c r="F27"/>
  <c r="F53"/>
  <c r="E27"/>
  <c r="E53"/>
  <c r="D27"/>
  <c r="D53"/>
  <c r="J26"/>
  <c r="J52"/>
  <c r="I26"/>
  <c r="I52"/>
  <c r="H26"/>
  <c r="H52"/>
  <c r="G26"/>
  <c r="G52"/>
  <c r="F26"/>
  <c r="F52"/>
  <c r="E26"/>
  <c r="E52"/>
  <c r="D26"/>
  <c r="D52"/>
  <c r="J25"/>
  <c r="J51"/>
  <c r="I25"/>
  <c r="I51"/>
  <c r="H25"/>
  <c r="H51"/>
  <c r="G25"/>
  <c r="G51"/>
  <c r="F25"/>
  <c r="F51"/>
  <c r="E25"/>
  <c r="E51"/>
  <c r="D25"/>
  <c r="D51"/>
  <c r="J24"/>
  <c r="J50"/>
  <c r="I24"/>
  <c r="I50"/>
  <c r="H24"/>
  <c r="H50"/>
  <c r="G24"/>
  <c r="G50"/>
  <c r="F24"/>
  <c r="F50"/>
  <c r="E24"/>
  <c r="E50"/>
  <c r="J23"/>
  <c r="J49"/>
  <c r="I23"/>
  <c r="I49"/>
  <c r="H23"/>
  <c r="H49"/>
  <c r="G23"/>
  <c r="G49"/>
  <c r="F23"/>
  <c r="F49"/>
  <c r="E23"/>
  <c r="E49"/>
  <c r="D23"/>
  <c r="D49"/>
  <c r="J22"/>
  <c r="J48"/>
  <c r="I22"/>
  <c r="I48"/>
  <c r="H22"/>
  <c r="H48"/>
  <c r="G22"/>
  <c r="G48"/>
  <c r="F22"/>
  <c r="F48"/>
  <c r="E22"/>
  <c r="E48"/>
  <c r="D22"/>
  <c r="D48"/>
  <c r="J21"/>
  <c r="J47"/>
  <c r="I21"/>
  <c r="I47"/>
  <c r="H21"/>
  <c r="H47"/>
  <c r="G21"/>
  <c r="G47"/>
  <c r="F21"/>
  <c r="F47"/>
  <c r="E21"/>
  <c r="E47"/>
  <c r="D21"/>
  <c r="D47"/>
  <c r="J20"/>
  <c r="J46"/>
  <c r="I20"/>
  <c r="I46"/>
  <c r="H20"/>
  <c r="H46"/>
  <c r="G20"/>
  <c r="G46"/>
  <c r="F20"/>
  <c r="F46"/>
  <c r="E20"/>
  <c r="E46"/>
  <c r="D20"/>
  <c r="D46"/>
  <c r="C19" i="13"/>
  <c r="B19"/>
  <c r="A4" i="9"/>
  <c r="A11" i="13"/>
  <c r="A5" i="9"/>
  <c r="A12" i="13"/>
  <c r="A6" i="9"/>
  <c r="A13" i="13"/>
  <c r="A7" i="9"/>
  <c r="A14" i="13"/>
  <c r="A8" i="9"/>
  <c r="A15" i="13"/>
  <c r="A9" i="9"/>
  <c r="A16" i="13"/>
  <c r="A10" i="9"/>
  <c r="A17" i="13"/>
  <c r="A3" i="9"/>
  <c r="A10" i="13"/>
  <c r="H70" i="11"/>
  <c r="I70"/>
  <c r="H69"/>
  <c r="I69"/>
  <c r="H68"/>
  <c r="I68"/>
  <c r="H67"/>
  <c r="I67"/>
  <c r="H66"/>
  <c r="I66"/>
  <c r="H65"/>
  <c r="I65"/>
  <c r="H64"/>
  <c r="I64"/>
  <c r="H63"/>
  <c r="I63"/>
  <c r="I31" i="7"/>
  <c r="I30"/>
  <c r="I29"/>
  <c r="I28"/>
  <c r="I27"/>
  <c r="I26"/>
  <c r="I25"/>
  <c r="I24"/>
  <c r="E12" i="11"/>
  <c r="F12"/>
  <c r="G12"/>
  <c r="K196"/>
  <c r="I196"/>
  <c r="L196"/>
  <c r="J198"/>
  <c r="K198"/>
  <c r="J199"/>
  <c r="J200"/>
  <c r="K200"/>
  <c r="J201"/>
  <c r="J202"/>
  <c r="J203"/>
  <c r="J197"/>
  <c r="K197"/>
  <c r="I200"/>
  <c r="I197"/>
  <c r="I198"/>
  <c r="I199"/>
  <c r="I201"/>
  <c r="I202"/>
  <c r="I20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C14" i="11"/>
  <c r="J12"/>
  <c r="H12"/>
  <c r="I12"/>
  <c r="D12"/>
  <c r="C12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W4" i="9"/>
  <c r="W5"/>
  <c r="W6"/>
  <c r="W7"/>
  <c r="W8"/>
  <c r="W9"/>
  <c r="W10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201" i="11"/>
  <c r="L20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97" i="11"/>
  <c r="H28" i="1"/>
  <c r="F30"/>
  <c r="D32"/>
  <c r="K33"/>
  <c r="K202" i="11"/>
  <c r="L202"/>
  <c r="L203"/>
  <c r="K203"/>
  <c r="L199"/>
  <c r="K19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200" i="11"/>
  <c r="L198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I35" i="7"/>
  <c r="J14" i="11"/>
  <c r="J14" i="14"/>
  <c r="D35" i="7"/>
  <c r="E14" i="11"/>
  <c r="E35" i="7"/>
  <c r="F14" i="11"/>
  <c r="F35" i="7"/>
  <c r="G14" i="11"/>
  <c r="G35" i="7"/>
  <c r="H14" i="11"/>
  <c r="C35" i="7"/>
  <c r="D14" i="11"/>
  <c r="H35" i="7"/>
  <c r="I14" i="11"/>
  <c r="D14" i="14"/>
  <c r="E14"/>
  <c r="F14"/>
  <c r="G14"/>
  <c r="H14"/>
  <c r="I14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<sst xmlns="http://schemas.openxmlformats.org/spreadsheetml/2006/main" count="554" uniqueCount="153">
  <si>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</si>
  <si>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</si>
  <si>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</si>
  <si>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</si>
  <si>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</si>
  <si>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</si>
  <si>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</si>
  <si>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</si>
  <si>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</si>
  <si>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</si>
  <si>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</si>
  <si>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</si>
  <si>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</si>
  <si>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</si>
  <si>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</si>
  <si>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</si>
  <si>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</si>
  <si>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</si>
  <si>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</si>
  <si>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</si>
  <si>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</si>
  <si>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</si>
  <si>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</si>
  <si>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</si>
  <si>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</si>
  <si>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</si>
  <si>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</si>
  <si>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</si>
  <si>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</si>
  <si>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</si>
  <si>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</si>
  <si>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</si>
  <si>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</si>
  <si>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</si>
  <si>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</si>
  <si>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</si>
  <si>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</si>
  <si>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</si>
  <si>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</si>
  <si>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</si>
  <si>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</si>
  <si>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</si>
  <si>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</si>
  <si>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</si>
  <si>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</si>
  <si>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</si>
  <si>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</si>
  <si>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</si>
  <si>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</si>
  <si>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</si>
  <si>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</si>
  <si>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</si>
  <si>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</si>
  <si>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</si>
  <si>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</si>
  <si>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</si>
  <si>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</si>
  <si>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</si>
  <si>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</si>
  <si>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</si>
  <si>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</si>
  <si>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</si>
  <si>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</si>
  <si>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</si>
  <si>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</si>
  <si>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</si>
  <si>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</si>
  <si>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</si>
  <si>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</si>
  <si>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</si>
  <si>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</si>
  <si>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</si>
  <si>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</si>
  <si>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</si>
  <si>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</si>
  <si>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</si>
  <si>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</si>
  <si>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</si>
  <si>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</si>
  <si>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</si>
  <si>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</si>
  <si>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</si>
  <si>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</si>
  <si>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</si>
  <si>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</si>
  <si>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</si>
  <si>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</si>
  <si>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</si>
  <si>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</si>
  <si>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</si>
  <si>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</si>
  <si>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</si>
  <si>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</si>
  <si>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</si>
  <si>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</si>
  <si>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</si>
  <si>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</si>
  <si>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</si>
  <si>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</si>
  <si>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</si>
  <si>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</si>
  <si>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</si>
  <si>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</si>
  <si>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</si>
  <si>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</si>
  <si>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</si>
  <si>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</si>
  <si>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</si>
  <si>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</si>
  <si>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</si>
  <si>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</si>
  <si>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</si>
  <si>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</si>
  <si>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</si>
  <si>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</si>
  <si>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</si>
  <si>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</si>
  <si>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</si>
  <si>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</si>
  <si>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</si>
  <si>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</si>
  <si>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</si>
  <si>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</si>
  <si>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</si>
  <si>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</si>
  <si>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</si>
  <si>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</si>
  <si>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</si>
  <si>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</si>
  <si>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</si>
  <si>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</si>
  <si>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</si>
  <si>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</si>
  <si>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</si>
  <si>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</si>
  <si>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</si>
  <si>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</si>
  <si>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</si>
  <si>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</si>
  <si>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</si>
  <si>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</si>
  <si>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</si>
  <si>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</si>
  <si>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</si>
  <si>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</si>
  <si>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</si>
  <si>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</si>
  <si>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evenwicht</t>
  </si>
  <si>
    <t>vorige allocatie</t>
  </si>
  <si>
    <t>Huidige</t>
  </si>
  <si>
    <t>Nieuw</t>
  </si>
  <si>
    <t>∆</t>
  </si>
  <si>
    <t>IR</t>
  </si>
</sst>
</file>

<file path=xl/styles.xml><?xml version="1.0" encoding="utf-8"?>
<styleSheet xmlns="http://schemas.openxmlformats.org/spreadsheetml/2006/main">
  <numFmts count="46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  <numFmt numFmtId="208" formatCode="_ * #,##0.000000_ ;_ * \-#,##0.000000_ ;_ * &quot;-&quot;??_ ;_ @_ 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4" applyNumberFormat="0" applyFill="0" applyAlignment="0" applyProtection="0"/>
    <xf numFmtId="0" fontId="79" fillId="0" borderId="55" applyNumberFormat="0" applyFill="0" applyAlignment="0" applyProtection="0"/>
    <xf numFmtId="0" fontId="80" fillId="0" borderId="56" applyNumberFormat="0" applyFill="0" applyAlignment="0" applyProtection="0"/>
    <xf numFmtId="0" fontId="80" fillId="0" borderId="0" applyNumberFormat="0" applyFill="0" applyBorder="0" applyAlignment="0" applyProtection="0"/>
    <xf numFmtId="0" fontId="81" fillId="34" borderId="0" applyNumberFormat="0" applyBorder="0" applyAlignment="0" applyProtection="0"/>
    <xf numFmtId="0" fontId="82" fillId="35" borderId="0" applyNumberFormat="0" applyBorder="0" applyAlignment="0" applyProtection="0"/>
    <xf numFmtId="0" fontId="83" fillId="36" borderId="0" applyNumberFormat="0" applyBorder="0" applyAlignment="0" applyProtection="0"/>
    <xf numFmtId="0" fontId="84" fillId="37" borderId="57" applyNumberFormat="0" applyAlignment="0" applyProtection="0"/>
    <xf numFmtId="0" fontId="85" fillId="37" borderId="1" applyNumberFormat="0" applyAlignment="0" applyProtection="0"/>
    <xf numFmtId="0" fontId="86" fillId="0" borderId="58" applyNumberFormat="0" applyFill="0" applyAlignment="0" applyProtection="0"/>
    <xf numFmtId="0" fontId="87" fillId="38" borderId="59" applyNumberFormat="0" applyAlignment="0" applyProtection="0"/>
    <xf numFmtId="0" fontId="88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89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0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1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2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0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5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5" fillId="3" borderId="0" xfId="0" applyFont="1" applyFill="1" applyBorder="1"/>
    <xf numFmtId="10" fontId="76" fillId="3" borderId="0" xfId="1" applyNumberFormat="1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24" fillId="5" borderId="24" xfId="0" applyFont="1" applyFill="1" applyBorder="1" applyAlignment="1">
      <alignment horizontal="center"/>
    </xf>
    <xf numFmtId="164" fontId="7" fillId="3" borderId="0" xfId="0" applyNumberFormat="1" applyFont="1" applyFill="1"/>
    <xf numFmtId="43" fontId="7" fillId="3" borderId="22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25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center" vertical="top" wrapText="1"/>
    </xf>
    <xf numFmtId="0" fontId="25" fillId="5" borderId="24" xfId="0" applyFont="1" applyFill="1" applyBorder="1" applyAlignment="1">
      <alignment horizontal="center" vertical="top" wrapText="1"/>
    </xf>
    <xf numFmtId="0" fontId="25" fillId="5" borderId="35" xfId="0" applyFont="1" applyFill="1" applyBorder="1" applyAlignment="1">
      <alignment horizontal="center" vertical="top" wrapText="1"/>
    </xf>
    <xf numFmtId="0" fontId="25" fillId="5" borderId="36" xfId="0" applyFont="1" applyFill="1" applyBorder="1" applyAlignment="1">
      <alignment horizontal="center" vertical="top" wrapText="1"/>
    </xf>
    <xf numFmtId="208" fontId="0" fillId="3" borderId="0" xfId="3" applyNumberFormat="1" applyFont="1" applyFill="1" applyBorder="1" applyAlignment="1">
      <alignment horizontal="center"/>
    </xf>
    <xf numFmtId="10" fontId="0" fillId="4" borderId="7" xfId="0" applyNumberFormat="1" applyFont="1" applyFill="1" applyBorder="1" applyAlignment="1">
      <alignment horizontal="center"/>
    </xf>
    <xf numFmtId="10" fontId="0" fillId="4" borderId="10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43" fontId="0" fillId="3" borderId="0" xfId="3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966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37"/>
          <c:w val="0.5562682138416909"/>
          <c:h val="0.692582184133047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184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85E-4"/>
                  <c:y val="-8.3464566929134246E-2"/>
                </c:manualLayout>
              </c:layout>
              <c:showVal val="1"/>
            </c:dLbl>
            <c:dLbl>
              <c:idx val="5"/>
              <c:layout>
                <c:manualLayout>
                  <c:x val="2.6391177018773554E-2"/>
                  <c:y val="0.11040230140723969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0.58308104773113867</c:v>
                </c:pt>
                <c:pt idx="1">
                  <c:v>8.4171789712308862E-2</c:v>
                </c:pt>
                <c:pt idx="2">
                  <c:v>9.1777316331888431E-2</c:v>
                </c:pt>
                <c:pt idx="3">
                  <c:v>8.4600009654577771E-2</c:v>
                </c:pt>
                <c:pt idx="4">
                  <c:v>6.4363685203862667E-2</c:v>
                </c:pt>
                <c:pt idx="5">
                  <c:v>1.9725823367499316E-2</c:v>
                </c:pt>
                <c:pt idx="6">
                  <c:v>2.8249819591705951E-2</c:v>
                </c:pt>
                <c:pt idx="7">
                  <c:v>4.4030508407018554E-2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87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0.5703235765335577</c:v>
                </c:pt>
                <c:pt idx="1">
                  <c:v>6.6902276501031421E-2</c:v>
                </c:pt>
                <c:pt idx="2">
                  <c:v>7.2781109975618152E-2</c:v>
                </c:pt>
                <c:pt idx="3">
                  <c:v>7.8745259110978044E-2</c:v>
                </c:pt>
                <c:pt idx="4">
                  <c:v>5.3289602851581713E-2</c:v>
                </c:pt>
                <c:pt idx="5">
                  <c:v>1.5327886260825194E-2</c:v>
                </c:pt>
                <c:pt idx="6">
                  <c:v>2.3469351934482373E-2</c:v>
                </c:pt>
                <c:pt idx="7">
                  <c:v>3.9164770631163873E-2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1.2757471197580972E-2</c:v>
                </c:pt>
                <c:pt idx="1">
                  <c:v>1.726951321127744E-2</c:v>
                </c:pt>
                <c:pt idx="2">
                  <c:v>1.8996206356270279E-2</c:v>
                </c:pt>
                <c:pt idx="3">
                  <c:v>5.8547505435997266E-3</c:v>
                </c:pt>
                <c:pt idx="4">
                  <c:v>1.1074082352280953E-2</c:v>
                </c:pt>
                <c:pt idx="5">
                  <c:v>4.397937106674122E-3</c:v>
                </c:pt>
                <c:pt idx="6">
                  <c:v>4.7804676572235777E-3</c:v>
                </c:pt>
                <c:pt idx="7">
                  <c:v>4.865737775854681E-3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1.171607794814411E-2</c:v>
                </c:pt>
                <c:pt idx="1">
                  <c:v>1.4888912518291594E-2</c:v>
                </c:pt>
                <c:pt idx="2">
                  <c:v>1.7161534344801582E-2</c:v>
                </c:pt>
                <c:pt idx="3">
                  <c:v>4.8073961600872545E-3</c:v>
                </c:pt>
                <c:pt idx="4">
                  <c:v>1.0978225797745558E-2</c:v>
                </c:pt>
                <c:pt idx="5">
                  <c:v>4.2954143600075004E-3</c:v>
                </c:pt>
                <c:pt idx="6">
                  <c:v>4.3005096305432783E-3</c:v>
                </c:pt>
                <c:pt idx="7">
                  <c:v>4.8102653253892375E-3</c:v>
                </c:pt>
              </c:numCache>
            </c:numRef>
          </c:val>
        </c:ser>
        <c:overlap val="100"/>
        <c:axId val="304707456"/>
        <c:axId val="30472601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marker val="1"/>
        <c:axId val="304707456"/>
        <c:axId val="304726016"/>
      </c:lineChart>
      <c:catAx>
        <c:axId val="304707456"/>
        <c:scaling>
          <c:orientation val="minMax"/>
        </c:scaling>
        <c:axPos val="b"/>
        <c:tickLblPos val="nextTo"/>
        <c:crossAx val="304726016"/>
        <c:crosses val="autoZero"/>
        <c:auto val="1"/>
        <c:lblAlgn val="ctr"/>
        <c:lblOffset val="100"/>
      </c:catAx>
      <c:valAx>
        <c:axId val="304726016"/>
        <c:scaling>
          <c:orientation val="minMax"/>
        </c:scaling>
        <c:axPos val="l"/>
        <c:majorGridlines/>
        <c:numFmt formatCode="0%" sourceLinked="0"/>
        <c:tickLblPos val="nextTo"/>
        <c:crossAx val="3047074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-5.3634034495987179E-2</c:v>
                </c:pt>
                <c:pt idx="2">
                  <c:v>-2.95466166646563E-3</c:v>
                </c:pt>
                <c:pt idx="3">
                  <c:v>-0.20034010635526645</c:v>
                </c:pt>
                <c:pt idx="4">
                  <c:v>-2.9945024082715634E-2</c:v>
                </c:pt>
                <c:pt idx="5">
                  <c:v>1.4659134029297541E-2</c:v>
                </c:pt>
                <c:pt idx="6">
                  <c:v>-4.2653387188440507E-2</c:v>
                </c:pt>
                <c:pt idx="7">
                  <c:v>-5.8162269749716361E-2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1.9126088571386521E-2</c:v>
                </c:pt>
                <c:pt idx="2">
                  <c:v>1.2307163627323543E-2</c:v>
                </c:pt>
                <c:pt idx="3">
                  <c:v>2.0569527320858455E-2</c:v>
                </c:pt>
                <c:pt idx="4">
                  <c:v>7.5326235596053476E-2</c:v>
                </c:pt>
                <c:pt idx="5">
                  <c:v>9.0021127349297542E-2</c:v>
                </c:pt>
                <c:pt idx="6">
                  <c:v>1.4434999267229312E-2</c:v>
                </c:pt>
                <c:pt idx="7">
                  <c:v>4.4496035250283651E-2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-0.44320953513141953</c:v>
                </c:pt>
                <c:pt idx="2">
                  <c:v>-0.50520055078596937</c:v>
                </c:pt>
                <c:pt idx="3">
                  <c:v>-0.64117999007188409</c:v>
                </c:pt>
                <c:pt idx="4">
                  <c:v>-0.39383408868167263</c:v>
                </c:pt>
                <c:pt idx="5">
                  <c:v>-0.52034739633736904</c:v>
                </c:pt>
                <c:pt idx="6">
                  <c:v>-0.25857548795346308</c:v>
                </c:pt>
                <c:pt idx="7">
                  <c:v>-0.33152986308090188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-0.45286655377141971</c:v>
                </c:pt>
                <c:pt idx="2">
                  <c:v>-0.35244265167679129</c:v>
                </c:pt>
                <c:pt idx="3">
                  <c:v>-0.50739956473317127</c:v>
                </c:pt>
                <c:pt idx="4">
                  <c:v>-0.23709668904730849</c:v>
                </c:pt>
                <c:pt idx="5">
                  <c:v>-0.53890194796403579</c:v>
                </c:pt>
                <c:pt idx="6">
                  <c:v>-1.0981482728457838E-2</c:v>
                </c:pt>
                <c:pt idx="7">
                  <c:v>-0.17474285130040365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0.29576434041524707</c:v>
                </c:pt>
                <c:pt idx="2">
                  <c:v>0.24637536735679014</c:v>
                </c:pt>
                <c:pt idx="3">
                  <c:v>0.32892743718810752</c:v>
                </c:pt>
                <c:pt idx="4">
                  <c:v>0.4212127714691607</c:v>
                </c:pt>
                <c:pt idx="5">
                  <c:v>0.62225820003596433</c:v>
                </c:pt>
                <c:pt idx="6">
                  <c:v>0.27934742068923668</c:v>
                </c:pt>
                <c:pt idx="7">
                  <c:v>0.39881762458018055</c:v>
                </c:pt>
              </c:numCache>
            </c:numRef>
          </c:val>
        </c:ser>
        <c:axId val="306249728"/>
        <c:axId val="306251264"/>
      </c:barChart>
      <c:catAx>
        <c:axId val="306249728"/>
        <c:scaling>
          <c:orientation val="minMax"/>
        </c:scaling>
        <c:axPos val="b"/>
        <c:tickLblPos val="nextTo"/>
        <c:crossAx val="306251264"/>
        <c:crosses val="autoZero"/>
        <c:auto val="1"/>
        <c:lblAlgn val="ctr"/>
        <c:lblOffset val="100"/>
      </c:catAx>
      <c:valAx>
        <c:axId val="306251264"/>
        <c:scaling>
          <c:orientation val="minMax"/>
        </c:scaling>
        <c:axPos val="l"/>
        <c:majorGridlines/>
        <c:numFmt formatCode="0.0%" sourceLinked="1"/>
        <c:tickLblPos val="nextTo"/>
        <c:crossAx val="306249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259"/>
          <c:y val="0.30999086720262348"/>
          <c:w val="0.27290015295627634"/>
          <c:h val="0.50313982945017854"/>
        </c:manualLayout>
      </c:layout>
    </c:legend>
    <c:plotVisOnly val="1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4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0.15259384264442535</c:v>
                </c:pt>
                <c:pt idx="1">
                  <c:v>0.16154920315461632</c:v>
                </c:pt>
                <c:pt idx="2">
                  <c:v>0.18412075104153319</c:v>
                </c:pt>
                <c:pt idx="3">
                  <c:v>0.11465409513678974</c:v>
                </c:pt>
                <c:pt idx="4">
                  <c:v>3.2539332874868862E-2</c:v>
                </c:pt>
                <c:pt idx="5">
                  <c:v>5.284293514572827E-2</c:v>
                </c:pt>
                <c:pt idx="6">
                  <c:v>9.0398532971560294E-2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4.8511477082055499E-2</c:v>
                </c:pt>
                <c:pt idx="1">
                  <c:v>5.7827834652366489E-2</c:v>
                </c:pt>
                <c:pt idx="2">
                  <c:v>1.9126800373046426E-2</c:v>
                </c:pt>
                <c:pt idx="3">
                  <c:v>4.0653215315659644E-2</c:v>
                </c:pt>
                <c:pt idx="4">
                  <c:v>1.4859035104973398E-2</c:v>
                </c:pt>
                <c:pt idx="5">
                  <c:v>1.4982416719492964E-2</c:v>
                </c:pt>
                <c:pt idx="6">
                  <c:v>1.534052778288332E-2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5.0249529495056316E-2</c:v>
                </c:pt>
                <c:pt idx="1">
                  <c:v>6.2306220847356375E-2</c:v>
                </c:pt>
                <c:pt idx="2">
                  <c:v>1.9606516425178411E-2</c:v>
                </c:pt>
                <c:pt idx="3">
                  <c:v>4.3020239860782794E-2</c:v>
                </c:pt>
                <c:pt idx="4">
                  <c:v>1.4975416132868402E-2</c:v>
                </c:pt>
                <c:pt idx="5">
                  <c:v>1.5090264858399982E-2</c:v>
                </c:pt>
                <c:pt idx="6">
                  <c:v>1.6332414439460721E-2</c:v>
                </c:pt>
              </c:numCache>
            </c:numRef>
          </c:val>
        </c:ser>
        <c:overlap val="100"/>
        <c:axId val="306277760"/>
        <c:axId val="30630860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0.2205025014778812</c:v>
                </c:pt>
                <c:pt idx="1">
                  <c:v>0.21653123239332159</c:v>
                </c:pt>
                <c:pt idx="2">
                  <c:v>0.23862540330091181</c:v>
                </c:pt>
                <c:pt idx="3">
                  <c:v>0.11107521491396176</c:v>
                </c:pt>
                <c:pt idx="4">
                  <c:v>4.2189746333654299E-2</c:v>
                </c:pt>
                <c:pt idx="5">
                  <c:v>7.0091441155144513E-2</c:v>
                </c:pt>
                <c:pt idx="6">
                  <c:v>0.10098446042512488</c:v>
                </c:pt>
              </c:numCache>
            </c:numRef>
          </c:val>
        </c:ser>
        <c:marker val="1"/>
        <c:axId val="306277760"/>
        <c:axId val="306308608"/>
      </c:lineChart>
      <c:catAx>
        <c:axId val="306277760"/>
        <c:scaling>
          <c:orientation val="minMax"/>
        </c:scaling>
        <c:axPos val="b"/>
        <c:numFmt formatCode="General" sourceLinked="1"/>
        <c:tickLblPos val="nextTo"/>
        <c:crossAx val="306308608"/>
        <c:crosses val="autoZero"/>
        <c:auto val="1"/>
        <c:lblAlgn val="ctr"/>
        <c:lblOffset val="100"/>
      </c:catAx>
      <c:valAx>
        <c:axId val="306308608"/>
        <c:scaling>
          <c:orientation val="minMax"/>
        </c:scaling>
        <c:axPos val="l"/>
        <c:majorGridlines/>
        <c:numFmt formatCode="0%" sourceLinked="0"/>
        <c:tickLblPos val="nextTo"/>
        <c:crossAx val="30627776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-5.3634034495987179E-2</c:v>
                </c:pt>
                <c:pt idx="2">
                  <c:v>-2.95466166646563E-3</c:v>
                </c:pt>
                <c:pt idx="3">
                  <c:v>-0.20034010635526645</c:v>
                </c:pt>
                <c:pt idx="4">
                  <c:v>-2.9945024082715634E-2</c:v>
                </c:pt>
                <c:pt idx="5">
                  <c:v>1.4659134029297541E-2</c:v>
                </c:pt>
                <c:pt idx="6">
                  <c:v>-4.2653387188440507E-2</c:v>
                </c:pt>
                <c:pt idx="7">
                  <c:v>-5.8162269749716361E-2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1.9126088571386521E-2</c:v>
                </c:pt>
                <c:pt idx="2">
                  <c:v>1.2307163627323543E-2</c:v>
                </c:pt>
                <c:pt idx="3">
                  <c:v>2.0569527320858455E-2</c:v>
                </c:pt>
                <c:pt idx="4">
                  <c:v>7.5326235596053476E-2</c:v>
                </c:pt>
                <c:pt idx="5">
                  <c:v>9.0021127349297542E-2</c:v>
                </c:pt>
                <c:pt idx="6">
                  <c:v>1.4434999267229312E-2</c:v>
                </c:pt>
                <c:pt idx="7">
                  <c:v>4.4496035250283651E-2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-0.44320953513141953</c:v>
                </c:pt>
                <c:pt idx="2">
                  <c:v>-0.50520055078596937</c:v>
                </c:pt>
                <c:pt idx="3">
                  <c:v>-0.64117999007188409</c:v>
                </c:pt>
                <c:pt idx="4">
                  <c:v>-0.39383408868167263</c:v>
                </c:pt>
                <c:pt idx="5">
                  <c:v>-0.52034739633736904</c:v>
                </c:pt>
                <c:pt idx="6">
                  <c:v>-0.25857548795346308</c:v>
                </c:pt>
                <c:pt idx="7">
                  <c:v>-0.33152986308090188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-0.45286655377141971</c:v>
                </c:pt>
                <c:pt idx="2">
                  <c:v>-0.35244265167679129</c:v>
                </c:pt>
                <c:pt idx="3">
                  <c:v>-0.50739956473317127</c:v>
                </c:pt>
                <c:pt idx="4">
                  <c:v>-0.23709668904730849</c:v>
                </c:pt>
                <c:pt idx="5">
                  <c:v>-0.53890194796403579</c:v>
                </c:pt>
                <c:pt idx="6">
                  <c:v>-1.0981482728457838E-2</c:v>
                </c:pt>
                <c:pt idx="7">
                  <c:v>-0.17474285130040365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0.29576434041524707</c:v>
                </c:pt>
                <c:pt idx="2">
                  <c:v>0.24637536735679014</c:v>
                </c:pt>
                <c:pt idx="3">
                  <c:v>0.32892743718810752</c:v>
                </c:pt>
                <c:pt idx="4">
                  <c:v>0.4212127714691607</c:v>
                </c:pt>
                <c:pt idx="5">
                  <c:v>0.62225820003596433</c:v>
                </c:pt>
                <c:pt idx="6">
                  <c:v>0.27934742068923668</c:v>
                </c:pt>
                <c:pt idx="7">
                  <c:v>0.39881762458018055</c:v>
                </c:pt>
              </c:numCache>
            </c:numRef>
          </c:val>
        </c:ser>
        <c:axId val="308094848"/>
        <c:axId val="308096384"/>
      </c:barChart>
      <c:catAx>
        <c:axId val="308094848"/>
        <c:scaling>
          <c:orientation val="minMax"/>
        </c:scaling>
        <c:axPos val="b"/>
        <c:tickLblPos val="nextTo"/>
        <c:crossAx val="308096384"/>
        <c:crosses val="autoZero"/>
        <c:auto val="1"/>
        <c:lblAlgn val="ctr"/>
        <c:lblOffset val="100"/>
      </c:catAx>
      <c:valAx>
        <c:axId val="308096384"/>
        <c:scaling>
          <c:orientation val="minMax"/>
        </c:scaling>
        <c:axPos val="l"/>
        <c:majorGridlines/>
        <c:numFmt formatCode="0.0%" sourceLinked="1"/>
        <c:tickLblPos val="nextTo"/>
        <c:crossAx val="308094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54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0.56657490279252021</c:v>
                </c:pt>
                <c:pt idx="1">
                  <c:v>6.632916224754673E-2</c:v>
                </c:pt>
                <c:pt idx="2">
                  <c:v>6.4553840629437337E-2</c:v>
                </c:pt>
                <c:pt idx="3">
                  <c:v>0.10453393218903692</c:v>
                </c:pt>
                <c:pt idx="4">
                  <c:v>3.5456389804235905E-2</c:v>
                </c:pt>
                <c:pt idx="5">
                  <c:v>1.3272301620441032E-2</c:v>
                </c:pt>
                <c:pt idx="6">
                  <c:v>2.2965951298135633E-2</c:v>
                </c:pt>
                <c:pt idx="7">
                  <c:v>3.9449142615290533E-2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9.121345130850278E-3</c:v>
                </c:pt>
                <c:pt idx="1">
                  <c:v>1.8022064492296333E-2</c:v>
                </c:pt>
                <c:pt idx="2">
                  <c:v>1.9455469540789111E-2</c:v>
                </c:pt>
                <c:pt idx="3">
                  <c:v>1.3767743660231521E-2</c:v>
                </c:pt>
                <c:pt idx="4">
                  <c:v>1.2508826688232132E-2</c:v>
                </c:pt>
                <c:pt idx="5">
                  <c:v>4.419703266637133E-3</c:v>
                </c:pt>
                <c:pt idx="6">
                  <c:v>4.9277433021178881E-3</c:v>
                </c:pt>
                <c:pt idx="7">
                  <c:v>4.6414807222008442E-3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9.8212652847502468E-3</c:v>
                </c:pt>
                <c:pt idx="1">
                  <c:v>1.3879193352274902E-2</c:v>
                </c:pt>
                <c:pt idx="2">
                  <c:v>1.5739442785199814E-2</c:v>
                </c:pt>
                <c:pt idx="3">
                  <c:v>1.2761199250082997E-2</c:v>
                </c:pt>
                <c:pt idx="4">
                  <c:v>9.6193098010318931E-3</c:v>
                </c:pt>
                <c:pt idx="5">
                  <c:v>3.6716625377935797E-3</c:v>
                </c:pt>
                <c:pt idx="6">
                  <c:v>4.1428287574430782E-3</c:v>
                </c:pt>
                <c:pt idx="7">
                  <c:v>4.3068146535699264E-3</c:v>
                </c:pt>
              </c:numCache>
            </c:numRef>
          </c:val>
        </c:ser>
        <c:gapWidth val="100"/>
        <c:overlap val="100"/>
        <c:axId val="307840128"/>
        <c:axId val="307841664"/>
      </c:barChart>
      <c:catAx>
        <c:axId val="307840128"/>
        <c:scaling>
          <c:orientation val="minMax"/>
        </c:scaling>
        <c:axPos val="l"/>
        <c:numFmt formatCode="0%" sourceLinked="1"/>
        <c:tickLblPos val="nextTo"/>
        <c:crossAx val="307841664"/>
        <c:crosses val="autoZero"/>
        <c:auto val="1"/>
        <c:lblAlgn val="ctr"/>
        <c:lblOffset val="100"/>
      </c:catAx>
      <c:valAx>
        <c:axId val="307841664"/>
        <c:scaling>
          <c:orientation val="minMax"/>
        </c:scaling>
        <c:axPos val="b"/>
        <c:majorGridlines/>
        <c:numFmt formatCode="0%" sourceLinked="0"/>
        <c:tickLblPos val="nextTo"/>
        <c:crossAx val="30784012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0.5703235765335577</c:v>
                </c:pt>
                <c:pt idx="1">
                  <c:v>6.6902276501031421E-2</c:v>
                </c:pt>
                <c:pt idx="2">
                  <c:v>7.2781109975618152E-2</c:v>
                </c:pt>
                <c:pt idx="3">
                  <c:v>7.8745259110978044E-2</c:v>
                </c:pt>
                <c:pt idx="4">
                  <c:v>5.3289602851581713E-2</c:v>
                </c:pt>
                <c:pt idx="5">
                  <c:v>1.5327886260825194E-2</c:v>
                </c:pt>
                <c:pt idx="6">
                  <c:v>2.3469351934482373E-2</c:v>
                </c:pt>
                <c:pt idx="7">
                  <c:v>3.9164770631163873E-2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1.2757471197580972E-2</c:v>
                </c:pt>
                <c:pt idx="1">
                  <c:v>1.726951321127744E-2</c:v>
                </c:pt>
                <c:pt idx="2">
                  <c:v>1.8996206356270279E-2</c:v>
                </c:pt>
                <c:pt idx="3">
                  <c:v>5.8547505435997266E-3</c:v>
                </c:pt>
                <c:pt idx="4">
                  <c:v>1.1074082352280953E-2</c:v>
                </c:pt>
                <c:pt idx="5">
                  <c:v>4.397937106674122E-3</c:v>
                </c:pt>
                <c:pt idx="6">
                  <c:v>4.7804676572235777E-3</c:v>
                </c:pt>
                <c:pt idx="7">
                  <c:v>4.865737775854681E-3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1.171607794814411E-2</c:v>
                </c:pt>
                <c:pt idx="1">
                  <c:v>1.4888912518291594E-2</c:v>
                </c:pt>
                <c:pt idx="2">
                  <c:v>1.7161534344801582E-2</c:v>
                </c:pt>
                <c:pt idx="3">
                  <c:v>4.8073961600872545E-3</c:v>
                </c:pt>
                <c:pt idx="4">
                  <c:v>1.0978225797745558E-2</c:v>
                </c:pt>
                <c:pt idx="5">
                  <c:v>4.2954143600075004E-3</c:v>
                </c:pt>
                <c:pt idx="6">
                  <c:v>4.3005096305432783E-3</c:v>
                </c:pt>
                <c:pt idx="7">
                  <c:v>4.8102653253892375E-3</c:v>
                </c:pt>
              </c:numCache>
            </c:numRef>
          </c:val>
        </c:ser>
        <c:gapWidth val="100"/>
        <c:overlap val="100"/>
        <c:axId val="307867008"/>
        <c:axId val="307876992"/>
      </c:barChart>
      <c:catAx>
        <c:axId val="307867008"/>
        <c:scaling>
          <c:orientation val="minMax"/>
        </c:scaling>
        <c:axPos val="l"/>
        <c:numFmt formatCode="0%" sourceLinked="1"/>
        <c:tickLblPos val="nextTo"/>
        <c:crossAx val="307876992"/>
        <c:crosses val="autoZero"/>
        <c:auto val="1"/>
        <c:lblAlgn val="ctr"/>
        <c:lblOffset val="100"/>
      </c:catAx>
      <c:valAx>
        <c:axId val="307876992"/>
        <c:scaling>
          <c:orientation val="minMax"/>
        </c:scaling>
        <c:axPos val="b"/>
        <c:majorGridlines/>
        <c:numFmt formatCode="0%" sourceLinked="0"/>
        <c:tickLblPos val="nextTo"/>
        <c:crossAx val="307867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0.5703235765335577</c:v>
                </c:pt>
                <c:pt idx="1">
                  <c:v>6.6902276501031421E-2</c:v>
                </c:pt>
                <c:pt idx="2">
                  <c:v>7.2781109975618152E-2</c:v>
                </c:pt>
                <c:pt idx="3">
                  <c:v>7.8745259110978044E-2</c:v>
                </c:pt>
                <c:pt idx="4">
                  <c:v>5.3289602851581713E-2</c:v>
                </c:pt>
                <c:pt idx="5">
                  <c:v>1.5327886260825194E-2</c:v>
                </c:pt>
                <c:pt idx="6">
                  <c:v>2.3469351934482373E-2</c:v>
                </c:pt>
                <c:pt idx="7">
                  <c:v>3.9164770631163873E-2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1.2757471197580972E-2</c:v>
                </c:pt>
                <c:pt idx="1">
                  <c:v>1.726951321127744E-2</c:v>
                </c:pt>
                <c:pt idx="2">
                  <c:v>1.8996206356270279E-2</c:v>
                </c:pt>
                <c:pt idx="3">
                  <c:v>5.8547505435997266E-3</c:v>
                </c:pt>
                <c:pt idx="4">
                  <c:v>1.1074082352280953E-2</c:v>
                </c:pt>
                <c:pt idx="5">
                  <c:v>4.397937106674122E-3</c:v>
                </c:pt>
                <c:pt idx="6">
                  <c:v>4.7804676572235777E-3</c:v>
                </c:pt>
                <c:pt idx="7">
                  <c:v>4.865737775854681E-3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1.171607794814411E-2</c:v>
                </c:pt>
                <c:pt idx="1">
                  <c:v>1.4888912518291594E-2</c:v>
                </c:pt>
                <c:pt idx="2">
                  <c:v>1.7161534344801582E-2</c:v>
                </c:pt>
                <c:pt idx="3">
                  <c:v>4.8073961600872545E-3</c:v>
                </c:pt>
                <c:pt idx="4">
                  <c:v>1.0978225797745558E-2</c:v>
                </c:pt>
                <c:pt idx="5">
                  <c:v>4.2954143600075004E-3</c:v>
                </c:pt>
                <c:pt idx="6">
                  <c:v>4.3005096305432783E-3</c:v>
                </c:pt>
                <c:pt idx="7">
                  <c:v>4.8102653253892375E-3</c:v>
                </c:pt>
              </c:numCache>
            </c:numRef>
          </c:val>
        </c:ser>
        <c:gapWidth val="100"/>
        <c:overlap val="100"/>
        <c:axId val="316745984"/>
        <c:axId val="316751872"/>
      </c:barChart>
      <c:catAx>
        <c:axId val="316745984"/>
        <c:scaling>
          <c:orientation val="minMax"/>
        </c:scaling>
        <c:axPos val="l"/>
        <c:numFmt formatCode="0%" sourceLinked="1"/>
        <c:tickLblPos val="nextTo"/>
        <c:crossAx val="316751872"/>
        <c:crosses val="autoZero"/>
        <c:auto val="1"/>
        <c:lblAlgn val="ctr"/>
        <c:lblOffset val="100"/>
      </c:catAx>
      <c:valAx>
        <c:axId val="316751872"/>
        <c:scaling>
          <c:orientation val="minMax"/>
        </c:scaling>
        <c:axPos val="b"/>
        <c:majorGridlines/>
        <c:numFmt formatCode="0%" sourceLinked="0"/>
        <c:tickLblPos val="nextTo"/>
        <c:crossAx val="316745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0.57593815025854544</c:v>
                </c:pt>
                <c:pt idx="1">
                  <c:v>6.6661265310840601E-2</c:v>
                </c:pt>
                <c:pt idx="2">
                  <c:v>6.1590549393402555E-2</c:v>
                </c:pt>
                <c:pt idx="3">
                  <c:v>8.4402381967937784E-2</c:v>
                </c:pt>
                <c:pt idx="4">
                  <c:v>5.7787183761620883E-2</c:v>
                </c:pt>
                <c:pt idx="5">
                  <c:v>1.5744386464659525E-2</c:v>
                </c:pt>
                <c:pt idx="6">
                  <c:v>2.2991762362304439E-2</c:v>
                </c:pt>
                <c:pt idx="7">
                  <c:v>3.9394489318142795E-2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9.9978683855388439E-3</c:v>
                </c:pt>
                <c:pt idx="1">
                  <c:v>1.749250843397275E-2</c:v>
                </c:pt>
                <c:pt idx="2">
                  <c:v>1.3477490171292086E-2</c:v>
                </c:pt>
                <c:pt idx="3">
                  <c:v>1.0058231281643445E-2</c:v>
                </c:pt>
                <c:pt idx="4">
                  <c:v>9.394142024961194E-3</c:v>
                </c:pt>
                <c:pt idx="5">
                  <c:v>4.9959323402994291E-3</c:v>
                </c:pt>
                <c:pt idx="6">
                  <c:v>4.7147793063362226E-3</c:v>
                </c:pt>
                <c:pt idx="7">
                  <c:v>5.3588792185015749E-3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9.7654806012655859E-3</c:v>
                </c:pt>
                <c:pt idx="1">
                  <c:v>1.4778416573420008E-2</c:v>
                </c:pt>
                <c:pt idx="2">
                  <c:v>9.7164345146487502E-3</c:v>
                </c:pt>
                <c:pt idx="3">
                  <c:v>8.8660785418940707E-3</c:v>
                </c:pt>
                <c:pt idx="4">
                  <c:v>8.7728322670478226E-3</c:v>
                </c:pt>
                <c:pt idx="5">
                  <c:v>5.0804990474231371E-3</c:v>
                </c:pt>
                <c:pt idx="6">
                  <c:v>3.5553857541312482E-3</c:v>
                </c:pt>
                <c:pt idx="7">
                  <c:v>5.2813737033564415E-3</c:v>
                </c:pt>
              </c:numCache>
            </c:numRef>
          </c:val>
        </c:ser>
        <c:gapWidth val="100"/>
        <c:overlap val="100"/>
        <c:axId val="316785408"/>
        <c:axId val="316786944"/>
      </c:barChart>
      <c:catAx>
        <c:axId val="316785408"/>
        <c:scaling>
          <c:orientation val="minMax"/>
        </c:scaling>
        <c:axPos val="l"/>
        <c:tickLblPos val="nextTo"/>
        <c:crossAx val="316786944"/>
        <c:crosses val="autoZero"/>
        <c:auto val="1"/>
        <c:lblAlgn val="ctr"/>
        <c:lblOffset val="100"/>
      </c:catAx>
      <c:valAx>
        <c:axId val="316786944"/>
        <c:scaling>
          <c:orientation val="minMax"/>
        </c:scaling>
        <c:axPos val="b"/>
        <c:majorGridlines/>
        <c:numFmt formatCode="0%" sourceLinked="0"/>
        <c:tickLblPos val="nextTo"/>
        <c:crossAx val="316785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0.64145310121515631</c:v>
                </c:pt>
                <c:pt idx="1">
                  <c:v>6.9653819383725904E-2</c:v>
                </c:pt>
                <c:pt idx="2">
                  <c:v>6.3866473911170923E-2</c:v>
                </c:pt>
                <c:pt idx="3">
                  <c:v>7.6404320847792889E-2</c:v>
                </c:pt>
                <c:pt idx="4">
                  <c:v>2.5700844805604511E-2</c:v>
                </c:pt>
                <c:pt idx="5">
                  <c:v>1.008779690097659E-2</c:v>
                </c:pt>
                <c:pt idx="6">
                  <c:v>2.2922340738168692E-2</c:v>
                </c:pt>
                <c:pt idx="7">
                  <c:v>3.7012897712266721E-2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3.3338783663726668E-3</c:v>
                </c:pt>
                <c:pt idx="1">
                  <c:v>1.3283835086762341E-2</c:v>
                </c:pt>
                <c:pt idx="2">
                  <c:v>1.4602503442365758E-2</c:v>
                </c:pt>
                <c:pt idx="3">
                  <c:v>4.8294820281483825E-3</c:v>
                </c:pt>
                <c:pt idx="4">
                  <c:v>4.1188932119426355E-3</c:v>
                </c:pt>
                <c:pt idx="5">
                  <c:v>3.3436163512377565E-3</c:v>
                </c:pt>
                <c:pt idx="6">
                  <c:v>4.8463786159049504E-3</c:v>
                </c:pt>
                <c:pt idx="7">
                  <c:v>4.5398173824029789E-3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4.1204764841251684E-3</c:v>
                </c:pt>
                <c:pt idx="1">
                  <c:v>1.3078564272749005E-2</c:v>
                </c:pt>
                <c:pt idx="2">
                  <c:v>1.3054350181849556E-2</c:v>
                </c:pt>
                <c:pt idx="3">
                  <c:v>3.4653052323227879E-3</c:v>
                </c:pt>
                <c:pt idx="4">
                  <c:v>3.114478708297088E-3</c:v>
                </c:pt>
                <c:pt idx="5">
                  <c:v>2.4762502550263084E-3</c:v>
                </c:pt>
                <c:pt idx="6">
                  <c:v>4.5002218937102989E-3</c:v>
                </c:pt>
                <c:pt idx="7">
                  <c:v>3.6688416749711336E-3</c:v>
                </c:pt>
              </c:numCache>
            </c:numRef>
          </c:val>
        </c:ser>
        <c:gapWidth val="100"/>
        <c:overlap val="100"/>
        <c:axId val="316541952"/>
        <c:axId val="316580608"/>
      </c:barChart>
      <c:catAx>
        <c:axId val="316541952"/>
        <c:scaling>
          <c:orientation val="minMax"/>
        </c:scaling>
        <c:axPos val="l"/>
        <c:tickLblPos val="nextTo"/>
        <c:crossAx val="316580608"/>
        <c:crosses val="autoZero"/>
        <c:auto val="1"/>
        <c:lblAlgn val="ctr"/>
        <c:lblOffset val="100"/>
      </c:catAx>
      <c:valAx>
        <c:axId val="316580608"/>
        <c:scaling>
          <c:orientation val="minMax"/>
        </c:scaling>
        <c:axPos val="b"/>
        <c:majorGridlines/>
        <c:numFmt formatCode="0%" sourceLinked="0"/>
        <c:tickLblPos val="nextTo"/>
        <c:crossAx val="3165419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0.64412912284204038</c:v>
                </c:pt>
                <c:pt idx="1">
                  <c:v>7.2419561705370172E-2</c:v>
                </c:pt>
                <c:pt idx="2">
                  <c:v>6.3541253567919037E-2</c:v>
                </c:pt>
                <c:pt idx="3">
                  <c:v>7.5773156537604913E-2</c:v>
                </c:pt>
                <c:pt idx="4">
                  <c:v>2.4916047901908343E-2</c:v>
                </c:pt>
                <c:pt idx="5">
                  <c:v>9.9475546749808186E-3</c:v>
                </c:pt>
                <c:pt idx="6">
                  <c:v>2.248027460918307E-2</c:v>
                </c:pt>
                <c:pt idx="7">
                  <c:v>3.7024152653479414E-2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2.5115517993700154E-3</c:v>
                </c:pt>
                <c:pt idx="1">
                  <c:v>1.2400752204643456E-2</c:v>
                </c:pt>
                <c:pt idx="2">
                  <c:v>1.2913547634114828E-2</c:v>
                </c:pt>
                <c:pt idx="3">
                  <c:v>4.5349911139061505E-3</c:v>
                </c:pt>
                <c:pt idx="4">
                  <c:v>3.504022657771156E-3</c:v>
                </c:pt>
                <c:pt idx="5">
                  <c:v>3.3319730455219562E-3</c:v>
                </c:pt>
                <c:pt idx="6">
                  <c:v>5.591591718133105E-3</c:v>
                </c:pt>
                <c:pt idx="7">
                  <c:v>4.9804453340526536E-3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3.49492175542232E-3</c:v>
                </c:pt>
                <c:pt idx="1">
                  <c:v>1.2576338947957372E-2</c:v>
                </c:pt>
                <c:pt idx="2">
                  <c:v>1.2111575704171401E-2</c:v>
                </c:pt>
                <c:pt idx="3">
                  <c:v>3.2984725837058027E-3</c:v>
                </c:pt>
                <c:pt idx="4">
                  <c:v>2.7179920690322164E-3</c:v>
                </c:pt>
                <c:pt idx="5">
                  <c:v>2.2988467658722374E-3</c:v>
                </c:pt>
                <c:pt idx="6">
                  <c:v>5.0776990954068957E-3</c:v>
                </c:pt>
                <c:pt idx="7">
                  <c:v>4.1281493168344313E-3</c:v>
                </c:pt>
              </c:numCache>
            </c:numRef>
          </c:val>
        </c:ser>
        <c:gapWidth val="100"/>
        <c:overlap val="100"/>
        <c:axId val="316589568"/>
        <c:axId val="316591104"/>
      </c:barChart>
      <c:catAx>
        <c:axId val="316589568"/>
        <c:scaling>
          <c:orientation val="minMax"/>
        </c:scaling>
        <c:axPos val="l"/>
        <c:tickLblPos val="nextTo"/>
        <c:crossAx val="316591104"/>
        <c:crosses val="autoZero"/>
        <c:auto val="1"/>
        <c:lblAlgn val="ctr"/>
        <c:lblOffset val="100"/>
      </c:catAx>
      <c:valAx>
        <c:axId val="316591104"/>
        <c:scaling>
          <c:orientation val="minMax"/>
        </c:scaling>
        <c:axPos val="b"/>
        <c:majorGridlines/>
        <c:numFmt formatCode="0%" sourceLinked="0"/>
        <c:tickLblPos val="nextTo"/>
        <c:crossAx val="3165895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0.6014250200967417</c:v>
                </c:pt>
                <c:pt idx="1">
                  <c:v>6.1097823191227793E-2</c:v>
                </c:pt>
                <c:pt idx="2">
                  <c:v>7.8194652662564673E-2</c:v>
                </c:pt>
                <c:pt idx="3">
                  <c:v>7.6745950989545758E-2</c:v>
                </c:pt>
                <c:pt idx="4">
                  <c:v>3.4255315238604117E-2</c:v>
                </c:pt>
                <c:pt idx="5">
                  <c:v>1.3720334091612879E-2</c:v>
                </c:pt>
                <c:pt idx="6">
                  <c:v>2.363281493074678E-2</c:v>
                </c:pt>
                <c:pt idx="7">
                  <c:v>3.7879442732762045E-2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1.4193413656557019E-2</c:v>
                </c:pt>
                <c:pt idx="1">
                  <c:v>1.2442445338907829E-2</c:v>
                </c:pt>
                <c:pt idx="2">
                  <c:v>1.7647996525045534E-2</c:v>
                </c:pt>
                <c:pt idx="3">
                  <c:v>3.4603867106850345E-3</c:v>
                </c:pt>
                <c:pt idx="4">
                  <c:v>1.126207985326072E-2</c:v>
                </c:pt>
                <c:pt idx="5">
                  <c:v>5.0359344508391756E-3</c:v>
                </c:pt>
                <c:pt idx="6">
                  <c:v>4.3625993397191365E-3</c:v>
                </c:pt>
                <c:pt idx="7">
                  <c:v>4.6437901911794005E-3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1.7470493529642694E-2</c:v>
                </c:pt>
                <c:pt idx="1">
                  <c:v>1.0621924552186177E-2</c:v>
                </c:pt>
                <c:pt idx="2">
                  <c:v>1.6752898078138539E-2</c:v>
                </c:pt>
                <c:pt idx="3">
                  <c:v>2.8684093261130833E-3</c:v>
                </c:pt>
                <c:pt idx="4">
                  <c:v>8.3530999514028204E-3</c:v>
                </c:pt>
                <c:pt idx="5">
                  <c:v>4.7555202712204446E-3</c:v>
                </c:pt>
                <c:pt idx="6">
                  <c:v>4.3173236388088093E-3</c:v>
                </c:pt>
                <c:pt idx="7">
                  <c:v>3.6631739406083191E-3</c:v>
                </c:pt>
              </c:numCache>
            </c:numRef>
          </c:val>
        </c:ser>
        <c:gapWidth val="100"/>
        <c:overlap val="100"/>
        <c:axId val="316624896"/>
        <c:axId val="316626432"/>
      </c:barChart>
      <c:catAx>
        <c:axId val="316624896"/>
        <c:scaling>
          <c:orientation val="minMax"/>
        </c:scaling>
        <c:axPos val="l"/>
        <c:numFmt formatCode="0%" sourceLinked="1"/>
        <c:tickLblPos val="nextTo"/>
        <c:crossAx val="316626432"/>
        <c:crosses val="autoZero"/>
        <c:auto val="1"/>
        <c:lblAlgn val="ctr"/>
        <c:lblOffset val="100"/>
      </c:catAx>
      <c:valAx>
        <c:axId val="316626432"/>
        <c:scaling>
          <c:orientation val="minMax"/>
        </c:scaling>
        <c:axPos val="b"/>
        <c:majorGridlines/>
        <c:numFmt formatCode="0%" sourceLinked="0"/>
        <c:tickLblPos val="nextTo"/>
        <c:crossAx val="316624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0.64145310121515631</c:v>
                </c:pt>
                <c:pt idx="1">
                  <c:v>6.9653819383725904E-2</c:v>
                </c:pt>
                <c:pt idx="2">
                  <c:v>6.3866473911170923E-2</c:v>
                </c:pt>
                <c:pt idx="3">
                  <c:v>7.6404320847792889E-2</c:v>
                </c:pt>
                <c:pt idx="4">
                  <c:v>2.5700844805604511E-2</c:v>
                </c:pt>
                <c:pt idx="5">
                  <c:v>1.008779690097659E-2</c:v>
                </c:pt>
                <c:pt idx="6">
                  <c:v>2.2922340738168692E-2</c:v>
                </c:pt>
                <c:pt idx="7">
                  <c:v>3.7012897712266721E-2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3.3338783663726668E-3</c:v>
                </c:pt>
                <c:pt idx="1">
                  <c:v>1.3283835086762341E-2</c:v>
                </c:pt>
                <c:pt idx="2">
                  <c:v>1.4602503442365758E-2</c:v>
                </c:pt>
                <c:pt idx="3">
                  <c:v>4.8294820281483825E-3</c:v>
                </c:pt>
                <c:pt idx="4">
                  <c:v>4.1188932119426355E-3</c:v>
                </c:pt>
                <c:pt idx="5">
                  <c:v>3.3436163512377565E-3</c:v>
                </c:pt>
                <c:pt idx="6">
                  <c:v>4.8463786159049504E-3</c:v>
                </c:pt>
                <c:pt idx="7">
                  <c:v>4.5398173824029789E-3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4.1204764841251684E-3</c:v>
                </c:pt>
                <c:pt idx="1">
                  <c:v>1.3078564272749005E-2</c:v>
                </c:pt>
                <c:pt idx="2">
                  <c:v>1.3054350181849556E-2</c:v>
                </c:pt>
                <c:pt idx="3">
                  <c:v>3.4653052323227879E-3</c:v>
                </c:pt>
                <c:pt idx="4">
                  <c:v>3.114478708297088E-3</c:v>
                </c:pt>
                <c:pt idx="5">
                  <c:v>2.4762502550263084E-3</c:v>
                </c:pt>
                <c:pt idx="6">
                  <c:v>4.5002218937102989E-3</c:v>
                </c:pt>
                <c:pt idx="7">
                  <c:v>3.6688416749711336E-3</c:v>
                </c:pt>
              </c:numCache>
            </c:numRef>
          </c:val>
        </c:ser>
        <c:gapWidth val="100"/>
        <c:overlap val="100"/>
        <c:axId val="316639488"/>
        <c:axId val="316657664"/>
      </c:barChart>
      <c:catAx>
        <c:axId val="316639488"/>
        <c:scaling>
          <c:orientation val="minMax"/>
        </c:scaling>
        <c:axPos val="l"/>
        <c:tickLblPos val="nextTo"/>
        <c:crossAx val="316657664"/>
        <c:crosses val="autoZero"/>
        <c:auto val="1"/>
        <c:lblAlgn val="ctr"/>
        <c:lblOffset val="100"/>
      </c:catAx>
      <c:valAx>
        <c:axId val="316657664"/>
        <c:scaling>
          <c:orientation val="minMax"/>
        </c:scaling>
        <c:axPos val="b"/>
        <c:majorGridlines/>
        <c:numFmt formatCode="0%" sourceLinked="0"/>
        <c:tickLblPos val="nextTo"/>
        <c:crossAx val="3166394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0.14634128758599907</c:v>
                </c:pt>
                <c:pt idx="1">
                  <c:v>0.14295635232447462</c:v>
                </c:pt>
                <c:pt idx="2">
                  <c:v>0.22610090331447627</c:v>
                </c:pt>
                <c:pt idx="3">
                  <c:v>7.7477399564115187E-2</c:v>
                </c:pt>
                <c:pt idx="4">
                  <c:v>2.7938253609372826E-2</c:v>
                </c:pt>
                <c:pt idx="5">
                  <c:v>5.2052005383569834E-2</c:v>
                </c:pt>
                <c:pt idx="6">
                  <c:v>8.9242116827954382E-2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5.1673022677827418E-2</c:v>
                </c:pt>
                <c:pt idx="1">
                  <c:v>5.4293848193869926E-2</c:v>
                </c:pt>
                <c:pt idx="2">
                  <c:v>5.376094685185942E-2</c:v>
                </c:pt>
                <c:pt idx="3">
                  <c:v>3.5902772267688787E-2</c:v>
                </c:pt>
                <c:pt idx="4">
                  <c:v>1.3817258899069387E-2</c:v>
                </c:pt>
                <c:pt idx="5">
                  <c:v>1.3702005670890742E-2</c:v>
                </c:pt>
                <c:pt idx="6">
                  <c:v>1.4741826828831864E-2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5.358981459377038E-2</c:v>
                </c:pt>
                <c:pt idx="1">
                  <c:v>5.6549354098840571E-2</c:v>
                </c:pt>
                <c:pt idx="2">
                  <c:v>5.2267230775674356E-2</c:v>
                </c:pt>
                <c:pt idx="3">
                  <c:v>3.7871478017329999E-2</c:v>
                </c:pt>
                <c:pt idx="4">
                  <c:v>1.4435440673865915E-2</c:v>
                </c:pt>
                <c:pt idx="5">
                  <c:v>1.5878385980672149E-2</c:v>
                </c:pt>
                <c:pt idx="6">
                  <c:v>1.4944026459264625E-2</c:v>
                </c:pt>
              </c:numCache>
            </c:numRef>
          </c:val>
        </c:ser>
        <c:gapWidth val="101"/>
        <c:overlap val="100"/>
        <c:axId val="316978304"/>
        <c:axId val="316979840"/>
      </c:barChart>
      <c:catAx>
        <c:axId val="316978304"/>
        <c:scaling>
          <c:orientation val="minMax"/>
        </c:scaling>
        <c:axPos val="l"/>
        <c:tickLblPos val="nextTo"/>
        <c:crossAx val="316979840"/>
        <c:crosses val="autoZero"/>
        <c:auto val="1"/>
        <c:lblAlgn val="ctr"/>
        <c:lblOffset val="100"/>
      </c:catAx>
      <c:valAx>
        <c:axId val="316979840"/>
        <c:scaling>
          <c:orientation val="minMax"/>
        </c:scaling>
        <c:axPos val="b"/>
        <c:majorGridlines/>
        <c:numFmt formatCode="0%" sourceLinked="0"/>
        <c:tickLblPos val="nextTo"/>
        <c:crossAx val="316978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0.15259384264442535</c:v>
                </c:pt>
                <c:pt idx="1">
                  <c:v>0.16154920315461632</c:v>
                </c:pt>
                <c:pt idx="2">
                  <c:v>0.18412075104153319</c:v>
                </c:pt>
                <c:pt idx="3">
                  <c:v>0.11465409513678974</c:v>
                </c:pt>
                <c:pt idx="4">
                  <c:v>3.2539332874868862E-2</c:v>
                </c:pt>
                <c:pt idx="5">
                  <c:v>5.284293514572827E-2</c:v>
                </c:pt>
                <c:pt idx="6">
                  <c:v>9.0398532971560294E-2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4.8511477082055499E-2</c:v>
                </c:pt>
                <c:pt idx="1">
                  <c:v>5.7827834652366489E-2</c:v>
                </c:pt>
                <c:pt idx="2">
                  <c:v>1.9126800373046426E-2</c:v>
                </c:pt>
                <c:pt idx="3">
                  <c:v>4.0653215315659644E-2</c:v>
                </c:pt>
                <c:pt idx="4">
                  <c:v>1.4859035104973398E-2</c:v>
                </c:pt>
                <c:pt idx="5">
                  <c:v>1.4982416719492964E-2</c:v>
                </c:pt>
                <c:pt idx="6">
                  <c:v>1.534052778288332E-2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5.0249529495056316E-2</c:v>
                </c:pt>
                <c:pt idx="1">
                  <c:v>6.2306220847356375E-2</c:v>
                </c:pt>
                <c:pt idx="2">
                  <c:v>1.9606516425178411E-2</c:v>
                </c:pt>
                <c:pt idx="3">
                  <c:v>4.3020239860782794E-2</c:v>
                </c:pt>
                <c:pt idx="4">
                  <c:v>1.4975416132868402E-2</c:v>
                </c:pt>
                <c:pt idx="5">
                  <c:v>1.5090264858399982E-2</c:v>
                </c:pt>
                <c:pt idx="6">
                  <c:v>1.6332414439460721E-2</c:v>
                </c:pt>
              </c:numCache>
            </c:numRef>
          </c:val>
        </c:ser>
        <c:gapWidth val="101"/>
        <c:overlap val="100"/>
        <c:axId val="316996992"/>
        <c:axId val="316814464"/>
      </c:barChart>
      <c:catAx>
        <c:axId val="316996992"/>
        <c:scaling>
          <c:orientation val="minMax"/>
        </c:scaling>
        <c:axPos val="l"/>
        <c:tickLblPos val="nextTo"/>
        <c:crossAx val="316814464"/>
        <c:crosses val="autoZero"/>
        <c:auto val="1"/>
        <c:lblAlgn val="ctr"/>
        <c:lblOffset val="100"/>
      </c:catAx>
      <c:valAx>
        <c:axId val="316814464"/>
        <c:scaling>
          <c:orientation val="minMax"/>
        </c:scaling>
        <c:axPos val="b"/>
        <c:majorGridlines/>
        <c:numFmt formatCode="0%" sourceLinked="0"/>
        <c:tickLblPos val="nextTo"/>
        <c:crossAx val="316996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0.15199905216458534</c:v>
                </c:pt>
                <c:pt idx="1">
                  <c:v>0.19607906811286072</c:v>
                </c:pt>
                <c:pt idx="2">
                  <c:v>0.1931510876705694</c:v>
                </c:pt>
                <c:pt idx="3">
                  <c:v>8.0723982422374815E-2</c:v>
                </c:pt>
                <c:pt idx="4">
                  <c:v>3.2690521993272416E-2</c:v>
                </c:pt>
                <c:pt idx="5">
                  <c:v>5.7333604301676895E-2</c:v>
                </c:pt>
                <c:pt idx="6">
                  <c:v>9.575829634822311E-2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3.9378254358347242E-2</c:v>
                </c:pt>
                <c:pt idx="1">
                  <c:v>5.1852404401862145E-2</c:v>
                </c:pt>
                <c:pt idx="2">
                  <c:v>1.6274587526159678E-2</c:v>
                </c:pt>
                <c:pt idx="3">
                  <c:v>3.7682235477012285E-2</c:v>
                </c:pt>
                <c:pt idx="4">
                  <c:v>1.6226810115688335E-2</c:v>
                </c:pt>
                <c:pt idx="5">
                  <c:v>1.5665465123237514E-2</c:v>
                </c:pt>
                <c:pt idx="6">
                  <c:v>1.5184629984129949E-2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4.1409045457481808E-2</c:v>
                </c:pt>
                <c:pt idx="1">
                  <c:v>5.5267259398025403E-2</c:v>
                </c:pt>
                <c:pt idx="2">
                  <c:v>1.8871294890364293E-2</c:v>
                </c:pt>
                <c:pt idx="3">
                  <c:v>3.4301847509739747E-2</c:v>
                </c:pt>
                <c:pt idx="4">
                  <c:v>1.6826122059310514E-2</c:v>
                </c:pt>
                <c:pt idx="5">
                  <c:v>1.6260032903630844E-2</c:v>
                </c:pt>
                <c:pt idx="6">
                  <c:v>1.5781091447575918E-2</c:v>
                </c:pt>
              </c:numCache>
            </c:numRef>
          </c:val>
        </c:ser>
        <c:gapWidth val="101"/>
        <c:overlap val="100"/>
        <c:axId val="316848000"/>
        <c:axId val="316849536"/>
      </c:barChart>
      <c:catAx>
        <c:axId val="316848000"/>
        <c:scaling>
          <c:orientation val="minMax"/>
        </c:scaling>
        <c:axPos val="l"/>
        <c:tickLblPos val="nextTo"/>
        <c:crossAx val="316849536"/>
        <c:crosses val="autoZero"/>
        <c:auto val="1"/>
        <c:lblAlgn val="ctr"/>
        <c:lblOffset val="100"/>
      </c:catAx>
      <c:valAx>
        <c:axId val="316849536"/>
        <c:scaling>
          <c:orientation val="minMax"/>
        </c:scaling>
        <c:axPos val="b"/>
        <c:majorGridlines/>
        <c:numFmt formatCode="0%" sourceLinked="0"/>
        <c:tickLblPos val="nextTo"/>
        <c:crossAx val="3168480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0.15100198296733824</c:v>
                </c:pt>
                <c:pt idx="1">
                  <c:v>0.14077806866127626</c:v>
                </c:pt>
                <c:pt idx="2">
                  <c:v>0.19539899594390558</c:v>
                </c:pt>
                <c:pt idx="3">
                  <c:v>0.12745777243240128</c:v>
                </c:pt>
                <c:pt idx="4">
                  <c:v>3.379785117584435E-2</c:v>
                </c:pt>
                <c:pt idx="5">
                  <c:v>5.3433982205444402E-2</c:v>
                </c:pt>
                <c:pt idx="6">
                  <c:v>9.1993699345545465E-2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5.1341096696076061E-2</c:v>
                </c:pt>
                <c:pt idx="1">
                  <c:v>4.0100198829218087E-2</c:v>
                </c:pt>
                <c:pt idx="2">
                  <c:v>3.3189464527110718E-2</c:v>
                </c:pt>
                <c:pt idx="3">
                  <c:v>3.5482503282407707E-2</c:v>
                </c:pt>
                <c:pt idx="4">
                  <c:v>1.6360266480085366E-2</c:v>
                </c:pt>
                <c:pt idx="5">
                  <c:v>1.3461801045109481E-2</c:v>
                </c:pt>
                <c:pt idx="6">
                  <c:v>1.6202316408236647E-2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5.2516027061541737E-2</c:v>
                </c:pt>
                <c:pt idx="1">
                  <c:v>4.1346216445739215E-2</c:v>
                </c:pt>
                <c:pt idx="2">
                  <c:v>3.4463595643564132E-2</c:v>
                </c:pt>
                <c:pt idx="3">
                  <c:v>3.5978815796049474E-2</c:v>
                </c:pt>
                <c:pt idx="4">
                  <c:v>1.5972006954103099E-2</c:v>
                </c:pt>
                <c:pt idx="5">
                  <c:v>1.6127525375424986E-2</c:v>
                </c:pt>
                <c:pt idx="6">
                  <c:v>1.6356368130656593E-2</c:v>
                </c:pt>
              </c:numCache>
            </c:numRef>
          </c:val>
        </c:ser>
        <c:gapWidth val="100"/>
        <c:overlap val="100"/>
        <c:axId val="317018496"/>
        <c:axId val="317020032"/>
      </c:barChart>
      <c:catAx>
        <c:axId val="317018496"/>
        <c:scaling>
          <c:orientation val="minMax"/>
        </c:scaling>
        <c:axPos val="l"/>
        <c:tickLblPos val="nextTo"/>
        <c:crossAx val="317020032"/>
        <c:crosses val="autoZero"/>
        <c:auto val="1"/>
        <c:lblAlgn val="ctr"/>
        <c:lblOffset val="100"/>
      </c:catAx>
      <c:valAx>
        <c:axId val="317020032"/>
        <c:scaling>
          <c:orientation val="minMax"/>
        </c:scaling>
        <c:axPos val="b"/>
        <c:majorGridlines/>
        <c:numFmt formatCode="0%" sourceLinked="0"/>
        <c:tickLblPos val="nextTo"/>
        <c:crossAx val="3170184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0.17930713591435618</c:v>
                </c:pt>
                <c:pt idx="1">
                  <c:v>0.16868660212310901</c:v>
                </c:pt>
                <c:pt idx="2">
                  <c:v>0.21160011799336398</c:v>
                </c:pt>
                <c:pt idx="3">
                  <c:v>6.9782403698338935E-2</c:v>
                </c:pt>
                <c:pt idx="4">
                  <c:v>2.6949301258585964E-2</c:v>
                </c:pt>
                <c:pt idx="5">
                  <c:v>6.0725724267837046E-2</c:v>
                </c:pt>
                <c:pt idx="6">
                  <c:v>0.10126396432819662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5.403586549651504E-2</c:v>
                </c:pt>
                <c:pt idx="1">
                  <c:v>5.2205268359234946E-2</c:v>
                </c:pt>
                <c:pt idx="2">
                  <c:v>1.7163909129091465E-2</c:v>
                </c:pt>
                <c:pt idx="3">
                  <c:v>1.4215974988739638E-2</c:v>
                </c:pt>
                <c:pt idx="4">
                  <c:v>1.0871999116091154E-2</c:v>
                </c:pt>
                <c:pt idx="5">
                  <c:v>1.7456957793739077E-2</c:v>
                </c:pt>
                <c:pt idx="6">
                  <c:v>1.5734775532800616E-2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5.128298192968106E-2</c:v>
                </c:pt>
                <c:pt idx="1">
                  <c:v>5.0449344440111482E-2</c:v>
                </c:pt>
                <c:pt idx="2">
                  <c:v>1.830160487600449E-2</c:v>
                </c:pt>
                <c:pt idx="3">
                  <c:v>1.5825191732825844E-2</c:v>
                </c:pt>
                <c:pt idx="4">
                  <c:v>1.227568215955737E-2</c:v>
                </c:pt>
                <c:pt idx="5">
                  <c:v>1.9274402806669103E-2</c:v>
                </c:pt>
                <c:pt idx="6">
                  <c:v>1.7904822843625601E-2</c:v>
                </c:pt>
              </c:numCache>
            </c:numRef>
          </c:val>
        </c:ser>
        <c:gapWidth val="100"/>
        <c:overlap val="100"/>
        <c:axId val="317057664"/>
        <c:axId val="317079936"/>
      </c:barChart>
      <c:catAx>
        <c:axId val="317057664"/>
        <c:scaling>
          <c:orientation val="minMax"/>
        </c:scaling>
        <c:axPos val="l"/>
        <c:tickLblPos val="nextTo"/>
        <c:crossAx val="317079936"/>
        <c:crosses val="autoZero"/>
        <c:auto val="1"/>
        <c:lblAlgn val="ctr"/>
        <c:lblOffset val="100"/>
      </c:catAx>
      <c:valAx>
        <c:axId val="317079936"/>
        <c:scaling>
          <c:orientation val="minMax"/>
        </c:scaling>
        <c:axPos val="b"/>
        <c:majorGridlines/>
        <c:numFmt formatCode="0%" sourceLinked="0"/>
        <c:tickLblPos val="nextTo"/>
        <c:crossAx val="3170576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0.15259384264442535</c:v>
                </c:pt>
                <c:pt idx="1">
                  <c:v>0.16154920315461632</c:v>
                </c:pt>
                <c:pt idx="2">
                  <c:v>0.18412075104153319</c:v>
                </c:pt>
                <c:pt idx="3">
                  <c:v>0.11465409513678974</c:v>
                </c:pt>
                <c:pt idx="4">
                  <c:v>3.2539332874868862E-2</c:v>
                </c:pt>
                <c:pt idx="5">
                  <c:v>5.284293514572827E-2</c:v>
                </c:pt>
                <c:pt idx="6">
                  <c:v>9.0398532971560294E-2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4.8511477082055499E-2</c:v>
                </c:pt>
                <c:pt idx="1">
                  <c:v>5.7827834652366489E-2</c:v>
                </c:pt>
                <c:pt idx="2">
                  <c:v>1.9126800373046426E-2</c:v>
                </c:pt>
                <c:pt idx="3">
                  <c:v>4.0653215315659644E-2</c:v>
                </c:pt>
                <c:pt idx="4">
                  <c:v>1.4859035104973398E-2</c:v>
                </c:pt>
                <c:pt idx="5">
                  <c:v>1.4982416719492964E-2</c:v>
                </c:pt>
                <c:pt idx="6">
                  <c:v>1.534052778288332E-2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5.0249529495056316E-2</c:v>
                </c:pt>
                <c:pt idx="1">
                  <c:v>6.2306220847356375E-2</c:v>
                </c:pt>
                <c:pt idx="2">
                  <c:v>1.9606516425178411E-2</c:v>
                </c:pt>
                <c:pt idx="3">
                  <c:v>4.3020239860782794E-2</c:v>
                </c:pt>
                <c:pt idx="4">
                  <c:v>1.4975416132868402E-2</c:v>
                </c:pt>
                <c:pt idx="5">
                  <c:v>1.5090264858399982E-2</c:v>
                </c:pt>
                <c:pt idx="6">
                  <c:v>1.6332414439460721E-2</c:v>
                </c:pt>
              </c:numCache>
            </c:numRef>
          </c:val>
        </c:ser>
        <c:gapWidth val="100"/>
        <c:overlap val="100"/>
        <c:axId val="317097088"/>
        <c:axId val="317098624"/>
      </c:barChart>
      <c:catAx>
        <c:axId val="317097088"/>
        <c:scaling>
          <c:orientation val="minMax"/>
        </c:scaling>
        <c:axPos val="l"/>
        <c:tickLblPos val="nextTo"/>
        <c:crossAx val="317098624"/>
        <c:crosses val="autoZero"/>
        <c:auto val="1"/>
        <c:lblAlgn val="ctr"/>
        <c:lblOffset val="100"/>
      </c:catAx>
      <c:valAx>
        <c:axId val="317098624"/>
        <c:scaling>
          <c:orientation val="minMax"/>
        </c:scaling>
        <c:axPos val="b"/>
        <c:majorGridlines/>
        <c:numFmt formatCode="0%" sourceLinked="0"/>
        <c:tickLblPos val="nextTo"/>
        <c:crossAx val="3170970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0.20110531972648085</c:v>
                </c:pt>
                <c:pt idx="1">
                  <c:v>0.21937703780698281</c:v>
                </c:pt>
                <c:pt idx="2">
                  <c:v>0.20324755141457962</c:v>
                </c:pt>
                <c:pt idx="3">
                  <c:v>0.15530731045244939</c:v>
                </c:pt>
                <c:pt idx="4">
                  <c:v>4.739836797984226E-2</c:v>
                </c:pt>
                <c:pt idx="5">
                  <c:v>6.7825351865221234E-2</c:v>
                </c:pt>
                <c:pt idx="6">
                  <c:v>0.10573906075444361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0.17930713591435618</c:v>
                </c:pt>
                <c:pt idx="1">
                  <c:v>0.16868660212310901</c:v>
                </c:pt>
                <c:pt idx="2">
                  <c:v>0.21160011799336398</c:v>
                </c:pt>
                <c:pt idx="3">
                  <c:v>6.9782403698338935E-2</c:v>
                </c:pt>
                <c:pt idx="4">
                  <c:v>2.6949301258585964E-2</c:v>
                </c:pt>
                <c:pt idx="5">
                  <c:v>6.0725724267837046E-2</c:v>
                </c:pt>
                <c:pt idx="6">
                  <c:v>0.10126396432819662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5.403586549651504E-2</c:v>
                </c:pt>
                <c:pt idx="1">
                  <c:v>5.2205268359234946E-2</c:v>
                </c:pt>
                <c:pt idx="2">
                  <c:v>1.7163909129091465E-2</c:v>
                </c:pt>
                <c:pt idx="3">
                  <c:v>1.4215974988739638E-2</c:v>
                </c:pt>
                <c:pt idx="4">
                  <c:v>1.0871999116091154E-2</c:v>
                </c:pt>
                <c:pt idx="5">
                  <c:v>1.7456957793739077E-2</c:v>
                </c:pt>
                <c:pt idx="6">
                  <c:v>1.5734775532800616E-2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5.128298192968106E-2</c:v>
                </c:pt>
                <c:pt idx="1">
                  <c:v>5.0449344440111482E-2</c:v>
                </c:pt>
                <c:pt idx="2">
                  <c:v>1.830160487600449E-2</c:v>
                </c:pt>
                <c:pt idx="3">
                  <c:v>1.5825191732825844E-2</c:v>
                </c:pt>
                <c:pt idx="4">
                  <c:v>1.227568215955737E-2</c:v>
                </c:pt>
                <c:pt idx="5">
                  <c:v>1.9274402806669103E-2</c:v>
                </c:pt>
                <c:pt idx="6">
                  <c:v>1.7904822843625601E-2</c:v>
                </c:pt>
              </c:numCache>
            </c:numRef>
          </c:val>
        </c:ser>
        <c:gapWidth val="100"/>
        <c:overlap val="100"/>
        <c:axId val="317201792"/>
        <c:axId val="317215872"/>
      </c:barChart>
      <c:catAx>
        <c:axId val="317201792"/>
        <c:scaling>
          <c:orientation val="minMax"/>
        </c:scaling>
        <c:axPos val="l"/>
        <c:tickLblPos val="nextTo"/>
        <c:crossAx val="317215872"/>
        <c:crosses val="autoZero"/>
        <c:auto val="1"/>
        <c:lblAlgn val="ctr"/>
        <c:lblOffset val="100"/>
      </c:catAx>
      <c:valAx>
        <c:axId val="317215872"/>
        <c:scaling>
          <c:orientation val="minMax"/>
        </c:scaling>
        <c:axPos val="b"/>
        <c:majorGridlines/>
        <c:numFmt formatCode="0%" sourceLinked="0"/>
        <c:tickLblPos val="nextTo"/>
        <c:crossAx val="3172017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327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0.1871635020732087</c:v>
                </c:pt>
                <c:pt idx="1">
                  <c:v>0.16634559159547058</c:v>
                </c:pt>
                <c:pt idx="2">
                  <c:v>0.21061309133676043</c:v>
                </c:pt>
                <c:pt idx="3">
                  <c:v>6.807782319280592E-2</c:v>
                </c:pt>
                <c:pt idx="4">
                  <c:v>2.5568960024054642E-2</c:v>
                </c:pt>
                <c:pt idx="5">
                  <c:v>6.0139282630802697E-2</c:v>
                </c:pt>
                <c:pt idx="6">
                  <c:v>0.10017198873334118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5.2808211211522238E-2</c:v>
                </c:pt>
                <c:pt idx="1">
                  <c:v>4.9985348484584996E-2</c:v>
                </c:pt>
                <c:pt idx="2">
                  <c:v>1.6717448799218687E-2</c:v>
                </c:pt>
                <c:pt idx="3">
                  <c:v>1.2366208990238922E-2</c:v>
                </c:pt>
                <c:pt idx="4">
                  <c:v>1.2041667232974833E-2</c:v>
                </c:pt>
                <c:pt idx="5">
                  <c:v>1.9285140229530463E-2</c:v>
                </c:pt>
                <c:pt idx="6">
                  <c:v>1.8715735465484606E-2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4.9867616692054473E-2</c:v>
                </c:pt>
                <c:pt idx="1">
                  <c:v>5.0236231329991582E-2</c:v>
                </c:pt>
                <c:pt idx="2">
                  <c:v>2.0288019395779816E-2</c:v>
                </c:pt>
                <c:pt idx="3">
                  <c:v>1.2483556292183132E-2</c:v>
                </c:pt>
                <c:pt idx="4">
                  <c:v>1.3510728769080549E-2</c:v>
                </c:pt>
                <c:pt idx="5">
                  <c:v>2.1244635760784281E-2</c:v>
                </c:pt>
                <c:pt idx="6">
                  <c:v>1.9384562447527981E-2</c:v>
                </c:pt>
              </c:numCache>
            </c:numRef>
          </c:val>
        </c:ser>
        <c:gapWidth val="100"/>
        <c:overlap val="100"/>
        <c:axId val="317237120"/>
        <c:axId val="317238656"/>
      </c:barChart>
      <c:catAx>
        <c:axId val="317237120"/>
        <c:scaling>
          <c:orientation val="minMax"/>
        </c:scaling>
        <c:axPos val="l"/>
        <c:tickLblPos val="nextTo"/>
        <c:crossAx val="317238656"/>
        <c:crosses val="autoZero"/>
        <c:auto val="1"/>
        <c:lblAlgn val="ctr"/>
        <c:lblOffset val="100"/>
      </c:catAx>
      <c:valAx>
        <c:axId val="317238656"/>
        <c:scaling>
          <c:orientation val="minMax"/>
        </c:scaling>
        <c:axPos val="b"/>
        <c:majorGridlines/>
        <c:numFmt formatCode="0%" sourceLinked="0"/>
        <c:tickLblPos val="nextTo"/>
        <c:crossAx val="317237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703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5966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0.5703235765335577</c:v>
                </c:pt>
                <c:pt idx="1">
                  <c:v>6.6902276501031421E-2</c:v>
                </c:pt>
                <c:pt idx="2">
                  <c:v>7.2781109975618152E-2</c:v>
                </c:pt>
                <c:pt idx="3">
                  <c:v>7.8745259110978044E-2</c:v>
                </c:pt>
                <c:pt idx="4">
                  <c:v>5.3289602851581713E-2</c:v>
                </c:pt>
                <c:pt idx="5">
                  <c:v>1.5327886260825194E-2</c:v>
                </c:pt>
                <c:pt idx="6">
                  <c:v>2.3469351934482373E-2</c:v>
                </c:pt>
                <c:pt idx="7">
                  <c:v>3.9164770631163873E-2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1.2757471197580972E-2</c:v>
                </c:pt>
                <c:pt idx="1">
                  <c:v>1.726951321127744E-2</c:v>
                </c:pt>
                <c:pt idx="2">
                  <c:v>1.8996206356270279E-2</c:v>
                </c:pt>
                <c:pt idx="3">
                  <c:v>5.8547505435997266E-3</c:v>
                </c:pt>
                <c:pt idx="4">
                  <c:v>1.1074082352280953E-2</c:v>
                </c:pt>
                <c:pt idx="5">
                  <c:v>4.397937106674122E-3</c:v>
                </c:pt>
                <c:pt idx="6">
                  <c:v>4.7804676572235777E-3</c:v>
                </c:pt>
                <c:pt idx="7">
                  <c:v>4.865737775854681E-3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1.171607794814411E-2</c:v>
                </c:pt>
                <c:pt idx="1">
                  <c:v>1.4888912518291594E-2</c:v>
                </c:pt>
                <c:pt idx="2">
                  <c:v>1.7161534344801582E-2</c:v>
                </c:pt>
                <c:pt idx="3">
                  <c:v>4.8073961600872545E-3</c:v>
                </c:pt>
                <c:pt idx="4">
                  <c:v>1.0978225797745558E-2</c:v>
                </c:pt>
                <c:pt idx="5">
                  <c:v>4.2954143600075004E-3</c:v>
                </c:pt>
                <c:pt idx="6">
                  <c:v>4.3005096305432783E-3</c:v>
                </c:pt>
                <c:pt idx="7">
                  <c:v>4.8102653253892375E-3</c:v>
                </c:pt>
              </c:numCache>
            </c:numRef>
          </c:val>
        </c:ser>
        <c:overlap val="100"/>
        <c:axId val="317289984"/>
        <c:axId val="31729190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marker val="1"/>
        <c:axId val="317289984"/>
        <c:axId val="317291904"/>
      </c:lineChart>
      <c:catAx>
        <c:axId val="317289984"/>
        <c:scaling>
          <c:orientation val="minMax"/>
        </c:scaling>
        <c:axPos val="b"/>
        <c:tickLblPos val="nextTo"/>
        <c:crossAx val="317291904"/>
        <c:crosses val="autoZero"/>
        <c:auto val="1"/>
        <c:lblAlgn val="ctr"/>
        <c:lblOffset val="100"/>
      </c:catAx>
      <c:valAx>
        <c:axId val="317291904"/>
        <c:scaling>
          <c:orientation val="minMax"/>
        </c:scaling>
        <c:axPos val="l"/>
        <c:majorGridlines/>
        <c:numFmt formatCode="0%" sourceLinked="0"/>
        <c:tickLblPos val="nextTo"/>
        <c:crossAx val="3172899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45"/>
          <c:w val="0.5562682138416909"/>
          <c:h val="0.69258218413304751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0.58308104773113867</c:v>
                </c:pt>
                <c:pt idx="1">
                  <c:v>8.4171789712308862E-2</c:v>
                </c:pt>
                <c:pt idx="2">
                  <c:v>9.1777316331888431E-2</c:v>
                </c:pt>
                <c:pt idx="3">
                  <c:v>8.4600009654577771E-2</c:v>
                </c:pt>
                <c:pt idx="4">
                  <c:v>6.4363685203862667E-2</c:v>
                </c:pt>
                <c:pt idx="5">
                  <c:v>1.9725823367499316E-2</c:v>
                </c:pt>
                <c:pt idx="6">
                  <c:v>2.8249819591705951E-2</c:v>
                </c:pt>
                <c:pt idx="7">
                  <c:v>4.4030508407018554E-2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IC'!$D$195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IC'!$D$196:$D$203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IC'!$E$195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IC'!$E$196:$E$203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17499264"/>
        <c:axId val="317500800"/>
      </c:barChart>
      <c:catAx>
        <c:axId val="317499264"/>
        <c:scaling>
          <c:orientation val="minMax"/>
        </c:scaling>
        <c:axPos val="l"/>
        <c:tickLblPos val="nextTo"/>
        <c:crossAx val="317500800"/>
        <c:crosses val="autoZero"/>
        <c:auto val="1"/>
        <c:lblAlgn val="ctr"/>
        <c:lblOffset val="100"/>
      </c:catAx>
      <c:valAx>
        <c:axId val="317500800"/>
        <c:scaling>
          <c:orientation val="minMax"/>
        </c:scaling>
        <c:axPos val="b"/>
        <c:majorGridlines/>
        <c:numFmt formatCode="0.0%" sourceLinked="1"/>
        <c:tickLblPos val="nextTo"/>
        <c:crossAx val="31749926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167"/>
          <c:y val="2.2888685473957188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"/>
          <c:y val="5.1400554097404488E-2"/>
          <c:w val="0.82164348206474835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62E-3"/>
                  <c:y val="-2.0934752710929142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67E-2"/>
                  <c:y val="-5.7823089876890756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15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276E-3"/>
                  <c:y val="-6.8002196299113589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137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412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914E-3"/>
                  <c:y val="2.8709188524677732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3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4045E-3"/>
                  <c:y val="-1.153079732966713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yVal>
        </c:ser>
        <c:axId val="317590144"/>
        <c:axId val="317620992"/>
      </c:scatterChart>
      <c:valAx>
        <c:axId val="31759014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295"/>
              <c:y val="0.9143162960411767"/>
            </c:manualLayout>
          </c:layout>
        </c:title>
        <c:numFmt formatCode="0%" sourceLinked="0"/>
        <c:tickLblPos val="nextTo"/>
        <c:crossAx val="317620992"/>
        <c:crossesAt val="-4.0000000000000022E-2"/>
        <c:crossBetween val="midCat"/>
      </c:valAx>
      <c:valAx>
        <c:axId val="317620992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</c:title>
        <c:numFmt formatCode="0%" sourceLinked="0"/>
        <c:tickLblPos val="nextTo"/>
        <c:crossAx val="317590144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66E-2"/>
          <c:h val="8.2778823388199904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IC'!$H$195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IC'!$H$196:$H$203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IC'!$I$195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axId val="317661952"/>
        <c:axId val="317663488"/>
      </c:barChart>
      <c:catAx>
        <c:axId val="317661952"/>
        <c:scaling>
          <c:orientation val="minMax"/>
        </c:scaling>
        <c:axPos val="l"/>
        <c:tickLblPos val="none"/>
        <c:crossAx val="317663488"/>
        <c:crosses val="autoZero"/>
        <c:auto val="1"/>
        <c:lblAlgn val="ctr"/>
        <c:lblOffset val="100"/>
      </c:catAx>
      <c:valAx>
        <c:axId val="317663488"/>
        <c:scaling>
          <c:orientation val="minMax"/>
        </c:scaling>
        <c:axPos val="b"/>
        <c:majorGridlines/>
        <c:numFmt formatCode="0.0%" sourceLinked="1"/>
        <c:tickLblPos val="nextTo"/>
        <c:crossAx val="317661952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IC'!$K$195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IC'!$K$196:$K$203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-0.29522023448510448</c:v>
                </c:pt>
                <c:pt idx="2">
                  <c:v>6.9162591375635629E-2</c:v>
                </c:pt>
                <c:pt idx="3">
                  <c:v>-0.20416543288383174</c:v>
                </c:pt>
                <c:pt idx="4">
                  <c:v>-0.15003557868125147</c:v>
                </c:pt>
                <c:pt idx="5">
                  <c:v>-0.10901166161223171</c:v>
                </c:pt>
                <c:pt idx="6">
                  <c:v>-0.43789862932231632</c:v>
                </c:pt>
                <c:pt idx="7">
                  <c:v>-0.29750670106956317</c:v>
                </c:pt>
              </c:numCache>
            </c:numRef>
          </c:val>
        </c:ser>
        <c:ser>
          <c:idx val="1"/>
          <c:order val="1"/>
          <c:tx>
            <c:strRef>
              <c:f>'output IC'!$L$195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IC'!$L$196:$L$203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0.10851682517672166</c:v>
                </c:pt>
                <c:pt idx="2">
                  <c:v>0.17570249189229437</c:v>
                </c:pt>
                <c:pt idx="3">
                  <c:v>-0.1193105555867558</c:v>
                </c:pt>
                <c:pt idx="4">
                  <c:v>0.24833089811040349</c:v>
                </c:pt>
                <c:pt idx="5">
                  <c:v>0.25334215076453065</c:v>
                </c:pt>
                <c:pt idx="6">
                  <c:v>0.10729121331967023</c:v>
                </c:pt>
                <c:pt idx="7">
                  <c:v>8.0029621795193684E-2</c:v>
                </c:pt>
              </c:numCache>
            </c:numRef>
          </c:val>
        </c:ser>
        <c:axId val="317688832"/>
        <c:axId val="317698816"/>
      </c:barChart>
      <c:catAx>
        <c:axId val="317688832"/>
        <c:scaling>
          <c:orientation val="minMax"/>
        </c:scaling>
        <c:axPos val="l"/>
        <c:tickLblPos val="high"/>
        <c:crossAx val="317698816"/>
        <c:crosses val="autoZero"/>
        <c:auto val="1"/>
        <c:lblAlgn val="ctr"/>
        <c:lblOffset val="100"/>
      </c:catAx>
      <c:valAx>
        <c:axId val="317698816"/>
        <c:scaling>
          <c:orientation val="minMax"/>
        </c:scaling>
        <c:axPos val="b"/>
        <c:majorGridlines/>
        <c:numFmt formatCode="#,##0.00_ ;\-#,##0.00\ " sourceLinked="1"/>
        <c:tickLblPos val="nextTo"/>
        <c:crossAx val="31768883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48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0.15259384264442535</c:v>
                </c:pt>
                <c:pt idx="1">
                  <c:v>0.16154920315461632</c:v>
                </c:pt>
                <c:pt idx="2">
                  <c:v>0.18412075104153319</c:v>
                </c:pt>
                <c:pt idx="3">
                  <c:v>0.11465409513678974</c:v>
                </c:pt>
                <c:pt idx="4">
                  <c:v>3.2539332874868862E-2</c:v>
                </c:pt>
                <c:pt idx="5">
                  <c:v>5.284293514572827E-2</c:v>
                </c:pt>
                <c:pt idx="6">
                  <c:v>9.0398532971560294E-2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4.8511477082055499E-2</c:v>
                </c:pt>
                <c:pt idx="1">
                  <c:v>5.7827834652366489E-2</c:v>
                </c:pt>
                <c:pt idx="2">
                  <c:v>1.9126800373046426E-2</c:v>
                </c:pt>
                <c:pt idx="3">
                  <c:v>4.0653215315659644E-2</c:v>
                </c:pt>
                <c:pt idx="4">
                  <c:v>1.4859035104973398E-2</c:v>
                </c:pt>
                <c:pt idx="5">
                  <c:v>1.4982416719492964E-2</c:v>
                </c:pt>
                <c:pt idx="6">
                  <c:v>1.534052778288332E-2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5.0249529495056316E-2</c:v>
                </c:pt>
                <c:pt idx="1">
                  <c:v>6.2306220847356375E-2</c:v>
                </c:pt>
                <c:pt idx="2">
                  <c:v>1.9606516425178411E-2</c:v>
                </c:pt>
                <c:pt idx="3">
                  <c:v>4.3020239860782794E-2</c:v>
                </c:pt>
                <c:pt idx="4">
                  <c:v>1.4975416132868402E-2</c:v>
                </c:pt>
                <c:pt idx="5">
                  <c:v>1.5090264858399982E-2</c:v>
                </c:pt>
                <c:pt idx="6">
                  <c:v>1.6332414439460721E-2</c:v>
                </c:pt>
              </c:numCache>
            </c:numRef>
          </c:val>
        </c:ser>
        <c:overlap val="100"/>
        <c:axId val="317741696"/>
        <c:axId val="31775616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0.2205025014778812</c:v>
                </c:pt>
                <c:pt idx="1">
                  <c:v>0.21653123239332159</c:v>
                </c:pt>
                <c:pt idx="2">
                  <c:v>0.23862540330091181</c:v>
                </c:pt>
                <c:pt idx="3">
                  <c:v>0.11107521491396176</c:v>
                </c:pt>
                <c:pt idx="4">
                  <c:v>4.2189746333654299E-2</c:v>
                </c:pt>
                <c:pt idx="5">
                  <c:v>7.0091441155144513E-2</c:v>
                </c:pt>
                <c:pt idx="6">
                  <c:v>0.10098446042512488</c:v>
                </c:pt>
              </c:numCache>
            </c:numRef>
          </c:val>
        </c:ser>
        <c:marker val="1"/>
        <c:axId val="317741696"/>
        <c:axId val="317756160"/>
      </c:lineChart>
      <c:catAx>
        <c:axId val="317741696"/>
        <c:scaling>
          <c:orientation val="minMax"/>
        </c:scaling>
        <c:axPos val="b"/>
        <c:numFmt formatCode="General" sourceLinked="1"/>
        <c:tickLblPos val="nextTo"/>
        <c:crossAx val="317756160"/>
        <c:crosses val="autoZero"/>
        <c:auto val="1"/>
        <c:lblAlgn val="ctr"/>
        <c:lblOffset val="100"/>
      </c:catAx>
      <c:valAx>
        <c:axId val="317756160"/>
        <c:scaling>
          <c:orientation val="minMax"/>
        </c:scaling>
        <c:axPos val="l"/>
        <c:majorGridlines/>
        <c:numFmt formatCode="0%" sourceLinked="0"/>
        <c:tickLblPos val="nextTo"/>
        <c:crossAx val="3177416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6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"/>
          <c:y val="5.1400554097404488E-2"/>
          <c:w val="0.82164348206474835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IC'!$J$196:$J$203</c:f>
              <c:numCache>
                <c:formatCode>0.0%</c:formatCode>
                <c:ptCount val="8"/>
                <c:pt idx="0">
                  <c:v>0.1023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yVal>
        </c:ser>
        <c:axId val="317793408"/>
        <c:axId val="317795328"/>
      </c:scatterChart>
      <c:valAx>
        <c:axId val="31779340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556"/>
            </c:manualLayout>
          </c:layout>
        </c:title>
        <c:numFmt formatCode="0%" sourceLinked="0"/>
        <c:tickLblPos val="nextTo"/>
        <c:crossAx val="317795328"/>
        <c:crosses val="autoZero"/>
        <c:crossBetween val="midCat"/>
      </c:valAx>
      <c:valAx>
        <c:axId val="3177953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17793408"/>
        <c:crosses val="autoZero"/>
        <c:crossBetween val="midCat"/>
      </c:valAx>
    </c:plotArea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515E-4"/>
          <c:y val="4.6296296296296433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75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3065E-2"/>
          <c:y val="8.2949983364755453E-2"/>
          <c:w val="0.83374946417979712"/>
          <c:h val="0.45695611992162982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898"/>
          <c:w val="0.84357852143482071"/>
          <c:h val="0.52385151043111555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analyze'!$E$10:$E$17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1.4756554714979015E-2</c:v>
                </c:pt>
                <c:pt idx="2">
                  <c:v>2.8969409009422228E-2</c:v>
                </c:pt>
                <c:pt idx="3">
                  <c:v>4.3407824388982212E-2</c:v>
                </c:pt>
                <c:pt idx="4">
                  <c:v>6.9586354752018964E-2</c:v>
                </c:pt>
                <c:pt idx="5">
                  <c:v>8.2472295285344041E-2</c:v>
                </c:pt>
                <c:pt idx="6">
                  <c:v>8.7107694541058198E-2</c:v>
                </c:pt>
                <c:pt idx="7">
                  <c:v>9.1425777197242902E-2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analyze'!$F$10:$F$17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overlap val="100"/>
        <c:axId val="318007168"/>
        <c:axId val="318008704"/>
      </c:barChart>
      <c:catAx>
        <c:axId val="318007168"/>
        <c:scaling>
          <c:orientation val="minMax"/>
        </c:scaling>
        <c:axPos val="b"/>
        <c:tickLblPos val="nextTo"/>
        <c:crossAx val="318008704"/>
        <c:crosses val="autoZero"/>
        <c:auto val="1"/>
        <c:lblAlgn val="ctr"/>
        <c:lblOffset val="100"/>
      </c:catAx>
      <c:valAx>
        <c:axId val="318008704"/>
        <c:scaling>
          <c:orientation val="minMax"/>
        </c:scaling>
        <c:axPos val="l"/>
        <c:majorGridlines/>
        <c:numFmt formatCode="General" sourceLinked="1"/>
        <c:tickLblPos val="nextTo"/>
        <c:crossAx val="3180071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03"/>
          <c:w val="0.84357852143482071"/>
          <c:h val="0.52385151043111577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analyze'!$H$10:$H$17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1.5220718103759889E-2</c:v>
                </c:pt>
                <c:pt idx="2">
                  <c:v>2.5751260978829932E-2</c:v>
                </c:pt>
                <c:pt idx="3">
                  <c:v>4.0924854873741444E-2</c:v>
                </c:pt>
                <c:pt idx="4">
                  <c:v>6.0352707790396337E-2</c:v>
                </c:pt>
                <c:pt idx="5">
                  <c:v>8.163025021394632E-2</c:v>
                </c:pt>
                <c:pt idx="6">
                  <c:v>8.6316350130660122E-2</c:v>
                </c:pt>
                <c:pt idx="7">
                  <c:v>9.058095319950521E-2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analyze'!$I$10:$I$17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overlap val="100"/>
        <c:axId val="318184832"/>
        <c:axId val="318194816"/>
      </c:barChart>
      <c:catAx>
        <c:axId val="318184832"/>
        <c:scaling>
          <c:orientation val="minMax"/>
        </c:scaling>
        <c:axPos val="b"/>
        <c:tickLblPos val="nextTo"/>
        <c:crossAx val="318194816"/>
        <c:crosses val="autoZero"/>
        <c:auto val="1"/>
        <c:lblAlgn val="ctr"/>
        <c:lblOffset val="100"/>
      </c:catAx>
      <c:valAx>
        <c:axId val="318194816"/>
        <c:scaling>
          <c:orientation val="minMax"/>
        </c:scaling>
        <c:axPos val="l"/>
        <c:majorGridlines/>
        <c:numFmt formatCode="General" sourceLinked="1"/>
        <c:tickLblPos val="nextTo"/>
        <c:crossAx val="318184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616045</xdr:colOff>
      <xdr:row>5</xdr:row>
      <xdr:rowOff>17089</xdr:rowOff>
    </xdr:from>
    <xdr:to>
      <xdr:col>48</xdr:col>
      <xdr:colOff>443473</xdr:colOff>
      <xdr:row>26</xdr:row>
      <xdr:rowOff>62471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201705</xdr:colOff>
      <xdr:row>19</xdr:row>
      <xdr:rowOff>58832</xdr:rowOff>
    </xdr:from>
    <xdr:to>
      <xdr:col>38</xdr:col>
      <xdr:colOff>602315</xdr:colOff>
      <xdr:row>26</xdr:row>
      <xdr:rowOff>108698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206</xdr:row>
      <xdr:rowOff>73958</xdr:rowOff>
    </xdr:from>
    <xdr:to>
      <xdr:col>5</xdr:col>
      <xdr:colOff>35859</xdr:colOff>
      <xdr:row>223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104</xdr:row>
      <xdr:rowOff>65553</xdr:rowOff>
    </xdr:from>
    <xdr:to>
      <xdr:col>10</xdr:col>
      <xdr:colOff>156883</xdr:colOff>
      <xdr:row>133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206</xdr:row>
      <xdr:rowOff>22412</xdr:rowOff>
    </xdr:from>
    <xdr:to>
      <xdr:col>10</xdr:col>
      <xdr:colOff>930087</xdr:colOff>
      <xdr:row>221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206</xdr:row>
      <xdr:rowOff>56031</xdr:rowOff>
    </xdr:from>
    <xdr:to>
      <xdr:col>13</xdr:col>
      <xdr:colOff>705971</xdr:colOff>
      <xdr:row>222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136</xdr:row>
      <xdr:rowOff>0</xdr:rowOff>
    </xdr:from>
    <xdr:to>
      <xdr:col>5</xdr:col>
      <xdr:colOff>471769</xdr:colOff>
      <xdr:row>154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5</xdr:col>
      <xdr:colOff>395567</xdr:colOff>
      <xdr:row>169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1</xdr:row>
      <xdr:rowOff>38100</xdr:rowOff>
    </xdr:from>
    <xdr:to>
      <xdr:col>18</xdr:col>
      <xdr:colOff>180975</xdr:colOff>
      <xdr:row>19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1</xdr:row>
      <xdr:rowOff>38100</xdr:rowOff>
    </xdr:from>
    <xdr:to>
      <xdr:col>26</xdr:col>
      <xdr:colOff>9525</xdr:colOff>
      <xdr:row>19</xdr:row>
      <xdr:rowOff>123825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 refreshError="1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B19" sqref="B19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1" t="s">
        <v>93</v>
      </c>
      <c r="D1" s="381"/>
      <c r="E1" s="382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379">
        <v>0.56180875203091096</v>
      </c>
      <c r="C3" s="299">
        <v>0.55000000000000004</v>
      </c>
      <c r="D3" s="218">
        <v>0.65</v>
      </c>
      <c r="E3" s="145">
        <v>0.99</v>
      </c>
      <c r="F3" s="144">
        <f>'Samenvatting mixen'!B81</f>
        <v>0.58308104773113867</v>
      </c>
      <c r="G3" s="144">
        <f>+F3-B3</f>
        <v>2.1272295700227706E-2</v>
      </c>
      <c r="H3" s="301"/>
    </row>
    <row r="4" spans="1:24">
      <c r="A4" s="143" t="str">
        <f>Scenarios!A5</f>
        <v>High Yield</v>
      </c>
      <c r="B4" s="379">
        <v>9.6622266302898649E-2</v>
      </c>
      <c r="C4" s="299">
        <v>0.05</v>
      </c>
      <c r="D4" s="346">
        <v>0.15</v>
      </c>
      <c r="E4" s="145">
        <v>0.99</v>
      </c>
      <c r="F4" s="144">
        <f>'Samenvatting mixen'!B82</f>
        <v>8.4171789712308862E-2</v>
      </c>
      <c r="G4" s="144">
        <f t="shared" ref="G4:G10" si="0">+F4-B4</f>
        <v>-1.2450476590589787E-2</v>
      </c>
      <c r="H4" s="302"/>
      <c r="W4" s="133" t="str">
        <f>A4</f>
        <v>High Yield</v>
      </c>
      <c r="X4" s="134">
        <f>B4/SUM($B$4:$B$10)</f>
        <v>0.2205025014778812</v>
      </c>
    </row>
    <row r="5" spans="1:24">
      <c r="A5" s="143" t="str">
        <f>Scenarios!A6</f>
        <v>Emerging market debt</v>
      </c>
      <c r="B5" s="379">
        <v>9.4882090946714417E-2</v>
      </c>
      <c r="C5" s="299">
        <v>0.05</v>
      </c>
      <c r="D5" s="218">
        <v>0.15</v>
      </c>
      <c r="E5" s="145">
        <v>0.99</v>
      </c>
      <c r="F5" s="144">
        <f>'Samenvatting mixen'!B83</f>
        <v>9.1777316331888431E-2</v>
      </c>
      <c r="G5" s="144">
        <f t="shared" si="0"/>
        <v>-3.1047746148259864E-3</v>
      </c>
      <c r="W5" s="133" t="str">
        <f t="shared" ref="W5:W10" si="1">A5</f>
        <v>Emerging market debt</v>
      </c>
      <c r="X5" s="134">
        <f t="shared" ref="X5:X10" si="2">B5/SUM($B$4:$B$10)</f>
        <v>0.21653123239332159</v>
      </c>
    </row>
    <row r="6" spans="1:24">
      <c r="A6" s="143" t="str">
        <f>Scenarios!A7</f>
        <v>Aandelen ontwikkeld</v>
      </c>
      <c r="B6" s="379">
        <v>0.10456356326955371</v>
      </c>
      <c r="C6" s="299">
        <v>7.4999999999999997E-2</v>
      </c>
      <c r="D6" s="346">
        <v>0.3</v>
      </c>
      <c r="E6" s="145">
        <v>0.99</v>
      </c>
      <c r="F6" s="144">
        <f>'Samenvatting mixen'!B84</f>
        <v>8.4600009654577771E-2</v>
      </c>
      <c r="G6" s="144">
        <f t="shared" si="0"/>
        <v>-1.996355361497594E-2</v>
      </c>
      <c r="H6" s="301"/>
      <c r="W6" s="133" t="str">
        <f t="shared" si="1"/>
        <v>Aandelen ontwikkeld</v>
      </c>
      <c r="X6" s="134">
        <f t="shared" si="2"/>
        <v>0.23862540330091181</v>
      </c>
    </row>
    <row r="7" spans="1:24">
      <c r="A7" s="143" t="str">
        <f>Scenarios!A8</f>
        <v>Aandelen opkomend</v>
      </c>
      <c r="B7" s="379">
        <v>4.8672187041583666E-2</v>
      </c>
      <c r="C7" s="299">
        <v>2.5000000000000001E-2</v>
      </c>
      <c r="D7" s="346">
        <v>0.1</v>
      </c>
      <c r="E7" s="145">
        <v>0.99</v>
      </c>
      <c r="F7" s="144">
        <f>'Samenvatting mixen'!B85</f>
        <v>6.4363685203862667E-2</v>
      </c>
      <c r="G7" s="144">
        <f t="shared" si="0"/>
        <v>1.5691498162279001E-2</v>
      </c>
      <c r="H7" s="301"/>
      <c r="W7" s="133" t="str">
        <f t="shared" si="1"/>
        <v>Aandelen opkomend</v>
      </c>
      <c r="X7" s="134">
        <f t="shared" si="2"/>
        <v>0.11107521491396176</v>
      </c>
    </row>
    <row r="8" spans="1:24">
      <c r="A8" s="143" t="str">
        <f>Scenarios!A9</f>
        <v>Commodities</v>
      </c>
      <c r="B8" s="379">
        <v>1.8487177597443272E-2</v>
      </c>
      <c r="C8" s="299">
        <v>0.01</v>
      </c>
      <c r="D8" s="346">
        <v>0.03</v>
      </c>
      <c r="E8" s="145">
        <v>0.99</v>
      </c>
      <c r="F8" s="144">
        <f>'Samenvatting mixen'!B86</f>
        <v>1.9725823367499316E-2</v>
      </c>
      <c r="G8" s="144">
        <f t="shared" si="0"/>
        <v>1.2386457700560433E-3</v>
      </c>
      <c r="H8" s="301"/>
      <c r="W8" s="133" t="str">
        <f t="shared" si="1"/>
        <v>Commodities</v>
      </c>
      <c r="X8" s="134">
        <f t="shared" si="2"/>
        <v>4.2189746333654299E-2</v>
      </c>
    </row>
    <row r="9" spans="1:24">
      <c r="A9" s="143" t="str">
        <f>Scenarios!A10</f>
        <v>Hedge funds</v>
      </c>
      <c r="B9" s="379">
        <v>3.0713456071724741E-2</v>
      </c>
      <c r="C9" s="299">
        <v>0.02</v>
      </c>
      <c r="D9" s="346">
        <v>0.04</v>
      </c>
      <c r="E9" s="145">
        <v>0.99</v>
      </c>
      <c r="F9" s="144">
        <f>'Samenvatting mixen'!B87</f>
        <v>2.8249819591705951E-2</v>
      </c>
      <c r="G9" s="144">
        <f t="shared" si="0"/>
        <v>-2.4636364800187903E-3</v>
      </c>
      <c r="W9" s="133" t="str">
        <f t="shared" si="1"/>
        <v>Hedge funds</v>
      </c>
      <c r="X9" s="134">
        <f t="shared" si="2"/>
        <v>7.0091441155144513E-2</v>
      </c>
    </row>
    <row r="10" spans="1:24" ht="15.75" thickBot="1">
      <c r="A10" s="139" t="str">
        <f>Scenarios!A11</f>
        <v>Onroerend goed</v>
      </c>
      <c r="B10" s="380">
        <v>4.4250506739170546E-2</v>
      </c>
      <c r="C10" s="300">
        <v>3.5000000000000003E-2</v>
      </c>
      <c r="D10" s="219">
        <v>5.5E-2</v>
      </c>
      <c r="E10" s="147">
        <v>0.99</v>
      </c>
      <c r="F10" s="146">
        <f>'Samenvatting mixen'!B88</f>
        <v>4.4030508407018554E-2</v>
      </c>
      <c r="G10" s="146">
        <f t="shared" si="0"/>
        <v>-2.1999833215199244E-4</v>
      </c>
      <c r="W10" s="133" t="str">
        <f t="shared" si="1"/>
        <v>Onroerend goed</v>
      </c>
      <c r="X10" s="134">
        <f t="shared" si="2"/>
        <v>0.10098446042512488</v>
      </c>
    </row>
    <row r="11" spans="1:24" ht="15.75" thickBot="1">
      <c r="A11" s="148" t="s">
        <v>89</v>
      </c>
      <c r="B11" s="149">
        <f>Scenarios!C12</f>
        <v>9.3074502522160901E-2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141</v>
      </c>
      <c r="B15" s="330">
        <f t="array" ref="B15">+MMULT(TRANSPOSE(F3:F10),MMULT(k,F3:F10))^(0.5)</f>
        <v>8.9974652634743274E-2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378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405">
        <v>9.3074502522160901E-2</v>
      </c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9.3074502522160901E-2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3" t="s">
        <v>98</v>
      </c>
      <c r="C200" s="381"/>
      <c r="D200" s="381"/>
      <c r="E200" s="382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abSelected="1" zoomScale="85" zoomScaleNormal="85" workbookViewId="0">
      <selection activeCell="B11" sqref="B1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5" t="s">
        <v>117</v>
      </c>
      <c r="F2" s="385"/>
      <c r="G2" s="385"/>
      <c r="H2" s="385"/>
      <c r="I2" s="385"/>
      <c r="J2" s="385"/>
      <c r="K2" s="385"/>
      <c r="L2" s="386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0.56180875203091096</v>
      </c>
      <c r="C4" s="178">
        <v>0</v>
      </c>
      <c r="D4" s="223">
        <v>3.8327320576542839E-2</v>
      </c>
      <c r="E4" s="220">
        <v>1</v>
      </c>
      <c r="F4" s="221">
        <v>0.3418544126049784</v>
      </c>
      <c r="G4" s="221">
        <v>0.32920370115226022</v>
      </c>
      <c r="H4" s="221">
        <v>9.8859848538283293E-2</v>
      </c>
      <c r="I4" s="221">
        <v>0.17199291666801578</v>
      </c>
      <c r="J4" s="221">
        <v>0.11635308708310647</v>
      </c>
      <c r="K4" s="221">
        <v>0.31533261335053236</v>
      </c>
      <c r="L4" s="222">
        <v>0.22382706166473479</v>
      </c>
      <c r="M4" s="3" t="s">
        <v>118</v>
      </c>
      <c r="N4" s="292"/>
      <c r="O4" s="367"/>
      <c r="S4" s="84"/>
      <c r="T4" s="6"/>
      <c r="U4" s="85"/>
    </row>
    <row r="5" spans="1:21">
      <c r="A5" s="102" t="s">
        <v>5</v>
      </c>
      <c r="B5" s="106">
        <f>'Control panel'!B4</f>
        <v>9.6622266302898649E-2</v>
      </c>
      <c r="C5" s="178">
        <v>0.03</v>
      </c>
      <c r="D5" s="223">
        <v>0.15740402046445473</v>
      </c>
      <c r="E5" s="223">
        <v>0.3418544126049784</v>
      </c>
      <c r="F5" s="224">
        <v>0.99999999999999978</v>
      </c>
      <c r="G5" s="224">
        <v>0.94415502841460053</v>
      </c>
      <c r="H5" s="224">
        <v>0.75643025620736359</v>
      </c>
      <c r="I5" s="224">
        <v>0.74460051775263425</v>
      </c>
      <c r="J5" s="224">
        <v>0.63042249533958317</v>
      </c>
      <c r="K5" s="224">
        <v>0.87087144487559465</v>
      </c>
      <c r="L5" s="225">
        <v>0.88503479579271971</v>
      </c>
      <c r="N5" s="292"/>
      <c r="O5" s="367"/>
      <c r="S5" s="84"/>
      <c r="T5" s="6"/>
      <c r="U5" s="85"/>
    </row>
    <row r="6" spans="1:21">
      <c r="A6" s="102" t="s">
        <v>6</v>
      </c>
      <c r="B6" s="106">
        <f>'Control panel'!B5</f>
        <v>9.4882090946714417E-2</v>
      </c>
      <c r="C6" s="178">
        <v>3.1390664572732138E-2</v>
      </c>
      <c r="D6" s="223">
        <v>0.16055565886911449</v>
      </c>
      <c r="E6" s="223">
        <v>0.32920370115226077</v>
      </c>
      <c r="F6" s="224">
        <v>0.94415502841460075</v>
      </c>
      <c r="G6" s="224">
        <v>1</v>
      </c>
      <c r="H6" s="224">
        <v>0.79131459925771463</v>
      </c>
      <c r="I6" s="224">
        <v>0.79813028035122646</v>
      </c>
      <c r="J6" s="224">
        <v>0.65620336381946465</v>
      </c>
      <c r="K6" s="224">
        <v>0.87052123629161937</v>
      </c>
      <c r="L6" s="225">
        <v>0.89384087654365485</v>
      </c>
      <c r="N6" s="292"/>
      <c r="O6" s="367"/>
      <c r="S6" s="84"/>
      <c r="T6" s="6"/>
      <c r="U6" s="85"/>
    </row>
    <row r="7" spans="1:21">
      <c r="A7" s="102" t="s">
        <v>7</v>
      </c>
      <c r="B7" s="106">
        <f>'Control panel'!B6</f>
        <v>0.10456356326955371</v>
      </c>
      <c r="C7" s="178">
        <v>5.5291722300972554E-2</v>
      </c>
      <c r="D7" s="223">
        <v>0.28482723462884557</v>
      </c>
      <c r="E7" s="223">
        <v>9.8859848538283279E-2</v>
      </c>
      <c r="F7" s="224">
        <v>0.75643025620736359</v>
      </c>
      <c r="G7" s="224">
        <v>0.79131459925771463</v>
      </c>
      <c r="H7" s="224">
        <v>1.0000000000000002</v>
      </c>
      <c r="I7" s="224">
        <v>0.80404615715542727</v>
      </c>
      <c r="J7" s="224">
        <v>0.71454817175760521</v>
      </c>
      <c r="K7" s="224">
        <v>0.77932838421386064</v>
      </c>
      <c r="L7" s="225">
        <v>0.8858491706713586</v>
      </c>
      <c r="N7" s="292"/>
      <c r="O7" s="367"/>
      <c r="S7" s="84"/>
      <c r="T7" s="6"/>
      <c r="U7" s="85"/>
    </row>
    <row r="8" spans="1:21">
      <c r="A8" s="102" t="s">
        <v>8</v>
      </c>
      <c r="B8" s="106">
        <f>'Control panel'!B7</f>
        <v>4.8672187041583666E-2</v>
      </c>
      <c r="C8" s="178">
        <v>5.3998164657843073E-2</v>
      </c>
      <c r="D8" s="223">
        <v>0.29086830436352928</v>
      </c>
      <c r="E8" s="223">
        <v>0.17199291666801564</v>
      </c>
      <c r="F8" s="224">
        <v>0.74460051775263425</v>
      </c>
      <c r="G8" s="224">
        <v>0.79813028035122635</v>
      </c>
      <c r="H8" s="224">
        <v>0.80404615715542738</v>
      </c>
      <c r="I8" s="224">
        <v>1</v>
      </c>
      <c r="J8" s="224">
        <v>0.63722686856845323</v>
      </c>
      <c r="K8" s="224">
        <v>0.66166173932878602</v>
      </c>
      <c r="L8" s="225">
        <v>0.78445174530045891</v>
      </c>
      <c r="N8" s="292"/>
      <c r="O8" s="367"/>
      <c r="S8" s="84"/>
      <c r="T8" s="6"/>
      <c r="U8" s="85"/>
    </row>
    <row r="9" spans="1:21">
      <c r="A9" s="102" t="s">
        <v>9</v>
      </c>
      <c r="B9" s="106">
        <f>'Control panel'!B8</f>
        <v>1.8487177597443272E-2</v>
      </c>
      <c r="C9" s="178">
        <v>5.1554959718268165E-2</v>
      </c>
      <c r="D9" s="223">
        <v>0.32762989319180058</v>
      </c>
      <c r="E9" s="223">
        <v>0.1163530870831065</v>
      </c>
      <c r="F9" s="224">
        <v>0.63042249533958294</v>
      </c>
      <c r="G9" s="224">
        <v>0.65620336381946465</v>
      </c>
      <c r="H9" s="224">
        <v>0.71454817175760499</v>
      </c>
      <c r="I9" s="224">
        <v>0.63722686856845323</v>
      </c>
      <c r="J9" s="224">
        <v>0.99999999999999978</v>
      </c>
      <c r="K9" s="224">
        <v>0.61123567343454832</v>
      </c>
      <c r="L9" s="225">
        <v>0.68083389626068458</v>
      </c>
      <c r="N9" s="292"/>
      <c r="O9" s="367"/>
      <c r="S9" s="84"/>
      <c r="T9" s="6"/>
      <c r="U9" s="85"/>
    </row>
    <row r="10" spans="1:21">
      <c r="A10" s="102" t="s">
        <v>10</v>
      </c>
      <c r="B10" s="106">
        <f>'Control panel'!B9</f>
        <v>3.0713456071724741E-2</v>
      </c>
      <c r="C10" s="178">
        <v>2.8536326743371695E-2</v>
      </c>
      <c r="D10" s="223">
        <v>0.15798659221184908</v>
      </c>
      <c r="E10" s="223">
        <v>0.31533261335053225</v>
      </c>
      <c r="F10" s="224">
        <v>0.87087144487559476</v>
      </c>
      <c r="G10" s="224">
        <v>0.87052123629161926</v>
      </c>
      <c r="H10" s="224">
        <v>0.77932838421386041</v>
      </c>
      <c r="I10" s="224">
        <v>0.66166173932878602</v>
      </c>
      <c r="J10" s="224">
        <v>0.61123567343454821</v>
      </c>
      <c r="K10" s="224">
        <v>0.99999999999999978</v>
      </c>
      <c r="L10" s="225">
        <v>0.84390932125983842</v>
      </c>
      <c r="N10" s="292"/>
      <c r="O10" s="367"/>
      <c r="S10" s="84"/>
      <c r="T10" s="6"/>
      <c r="U10" s="85"/>
    </row>
    <row r="11" spans="1:21" ht="13.5" thickBot="1">
      <c r="A11" s="103" t="s">
        <v>11</v>
      </c>
      <c r="B11" s="107">
        <f>'Control panel'!B10</f>
        <v>4.4250506739170546E-2</v>
      </c>
      <c r="C11" s="179">
        <v>3.8644858050511752E-2</v>
      </c>
      <c r="D11" s="226">
        <v>0.19621796279766246</v>
      </c>
      <c r="E11" s="226">
        <v>0.22382706166473476</v>
      </c>
      <c r="F11" s="227">
        <v>0.88503479579271971</v>
      </c>
      <c r="G11" s="227">
        <v>0.89384087654365474</v>
      </c>
      <c r="H11" s="227">
        <v>0.8858491706713586</v>
      </c>
      <c r="I11" s="227">
        <v>0.78445174530045891</v>
      </c>
      <c r="J11" s="227">
        <v>0.68083389626068469</v>
      </c>
      <c r="K11" s="227">
        <v>0.84390932125983853</v>
      </c>
      <c r="L11" s="228">
        <v>1.0000000000000002</v>
      </c>
      <c r="N11" s="292"/>
      <c r="O11" s="367"/>
    </row>
    <row r="12" spans="1:21">
      <c r="A12" s="84"/>
      <c r="B12" s="110" t="s">
        <v>89</v>
      </c>
      <c r="C12" s="85">
        <v>9.3074502522160901E-2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4"/>
      <c r="H17" s="384"/>
      <c r="I17" s="384"/>
      <c r="J17" s="384"/>
    </row>
    <row r="18" spans="1:24">
      <c r="D18" s="98"/>
      <c r="E18" s="98"/>
      <c r="S18" s="84"/>
      <c r="T18" s="384"/>
      <c r="U18" s="384"/>
      <c r="V18" s="384"/>
      <c r="W18" s="384"/>
      <c r="X18" s="384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47">
        <v>-3.2445168309994665E-3</v>
      </c>
      <c r="D24" s="347">
        <v>-1.0761362748873404E-3</v>
      </c>
      <c r="E24" s="347">
        <v>-3.4179872754884488E-3</v>
      </c>
      <c r="F24" s="347">
        <v>-2.5720358328627513E-2</v>
      </c>
      <c r="G24" s="347">
        <v>-0.26287574291051119</v>
      </c>
      <c r="H24" s="348">
        <v>-3.2441343963196256E-3</v>
      </c>
      <c r="I24" s="351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47">
        <v>1.7080984570854354E-2</v>
      </c>
      <c r="D25" s="347">
        <v>-5.3634034495987179E-2</v>
      </c>
      <c r="E25" s="347">
        <v>1.9126088571386521E-2</v>
      </c>
      <c r="F25" s="347">
        <v>-0.44320953513141953</v>
      </c>
      <c r="G25" s="347">
        <v>-0.45286655377141971</v>
      </c>
      <c r="H25" s="348">
        <v>0.29576434041524707</v>
      </c>
      <c r="I25" s="178">
        <f t="shared" ref="I25:I31" si="1">+SUMPRODUCT(B25:H25,$B$33:$H$33)</f>
        <v>1.7080984570854354E-2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3.1390664572732138E-2</v>
      </c>
      <c r="C26" s="347">
        <v>2.8210029350712571E-2</v>
      </c>
      <c r="D26" s="347">
        <v>-2.95466166646563E-3</v>
      </c>
      <c r="E26" s="347">
        <v>1.2307163627323543E-2</v>
      </c>
      <c r="F26" s="347">
        <v>-0.50520055078596937</v>
      </c>
      <c r="G26" s="347">
        <v>-0.35244265167679129</v>
      </c>
      <c r="H26" s="348">
        <v>0.24637536735679014</v>
      </c>
      <c r="I26" s="178">
        <f t="shared" si="1"/>
        <v>2.8210029350712571E-2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5.5291722300972554E-2</v>
      </c>
      <c r="C27" s="347">
        <v>-3.3982895609806815E-2</v>
      </c>
      <c r="D27" s="347">
        <v>-0.20034010635526645</v>
      </c>
      <c r="E27" s="347">
        <v>2.0569527320858455E-2</v>
      </c>
      <c r="F27" s="347">
        <v>-0.64117999007188409</v>
      </c>
      <c r="G27" s="347">
        <v>-0.50739956473317127</v>
      </c>
      <c r="H27" s="348">
        <v>0.32892743718810752</v>
      </c>
      <c r="I27" s="178">
        <f t="shared" si="1"/>
        <v>-3.3982895609806815E-2</v>
      </c>
      <c r="J27" s="76"/>
    </row>
    <row r="28" spans="1:24">
      <c r="A28" s="18" t="s">
        <v>8</v>
      </c>
      <c r="B28" s="21">
        <f t="shared" si="0"/>
        <v>5.3998164657843073E-2</v>
      </c>
      <c r="C28" s="347">
        <v>7.2231587254445423E-2</v>
      </c>
      <c r="D28" s="347">
        <v>-2.9945024082715634E-2</v>
      </c>
      <c r="E28" s="347">
        <v>7.5326235596053476E-2</v>
      </c>
      <c r="F28" s="347">
        <v>-0.39383408868167263</v>
      </c>
      <c r="G28" s="347">
        <v>-0.23709668904730849</v>
      </c>
      <c r="H28" s="348">
        <v>0.4212127714691607</v>
      </c>
      <c r="I28" s="178">
        <f t="shared" si="1"/>
        <v>7.2231587254445423E-2</v>
      </c>
      <c r="J28" s="94"/>
      <c r="U28" s="95"/>
    </row>
    <row r="29" spans="1:24">
      <c r="A29" s="18" t="s">
        <v>9</v>
      </c>
      <c r="B29" s="21">
        <f t="shared" si="0"/>
        <v>5.1554959718268165E-2</v>
      </c>
      <c r="C29" s="347">
        <v>8.3002461795964225E-2</v>
      </c>
      <c r="D29" s="347">
        <v>1.4659134029297541E-2</v>
      </c>
      <c r="E29" s="347">
        <v>9.0021127349297542E-2</v>
      </c>
      <c r="F29" s="347">
        <v>-0.52034739633736904</v>
      </c>
      <c r="G29" s="347">
        <v>-0.53890194796403579</v>
      </c>
      <c r="H29" s="348">
        <v>0.62225820003596433</v>
      </c>
      <c r="I29" s="178">
        <f t="shared" si="1"/>
        <v>8.3002461795964225E-2</v>
      </c>
      <c r="J29" s="96"/>
      <c r="U29" s="95"/>
    </row>
    <row r="30" spans="1:24">
      <c r="A30" s="18" t="s">
        <v>10</v>
      </c>
      <c r="B30" s="21">
        <f t="shared" si="0"/>
        <v>2.8536326743371695E-2</v>
      </c>
      <c r="C30" s="347">
        <v>1.695057316664925E-2</v>
      </c>
      <c r="D30" s="347">
        <v>-4.2653387188440507E-2</v>
      </c>
      <c r="E30" s="347">
        <v>1.4434999267229312E-2</v>
      </c>
      <c r="F30" s="347">
        <v>-0.25857548795346308</v>
      </c>
      <c r="G30" s="347">
        <v>-1.0981482728457838E-2</v>
      </c>
      <c r="H30" s="348">
        <v>0.27934742068923668</v>
      </c>
      <c r="I30" s="178">
        <f t="shared" si="1"/>
        <v>1.695057316664925E-2</v>
      </c>
      <c r="J30" s="96"/>
      <c r="U30" s="95"/>
    </row>
    <row r="31" spans="1:24" ht="13.5" thickBot="1">
      <c r="A31" s="22" t="s">
        <v>11</v>
      </c>
      <c r="B31" s="25">
        <f t="shared" si="0"/>
        <v>3.8644858050511752E-2</v>
      </c>
      <c r="C31" s="349">
        <v>1.5703249352120311E-2</v>
      </c>
      <c r="D31" s="349">
        <v>-5.8162269749716361E-2</v>
      </c>
      <c r="E31" s="349">
        <v>4.4496035250283651E-2</v>
      </c>
      <c r="F31" s="349">
        <v>-0.33152986308090188</v>
      </c>
      <c r="G31" s="349">
        <v>-0.17474285130040365</v>
      </c>
      <c r="H31" s="350">
        <v>0.39881762458018055</v>
      </c>
      <c r="I31" s="352">
        <f t="shared" si="1"/>
        <v>1.5703249352120311E-2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6.7166639897738613E-3</v>
      </c>
      <c r="D35" s="303">
        <f>SUMPRODUCT(D24:D31,'Control panel'!$F$3:$F$10)</f>
        <v>-2.7765966605087712E-2</v>
      </c>
      <c r="E35" s="303">
        <f>SUMPRODUCT(E24:E31,'Control panel'!$F$3:$F$10)</f>
        <v>1.1477598315038176E-2</v>
      </c>
      <c r="F35" s="303">
        <f>SUMPRODUCT(F24:F31,'Control panel'!$F$3:$F$10)</f>
        <v>-0.21042761082821054</v>
      </c>
      <c r="G35" s="303">
        <f>SUMPRODUCT(G24:G31,'Control panel'!$F$3:$F$10)</f>
        <v>-0.30056364352192966</v>
      </c>
      <c r="H35" s="303">
        <f>SUMPRODUCT(H24:H31,'Control panel'!$F$3:$F$10)</f>
        <v>0.13827937355050324</v>
      </c>
      <c r="I35" s="305">
        <f>SUMPRODUCT(I24:I31,'Control panel'!$F$3:$F$10)</f>
        <v>6.7166639897738613E-3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142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topLeftCell="A34" workbookViewId="0">
      <selection activeCell="D59" sqref="D59:K66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8" t="s">
        <v>3</v>
      </c>
      <c r="E3" s="388"/>
      <c r="F3" s="388"/>
      <c r="G3" s="388"/>
      <c r="H3" s="388"/>
      <c r="I3" s="388"/>
      <c r="J3" s="388"/>
      <c r="K3" s="389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3.8327320576542839E-2</v>
      </c>
      <c r="D4" s="111">
        <f>Scenarios!E4</f>
        <v>1</v>
      </c>
      <c r="E4" s="112">
        <f>Scenarios!F4</f>
        <v>0.3418544126049784</v>
      </c>
      <c r="F4" s="112">
        <f>Scenarios!G4</f>
        <v>0.32920370115226022</v>
      </c>
      <c r="G4" s="112">
        <f>Scenarios!H4</f>
        <v>9.8859848538283293E-2</v>
      </c>
      <c r="H4" s="112">
        <f>Scenarios!I4</f>
        <v>0.17199291666801578</v>
      </c>
      <c r="I4" s="112">
        <f>Scenarios!J4</f>
        <v>0.11635308708310647</v>
      </c>
      <c r="J4" s="112">
        <f>Scenarios!K4</f>
        <v>0.31533261335053236</v>
      </c>
      <c r="K4" s="113">
        <f>Scenarios!L4</f>
        <v>0.22382706166473479</v>
      </c>
      <c r="L4" s="239" t="s">
        <v>120</v>
      </c>
      <c r="N4" s="36">
        <f t="array" ref="N4:U11">+D4:K11*TRANSPOSE(C4:C11)*C4:C11</f>
        <v>1.4689835025770842E-3</v>
      </c>
      <c r="O4" s="36">
        <v>2.0623647180517748E-3</v>
      </c>
      <c r="P4" s="36">
        <v>2.0258103496887318E-3</v>
      </c>
      <c r="Q4" s="36">
        <v>1.0792198218053869E-3</v>
      </c>
      <c r="R4" s="36">
        <v>1.9174119060451009E-3</v>
      </c>
      <c r="S4" s="36">
        <v>1.461066186458311E-3</v>
      </c>
      <c r="T4" s="36">
        <v>1.9094029127275302E-3</v>
      </c>
      <c r="U4" s="36">
        <v>1.6832933786511406E-3</v>
      </c>
    </row>
    <row r="5" spans="1:21">
      <c r="A5" s="41" t="s">
        <v>5</v>
      </c>
      <c r="B5" s="42">
        <f>Scenarios!B25</f>
        <v>0.03</v>
      </c>
      <c r="C5" s="42">
        <f>Scenarios!D5</f>
        <v>0.15740402046445473</v>
      </c>
      <c r="D5" s="111">
        <f>Scenarios!E5</f>
        <v>0.3418544126049784</v>
      </c>
      <c r="E5" s="112">
        <f>Scenarios!F5</f>
        <v>0.99999999999999978</v>
      </c>
      <c r="F5" s="112">
        <f>Scenarios!G5</f>
        <v>0.94415502841460053</v>
      </c>
      <c r="G5" s="112">
        <f>Scenarios!H5</f>
        <v>0.75643025620736359</v>
      </c>
      <c r="H5" s="112">
        <f>Scenarios!I5</f>
        <v>0.74460051775263425</v>
      </c>
      <c r="I5" s="112">
        <f>Scenarios!J5</f>
        <v>0.63042249533958317</v>
      </c>
      <c r="J5" s="112">
        <f>Scenarios!K5</f>
        <v>0.87087144487559465</v>
      </c>
      <c r="K5" s="113">
        <f>Scenarios!L5</f>
        <v>0.88503479579271971</v>
      </c>
      <c r="N5" s="36">
        <v>2.0623647180517748E-3</v>
      </c>
      <c r="O5" s="36">
        <v>2.477602565837448E-2</v>
      </c>
      <c r="P5" s="36">
        <v>2.3860786160876318E-2</v>
      </c>
      <c r="Q5" s="36">
        <v>3.3913001268310553E-2</v>
      </c>
      <c r="R5" s="36">
        <v>3.4090671365202212E-2</v>
      </c>
      <c r="S5" s="36">
        <v>3.2511053515549913E-2</v>
      </c>
      <c r="T5" s="36">
        <v>2.1656591421791421E-2</v>
      </c>
      <c r="U5" s="36">
        <v>2.7334738850376662E-2</v>
      </c>
    </row>
    <row r="6" spans="1:21">
      <c r="A6" s="41" t="s">
        <v>6</v>
      </c>
      <c r="B6" s="42">
        <f>Scenarios!B26</f>
        <v>3.1390664572732138E-2</v>
      </c>
      <c r="C6" s="42">
        <f>Scenarios!D6</f>
        <v>0.16055565886911449</v>
      </c>
      <c r="D6" s="111">
        <f>Scenarios!E6</f>
        <v>0.32920370115226077</v>
      </c>
      <c r="E6" s="112">
        <f>Scenarios!F6</f>
        <v>0.94415502841460075</v>
      </c>
      <c r="F6" s="112">
        <f>Scenarios!G6</f>
        <v>1</v>
      </c>
      <c r="G6" s="112">
        <f>Scenarios!H6</f>
        <v>0.79131459925771463</v>
      </c>
      <c r="H6" s="112">
        <f>Scenarios!I6</f>
        <v>0.79813028035122646</v>
      </c>
      <c r="I6" s="112">
        <f>Scenarios!J6</f>
        <v>0.65620336381946465</v>
      </c>
      <c r="J6" s="112">
        <f>Scenarios!K6</f>
        <v>0.87052123629161937</v>
      </c>
      <c r="K6" s="113">
        <f>Scenarios!L6</f>
        <v>0.89384087654365485</v>
      </c>
      <c r="N6" s="36">
        <v>2.0258103496887357E-3</v>
      </c>
      <c r="O6" s="36">
        <v>2.3860786160876321E-2</v>
      </c>
      <c r="P6" s="36">
        <v>2.5778119594895465E-2</v>
      </c>
      <c r="Q6" s="36">
        <v>3.6187310657350216E-2</v>
      </c>
      <c r="R6" s="36">
        <v>3.7273124860830162E-2</v>
      </c>
      <c r="S6" s="36">
        <v>3.451815620161551E-2</v>
      </c>
      <c r="T6" s="36">
        <v>2.2081329515262319E-2</v>
      </c>
      <c r="U6" s="36">
        <v>2.8159477433106667E-2</v>
      </c>
    </row>
    <row r="7" spans="1:21">
      <c r="A7" s="41" t="s">
        <v>7</v>
      </c>
      <c r="B7" s="42">
        <f>Scenarios!B27</f>
        <v>5.5291722300972554E-2</v>
      </c>
      <c r="C7" s="42">
        <f>Scenarios!D7</f>
        <v>0.28482723462884557</v>
      </c>
      <c r="D7" s="111">
        <f>Scenarios!E7</f>
        <v>9.8859848538283279E-2</v>
      </c>
      <c r="E7" s="112">
        <f>Scenarios!F7</f>
        <v>0.75643025620736359</v>
      </c>
      <c r="F7" s="112">
        <f>Scenarios!G7</f>
        <v>0.79131459925771463</v>
      </c>
      <c r="G7" s="112">
        <f>Scenarios!H7</f>
        <v>1.0000000000000002</v>
      </c>
      <c r="H7" s="112">
        <f>Scenarios!I7</f>
        <v>0.80404615715542727</v>
      </c>
      <c r="I7" s="112">
        <f>Scenarios!J7</f>
        <v>0.71454817175760521</v>
      </c>
      <c r="J7" s="112">
        <f>Scenarios!K7</f>
        <v>0.77932838421386064</v>
      </c>
      <c r="K7" s="113">
        <f>Scenarios!L7</f>
        <v>0.8858491706713586</v>
      </c>
      <c r="N7" s="36">
        <v>1.0792198218053869E-3</v>
      </c>
      <c r="O7" s="36">
        <v>3.3913001268310553E-2</v>
      </c>
      <c r="P7" s="36">
        <v>3.6187310657350216E-2</v>
      </c>
      <c r="Q7" s="36">
        <v>8.1126553586315459E-2</v>
      </c>
      <c r="R7" s="36">
        <v>6.661298466929752E-2</v>
      </c>
      <c r="S7" s="36">
        <v>6.6680146598410817E-2</v>
      </c>
      <c r="T7" s="36">
        <v>3.5068907690180166E-2</v>
      </c>
      <c r="U7" s="36">
        <v>4.9508533096492648E-2</v>
      </c>
    </row>
    <row r="8" spans="1:21">
      <c r="A8" s="41" t="s">
        <v>8</v>
      </c>
      <c r="B8" s="42">
        <f>Scenarios!B28</f>
        <v>5.3998164657843073E-2</v>
      </c>
      <c r="C8" s="42">
        <f>Scenarios!D8</f>
        <v>0.29086830436352928</v>
      </c>
      <c r="D8" s="111">
        <f>Scenarios!E8</f>
        <v>0.17199291666801564</v>
      </c>
      <c r="E8" s="112">
        <f>Scenarios!F8</f>
        <v>0.74460051775263425</v>
      </c>
      <c r="F8" s="112">
        <f>Scenarios!G8</f>
        <v>0.79813028035122635</v>
      </c>
      <c r="G8" s="112">
        <f>Scenarios!H8</f>
        <v>0.80404615715542738</v>
      </c>
      <c r="H8" s="112">
        <f>Scenarios!I8</f>
        <v>1</v>
      </c>
      <c r="I8" s="112">
        <f>Scenarios!J8</f>
        <v>0.63722686856845323</v>
      </c>
      <c r="J8" s="112">
        <f>Scenarios!K8</f>
        <v>0.66166173932878602</v>
      </c>
      <c r="K8" s="113">
        <f>Scenarios!L8</f>
        <v>0.78445174530045891</v>
      </c>
      <c r="N8" s="36">
        <v>1.9174119060450991E-3</v>
      </c>
      <c r="O8" s="36">
        <v>3.4090671365202212E-2</v>
      </c>
      <c r="P8" s="36">
        <v>3.7273124860830155E-2</v>
      </c>
      <c r="Q8" s="36">
        <v>6.661298466929752E-2</v>
      </c>
      <c r="R8" s="36">
        <v>8.4604370483314706E-2</v>
      </c>
      <c r="S8" s="36">
        <v>6.0725905428424112E-2</v>
      </c>
      <c r="T8" s="36">
        <v>3.0405535237547097E-2</v>
      </c>
      <c r="U8" s="36">
        <v>4.4771474246015901E-2</v>
      </c>
    </row>
    <row r="9" spans="1:21">
      <c r="A9" s="41" t="s">
        <v>9</v>
      </c>
      <c r="B9" s="42">
        <f>Scenarios!B29</f>
        <v>5.1554959718268165E-2</v>
      </c>
      <c r="C9" s="42">
        <f>Scenarios!D9</f>
        <v>0.32762989319180058</v>
      </c>
      <c r="D9" s="111">
        <f>Scenarios!E9</f>
        <v>0.1163530870831065</v>
      </c>
      <c r="E9" s="112">
        <f>Scenarios!F9</f>
        <v>0.63042249533958294</v>
      </c>
      <c r="F9" s="112">
        <f>Scenarios!G9</f>
        <v>0.65620336381946465</v>
      </c>
      <c r="G9" s="112">
        <f>Scenarios!H9</f>
        <v>0.71454817175760499</v>
      </c>
      <c r="H9" s="112">
        <f>Scenarios!I9</f>
        <v>0.63722686856845323</v>
      </c>
      <c r="I9" s="112">
        <f>Scenarios!J9</f>
        <v>0.99999999999999978</v>
      </c>
      <c r="J9" s="112">
        <f>Scenarios!K9</f>
        <v>0.61123567343454832</v>
      </c>
      <c r="K9" s="113">
        <f>Scenarios!L9</f>
        <v>0.68083389626068458</v>
      </c>
      <c r="N9" s="36">
        <v>1.4610661864583113E-3</v>
      </c>
      <c r="O9" s="36">
        <v>3.2511053515549906E-2</v>
      </c>
      <c r="P9" s="36">
        <v>3.451815620161551E-2</v>
      </c>
      <c r="Q9" s="36">
        <v>6.6680146598410803E-2</v>
      </c>
      <c r="R9" s="36">
        <v>6.0725905428424112E-2</v>
      </c>
      <c r="S9" s="36">
        <v>0.10734134691287064</v>
      </c>
      <c r="T9" s="36">
        <v>3.1638249356277424E-2</v>
      </c>
      <c r="U9" s="36">
        <v>4.3768680312389029E-2</v>
      </c>
    </row>
    <row r="10" spans="1:21">
      <c r="A10" s="41" t="s">
        <v>10</v>
      </c>
      <c r="B10" s="42">
        <f>Scenarios!B30</f>
        <v>2.8536326743371695E-2</v>
      </c>
      <c r="C10" s="42">
        <f>Scenarios!D10</f>
        <v>0.15798659221184908</v>
      </c>
      <c r="D10" s="111">
        <f>Scenarios!E10</f>
        <v>0.31533261335053225</v>
      </c>
      <c r="E10" s="112">
        <f>Scenarios!F10</f>
        <v>0.87087144487559476</v>
      </c>
      <c r="F10" s="112">
        <f>Scenarios!G10</f>
        <v>0.87052123629161926</v>
      </c>
      <c r="G10" s="112">
        <f>Scenarios!H10</f>
        <v>0.77932838421386041</v>
      </c>
      <c r="H10" s="112">
        <f>Scenarios!I10</f>
        <v>0.66166173932878602</v>
      </c>
      <c r="I10" s="112">
        <f>Scenarios!J10</f>
        <v>0.61123567343454821</v>
      </c>
      <c r="J10" s="112">
        <f>Scenarios!K10</f>
        <v>0.99999999999999978</v>
      </c>
      <c r="K10" s="113">
        <f>Scenarios!L10</f>
        <v>0.84390932125983842</v>
      </c>
      <c r="N10" s="36">
        <v>1.9094029127275296E-3</v>
      </c>
      <c r="O10" s="36">
        <v>2.1656591421791424E-2</v>
      </c>
      <c r="P10" s="36">
        <v>2.2081329515262316E-2</v>
      </c>
      <c r="Q10" s="36">
        <v>3.5068907690180159E-2</v>
      </c>
      <c r="R10" s="36">
        <v>3.0405535237547094E-2</v>
      </c>
      <c r="S10" s="36">
        <v>3.1638249356277418E-2</v>
      </c>
      <c r="T10" s="36">
        <v>2.4959763318713087E-2</v>
      </c>
      <c r="U10" s="36">
        <v>2.6161026315073256E-2</v>
      </c>
    </row>
    <row r="11" spans="1:21" ht="13.5" thickBot="1">
      <c r="A11" s="43" t="s">
        <v>11</v>
      </c>
      <c r="B11" s="44">
        <f>Scenarios!B31</f>
        <v>3.8644858050511752E-2</v>
      </c>
      <c r="C11" s="44">
        <f>Scenarios!D11</f>
        <v>0.19621796279766246</v>
      </c>
      <c r="D11" s="114">
        <f>Scenarios!E11</f>
        <v>0.22382706166473476</v>
      </c>
      <c r="E11" s="115">
        <f>Scenarios!F11</f>
        <v>0.88503479579271971</v>
      </c>
      <c r="F11" s="115">
        <f>Scenarios!G11</f>
        <v>0.89384087654365474</v>
      </c>
      <c r="G11" s="115">
        <f>Scenarios!H11</f>
        <v>0.8858491706713586</v>
      </c>
      <c r="H11" s="115">
        <f>Scenarios!I11</f>
        <v>0.78445174530045891</v>
      </c>
      <c r="I11" s="115">
        <f>Scenarios!J11</f>
        <v>0.68083389626068469</v>
      </c>
      <c r="J11" s="115">
        <f>Scenarios!K11</f>
        <v>0.84390932125983853</v>
      </c>
      <c r="K11" s="116">
        <f>Scenarios!L11</f>
        <v>1.0000000000000002</v>
      </c>
      <c r="N11" s="36">
        <v>1.6832933786511404E-3</v>
      </c>
      <c r="O11" s="36">
        <v>2.7334738850376659E-2</v>
      </c>
      <c r="P11" s="36">
        <v>2.815947743310666E-2</v>
      </c>
      <c r="Q11" s="36">
        <v>4.9508533096492655E-2</v>
      </c>
      <c r="R11" s="36">
        <v>4.4771474246015901E-2</v>
      </c>
      <c r="S11" s="36">
        <v>4.3768680312389036E-2</v>
      </c>
      <c r="T11" s="36">
        <v>2.6161026315073256E-2</v>
      </c>
      <c r="U11" s="36">
        <v>3.8501488924464859E-2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7" t="s">
        <v>3</v>
      </c>
      <c r="E14" s="388"/>
      <c r="F14" s="388"/>
      <c r="G14" s="388"/>
      <c r="H14" s="388"/>
      <c r="I14" s="388"/>
      <c r="J14" s="388"/>
      <c r="K14" s="389"/>
    </row>
    <row r="15" spans="1:21">
      <c r="A15" s="41" t="s">
        <v>4</v>
      </c>
      <c r="B15" s="46">
        <f>Scenarios!C24</f>
        <v>-3.2445168309994665E-3</v>
      </c>
      <c r="C15" s="42">
        <f>C4</f>
        <v>3.8327320576542839E-2</v>
      </c>
      <c r="D15" s="111">
        <f t="shared" ref="D15:K15" si="0">D4</f>
        <v>1</v>
      </c>
      <c r="E15" s="112">
        <f t="shared" si="0"/>
        <v>0.3418544126049784</v>
      </c>
      <c r="F15" s="112">
        <f t="shared" si="0"/>
        <v>0.32920370115226022</v>
      </c>
      <c r="G15" s="112">
        <f t="shared" si="0"/>
        <v>9.8859848538283293E-2</v>
      </c>
      <c r="H15" s="112">
        <f t="shared" si="0"/>
        <v>0.17199291666801578</v>
      </c>
      <c r="I15" s="112">
        <f t="shared" si="0"/>
        <v>0.11635308708310647</v>
      </c>
      <c r="J15" s="112">
        <f t="shared" si="0"/>
        <v>0.31533261335053236</v>
      </c>
      <c r="K15" s="113">
        <f t="shared" si="0"/>
        <v>0.22382706166473479</v>
      </c>
      <c r="L15" s="239" t="s">
        <v>120</v>
      </c>
    </row>
    <row r="16" spans="1:21">
      <c r="A16" s="41" t="s">
        <v>5</v>
      </c>
      <c r="B16" s="46">
        <f>Scenarios!C25</f>
        <v>1.7080984570854354E-2</v>
      </c>
      <c r="C16" s="42">
        <f t="shared" ref="C16:K16" si="1">C5</f>
        <v>0.15740402046445473</v>
      </c>
      <c r="D16" s="111">
        <f t="shared" si="1"/>
        <v>0.3418544126049784</v>
      </c>
      <c r="E16" s="112">
        <f t="shared" si="1"/>
        <v>0.99999999999999978</v>
      </c>
      <c r="F16" s="112">
        <f t="shared" si="1"/>
        <v>0.94415502841460053</v>
      </c>
      <c r="G16" s="112">
        <f t="shared" si="1"/>
        <v>0.75643025620736359</v>
      </c>
      <c r="H16" s="112">
        <f t="shared" si="1"/>
        <v>0.74460051775263425</v>
      </c>
      <c r="I16" s="112">
        <f t="shared" si="1"/>
        <v>0.63042249533958317</v>
      </c>
      <c r="J16" s="112">
        <f t="shared" si="1"/>
        <v>0.87087144487559465</v>
      </c>
      <c r="K16" s="113">
        <f t="shared" si="1"/>
        <v>0.88503479579271971</v>
      </c>
    </row>
    <row r="17" spans="1:12">
      <c r="A17" s="41" t="s">
        <v>6</v>
      </c>
      <c r="B17" s="46">
        <f>Scenarios!C26</f>
        <v>2.8210029350712571E-2</v>
      </c>
      <c r="C17" s="42">
        <f t="shared" ref="C17:K17" si="2">C6</f>
        <v>0.16055565886911449</v>
      </c>
      <c r="D17" s="111">
        <f t="shared" si="2"/>
        <v>0.32920370115226077</v>
      </c>
      <c r="E17" s="112">
        <f t="shared" si="2"/>
        <v>0.94415502841460075</v>
      </c>
      <c r="F17" s="112">
        <f t="shared" si="2"/>
        <v>1</v>
      </c>
      <c r="G17" s="112">
        <f t="shared" si="2"/>
        <v>0.79131459925771463</v>
      </c>
      <c r="H17" s="112">
        <f t="shared" si="2"/>
        <v>0.79813028035122646</v>
      </c>
      <c r="I17" s="112">
        <f t="shared" si="2"/>
        <v>0.65620336381946465</v>
      </c>
      <c r="J17" s="112">
        <f t="shared" si="2"/>
        <v>0.87052123629161937</v>
      </c>
      <c r="K17" s="113">
        <f t="shared" si="2"/>
        <v>0.89384087654365485</v>
      </c>
    </row>
    <row r="18" spans="1:12">
      <c r="A18" s="41" t="s">
        <v>7</v>
      </c>
      <c r="B18" s="46">
        <f>Scenarios!C27</f>
        <v>-3.3982895609806815E-2</v>
      </c>
      <c r="C18" s="42">
        <f t="shared" ref="C18:K18" si="3">C7</f>
        <v>0.28482723462884557</v>
      </c>
      <c r="D18" s="111">
        <f t="shared" si="3"/>
        <v>9.8859848538283279E-2</v>
      </c>
      <c r="E18" s="112">
        <f t="shared" si="3"/>
        <v>0.75643025620736359</v>
      </c>
      <c r="F18" s="112">
        <f t="shared" si="3"/>
        <v>0.79131459925771463</v>
      </c>
      <c r="G18" s="112">
        <f t="shared" si="3"/>
        <v>1.0000000000000002</v>
      </c>
      <c r="H18" s="112">
        <f t="shared" si="3"/>
        <v>0.80404615715542727</v>
      </c>
      <c r="I18" s="112">
        <f t="shared" si="3"/>
        <v>0.71454817175760521</v>
      </c>
      <c r="J18" s="112">
        <f t="shared" si="3"/>
        <v>0.77932838421386064</v>
      </c>
      <c r="K18" s="113">
        <f t="shared" si="3"/>
        <v>0.8858491706713586</v>
      </c>
    </row>
    <row r="19" spans="1:12">
      <c r="A19" s="41" t="s">
        <v>8</v>
      </c>
      <c r="B19" s="46">
        <f>Scenarios!C28</f>
        <v>7.2231587254445423E-2</v>
      </c>
      <c r="C19" s="42">
        <f t="shared" ref="C19:K19" si="4">C8</f>
        <v>0.29086830436352928</v>
      </c>
      <c r="D19" s="111">
        <f t="shared" si="4"/>
        <v>0.17199291666801564</v>
      </c>
      <c r="E19" s="112">
        <f t="shared" si="4"/>
        <v>0.74460051775263425</v>
      </c>
      <c r="F19" s="112">
        <f t="shared" si="4"/>
        <v>0.79813028035122635</v>
      </c>
      <c r="G19" s="112">
        <f t="shared" si="4"/>
        <v>0.80404615715542738</v>
      </c>
      <c r="H19" s="112">
        <f t="shared" si="4"/>
        <v>1</v>
      </c>
      <c r="I19" s="112">
        <f t="shared" si="4"/>
        <v>0.63722686856845323</v>
      </c>
      <c r="J19" s="112">
        <f t="shared" si="4"/>
        <v>0.66166173932878602</v>
      </c>
      <c r="K19" s="113">
        <f t="shared" si="4"/>
        <v>0.78445174530045891</v>
      </c>
    </row>
    <row r="20" spans="1:12">
      <c r="A20" s="41" t="s">
        <v>9</v>
      </c>
      <c r="B20" s="46">
        <f>Scenarios!C29</f>
        <v>8.3002461795964225E-2</v>
      </c>
      <c r="C20" s="42">
        <f t="shared" ref="C20:K20" si="5">C9</f>
        <v>0.32762989319180058</v>
      </c>
      <c r="D20" s="111">
        <f t="shared" si="5"/>
        <v>0.1163530870831065</v>
      </c>
      <c r="E20" s="112">
        <f t="shared" si="5"/>
        <v>0.63042249533958294</v>
      </c>
      <c r="F20" s="112">
        <f t="shared" si="5"/>
        <v>0.65620336381946465</v>
      </c>
      <c r="G20" s="112">
        <f t="shared" si="5"/>
        <v>0.71454817175760499</v>
      </c>
      <c r="H20" s="112">
        <f t="shared" si="5"/>
        <v>0.63722686856845323</v>
      </c>
      <c r="I20" s="112">
        <f t="shared" si="5"/>
        <v>0.99999999999999978</v>
      </c>
      <c r="J20" s="112">
        <f t="shared" si="5"/>
        <v>0.61123567343454832</v>
      </c>
      <c r="K20" s="113">
        <f t="shared" si="5"/>
        <v>0.68083389626068458</v>
      </c>
    </row>
    <row r="21" spans="1:12">
      <c r="A21" s="41" t="s">
        <v>10</v>
      </c>
      <c r="B21" s="46">
        <f>Scenarios!C30</f>
        <v>1.695057316664925E-2</v>
      </c>
      <c r="C21" s="42">
        <f t="shared" ref="C21:K21" si="6">C10</f>
        <v>0.15798659221184908</v>
      </c>
      <c r="D21" s="111">
        <f t="shared" si="6"/>
        <v>0.31533261335053225</v>
      </c>
      <c r="E21" s="112">
        <f t="shared" si="6"/>
        <v>0.87087144487559476</v>
      </c>
      <c r="F21" s="112">
        <f t="shared" si="6"/>
        <v>0.87052123629161926</v>
      </c>
      <c r="G21" s="112">
        <f t="shared" si="6"/>
        <v>0.77932838421386041</v>
      </c>
      <c r="H21" s="112">
        <f t="shared" si="6"/>
        <v>0.66166173932878602</v>
      </c>
      <c r="I21" s="112">
        <f t="shared" si="6"/>
        <v>0.61123567343454821</v>
      </c>
      <c r="J21" s="112">
        <f t="shared" si="6"/>
        <v>0.99999999999999978</v>
      </c>
      <c r="K21" s="113">
        <f t="shared" si="6"/>
        <v>0.84390932125983842</v>
      </c>
    </row>
    <row r="22" spans="1:12" ht="13.5" thickBot="1">
      <c r="A22" s="43" t="s">
        <v>11</v>
      </c>
      <c r="B22" s="47">
        <f>Scenarios!C31</f>
        <v>1.5703249352120311E-2</v>
      </c>
      <c r="C22" s="44">
        <f t="shared" ref="C22:K22" si="7">C11</f>
        <v>0.19621796279766246</v>
      </c>
      <c r="D22" s="114">
        <f t="shared" si="7"/>
        <v>0.22382706166473476</v>
      </c>
      <c r="E22" s="115">
        <f t="shared" si="7"/>
        <v>0.88503479579271971</v>
      </c>
      <c r="F22" s="115">
        <f t="shared" si="7"/>
        <v>0.89384087654365474</v>
      </c>
      <c r="G22" s="115">
        <f t="shared" si="7"/>
        <v>0.8858491706713586</v>
      </c>
      <c r="H22" s="115">
        <f t="shared" si="7"/>
        <v>0.78445174530045891</v>
      </c>
      <c r="I22" s="115">
        <f t="shared" si="7"/>
        <v>0.68083389626068469</v>
      </c>
      <c r="J22" s="115">
        <f t="shared" si="7"/>
        <v>0.84390932125983853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7" t="s">
        <v>3</v>
      </c>
      <c r="E25" s="388"/>
      <c r="F25" s="388"/>
      <c r="G25" s="388"/>
      <c r="H25" s="388"/>
      <c r="I25" s="388"/>
      <c r="J25" s="388"/>
      <c r="K25" s="389"/>
    </row>
    <row r="26" spans="1:12">
      <c r="A26" s="41" t="s">
        <v>4</v>
      </c>
      <c r="B26" s="46">
        <f>Scenarios!D24</f>
        <v>-1.0761362748873404E-3</v>
      </c>
      <c r="C26" s="243">
        <f>C4</f>
        <v>3.8327320576542839E-2</v>
      </c>
      <c r="D26" s="249">
        <f t="shared" ref="D26:K26" si="8">D4</f>
        <v>1</v>
      </c>
      <c r="E26" s="250">
        <f t="shared" si="8"/>
        <v>0.3418544126049784</v>
      </c>
      <c r="F26" s="250">
        <f t="shared" si="8"/>
        <v>0.32920370115226022</v>
      </c>
      <c r="G26" s="250">
        <f t="shared" si="8"/>
        <v>9.8859848538283293E-2</v>
      </c>
      <c r="H26" s="250">
        <f t="shared" si="8"/>
        <v>0.17199291666801578</v>
      </c>
      <c r="I26" s="250">
        <f t="shared" si="8"/>
        <v>0.11635308708310647</v>
      </c>
      <c r="J26" s="250">
        <f t="shared" si="8"/>
        <v>0.31533261335053236</v>
      </c>
      <c r="K26" s="251">
        <f t="shared" si="8"/>
        <v>0.22382706166473479</v>
      </c>
      <c r="L26" s="239" t="s">
        <v>120</v>
      </c>
    </row>
    <row r="27" spans="1:12">
      <c r="A27" s="41" t="s">
        <v>5</v>
      </c>
      <c r="B27" s="46">
        <f>Scenarios!D25</f>
        <v>-5.3634034495987179E-2</v>
      </c>
      <c r="C27" s="243">
        <f t="shared" ref="C27:K27" si="9">C5</f>
        <v>0.15740402046445473</v>
      </c>
      <c r="D27" s="249">
        <f t="shared" si="9"/>
        <v>0.3418544126049784</v>
      </c>
      <c r="E27" s="250">
        <f t="shared" si="9"/>
        <v>0.99999999999999978</v>
      </c>
      <c r="F27" s="250">
        <f t="shared" si="9"/>
        <v>0.94415502841460053</v>
      </c>
      <c r="G27" s="250">
        <f t="shared" si="9"/>
        <v>0.75643025620736359</v>
      </c>
      <c r="H27" s="250">
        <f t="shared" si="9"/>
        <v>0.74460051775263425</v>
      </c>
      <c r="I27" s="250">
        <f t="shared" si="9"/>
        <v>0.63042249533958317</v>
      </c>
      <c r="J27" s="250">
        <f t="shared" si="9"/>
        <v>0.87087144487559465</v>
      </c>
      <c r="K27" s="251">
        <f t="shared" si="9"/>
        <v>0.88503479579271971</v>
      </c>
    </row>
    <row r="28" spans="1:12">
      <c r="A28" s="41" t="s">
        <v>6</v>
      </c>
      <c r="B28" s="46">
        <f>Scenarios!D26</f>
        <v>-2.95466166646563E-3</v>
      </c>
      <c r="C28" s="243">
        <f t="shared" ref="C28:K28" si="10">C6</f>
        <v>0.16055565886911449</v>
      </c>
      <c r="D28" s="249">
        <f t="shared" si="10"/>
        <v>0.32920370115226077</v>
      </c>
      <c r="E28" s="250">
        <f t="shared" si="10"/>
        <v>0.94415502841460075</v>
      </c>
      <c r="F28" s="250">
        <f t="shared" si="10"/>
        <v>1</v>
      </c>
      <c r="G28" s="250">
        <f t="shared" si="10"/>
        <v>0.79131459925771463</v>
      </c>
      <c r="H28" s="250">
        <f t="shared" si="10"/>
        <v>0.79813028035122646</v>
      </c>
      <c r="I28" s="250">
        <f t="shared" si="10"/>
        <v>0.65620336381946465</v>
      </c>
      <c r="J28" s="250">
        <f t="shared" si="10"/>
        <v>0.87052123629161937</v>
      </c>
      <c r="K28" s="251">
        <f t="shared" si="10"/>
        <v>0.89384087654365485</v>
      </c>
    </row>
    <row r="29" spans="1:12">
      <c r="A29" s="41" t="s">
        <v>7</v>
      </c>
      <c r="B29" s="46">
        <f>Scenarios!D27</f>
        <v>-0.20034010635526645</v>
      </c>
      <c r="C29" s="243">
        <f t="shared" ref="C29:K29" si="11">C7</f>
        <v>0.28482723462884557</v>
      </c>
      <c r="D29" s="249">
        <f t="shared" si="11"/>
        <v>9.8859848538283279E-2</v>
      </c>
      <c r="E29" s="250">
        <f t="shared" si="11"/>
        <v>0.75643025620736359</v>
      </c>
      <c r="F29" s="250">
        <f t="shared" si="11"/>
        <v>0.79131459925771463</v>
      </c>
      <c r="G29" s="250">
        <f t="shared" si="11"/>
        <v>1.0000000000000002</v>
      </c>
      <c r="H29" s="250">
        <f t="shared" si="11"/>
        <v>0.80404615715542727</v>
      </c>
      <c r="I29" s="250">
        <f t="shared" si="11"/>
        <v>0.71454817175760521</v>
      </c>
      <c r="J29" s="250">
        <f t="shared" si="11"/>
        <v>0.77932838421386064</v>
      </c>
      <c r="K29" s="251">
        <f t="shared" si="11"/>
        <v>0.8858491706713586</v>
      </c>
    </row>
    <row r="30" spans="1:12">
      <c r="A30" s="41" t="s">
        <v>8</v>
      </c>
      <c r="B30" s="46">
        <f>Scenarios!D28</f>
        <v>-2.9945024082715634E-2</v>
      </c>
      <c r="C30" s="243">
        <f t="shared" ref="C30:K30" si="12">C8</f>
        <v>0.29086830436352928</v>
      </c>
      <c r="D30" s="249">
        <f t="shared" si="12"/>
        <v>0.17199291666801564</v>
      </c>
      <c r="E30" s="250">
        <f t="shared" si="12"/>
        <v>0.74460051775263425</v>
      </c>
      <c r="F30" s="250">
        <f t="shared" si="12"/>
        <v>0.79813028035122635</v>
      </c>
      <c r="G30" s="250">
        <f t="shared" si="12"/>
        <v>0.80404615715542738</v>
      </c>
      <c r="H30" s="250">
        <f t="shared" si="12"/>
        <v>1</v>
      </c>
      <c r="I30" s="250">
        <f t="shared" si="12"/>
        <v>0.63722686856845323</v>
      </c>
      <c r="J30" s="250">
        <f t="shared" si="12"/>
        <v>0.66166173932878602</v>
      </c>
      <c r="K30" s="251">
        <f t="shared" si="12"/>
        <v>0.78445174530045891</v>
      </c>
    </row>
    <row r="31" spans="1:12">
      <c r="A31" s="41" t="s">
        <v>9</v>
      </c>
      <c r="B31" s="46">
        <f>Scenarios!D29</f>
        <v>1.4659134029297541E-2</v>
      </c>
      <c r="C31" s="243">
        <f t="shared" ref="C31:K31" si="13">C9</f>
        <v>0.32762989319180058</v>
      </c>
      <c r="D31" s="249">
        <f t="shared" si="13"/>
        <v>0.1163530870831065</v>
      </c>
      <c r="E31" s="250">
        <f t="shared" si="13"/>
        <v>0.63042249533958294</v>
      </c>
      <c r="F31" s="250">
        <f t="shared" si="13"/>
        <v>0.65620336381946465</v>
      </c>
      <c r="G31" s="250">
        <f t="shared" si="13"/>
        <v>0.71454817175760499</v>
      </c>
      <c r="H31" s="250">
        <f t="shared" si="13"/>
        <v>0.63722686856845323</v>
      </c>
      <c r="I31" s="250">
        <f t="shared" si="13"/>
        <v>0.99999999999999978</v>
      </c>
      <c r="J31" s="250">
        <f t="shared" si="13"/>
        <v>0.61123567343454832</v>
      </c>
      <c r="K31" s="251">
        <f t="shared" si="13"/>
        <v>0.68083389626068458</v>
      </c>
    </row>
    <row r="32" spans="1:12">
      <c r="A32" s="41" t="s">
        <v>10</v>
      </c>
      <c r="B32" s="46">
        <f>Scenarios!D30</f>
        <v>-4.2653387188440507E-2</v>
      </c>
      <c r="C32" s="243">
        <f t="shared" ref="C32:K32" si="14">C10</f>
        <v>0.15798659221184908</v>
      </c>
      <c r="D32" s="249">
        <f t="shared" si="14"/>
        <v>0.31533261335053225</v>
      </c>
      <c r="E32" s="250">
        <f t="shared" si="14"/>
        <v>0.87087144487559476</v>
      </c>
      <c r="F32" s="250">
        <f t="shared" si="14"/>
        <v>0.87052123629161926</v>
      </c>
      <c r="G32" s="250">
        <f t="shared" si="14"/>
        <v>0.77932838421386041</v>
      </c>
      <c r="H32" s="250">
        <f t="shared" si="14"/>
        <v>0.66166173932878602</v>
      </c>
      <c r="I32" s="250">
        <f t="shared" si="14"/>
        <v>0.61123567343454821</v>
      </c>
      <c r="J32" s="250">
        <f t="shared" si="14"/>
        <v>0.99999999999999978</v>
      </c>
      <c r="K32" s="251">
        <f t="shared" si="14"/>
        <v>0.84390932125983842</v>
      </c>
    </row>
    <row r="33" spans="1:12" ht="13.5" thickBot="1">
      <c r="A33" s="43" t="s">
        <v>11</v>
      </c>
      <c r="B33" s="47">
        <f>Scenarios!D31</f>
        <v>-5.8162269749716361E-2</v>
      </c>
      <c r="C33" s="246">
        <f t="shared" ref="C33:K33" si="15">C11</f>
        <v>0.19621796279766246</v>
      </c>
      <c r="D33" s="252">
        <f t="shared" si="15"/>
        <v>0.22382706166473476</v>
      </c>
      <c r="E33" s="253">
        <f t="shared" si="15"/>
        <v>0.88503479579271971</v>
      </c>
      <c r="F33" s="253">
        <f t="shared" si="15"/>
        <v>0.89384087654365474</v>
      </c>
      <c r="G33" s="253">
        <f t="shared" si="15"/>
        <v>0.8858491706713586</v>
      </c>
      <c r="H33" s="253">
        <f t="shared" si="15"/>
        <v>0.78445174530045891</v>
      </c>
      <c r="I33" s="253">
        <f t="shared" si="15"/>
        <v>0.68083389626068469</v>
      </c>
      <c r="J33" s="253">
        <f t="shared" si="15"/>
        <v>0.84390932125983853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7" t="s">
        <v>3</v>
      </c>
      <c r="E36" s="388"/>
      <c r="F36" s="388"/>
      <c r="G36" s="388"/>
      <c r="H36" s="388"/>
      <c r="I36" s="388"/>
      <c r="J36" s="388"/>
      <c r="K36" s="389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3.8327320576542839E-2</v>
      </c>
      <c r="D37" s="249">
        <f t="shared" si="16"/>
        <v>1</v>
      </c>
      <c r="E37" s="250">
        <f t="shared" si="16"/>
        <v>0.3418544126049784</v>
      </c>
      <c r="F37" s="250">
        <f t="shared" si="16"/>
        <v>0.32920370115226022</v>
      </c>
      <c r="G37" s="250">
        <f t="shared" si="16"/>
        <v>9.8859848538283293E-2</v>
      </c>
      <c r="H37" s="250">
        <f t="shared" si="16"/>
        <v>0.17199291666801578</v>
      </c>
      <c r="I37" s="250">
        <f t="shared" si="16"/>
        <v>0.11635308708310647</v>
      </c>
      <c r="J37" s="250">
        <f t="shared" si="16"/>
        <v>0.31533261335053236</v>
      </c>
      <c r="K37" s="251">
        <f t="shared" si="16"/>
        <v>0.22382706166473479</v>
      </c>
      <c r="L37" s="239" t="s">
        <v>120</v>
      </c>
    </row>
    <row r="38" spans="1:12">
      <c r="A38" s="41" t="s">
        <v>5</v>
      </c>
      <c r="B38" s="46">
        <f>Scenarios!E25</f>
        <v>1.9126088571386521E-2</v>
      </c>
      <c r="C38" s="243">
        <f t="shared" ref="C38:K38" si="17">C16</f>
        <v>0.15740402046445473</v>
      </c>
      <c r="D38" s="249">
        <f t="shared" si="17"/>
        <v>0.3418544126049784</v>
      </c>
      <c r="E38" s="250">
        <f t="shared" si="17"/>
        <v>0.99999999999999978</v>
      </c>
      <c r="F38" s="250">
        <f t="shared" si="17"/>
        <v>0.94415502841460053</v>
      </c>
      <c r="G38" s="250">
        <f t="shared" si="17"/>
        <v>0.75643025620736359</v>
      </c>
      <c r="H38" s="250">
        <f t="shared" si="17"/>
        <v>0.74460051775263425</v>
      </c>
      <c r="I38" s="250">
        <f t="shared" si="17"/>
        <v>0.63042249533958317</v>
      </c>
      <c r="J38" s="250">
        <f t="shared" si="17"/>
        <v>0.87087144487559465</v>
      </c>
      <c r="K38" s="251">
        <f t="shared" si="17"/>
        <v>0.88503479579271971</v>
      </c>
    </row>
    <row r="39" spans="1:12">
      <c r="A39" s="41" t="s">
        <v>6</v>
      </c>
      <c r="B39" s="46">
        <f>Scenarios!E26</f>
        <v>1.2307163627323543E-2</v>
      </c>
      <c r="C39" s="243">
        <f t="shared" ref="C39:K39" si="18">C17</f>
        <v>0.16055565886911449</v>
      </c>
      <c r="D39" s="249">
        <f t="shared" si="18"/>
        <v>0.32920370115226077</v>
      </c>
      <c r="E39" s="250">
        <f t="shared" si="18"/>
        <v>0.94415502841460075</v>
      </c>
      <c r="F39" s="250">
        <f t="shared" si="18"/>
        <v>1</v>
      </c>
      <c r="G39" s="250">
        <f t="shared" si="18"/>
        <v>0.79131459925771463</v>
      </c>
      <c r="H39" s="250">
        <f t="shared" si="18"/>
        <v>0.79813028035122646</v>
      </c>
      <c r="I39" s="250">
        <f t="shared" si="18"/>
        <v>0.65620336381946465</v>
      </c>
      <c r="J39" s="250">
        <f t="shared" si="18"/>
        <v>0.87052123629161937</v>
      </c>
      <c r="K39" s="251">
        <f t="shared" si="18"/>
        <v>0.89384087654365485</v>
      </c>
    </row>
    <row r="40" spans="1:12">
      <c r="A40" s="41" t="s">
        <v>7</v>
      </c>
      <c r="B40" s="46">
        <f>Scenarios!E27</f>
        <v>2.0569527320858455E-2</v>
      </c>
      <c r="C40" s="243">
        <f t="shared" ref="C40:K40" si="19">C18</f>
        <v>0.28482723462884557</v>
      </c>
      <c r="D40" s="249">
        <f t="shared" si="19"/>
        <v>9.8859848538283279E-2</v>
      </c>
      <c r="E40" s="250">
        <f t="shared" si="19"/>
        <v>0.75643025620736359</v>
      </c>
      <c r="F40" s="250">
        <f t="shared" si="19"/>
        <v>0.79131459925771463</v>
      </c>
      <c r="G40" s="250">
        <f t="shared" si="19"/>
        <v>1.0000000000000002</v>
      </c>
      <c r="H40" s="250">
        <f t="shared" si="19"/>
        <v>0.80404615715542727</v>
      </c>
      <c r="I40" s="250">
        <f t="shared" si="19"/>
        <v>0.71454817175760521</v>
      </c>
      <c r="J40" s="250">
        <f t="shared" si="19"/>
        <v>0.77932838421386064</v>
      </c>
      <c r="K40" s="251">
        <f t="shared" si="19"/>
        <v>0.8858491706713586</v>
      </c>
    </row>
    <row r="41" spans="1:12">
      <c r="A41" s="41" t="s">
        <v>8</v>
      </c>
      <c r="B41" s="46">
        <f>Scenarios!E28</f>
        <v>7.5326235596053476E-2</v>
      </c>
      <c r="C41" s="243">
        <f t="shared" ref="C41:K41" si="20">C19</f>
        <v>0.29086830436352928</v>
      </c>
      <c r="D41" s="249">
        <f t="shared" si="20"/>
        <v>0.17199291666801564</v>
      </c>
      <c r="E41" s="250">
        <f t="shared" si="20"/>
        <v>0.74460051775263425</v>
      </c>
      <c r="F41" s="250">
        <f t="shared" si="20"/>
        <v>0.79813028035122635</v>
      </c>
      <c r="G41" s="250">
        <f t="shared" si="20"/>
        <v>0.80404615715542738</v>
      </c>
      <c r="H41" s="250">
        <f t="shared" si="20"/>
        <v>1</v>
      </c>
      <c r="I41" s="250">
        <f t="shared" si="20"/>
        <v>0.63722686856845323</v>
      </c>
      <c r="J41" s="250">
        <f t="shared" si="20"/>
        <v>0.66166173932878602</v>
      </c>
      <c r="K41" s="251">
        <f t="shared" si="20"/>
        <v>0.78445174530045891</v>
      </c>
    </row>
    <row r="42" spans="1:12">
      <c r="A42" s="41" t="s">
        <v>9</v>
      </c>
      <c r="B42" s="46">
        <f>Scenarios!E29</f>
        <v>9.0021127349297542E-2</v>
      </c>
      <c r="C42" s="243">
        <f t="shared" ref="C42:K42" si="21">C20</f>
        <v>0.32762989319180058</v>
      </c>
      <c r="D42" s="249">
        <f t="shared" si="21"/>
        <v>0.1163530870831065</v>
      </c>
      <c r="E42" s="250">
        <f t="shared" si="21"/>
        <v>0.63042249533958294</v>
      </c>
      <c r="F42" s="250">
        <f t="shared" si="21"/>
        <v>0.65620336381946465</v>
      </c>
      <c r="G42" s="250">
        <f t="shared" si="21"/>
        <v>0.71454817175760499</v>
      </c>
      <c r="H42" s="250">
        <f t="shared" si="21"/>
        <v>0.63722686856845323</v>
      </c>
      <c r="I42" s="250">
        <f t="shared" si="21"/>
        <v>0.99999999999999978</v>
      </c>
      <c r="J42" s="250">
        <f t="shared" si="21"/>
        <v>0.61123567343454832</v>
      </c>
      <c r="K42" s="251">
        <f t="shared" si="21"/>
        <v>0.68083389626068458</v>
      </c>
    </row>
    <row r="43" spans="1:12">
      <c r="A43" s="41" t="s">
        <v>10</v>
      </c>
      <c r="B43" s="46">
        <f>Scenarios!E30</f>
        <v>1.4434999267229312E-2</v>
      </c>
      <c r="C43" s="243">
        <f t="shared" ref="C43:K43" si="22">C21</f>
        <v>0.15798659221184908</v>
      </c>
      <c r="D43" s="249">
        <f t="shared" si="22"/>
        <v>0.31533261335053225</v>
      </c>
      <c r="E43" s="250">
        <f t="shared" si="22"/>
        <v>0.87087144487559476</v>
      </c>
      <c r="F43" s="250">
        <f t="shared" si="22"/>
        <v>0.87052123629161926</v>
      </c>
      <c r="G43" s="250">
        <f t="shared" si="22"/>
        <v>0.77932838421386041</v>
      </c>
      <c r="H43" s="250">
        <f t="shared" si="22"/>
        <v>0.66166173932878602</v>
      </c>
      <c r="I43" s="250">
        <f t="shared" si="22"/>
        <v>0.61123567343454821</v>
      </c>
      <c r="J43" s="250">
        <f t="shared" si="22"/>
        <v>0.99999999999999978</v>
      </c>
      <c r="K43" s="251">
        <f t="shared" si="22"/>
        <v>0.84390932125983842</v>
      </c>
    </row>
    <row r="44" spans="1:12" ht="13.5" thickBot="1">
      <c r="A44" s="43" t="s">
        <v>11</v>
      </c>
      <c r="B44" s="47">
        <f>Scenarios!E31</f>
        <v>4.4496035250283651E-2</v>
      </c>
      <c r="C44" s="246">
        <f t="shared" ref="C44:K44" si="23">C22</f>
        <v>0.19621796279766246</v>
      </c>
      <c r="D44" s="252">
        <f t="shared" si="23"/>
        <v>0.22382706166473476</v>
      </c>
      <c r="E44" s="253">
        <f t="shared" si="23"/>
        <v>0.88503479579271971</v>
      </c>
      <c r="F44" s="253">
        <f t="shared" si="23"/>
        <v>0.89384087654365474</v>
      </c>
      <c r="G44" s="253">
        <f t="shared" si="23"/>
        <v>0.8858491706713586</v>
      </c>
      <c r="H44" s="253">
        <f t="shared" si="23"/>
        <v>0.78445174530045891</v>
      </c>
      <c r="I44" s="253">
        <f t="shared" si="23"/>
        <v>0.68083389626068469</v>
      </c>
      <c r="J44" s="253">
        <f t="shared" si="23"/>
        <v>0.84390932125983853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0" t="s">
        <v>3</v>
      </c>
      <c r="E47" s="391"/>
      <c r="F47" s="391"/>
      <c r="G47" s="391"/>
      <c r="H47" s="391"/>
      <c r="I47" s="391"/>
      <c r="J47" s="391"/>
      <c r="K47" s="392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-0.44320953513141953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-0.50520055078596937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-0.64117999007188409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-0.39383408868167263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-0.25857548795346308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-0.33152986308090188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7" t="s">
        <v>3</v>
      </c>
      <c r="E58" s="388"/>
      <c r="F58" s="388"/>
      <c r="G58" s="388"/>
      <c r="H58" s="388"/>
      <c r="I58" s="388"/>
      <c r="J58" s="388"/>
      <c r="K58" s="389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-0.45286655377141971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-0.35244265167679129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-0.50739956473317127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-0.23709668904730849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-0.53890194796403579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-1.0981482728457838E-2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-0.17474285130040365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7" t="s">
        <v>3</v>
      </c>
      <c r="E69" s="388"/>
      <c r="F69" s="388"/>
      <c r="G69" s="388"/>
      <c r="H69" s="388"/>
      <c r="I69" s="388"/>
      <c r="J69" s="388"/>
      <c r="K69" s="389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0.29576434041524707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0.24637536735679014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0.32892743718810752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0.4212127714691607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0.27934742068923668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0.39881762458018055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B51" sqref="B50:B51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3" t="s">
        <v>16</v>
      </c>
      <c r="D2" s="394"/>
      <c r="E2" s="395" t="s">
        <v>17</v>
      </c>
      <c r="F2" s="396"/>
      <c r="G2" s="397" t="s">
        <v>33</v>
      </c>
      <c r="H2" s="398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0.56180875203091096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9.6622266302898649E-2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0.15</v>
      </c>
      <c r="E6" s="20">
        <v>0</v>
      </c>
      <c r="F6" s="20">
        <v>1</v>
      </c>
      <c r="G6" s="21">
        <f>'Control panel'!B5</f>
        <v>9.4882090946714417E-2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0.10456356326955371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</v>
      </c>
      <c r="E8" s="20">
        <v>0</v>
      </c>
      <c r="F8" s="20">
        <v>1</v>
      </c>
      <c r="G8" s="21">
        <f>'Control panel'!B7</f>
        <v>4.8672187041583666E-2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0.01</v>
      </c>
      <c r="D9" s="20">
        <f>'Control panel'!D8</f>
        <v>0.03</v>
      </c>
      <c r="E9" s="20">
        <v>0</v>
      </c>
      <c r="F9" s="20">
        <v>1</v>
      </c>
      <c r="G9" s="21">
        <f>'Control panel'!B8</f>
        <v>1.8487177597443272E-2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0.02</v>
      </c>
      <c r="D10" s="20">
        <f>'Control panel'!D9</f>
        <v>0.04</v>
      </c>
      <c r="E10" s="20">
        <v>0</v>
      </c>
      <c r="F10" s="20">
        <v>1</v>
      </c>
      <c r="G10" s="21">
        <f>'Control panel'!B9</f>
        <v>3.0713456071724741E-2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3.5000000000000003E-2</v>
      </c>
      <c r="D11" s="24">
        <f>'Control panel'!D10</f>
        <v>5.5E-2</v>
      </c>
      <c r="E11" s="24">
        <v>0</v>
      </c>
      <c r="F11" s="24">
        <v>1</v>
      </c>
      <c r="G11" s="25">
        <f>'Control panel'!B10</f>
        <v>4.4250506739170546E-2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F37" sqref="F37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9.3074502522160901E-2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9.3074502522160901E-2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9.3074502522160901E-2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9.3074502522160901E-2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9.3074502522160901E-2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9.3074502522160901E-2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9.3074502522160901E-2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9.3074502522160901E-2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9" t="s">
        <v>64</v>
      </c>
      <c r="E2" s="400"/>
      <c r="F2" s="401"/>
      <c r="G2" s="399" t="s">
        <v>65</v>
      </c>
      <c r="H2" s="400"/>
      <c r="I2" s="400"/>
      <c r="J2" s="400"/>
      <c r="K2" s="400"/>
      <c r="L2" s="400"/>
      <c r="M2" s="400"/>
      <c r="N2" s="400"/>
      <c r="O2" s="401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0.38303471884221041</v>
      </c>
      <c r="H3" s="272">
        <v>0.32889442831432603</v>
      </c>
      <c r="I3" s="272">
        <v>0.22796668359681593</v>
      </c>
      <c r="J3" s="272">
        <v>2.6024154690980073E-2</v>
      </c>
      <c r="K3" s="272">
        <v>1.7248984484752872E-2</v>
      </c>
      <c r="L3" s="272">
        <v>1.6033690183318461E-2</v>
      </c>
      <c r="M3" s="272">
        <v>7.9733988759400631E-4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0.57569624792337049</v>
      </c>
      <c r="C4" s="54">
        <v>1.2557231161765063E-2</v>
      </c>
      <c r="D4" s="55">
        <v>0.56657490279252021</v>
      </c>
      <c r="E4" s="1">
        <v>0.57615519522054692</v>
      </c>
      <c r="F4" s="56">
        <v>0.58551751320812073</v>
      </c>
      <c r="G4" s="2">
        <v>0.71754694551126463</v>
      </c>
      <c r="H4" s="2">
        <v>-5.4886460330209622E-2</v>
      </c>
      <c r="I4" s="2">
        <v>0.28179432309053326</v>
      </c>
      <c r="J4" s="2">
        <v>-0.34602457846952694</v>
      </c>
      <c r="K4" s="2">
        <v>3.0159725166598282E-2</v>
      </c>
      <c r="L4" s="2">
        <v>0.39010952628137296</v>
      </c>
      <c r="M4" s="2">
        <v>1</v>
      </c>
      <c r="N4" s="2">
        <v>0.99999999999995282</v>
      </c>
      <c r="O4" s="57"/>
      <c r="R4" s="51" t="str">
        <f>A4</f>
        <v>Nominale matching</v>
      </c>
      <c r="S4" s="52">
        <f>D4</f>
        <v>0.56657490279252021</v>
      </c>
      <c r="T4" s="52">
        <f>B4-D4</f>
        <v>9.121345130850278E-3</v>
      </c>
      <c r="U4" s="52">
        <f>F4-B4</f>
        <v>9.8212652847502468E-3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8.4351226739843063E-2</v>
      </c>
      <c r="C5" s="54">
        <v>2.2183192175481665E-2</v>
      </c>
      <c r="D5" s="55">
        <v>6.632916224754673E-2</v>
      </c>
      <c r="E5" s="1">
        <v>8.1819842673030316E-2</v>
      </c>
      <c r="F5" s="56">
        <v>9.8230420092117965E-2</v>
      </c>
      <c r="G5" s="2">
        <v>-0.69432918148744771</v>
      </c>
      <c r="H5" s="2">
        <v>1</v>
      </c>
      <c r="I5" s="2">
        <v>-0.43765045738591279</v>
      </c>
      <c r="J5" s="2">
        <v>-0.49702298666826628</v>
      </c>
      <c r="K5" s="2">
        <v>-2.133104371885803E-2</v>
      </c>
      <c r="L5" s="2">
        <v>7.1923416134090909E-2</v>
      </c>
      <c r="M5" s="2">
        <v>0.17463649734683528</v>
      </c>
      <c r="N5" s="2">
        <v>0.99999999999997791</v>
      </c>
      <c r="O5" s="57"/>
      <c r="R5" s="51" t="str">
        <f t="shared" ref="R5:R11" si="0">A5</f>
        <v>High Yield</v>
      </c>
      <c r="S5" s="52">
        <f t="shared" ref="S5:S11" si="1">D5</f>
        <v>6.632916224754673E-2</v>
      </c>
      <c r="T5" s="52">
        <f t="shared" ref="T5:T11" si="2">B5-D5</f>
        <v>1.8022064492296333E-2</v>
      </c>
      <c r="U5" s="52">
        <f t="shared" ref="U5:U11" si="3">F5-B5</f>
        <v>1.3879193352274902E-2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8.4009310170226448E-2</v>
      </c>
      <c r="C6" s="54">
        <v>2.2786896262446378E-2</v>
      </c>
      <c r="D6" s="55">
        <v>6.4553840629437337E-2</v>
      </c>
      <c r="E6" s="1">
        <v>8.1022761046086245E-2</v>
      </c>
      <c r="F6" s="56">
        <v>9.9748752955426262E-2</v>
      </c>
      <c r="G6" s="2">
        <v>-0.87196463997409002</v>
      </c>
      <c r="H6" s="2">
        <v>-0.95895792628737564</v>
      </c>
      <c r="I6" s="2">
        <v>-0.33184336687344868</v>
      </c>
      <c r="J6" s="2">
        <v>-0.46826769443177529</v>
      </c>
      <c r="K6" s="2">
        <v>-1.0127802054092833E-2</v>
      </c>
      <c r="L6" s="2">
        <v>4.251692674048406E-2</v>
      </c>
      <c r="M6" s="2">
        <v>0.14141319857894863</v>
      </c>
      <c r="N6" s="2">
        <v>0.99999999999997946</v>
      </c>
      <c r="O6" s="57"/>
      <c r="R6" s="51" t="str">
        <f t="shared" si="0"/>
        <v>Emerging market debt</v>
      </c>
      <c r="S6" s="52">
        <f t="shared" si="1"/>
        <v>6.4553840629437337E-2</v>
      </c>
      <c r="T6" s="52">
        <f t="shared" si="2"/>
        <v>1.9455469540789111E-2</v>
      </c>
      <c r="U6" s="52">
        <f t="shared" si="3"/>
        <v>1.5739442785199814E-2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0.11830167584926844</v>
      </c>
      <c r="C7" s="54">
        <v>1.9277133415595227E-2</v>
      </c>
      <c r="D7" s="55">
        <v>0.10453393218903692</v>
      </c>
      <c r="E7" s="1">
        <v>0.11807155349068013</v>
      </c>
      <c r="F7" s="56">
        <v>0.13106287509935144</v>
      </c>
      <c r="G7" s="2">
        <v>1</v>
      </c>
      <c r="H7" s="2">
        <v>-9.3154716711098581E-2</v>
      </c>
      <c r="I7" s="2">
        <v>-0.66773973322259783</v>
      </c>
      <c r="J7" s="2">
        <v>-0.58507397861355748</v>
      </c>
      <c r="K7" s="2">
        <v>-4.728465511248145E-2</v>
      </c>
      <c r="L7" s="2">
        <v>-0.22292295972960077</v>
      </c>
      <c r="M7" s="2">
        <v>-0.53808474697791775</v>
      </c>
      <c r="N7" s="2">
        <v>1</v>
      </c>
      <c r="O7" s="57"/>
      <c r="R7" s="51" t="str">
        <f t="shared" si="0"/>
        <v>Aandelen ontwikkeld</v>
      </c>
      <c r="S7" s="52">
        <f t="shared" si="1"/>
        <v>0.10453393218903692</v>
      </c>
      <c r="T7" s="52">
        <f t="shared" si="2"/>
        <v>1.3767743660231521E-2</v>
      </c>
      <c r="U7" s="52">
        <f t="shared" si="3"/>
        <v>1.2761199250082997E-2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4.7965216492468037E-2</v>
      </c>
      <c r="C8" s="54">
        <v>1.5751162575376204E-2</v>
      </c>
      <c r="D8" s="55">
        <v>3.5456389804235905E-2</v>
      </c>
      <c r="E8" s="1">
        <v>4.5238209409684066E-2</v>
      </c>
      <c r="F8" s="56">
        <v>5.758452629349993E-2</v>
      </c>
      <c r="G8" s="2">
        <v>-0.1264354382830318</v>
      </c>
      <c r="H8" s="2">
        <v>7.0978878038154697E-2</v>
      </c>
      <c r="I8" s="2">
        <v>1</v>
      </c>
      <c r="J8" s="2">
        <v>-0.80684676853901516</v>
      </c>
      <c r="K8" s="2">
        <v>-4.8002093447811374E-2</v>
      </c>
      <c r="L8" s="2">
        <v>-0.22034098724577228</v>
      </c>
      <c r="M8" s="2">
        <v>-0.5000939194394961</v>
      </c>
      <c r="N8" s="2">
        <v>0.99999999999999845</v>
      </c>
      <c r="O8" s="57"/>
      <c r="R8" s="51" t="str">
        <f t="shared" si="0"/>
        <v>Aandelen opkomend</v>
      </c>
      <c r="S8" s="52">
        <f t="shared" si="1"/>
        <v>3.5456389804235905E-2</v>
      </c>
      <c r="T8" s="52">
        <f t="shared" si="2"/>
        <v>1.2508826688232132E-2</v>
      </c>
      <c r="U8" s="52">
        <f t="shared" si="3"/>
        <v>9.6193098010318931E-3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1.7692004887078165E-2</v>
      </c>
      <c r="C9" s="54">
        <v>5.2952247433026524E-3</v>
      </c>
      <c r="D9" s="55">
        <v>1.3272301620441032E-2</v>
      </c>
      <c r="E9" s="1">
        <v>1.681087554332189E-2</v>
      </c>
      <c r="F9" s="56">
        <v>2.1363667424871745E-2</v>
      </c>
      <c r="G9" s="2">
        <v>-6.5652493515716585E-3</v>
      </c>
      <c r="H9" s="2">
        <v>1.318418102323503E-3</v>
      </c>
      <c r="I9" s="2">
        <v>6.000425407451989E-2</v>
      </c>
      <c r="J9" s="2">
        <v>0.9024489847883963</v>
      </c>
      <c r="K9" s="2">
        <v>-0.32109576889861052</v>
      </c>
      <c r="L9" s="2">
        <v>1</v>
      </c>
      <c r="M9" s="2">
        <v>-0.44615134505088233</v>
      </c>
      <c r="N9" s="2">
        <v>0.99999999999999789</v>
      </c>
      <c r="O9" s="57"/>
      <c r="R9" s="51" t="str">
        <f t="shared" si="0"/>
        <v>Commodities</v>
      </c>
      <c r="S9" s="52">
        <f t="shared" si="1"/>
        <v>1.3272301620441032E-2</v>
      </c>
      <c r="T9" s="52">
        <f t="shared" si="2"/>
        <v>4.419703266637133E-3</v>
      </c>
      <c r="U9" s="52">
        <f t="shared" si="3"/>
        <v>3.6716625377935797E-3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2.7893694600253521E-2</v>
      </c>
      <c r="C10" s="54">
        <v>5.5927115669294463E-3</v>
      </c>
      <c r="D10" s="55">
        <v>2.2965951298135633E-2</v>
      </c>
      <c r="E10" s="1">
        <v>2.7182100090217175E-2</v>
      </c>
      <c r="F10" s="56">
        <v>3.2036523357696599E-2</v>
      </c>
      <c r="G10" s="2">
        <v>-7.6324602165030765E-3</v>
      </c>
      <c r="H10" s="2">
        <v>1.3904821517865895E-2</v>
      </c>
      <c r="I10" s="2">
        <v>5.1149530977996169E-2</v>
      </c>
      <c r="J10" s="2">
        <v>1</v>
      </c>
      <c r="K10" s="2">
        <v>-0.5823183619347444</v>
      </c>
      <c r="L10" s="2">
        <v>-0.85410323745059347</v>
      </c>
      <c r="M10" s="2">
        <v>0.24393869291535467</v>
      </c>
      <c r="N10" s="2">
        <v>0.99999999999997835</v>
      </c>
      <c r="O10" s="57"/>
      <c r="R10" s="51" t="str">
        <f t="shared" si="0"/>
        <v>Hedge funds</v>
      </c>
      <c r="S10" s="52">
        <f t="shared" si="1"/>
        <v>2.2965951298135633E-2</v>
      </c>
      <c r="T10" s="52">
        <f t="shared" si="2"/>
        <v>4.9277433021178881E-3</v>
      </c>
      <c r="U10" s="52">
        <f t="shared" si="3"/>
        <v>4.1428287574430782E-3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4.4090623337491378E-2</v>
      </c>
      <c r="C11" s="62">
        <v>5.6058827684829192E-3</v>
      </c>
      <c r="D11" s="63">
        <v>3.9449142615290533E-2</v>
      </c>
      <c r="E11" s="61">
        <v>4.3435155376582782E-2</v>
      </c>
      <c r="F11" s="64">
        <v>4.8397437991061304E-2</v>
      </c>
      <c r="G11" s="65">
        <v>-1.0619976198621185E-2</v>
      </c>
      <c r="H11" s="65">
        <v>2.0796985670339604E-2</v>
      </c>
      <c r="I11" s="65">
        <v>4.4285449338910009E-2</v>
      </c>
      <c r="J11" s="65">
        <v>0.80078702193374052</v>
      </c>
      <c r="K11" s="65">
        <v>1</v>
      </c>
      <c r="L11" s="65">
        <v>-0.2071826847299795</v>
      </c>
      <c r="M11" s="65">
        <v>-7.5658377372786134E-2</v>
      </c>
      <c r="N11" s="65">
        <v>0.99999999999998734</v>
      </c>
      <c r="O11" s="66"/>
      <c r="R11" s="51" t="str">
        <f t="shared" si="0"/>
        <v>Onroerend goed</v>
      </c>
      <c r="S11" s="52">
        <f t="shared" si="1"/>
        <v>3.9449142615290533E-2</v>
      </c>
      <c r="T11" s="52">
        <f t="shared" si="2"/>
        <v>4.6414807222008442E-3</v>
      </c>
      <c r="U11" s="52">
        <f t="shared" si="3"/>
        <v>4.3068146535699264E-3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9" t="s">
        <v>64</v>
      </c>
      <c r="E13" s="400"/>
      <c r="F13" s="401"/>
      <c r="G13" s="399" t="s">
        <v>65</v>
      </c>
      <c r="H13" s="400"/>
      <c r="I13" s="400"/>
      <c r="J13" s="400"/>
      <c r="K13" s="400"/>
      <c r="L13" s="400"/>
      <c r="M13" s="400"/>
      <c r="N13" s="400"/>
      <c r="O13" s="401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0.46541871622855446</v>
      </c>
      <c r="H14" s="272">
        <v>0.35848678361938036</v>
      </c>
      <c r="I14" s="272">
        <v>7.8553401920971488E-2</v>
      </c>
      <c r="J14" s="272">
        <v>3.9466512036318013E-2</v>
      </c>
      <c r="K14" s="272">
        <v>2.4594903184104733E-2</v>
      </c>
      <c r="L14" s="272">
        <v>1.8385930953349394E-2</v>
      </c>
      <c r="M14" s="272">
        <v>1.5093752057326326E-2</v>
      </c>
      <c r="N14" s="272">
        <v>1.1102230246251565E-16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0.58308104773113867</v>
      </c>
      <c r="C15" s="54">
        <v>1.7471298353547698E-2</v>
      </c>
      <c r="D15" s="55">
        <v>0.5703235765335577</v>
      </c>
      <c r="E15" s="1">
        <v>0.58119653818449546</v>
      </c>
      <c r="F15" s="56">
        <v>0.59479712567928278</v>
      </c>
      <c r="G15" s="2">
        <v>-0.51702379406789212</v>
      </c>
      <c r="H15" s="2">
        <v>-0.47880475774287284</v>
      </c>
      <c r="I15" s="2">
        <v>-0.84355582404234397</v>
      </c>
      <c r="J15" s="2">
        <v>-0.53713090401443442</v>
      </c>
      <c r="K15" s="2">
        <v>0.23794673078798392</v>
      </c>
      <c r="L15" s="2">
        <v>0.10069819044783364</v>
      </c>
      <c r="M15" s="2">
        <v>-0.11980745469436482</v>
      </c>
      <c r="N15" s="2">
        <v>0.999999999999999</v>
      </c>
      <c r="O15" s="57"/>
      <c r="R15" s="51" t="str">
        <f>A15</f>
        <v>Nominale matching</v>
      </c>
      <c r="S15" s="52">
        <f>D15</f>
        <v>0.5703235765335577</v>
      </c>
      <c r="T15" s="52">
        <f>B15-D15</f>
        <v>1.2757471197580972E-2</v>
      </c>
      <c r="U15" s="52">
        <f>F15-B15</f>
        <v>1.171607794814411E-2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8.4171789712308862E-2</v>
      </c>
      <c r="C16" s="54">
        <v>2.1439881119245711E-2</v>
      </c>
      <c r="D16" s="55">
        <v>6.6902276501031421E-2</v>
      </c>
      <c r="E16" s="1">
        <v>8.1484855945287649E-2</v>
      </c>
      <c r="F16" s="56">
        <v>9.9060702230600456E-2</v>
      </c>
      <c r="G16" s="2">
        <v>1.3546730100089053E-2</v>
      </c>
      <c r="H16" s="2">
        <v>1</v>
      </c>
      <c r="I16" s="2">
        <v>-0.22267223072490069</v>
      </c>
      <c r="J16" s="2">
        <v>-0.50808275184290752</v>
      </c>
      <c r="K16" s="2">
        <v>0.22738126495587302</v>
      </c>
      <c r="L16" s="2">
        <v>5.1915045128264253E-2</v>
      </c>
      <c r="M16" s="2">
        <v>-4.8823489194994192E-2</v>
      </c>
      <c r="N16" s="2">
        <v>0.99999999999999878</v>
      </c>
      <c r="O16" s="57"/>
      <c r="R16" s="51" t="str">
        <f t="shared" ref="R16:R22" si="5">A16</f>
        <v>High Yield</v>
      </c>
      <c r="S16" s="52">
        <f t="shared" ref="S16:S22" si="6">D16</f>
        <v>6.6902276501031421E-2</v>
      </c>
      <c r="T16" s="52">
        <f t="shared" ref="T16:T22" si="7">B16-D16</f>
        <v>1.726951321127744E-2</v>
      </c>
      <c r="U16" s="52">
        <f t="shared" ref="U16:U22" si="8">F16-B16</f>
        <v>1.4888912518291594E-2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9.1777316331888431E-2</v>
      </c>
      <c r="C17" s="54">
        <v>2.4283494509809263E-2</v>
      </c>
      <c r="D17" s="55">
        <v>7.2781109975618152E-2</v>
      </c>
      <c r="E17" s="1">
        <v>8.8683260543145376E-2</v>
      </c>
      <c r="F17" s="56">
        <v>0.10893885067669001</v>
      </c>
      <c r="G17" s="2">
        <v>1</v>
      </c>
      <c r="H17" s="2">
        <v>-0.33747974992135299</v>
      </c>
      <c r="I17" s="2">
        <v>5.7484110288317222E-2</v>
      </c>
      <c r="J17" s="2">
        <v>-0.5538572743448521</v>
      </c>
      <c r="K17" s="2">
        <v>0.17936600508040687</v>
      </c>
      <c r="L17" s="2">
        <v>3.9419927770694925E-2</v>
      </c>
      <c r="M17" s="2">
        <v>-4.7982900858997615E-3</v>
      </c>
      <c r="N17" s="2">
        <v>0.99999999999999933</v>
      </c>
      <c r="O17" s="57"/>
      <c r="R17" s="51" t="str">
        <f t="shared" si="5"/>
        <v>Emerging market debt</v>
      </c>
      <c r="S17" s="52">
        <f t="shared" si="6"/>
        <v>7.2781109975618152E-2</v>
      </c>
      <c r="T17" s="52">
        <f t="shared" si="7"/>
        <v>1.8996206356270279E-2</v>
      </c>
      <c r="U17" s="52">
        <f t="shared" si="8"/>
        <v>1.7161534344801582E-2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8.4600009654577771E-2</v>
      </c>
      <c r="C18" s="54">
        <v>6.8734967667166101E-3</v>
      </c>
      <c r="D18" s="55">
        <v>7.8745259110978044E-2</v>
      </c>
      <c r="E18" s="1">
        <v>8.3604835705660352E-2</v>
      </c>
      <c r="F18" s="56">
        <v>8.9407405814665025E-2</v>
      </c>
      <c r="G18" s="2">
        <v>-2.4595777012466902E-2</v>
      </c>
      <c r="H18" s="2">
        <v>-3.5831846903960705E-2</v>
      </c>
      <c r="I18" s="2">
        <v>0.18065136966695919</v>
      </c>
      <c r="J18" s="2">
        <v>1</v>
      </c>
      <c r="K18" s="2">
        <v>1</v>
      </c>
      <c r="L18" s="2">
        <v>0.22424285328599081</v>
      </c>
      <c r="M18" s="2">
        <v>-0.31765744896922998</v>
      </c>
      <c r="N18" s="2">
        <v>1</v>
      </c>
      <c r="O18" s="57"/>
      <c r="R18" s="51" t="str">
        <f t="shared" si="5"/>
        <v>Aandelen ontwikkeld</v>
      </c>
      <c r="S18" s="52">
        <f t="shared" si="6"/>
        <v>7.8745259110978044E-2</v>
      </c>
      <c r="T18" s="52">
        <f t="shared" si="7"/>
        <v>5.8547505435997266E-3</v>
      </c>
      <c r="U18" s="52">
        <f t="shared" si="8"/>
        <v>4.8073961600872545E-3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6.4363685203862667E-2</v>
      </c>
      <c r="C19" s="54">
        <v>1.4797106101116377E-2</v>
      </c>
      <c r="D19" s="55">
        <v>5.3289602851581713E-2</v>
      </c>
      <c r="E19" s="1">
        <v>6.3611292986666984E-2</v>
      </c>
      <c r="F19" s="56">
        <v>7.5341911001608225E-2</v>
      </c>
      <c r="G19" s="2">
        <v>-0.48508355514225471</v>
      </c>
      <c r="H19" s="2">
        <v>-0.15565450024759281</v>
      </c>
      <c r="I19" s="2">
        <v>1</v>
      </c>
      <c r="J19" s="2">
        <v>-0.62315392112305235</v>
      </c>
      <c r="K19" s="2">
        <v>6.0111712516589963E-2</v>
      </c>
      <c r="L19" s="2">
        <v>-5.7074410438660496E-2</v>
      </c>
      <c r="M19" s="2">
        <v>0.13348457983867701</v>
      </c>
      <c r="N19" s="2">
        <v>1</v>
      </c>
      <c r="O19" s="57"/>
      <c r="R19" s="51" t="str">
        <f t="shared" si="5"/>
        <v>Aandelen opkomend</v>
      </c>
      <c r="S19" s="52">
        <f t="shared" si="6"/>
        <v>5.3289602851581713E-2</v>
      </c>
      <c r="T19" s="52">
        <f t="shared" si="7"/>
        <v>1.1074082352280953E-2</v>
      </c>
      <c r="U19" s="52">
        <f t="shared" si="8"/>
        <v>1.0978225797745558E-2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1.9725823367499316E-2</v>
      </c>
      <c r="C20" s="54">
        <v>5.4287504529935771E-3</v>
      </c>
      <c r="D20" s="55">
        <v>1.5327886260825194E-2</v>
      </c>
      <c r="E20" s="1">
        <v>1.9610554654481513E-2</v>
      </c>
      <c r="F20" s="56">
        <v>2.4021237727506816E-2</v>
      </c>
      <c r="G20" s="2">
        <v>5.4667187628105801E-3</v>
      </c>
      <c r="H20" s="2">
        <v>-6.1017443627941982E-4</v>
      </c>
      <c r="I20" s="2">
        <v>-0.18978720168589272</v>
      </c>
      <c r="J20" s="2">
        <v>0.52045751275302765</v>
      </c>
      <c r="K20" s="2">
        <v>-9.409455093445282E-2</v>
      </c>
      <c r="L20" s="2">
        <v>-0.44881037156271508</v>
      </c>
      <c r="M20" s="2">
        <v>1</v>
      </c>
      <c r="N20" s="2">
        <v>0.99999999999999933</v>
      </c>
      <c r="O20" s="57"/>
      <c r="R20" s="51" t="str">
        <f t="shared" si="5"/>
        <v>Commodities</v>
      </c>
      <c r="S20" s="52">
        <f t="shared" si="6"/>
        <v>1.5327886260825194E-2</v>
      </c>
      <c r="T20" s="52">
        <f t="shared" si="7"/>
        <v>4.397937106674122E-3</v>
      </c>
      <c r="U20" s="52">
        <f t="shared" si="8"/>
        <v>4.2954143600075004E-3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2.8249819591705951E-2</v>
      </c>
      <c r="C21" s="54">
        <v>5.4378100591653275E-3</v>
      </c>
      <c r="D21" s="55">
        <v>2.3469351934482373E-2</v>
      </c>
      <c r="E21" s="1">
        <v>2.7644580471602995E-2</v>
      </c>
      <c r="F21" s="56">
        <v>3.2550329222249229E-2</v>
      </c>
      <c r="G21" s="2">
        <v>8.0959512907185695E-3</v>
      </c>
      <c r="H21" s="2">
        <v>-5.2041595143930813E-5</v>
      </c>
      <c r="I21" s="2">
        <v>-4.0541199959080697E-3</v>
      </c>
      <c r="J21" s="2">
        <v>0.32752000254526142</v>
      </c>
      <c r="K21" s="2">
        <v>-0.6830185392616549</v>
      </c>
      <c r="L21" s="2">
        <v>-0.91039123463141003</v>
      </c>
      <c r="M21" s="2">
        <v>-0.62021193836257948</v>
      </c>
      <c r="N21" s="2">
        <v>0.99999999999999833</v>
      </c>
      <c r="O21" s="57"/>
      <c r="R21" s="51" t="str">
        <f t="shared" si="5"/>
        <v>Hedge funds</v>
      </c>
      <c r="S21" s="52">
        <f t="shared" si="6"/>
        <v>2.3469351934482373E-2</v>
      </c>
      <c r="T21" s="52">
        <f t="shared" si="7"/>
        <v>4.7804676572235777E-3</v>
      </c>
      <c r="U21" s="52">
        <f t="shared" si="8"/>
        <v>4.3005096305432783E-3</v>
      </c>
    </row>
    <row r="22" spans="1:30">
      <c r="A22" s="60" t="str">
        <f t="shared" si="4"/>
        <v>Onroerend goed</v>
      </c>
      <c r="B22" s="286">
        <v>4.4030508407018554E-2</v>
      </c>
      <c r="C22" s="62">
        <v>5.7564514382065519E-3</v>
      </c>
      <c r="D22" s="63">
        <v>3.9164770631163873E-2</v>
      </c>
      <c r="E22" s="61">
        <v>4.3360108589595638E-2</v>
      </c>
      <c r="F22" s="64">
        <v>4.8840773732407791E-2</v>
      </c>
      <c r="G22" s="65">
        <v>-4.0627393100456605E-4</v>
      </c>
      <c r="H22" s="65">
        <v>8.4330708472036831E-3</v>
      </c>
      <c r="I22" s="65">
        <v>2.1933896493768718E-2</v>
      </c>
      <c r="J22" s="65">
        <v>0.37424733602695526</v>
      </c>
      <c r="K22" s="65">
        <v>-0.92769262314474799</v>
      </c>
      <c r="L22" s="65">
        <v>1</v>
      </c>
      <c r="M22" s="65">
        <v>-2.2185958531609307E-2</v>
      </c>
      <c r="N22" s="65">
        <v>0.99999999999999967</v>
      </c>
      <c r="O22" s="66"/>
      <c r="R22" s="51" t="str">
        <f t="shared" si="5"/>
        <v>Onroerend goed</v>
      </c>
      <c r="S22" s="52">
        <f t="shared" si="6"/>
        <v>3.9164770631163873E-2</v>
      </c>
      <c r="T22" s="52">
        <f t="shared" si="7"/>
        <v>4.865737775854681E-3</v>
      </c>
      <c r="U22" s="52">
        <f t="shared" si="8"/>
        <v>4.8102653253892375E-3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9" t="s">
        <v>64</v>
      </c>
      <c r="E24" s="400"/>
      <c r="F24" s="401"/>
      <c r="G24" s="399" t="s">
        <v>65</v>
      </c>
      <c r="H24" s="400"/>
      <c r="I24" s="400"/>
      <c r="J24" s="400"/>
      <c r="K24" s="400"/>
      <c r="L24" s="400"/>
      <c r="M24" s="400"/>
      <c r="N24" s="400"/>
      <c r="O24" s="401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0.53871708620467629</v>
      </c>
      <c r="H25" s="272">
        <v>0.20348806699369104</v>
      </c>
      <c r="I25" s="272">
        <v>0.17499469571385817</v>
      </c>
      <c r="J25" s="272">
        <v>3.4027431334491598E-2</v>
      </c>
      <c r="K25" s="272">
        <v>1.9685016607963068E-2</v>
      </c>
      <c r="L25" s="272">
        <v>1.9393908099328394E-2</v>
      </c>
      <c r="M25" s="272">
        <v>9.6937950459923261E-3</v>
      </c>
      <c r="N25" s="272">
        <v>-2.2204460492503131E-16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0.61561843375329872</v>
      </c>
      <c r="C26" s="54">
        <v>2.1720552874750308E-2</v>
      </c>
      <c r="D26" s="55">
        <v>0.6014250200967417</v>
      </c>
      <c r="E26" s="1">
        <v>0.61836921466158734</v>
      </c>
      <c r="F26" s="56">
        <v>0.63308892728294142</v>
      </c>
      <c r="G26" s="68">
        <v>-0.94213899259801415</v>
      </c>
      <c r="H26" s="68">
        <v>-0.6561778499658697</v>
      </c>
      <c r="I26" s="68">
        <v>-0.22643588656077498</v>
      </c>
      <c r="J26" s="68">
        <v>-0.63509035907515055</v>
      </c>
      <c r="K26" s="68">
        <v>5.5736076419618072E-2</v>
      </c>
      <c r="L26" s="2">
        <v>-2.5241793422650691E-2</v>
      </c>
      <c r="M26" s="2">
        <v>-0.16581535285591367</v>
      </c>
      <c r="N26" s="2">
        <v>1</v>
      </c>
      <c r="O26" s="69"/>
      <c r="R26" s="51" t="str">
        <f>A26</f>
        <v>Nominale matching</v>
      </c>
      <c r="S26" s="52">
        <f>D26</f>
        <v>0.6014250200967417</v>
      </c>
      <c r="T26" s="52">
        <f>B26-D26</f>
        <v>1.4193413656557019E-2</v>
      </c>
      <c r="U26" s="52">
        <f>F26-B26</f>
        <v>1.7470493529642694E-2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7.3540268530135622E-2</v>
      </c>
      <c r="C27" s="54">
        <v>1.5215478060090834E-2</v>
      </c>
      <c r="D27" s="55">
        <v>6.1097823191227793E-2</v>
      </c>
      <c r="E27" s="1">
        <v>7.1598348941221107E-2</v>
      </c>
      <c r="F27" s="56">
        <v>8.4162193082321798E-2</v>
      </c>
      <c r="G27" s="68">
        <v>2.2900395702392468E-2</v>
      </c>
      <c r="H27" s="68">
        <v>1</v>
      </c>
      <c r="I27" s="68">
        <v>-0.59859028561681793</v>
      </c>
      <c r="J27" s="68">
        <v>-0.59432307756996128</v>
      </c>
      <c r="K27" s="68">
        <v>8.7642456197803226E-2</v>
      </c>
      <c r="L27" s="2">
        <v>-2.0827284733589232E-2</v>
      </c>
      <c r="M27" s="2">
        <v>-4.0115589805951965E-2</v>
      </c>
      <c r="N27" s="2">
        <v>0.99999999999999833</v>
      </c>
      <c r="O27" s="69"/>
      <c r="R27" s="51" t="str">
        <f t="shared" ref="R27:R33" si="10">A27</f>
        <v>High Yield</v>
      </c>
      <c r="S27" s="52">
        <f t="shared" ref="S27:S33" si="11">D27</f>
        <v>6.1097823191227793E-2</v>
      </c>
      <c r="T27" s="52">
        <f t="shared" ref="T27:T33" si="12">B27-D27</f>
        <v>1.2442445338907829E-2</v>
      </c>
      <c r="U27" s="52">
        <f t="shared" ref="U27:U33" si="13">F27-B27</f>
        <v>1.0621924552186177E-2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9.5842649187610207E-2</v>
      </c>
      <c r="C28" s="54">
        <v>2.2575337188234321E-2</v>
      </c>
      <c r="D28" s="55">
        <v>7.8194652662564673E-2</v>
      </c>
      <c r="E28" s="1">
        <v>9.3137072433059687E-2</v>
      </c>
      <c r="F28" s="56">
        <v>0.11259554726574875</v>
      </c>
      <c r="G28" s="68">
        <v>1</v>
      </c>
      <c r="H28" s="68">
        <v>-0.63001237379573249</v>
      </c>
      <c r="I28" s="68">
        <v>-0.16225402496434113</v>
      </c>
      <c r="J28" s="68">
        <v>-0.57939027405111154</v>
      </c>
      <c r="K28" s="68">
        <v>8.3824041683195946E-2</v>
      </c>
      <c r="L28" s="2">
        <v>-2.1679687182751661E-2</v>
      </c>
      <c r="M28" s="2">
        <v>-0.14496282335162422</v>
      </c>
      <c r="N28" s="2">
        <v>1</v>
      </c>
      <c r="O28" s="69"/>
      <c r="R28" s="51" t="str">
        <f t="shared" si="10"/>
        <v>Emerging market debt</v>
      </c>
      <c r="S28" s="52">
        <f t="shared" si="11"/>
        <v>7.8194652662564673E-2</v>
      </c>
      <c r="T28" s="52">
        <f t="shared" si="12"/>
        <v>1.7647996525045534E-2</v>
      </c>
      <c r="U28" s="52">
        <f t="shared" si="13"/>
        <v>1.6752898078138539E-2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8.0206337700230793E-2</v>
      </c>
      <c r="C29" s="54">
        <v>4.1066442764511775E-3</v>
      </c>
      <c r="D29" s="55">
        <v>7.6745950989545758E-2</v>
      </c>
      <c r="E29" s="1">
        <v>7.9057876527667173E-2</v>
      </c>
      <c r="F29" s="56">
        <v>8.3074747026343876E-2</v>
      </c>
      <c r="G29" s="68">
        <v>-2.1997292078095525E-2</v>
      </c>
      <c r="H29" s="68">
        <v>-0.11627413698267025</v>
      </c>
      <c r="I29" s="68">
        <v>-9.1892412761142728E-3</v>
      </c>
      <c r="J29" s="68">
        <v>0.26965046307378193</v>
      </c>
      <c r="K29" s="68">
        <v>0.31038271666976996</v>
      </c>
      <c r="L29" s="2">
        <v>-0.13116885559569147</v>
      </c>
      <c r="M29" s="2">
        <v>1</v>
      </c>
      <c r="N29" s="2">
        <v>0.99999999999999356</v>
      </c>
      <c r="O29" s="69"/>
      <c r="R29" s="51" t="str">
        <f t="shared" si="10"/>
        <v>Aandelen ontwikkeld</v>
      </c>
      <c r="S29" s="52">
        <f t="shared" si="11"/>
        <v>7.6745950989545758E-2</v>
      </c>
      <c r="T29" s="52">
        <f t="shared" si="12"/>
        <v>3.4603867106850345E-3</v>
      </c>
      <c r="U29" s="52">
        <f t="shared" si="13"/>
        <v>2.8684093261130833E-3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4.5517395091864837E-2</v>
      </c>
      <c r="C30" s="54">
        <v>1.4555553665162695E-2</v>
      </c>
      <c r="D30" s="55">
        <v>3.4255315238604117E-2</v>
      </c>
      <c r="E30" s="1">
        <v>4.3081026853087345E-2</v>
      </c>
      <c r="F30" s="56">
        <v>5.3870495043267658E-2</v>
      </c>
      <c r="G30" s="68">
        <v>-3.7022716845594723E-2</v>
      </c>
      <c r="H30" s="68">
        <v>0.34618641515602933</v>
      </c>
      <c r="I30" s="68">
        <v>1</v>
      </c>
      <c r="J30" s="68">
        <v>-0.59703832487435748</v>
      </c>
      <c r="K30" s="68">
        <v>3.8191530605170727E-2</v>
      </c>
      <c r="L30" s="2">
        <v>-3.0903695682382375E-2</v>
      </c>
      <c r="M30" s="2">
        <v>-6.9759470334846918E-2</v>
      </c>
      <c r="N30" s="2">
        <v>0.99999999999999956</v>
      </c>
      <c r="O30" s="69"/>
      <c r="R30" s="51" t="str">
        <f t="shared" si="10"/>
        <v>Aandelen opkomend</v>
      </c>
      <c r="S30" s="52">
        <f t="shared" si="11"/>
        <v>3.4255315238604117E-2</v>
      </c>
      <c r="T30" s="52">
        <f t="shared" si="12"/>
        <v>1.126207985326072E-2</v>
      </c>
      <c r="U30" s="52">
        <f t="shared" si="13"/>
        <v>8.3530999514028204E-3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1.8756268542452055E-2</v>
      </c>
      <c r="C31" s="54">
        <v>5.6166969867126708E-3</v>
      </c>
      <c r="D31" s="55">
        <v>1.3720334091612879E-2</v>
      </c>
      <c r="E31" s="1">
        <v>1.7970905279757064E-2</v>
      </c>
      <c r="F31" s="56">
        <v>2.35117888136725E-2</v>
      </c>
      <c r="G31" s="68">
        <v>-2.2677173559938573E-2</v>
      </c>
      <c r="H31" s="68">
        <v>4.0350081036383829E-2</v>
      </c>
      <c r="I31" s="68">
        <v>2.1020646162066E-2</v>
      </c>
      <c r="J31" s="68">
        <v>1</v>
      </c>
      <c r="K31" s="68">
        <v>1</v>
      </c>
      <c r="L31" s="2">
        <v>-6.1529105035741397E-2</v>
      </c>
      <c r="M31" s="2">
        <v>-0.42856940422358469</v>
      </c>
      <c r="N31" s="2">
        <v>0.99999999999999911</v>
      </c>
      <c r="O31" s="69"/>
      <c r="R31" s="51" t="str">
        <f t="shared" si="10"/>
        <v>Commodities</v>
      </c>
      <c r="S31" s="52">
        <f t="shared" si="11"/>
        <v>1.3720334091612879E-2</v>
      </c>
      <c r="T31" s="52">
        <f t="shared" si="12"/>
        <v>5.0359344508391756E-3</v>
      </c>
      <c r="U31" s="52">
        <f t="shared" si="13"/>
        <v>4.7555202712204446E-3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2.7995414270465917E-2</v>
      </c>
      <c r="C32" s="54">
        <v>5.3777576694195349E-3</v>
      </c>
      <c r="D32" s="55">
        <v>2.363281493074678E-2</v>
      </c>
      <c r="E32" s="1">
        <v>2.7188586229836519E-2</v>
      </c>
      <c r="F32" s="56">
        <v>3.2312737909274726E-2</v>
      </c>
      <c r="G32" s="68">
        <v>4.6734108966351448E-3</v>
      </c>
      <c r="H32" s="68">
        <v>1.6031700457286191E-2</v>
      </c>
      <c r="I32" s="68">
        <v>-1.9806675660241614E-2</v>
      </c>
      <c r="J32" s="68">
        <v>0.64303025321389007</v>
      </c>
      <c r="K32" s="68">
        <v>-0.98571893561783719</v>
      </c>
      <c r="L32" s="2">
        <v>-0.70864957834719422</v>
      </c>
      <c r="M32" s="2">
        <v>-0.14353860290862364</v>
      </c>
      <c r="N32" s="2">
        <v>0.99999999999999811</v>
      </c>
      <c r="O32" s="69"/>
      <c r="R32" s="51" t="str">
        <f t="shared" si="10"/>
        <v>Hedge funds</v>
      </c>
      <c r="S32" s="52">
        <f t="shared" si="11"/>
        <v>2.363281493074678E-2</v>
      </c>
      <c r="T32" s="52">
        <f t="shared" si="12"/>
        <v>4.3625993397191365E-3</v>
      </c>
      <c r="U32" s="52">
        <f t="shared" si="13"/>
        <v>4.3173236388088093E-3</v>
      </c>
    </row>
    <row r="33" spans="1:30">
      <c r="A33" s="60" t="str">
        <f t="shared" si="9"/>
        <v>Onroerend goed</v>
      </c>
      <c r="B33" s="61">
        <v>4.2523232923941445E-2</v>
      </c>
      <c r="C33" s="62">
        <v>5.2675883964158603E-3</v>
      </c>
      <c r="D33" s="63">
        <v>3.7879442732762045E-2</v>
      </c>
      <c r="E33" s="61">
        <v>4.1678544505361584E-2</v>
      </c>
      <c r="F33" s="64">
        <v>4.6186406864549764E-2</v>
      </c>
      <c r="G33" s="70">
        <v>-3.7376315173847947E-3</v>
      </c>
      <c r="H33" s="70">
        <v>-1.0383590542653972E-4</v>
      </c>
      <c r="I33" s="70">
        <v>-4.7445320837763288E-3</v>
      </c>
      <c r="J33" s="70">
        <v>0.49316131928291251</v>
      </c>
      <c r="K33" s="70">
        <v>-0.59005788595772057</v>
      </c>
      <c r="L33" s="65">
        <v>1</v>
      </c>
      <c r="M33" s="65">
        <v>-7.2387565194494911E-3</v>
      </c>
      <c r="N33" s="65">
        <v>0.99999999999999789</v>
      </c>
      <c r="O33" s="71"/>
      <c r="R33" s="51" t="str">
        <f t="shared" si="10"/>
        <v>Onroerend goed</v>
      </c>
      <c r="S33" s="52">
        <f t="shared" si="11"/>
        <v>3.7879442732762045E-2</v>
      </c>
      <c r="T33" s="52">
        <f t="shared" si="12"/>
        <v>4.6437901911794005E-3</v>
      </c>
      <c r="U33" s="52">
        <f t="shared" si="13"/>
        <v>3.6631739406083191E-3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9" t="s">
        <v>64</v>
      </c>
      <c r="E35" s="400"/>
      <c r="F35" s="401"/>
      <c r="G35" s="399" t="s">
        <v>65</v>
      </c>
      <c r="H35" s="400"/>
      <c r="I35" s="400"/>
      <c r="J35" s="400"/>
      <c r="K35" s="400"/>
      <c r="L35" s="400"/>
      <c r="M35" s="400"/>
      <c r="N35" s="400"/>
      <c r="O35" s="401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0.44656894374253409</v>
      </c>
      <c r="H36" s="272">
        <v>0.27779208618584106</v>
      </c>
      <c r="I36" s="272">
        <v>0.15228652635417517</v>
      </c>
      <c r="J36" s="272">
        <v>5.6085042805018581E-2</v>
      </c>
      <c r="K36" s="272">
        <v>2.9995125272313516E-2</v>
      </c>
      <c r="L36" s="272">
        <v>2.4265916795649489E-2</v>
      </c>
      <c r="M36" s="272">
        <v>1.3006358844466992E-2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0.58593601864408429</v>
      </c>
      <c r="C37" s="54">
        <v>1.4777959935960865E-2</v>
      </c>
      <c r="D37" s="55">
        <v>0.57593815025854544</v>
      </c>
      <c r="E37" s="1">
        <v>0.58613245551651949</v>
      </c>
      <c r="F37" s="56">
        <v>0.59570149924534987</v>
      </c>
      <c r="G37" s="2">
        <v>-0.56089906255555133</v>
      </c>
      <c r="H37" s="2">
        <v>-0.41806040020440716</v>
      </c>
      <c r="I37" s="2">
        <v>-0.1379308889846427</v>
      </c>
      <c r="J37" s="2">
        <v>-0.96911690515278259</v>
      </c>
      <c r="K37" s="2">
        <v>-0.49755117017087719</v>
      </c>
      <c r="L37" s="2">
        <v>2.2673862863594556E-2</v>
      </c>
      <c r="M37" s="2">
        <v>-0.50213627500552893</v>
      </c>
      <c r="N37" s="2">
        <v>0.99999999999999978</v>
      </c>
      <c r="O37" s="57"/>
      <c r="R37" s="51" t="str">
        <f>A37</f>
        <v>Nominale matching</v>
      </c>
      <c r="S37" s="52">
        <f>D37</f>
        <v>0.57593815025854544</v>
      </c>
      <c r="T37" s="52">
        <f>B37-D37</f>
        <v>9.9978683855388439E-3</v>
      </c>
      <c r="U37" s="52">
        <f>F37-B37</f>
        <v>9.7654806012655859E-3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8.4153773744813351E-2</v>
      </c>
      <c r="C38" s="54">
        <v>2.1703885358236037E-2</v>
      </c>
      <c r="D38" s="55">
        <v>6.6661265310840601E-2</v>
      </c>
      <c r="E38" s="1">
        <v>8.1764673760119477E-2</v>
      </c>
      <c r="F38" s="56">
        <v>9.893219031823336E-2</v>
      </c>
      <c r="G38" s="2">
        <v>1</v>
      </c>
      <c r="H38" s="2">
        <v>-0.30167846311411306</v>
      </c>
      <c r="I38" s="2">
        <v>-0.20944689106409156</v>
      </c>
      <c r="J38" s="2">
        <v>-9.4375705882547081E-2</v>
      </c>
      <c r="K38" s="2">
        <v>-0.38395238916975205</v>
      </c>
      <c r="L38" s="2">
        <v>3.8183934945588839E-2</v>
      </c>
      <c r="M38" s="2">
        <v>-0.18048358381326071</v>
      </c>
      <c r="N38" s="2">
        <v>0.99999999999999867</v>
      </c>
      <c r="O38" s="57"/>
      <c r="R38" s="51" t="str">
        <f t="shared" ref="R38:R44" si="15">A38</f>
        <v>High Yield</v>
      </c>
      <c r="S38" s="52">
        <f t="shared" ref="S38:S44" si="16">D38</f>
        <v>6.6661265310840601E-2</v>
      </c>
      <c r="T38" s="52">
        <f t="shared" ref="T38:T44" si="17">B38-D38</f>
        <v>1.749250843397275E-2</v>
      </c>
      <c r="U38" s="52">
        <f t="shared" ref="U38:U44" si="18">F38-B38</f>
        <v>1.4778416573420008E-2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7.5068039564694641E-2</v>
      </c>
      <c r="C39" s="54">
        <v>1.7203565556963358E-2</v>
      </c>
      <c r="D39" s="55">
        <v>6.1590549393402555E-2</v>
      </c>
      <c r="E39" s="1">
        <v>7.2512111059212292E-2</v>
      </c>
      <c r="F39" s="56">
        <v>8.4784474079343392E-2</v>
      </c>
      <c r="G39" s="2">
        <v>-1.079069753901148E-2</v>
      </c>
      <c r="H39" s="2">
        <v>1</v>
      </c>
      <c r="I39" s="2">
        <v>-6.8395244420312862E-2</v>
      </c>
      <c r="J39" s="2">
        <v>-5.8516143270200702E-2</v>
      </c>
      <c r="K39" s="2">
        <v>-0.455027308704961</v>
      </c>
      <c r="L39" s="2">
        <v>5.6402841593093042E-2</v>
      </c>
      <c r="M39" s="2">
        <v>-0.23653726529798372</v>
      </c>
      <c r="N39" s="2">
        <v>1</v>
      </c>
      <c r="O39" s="57"/>
      <c r="R39" s="51" t="str">
        <f t="shared" si="15"/>
        <v>Emerging market debt</v>
      </c>
      <c r="S39" s="52">
        <f t="shared" si="16"/>
        <v>6.1590549393402555E-2</v>
      </c>
      <c r="T39" s="52">
        <f t="shared" si="17"/>
        <v>1.3477490171292086E-2</v>
      </c>
      <c r="U39" s="52">
        <f t="shared" si="18"/>
        <v>9.7164345146487502E-3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9.446061324958123E-2</v>
      </c>
      <c r="C40" s="54">
        <v>1.2326671809362338E-2</v>
      </c>
      <c r="D40" s="55">
        <v>8.4402381967937784E-2</v>
      </c>
      <c r="E40" s="1">
        <v>9.2913833596081796E-2</v>
      </c>
      <c r="F40" s="56">
        <v>0.1033266917914753</v>
      </c>
      <c r="G40" s="2">
        <v>-0.15203616898320904</v>
      </c>
      <c r="H40" s="2">
        <v>-0.20559573262165248</v>
      </c>
      <c r="I40" s="2">
        <v>1</v>
      </c>
      <c r="J40" s="2">
        <v>0.96301158119158026</v>
      </c>
      <c r="K40" s="2">
        <v>-0.37156527379248777</v>
      </c>
      <c r="L40" s="2">
        <v>5.6755969301508051E-2</v>
      </c>
      <c r="M40" s="2">
        <v>-2.5858651749189533E-2</v>
      </c>
      <c r="N40" s="2">
        <v>0.99999999999999944</v>
      </c>
      <c r="O40" s="57"/>
      <c r="R40" s="51" t="str">
        <f t="shared" si="15"/>
        <v>Aandelen ontwikkeld</v>
      </c>
      <c r="S40" s="52">
        <f t="shared" si="16"/>
        <v>8.4402381967937784E-2</v>
      </c>
      <c r="T40" s="52">
        <f t="shared" si="17"/>
        <v>1.0058231281643445E-2</v>
      </c>
      <c r="U40" s="52">
        <f t="shared" si="18"/>
        <v>8.8660785418940707E-3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6.7181325786582077E-2</v>
      </c>
      <c r="C41" s="54">
        <v>1.2768128605979709E-2</v>
      </c>
      <c r="D41" s="55">
        <v>5.7787183761620883E-2</v>
      </c>
      <c r="E41" s="1">
        <v>6.7460319762958187E-2</v>
      </c>
      <c r="F41" s="56">
        <v>7.59541580536299E-2</v>
      </c>
      <c r="G41" s="2">
        <v>-0.30066161718038026</v>
      </c>
      <c r="H41" s="2">
        <v>-0.15298298030627408</v>
      </c>
      <c r="I41" s="2">
        <v>-0.9355647901645836</v>
      </c>
      <c r="J41" s="2">
        <v>1</v>
      </c>
      <c r="K41" s="2">
        <v>-8.7045973122763187E-2</v>
      </c>
      <c r="L41" s="2">
        <v>1.0446350884502666E-2</v>
      </c>
      <c r="M41" s="2">
        <v>0.35105591927576929</v>
      </c>
      <c r="N41" s="2">
        <v>0.99999999999999922</v>
      </c>
      <c r="O41" s="57"/>
      <c r="R41" s="51" t="str">
        <f t="shared" si="15"/>
        <v>Aandelen opkomend</v>
      </c>
      <c r="S41" s="52">
        <f t="shared" si="16"/>
        <v>5.7787183761620883E-2</v>
      </c>
      <c r="T41" s="52">
        <f t="shared" si="17"/>
        <v>9.394142024961194E-3</v>
      </c>
      <c r="U41" s="52">
        <f t="shared" si="18"/>
        <v>8.7728322670478226E-3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2.0740318804958954E-2</v>
      </c>
      <c r="C42" s="54">
        <v>5.6744963306055423E-3</v>
      </c>
      <c r="D42" s="55">
        <v>1.5744386464659525E-2</v>
      </c>
      <c r="E42" s="1">
        <v>2.0961265546234946E-2</v>
      </c>
      <c r="F42" s="56">
        <v>2.5820817852382091E-2</v>
      </c>
      <c r="G42" s="2">
        <v>7.1063320017199479E-3</v>
      </c>
      <c r="H42" s="2">
        <v>3.4647776505599581E-2</v>
      </c>
      <c r="I42" s="2">
        <v>0.22583813643103592</v>
      </c>
      <c r="J42" s="2">
        <v>-0.69642799472632977</v>
      </c>
      <c r="K42" s="2">
        <v>4.5046825961715657E-2</v>
      </c>
      <c r="L42" s="2">
        <v>-0.53193454685951491</v>
      </c>
      <c r="M42" s="2">
        <v>1</v>
      </c>
      <c r="N42" s="2">
        <v>0.99999999999999867</v>
      </c>
      <c r="O42" s="57"/>
      <c r="R42" s="51" t="str">
        <f t="shared" si="15"/>
        <v>Commodities</v>
      </c>
      <c r="S42" s="52">
        <f t="shared" si="16"/>
        <v>1.5744386464659525E-2</v>
      </c>
      <c r="T42" s="52">
        <f t="shared" si="17"/>
        <v>4.9959323402994291E-3</v>
      </c>
      <c r="U42" s="52">
        <f t="shared" si="18"/>
        <v>5.0804990474231371E-3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2.7706541668640661E-2</v>
      </c>
      <c r="C43" s="54">
        <v>5.5573750302483531E-3</v>
      </c>
      <c r="D43" s="55">
        <v>2.2991762362304439E-2</v>
      </c>
      <c r="E43" s="1">
        <v>2.6740898084896585E-2</v>
      </c>
      <c r="F43" s="56">
        <v>3.126192742277191E-2</v>
      </c>
      <c r="G43" s="2">
        <v>1.6089825860346248E-2</v>
      </c>
      <c r="H43" s="2">
        <v>2.8669448404043289E-2</v>
      </c>
      <c r="I43" s="2">
        <v>2.2613035706849225E-2</v>
      </c>
      <c r="J43" s="2">
        <v>0.15860819448575628</v>
      </c>
      <c r="K43" s="2">
        <v>1</v>
      </c>
      <c r="L43" s="2">
        <v>-0.65252841272877293</v>
      </c>
      <c r="M43" s="2">
        <v>-0.58540196871457151</v>
      </c>
      <c r="N43" s="2">
        <v>0.99999999999999789</v>
      </c>
      <c r="O43" s="57"/>
      <c r="R43" s="51" t="str">
        <f t="shared" si="15"/>
        <v>Hedge funds</v>
      </c>
      <c r="S43" s="52">
        <f t="shared" si="16"/>
        <v>2.2991762362304439E-2</v>
      </c>
      <c r="T43" s="52">
        <f t="shared" si="17"/>
        <v>4.7147793063362226E-3</v>
      </c>
      <c r="U43" s="52">
        <f t="shared" si="18"/>
        <v>3.5553857541312482E-3</v>
      </c>
    </row>
    <row r="44" spans="1:30">
      <c r="A44" s="60" t="str">
        <f t="shared" si="14"/>
        <v>Onroerend goed</v>
      </c>
      <c r="B44" s="61">
        <v>4.475336853664437E-2</v>
      </c>
      <c r="C44" s="62">
        <v>5.788979808822977E-3</v>
      </c>
      <c r="D44" s="63">
        <v>3.9394489318142795E-2</v>
      </c>
      <c r="E44" s="61">
        <v>4.4550080430645705E-2</v>
      </c>
      <c r="F44" s="64">
        <v>5.0034742240000811E-2</v>
      </c>
      <c r="G44" s="65">
        <v>1.1913883960867548E-3</v>
      </c>
      <c r="H44" s="65">
        <v>1.5000351336803185E-2</v>
      </c>
      <c r="I44" s="65">
        <v>0.10288664249574543</v>
      </c>
      <c r="J44" s="65">
        <v>-0.30318302664547603</v>
      </c>
      <c r="K44" s="65">
        <v>0.75009528899912781</v>
      </c>
      <c r="L44" s="65">
        <v>1</v>
      </c>
      <c r="M44" s="65">
        <v>0.17936182530476522</v>
      </c>
      <c r="N44" s="65">
        <v>0.99999999999999867</v>
      </c>
      <c r="O44" s="66"/>
      <c r="R44" s="51" t="str">
        <f t="shared" si="15"/>
        <v>Onroerend goed</v>
      </c>
      <c r="S44" s="52">
        <f t="shared" si="16"/>
        <v>3.9394489318142795E-2</v>
      </c>
      <c r="T44" s="52">
        <f t="shared" si="17"/>
        <v>5.3588792185015749E-3</v>
      </c>
      <c r="U44" s="52">
        <f t="shared" si="18"/>
        <v>5.2813737033564415E-3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9" t="s">
        <v>64</v>
      </c>
      <c r="E46" s="400"/>
      <c r="F46" s="401"/>
      <c r="G46" s="399" t="s">
        <v>65</v>
      </c>
      <c r="H46" s="400"/>
      <c r="I46" s="400"/>
      <c r="J46" s="400"/>
      <c r="K46" s="400"/>
      <c r="L46" s="400"/>
      <c r="M46" s="400"/>
      <c r="N46" s="400"/>
      <c r="O46" s="401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0.66764919330912553</v>
      </c>
      <c r="H47" s="272">
        <v>0.13646809095966672</v>
      </c>
      <c r="I47" s="272">
        <v>5.4558128629676683E-2</v>
      </c>
      <c r="J47" s="272">
        <v>4.4653896884048416E-2</v>
      </c>
      <c r="K47" s="272">
        <v>4.1101670171754257E-2</v>
      </c>
      <c r="L47" s="272">
        <v>3.0608036209872957E-2</v>
      </c>
      <c r="M47" s="272">
        <v>2.4960983835850437E-2</v>
      </c>
      <c r="N47" s="272">
        <v>1.1102230246251565E-16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0.64478697958152897</v>
      </c>
      <c r="C48" s="54">
        <v>5.388501222514953E-3</v>
      </c>
      <c r="D48" s="55">
        <v>0.64145310121515631</v>
      </c>
      <c r="E48" s="1">
        <v>0.645657073671148</v>
      </c>
      <c r="F48" s="56">
        <v>0.64890745606565414</v>
      </c>
      <c r="G48" s="68">
        <v>-3.4040222626587978E-2</v>
      </c>
      <c r="H48" s="68">
        <v>-0.4292523995320956</v>
      </c>
      <c r="I48" s="68">
        <v>-1.0461980285037104E-2</v>
      </c>
      <c r="J48" s="68">
        <v>-0.41251612782872626</v>
      </c>
      <c r="K48" s="68">
        <v>-0.32435343574898273</v>
      </c>
      <c r="L48" s="2">
        <v>1</v>
      </c>
      <c r="M48" s="2">
        <v>-0.44501467149403962</v>
      </c>
      <c r="N48" s="2">
        <v>0.99999999999999845</v>
      </c>
      <c r="O48" s="69"/>
      <c r="R48" s="51" t="str">
        <f>A48</f>
        <v>Nominale matching</v>
      </c>
      <c r="S48" s="52">
        <f>D48</f>
        <v>0.64145310121515631</v>
      </c>
      <c r="T48" s="52">
        <f>B48-D48</f>
        <v>3.3338783663726668E-3</v>
      </c>
      <c r="U48" s="52">
        <f>F48-B48</f>
        <v>4.1204764841251684E-3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8.2937654470488245E-2</v>
      </c>
      <c r="C49" s="54">
        <v>1.7676060638049721E-2</v>
      </c>
      <c r="D49" s="55">
        <v>6.9653819383725904E-2</v>
      </c>
      <c r="E49" s="1">
        <v>8.1502326526492475E-2</v>
      </c>
      <c r="F49" s="56">
        <v>9.601621874323725E-2</v>
      </c>
      <c r="G49" s="68">
        <v>1</v>
      </c>
      <c r="H49" s="68">
        <v>0.96067507702551558</v>
      </c>
      <c r="I49" s="68">
        <v>4.2844851717361909E-2</v>
      </c>
      <c r="J49" s="68">
        <v>-2.7676742918341024E-3</v>
      </c>
      <c r="K49" s="68">
        <v>-5.2311125990363146E-2</v>
      </c>
      <c r="L49" s="2">
        <v>1.8392621428621796E-2</v>
      </c>
      <c r="M49" s="2">
        <v>-9.2765618595990793E-2</v>
      </c>
      <c r="N49" s="2">
        <v>0.99999999999999867</v>
      </c>
      <c r="O49" s="69"/>
      <c r="R49" s="51" t="str">
        <f t="shared" ref="R49:R55" si="20">A49</f>
        <v>High Yield</v>
      </c>
      <c r="S49" s="52">
        <f t="shared" ref="S49:S55" si="21">D49</f>
        <v>6.9653819383725904E-2</v>
      </c>
      <c r="T49" s="52">
        <f t="shared" ref="T49:T55" si="22">B49-D49</f>
        <v>1.3283835086762341E-2</v>
      </c>
      <c r="U49" s="52">
        <f t="shared" ref="U49:U55" si="23">F49-B49</f>
        <v>1.3078564272749005E-2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7.8468977353536681E-2</v>
      </c>
      <c r="C50" s="54">
        <v>1.7373825505454993E-2</v>
      </c>
      <c r="D50" s="55">
        <v>6.3866473911170923E-2</v>
      </c>
      <c r="E50" s="1">
        <v>7.7175026396941807E-2</v>
      </c>
      <c r="F50" s="56">
        <v>9.1523327535386237E-2</v>
      </c>
      <c r="G50" s="68">
        <v>-0.97455701707372266</v>
      </c>
      <c r="H50" s="68">
        <v>1</v>
      </c>
      <c r="I50" s="68">
        <v>4.6995574308131734E-2</v>
      </c>
      <c r="J50" s="68">
        <v>7.3442470503096947E-3</v>
      </c>
      <c r="K50" s="68">
        <v>-5.5994983693124736E-2</v>
      </c>
      <c r="L50" s="2">
        <v>-9.2014001788846035E-3</v>
      </c>
      <c r="M50" s="2">
        <v>-5.301742255642504E-2</v>
      </c>
      <c r="N50" s="2">
        <v>0.99999999999999867</v>
      </c>
      <c r="O50" s="69"/>
      <c r="R50" s="51" t="str">
        <f t="shared" si="20"/>
        <v>Emerging market debt</v>
      </c>
      <c r="S50" s="52">
        <f t="shared" si="21"/>
        <v>6.3866473911170923E-2</v>
      </c>
      <c r="T50" s="52">
        <f t="shared" si="22"/>
        <v>1.4602503442365758E-2</v>
      </c>
      <c r="U50" s="52">
        <f t="shared" si="23"/>
        <v>1.3054350181849556E-2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8.1233802875941272E-2</v>
      </c>
      <c r="C51" s="54">
        <v>6.3787886883335974E-3</v>
      </c>
      <c r="D51" s="55">
        <v>7.6404320847792889E-2</v>
      </c>
      <c r="E51" s="1">
        <v>7.9536038379224572E-2</v>
      </c>
      <c r="F51" s="56">
        <v>8.469910810826406E-2</v>
      </c>
      <c r="G51" s="68">
        <v>2.1031098214611232E-3</v>
      </c>
      <c r="H51" s="68">
        <v>-0.41389255733808378</v>
      </c>
      <c r="I51" s="68">
        <v>1</v>
      </c>
      <c r="J51" s="68">
        <v>-8.3060661871965424E-2</v>
      </c>
      <c r="K51" s="68">
        <v>3.2661693429778412E-3</v>
      </c>
      <c r="L51" s="2">
        <v>-0.44285156612408855</v>
      </c>
      <c r="M51" s="2">
        <v>1.1412311213637248E-2</v>
      </c>
      <c r="N51" s="2">
        <v>0.99999999999999867</v>
      </c>
      <c r="O51" s="69"/>
      <c r="R51" s="51" t="str">
        <f t="shared" si="20"/>
        <v>Aandelen ontwikkeld</v>
      </c>
      <c r="S51" s="52">
        <f t="shared" si="21"/>
        <v>7.6404320847792889E-2</v>
      </c>
      <c r="T51" s="52">
        <f t="shared" si="22"/>
        <v>4.8294820281483825E-3</v>
      </c>
      <c r="U51" s="52">
        <f t="shared" si="23"/>
        <v>3.4653052323227879E-3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2.9819738017547146E-2</v>
      </c>
      <c r="C52" s="54">
        <v>5.6000645270483261E-3</v>
      </c>
      <c r="D52" s="55">
        <v>2.5700844805604511E-2</v>
      </c>
      <c r="E52" s="1">
        <v>2.8297539908543876E-2</v>
      </c>
      <c r="F52" s="56">
        <v>3.2934216725844234E-2</v>
      </c>
      <c r="G52" s="68">
        <v>6.4751420478644413E-3</v>
      </c>
      <c r="H52" s="68">
        <v>-0.3212538913698878</v>
      </c>
      <c r="I52" s="68">
        <v>-0.51222959378885136</v>
      </c>
      <c r="J52" s="68">
        <v>-0.36772625672541315</v>
      </c>
      <c r="K52" s="68">
        <v>-0.59174146761283231</v>
      </c>
      <c r="L52" s="2">
        <v>-0.8098309576515913</v>
      </c>
      <c r="M52" s="2">
        <v>0.13141017380074588</v>
      </c>
      <c r="N52" s="2">
        <v>0.99999999999999833</v>
      </c>
      <c r="O52" s="69"/>
      <c r="R52" s="51" t="str">
        <f t="shared" si="20"/>
        <v>Aandelen opkomend</v>
      </c>
      <c r="S52" s="52">
        <f t="shared" si="21"/>
        <v>2.5700844805604511E-2</v>
      </c>
      <c r="T52" s="52">
        <f t="shared" si="22"/>
        <v>4.1188932119426355E-3</v>
      </c>
      <c r="U52" s="52">
        <f t="shared" si="23"/>
        <v>3.114478708297088E-3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1.3431413252214346E-2</v>
      </c>
      <c r="C53" s="54">
        <v>4.4163973891068135E-3</v>
      </c>
      <c r="D53" s="55">
        <v>1.008779690097659E-2</v>
      </c>
      <c r="E53" s="1">
        <v>1.2342466527821595E-2</v>
      </c>
      <c r="F53" s="56">
        <v>1.5907663507240655E-2</v>
      </c>
      <c r="G53" s="68">
        <v>1.9568007889455355E-2</v>
      </c>
      <c r="H53" s="68">
        <v>-0.17241994399307509</v>
      </c>
      <c r="I53" s="68">
        <v>-7.9027615341212609E-2</v>
      </c>
      <c r="J53" s="68">
        <v>6.7604392912201994E-2</v>
      </c>
      <c r="K53" s="68">
        <v>0.17494620351350534</v>
      </c>
      <c r="L53" s="2">
        <v>0.48722232524751008</v>
      </c>
      <c r="M53" s="2">
        <v>1</v>
      </c>
      <c r="N53" s="2">
        <v>0.99999999999999889</v>
      </c>
      <c r="O53" s="69"/>
      <c r="R53" s="51" t="str">
        <f t="shared" si="20"/>
        <v>Commodities</v>
      </c>
      <c r="S53" s="52">
        <f t="shared" si="21"/>
        <v>1.008779690097659E-2</v>
      </c>
      <c r="T53" s="52">
        <f t="shared" si="22"/>
        <v>3.3436163512377565E-3</v>
      </c>
      <c r="U53" s="52">
        <f t="shared" si="23"/>
        <v>2.4762502550263084E-3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2.7768719354073643E-2</v>
      </c>
      <c r="C54" s="54">
        <v>5.8772014993867345E-3</v>
      </c>
      <c r="D54" s="55">
        <v>2.2922340738168692E-2</v>
      </c>
      <c r="E54" s="1">
        <v>2.6820693171110202E-2</v>
      </c>
      <c r="F54" s="56">
        <v>3.2268941247783942E-2</v>
      </c>
      <c r="G54" s="68">
        <v>-5.7636552159297944E-3</v>
      </c>
      <c r="H54" s="68">
        <v>-0.37466486860790532</v>
      </c>
      <c r="I54" s="68">
        <v>-0.17078403231881917</v>
      </c>
      <c r="J54" s="68">
        <v>1</v>
      </c>
      <c r="K54" s="68">
        <v>-0.15381135981117977</v>
      </c>
      <c r="L54" s="2">
        <v>-4.7924105167095324E-3</v>
      </c>
      <c r="M54" s="2">
        <v>-0.26229480193001153</v>
      </c>
      <c r="N54" s="2">
        <v>1</v>
      </c>
      <c r="O54" s="69"/>
      <c r="R54" s="51" t="str">
        <f t="shared" si="20"/>
        <v>Hedge funds</v>
      </c>
      <c r="S54" s="52">
        <f t="shared" si="21"/>
        <v>2.2922340738168692E-2</v>
      </c>
      <c r="T54" s="52">
        <f t="shared" si="22"/>
        <v>4.8463786159049504E-3</v>
      </c>
      <c r="U54" s="52">
        <f t="shared" si="23"/>
        <v>4.5002218937102989E-3</v>
      </c>
    </row>
    <row r="55" spans="1:36">
      <c r="A55" s="60" t="str">
        <f t="shared" si="19"/>
        <v>Onroerend goed</v>
      </c>
      <c r="B55" s="61">
        <v>4.15527150946697E-2</v>
      </c>
      <c r="C55" s="62">
        <v>5.5212355331297671E-3</v>
      </c>
      <c r="D55" s="63">
        <v>3.7012897712266721E-2</v>
      </c>
      <c r="E55" s="61">
        <v>4.0581085760618647E-2</v>
      </c>
      <c r="F55" s="64">
        <v>4.5221556769640833E-2</v>
      </c>
      <c r="G55" s="70">
        <v>-1.3785364842540499E-2</v>
      </c>
      <c r="H55" s="70">
        <v>-0.24919141618446738</v>
      </c>
      <c r="I55" s="70">
        <v>-0.31733720429157286</v>
      </c>
      <c r="J55" s="70">
        <v>-0.20887791924457483</v>
      </c>
      <c r="K55" s="70">
        <v>1</v>
      </c>
      <c r="L55" s="65">
        <v>-0.23893861220485837</v>
      </c>
      <c r="M55" s="65">
        <v>-0.28972997043791598</v>
      </c>
      <c r="N55" s="65">
        <v>0.99999999999999845</v>
      </c>
      <c r="O55" s="71"/>
      <c r="R55" s="51" t="str">
        <f t="shared" si="20"/>
        <v>Onroerend goed</v>
      </c>
      <c r="S55" s="52">
        <f t="shared" si="21"/>
        <v>3.7012897712266721E-2</v>
      </c>
      <c r="T55" s="52">
        <f t="shared" si="22"/>
        <v>4.5398173824029789E-3</v>
      </c>
      <c r="U55" s="52">
        <f t="shared" si="23"/>
        <v>3.6688416749711336E-3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9" t="s">
        <v>64</v>
      </c>
      <c r="E57" s="400"/>
      <c r="F57" s="401"/>
      <c r="G57" s="399" t="s">
        <v>65</v>
      </c>
      <c r="H57" s="400"/>
      <c r="I57" s="400"/>
      <c r="J57" s="400"/>
      <c r="K57" s="400"/>
      <c r="L57" s="400"/>
      <c r="M57" s="400"/>
      <c r="N57" s="400"/>
      <c r="O57" s="401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0.68201050735539126</v>
      </c>
      <c r="H58" s="272">
        <v>0.12663167504721318</v>
      </c>
      <c r="I58" s="272">
        <v>5.3305970730040064E-2</v>
      </c>
      <c r="J58" s="272">
        <v>4.9546402819358959E-2</v>
      </c>
      <c r="K58" s="272">
        <v>3.8785188778291513E-2</v>
      </c>
      <c r="L58" s="272">
        <v>2.7287382226988011E-2</v>
      </c>
      <c r="M58" s="272">
        <v>2.2432873042719681E-2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0.6466406746414104</v>
      </c>
      <c r="C59" s="54">
        <v>4.6123766978929158E-3</v>
      </c>
      <c r="D59" s="55">
        <v>0.64412912284204038</v>
      </c>
      <c r="E59" s="1">
        <v>0.64747796953068459</v>
      </c>
      <c r="F59" s="56">
        <v>0.65013559639683272</v>
      </c>
      <c r="G59" s="2">
        <v>-1.0029623540862722E-2</v>
      </c>
      <c r="H59" s="2">
        <v>-0.27388287195254291</v>
      </c>
      <c r="I59" s="2">
        <v>-0.25650820527327978</v>
      </c>
      <c r="J59" s="2">
        <v>-0.18385628904154994</v>
      </c>
      <c r="K59" s="2">
        <v>0.7224153915225231</v>
      </c>
      <c r="L59" s="2">
        <v>-0.12106093526210018</v>
      </c>
      <c r="M59" s="2">
        <v>1</v>
      </c>
      <c r="N59" s="2">
        <v>0.999999999999999</v>
      </c>
      <c r="O59" s="69"/>
      <c r="R59" s="51" t="str">
        <f>A59</f>
        <v>Nominale matching</v>
      </c>
      <c r="S59" s="52">
        <f>D59</f>
        <v>0.64412912284204038</v>
      </c>
      <c r="T59" s="52">
        <f>B59-D59</f>
        <v>2.5115517993700154E-3</v>
      </c>
      <c r="U59" s="52">
        <f>F59-B59</f>
        <v>3.49492175542232E-3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8.4820313910013628E-2</v>
      </c>
      <c r="C60" s="54">
        <v>1.7913964182190888E-2</v>
      </c>
      <c r="D60" s="55">
        <v>7.2419561705370172E-2</v>
      </c>
      <c r="E60" s="1">
        <v>8.4680867985576558E-2</v>
      </c>
      <c r="F60" s="56">
        <v>9.7396652857971E-2</v>
      </c>
      <c r="G60" s="2">
        <v>1</v>
      </c>
      <c r="H60" s="2">
        <v>0.89750509306946424</v>
      </c>
      <c r="I60" s="2">
        <v>4.8393961693977632E-2</v>
      </c>
      <c r="J60" s="2">
        <v>2.6718509832928221E-2</v>
      </c>
      <c r="K60" s="2">
        <v>-0.14834859688462321</v>
      </c>
      <c r="L60" s="2">
        <v>-5.4134326886287755E-2</v>
      </c>
      <c r="M60" s="2">
        <v>2.4884903458321821E-2</v>
      </c>
      <c r="N60" s="2">
        <v>0.99999999999999933</v>
      </c>
      <c r="O60" s="69"/>
      <c r="R60" s="51" t="str">
        <f t="shared" ref="R60:R66" si="25">A60</f>
        <v>High Yield</v>
      </c>
      <c r="S60" s="52">
        <f t="shared" ref="S60:S66" si="26">D60</f>
        <v>7.2419561705370172E-2</v>
      </c>
      <c r="T60" s="52">
        <f t="shared" ref="T60:T66" si="27">B60-D60</f>
        <v>1.2400752204643456E-2</v>
      </c>
      <c r="U60" s="52">
        <f t="shared" ref="U60:U66" si="28">F60-B60</f>
        <v>1.2576338947957372E-2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7.6454801202033865E-2</v>
      </c>
      <c r="C61" s="54">
        <v>1.6949588565530957E-2</v>
      </c>
      <c r="D61" s="55">
        <v>6.3541253567919037E-2</v>
      </c>
      <c r="E61" s="1">
        <v>7.5238738646790648E-2</v>
      </c>
      <c r="F61" s="56">
        <v>8.8566376906205266E-2</v>
      </c>
      <c r="G61" s="2">
        <v>-0.92520283016052884</v>
      </c>
      <c r="H61" s="2">
        <v>1</v>
      </c>
      <c r="I61" s="2">
        <v>-2.7199470480856029E-2</v>
      </c>
      <c r="J61" s="2">
        <v>-3.9121816472409032E-2</v>
      </c>
      <c r="K61" s="2">
        <v>-0.14359361278227753</v>
      </c>
      <c r="L61" s="2">
        <v>-4.6043442298384911E-2</v>
      </c>
      <c r="M61" s="2">
        <v>-5.178060135123526E-3</v>
      </c>
      <c r="N61" s="2">
        <v>0.99999999999999933</v>
      </c>
      <c r="O61" s="69"/>
      <c r="R61" s="51" t="str">
        <f t="shared" si="25"/>
        <v>Emerging market debt</v>
      </c>
      <c r="S61" s="52">
        <f t="shared" si="26"/>
        <v>6.3541253567919037E-2</v>
      </c>
      <c r="T61" s="52">
        <f t="shared" si="27"/>
        <v>1.2913547634114828E-2</v>
      </c>
      <c r="U61" s="52">
        <f t="shared" si="28"/>
        <v>1.2111575704171401E-2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8.0308147651511064E-2</v>
      </c>
      <c r="C62" s="54">
        <v>6.0143534793216328E-3</v>
      </c>
      <c r="D62" s="55">
        <v>7.5773156537604913E-2</v>
      </c>
      <c r="E62" s="1">
        <v>7.8969621795544759E-2</v>
      </c>
      <c r="F62" s="56">
        <v>8.3606620235216866E-2</v>
      </c>
      <c r="G62" s="2">
        <v>3.8633813943170427E-2</v>
      </c>
      <c r="H62" s="2">
        <v>-0.39852044751713811</v>
      </c>
      <c r="I62" s="2">
        <v>-0.37879317039238231</v>
      </c>
      <c r="J62" s="2">
        <v>-0.97058557988685856</v>
      </c>
      <c r="K62" s="2">
        <v>-0.85249488822448194</v>
      </c>
      <c r="L62" s="2">
        <v>9.059265177055302E-2</v>
      </c>
      <c r="M62" s="2">
        <v>-0.25072627417818921</v>
      </c>
      <c r="N62" s="2">
        <v>0.99999999999999889</v>
      </c>
      <c r="O62" s="69"/>
      <c r="R62" s="51" t="str">
        <f t="shared" si="25"/>
        <v>Aandelen ontwikkeld</v>
      </c>
      <c r="S62" s="52">
        <f t="shared" si="26"/>
        <v>7.5773156537604913E-2</v>
      </c>
      <c r="T62" s="52">
        <f t="shared" si="27"/>
        <v>4.5349911139061505E-3</v>
      </c>
      <c r="U62" s="52">
        <f t="shared" si="28"/>
        <v>3.2984725837058027E-3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2.8420070559679499E-2</v>
      </c>
      <c r="C63" s="54">
        <v>4.5815597754696909E-3</v>
      </c>
      <c r="D63" s="55">
        <v>2.4916047901908343E-2</v>
      </c>
      <c r="E63" s="1">
        <v>2.7814578471715375E-2</v>
      </c>
      <c r="F63" s="56">
        <v>3.1138062628711716E-2</v>
      </c>
      <c r="G63" s="2">
        <v>-2.6875177301644115E-3</v>
      </c>
      <c r="H63" s="2">
        <v>-0.15932126319888651</v>
      </c>
      <c r="I63" s="2">
        <v>5.7786307939096448E-2</v>
      </c>
      <c r="J63" s="2">
        <v>0.14410223350886286</v>
      </c>
      <c r="K63" s="2">
        <v>0.76020789721530568</v>
      </c>
      <c r="L63" s="2">
        <v>1</v>
      </c>
      <c r="M63" s="2">
        <v>-0.29171657900638537</v>
      </c>
      <c r="N63" s="2">
        <v>1</v>
      </c>
      <c r="O63" s="69"/>
      <c r="R63" s="51" t="str">
        <f t="shared" si="25"/>
        <v>Aandelen opkomend</v>
      </c>
      <c r="S63" s="52">
        <f t="shared" si="26"/>
        <v>2.4916047901908343E-2</v>
      </c>
      <c r="T63" s="52">
        <f t="shared" si="27"/>
        <v>3.504022657771156E-3</v>
      </c>
      <c r="U63" s="52">
        <f t="shared" si="28"/>
        <v>2.7179920690322164E-3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1.3279527720502775E-2</v>
      </c>
      <c r="C64" s="54">
        <v>4.75050716234518E-3</v>
      </c>
      <c r="D64" s="55">
        <v>9.9475546749808186E-3</v>
      </c>
      <c r="E64" s="1">
        <v>1.2142381571396237E-2</v>
      </c>
      <c r="F64" s="56">
        <v>1.5578374486375012E-2</v>
      </c>
      <c r="G64" s="2">
        <v>-1.6787050023767058E-3</v>
      </c>
      <c r="H64" s="2">
        <v>-0.27308607847716793</v>
      </c>
      <c r="I64" s="2">
        <v>-1.0689022680236332E-2</v>
      </c>
      <c r="J64" s="2">
        <v>1.5087351160619497E-2</v>
      </c>
      <c r="K64" s="2">
        <v>1</v>
      </c>
      <c r="L64" s="2">
        <v>-0.71206693149967959</v>
      </c>
      <c r="M64" s="2">
        <v>-0.63315133721187866</v>
      </c>
      <c r="N64" s="2">
        <v>1</v>
      </c>
      <c r="O64" s="69"/>
      <c r="R64" s="51" t="str">
        <f t="shared" si="25"/>
        <v>Commodities</v>
      </c>
      <c r="S64" s="52">
        <f t="shared" si="26"/>
        <v>9.9475546749808186E-3</v>
      </c>
      <c r="T64" s="52">
        <f t="shared" si="27"/>
        <v>3.3319730455219562E-3</v>
      </c>
      <c r="U64" s="52">
        <f t="shared" si="28"/>
        <v>2.2988467658722374E-3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2.8071866327316175E-2</v>
      </c>
      <c r="C65" s="54">
        <v>6.366174933204371E-3</v>
      </c>
      <c r="D65" s="55">
        <v>2.248027460918307E-2</v>
      </c>
      <c r="E65" s="1">
        <v>2.723913246298508E-2</v>
      </c>
      <c r="F65" s="56">
        <v>3.3149565422723071E-2</v>
      </c>
      <c r="G65" s="2">
        <v>-7.2743927971854958E-2</v>
      </c>
      <c r="H65" s="2">
        <v>-0.40083024946753454</v>
      </c>
      <c r="I65" s="2">
        <v>1</v>
      </c>
      <c r="J65" s="2">
        <v>7.6555908984060131E-3</v>
      </c>
      <c r="K65" s="2">
        <v>-0.52128933976352976</v>
      </c>
      <c r="L65" s="2">
        <v>-8.9931658741656276E-2</v>
      </c>
      <c r="M65" s="2">
        <v>0.16593053605673364</v>
      </c>
      <c r="N65" s="2">
        <v>0.99999999999999845</v>
      </c>
      <c r="O65" s="69"/>
      <c r="R65" s="51" t="str">
        <f t="shared" si="25"/>
        <v>Hedge funds</v>
      </c>
      <c r="S65" s="52">
        <f t="shared" si="26"/>
        <v>2.248027460918307E-2</v>
      </c>
      <c r="T65" s="52">
        <f t="shared" si="27"/>
        <v>5.591591718133105E-3</v>
      </c>
      <c r="U65" s="52">
        <f t="shared" si="28"/>
        <v>5.0776990954068957E-3</v>
      </c>
    </row>
    <row r="66" spans="1:36">
      <c r="A66" s="60" t="str">
        <f t="shared" si="24"/>
        <v>Onroerend goed</v>
      </c>
      <c r="B66" s="61">
        <v>4.2004597987532068E-2</v>
      </c>
      <c r="C66" s="62">
        <v>6.0781294140629964E-3</v>
      </c>
      <c r="D66" s="63">
        <v>3.7024152653479414E-2</v>
      </c>
      <c r="E66" s="61">
        <v>4.1259119522049012E-2</v>
      </c>
      <c r="F66" s="64">
        <v>4.6132747304366499E-2</v>
      </c>
      <c r="G66" s="65">
        <v>-2.6291209537382672E-2</v>
      </c>
      <c r="H66" s="65">
        <v>-0.39186418245619492</v>
      </c>
      <c r="I66" s="65">
        <v>-0.4329904008063194</v>
      </c>
      <c r="J66" s="65">
        <v>1</v>
      </c>
      <c r="K66" s="65">
        <v>-0.81689685108291976</v>
      </c>
      <c r="L66" s="65">
        <v>-6.7355357082444542E-2</v>
      </c>
      <c r="M66" s="65">
        <v>-1.0043188983478337E-2</v>
      </c>
      <c r="N66" s="65">
        <v>0.999999999999999</v>
      </c>
      <c r="O66" s="71"/>
      <c r="R66" s="51" t="str">
        <f t="shared" si="25"/>
        <v>Onroerend goed</v>
      </c>
      <c r="S66" s="52">
        <f t="shared" si="26"/>
        <v>3.7024152653479414E-2</v>
      </c>
      <c r="T66" s="52">
        <f t="shared" si="27"/>
        <v>4.9804453340526536E-3</v>
      </c>
      <c r="U66" s="52">
        <f t="shared" si="28"/>
        <v>4.1281493168344313E-3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0.66764919330912553</v>
      </c>
      <c r="H69" s="272">
        <v>0.13646809095966672</v>
      </c>
      <c r="I69" s="272">
        <v>5.4558128629676683E-2</v>
      </c>
      <c r="J69" s="272">
        <v>4.4653896884048416E-2</v>
      </c>
      <c r="K69" s="272">
        <v>4.1101670171754257E-2</v>
      </c>
      <c r="L69" s="272">
        <v>3.0608036209872957E-2</v>
      </c>
      <c r="M69" s="272">
        <v>2.4960983835850437E-2</v>
      </c>
      <c r="N69" s="272">
        <v>1.1102230246251565E-16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0.64478697958152897</v>
      </c>
      <c r="C70" s="54">
        <v>5.388501222514953E-3</v>
      </c>
      <c r="D70" s="55">
        <v>0.64145310121515631</v>
      </c>
      <c r="E70" s="1">
        <v>0.645657073671148</v>
      </c>
      <c r="F70" s="56">
        <v>0.64890745606565414</v>
      </c>
      <c r="G70" s="68">
        <v>-3.4040222626587978E-2</v>
      </c>
      <c r="H70" s="68">
        <v>-0.4292523995320956</v>
      </c>
      <c r="I70" s="68">
        <v>-1.0461980285037104E-2</v>
      </c>
      <c r="J70" s="68">
        <v>-0.41251612782872626</v>
      </c>
      <c r="K70" s="68">
        <v>-0.32435343574898273</v>
      </c>
      <c r="L70" s="2">
        <v>1</v>
      </c>
      <c r="M70" s="2">
        <v>-0.44501467149403962</v>
      </c>
      <c r="N70" s="2">
        <v>0.99999999999999845</v>
      </c>
      <c r="O70" s="69"/>
      <c r="R70" s="51" t="str">
        <f>A70</f>
        <v>Nominale matching</v>
      </c>
      <c r="S70" s="52">
        <f>D70</f>
        <v>0.64145310121515631</v>
      </c>
      <c r="T70" s="52">
        <f>B70-D70</f>
        <v>3.3338783663726668E-3</v>
      </c>
      <c r="U70" s="52">
        <f>F70-B70</f>
        <v>4.1204764841251684E-3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8.2937654470488245E-2</v>
      </c>
      <c r="C71" s="54">
        <v>1.7676060638049721E-2</v>
      </c>
      <c r="D71" s="55">
        <v>6.9653819383725904E-2</v>
      </c>
      <c r="E71" s="1">
        <v>8.1502326526492475E-2</v>
      </c>
      <c r="F71" s="56">
        <v>9.601621874323725E-2</v>
      </c>
      <c r="G71" s="68">
        <v>1</v>
      </c>
      <c r="H71" s="68">
        <v>0.96067507702551558</v>
      </c>
      <c r="I71" s="68">
        <v>4.2844851717361909E-2</v>
      </c>
      <c r="J71" s="68">
        <v>-2.7676742918341024E-3</v>
      </c>
      <c r="K71" s="68">
        <v>-5.2311125990363146E-2</v>
      </c>
      <c r="L71" s="2">
        <v>1.8392621428621796E-2</v>
      </c>
      <c r="M71" s="2">
        <v>-9.2765618595990793E-2</v>
      </c>
      <c r="N71" s="2">
        <v>0.99999999999999867</v>
      </c>
      <c r="O71" s="69"/>
      <c r="R71" s="51" t="str">
        <f t="shared" ref="R71:R77" si="30">A71</f>
        <v>High Yield</v>
      </c>
      <c r="S71" s="52">
        <f t="shared" ref="S71:S77" si="31">D71</f>
        <v>6.9653819383725904E-2</v>
      </c>
      <c r="T71" s="52">
        <f t="shared" ref="T71:T77" si="32">B71-D71</f>
        <v>1.3283835086762341E-2</v>
      </c>
      <c r="U71" s="52">
        <f t="shared" ref="U71:U77" si="33">F71-B71</f>
        <v>1.3078564272749005E-2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7.8468977353536681E-2</v>
      </c>
      <c r="C72" s="54">
        <v>1.7373825505454993E-2</v>
      </c>
      <c r="D72" s="55">
        <v>6.3866473911170923E-2</v>
      </c>
      <c r="E72" s="1">
        <v>7.7175026396941807E-2</v>
      </c>
      <c r="F72" s="56">
        <v>9.1523327535386237E-2</v>
      </c>
      <c r="G72" s="68">
        <v>-0.97455701707372266</v>
      </c>
      <c r="H72" s="68">
        <v>1</v>
      </c>
      <c r="I72" s="68">
        <v>4.6995574308131734E-2</v>
      </c>
      <c r="J72" s="68">
        <v>7.3442470503096947E-3</v>
      </c>
      <c r="K72" s="68">
        <v>-5.5994983693124736E-2</v>
      </c>
      <c r="L72" s="2">
        <v>-9.2014001788846035E-3</v>
      </c>
      <c r="M72" s="2">
        <v>-5.301742255642504E-2</v>
      </c>
      <c r="N72" s="2">
        <v>0.99999999999999867</v>
      </c>
      <c r="O72" s="69"/>
      <c r="R72" s="51" t="str">
        <f t="shared" si="30"/>
        <v>Emerging market debt</v>
      </c>
      <c r="S72" s="52">
        <f t="shared" si="31"/>
        <v>6.3866473911170923E-2</v>
      </c>
      <c r="T72" s="52">
        <f t="shared" si="32"/>
        <v>1.4602503442365758E-2</v>
      </c>
      <c r="U72" s="52">
        <f t="shared" si="33"/>
        <v>1.3054350181849556E-2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8.1233802875941272E-2</v>
      </c>
      <c r="C73" s="54">
        <v>6.3787886883335974E-3</v>
      </c>
      <c r="D73" s="55">
        <v>7.6404320847792889E-2</v>
      </c>
      <c r="E73" s="1">
        <v>7.9536038379224572E-2</v>
      </c>
      <c r="F73" s="56">
        <v>8.469910810826406E-2</v>
      </c>
      <c r="G73" s="68">
        <v>2.1031098214611232E-3</v>
      </c>
      <c r="H73" s="68">
        <v>-0.41389255733808378</v>
      </c>
      <c r="I73" s="68">
        <v>1</v>
      </c>
      <c r="J73" s="68">
        <v>-8.3060661871965424E-2</v>
      </c>
      <c r="K73" s="68">
        <v>3.2661693429778412E-3</v>
      </c>
      <c r="L73" s="2">
        <v>-0.44285156612408855</v>
      </c>
      <c r="M73" s="2">
        <v>1.1412311213637248E-2</v>
      </c>
      <c r="N73" s="2">
        <v>0.99999999999999867</v>
      </c>
      <c r="O73" s="69"/>
      <c r="R73" s="51" t="str">
        <f t="shared" si="30"/>
        <v>Aandelen ontwikkeld</v>
      </c>
      <c r="S73" s="52">
        <f t="shared" si="31"/>
        <v>7.6404320847792889E-2</v>
      </c>
      <c r="T73" s="52">
        <f t="shared" si="32"/>
        <v>4.8294820281483825E-3</v>
      </c>
      <c r="U73" s="52">
        <f t="shared" si="33"/>
        <v>3.4653052323227879E-3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2.9819738017547146E-2</v>
      </c>
      <c r="C74" s="54">
        <v>5.6000645270483261E-3</v>
      </c>
      <c r="D74" s="55">
        <v>2.5700844805604511E-2</v>
      </c>
      <c r="E74" s="1">
        <v>2.8297539908543876E-2</v>
      </c>
      <c r="F74" s="56">
        <v>3.2934216725844234E-2</v>
      </c>
      <c r="G74" s="68">
        <v>6.4751420478644413E-3</v>
      </c>
      <c r="H74" s="68">
        <v>-0.3212538913698878</v>
      </c>
      <c r="I74" s="68">
        <v>-0.51222959378885136</v>
      </c>
      <c r="J74" s="68">
        <v>-0.36772625672541315</v>
      </c>
      <c r="K74" s="68">
        <v>-0.59174146761283231</v>
      </c>
      <c r="L74" s="2">
        <v>-0.8098309576515913</v>
      </c>
      <c r="M74" s="2">
        <v>0.13141017380074588</v>
      </c>
      <c r="N74" s="2">
        <v>0.99999999999999833</v>
      </c>
      <c r="O74" s="69"/>
      <c r="R74" s="51" t="str">
        <f t="shared" si="30"/>
        <v>Aandelen opkomend</v>
      </c>
      <c r="S74" s="52">
        <f t="shared" si="31"/>
        <v>2.5700844805604511E-2</v>
      </c>
      <c r="T74" s="52">
        <f t="shared" si="32"/>
        <v>4.1188932119426355E-3</v>
      </c>
      <c r="U74" s="52">
        <f t="shared" si="33"/>
        <v>3.114478708297088E-3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1.3431413252214346E-2</v>
      </c>
      <c r="C75" s="54">
        <v>4.4163973891068135E-3</v>
      </c>
      <c r="D75" s="55">
        <v>1.008779690097659E-2</v>
      </c>
      <c r="E75" s="1">
        <v>1.2342466527821595E-2</v>
      </c>
      <c r="F75" s="56">
        <v>1.5907663507240655E-2</v>
      </c>
      <c r="G75" s="68">
        <v>1.9568007889455355E-2</v>
      </c>
      <c r="H75" s="68">
        <v>-0.17241994399307509</v>
      </c>
      <c r="I75" s="68">
        <v>-7.9027615341212609E-2</v>
      </c>
      <c r="J75" s="68">
        <v>6.7604392912201994E-2</v>
      </c>
      <c r="K75" s="68">
        <v>0.17494620351350534</v>
      </c>
      <c r="L75" s="2">
        <v>0.48722232524751008</v>
      </c>
      <c r="M75" s="2">
        <v>1</v>
      </c>
      <c r="N75" s="2">
        <v>0.99999999999999889</v>
      </c>
      <c r="O75" s="69"/>
      <c r="R75" s="51" t="str">
        <f t="shared" si="30"/>
        <v>Commodities</v>
      </c>
      <c r="S75" s="52">
        <f t="shared" si="31"/>
        <v>1.008779690097659E-2</v>
      </c>
      <c r="T75" s="52">
        <f t="shared" si="32"/>
        <v>3.3436163512377565E-3</v>
      </c>
      <c r="U75" s="52">
        <f t="shared" si="33"/>
        <v>2.4762502550263084E-3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2.7768719354073643E-2</v>
      </c>
      <c r="C76" s="54">
        <v>5.8772014993867345E-3</v>
      </c>
      <c r="D76" s="55">
        <v>2.2922340738168692E-2</v>
      </c>
      <c r="E76" s="1">
        <v>2.6820693171110202E-2</v>
      </c>
      <c r="F76" s="56">
        <v>3.2268941247783942E-2</v>
      </c>
      <c r="G76" s="68">
        <v>-5.7636552159297944E-3</v>
      </c>
      <c r="H76" s="68">
        <v>-0.37466486860790532</v>
      </c>
      <c r="I76" s="68">
        <v>-0.17078403231881917</v>
      </c>
      <c r="J76" s="68">
        <v>1</v>
      </c>
      <c r="K76" s="68">
        <v>-0.15381135981117977</v>
      </c>
      <c r="L76" s="2">
        <v>-4.7924105167095324E-3</v>
      </c>
      <c r="M76" s="2">
        <v>-0.26229480193001153</v>
      </c>
      <c r="N76" s="2">
        <v>1</v>
      </c>
      <c r="O76" s="69"/>
      <c r="R76" s="51" t="str">
        <f t="shared" si="30"/>
        <v>Hedge funds</v>
      </c>
      <c r="S76" s="52">
        <f t="shared" si="31"/>
        <v>2.2922340738168692E-2</v>
      </c>
      <c r="T76" s="52">
        <f t="shared" si="32"/>
        <v>4.8463786159049504E-3</v>
      </c>
      <c r="U76" s="52">
        <f t="shared" si="33"/>
        <v>4.5002218937102989E-3</v>
      </c>
    </row>
    <row r="77" spans="1:36">
      <c r="A77" s="60" t="str">
        <f t="shared" si="29"/>
        <v>Onroerend goed</v>
      </c>
      <c r="B77" s="61">
        <v>4.15527150946697E-2</v>
      </c>
      <c r="C77" s="62">
        <v>5.5212355331297671E-3</v>
      </c>
      <c r="D77" s="63">
        <v>3.7012897712266721E-2</v>
      </c>
      <c r="E77" s="61">
        <v>4.0581085760618647E-2</v>
      </c>
      <c r="F77" s="64">
        <v>4.5221556769640833E-2</v>
      </c>
      <c r="G77" s="70">
        <v>-1.3785364842540499E-2</v>
      </c>
      <c r="H77" s="70">
        <v>-0.24919141618446738</v>
      </c>
      <c r="I77" s="70">
        <v>-0.31733720429157286</v>
      </c>
      <c r="J77" s="70">
        <v>-0.20887791924457483</v>
      </c>
      <c r="K77" s="70">
        <v>1</v>
      </c>
      <c r="L77" s="65">
        <v>-0.23893861220485837</v>
      </c>
      <c r="M77" s="65">
        <v>-0.28972997043791598</v>
      </c>
      <c r="N77" s="65">
        <v>0.99999999999999845</v>
      </c>
      <c r="O77" s="71"/>
      <c r="R77" s="51" t="str">
        <f t="shared" si="30"/>
        <v>Onroerend goed</v>
      </c>
      <c r="S77" s="52">
        <f t="shared" si="31"/>
        <v>3.7012897712266721E-2</v>
      </c>
      <c r="T77" s="52">
        <f t="shared" si="32"/>
        <v>4.5398173824029789E-3</v>
      </c>
      <c r="U77" s="52">
        <f t="shared" si="33"/>
        <v>3.6688416749711336E-3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9" t="s">
        <v>64</v>
      </c>
      <c r="E79" s="400"/>
      <c r="F79" s="401"/>
      <c r="G79" s="399" t="s">
        <v>65</v>
      </c>
      <c r="H79" s="400"/>
      <c r="I79" s="400"/>
      <c r="J79" s="400"/>
      <c r="K79" s="400"/>
      <c r="L79" s="400"/>
      <c r="M79" s="400"/>
      <c r="N79" s="400"/>
      <c r="O79" s="401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0.46541871622855446</v>
      </c>
      <c r="H80" s="272">
        <v>0.35848678361938036</v>
      </c>
      <c r="I80" s="272">
        <v>7.8553401920971488E-2</v>
      </c>
      <c r="J80" s="272">
        <v>3.9466512036318013E-2</v>
      </c>
      <c r="K80" s="272">
        <v>2.4594903184104733E-2</v>
      </c>
      <c r="L80" s="272">
        <v>1.8385930953349394E-2</v>
      </c>
      <c r="M80" s="272">
        <v>1.5093752057326326E-2</v>
      </c>
      <c r="N80" s="272">
        <v>1.1102230246251565E-16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0.58308104773113867</v>
      </c>
      <c r="C81" s="54">
        <v>1.7471298353547698E-2</v>
      </c>
      <c r="D81" s="55">
        <v>0.5703235765335577</v>
      </c>
      <c r="E81" s="1">
        <v>0.58119653818449546</v>
      </c>
      <c r="F81" s="56">
        <v>0.59479712567928278</v>
      </c>
      <c r="G81" s="2">
        <v>-0.51702379406789212</v>
      </c>
      <c r="H81" s="2">
        <v>-0.47880475774287284</v>
      </c>
      <c r="I81" s="2">
        <v>-0.84355582404234397</v>
      </c>
      <c r="J81" s="2">
        <v>-0.53713090401443442</v>
      </c>
      <c r="K81" s="2">
        <v>0.23794673078798392</v>
      </c>
      <c r="L81" s="2">
        <v>0.10069819044783364</v>
      </c>
      <c r="M81" s="2">
        <v>-0.11980745469436482</v>
      </c>
      <c r="N81" s="2">
        <v>0.999999999999999</v>
      </c>
      <c r="O81" s="69"/>
      <c r="R81" s="51" t="str">
        <f>A81</f>
        <v>Nominale matching</v>
      </c>
      <c r="S81" s="52">
        <f>D81</f>
        <v>0.5703235765335577</v>
      </c>
      <c r="T81" s="52">
        <f>B81-D81</f>
        <v>1.2757471197580972E-2</v>
      </c>
      <c r="U81" s="52">
        <f>F81-B81</f>
        <v>1.171607794814411E-2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8.4171789712308862E-2</v>
      </c>
      <c r="C82" s="54">
        <v>2.1439881119245711E-2</v>
      </c>
      <c r="D82" s="55">
        <v>6.6902276501031421E-2</v>
      </c>
      <c r="E82" s="1">
        <v>8.1484855945287649E-2</v>
      </c>
      <c r="F82" s="56">
        <v>9.9060702230600456E-2</v>
      </c>
      <c r="G82" s="2">
        <v>1.3546730100089053E-2</v>
      </c>
      <c r="H82" s="2">
        <v>1</v>
      </c>
      <c r="I82" s="2">
        <v>-0.22267223072490069</v>
      </c>
      <c r="J82" s="2">
        <v>-0.50808275184290752</v>
      </c>
      <c r="K82" s="2">
        <v>0.22738126495587302</v>
      </c>
      <c r="L82" s="2">
        <v>5.1915045128264253E-2</v>
      </c>
      <c r="M82" s="2">
        <v>-4.8823489194994192E-2</v>
      </c>
      <c r="N82" s="2">
        <v>0.99999999999999878</v>
      </c>
      <c r="O82" s="69"/>
      <c r="R82" s="51" t="str">
        <f t="shared" ref="R82:R88" si="35">A82</f>
        <v>High Yield</v>
      </c>
      <c r="S82" s="52">
        <f t="shared" ref="S82:S88" si="36">D82</f>
        <v>6.6902276501031421E-2</v>
      </c>
      <c r="T82" s="52">
        <f t="shared" ref="T82:T88" si="37">B82-D82</f>
        <v>1.726951321127744E-2</v>
      </c>
      <c r="U82" s="52">
        <f t="shared" ref="U82:U88" si="38">F82-B82</f>
        <v>1.4888912518291594E-2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9.1777316331888431E-2</v>
      </c>
      <c r="C83" s="54">
        <v>2.4283494509809263E-2</v>
      </c>
      <c r="D83" s="55">
        <v>7.2781109975618152E-2</v>
      </c>
      <c r="E83" s="1">
        <v>8.8683260543145376E-2</v>
      </c>
      <c r="F83" s="56">
        <v>0.10893885067669001</v>
      </c>
      <c r="G83" s="2">
        <v>1</v>
      </c>
      <c r="H83" s="2">
        <v>-0.33747974992135299</v>
      </c>
      <c r="I83" s="2">
        <v>5.7484110288317222E-2</v>
      </c>
      <c r="J83" s="2">
        <v>-0.5538572743448521</v>
      </c>
      <c r="K83" s="2">
        <v>0.17936600508040687</v>
      </c>
      <c r="L83" s="2">
        <v>3.9419927770694925E-2</v>
      </c>
      <c r="M83" s="2">
        <v>-4.7982900858997615E-3</v>
      </c>
      <c r="N83" s="2">
        <v>0.99999999999999933</v>
      </c>
      <c r="O83" s="69"/>
      <c r="R83" s="51" t="str">
        <f t="shared" si="35"/>
        <v>Emerging market debt</v>
      </c>
      <c r="S83" s="52">
        <f t="shared" si="36"/>
        <v>7.2781109975618152E-2</v>
      </c>
      <c r="T83" s="52">
        <f t="shared" si="37"/>
        <v>1.8996206356270279E-2</v>
      </c>
      <c r="U83" s="52">
        <f t="shared" si="38"/>
        <v>1.7161534344801582E-2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8.4600009654577771E-2</v>
      </c>
      <c r="C84" s="54">
        <v>6.8734967667166101E-3</v>
      </c>
      <c r="D84" s="55">
        <v>7.8745259110978044E-2</v>
      </c>
      <c r="E84" s="1">
        <v>8.3604835705660352E-2</v>
      </c>
      <c r="F84" s="56">
        <v>8.9407405814665025E-2</v>
      </c>
      <c r="G84" s="2">
        <v>-2.4595777012466902E-2</v>
      </c>
      <c r="H84" s="2">
        <v>-3.5831846903960705E-2</v>
      </c>
      <c r="I84" s="2">
        <v>0.18065136966695919</v>
      </c>
      <c r="J84" s="2">
        <v>1</v>
      </c>
      <c r="K84" s="2">
        <v>1</v>
      </c>
      <c r="L84" s="2">
        <v>0.22424285328599081</v>
      </c>
      <c r="M84" s="2">
        <v>-0.31765744896922998</v>
      </c>
      <c r="N84" s="2">
        <v>1</v>
      </c>
      <c r="O84" s="69"/>
      <c r="R84" s="51" t="str">
        <f t="shared" si="35"/>
        <v>Aandelen ontwikkeld</v>
      </c>
      <c r="S84" s="52">
        <f t="shared" si="36"/>
        <v>7.8745259110978044E-2</v>
      </c>
      <c r="T84" s="52">
        <f t="shared" si="37"/>
        <v>5.8547505435997266E-3</v>
      </c>
      <c r="U84" s="52">
        <f t="shared" si="38"/>
        <v>4.8073961600872545E-3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6.4363685203862667E-2</v>
      </c>
      <c r="C85" s="54">
        <v>1.4797106101116377E-2</v>
      </c>
      <c r="D85" s="55">
        <v>5.3289602851581713E-2</v>
      </c>
      <c r="E85" s="1">
        <v>6.3611292986666984E-2</v>
      </c>
      <c r="F85" s="56">
        <v>7.5341911001608225E-2</v>
      </c>
      <c r="G85" s="2">
        <v>-0.48508355514225471</v>
      </c>
      <c r="H85" s="2">
        <v>-0.15565450024759281</v>
      </c>
      <c r="I85" s="2">
        <v>1</v>
      </c>
      <c r="J85" s="2">
        <v>-0.62315392112305235</v>
      </c>
      <c r="K85" s="2">
        <v>6.0111712516589963E-2</v>
      </c>
      <c r="L85" s="2">
        <v>-5.7074410438660496E-2</v>
      </c>
      <c r="M85" s="2">
        <v>0.13348457983867701</v>
      </c>
      <c r="N85" s="2">
        <v>1</v>
      </c>
      <c r="O85" s="69"/>
      <c r="R85" s="51" t="str">
        <f t="shared" si="35"/>
        <v>Aandelen opkomend</v>
      </c>
      <c r="S85" s="52">
        <f t="shared" si="36"/>
        <v>5.3289602851581713E-2</v>
      </c>
      <c r="T85" s="52">
        <f t="shared" si="37"/>
        <v>1.1074082352280953E-2</v>
      </c>
      <c r="U85" s="52">
        <f t="shared" si="38"/>
        <v>1.0978225797745558E-2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1.9725823367499316E-2</v>
      </c>
      <c r="C86" s="54">
        <v>5.4287504529935771E-3</v>
      </c>
      <c r="D86" s="55">
        <v>1.5327886260825194E-2</v>
      </c>
      <c r="E86" s="1">
        <v>1.9610554654481513E-2</v>
      </c>
      <c r="F86" s="56">
        <v>2.4021237727506816E-2</v>
      </c>
      <c r="G86" s="2">
        <v>5.4667187628105801E-3</v>
      </c>
      <c r="H86" s="2">
        <v>-6.1017443627941982E-4</v>
      </c>
      <c r="I86" s="2">
        <v>-0.18978720168589272</v>
      </c>
      <c r="J86" s="2">
        <v>0.52045751275302765</v>
      </c>
      <c r="K86" s="2">
        <v>-9.409455093445282E-2</v>
      </c>
      <c r="L86" s="2">
        <v>-0.44881037156271508</v>
      </c>
      <c r="M86" s="2">
        <v>1</v>
      </c>
      <c r="N86" s="2">
        <v>0.99999999999999933</v>
      </c>
      <c r="O86" s="69"/>
      <c r="R86" s="51" t="str">
        <f t="shared" si="35"/>
        <v>Commodities</v>
      </c>
      <c r="S86" s="52">
        <f t="shared" si="36"/>
        <v>1.5327886260825194E-2</v>
      </c>
      <c r="T86" s="52">
        <f t="shared" si="37"/>
        <v>4.397937106674122E-3</v>
      </c>
      <c r="U86" s="52">
        <f t="shared" si="38"/>
        <v>4.2954143600075004E-3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2.8249819591705951E-2</v>
      </c>
      <c r="C87" s="54">
        <v>5.4378100591653275E-3</v>
      </c>
      <c r="D87" s="55">
        <v>2.3469351934482373E-2</v>
      </c>
      <c r="E87" s="1">
        <v>2.7644580471602995E-2</v>
      </c>
      <c r="F87" s="56">
        <v>3.2550329222249229E-2</v>
      </c>
      <c r="G87" s="2">
        <v>8.0959512907185695E-3</v>
      </c>
      <c r="H87" s="2">
        <v>-5.2041595143930813E-5</v>
      </c>
      <c r="I87" s="2">
        <v>-4.0541199959080697E-3</v>
      </c>
      <c r="J87" s="2">
        <v>0.32752000254526142</v>
      </c>
      <c r="K87" s="2">
        <v>-0.6830185392616549</v>
      </c>
      <c r="L87" s="2">
        <v>-0.91039123463141003</v>
      </c>
      <c r="M87" s="2">
        <v>-0.62021193836257948</v>
      </c>
      <c r="N87" s="2">
        <v>0.99999999999999833</v>
      </c>
      <c r="O87" s="69"/>
      <c r="R87" s="51" t="str">
        <f t="shared" si="35"/>
        <v>Hedge funds</v>
      </c>
      <c r="S87" s="52">
        <f t="shared" si="36"/>
        <v>2.3469351934482373E-2</v>
      </c>
      <c r="T87" s="52">
        <f t="shared" si="37"/>
        <v>4.7804676572235777E-3</v>
      </c>
      <c r="U87" s="52">
        <f t="shared" si="38"/>
        <v>4.3005096305432783E-3</v>
      </c>
    </row>
    <row r="88" spans="1:36">
      <c r="A88" s="60" t="str">
        <f t="shared" si="34"/>
        <v>Onroerend goed</v>
      </c>
      <c r="B88" s="286">
        <v>4.4030508407018554E-2</v>
      </c>
      <c r="C88" s="62">
        <v>5.7564514382065519E-3</v>
      </c>
      <c r="D88" s="63">
        <v>3.9164770631163873E-2</v>
      </c>
      <c r="E88" s="61">
        <v>4.3360108589595638E-2</v>
      </c>
      <c r="F88" s="64">
        <v>4.8840773732407791E-2</v>
      </c>
      <c r="G88" s="65">
        <v>-4.0627393100456605E-4</v>
      </c>
      <c r="H88" s="65">
        <v>8.4330708472036831E-3</v>
      </c>
      <c r="I88" s="65">
        <v>2.1933896493768718E-2</v>
      </c>
      <c r="J88" s="65">
        <v>0.37424733602695526</v>
      </c>
      <c r="K88" s="65">
        <v>-0.92769262314474799</v>
      </c>
      <c r="L88" s="65">
        <v>1</v>
      </c>
      <c r="M88" s="65">
        <v>-2.2185958531609307E-2</v>
      </c>
      <c r="N88" s="65">
        <v>0.99999999999999967</v>
      </c>
      <c r="O88" s="71"/>
      <c r="R88" s="51" t="str">
        <f t="shared" si="35"/>
        <v>Onroerend goed</v>
      </c>
      <c r="S88" s="52">
        <f t="shared" si="36"/>
        <v>3.9164770631163873E-2</v>
      </c>
      <c r="T88" s="52">
        <f t="shared" si="37"/>
        <v>4.865737775854681E-3</v>
      </c>
      <c r="U88" s="52">
        <f t="shared" si="38"/>
        <v>4.8102653253892375E-3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9" t="s">
        <v>64</v>
      </c>
      <c r="E2" s="400"/>
      <c r="F2" s="401"/>
      <c r="G2" s="399" t="s">
        <v>65</v>
      </c>
      <c r="H2" s="400"/>
      <c r="I2" s="400"/>
      <c r="J2" s="400"/>
      <c r="K2" s="400"/>
      <c r="L2" s="400"/>
      <c r="M2" s="400"/>
      <c r="N2" s="401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0.36987079510369125</v>
      </c>
      <c r="H3" s="272">
        <v>0.35400686398954861</v>
      </c>
      <c r="I3" s="272">
        <v>0.21249002228875991</v>
      </c>
      <c r="J3" s="272">
        <v>2.9328488969232458E-2</v>
      </c>
      <c r="K3" s="272">
        <v>1.8987402631529093E-2</v>
      </c>
      <c r="L3" s="272">
        <v>1.5316427017234124E-2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0.19801431026382649</v>
      </c>
      <c r="C4" s="118">
        <v>4.8398938081547382E-2</v>
      </c>
      <c r="D4" s="119">
        <v>0.14634128758599907</v>
      </c>
      <c r="E4" s="117">
        <v>0.19332625835117606</v>
      </c>
      <c r="F4" s="120">
        <v>0.25160412485759687</v>
      </c>
      <c r="G4" s="2">
        <v>-0.1925106293521115</v>
      </c>
      <c r="H4" s="2">
        <v>1</v>
      </c>
      <c r="I4" s="2">
        <v>-0.63592152882427644</v>
      </c>
      <c r="J4" s="2">
        <v>-0.55904258073987834</v>
      </c>
      <c r="K4" s="2">
        <v>-1.9776516871039249E-2</v>
      </c>
      <c r="L4" s="2">
        <v>-9.5728620667038626E-3</v>
      </c>
      <c r="M4" s="2">
        <v>0.99999999999999944</v>
      </c>
      <c r="N4" s="57"/>
      <c r="O4" s="72"/>
      <c r="Q4" s="72" t="str">
        <f>A4</f>
        <v>High Yield</v>
      </c>
      <c r="R4" s="72">
        <f>D4</f>
        <v>0.14634128758599907</v>
      </c>
      <c r="S4" s="52">
        <f>B4-D4</f>
        <v>5.1673022677827418E-2</v>
      </c>
      <c r="T4" s="52">
        <f>F4-B4</f>
        <v>5.358981459377038E-2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0.19725020051834455</v>
      </c>
      <c r="C5" s="118">
        <v>5.0125371106936684E-2</v>
      </c>
      <c r="D5" s="119">
        <v>0.14295635232447462</v>
      </c>
      <c r="E5" s="117">
        <v>0.19188803596992832</v>
      </c>
      <c r="F5" s="120">
        <v>0.25379955461718512</v>
      </c>
      <c r="G5" s="2">
        <v>-0.5621204658547897</v>
      </c>
      <c r="H5" s="2">
        <v>-0.90152170401050347</v>
      </c>
      <c r="I5" s="2">
        <v>-0.50237877556732491</v>
      </c>
      <c r="J5" s="2">
        <v>-0.53066557012120052</v>
      </c>
      <c r="K5" s="2">
        <v>-8.7108738388091689E-3</v>
      </c>
      <c r="L5" s="2">
        <v>-2.1019217757350165E-2</v>
      </c>
      <c r="M5" s="2">
        <v>0.999999999999999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0.14295635232447462</v>
      </c>
      <c r="S5" s="52">
        <f t="shared" ref="S5:S10" si="2">B5-D5</f>
        <v>5.4293848193869926E-2</v>
      </c>
      <c r="T5" s="52">
        <f t="shared" ref="T5:T10" si="3">F5-B5</f>
        <v>5.6549354098840571E-2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0.27986185016633569</v>
      </c>
      <c r="C6" s="118">
        <v>5.1191828751532227E-2</v>
      </c>
      <c r="D6" s="119">
        <v>0.22610090331447627</v>
      </c>
      <c r="E6" s="117">
        <v>0.27760891840196306</v>
      </c>
      <c r="F6" s="120">
        <v>0.33212908094201005</v>
      </c>
      <c r="G6" s="2">
        <v>1</v>
      </c>
      <c r="H6" s="2">
        <v>-0.27362539676816511</v>
      </c>
      <c r="I6" s="2">
        <v>-0.12612872173601411</v>
      </c>
      <c r="J6" s="2">
        <v>-0.70572991972016919</v>
      </c>
      <c r="K6" s="2">
        <v>-4.4510102074718783E-2</v>
      </c>
      <c r="L6" s="2">
        <v>1.2080020150191897E-2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0.22610090331447627</v>
      </c>
      <c r="S6" s="52">
        <f t="shared" si="2"/>
        <v>5.376094685185942E-2</v>
      </c>
      <c r="T6" s="52">
        <f t="shared" si="3"/>
        <v>5.2267230775674356E-2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0.11338017183180397</v>
      </c>
      <c r="C7" s="118">
        <v>3.8369492735734444E-2</v>
      </c>
      <c r="D7" s="119">
        <v>7.7477399564115187E-2</v>
      </c>
      <c r="E7" s="117">
        <v>0.10694765767219358</v>
      </c>
      <c r="F7" s="120">
        <v>0.15125164984913397</v>
      </c>
      <c r="G7" s="2">
        <v>-0.28251435226448707</v>
      </c>
      <c r="H7" s="2">
        <v>0.14573746714672148</v>
      </c>
      <c r="I7" s="2">
        <v>1</v>
      </c>
      <c r="J7" s="2">
        <v>-0.95149524600306534</v>
      </c>
      <c r="K7" s="2">
        <v>-4.5533778634332389E-2</v>
      </c>
      <c r="L7" s="2">
        <v>1.247700562045451E-2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7.7477399564115187E-2</v>
      </c>
      <c r="S7" s="52">
        <f t="shared" si="2"/>
        <v>3.5902772267688787E-2</v>
      </c>
      <c r="T7" s="52">
        <f t="shared" si="3"/>
        <v>3.7871478017329999E-2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4.1755512508442214E-2</v>
      </c>
      <c r="C8" s="118">
        <v>1.2626136847209136E-2</v>
      </c>
      <c r="D8" s="119">
        <v>2.7938253609372826E-2</v>
      </c>
      <c r="E8" s="117">
        <v>4.0056911379880947E-2</v>
      </c>
      <c r="F8" s="120">
        <v>5.6190953182308129E-2</v>
      </c>
      <c r="G8" s="2">
        <v>-5.9744581957478721E-3</v>
      </c>
      <c r="H8" s="2">
        <v>3.895781137080665E-3</v>
      </c>
      <c r="I8" s="2">
        <v>6.8792646445323E-2</v>
      </c>
      <c r="J8" s="2">
        <v>0.96680439559393061</v>
      </c>
      <c r="K8" s="2">
        <v>-0.32908113160044083</v>
      </c>
      <c r="L8" s="2">
        <v>1</v>
      </c>
      <c r="M8" s="2">
        <v>0.99999999999999956</v>
      </c>
      <c r="N8" s="57"/>
      <c r="O8" s="72"/>
      <c r="Q8" s="72" t="str">
        <f t="shared" si="0"/>
        <v>Commodities</v>
      </c>
      <c r="R8" s="72">
        <f t="shared" si="1"/>
        <v>2.7938253609372826E-2</v>
      </c>
      <c r="S8" s="52">
        <f t="shared" si="2"/>
        <v>1.3817258899069387E-2</v>
      </c>
      <c r="T8" s="52">
        <f t="shared" si="3"/>
        <v>1.4435440673865915E-2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6.5754011054460576E-2</v>
      </c>
      <c r="C9" s="118">
        <v>1.3107213254997828E-2</v>
      </c>
      <c r="D9" s="119">
        <v>5.2052005383569834E-2</v>
      </c>
      <c r="E9" s="117">
        <v>6.3852953401556806E-2</v>
      </c>
      <c r="F9" s="120">
        <v>8.1632397035132725E-2</v>
      </c>
      <c r="G9" s="2">
        <v>1.4264209045334155E-2</v>
      </c>
      <c r="H9" s="2">
        <v>1.1499361494946679E-2</v>
      </c>
      <c r="I9" s="2">
        <v>9.6645137243742907E-2</v>
      </c>
      <c r="J9" s="2">
        <v>1</v>
      </c>
      <c r="K9" s="2">
        <v>-0.5523875969806592</v>
      </c>
      <c r="L9" s="2">
        <v>-0.85273772776939727</v>
      </c>
      <c r="M9" s="2">
        <v>0.99999999999999978</v>
      </c>
      <c r="N9" s="57"/>
      <c r="O9" s="72"/>
      <c r="Q9" s="72" t="str">
        <f t="shared" si="0"/>
        <v>Hedge funds</v>
      </c>
      <c r="R9" s="72">
        <f t="shared" si="1"/>
        <v>5.2052005383569834E-2</v>
      </c>
      <c r="S9" s="52">
        <f t="shared" si="2"/>
        <v>1.3702005670890742E-2</v>
      </c>
      <c r="T9" s="52">
        <f t="shared" si="3"/>
        <v>1.5878385980672149E-2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0.10398394365678625</v>
      </c>
      <c r="C10" s="122">
        <v>1.3396812681892281E-2</v>
      </c>
      <c r="D10" s="123">
        <v>8.9242116827954382E-2</v>
      </c>
      <c r="E10" s="121">
        <v>0.10288794820250971</v>
      </c>
      <c r="F10" s="124">
        <v>0.11892797011605087</v>
      </c>
      <c r="G10" s="65">
        <v>2.8855696621801312E-2</v>
      </c>
      <c r="H10" s="65">
        <v>1.4014490999919796E-2</v>
      </c>
      <c r="I10" s="65">
        <v>9.8991242438548913E-2</v>
      </c>
      <c r="J10" s="65">
        <v>0.78012892099038189</v>
      </c>
      <c r="K10" s="65">
        <v>1</v>
      </c>
      <c r="L10" s="65">
        <v>-0.14122721817719375</v>
      </c>
      <c r="M10" s="65">
        <v>0.99999999999999978</v>
      </c>
      <c r="N10" s="66"/>
      <c r="O10" s="72"/>
      <c r="Q10" s="72" t="str">
        <f t="shared" si="0"/>
        <v>Onroerend goed</v>
      </c>
      <c r="R10" s="72">
        <f t="shared" si="1"/>
        <v>8.9242116827954382E-2</v>
      </c>
      <c r="S10" s="52">
        <f t="shared" si="2"/>
        <v>1.4741826828831864E-2</v>
      </c>
      <c r="T10" s="52">
        <f t="shared" si="3"/>
        <v>1.4944026459264625E-2</v>
      </c>
      <c r="U10" s="52"/>
      <c r="V10" s="52"/>
      <c r="W10" s="52"/>
    </row>
    <row r="12" spans="1:23">
      <c r="A12" s="48" t="s">
        <v>68</v>
      </c>
      <c r="D12" s="399" t="s">
        <v>64</v>
      </c>
      <c r="E12" s="400"/>
      <c r="F12" s="401"/>
      <c r="G12" s="399" t="s">
        <v>65</v>
      </c>
      <c r="H12" s="400"/>
      <c r="I12" s="400"/>
      <c r="J12" s="400"/>
      <c r="K12" s="400"/>
      <c r="L12" s="400"/>
      <c r="M12" s="400"/>
      <c r="N12" s="401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0.53841460571203048</v>
      </c>
      <c r="H13" s="272">
        <v>0.32677808382462104</v>
      </c>
      <c r="I13" s="272">
        <v>5.8291821226600704E-2</v>
      </c>
      <c r="J13" s="272">
        <v>3.2343248108373079E-2</v>
      </c>
      <c r="K13" s="272">
        <v>2.4254418828667967E-2</v>
      </c>
      <c r="L13" s="272">
        <v>1.9917822299705845E-2</v>
      </c>
      <c r="M13" s="272">
        <v>2.2204460492503131E-16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0.20110531972648085</v>
      </c>
      <c r="C14" s="118">
        <v>4.7203803898355018E-2</v>
      </c>
      <c r="D14" s="119">
        <v>0.15259384264442535</v>
      </c>
      <c r="E14" s="117">
        <v>0.1966597321001195</v>
      </c>
      <c r="F14" s="120">
        <v>0.25135484922153717</v>
      </c>
      <c r="G14" s="2">
        <v>-0.51252005617347207</v>
      </c>
      <c r="H14" s="2">
        <v>1</v>
      </c>
      <c r="I14" s="2">
        <v>0.44025761157072879</v>
      </c>
      <c r="J14" s="2">
        <v>0.18843296055721606</v>
      </c>
      <c r="K14" s="2">
        <v>5.2250101908597586E-2</v>
      </c>
      <c r="L14" s="2">
        <v>-2.4741011287092718E-2</v>
      </c>
      <c r="M14" s="2">
        <v>0.99999999999999734</v>
      </c>
      <c r="N14" s="57"/>
      <c r="Q14" s="51" t="str">
        <f t="shared" ref="Q14:Q20" si="4">A14</f>
        <v>High Yield</v>
      </c>
      <c r="R14" s="72">
        <f>D14</f>
        <v>0.15259384264442535</v>
      </c>
      <c r="S14" s="52">
        <f>B14-D14</f>
        <v>4.8511477082055499E-2</v>
      </c>
      <c r="T14" s="52">
        <f>F14-B14</f>
        <v>5.0249529495056316E-2</v>
      </c>
      <c r="U14" s="52"/>
    </row>
    <row r="15" spans="1:23">
      <c r="A15" s="59" t="str">
        <f t="shared" ref="A15:A20" si="5">A5</f>
        <v>Emerging market debt</v>
      </c>
      <c r="B15" s="117">
        <v>0.21937703780698281</v>
      </c>
      <c r="C15" s="118">
        <v>5.4450312750856308E-2</v>
      </c>
      <c r="D15" s="119">
        <v>0.16154920315461632</v>
      </c>
      <c r="E15" s="117">
        <v>0.21559258408322207</v>
      </c>
      <c r="F15" s="120">
        <v>0.28168325865433919</v>
      </c>
      <c r="G15" s="2">
        <v>1</v>
      </c>
      <c r="H15" s="2">
        <v>0.18079650760173638</v>
      </c>
      <c r="I15" s="2">
        <v>0.58040015385319843</v>
      </c>
      <c r="J15" s="2">
        <v>0.14824344117133031</v>
      </c>
      <c r="K15" s="2">
        <v>4.2518676738133705E-2</v>
      </c>
      <c r="L15" s="2">
        <v>1.1306625283534186E-2</v>
      </c>
      <c r="M15" s="2">
        <v>0.99999999999999689</v>
      </c>
      <c r="N15" s="57"/>
      <c r="Q15" s="51" t="str">
        <f t="shared" si="4"/>
        <v>Emerging market debt</v>
      </c>
      <c r="R15" s="72">
        <f t="shared" ref="R15:R20" si="6">D15</f>
        <v>0.16154920315461632</v>
      </c>
      <c r="S15" s="52">
        <f t="shared" ref="S15:S20" si="7">B15-D15</f>
        <v>5.7827834652366489E-2</v>
      </c>
      <c r="T15" s="52">
        <f t="shared" ref="T15:T20" si="8">F15-B15</f>
        <v>6.2306220847356375E-2</v>
      </c>
      <c r="U15" s="52"/>
    </row>
    <row r="16" spans="1:23">
      <c r="A16" s="59" t="str">
        <f t="shared" si="5"/>
        <v>Aandelen ontwikkeld</v>
      </c>
      <c r="B16" s="117">
        <v>0.20324755141457962</v>
      </c>
      <c r="C16" s="118">
        <v>1.8230652857151374E-2</v>
      </c>
      <c r="D16" s="119">
        <v>0.18412075104153319</v>
      </c>
      <c r="E16" s="117">
        <v>0.20189327990178291</v>
      </c>
      <c r="F16" s="120">
        <v>0.22285406783975803</v>
      </c>
      <c r="G16" s="2">
        <v>-5.0966996987505495E-2</v>
      </c>
      <c r="H16" s="2">
        <v>-0.25565302380752203</v>
      </c>
      <c r="I16" s="2">
        <v>-0.73094406522640498</v>
      </c>
      <c r="J16" s="2">
        <v>1</v>
      </c>
      <c r="K16" s="2">
        <v>0.25967156779196066</v>
      </c>
      <c r="L16" s="2">
        <v>-0.35331420763258625</v>
      </c>
      <c r="M16" s="2">
        <v>0.99999999999999856</v>
      </c>
      <c r="N16" s="57"/>
      <c r="Q16" s="51" t="str">
        <f t="shared" si="4"/>
        <v>Aandelen ontwikkeld</v>
      </c>
      <c r="R16" s="72">
        <f t="shared" si="6"/>
        <v>0.18412075104153319</v>
      </c>
      <c r="S16" s="52">
        <f t="shared" si="7"/>
        <v>1.9126800373046426E-2</v>
      </c>
      <c r="T16" s="52">
        <f t="shared" si="8"/>
        <v>1.9606516425178411E-2</v>
      </c>
      <c r="U16" s="52"/>
    </row>
    <row r="17" spans="1:24">
      <c r="A17" s="59" t="str">
        <f t="shared" si="5"/>
        <v>Aandelen opkomend</v>
      </c>
      <c r="B17" s="117">
        <v>0.15530731045244939</v>
      </c>
      <c r="C17" s="118">
        <v>3.8955999484778056E-2</v>
      </c>
      <c r="D17" s="119">
        <v>0.11465409513678974</v>
      </c>
      <c r="E17" s="117">
        <v>0.15110567000975211</v>
      </c>
      <c r="F17" s="120">
        <v>0.19832755031323218</v>
      </c>
      <c r="G17" s="2">
        <v>-0.40337965975847151</v>
      </c>
      <c r="H17" s="2">
        <v>-0.78373148469021625</v>
      </c>
      <c r="I17" s="2">
        <v>1</v>
      </c>
      <c r="J17" s="2">
        <v>6.3494758797475362E-2</v>
      </c>
      <c r="K17" s="2">
        <v>-5.2145918444535977E-2</v>
      </c>
      <c r="L17" s="2">
        <v>0.11966976282310524</v>
      </c>
      <c r="M17" s="2">
        <v>0.99999999999999711</v>
      </c>
      <c r="N17" s="57"/>
      <c r="Q17" s="51" t="str">
        <f t="shared" si="4"/>
        <v>Aandelen opkomend</v>
      </c>
      <c r="R17" s="72">
        <f t="shared" si="6"/>
        <v>0.11465409513678974</v>
      </c>
      <c r="S17" s="52">
        <f t="shared" si="7"/>
        <v>4.0653215315659644E-2</v>
      </c>
      <c r="T17" s="52">
        <f t="shared" si="8"/>
        <v>4.3020239860782794E-2</v>
      </c>
      <c r="U17" s="52"/>
    </row>
    <row r="18" spans="1:24">
      <c r="A18" s="59" t="str">
        <f t="shared" si="5"/>
        <v>Commodities</v>
      </c>
      <c r="B18" s="117">
        <v>4.739836797984226E-2</v>
      </c>
      <c r="C18" s="118">
        <v>1.3218466462655704E-2</v>
      </c>
      <c r="D18" s="119">
        <v>3.2539332874868862E-2</v>
      </c>
      <c r="E18" s="117">
        <v>4.7058589183186304E-2</v>
      </c>
      <c r="F18" s="120">
        <v>6.2373784112710662E-2</v>
      </c>
      <c r="G18" s="2">
        <v>1.0216555460906434E-3</v>
      </c>
      <c r="H18" s="2">
        <v>-1.1724847520649256E-2</v>
      </c>
      <c r="I18" s="2">
        <v>-0.61387831510783208</v>
      </c>
      <c r="J18" s="2">
        <v>-7.5724673937259887E-2</v>
      </c>
      <c r="K18" s="2">
        <v>-0.46994540105833404</v>
      </c>
      <c r="L18" s="2">
        <v>1</v>
      </c>
      <c r="M18" s="2">
        <v>0.99999999999999956</v>
      </c>
      <c r="N18" s="57"/>
      <c r="Q18" s="51" t="str">
        <f t="shared" si="4"/>
        <v>Commodities</v>
      </c>
      <c r="R18" s="72">
        <f t="shared" si="6"/>
        <v>3.2539332874868862E-2</v>
      </c>
      <c r="S18" s="52">
        <f t="shared" si="7"/>
        <v>1.4859035104973398E-2</v>
      </c>
      <c r="T18" s="52">
        <f t="shared" si="8"/>
        <v>1.4975416132868402E-2</v>
      </c>
      <c r="U18" s="52"/>
    </row>
    <row r="19" spans="1:24">
      <c r="A19" s="59" t="str">
        <f t="shared" si="5"/>
        <v>Hedge funds</v>
      </c>
      <c r="B19" s="117">
        <v>6.7825351865221234E-2</v>
      </c>
      <c r="C19" s="118">
        <v>1.3040991044585034E-2</v>
      </c>
      <c r="D19" s="119">
        <v>5.284293514572827E-2</v>
      </c>
      <c r="E19" s="117">
        <v>6.6676286450469774E-2</v>
      </c>
      <c r="F19" s="120">
        <v>8.2915616723621216E-2</v>
      </c>
      <c r="G19" s="2">
        <v>-6.0554459818834257E-3</v>
      </c>
      <c r="H19" s="2">
        <v>-4.898477601294729E-2</v>
      </c>
      <c r="I19" s="2">
        <v>-0.31741553807955031</v>
      </c>
      <c r="J19" s="2">
        <v>-0.55467090481178427</v>
      </c>
      <c r="K19" s="2">
        <v>-0.83234902693582125</v>
      </c>
      <c r="L19" s="2">
        <v>-0.72129516393647608</v>
      </c>
      <c r="M19" s="2">
        <v>1</v>
      </c>
      <c r="N19" s="57"/>
      <c r="Q19" s="51" t="str">
        <f t="shared" si="4"/>
        <v>Hedge funds</v>
      </c>
      <c r="R19" s="72">
        <f t="shared" si="6"/>
        <v>5.284293514572827E-2</v>
      </c>
      <c r="S19" s="52">
        <f t="shared" si="7"/>
        <v>1.4982416719492964E-2</v>
      </c>
      <c r="T19" s="52">
        <f t="shared" si="8"/>
        <v>1.5090264858399982E-2</v>
      </c>
      <c r="U19" s="52"/>
    </row>
    <row r="20" spans="1:24">
      <c r="A20" s="60" t="str">
        <f t="shared" si="5"/>
        <v>Onroerend goed</v>
      </c>
      <c r="B20" s="121">
        <v>0.10573906075444361</v>
      </c>
      <c r="C20" s="122">
        <v>1.4123009182187141E-2</v>
      </c>
      <c r="D20" s="123">
        <v>9.0398532971560294E-2</v>
      </c>
      <c r="E20" s="121">
        <v>0.10461488592440106</v>
      </c>
      <c r="F20" s="124">
        <v>0.12207147519390434</v>
      </c>
      <c r="G20" s="65">
        <v>-2.8099496644757936E-2</v>
      </c>
      <c r="H20" s="65">
        <v>-8.0702375570400872E-2</v>
      </c>
      <c r="I20" s="65">
        <v>-0.35841984701013596</v>
      </c>
      <c r="J20" s="65">
        <v>-0.76977558177697492</v>
      </c>
      <c r="K20" s="65">
        <v>1</v>
      </c>
      <c r="L20" s="65">
        <v>-3.1626005250483917E-2</v>
      </c>
      <c r="M20" s="65">
        <v>0.99999999999999956</v>
      </c>
      <c r="N20" s="66"/>
      <c r="Q20" s="51" t="str">
        <f t="shared" si="4"/>
        <v>Onroerend goed</v>
      </c>
      <c r="R20" s="72">
        <f t="shared" si="6"/>
        <v>9.0398532971560294E-2</v>
      </c>
      <c r="S20" s="52">
        <f t="shared" si="7"/>
        <v>1.534052778288332E-2</v>
      </c>
      <c r="T20" s="52">
        <f t="shared" si="8"/>
        <v>1.6332414439460721E-2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9" t="s">
        <v>64</v>
      </c>
      <c r="E22" s="400"/>
      <c r="F22" s="401"/>
      <c r="G22" s="399" t="s">
        <v>65</v>
      </c>
      <c r="H22" s="400"/>
      <c r="I22" s="400"/>
      <c r="J22" s="400"/>
      <c r="K22" s="400"/>
      <c r="L22" s="400"/>
      <c r="M22" s="400"/>
      <c r="N22" s="401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0.50294317470374805</v>
      </c>
      <c r="H23" s="272">
        <v>0.29224524673741492</v>
      </c>
      <c r="I23" s="272">
        <v>0.11013099410896954</v>
      </c>
      <c r="J23" s="272">
        <v>3.3451606484158125E-2</v>
      </c>
      <c r="K23" s="272">
        <v>3.2217952356957569E-2</v>
      </c>
      <c r="L23" s="272">
        <v>2.9011025608750352E-2</v>
      </c>
      <c r="M23" s="272">
        <v>-2.2204460492503131E-16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0.19137730652293258</v>
      </c>
      <c r="C24" s="118">
        <v>3.828928841011258E-2</v>
      </c>
      <c r="D24" s="119">
        <v>0.15199905216458534</v>
      </c>
      <c r="E24" s="117">
        <v>0.18810029039527376</v>
      </c>
      <c r="F24" s="120">
        <v>0.23278635198041439</v>
      </c>
      <c r="G24" s="2">
        <v>-0.41981063758931736</v>
      </c>
      <c r="H24" s="2">
        <v>-0.95736578985123577</v>
      </c>
      <c r="I24" s="2">
        <v>-0.9663972736368025</v>
      </c>
      <c r="J24" s="2">
        <v>-1.0754323878366378E-2</v>
      </c>
      <c r="K24" s="2">
        <v>-6.0310831259934292E-2</v>
      </c>
      <c r="L24" s="2">
        <v>0.13813776772904937</v>
      </c>
      <c r="M24" s="2">
        <v>0.99999999999999956</v>
      </c>
      <c r="N24" s="57"/>
      <c r="O24" s="67"/>
      <c r="Q24" s="51" t="str">
        <f t="shared" ref="Q24:Q30" si="9">A24</f>
        <v>High Yield</v>
      </c>
      <c r="R24" s="72">
        <f>D24</f>
        <v>0.15199905216458534</v>
      </c>
      <c r="S24" s="52">
        <f>B24-D24</f>
        <v>3.9378254358347242E-2</v>
      </c>
      <c r="T24" s="52">
        <f>F24-B24</f>
        <v>4.1409045457481808E-2</v>
      </c>
      <c r="U24" s="52"/>
    </row>
    <row r="25" spans="1:24">
      <c r="A25" s="59" t="str">
        <f t="shared" ref="A25:A30" si="10">A5</f>
        <v>Emerging market debt</v>
      </c>
      <c r="B25" s="117">
        <v>0.24793147251472286</v>
      </c>
      <c r="C25" s="118">
        <v>4.9932065014751489E-2</v>
      </c>
      <c r="D25" s="119">
        <v>0.19607906811286072</v>
      </c>
      <c r="E25" s="117">
        <v>0.24566952749055881</v>
      </c>
      <c r="F25" s="120">
        <v>0.30319873191274826</v>
      </c>
      <c r="G25" s="2">
        <v>1</v>
      </c>
      <c r="H25" s="2">
        <v>-7.3386157940635896E-2</v>
      </c>
      <c r="I25" s="2">
        <v>-0.56336964628617614</v>
      </c>
      <c r="J25" s="2">
        <v>9.4925260462616645E-4</v>
      </c>
      <c r="K25" s="2">
        <v>-4.7579777210713159E-2</v>
      </c>
      <c r="L25" s="2">
        <v>8.5844498675682807E-2</v>
      </c>
      <c r="M25" s="2">
        <v>0.99999999999999956</v>
      </c>
      <c r="N25" s="57"/>
      <c r="O25" s="67"/>
      <c r="Q25" s="51" t="str">
        <f t="shared" si="9"/>
        <v>Emerging market debt</v>
      </c>
      <c r="R25" s="72">
        <f t="shared" ref="R25:R30" si="11">D25</f>
        <v>0.19607906811286072</v>
      </c>
      <c r="S25" s="52">
        <f t="shared" ref="S25:S30" si="12">B25-D25</f>
        <v>5.1852404401862145E-2</v>
      </c>
      <c r="T25" s="52">
        <f t="shared" ref="T25:T30" si="13">F25-B25</f>
        <v>5.5267259398025403E-2</v>
      </c>
      <c r="U25" s="52"/>
      <c r="X25" s="51"/>
    </row>
    <row r="26" spans="1:24">
      <c r="A26" s="59" t="str">
        <f t="shared" si="10"/>
        <v>Aandelen ontwikkeld</v>
      </c>
      <c r="B26" s="117">
        <v>0.20942567519672908</v>
      </c>
      <c r="C26" s="118">
        <v>1.7235929356566426E-2</v>
      </c>
      <c r="D26" s="119">
        <v>0.1931510876705694</v>
      </c>
      <c r="E26" s="117">
        <v>0.20707558556078515</v>
      </c>
      <c r="F26" s="120">
        <v>0.22829697008709338</v>
      </c>
      <c r="G26" s="2">
        <v>-7.5458060002587798E-2</v>
      </c>
      <c r="H26" s="2">
        <v>3.2618016089066629E-2</v>
      </c>
      <c r="I26" s="2">
        <v>1</v>
      </c>
      <c r="J26" s="2">
        <v>-6.3082073891042284E-2</v>
      </c>
      <c r="K26" s="2">
        <v>-0.19140698562642666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0.1931510876705694</v>
      </c>
      <c r="S26" s="52">
        <f t="shared" si="12"/>
        <v>1.6274587526159678E-2</v>
      </c>
      <c r="T26" s="52">
        <f t="shared" si="13"/>
        <v>1.8871294890364293E-2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0.1184062178993871</v>
      </c>
      <c r="C27" s="118">
        <v>3.7214932825106087E-2</v>
      </c>
      <c r="D27" s="119">
        <v>8.0723982422374815E-2</v>
      </c>
      <c r="E27" s="117">
        <v>0.11245199136625558</v>
      </c>
      <c r="F27" s="120">
        <v>0.15270806540912685</v>
      </c>
      <c r="G27" s="2">
        <v>-0.32555182260131821</v>
      </c>
      <c r="H27" s="2">
        <v>1</v>
      </c>
      <c r="I27" s="2">
        <v>-0.99950236599983022</v>
      </c>
      <c r="J27" s="2">
        <v>-3.2951244208220105E-2</v>
      </c>
      <c r="K27" s="2">
        <v>-2.7651928258973224E-2</v>
      </c>
      <c r="L27" s="2">
        <v>0.11061171919443517</v>
      </c>
      <c r="M27" s="2">
        <v>0.99999999999999989</v>
      </c>
      <c r="N27" s="57"/>
      <c r="O27" s="67"/>
      <c r="P27" s="72"/>
      <c r="Q27" s="51" t="str">
        <f t="shared" si="9"/>
        <v>Aandelen opkomend</v>
      </c>
      <c r="R27" s="72">
        <f t="shared" si="11"/>
        <v>8.0723982422374815E-2</v>
      </c>
      <c r="S27" s="52">
        <f t="shared" si="12"/>
        <v>3.7682235477012285E-2</v>
      </c>
      <c r="T27" s="52">
        <f t="shared" si="13"/>
        <v>3.4301847509739747E-2</v>
      </c>
      <c r="U27" s="52"/>
      <c r="V27" s="52"/>
      <c r="W27" s="52"/>
    </row>
    <row r="28" spans="1:24">
      <c r="A28" s="59" t="str">
        <f t="shared" si="10"/>
        <v>Commodities</v>
      </c>
      <c r="B28" s="117">
        <v>4.8917332108960751E-2</v>
      </c>
      <c r="C28" s="118">
        <v>1.4818255879769515E-2</v>
      </c>
      <c r="D28" s="119">
        <v>3.2690521993272416E-2</v>
      </c>
      <c r="E28" s="117">
        <v>4.6977264477992886E-2</v>
      </c>
      <c r="F28" s="120">
        <v>6.5743454168271265E-2</v>
      </c>
      <c r="G28" s="2">
        <v>-7.2449555942906155E-2</v>
      </c>
      <c r="H28" s="2">
        <v>2.0270442334758006E-2</v>
      </c>
      <c r="I28" s="2">
        <v>0.50369429756001005</v>
      </c>
      <c r="J28" s="2">
        <v>1</v>
      </c>
      <c r="K28" s="2">
        <v>-0.13417889552993781</v>
      </c>
      <c r="L28" s="2">
        <v>-0.43324344532827053</v>
      </c>
      <c r="M28" s="2">
        <v>0.99999999999999789</v>
      </c>
      <c r="N28" s="57"/>
      <c r="O28" s="67"/>
      <c r="P28" s="72"/>
      <c r="Q28" s="51" t="str">
        <f t="shared" si="9"/>
        <v>Commodities</v>
      </c>
      <c r="R28" s="72">
        <f t="shared" si="11"/>
        <v>3.2690521993272416E-2</v>
      </c>
      <c r="S28" s="52">
        <f t="shared" si="12"/>
        <v>1.6226810115688335E-2</v>
      </c>
      <c r="T28" s="52">
        <f t="shared" si="13"/>
        <v>1.6826122059310514E-2</v>
      </c>
      <c r="U28" s="52"/>
      <c r="V28" s="52"/>
      <c r="W28" s="52"/>
    </row>
    <row r="29" spans="1:24">
      <c r="A29" s="59" t="str">
        <f t="shared" si="10"/>
        <v>Hedge funds</v>
      </c>
      <c r="B29" s="117">
        <v>7.2999069424914409E-2</v>
      </c>
      <c r="C29" s="118">
        <v>1.4255833823560802E-2</v>
      </c>
      <c r="D29" s="119">
        <v>5.7333604301676895E-2</v>
      </c>
      <c r="E29" s="117">
        <v>7.1282690324869058E-2</v>
      </c>
      <c r="F29" s="120">
        <v>8.9259102328545253E-2</v>
      </c>
      <c r="G29" s="2">
        <v>-4.4460897119835946E-2</v>
      </c>
      <c r="H29" s="2">
        <v>-2.3747823159721626E-2</v>
      </c>
      <c r="I29" s="2">
        <v>0.45417561930411482</v>
      </c>
      <c r="J29" s="2">
        <v>-0.2347488526591158</v>
      </c>
      <c r="K29" s="2">
        <v>1</v>
      </c>
      <c r="L29" s="2">
        <v>-0.21896761491290587</v>
      </c>
      <c r="M29" s="2">
        <v>0.99999999999999944</v>
      </c>
      <c r="N29" s="57"/>
      <c r="O29" s="67"/>
      <c r="P29" s="72"/>
      <c r="Q29" s="51" t="str">
        <f t="shared" si="9"/>
        <v>Hedge funds</v>
      </c>
      <c r="R29" s="72">
        <f t="shared" si="11"/>
        <v>5.7333604301676895E-2</v>
      </c>
      <c r="S29" s="52">
        <f t="shared" si="12"/>
        <v>1.5665465123237514E-2</v>
      </c>
      <c r="T29" s="52">
        <f t="shared" si="13"/>
        <v>1.6260032903630844E-2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0.11094292633235306</v>
      </c>
      <c r="C30" s="122">
        <v>1.4791540100175379E-2</v>
      </c>
      <c r="D30" s="123">
        <v>9.575829634822311E-2</v>
      </c>
      <c r="E30" s="121">
        <v>0.10925831291430022</v>
      </c>
      <c r="F30" s="124">
        <v>0.12672401777992898</v>
      </c>
      <c r="G30" s="65">
        <v>-6.2269026744034423E-2</v>
      </c>
      <c r="H30" s="65">
        <v>1.6113125277684936E-3</v>
      </c>
      <c r="I30" s="65">
        <v>0.57139936905868494</v>
      </c>
      <c r="J30" s="65">
        <v>-0.65941275796787935</v>
      </c>
      <c r="K30" s="65">
        <v>-0.53887158211401531</v>
      </c>
      <c r="L30" s="65">
        <v>-0.68238292535799305</v>
      </c>
      <c r="M30" s="65">
        <v>0.99999999999999878</v>
      </c>
      <c r="N30" s="66"/>
      <c r="O30" s="67"/>
      <c r="P30" s="72"/>
      <c r="Q30" s="51" t="str">
        <f t="shared" si="9"/>
        <v>Onroerend goed</v>
      </c>
      <c r="R30" s="72">
        <f t="shared" si="11"/>
        <v>9.575829634822311E-2</v>
      </c>
      <c r="S30" s="52">
        <f t="shared" si="12"/>
        <v>1.5184629984129949E-2</v>
      </c>
      <c r="T30" s="52">
        <f t="shared" si="13"/>
        <v>1.5781091447575918E-2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9" t="s">
        <v>64</v>
      </c>
      <c r="E32" s="400"/>
      <c r="F32" s="401"/>
      <c r="G32" s="399" t="s">
        <v>65</v>
      </c>
      <c r="H32" s="400"/>
      <c r="I32" s="400"/>
      <c r="J32" s="400"/>
      <c r="K32" s="400"/>
      <c r="L32" s="400"/>
      <c r="M32" s="400"/>
      <c r="N32" s="401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0.44746398693231682</v>
      </c>
      <c r="H33" s="272">
        <v>0.2669445693761191</v>
      </c>
      <c r="I33" s="272">
        <v>0.1866194103548523</v>
      </c>
      <c r="J33" s="272">
        <v>4.3568692412209065E-2</v>
      </c>
      <c r="K33" s="272">
        <v>3.058823217788631E-2</v>
      </c>
      <c r="L33" s="272">
        <v>2.4815108746620074E-2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0.2023430796634143</v>
      </c>
      <c r="C34" s="118">
        <v>4.7792930762299214E-2</v>
      </c>
      <c r="D34" s="119">
        <v>0.15100198296733824</v>
      </c>
      <c r="E34" s="117">
        <v>0.19884195208742475</v>
      </c>
      <c r="F34" s="120">
        <v>0.25485910672495604</v>
      </c>
      <c r="G34" s="2">
        <v>1</v>
      </c>
      <c r="H34" s="2">
        <v>0.19235445147784452</v>
      </c>
      <c r="I34" s="2">
        <v>9.7648596093729612E-2</v>
      </c>
      <c r="J34" s="2">
        <v>-0.47805375660165428</v>
      </c>
      <c r="K34" s="2">
        <v>7.1125951268903073E-2</v>
      </c>
      <c r="L34" s="2">
        <v>-1.6475950128091818E-2</v>
      </c>
      <c r="M34" s="2">
        <v>0.99999999999999922</v>
      </c>
      <c r="N34" s="57"/>
      <c r="O34" s="67"/>
      <c r="Q34" s="51" t="str">
        <f t="shared" ref="Q34:Q40" si="15">A34</f>
        <v>High Yield</v>
      </c>
      <c r="R34" s="72">
        <f>D34</f>
        <v>0.15100198296733824</v>
      </c>
      <c r="S34" s="52">
        <f>B34-D34</f>
        <v>5.1341096696076061E-2</v>
      </c>
      <c r="T34" s="52">
        <f>F34-B34</f>
        <v>5.2516027061541737E-2</v>
      </c>
      <c r="U34" s="52"/>
    </row>
    <row r="35" spans="1:24">
      <c r="A35" s="59" t="str">
        <f t="shared" si="14"/>
        <v>Emerging market debt</v>
      </c>
      <c r="B35" s="117">
        <v>0.18087826749049435</v>
      </c>
      <c r="C35" s="118">
        <v>3.866469843298747E-2</v>
      </c>
      <c r="D35" s="119">
        <v>0.14077806866127626</v>
      </c>
      <c r="E35" s="117">
        <v>0.1750187197337581</v>
      </c>
      <c r="F35" s="120">
        <v>0.22222448393623356</v>
      </c>
      <c r="G35" s="2">
        <v>-0.44372185257197194</v>
      </c>
      <c r="H35" s="2">
        <v>1</v>
      </c>
      <c r="I35" s="2">
        <v>-0.11654439487600779</v>
      </c>
      <c r="J35" s="2">
        <v>-0.61378512402749075</v>
      </c>
      <c r="K35" s="2">
        <v>9.0018797887236601E-2</v>
      </c>
      <c r="L35" s="2">
        <v>-6.1152606514590487E-2</v>
      </c>
      <c r="M35" s="2">
        <v>0.99999999999999922</v>
      </c>
      <c r="N35" s="57"/>
      <c r="O35" s="67"/>
      <c r="Q35" s="51" t="str">
        <f t="shared" si="15"/>
        <v>Emerging market debt</v>
      </c>
      <c r="R35" s="72">
        <f t="shared" ref="R35:R40" si="16">D35</f>
        <v>0.14077806866127626</v>
      </c>
      <c r="S35" s="52">
        <f t="shared" ref="S35:S40" si="17">B35-D35</f>
        <v>4.0100198829218087E-2</v>
      </c>
      <c r="T35" s="52">
        <f t="shared" ref="T35:T40" si="18">F35-B35</f>
        <v>4.1346216445739215E-2</v>
      </c>
      <c r="U35" s="52"/>
    </row>
    <row r="36" spans="1:24">
      <c r="A36" s="59" t="str">
        <f t="shared" si="14"/>
        <v>Aandelen ontwikkeld</v>
      </c>
      <c r="B36" s="117">
        <v>0.2285884604710163</v>
      </c>
      <c r="C36" s="118">
        <v>3.2222334156178048E-2</v>
      </c>
      <c r="D36" s="119">
        <v>0.19539899594390558</v>
      </c>
      <c r="E36" s="117">
        <v>0.22396402649476557</v>
      </c>
      <c r="F36" s="120">
        <v>0.26305205611458043</v>
      </c>
      <c r="G36" s="2">
        <v>-0.18692549606220482</v>
      </c>
      <c r="H36" s="2">
        <v>-0.71747843763877317</v>
      </c>
      <c r="I36" s="2">
        <v>-0.69333171846915054</v>
      </c>
      <c r="J36" s="2">
        <v>-0.85787721930088856</v>
      </c>
      <c r="K36" s="2">
        <v>6.6682708615447783E-2</v>
      </c>
      <c r="L36" s="2">
        <v>-9.5447424514364582E-2</v>
      </c>
      <c r="M36" s="2">
        <v>0.99999999999999922</v>
      </c>
      <c r="N36" s="57"/>
      <c r="O36" s="67"/>
      <c r="Q36" s="51" t="str">
        <f t="shared" si="15"/>
        <v>Aandelen ontwikkeld</v>
      </c>
      <c r="R36" s="72">
        <f t="shared" si="16"/>
        <v>0.19539899594390558</v>
      </c>
      <c r="S36" s="52">
        <f t="shared" si="17"/>
        <v>3.3189464527110718E-2</v>
      </c>
      <c r="T36" s="52">
        <f t="shared" si="18"/>
        <v>3.4463595643564132E-2</v>
      </c>
      <c r="U36" s="52"/>
    </row>
    <row r="37" spans="1:24">
      <c r="A37" s="59" t="str">
        <f t="shared" si="14"/>
        <v>Aandelen opkomend</v>
      </c>
      <c r="B37" s="117">
        <v>0.16294027571480899</v>
      </c>
      <c r="C37" s="118">
        <v>3.3772482807207495E-2</v>
      </c>
      <c r="D37" s="119">
        <v>0.12745777243240128</v>
      </c>
      <c r="E37" s="117">
        <v>0.16322005870238615</v>
      </c>
      <c r="F37" s="120">
        <v>0.19891909151085846</v>
      </c>
      <c r="G37" s="2">
        <v>-0.28522950438618222</v>
      </c>
      <c r="H37" s="2">
        <v>-0.39977970613173763</v>
      </c>
      <c r="I37" s="2">
        <v>1</v>
      </c>
      <c r="J37" s="2">
        <v>-0.40803442013227731</v>
      </c>
      <c r="K37" s="2">
        <v>1.2104188442380325E-2</v>
      </c>
      <c r="L37" s="2">
        <v>0.14260525000693863</v>
      </c>
      <c r="M37" s="2">
        <v>0.99999999999999922</v>
      </c>
      <c r="N37" s="57"/>
      <c r="O37" s="67"/>
      <c r="Q37" s="51" t="str">
        <f t="shared" si="15"/>
        <v>Aandelen opkomend</v>
      </c>
      <c r="R37" s="72">
        <f t="shared" si="16"/>
        <v>0.12745777243240128</v>
      </c>
      <c r="S37" s="52">
        <f t="shared" si="17"/>
        <v>3.5482503282407707E-2</v>
      </c>
      <c r="T37" s="52">
        <f t="shared" si="18"/>
        <v>3.5978815796049474E-2</v>
      </c>
      <c r="U37" s="52"/>
      <c r="X37" s="51"/>
    </row>
    <row r="38" spans="1:24">
      <c r="A38" s="59" t="str">
        <f t="shared" si="14"/>
        <v>Commodities</v>
      </c>
      <c r="B38" s="117">
        <v>5.0158117655929715E-2</v>
      </c>
      <c r="C38" s="118">
        <v>1.3894174785057748E-2</v>
      </c>
      <c r="D38" s="119">
        <v>3.379785117584435E-2</v>
      </c>
      <c r="E38" s="117">
        <v>5.0710462314450221E-2</v>
      </c>
      <c r="F38" s="120">
        <v>6.6130124610032814E-2</v>
      </c>
      <c r="G38" s="2">
        <v>-1.5387031947523418E-2</v>
      </c>
      <c r="H38" s="2">
        <v>1.9223094888028338E-2</v>
      </c>
      <c r="I38" s="2">
        <v>-0.22134607374784884</v>
      </c>
      <c r="J38" s="2">
        <v>0.65285159730651676</v>
      </c>
      <c r="K38" s="2">
        <v>-0.48850177918442711</v>
      </c>
      <c r="L38" s="2">
        <v>1</v>
      </c>
      <c r="M38" s="2">
        <v>0.99999999999999922</v>
      </c>
      <c r="N38" s="57"/>
      <c r="O38" s="67"/>
      <c r="P38" s="72"/>
      <c r="Q38" s="51" t="str">
        <f t="shared" si="15"/>
        <v>Commodities</v>
      </c>
      <c r="R38" s="72">
        <f t="shared" si="16"/>
        <v>3.379785117584435E-2</v>
      </c>
      <c r="S38" s="52">
        <f t="shared" si="17"/>
        <v>1.6360266480085366E-2</v>
      </c>
      <c r="T38" s="52">
        <f t="shared" si="18"/>
        <v>1.5972006954103099E-2</v>
      </c>
      <c r="U38" s="52"/>
      <c r="V38" s="52"/>
      <c r="W38" s="52"/>
    </row>
    <row r="39" spans="1:24">
      <c r="A39" s="59" t="str">
        <f t="shared" si="14"/>
        <v>Hedge funds</v>
      </c>
      <c r="B39" s="117">
        <v>6.6895783250553884E-2</v>
      </c>
      <c r="C39" s="118">
        <v>1.3058953967567361E-2</v>
      </c>
      <c r="D39" s="119">
        <v>5.3433982205444402E-2</v>
      </c>
      <c r="E39" s="117">
        <v>6.4878828360056456E-2</v>
      </c>
      <c r="F39" s="120">
        <v>8.302330862597887E-2</v>
      </c>
      <c r="G39" s="2">
        <v>-2.6238018414279012E-2</v>
      </c>
      <c r="H39" s="2">
        <v>-3.0085213747637014E-2</v>
      </c>
      <c r="I39" s="2">
        <v>2.2990679571308209E-3</v>
      </c>
      <c r="J39" s="2">
        <v>0.70489892275579424</v>
      </c>
      <c r="K39" s="2">
        <v>-0.75142986702954073</v>
      </c>
      <c r="L39" s="2">
        <v>-0.83894102722846831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5.3433982205444402E-2</v>
      </c>
      <c r="S39" s="52">
        <f t="shared" si="17"/>
        <v>1.3461801045109481E-2</v>
      </c>
      <c r="T39" s="52">
        <f t="shared" si="18"/>
        <v>1.6127525375424986E-2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0.10819601575378211</v>
      </c>
      <c r="C40" s="122">
        <v>1.4352861606755821E-2</v>
      </c>
      <c r="D40" s="123">
        <v>9.1993699345545465E-2</v>
      </c>
      <c r="E40" s="121">
        <v>0.10774842456239776</v>
      </c>
      <c r="F40" s="124">
        <v>0.12455238388443871</v>
      </c>
      <c r="G40" s="65">
        <v>-4.2498096617838543E-2</v>
      </c>
      <c r="H40" s="65">
        <v>-6.4234188847724527E-2</v>
      </c>
      <c r="I40" s="65">
        <v>-6.8725476957852902E-2</v>
      </c>
      <c r="J40" s="65">
        <v>1</v>
      </c>
      <c r="K40" s="65">
        <v>1</v>
      </c>
      <c r="L40" s="65">
        <v>-0.1305882416214231</v>
      </c>
      <c r="M40" s="65">
        <v>0.99999999999999922</v>
      </c>
      <c r="N40" s="66"/>
      <c r="O40" s="67"/>
      <c r="P40" s="72"/>
      <c r="Q40" s="51" t="str">
        <f t="shared" si="15"/>
        <v>Onroerend goed</v>
      </c>
      <c r="R40" s="72">
        <f t="shared" si="16"/>
        <v>9.1993699345545465E-2</v>
      </c>
      <c r="S40" s="52">
        <f t="shared" si="17"/>
        <v>1.6202316408236647E-2</v>
      </c>
      <c r="T40" s="52">
        <f t="shared" si="18"/>
        <v>1.6356368130656593E-2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9" t="s">
        <v>64</v>
      </c>
      <c r="E42" s="400"/>
      <c r="F42" s="401"/>
      <c r="G42" s="399" t="s">
        <v>65</v>
      </c>
      <c r="H42" s="400"/>
      <c r="I42" s="400"/>
      <c r="J42" s="400"/>
      <c r="K42" s="400"/>
      <c r="L42" s="400"/>
      <c r="M42" s="400"/>
      <c r="N42" s="401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0.69856166119110219</v>
      </c>
      <c r="H43" s="272">
        <v>0.1285879064572677</v>
      </c>
      <c r="I43" s="272">
        <v>5.8219419270554185E-2</v>
      </c>
      <c r="J43" s="272">
        <v>4.5617563213623313E-2</v>
      </c>
      <c r="K43" s="272">
        <v>4.164873625099863E-2</v>
      </c>
      <c r="L43" s="272">
        <v>2.7364713616454317E-2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0.23334300141087122</v>
      </c>
      <c r="C44" s="118">
        <v>4.8799494182416962E-2</v>
      </c>
      <c r="D44" s="119">
        <v>0.17930713591435618</v>
      </c>
      <c r="E44" s="117">
        <v>0.23060283489043926</v>
      </c>
      <c r="F44" s="120">
        <v>0.28462598334055228</v>
      </c>
      <c r="G44" s="2">
        <v>1</v>
      </c>
      <c r="H44" s="2">
        <v>0.99070343992154775</v>
      </c>
      <c r="I44" s="2">
        <v>7.5075492839554198E-2</v>
      </c>
      <c r="J44" s="2">
        <v>4.2425980411375359E-2</v>
      </c>
      <c r="K44" s="2">
        <v>1.4302071244119899E-2</v>
      </c>
      <c r="L44" s="2">
        <v>-9.1545067965689286E-2</v>
      </c>
      <c r="M44" s="2">
        <v>0.99999999999999822</v>
      </c>
      <c r="N44" s="57"/>
      <c r="O44" s="67"/>
      <c r="Q44" s="51" t="str">
        <f t="shared" ref="Q44:Q50" si="19">A44</f>
        <v>High Yield</v>
      </c>
      <c r="R44" s="72">
        <f>D44</f>
        <v>0.17930713591435618</v>
      </c>
      <c r="S44" s="52">
        <f>B44-D44</f>
        <v>5.403586549651504E-2</v>
      </c>
      <c r="T44" s="52">
        <f>F44-B44</f>
        <v>5.128298192968106E-2</v>
      </c>
      <c r="U44" s="52"/>
    </row>
    <row r="45" spans="1:24">
      <c r="A45" s="59" t="str">
        <f t="shared" ref="A45:A50" si="20">A5</f>
        <v>Emerging market debt</v>
      </c>
      <c r="B45" s="117">
        <v>0.22089187048234396</v>
      </c>
      <c r="C45" s="118">
        <v>4.869755624869556E-2</v>
      </c>
      <c r="D45" s="119">
        <v>0.16868660212310901</v>
      </c>
      <c r="E45" s="117">
        <v>0.21802792145453398</v>
      </c>
      <c r="F45" s="120">
        <v>0.27134121492245544</v>
      </c>
      <c r="G45" s="2">
        <v>-0.9965641465919387</v>
      </c>
      <c r="H45" s="2">
        <v>1</v>
      </c>
      <c r="I45" s="2">
        <v>7.388196288382079E-2</v>
      </c>
      <c r="J45" s="2">
        <v>4.5991838270143692E-2</v>
      </c>
      <c r="K45" s="2">
        <v>2.8019297342421416E-2</v>
      </c>
      <c r="L45" s="2">
        <v>-6.3765702688168141E-2</v>
      </c>
      <c r="M45" s="2">
        <v>0.99999999999999856</v>
      </c>
      <c r="N45" s="57"/>
      <c r="O45" s="67"/>
      <c r="Q45" s="51" t="str">
        <f t="shared" si="19"/>
        <v>Emerging market debt</v>
      </c>
      <c r="R45" s="72">
        <f t="shared" ref="R45:R50" si="21">D45</f>
        <v>0.16868660212310901</v>
      </c>
      <c r="S45" s="52">
        <f t="shared" ref="S45:S50" si="22">B45-D45</f>
        <v>5.2205268359234946E-2</v>
      </c>
      <c r="T45" s="52">
        <f t="shared" ref="T45:T50" si="23">F45-B45</f>
        <v>5.0449344440111482E-2</v>
      </c>
      <c r="U45" s="52"/>
    </row>
    <row r="46" spans="1:24">
      <c r="A46" s="59" t="str">
        <f t="shared" si="20"/>
        <v>Aandelen ontwikkeld</v>
      </c>
      <c r="B46" s="117">
        <v>0.22876402712245544</v>
      </c>
      <c r="C46" s="118">
        <v>1.8606843958424522E-2</v>
      </c>
      <c r="D46" s="119">
        <v>0.21160011799336398</v>
      </c>
      <c r="E46" s="117">
        <v>0.22355979288934225</v>
      </c>
      <c r="F46" s="120">
        <v>0.24706563199845993</v>
      </c>
      <c r="G46" s="2">
        <v>-4.3531824127327557E-3</v>
      </c>
      <c r="H46" s="2">
        <v>-0.57833650203786025</v>
      </c>
      <c r="I46" s="2">
        <v>1</v>
      </c>
      <c r="J46" s="2">
        <v>-0.11735046955873502</v>
      </c>
      <c r="K46" s="2">
        <v>0.16008202669832886</v>
      </c>
      <c r="L46" s="2">
        <v>-0.12038031494329682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0.21160011799336398</v>
      </c>
      <c r="S46" s="52">
        <f t="shared" si="22"/>
        <v>1.7163909129091465E-2</v>
      </c>
      <c r="T46" s="52">
        <f t="shared" si="23"/>
        <v>1.830160487600449E-2</v>
      </c>
      <c r="U46" s="52"/>
    </row>
    <row r="47" spans="1:24">
      <c r="A47" s="59" t="str">
        <f t="shared" si="20"/>
        <v>Aandelen opkomend</v>
      </c>
      <c r="B47" s="117">
        <v>8.3998378687078573E-2</v>
      </c>
      <c r="C47" s="118">
        <v>1.6025152474627005E-2</v>
      </c>
      <c r="D47" s="119">
        <v>6.9782403698338935E-2</v>
      </c>
      <c r="E47" s="117">
        <v>7.9683660684367996E-2</v>
      </c>
      <c r="F47" s="120">
        <v>9.9823570419904417E-2</v>
      </c>
      <c r="G47" s="2">
        <v>5.1388579567333307E-3</v>
      </c>
      <c r="H47" s="2">
        <v>-0.3652026028929175</v>
      </c>
      <c r="I47" s="2">
        <v>-0.48183775063744561</v>
      </c>
      <c r="J47" s="2">
        <v>-0.26984002736372348</v>
      </c>
      <c r="K47" s="2">
        <v>1</v>
      </c>
      <c r="L47" s="2">
        <v>-7.3910384111733271E-2</v>
      </c>
      <c r="M47" s="2">
        <v>0.99999999999999833</v>
      </c>
      <c r="N47" s="57"/>
      <c r="O47" s="67"/>
      <c r="Q47" s="51" t="str">
        <f t="shared" si="19"/>
        <v>Aandelen opkomend</v>
      </c>
      <c r="R47" s="72">
        <f t="shared" si="21"/>
        <v>6.9782403698338935E-2</v>
      </c>
      <c r="S47" s="52">
        <f t="shared" si="22"/>
        <v>1.4215974988739638E-2</v>
      </c>
      <c r="T47" s="52">
        <f t="shared" si="23"/>
        <v>1.5825191732825844E-2</v>
      </c>
      <c r="U47" s="52"/>
    </row>
    <row r="48" spans="1:24">
      <c r="A48" s="59" t="str">
        <f t="shared" si="20"/>
        <v>Commodities</v>
      </c>
      <c r="B48" s="117">
        <v>3.7821300374677118E-2</v>
      </c>
      <c r="C48" s="118">
        <v>1.2471801114454908E-2</v>
      </c>
      <c r="D48" s="119">
        <v>2.6949301258585964E-2</v>
      </c>
      <c r="E48" s="117">
        <v>3.4542657820221132E-2</v>
      </c>
      <c r="F48" s="120">
        <v>5.0096982534234488E-2</v>
      </c>
      <c r="G48" s="2">
        <v>1.9707839588731763E-2</v>
      </c>
      <c r="H48" s="2">
        <v>-0.20875343328971549</v>
      </c>
      <c r="I48" s="2">
        <v>-9.3332881520851688E-2</v>
      </c>
      <c r="J48" s="2">
        <v>1.6521260576266524E-3</v>
      </c>
      <c r="K48" s="2">
        <v>-0.23758540103282236</v>
      </c>
      <c r="L48" s="2">
        <v>1</v>
      </c>
      <c r="M48" s="2">
        <v>0.99999999999999878</v>
      </c>
      <c r="N48" s="57"/>
      <c r="O48" s="67"/>
      <c r="Q48" s="51" t="str">
        <f t="shared" si="19"/>
        <v>Commodities</v>
      </c>
      <c r="R48" s="72">
        <f t="shared" si="21"/>
        <v>2.6949301258585964E-2</v>
      </c>
      <c r="S48" s="52">
        <f t="shared" si="22"/>
        <v>1.0871999116091154E-2</v>
      </c>
      <c r="T48" s="52">
        <f t="shared" si="23"/>
        <v>1.227568215955737E-2</v>
      </c>
      <c r="U48" s="52"/>
    </row>
    <row r="49" spans="1:27">
      <c r="A49" s="59" t="str">
        <f t="shared" si="20"/>
        <v>Hedge funds</v>
      </c>
      <c r="B49" s="117">
        <v>7.8182682061576123E-2</v>
      </c>
      <c r="C49" s="118">
        <v>1.6557346828667448E-2</v>
      </c>
      <c r="D49" s="119">
        <v>6.0725724267837046E-2</v>
      </c>
      <c r="E49" s="117">
        <v>7.5472132446550919E-2</v>
      </c>
      <c r="F49" s="120">
        <v>9.7457084868245225E-2</v>
      </c>
      <c r="G49" s="2">
        <v>-7.3806533880211292E-3</v>
      </c>
      <c r="H49" s="2">
        <v>-0.49527560460399961</v>
      </c>
      <c r="I49" s="2">
        <v>-0.24805075280147346</v>
      </c>
      <c r="J49" s="2">
        <v>1</v>
      </c>
      <c r="K49" s="2">
        <v>-0.22962748686317608</v>
      </c>
      <c r="L49" s="2">
        <v>-0.28543298348132012</v>
      </c>
      <c r="M49" s="2">
        <v>0.99999999999999756</v>
      </c>
      <c r="N49" s="57"/>
      <c r="O49" s="67"/>
      <c r="Q49" s="51" t="str">
        <f t="shared" si="19"/>
        <v>Hedge funds</v>
      </c>
      <c r="R49" s="72">
        <f t="shared" si="21"/>
        <v>6.0725724267837046E-2</v>
      </c>
      <c r="S49" s="52">
        <f t="shared" si="22"/>
        <v>1.7456957793739077E-2</v>
      </c>
      <c r="T49" s="52">
        <f t="shared" si="23"/>
        <v>1.9274402806669103E-2</v>
      </c>
      <c r="U49" s="52"/>
      <c r="X49" s="51"/>
    </row>
    <row r="50" spans="1:27">
      <c r="A50" s="60" t="str">
        <f t="shared" si="20"/>
        <v>Onroerend goed</v>
      </c>
      <c r="B50" s="121">
        <v>0.11699873986099724</v>
      </c>
      <c r="C50" s="122">
        <v>1.559157316277664E-2</v>
      </c>
      <c r="D50" s="123">
        <v>0.10126396432819662</v>
      </c>
      <c r="E50" s="121">
        <v>0.11404181516560671</v>
      </c>
      <c r="F50" s="124">
        <v>0.13490356270462284</v>
      </c>
      <c r="G50" s="65">
        <v>-1.6548715152772099E-2</v>
      </c>
      <c r="H50" s="65">
        <v>-0.34313529709705382</v>
      </c>
      <c r="I50" s="65">
        <v>-0.32573607076360561</v>
      </c>
      <c r="J50" s="65">
        <v>-0.70287944781668654</v>
      </c>
      <c r="K50" s="65">
        <v>-0.73519050738887148</v>
      </c>
      <c r="L50" s="65">
        <v>-0.3649655468097931</v>
      </c>
      <c r="M50" s="65">
        <v>0.99999999999999922</v>
      </c>
      <c r="N50" s="66"/>
      <c r="O50" s="67"/>
      <c r="P50" s="72"/>
      <c r="Q50" s="51" t="str">
        <f t="shared" si="19"/>
        <v>Onroerend goed</v>
      </c>
      <c r="R50" s="72">
        <f t="shared" si="21"/>
        <v>0.10126396432819662</v>
      </c>
      <c r="S50" s="52">
        <f t="shared" si="22"/>
        <v>1.5734775532800616E-2</v>
      </c>
      <c r="T50" s="52">
        <f t="shared" si="23"/>
        <v>1.7904822843625601E-2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9" t="s">
        <v>64</v>
      </c>
      <c r="E52" s="400"/>
      <c r="F52" s="401"/>
      <c r="G52" s="399" t="s">
        <v>65</v>
      </c>
      <c r="H52" s="400"/>
      <c r="I52" s="400"/>
      <c r="J52" s="400"/>
      <c r="K52" s="400"/>
      <c r="L52" s="400"/>
      <c r="M52" s="400"/>
      <c r="N52" s="401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0.70561034349372709</v>
      </c>
      <c r="H53" s="272">
        <v>0.12352816502230135</v>
      </c>
      <c r="I53" s="272">
        <v>5.4733760167262946E-2</v>
      </c>
      <c r="J53" s="272">
        <v>5.1731330321823643E-2</v>
      </c>
      <c r="K53" s="272">
        <v>3.6081680109827707E-2</v>
      </c>
      <c r="L53" s="272">
        <v>2.8314720885059819E-2</v>
      </c>
      <c r="M53" s="272">
        <v>-2.2204460492503131E-16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0.23997171328473094</v>
      </c>
      <c r="C54" s="118">
        <v>5.0253046521948154E-2</v>
      </c>
      <c r="D54" s="119">
        <v>0.1871635020732087</v>
      </c>
      <c r="E54" s="117">
        <v>0.24039054371517343</v>
      </c>
      <c r="F54" s="120">
        <v>0.28983932997678541</v>
      </c>
      <c r="G54" s="2">
        <v>1</v>
      </c>
      <c r="H54" s="2">
        <v>0.89809492239397615</v>
      </c>
      <c r="I54" s="2">
        <v>4.355825526110995E-2</v>
      </c>
      <c r="J54" s="2">
        <v>-9.6551445262135632E-3</v>
      </c>
      <c r="K54" s="2">
        <v>-0.1749485577073375</v>
      </c>
      <c r="L54" s="2">
        <v>-4.3080078595620692E-2</v>
      </c>
      <c r="M54" s="2">
        <v>0.99999999999999878</v>
      </c>
      <c r="N54" s="57"/>
      <c r="O54" s="67"/>
      <c r="P54" s="72"/>
      <c r="Q54" s="51" t="str">
        <f t="shared" ref="Q54:Q60" si="25">A54</f>
        <v>High Yield</v>
      </c>
      <c r="R54" s="72">
        <f>D54</f>
        <v>0.1871635020732087</v>
      </c>
      <c r="S54" s="52">
        <f>B54-D54</f>
        <v>5.2808211211522238E-2</v>
      </c>
      <c r="T54" s="52">
        <f>F54-B54</f>
        <v>4.9867616692054473E-2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0.21633094008005557</v>
      </c>
      <c r="C55" s="118">
        <v>4.7708754454004562E-2</v>
      </c>
      <c r="D55" s="119">
        <v>0.16634559159547058</v>
      </c>
      <c r="E55" s="117">
        <v>0.21281160864827842</v>
      </c>
      <c r="F55" s="120">
        <v>0.26656717141004715</v>
      </c>
      <c r="G55" s="2">
        <v>-0.93114690121400467</v>
      </c>
      <c r="H55" s="2">
        <v>1</v>
      </c>
      <c r="I55" s="2">
        <v>-3.9672493357364759E-2</v>
      </c>
      <c r="J55" s="2">
        <v>5.115705236921185E-2</v>
      </c>
      <c r="K55" s="2">
        <v>-0.13860931889859254</v>
      </c>
      <c r="L55" s="2">
        <v>-4.1037246480503373E-2</v>
      </c>
      <c r="M55" s="2">
        <v>0.99999999999999967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0.16634559159547058</v>
      </c>
      <c r="S55" s="52">
        <f t="shared" ref="S55:S60" si="27">B55-D55</f>
        <v>4.9985348484584996E-2</v>
      </c>
      <c r="T55" s="52">
        <f t="shared" ref="T55:T60" si="28">F55-B55</f>
        <v>5.0236231329991582E-2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0.22733054013597911</v>
      </c>
      <c r="C56" s="118">
        <v>1.7589786985201954E-2</v>
      </c>
      <c r="D56" s="119">
        <v>0.21061309133676043</v>
      </c>
      <c r="E56" s="117">
        <v>0.22321166922275967</v>
      </c>
      <c r="F56" s="120">
        <v>0.24761855953175893</v>
      </c>
      <c r="G56" s="2">
        <v>3.7308474476119881E-2</v>
      </c>
      <c r="H56" s="2">
        <v>-0.47114721484844524</v>
      </c>
      <c r="I56" s="2">
        <v>-0.56637573435682398</v>
      </c>
      <c r="J56" s="2">
        <v>1</v>
      </c>
      <c r="K56" s="2">
        <v>-0.31898262622632928</v>
      </c>
      <c r="L56" s="2">
        <v>6.5981332371750384E-2</v>
      </c>
      <c r="M56" s="2">
        <v>0.99999999999999933</v>
      </c>
      <c r="N56" s="57"/>
      <c r="O56" s="67"/>
      <c r="Q56" s="51" t="str">
        <f t="shared" si="25"/>
        <v>Aandelen ontwikkeld</v>
      </c>
      <c r="R56" s="72">
        <f t="shared" si="26"/>
        <v>0.21061309133676043</v>
      </c>
      <c r="S56" s="52">
        <f t="shared" si="27"/>
        <v>1.6717448799218687E-2</v>
      </c>
      <c r="T56" s="52">
        <f t="shared" si="28"/>
        <v>2.0288019395779816E-2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8.0444032183044842E-2</v>
      </c>
      <c r="C57" s="118">
        <v>1.3057146674078398E-2</v>
      </c>
      <c r="D57" s="119">
        <v>6.807782319280592E-2</v>
      </c>
      <c r="E57" s="117">
        <v>7.8366198635812789E-2</v>
      </c>
      <c r="F57" s="120">
        <v>9.2927588475227973E-2</v>
      </c>
      <c r="G57" s="2">
        <v>-3.1801015766705905E-3</v>
      </c>
      <c r="H57" s="2">
        <v>-0.18379191460869929</v>
      </c>
      <c r="I57" s="2">
        <v>8.0272874012322873E-2</v>
      </c>
      <c r="J57" s="2">
        <v>-0.15219594435610156</v>
      </c>
      <c r="K57" s="2">
        <v>0.84261524583151592</v>
      </c>
      <c r="L57" s="2">
        <v>1</v>
      </c>
      <c r="M57" s="2">
        <v>1</v>
      </c>
      <c r="N57" s="57"/>
      <c r="O57" s="67"/>
      <c r="Q57" s="51" t="str">
        <f t="shared" si="25"/>
        <v>Aandelen opkomend</v>
      </c>
      <c r="R57" s="72">
        <f t="shared" si="26"/>
        <v>6.807782319280592E-2</v>
      </c>
      <c r="S57" s="52">
        <f t="shared" si="27"/>
        <v>1.2366208990238922E-2</v>
      </c>
      <c r="T57" s="52">
        <f t="shared" si="28"/>
        <v>1.2483556292183132E-2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3.7610627257029475E-2</v>
      </c>
      <c r="C58" s="118">
        <v>1.3556716866524997E-2</v>
      </c>
      <c r="D58" s="119">
        <v>2.5568960024054642E-2</v>
      </c>
      <c r="E58" s="117">
        <v>3.4185513278700307E-2</v>
      </c>
      <c r="F58" s="120">
        <v>5.1121356026110024E-2</v>
      </c>
      <c r="G58" s="2">
        <v>-1.2948017014048517E-3</v>
      </c>
      <c r="H58" s="2">
        <v>-0.28162443266859361</v>
      </c>
      <c r="I58" s="2">
        <v>3.3231966707539334E-2</v>
      </c>
      <c r="J58" s="2">
        <v>-5.01303699293289E-2</v>
      </c>
      <c r="K58" s="2">
        <v>1</v>
      </c>
      <c r="L58" s="2">
        <v>-0.8902031202394467</v>
      </c>
      <c r="M58" s="2">
        <v>0.99999999999999933</v>
      </c>
      <c r="N58" s="57"/>
      <c r="O58" s="67"/>
      <c r="Q58" s="51" t="str">
        <f t="shared" si="25"/>
        <v>Commodities</v>
      </c>
      <c r="R58" s="72">
        <f t="shared" si="26"/>
        <v>2.5568960024054642E-2</v>
      </c>
      <c r="S58" s="52">
        <f t="shared" si="27"/>
        <v>1.2041667232974833E-2</v>
      </c>
      <c r="T58" s="52">
        <f t="shared" si="28"/>
        <v>1.3510728769080549E-2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7.942442286033316E-2</v>
      </c>
      <c r="C59" s="118">
        <v>1.7897592055231514E-2</v>
      </c>
      <c r="D59" s="119">
        <v>6.0139282630802697E-2</v>
      </c>
      <c r="E59" s="117">
        <v>7.7033581114840738E-2</v>
      </c>
      <c r="F59" s="120">
        <v>0.10066905862111744</v>
      </c>
      <c r="G59" s="2">
        <v>-7.4210199144789296E-2</v>
      </c>
      <c r="H59" s="2">
        <v>-0.49773793723839116</v>
      </c>
      <c r="I59" s="2">
        <v>1</v>
      </c>
      <c r="J59" s="2">
        <v>7.7569037797563009E-2</v>
      </c>
      <c r="K59" s="2">
        <v>-0.61004110996444938</v>
      </c>
      <c r="L59" s="2">
        <v>-4.0990913573559384E-2</v>
      </c>
      <c r="M59" s="2">
        <v>0.99999999999999922</v>
      </c>
      <c r="N59" s="57"/>
      <c r="O59" s="67"/>
      <c r="Q59" s="51" t="str">
        <f t="shared" si="25"/>
        <v>Hedge funds</v>
      </c>
      <c r="R59" s="72">
        <f t="shared" si="26"/>
        <v>6.0139282630802697E-2</v>
      </c>
      <c r="S59" s="52">
        <f t="shared" si="27"/>
        <v>1.9285140229530463E-2</v>
      </c>
      <c r="T59" s="52">
        <f t="shared" si="28"/>
        <v>2.1244635760784281E-2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0.11888772419882579</v>
      </c>
      <c r="C60" s="122">
        <v>1.724430312481743E-2</v>
      </c>
      <c r="D60" s="123">
        <v>0.10017198873334118</v>
      </c>
      <c r="E60" s="121">
        <v>0.11688080146896099</v>
      </c>
      <c r="F60" s="124">
        <v>0.13827228664635377</v>
      </c>
      <c r="G60" s="65">
        <v>-2.7476470839250245E-2</v>
      </c>
      <c r="H60" s="65">
        <v>-0.46379342302984689</v>
      </c>
      <c r="I60" s="65">
        <v>-0.55101486826678403</v>
      </c>
      <c r="J60" s="65">
        <v>-0.91674463135512974</v>
      </c>
      <c r="K60" s="65">
        <v>-0.60003363303480772</v>
      </c>
      <c r="L60" s="65">
        <v>-5.0669973482620485E-2</v>
      </c>
      <c r="M60" s="65">
        <v>0.99999999999999922</v>
      </c>
      <c r="N60" s="66"/>
      <c r="O60" s="67"/>
      <c r="Q60" s="51" t="str">
        <f t="shared" si="25"/>
        <v>Onroerend goed</v>
      </c>
      <c r="R60" s="72">
        <f t="shared" si="26"/>
        <v>0.10017198873334118</v>
      </c>
      <c r="S60" s="52">
        <f t="shared" si="27"/>
        <v>1.8715735465484606E-2</v>
      </c>
      <c r="T60" s="52">
        <f t="shared" si="28"/>
        <v>1.9384562447527981E-2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9" t="s">
        <v>64</v>
      </c>
      <c r="E62" s="400"/>
      <c r="F62" s="401"/>
      <c r="G62" s="399" t="s">
        <v>65</v>
      </c>
      <c r="H62" s="400"/>
      <c r="I62" s="400"/>
      <c r="J62" s="400"/>
      <c r="K62" s="400"/>
      <c r="L62" s="400"/>
      <c r="M62" s="400"/>
      <c r="N62" s="401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0.69856166119110219</v>
      </c>
      <c r="H63" s="272">
        <v>0.1285879064572677</v>
      </c>
      <c r="I63" s="272">
        <v>5.8219419270554185E-2</v>
      </c>
      <c r="J63" s="272">
        <v>4.5617563213623313E-2</v>
      </c>
      <c r="K63" s="272">
        <v>4.164873625099863E-2</v>
      </c>
      <c r="L63" s="272">
        <v>2.7364713616454317E-2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0.23334300141087122</v>
      </c>
      <c r="C64" s="118">
        <v>4.8799494182416962E-2</v>
      </c>
      <c r="D64" s="119">
        <v>0.17930713591435618</v>
      </c>
      <c r="E64" s="117">
        <v>0.23060283489043926</v>
      </c>
      <c r="F64" s="120">
        <v>0.28462598334055228</v>
      </c>
      <c r="G64" s="2">
        <v>1</v>
      </c>
      <c r="H64" s="2">
        <v>0.99070343992154775</v>
      </c>
      <c r="I64" s="2">
        <v>7.5075492839554198E-2</v>
      </c>
      <c r="J64" s="2">
        <v>4.2425980411375359E-2</v>
      </c>
      <c r="K64" s="2">
        <v>1.4302071244119899E-2</v>
      </c>
      <c r="L64" s="2">
        <v>-9.1545067965689286E-2</v>
      </c>
      <c r="M64" s="2">
        <v>0.99999999999999822</v>
      </c>
      <c r="N64" s="57"/>
      <c r="O64" s="67"/>
      <c r="Q64" s="51" t="str">
        <f t="shared" ref="Q64:Q70" si="32">A64</f>
        <v>High Yield</v>
      </c>
      <c r="R64" s="72">
        <f>D64</f>
        <v>0.17930713591435618</v>
      </c>
      <c r="S64" s="52">
        <f>B64-D64</f>
        <v>5.403586549651504E-2</v>
      </c>
      <c r="T64" s="52">
        <f>F64-B64</f>
        <v>5.128298192968106E-2</v>
      </c>
      <c r="U64" s="52"/>
    </row>
    <row r="65" spans="1:24">
      <c r="A65" s="59" t="str">
        <f t="shared" si="31"/>
        <v>Emerging market debt</v>
      </c>
      <c r="B65" s="117">
        <v>0.22089187048234396</v>
      </c>
      <c r="C65" s="118">
        <v>4.869755624869556E-2</v>
      </c>
      <c r="D65" s="119">
        <v>0.16868660212310901</v>
      </c>
      <c r="E65" s="117">
        <v>0.21802792145453398</v>
      </c>
      <c r="F65" s="120">
        <v>0.27134121492245544</v>
      </c>
      <c r="G65" s="2">
        <v>-0.9965641465919387</v>
      </c>
      <c r="H65" s="2">
        <v>1</v>
      </c>
      <c r="I65" s="2">
        <v>7.388196288382079E-2</v>
      </c>
      <c r="J65" s="2">
        <v>4.5991838270143692E-2</v>
      </c>
      <c r="K65" s="2">
        <v>2.8019297342421416E-2</v>
      </c>
      <c r="L65" s="2">
        <v>-6.3765702688168141E-2</v>
      </c>
      <c r="M65" s="2">
        <v>0.99999999999999856</v>
      </c>
      <c r="N65" s="57"/>
      <c r="O65" s="67"/>
      <c r="Q65" s="51" t="str">
        <f t="shared" si="32"/>
        <v>Emerging market debt</v>
      </c>
      <c r="R65" s="72">
        <f t="shared" ref="R65:R70" si="33">D65</f>
        <v>0.16868660212310901</v>
      </c>
      <c r="S65" s="52">
        <f t="shared" ref="S65:S70" si="34">B65-D65</f>
        <v>5.2205268359234946E-2</v>
      </c>
      <c r="T65" s="52">
        <f t="shared" ref="T65:T70" si="35">F65-B65</f>
        <v>5.0449344440111482E-2</v>
      </c>
      <c r="U65" s="52"/>
    </row>
    <row r="66" spans="1:24">
      <c r="A66" s="59" t="str">
        <f t="shared" si="31"/>
        <v>Aandelen ontwikkeld</v>
      </c>
      <c r="B66" s="117">
        <v>0.22876402712245544</v>
      </c>
      <c r="C66" s="118">
        <v>1.8606843958424522E-2</v>
      </c>
      <c r="D66" s="119">
        <v>0.21160011799336398</v>
      </c>
      <c r="E66" s="117">
        <v>0.22355979288934225</v>
      </c>
      <c r="F66" s="120">
        <v>0.24706563199845993</v>
      </c>
      <c r="G66" s="2">
        <v>-4.3531824127327557E-3</v>
      </c>
      <c r="H66" s="2">
        <v>-0.57833650203786025</v>
      </c>
      <c r="I66" s="2">
        <v>1</v>
      </c>
      <c r="J66" s="2">
        <v>-0.11735046955873502</v>
      </c>
      <c r="K66" s="2">
        <v>0.16008202669832886</v>
      </c>
      <c r="L66" s="2">
        <v>-0.12038031494329682</v>
      </c>
      <c r="M66" s="2">
        <v>1</v>
      </c>
      <c r="N66" s="57"/>
      <c r="O66" s="67"/>
      <c r="Q66" s="51" t="str">
        <f t="shared" si="32"/>
        <v>Aandelen ontwikkeld</v>
      </c>
      <c r="R66" s="72">
        <f t="shared" si="33"/>
        <v>0.21160011799336398</v>
      </c>
      <c r="S66" s="52">
        <f t="shared" si="34"/>
        <v>1.7163909129091465E-2</v>
      </c>
      <c r="T66" s="52">
        <f t="shared" si="35"/>
        <v>1.830160487600449E-2</v>
      </c>
      <c r="U66" s="52"/>
    </row>
    <row r="67" spans="1:24">
      <c r="A67" s="59" t="str">
        <f t="shared" si="31"/>
        <v>Aandelen opkomend</v>
      </c>
      <c r="B67" s="117">
        <v>8.3998378687078573E-2</v>
      </c>
      <c r="C67" s="118">
        <v>1.6025152474627005E-2</v>
      </c>
      <c r="D67" s="119">
        <v>6.9782403698338935E-2</v>
      </c>
      <c r="E67" s="117">
        <v>7.9683660684367996E-2</v>
      </c>
      <c r="F67" s="120">
        <v>9.9823570419904417E-2</v>
      </c>
      <c r="G67" s="2">
        <v>5.1388579567333307E-3</v>
      </c>
      <c r="H67" s="2">
        <v>-0.3652026028929175</v>
      </c>
      <c r="I67" s="2">
        <v>-0.48183775063744561</v>
      </c>
      <c r="J67" s="2">
        <v>-0.26984002736372348</v>
      </c>
      <c r="K67" s="2">
        <v>1</v>
      </c>
      <c r="L67" s="2">
        <v>-7.3910384111733271E-2</v>
      </c>
      <c r="M67" s="2">
        <v>0.99999999999999833</v>
      </c>
      <c r="N67" s="57"/>
      <c r="O67" s="67"/>
      <c r="Q67" s="51" t="str">
        <f t="shared" si="32"/>
        <v>Aandelen opkomend</v>
      </c>
      <c r="R67" s="72">
        <f t="shared" si="33"/>
        <v>6.9782403698338935E-2</v>
      </c>
      <c r="S67" s="52">
        <f t="shared" si="34"/>
        <v>1.4215974988739638E-2</v>
      </c>
      <c r="T67" s="52">
        <f t="shared" si="35"/>
        <v>1.5825191732825844E-2</v>
      </c>
      <c r="U67" s="52"/>
    </row>
    <row r="68" spans="1:24">
      <c r="A68" s="59" t="str">
        <f t="shared" si="31"/>
        <v>Commodities</v>
      </c>
      <c r="B68" s="117">
        <v>3.7821300374677118E-2</v>
      </c>
      <c r="C68" s="118">
        <v>1.2471801114454908E-2</v>
      </c>
      <c r="D68" s="119">
        <v>2.6949301258585964E-2</v>
      </c>
      <c r="E68" s="117">
        <v>3.4542657820221132E-2</v>
      </c>
      <c r="F68" s="120">
        <v>5.0096982534234488E-2</v>
      </c>
      <c r="G68" s="2">
        <v>1.9707839588731763E-2</v>
      </c>
      <c r="H68" s="2">
        <v>-0.20875343328971549</v>
      </c>
      <c r="I68" s="2">
        <v>-9.3332881520851688E-2</v>
      </c>
      <c r="J68" s="2">
        <v>1.6521260576266524E-3</v>
      </c>
      <c r="K68" s="2">
        <v>-0.23758540103282236</v>
      </c>
      <c r="L68" s="2">
        <v>1</v>
      </c>
      <c r="M68" s="2">
        <v>0.99999999999999878</v>
      </c>
      <c r="N68" s="57"/>
      <c r="O68" s="67"/>
      <c r="Q68" s="51" t="str">
        <f t="shared" si="32"/>
        <v>Commodities</v>
      </c>
      <c r="R68" s="72">
        <f t="shared" si="33"/>
        <v>2.6949301258585964E-2</v>
      </c>
      <c r="S68" s="52">
        <f t="shared" si="34"/>
        <v>1.0871999116091154E-2</v>
      </c>
      <c r="T68" s="52">
        <f t="shared" si="35"/>
        <v>1.227568215955737E-2</v>
      </c>
      <c r="U68" s="52"/>
    </row>
    <row r="69" spans="1:24">
      <c r="A69" s="59" t="str">
        <f t="shared" si="31"/>
        <v>Hedge funds</v>
      </c>
      <c r="B69" s="117">
        <v>7.8182682061576123E-2</v>
      </c>
      <c r="C69" s="118">
        <v>1.6557346828667448E-2</v>
      </c>
      <c r="D69" s="119">
        <v>6.0725724267837046E-2</v>
      </c>
      <c r="E69" s="117">
        <v>7.5472132446550919E-2</v>
      </c>
      <c r="F69" s="120">
        <v>9.7457084868245225E-2</v>
      </c>
      <c r="G69" s="2">
        <v>-7.3806533880211292E-3</v>
      </c>
      <c r="H69" s="2">
        <v>-0.49527560460399961</v>
      </c>
      <c r="I69" s="2">
        <v>-0.24805075280147346</v>
      </c>
      <c r="J69" s="2">
        <v>1</v>
      </c>
      <c r="K69" s="2">
        <v>-0.22962748686317608</v>
      </c>
      <c r="L69" s="2">
        <v>-0.28543298348132012</v>
      </c>
      <c r="M69" s="2">
        <v>0.99999999999999756</v>
      </c>
      <c r="N69" s="57"/>
      <c r="O69" s="67"/>
      <c r="Q69" s="51" t="str">
        <f t="shared" si="32"/>
        <v>Hedge funds</v>
      </c>
      <c r="R69" s="72">
        <f t="shared" si="33"/>
        <v>6.0725724267837046E-2</v>
      </c>
      <c r="S69" s="52">
        <f t="shared" si="34"/>
        <v>1.7456957793739077E-2</v>
      </c>
      <c r="T69" s="52">
        <f t="shared" si="35"/>
        <v>1.9274402806669103E-2</v>
      </c>
      <c r="U69" s="52"/>
      <c r="X69" s="51"/>
    </row>
    <row r="70" spans="1:24">
      <c r="A70" s="60" t="str">
        <f t="shared" si="31"/>
        <v>Onroerend goed</v>
      </c>
      <c r="B70" s="121">
        <v>0.11699873986099724</v>
      </c>
      <c r="C70" s="122">
        <v>1.559157316277664E-2</v>
      </c>
      <c r="D70" s="123">
        <v>0.10126396432819662</v>
      </c>
      <c r="E70" s="121">
        <v>0.11404181516560671</v>
      </c>
      <c r="F70" s="124">
        <v>0.13490356270462284</v>
      </c>
      <c r="G70" s="65">
        <v>-1.6548715152772099E-2</v>
      </c>
      <c r="H70" s="65">
        <v>-0.34313529709705382</v>
      </c>
      <c r="I70" s="65">
        <v>-0.32573607076360561</v>
      </c>
      <c r="J70" s="65">
        <v>-0.70287944781668654</v>
      </c>
      <c r="K70" s="65">
        <v>-0.73519050738887148</v>
      </c>
      <c r="L70" s="65">
        <v>-0.3649655468097931</v>
      </c>
      <c r="M70" s="65">
        <v>0.99999999999999922</v>
      </c>
      <c r="N70" s="66"/>
      <c r="O70" s="67"/>
      <c r="P70" s="72"/>
      <c r="Q70" s="51" t="str">
        <f t="shared" si="32"/>
        <v>Onroerend goed</v>
      </c>
      <c r="R70" s="72">
        <f t="shared" si="33"/>
        <v>0.10126396432819662</v>
      </c>
      <c r="S70" s="52">
        <f t="shared" si="34"/>
        <v>1.5734775532800616E-2</v>
      </c>
      <c r="T70" s="52">
        <f t="shared" si="35"/>
        <v>1.7904822843625601E-2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9" t="s">
        <v>64</v>
      </c>
      <c r="E72" s="400"/>
      <c r="F72" s="401"/>
      <c r="G72" s="399" t="s">
        <v>65</v>
      </c>
      <c r="H72" s="400"/>
      <c r="I72" s="400"/>
      <c r="J72" s="400"/>
      <c r="K72" s="400"/>
      <c r="L72" s="400"/>
      <c r="M72" s="400"/>
      <c r="N72" s="401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0.53841460571203048</v>
      </c>
      <c r="H73" s="272">
        <v>0.32677808382462104</v>
      </c>
      <c r="I73" s="272">
        <v>5.8291821226600704E-2</v>
      </c>
      <c r="J73" s="272">
        <v>3.2343248108373079E-2</v>
      </c>
      <c r="K73" s="272">
        <v>2.4254418828667967E-2</v>
      </c>
      <c r="L73" s="272">
        <v>1.9917822299705845E-2</v>
      </c>
      <c r="M73" s="272">
        <v>2.2204460492503131E-16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0.20110531972648085</v>
      </c>
      <c r="C74" s="118">
        <v>4.7203803898355018E-2</v>
      </c>
      <c r="D74" s="119">
        <v>0.15259384264442535</v>
      </c>
      <c r="E74" s="117">
        <v>0.1966597321001195</v>
      </c>
      <c r="F74" s="120">
        <v>0.25135484922153717</v>
      </c>
      <c r="G74" s="2">
        <v>-0.51252005617347207</v>
      </c>
      <c r="H74" s="2">
        <v>1</v>
      </c>
      <c r="I74" s="2">
        <v>0.44025761157072879</v>
      </c>
      <c r="J74" s="2">
        <v>0.18843296055721606</v>
      </c>
      <c r="K74" s="2">
        <v>5.2250101908597586E-2</v>
      </c>
      <c r="L74" s="2">
        <v>-2.4741011287092718E-2</v>
      </c>
      <c r="M74" s="2">
        <v>0.99999999999999734</v>
      </c>
      <c r="N74" s="57"/>
      <c r="O74" s="67"/>
      <c r="P74" s="72"/>
      <c r="Q74" s="51" t="str">
        <f t="shared" ref="Q74:Q80" si="37">A74</f>
        <v>High Yield</v>
      </c>
      <c r="R74" s="72">
        <f>D74</f>
        <v>0.15259384264442535</v>
      </c>
      <c r="S74" s="52">
        <f>B74-D74</f>
        <v>4.8511477082055499E-2</v>
      </c>
      <c r="T74" s="52">
        <f>F74-B74</f>
        <v>5.0249529495056316E-2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0.21937703780698281</v>
      </c>
      <c r="C75" s="118">
        <v>5.4450312750856308E-2</v>
      </c>
      <c r="D75" s="119">
        <v>0.16154920315461632</v>
      </c>
      <c r="E75" s="117">
        <v>0.21559258408322207</v>
      </c>
      <c r="F75" s="120">
        <v>0.28168325865433919</v>
      </c>
      <c r="G75" s="2">
        <v>1</v>
      </c>
      <c r="H75" s="2">
        <v>0.18079650760173638</v>
      </c>
      <c r="I75" s="2">
        <v>0.58040015385319843</v>
      </c>
      <c r="J75" s="2">
        <v>0.14824344117133031</v>
      </c>
      <c r="K75" s="2">
        <v>4.2518676738133705E-2</v>
      </c>
      <c r="L75" s="2">
        <v>1.1306625283534186E-2</v>
      </c>
      <c r="M75" s="2">
        <v>0.99999999999999689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0.16154920315461632</v>
      </c>
      <c r="S75" s="52">
        <f t="shared" ref="S75:S80" si="39">B75-D75</f>
        <v>5.7827834652366489E-2</v>
      </c>
      <c r="T75" s="52">
        <f t="shared" ref="T75:T80" si="40">F75-B75</f>
        <v>6.2306220847356375E-2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0.20324755141457962</v>
      </c>
      <c r="C76" s="118">
        <v>1.8230652857151374E-2</v>
      </c>
      <c r="D76" s="119">
        <v>0.18412075104153319</v>
      </c>
      <c r="E76" s="117">
        <v>0.20189327990178291</v>
      </c>
      <c r="F76" s="120">
        <v>0.22285406783975803</v>
      </c>
      <c r="G76" s="2">
        <v>-5.0966996987505495E-2</v>
      </c>
      <c r="H76" s="2">
        <v>-0.25565302380752203</v>
      </c>
      <c r="I76" s="2">
        <v>-0.73094406522640498</v>
      </c>
      <c r="J76" s="2">
        <v>1</v>
      </c>
      <c r="K76" s="2">
        <v>0.25967156779196066</v>
      </c>
      <c r="L76" s="2">
        <v>-0.35331420763258625</v>
      </c>
      <c r="M76" s="2">
        <v>0.99999999999999856</v>
      </c>
      <c r="N76" s="57"/>
      <c r="O76" s="67"/>
      <c r="Q76" s="51" t="str">
        <f t="shared" si="37"/>
        <v>Aandelen ontwikkeld</v>
      </c>
      <c r="R76" s="72">
        <f t="shared" si="38"/>
        <v>0.18412075104153319</v>
      </c>
      <c r="S76" s="52">
        <f t="shared" si="39"/>
        <v>1.9126800373046426E-2</v>
      </c>
      <c r="T76" s="52">
        <f t="shared" si="40"/>
        <v>1.9606516425178411E-2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0.15530731045244939</v>
      </c>
      <c r="C77" s="118">
        <v>3.8955999484778056E-2</v>
      </c>
      <c r="D77" s="119">
        <v>0.11465409513678974</v>
      </c>
      <c r="E77" s="117">
        <v>0.15110567000975211</v>
      </c>
      <c r="F77" s="120">
        <v>0.19832755031323218</v>
      </c>
      <c r="G77" s="2">
        <v>-0.40337965975847151</v>
      </c>
      <c r="H77" s="2">
        <v>-0.78373148469021625</v>
      </c>
      <c r="I77" s="2">
        <v>1</v>
      </c>
      <c r="J77" s="2">
        <v>6.3494758797475362E-2</v>
      </c>
      <c r="K77" s="2">
        <v>-5.2145918444535977E-2</v>
      </c>
      <c r="L77" s="2">
        <v>0.11966976282310524</v>
      </c>
      <c r="M77" s="2">
        <v>0.99999999999999711</v>
      </c>
      <c r="N77" s="57"/>
      <c r="O77" s="67"/>
      <c r="Q77" s="51" t="str">
        <f t="shared" si="37"/>
        <v>Aandelen opkomend</v>
      </c>
      <c r="R77" s="72">
        <f t="shared" si="38"/>
        <v>0.11465409513678974</v>
      </c>
      <c r="S77" s="52">
        <f t="shared" si="39"/>
        <v>4.0653215315659644E-2</v>
      </c>
      <c r="T77" s="52">
        <f t="shared" si="40"/>
        <v>4.3020239860782794E-2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4.739836797984226E-2</v>
      </c>
      <c r="C78" s="118">
        <v>1.3218466462655704E-2</v>
      </c>
      <c r="D78" s="119">
        <v>3.2539332874868862E-2</v>
      </c>
      <c r="E78" s="117">
        <v>4.7058589183186304E-2</v>
      </c>
      <c r="F78" s="120">
        <v>6.2373784112710662E-2</v>
      </c>
      <c r="G78" s="2">
        <v>1.0216555460906434E-3</v>
      </c>
      <c r="H78" s="2">
        <v>-1.1724847520649256E-2</v>
      </c>
      <c r="I78" s="2">
        <v>-0.61387831510783208</v>
      </c>
      <c r="J78" s="2">
        <v>-7.5724673937259887E-2</v>
      </c>
      <c r="K78" s="2">
        <v>-0.46994540105833404</v>
      </c>
      <c r="L78" s="2">
        <v>1</v>
      </c>
      <c r="M78" s="2">
        <v>0.99999999999999956</v>
      </c>
      <c r="N78" s="57"/>
      <c r="O78" s="67"/>
      <c r="Q78" s="51" t="str">
        <f t="shared" si="37"/>
        <v>Commodities</v>
      </c>
      <c r="R78" s="72">
        <f t="shared" si="38"/>
        <v>3.2539332874868862E-2</v>
      </c>
      <c r="S78" s="52">
        <f t="shared" si="39"/>
        <v>1.4859035104973398E-2</v>
      </c>
      <c r="T78" s="52">
        <f t="shared" si="40"/>
        <v>1.4975416132868402E-2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6.7825351865221234E-2</v>
      </c>
      <c r="C79" s="118">
        <v>1.3040991044585034E-2</v>
      </c>
      <c r="D79" s="119">
        <v>5.284293514572827E-2</v>
      </c>
      <c r="E79" s="117">
        <v>6.6676286450469774E-2</v>
      </c>
      <c r="F79" s="120">
        <v>8.2915616723621216E-2</v>
      </c>
      <c r="G79" s="2">
        <v>-6.0554459818834257E-3</v>
      </c>
      <c r="H79" s="2">
        <v>-4.898477601294729E-2</v>
      </c>
      <c r="I79" s="2">
        <v>-0.31741553807955031</v>
      </c>
      <c r="J79" s="2">
        <v>-0.55467090481178427</v>
      </c>
      <c r="K79" s="2">
        <v>-0.83234902693582125</v>
      </c>
      <c r="L79" s="2">
        <v>-0.72129516393647608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5.284293514572827E-2</v>
      </c>
      <c r="S79" s="52">
        <f t="shared" si="39"/>
        <v>1.4982416719492964E-2</v>
      </c>
      <c r="T79" s="52">
        <f t="shared" si="40"/>
        <v>1.5090264858399982E-2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0.10573906075444361</v>
      </c>
      <c r="C80" s="122">
        <v>1.4123009182187141E-2</v>
      </c>
      <c r="D80" s="123">
        <v>9.0398532971560294E-2</v>
      </c>
      <c r="E80" s="121">
        <v>0.10461488592440106</v>
      </c>
      <c r="F80" s="124">
        <v>0.12207147519390434</v>
      </c>
      <c r="G80" s="65">
        <v>-2.8099496644757936E-2</v>
      </c>
      <c r="H80" s="65">
        <v>-8.0702375570400872E-2</v>
      </c>
      <c r="I80" s="65">
        <v>-0.35841984701013596</v>
      </c>
      <c r="J80" s="65">
        <v>-0.76977558177697492</v>
      </c>
      <c r="K80" s="65">
        <v>1</v>
      </c>
      <c r="L80" s="65">
        <v>-3.1626005250483917E-2</v>
      </c>
      <c r="M80" s="65">
        <v>0.99999999999999956</v>
      </c>
      <c r="N80" s="66"/>
      <c r="O80" s="67"/>
      <c r="Q80" s="51" t="str">
        <f t="shared" si="37"/>
        <v>Onroerend goed</v>
      </c>
      <c r="R80" s="72">
        <f t="shared" si="38"/>
        <v>9.0398532971560294E-2</v>
      </c>
      <c r="S80" s="52">
        <f t="shared" si="39"/>
        <v>1.534052778288332E-2</v>
      </c>
      <c r="T80" s="52">
        <f t="shared" si="40"/>
        <v>1.6332414439460721E-2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6"/>
  <sheetViews>
    <sheetView topLeftCell="A7" zoomScale="85" zoomScaleNormal="85" workbookViewId="0">
      <selection activeCell="H20" sqref="H20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12" style="332" customWidth="1"/>
    <col min="14" max="14" width="9.42578125" style="332" customWidth="1"/>
    <col min="15" max="17" width="9.140625" style="332"/>
    <col min="18" max="18" width="10.85546875" style="332" customWidth="1"/>
    <col min="19" max="21" width="9.140625" style="210"/>
    <col min="22" max="22" width="18.85546875" style="210" bestFit="1" customWidth="1"/>
    <col min="23" max="37" width="9.140625" style="210"/>
    <col min="38" max="16384" width="9.140625" style="332"/>
  </cols>
  <sheetData>
    <row r="1" spans="1:19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9" ht="25.5">
      <c r="A2" s="210"/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L2" s="374" t="s">
        <v>152</v>
      </c>
      <c r="M2" s="375" t="s">
        <v>70</v>
      </c>
      <c r="N2" s="376" t="s">
        <v>112</v>
      </c>
      <c r="O2" s="376" t="s">
        <v>144</v>
      </c>
      <c r="P2" s="376" t="s">
        <v>145</v>
      </c>
      <c r="Q2" s="376" t="s">
        <v>113</v>
      </c>
      <c r="R2" s="376" t="s">
        <v>114</v>
      </c>
      <c r="S2" s="377" t="s">
        <v>128</v>
      </c>
    </row>
    <row r="3" spans="1:19">
      <c r="A3" s="210"/>
      <c r="B3" s="344" t="s">
        <v>4</v>
      </c>
      <c r="C3" s="318">
        <f>Scenarios!C4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3.8327320576542839E-2</v>
      </c>
      <c r="L3" s="344" t="s">
        <v>4</v>
      </c>
      <c r="M3" s="368">
        <f>C3/$J3</f>
        <v>0</v>
      </c>
      <c r="N3" s="369">
        <f t="shared" ref="N3:N10" si="0">D3/$J3</f>
        <v>-8.4652847686545088E-2</v>
      </c>
      <c r="O3" s="369">
        <f t="shared" ref="O3:O10" si="1">E3/$J3</f>
        <v>-2.8077524301188938E-2</v>
      </c>
      <c r="P3" s="369">
        <f t="shared" ref="P3:P10" si="2">F3/$J3</f>
        <v>-8.9178873557373903E-2</v>
      </c>
      <c r="Q3" s="369">
        <f t="shared" ref="Q3:Q10" si="3">G3/$J3</f>
        <v>-0.67107112998577145</v>
      </c>
      <c r="R3" s="369">
        <f t="shared" ref="R3:R10" si="4">H3/$J3</f>
        <v>-6.8587038946676824</v>
      </c>
      <c r="S3" s="372">
        <f t="shared" ref="S3:S10" si="5">I3/$J3</f>
        <v>-8.4642869564566098E-2</v>
      </c>
    </row>
    <row r="4" spans="1:19">
      <c r="A4" s="210"/>
      <c r="B4" s="344" t="s">
        <v>5</v>
      </c>
      <c r="C4" s="318">
        <f>Scenarios!C5</f>
        <v>0.03</v>
      </c>
      <c r="D4" s="85">
        <f>+Scenarios!C25</f>
        <v>1.7080984570854354E-2</v>
      </c>
      <c r="E4" s="85">
        <f>+Scenarios!D25</f>
        <v>-5.3634034495987179E-2</v>
      </c>
      <c r="F4" s="85">
        <f>+Scenarios!E25</f>
        <v>1.9126088571386521E-2</v>
      </c>
      <c r="G4" s="85">
        <f>+Scenarios!F25</f>
        <v>-0.44320953513141953</v>
      </c>
      <c r="H4" s="85">
        <f>+Scenarios!G25</f>
        <v>-0.45286655377141971</v>
      </c>
      <c r="I4" s="85">
        <f>+Scenarios!H25</f>
        <v>0.29576434041524707</v>
      </c>
      <c r="J4" s="318">
        <f>Scenarios!D5</f>
        <v>0.15740402046445473</v>
      </c>
      <c r="L4" s="344" t="s">
        <v>5</v>
      </c>
      <c r="M4" s="368">
        <f t="shared" ref="M4:M10" si="6">C4/$J4</f>
        <v>0.19059233627882241</v>
      </c>
      <c r="N4" s="369">
        <f t="shared" si="0"/>
        <v>0.10851682517672166</v>
      </c>
      <c r="O4" s="369">
        <f t="shared" si="1"/>
        <v>-0.34074119795497165</v>
      </c>
      <c r="P4" s="369">
        <f t="shared" si="2"/>
        <v>0.1215095301565414</v>
      </c>
      <c r="Q4" s="369">
        <f t="shared" si="3"/>
        <v>-2.8157446920582689</v>
      </c>
      <c r="R4" s="369">
        <f t="shared" si="4"/>
        <v>-2.8770964835277946</v>
      </c>
      <c r="S4" s="372">
        <f t="shared" si="5"/>
        <v>1.8790138875902291</v>
      </c>
    </row>
    <row r="5" spans="1:19">
      <c r="A5" s="210"/>
      <c r="B5" s="344" t="s">
        <v>6</v>
      </c>
      <c r="C5" s="318">
        <f>Scenarios!C6</f>
        <v>3.1390664572732138E-2</v>
      </c>
      <c r="D5" s="85">
        <f>+Scenarios!C26</f>
        <v>2.8210029350712571E-2</v>
      </c>
      <c r="E5" s="85">
        <f>+Scenarios!D26</f>
        <v>-2.95466166646563E-3</v>
      </c>
      <c r="F5" s="85">
        <f>+Scenarios!E26</f>
        <v>1.2307163627323543E-2</v>
      </c>
      <c r="G5" s="85">
        <f>+Scenarios!F26</f>
        <v>-0.50520055078596937</v>
      </c>
      <c r="H5" s="85">
        <f>+Scenarios!G26</f>
        <v>-0.35244265167679129</v>
      </c>
      <c r="I5" s="85">
        <f>+Scenarios!H26</f>
        <v>0.24637536735679014</v>
      </c>
      <c r="J5" s="318">
        <f>Scenarios!D6</f>
        <v>0.16055565886911449</v>
      </c>
      <c r="L5" s="344" t="s">
        <v>6</v>
      </c>
      <c r="M5" s="368">
        <f t="shared" si="6"/>
        <v>0.19551266391875924</v>
      </c>
      <c r="N5" s="369">
        <f t="shared" si="0"/>
        <v>0.17570249189229437</v>
      </c>
      <c r="O5" s="369">
        <f t="shared" si="1"/>
        <v>-1.8402725181267388E-2</v>
      </c>
      <c r="P5" s="369">
        <f t="shared" si="2"/>
        <v>7.6653564963140811E-2</v>
      </c>
      <c r="Q5" s="369">
        <f t="shared" si="3"/>
        <v>-3.1465758002202247</v>
      </c>
      <c r="R5" s="369">
        <f t="shared" si="4"/>
        <v>-2.1951431307949334</v>
      </c>
      <c r="S5" s="372">
        <f t="shared" si="5"/>
        <v>1.5345168715456872</v>
      </c>
    </row>
    <row r="6" spans="1:19">
      <c r="A6" s="210"/>
      <c r="B6" s="344" t="s">
        <v>7</v>
      </c>
      <c r="C6" s="318">
        <f>Scenarios!C7</f>
        <v>5.5291722300972554E-2</v>
      </c>
      <c r="D6" s="85">
        <f>+Scenarios!C27</f>
        <v>-3.3982895609806815E-2</v>
      </c>
      <c r="E6" s="85">
        <f>+Scenarios!D27</f>
        <v>-0.20034010635526645</v>
      </c>
      <c r="F6" s="85">
        <f>+Scenarios!E27</f>
        <v>2.0569527320858455E-2</v>
      </c>
      <c r="G6" s="85">
        <f>+Scenarios!F27</f>
        <v>-0.64117999007188409</v>
      </c>
      <c r="H6" s="85">
        <f>+Scenarios!G27</f>
        <v>-0.50739956473317127</v>
      </c>
      <c r="I6" s="85">
        <f>+Scenarios!H27</f>
        <v>0.32892743718810752</v>
      </c>
      <c r="J6" s="318">
        <f>Scenarios!D7</f>
        <v>0.28482723462884557</v>
      </c>
      <c r="L6" s="344" t="s">
        <v>7</v>
      </c>
      <c r="M6" s="368">
        <f t="shared" si="6"/>
        <v>0.19412371985081564</v>
      </c>
      <c r="N6" s="369">
        <f t="shared" si="0"/>
        <v>-0.1193105555867558</v>
      </c>
      <c r="O6" s="369">
        <f t="shared" si="1"/>
        <v>-0.7033741229708137</v>
      </c>
      <c r="P6" s="369">
        <f t="shared" si="2"/>
        <v>7.2217557944072031E-2</v>
      </c>
      <c r="Q6" s="369">
        <f t="shared" si="3"/>
        <v>-2.2511189665812572</v>
      </c>
      <c r="R6" s="369">
        <f t="shared" si="4"/>
        <v>-1.7814292421662439</v>
      </c>
      <c r="S6" s="372">
        <f t="shared" si="5"/>
        <v>1.154831410755816</v>
      </c>
    </row>
    <row r="7" spans="1:19">
      <c r="A7" s="210"/>
      <c r="B7" s="344" t="s">
        <v>8</v>
      </c>
      <c r="C7" s="318">
        <f>Scenarios!C8</f>
        <v>5.3998164657843073E-2</v>
      </c>
      <c r="D7" s="85">
        <f>+Scenarios!C28</f>
        <v>7.2231587254445423E-2</v>
      </c>
      <c r="E7" s="85">
        <f>+Scenarios!D28</f>
        <v>-2.9945024082715634E-2</v>
      </c>
      <c r="F7" s="85">
        <f>+Scenarios!E28</f>
        <v>7.5326235596053476E-2</v>
      </c>
      <c r="G7" s="85">
        <f>+Scenarios!F28</f>
        <v>-0.39383408868167263</v>
      </c>
      <c r="H7" s="85">
        <f>+Scenarios!G28</f>
        <v>-0.23709668904730849</v>
      </c>
      <c r="I7" s="85">
        <f>+Scenarios!H28</f>
        <v>0.4212127714691607</v>
      </c>
      <c r="J7" s="318">
        <f>Scenarios!D8</f>
        <v>0.29086830436352928</v>
      </c>
      <c r="L7" s="344" t="s">
        <v>8</v>
      </c>
      <c r="M7" s="368">
        <f t="shared" si="6"/>
        <v>0.18564471909718902</v>
      </c>
      <c r="N7" s="369">
        <f t="shared" si="0"/>
        <v>0.24833089811040349</v>
      </c>
      <c r="O7" s="369">
        <f t="shared" si="1"/>
        <v>-0.10295045432413333</v>
      </c>
      <c r="P7" s="369">
        <f t="shared" si="2"/>
        <v>0.25897024346080078</v>
      </c>
      <c r="Q7" s="369">
        <f t="shared" si="3"/>
        <v>-1.3539945149522239</v>
      </c>
      <c r="R7" s="369">
        <f t="shared" si="4"/>
        <v>-0.8151341534654919</v>
      </c>
      <c r="S7" s="372">
        <f t="shared" si="5"/>
        <v>1.4481219340513842</v>
      </c>
    </row>
    <row r="8" spans="1:19">
      <c r="A8" s="210"/>
      <c r="B8" s="344" t="s">
        <v>9</v>
      </c>
      <c r="C8" s="318">
        <f>Scenarios!C9</f>
        <v>5.1554959718268165E-2</v>
      </c>
      <c r="D8" s="85">
        <f>+Scenarios!C29</f>
        <v>8.3002461795964225E-2</v>
      </c>
      <c r="E8" s="85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-0.53890194796403579</v>
      </c>
      <c r="I8" s="85">
        <f>+Scenarios!H29</f>
        <v>0.62225820003596433</v>
      </c>
      <c r="J8" s="318">
        <f>Scenarios!D9</f>
        <v>0.32762989319180058</v>
      </c>
      <c r="L8" s="344" t="s">
        <v>9</v>
      </c>
      <c r="M8" s="368">
        <f t="shared" si="6"/>
        <v>0.1573573132048941</v>
      </c>
      <c r="N8" s="369">
        <f t="shared" si="0"/>
        <v>0.25334215076453065</v>
      </c>
      <c r="O8" s="369">
        <f t="shared" si="1"/>
        <v>4.4742968617689026E-2</v>
      </c>
      <c r="P8" s="369">
        <f t="shared" si="2"/>
        <v>0.27476469400366199</v>
      </c>
      <c r="Q8" s="369">
        <f t="shared" si="3"/>
        <v>-1.5882170923663186</v>
      </c>
      <c r="R8" s="369">
        <f t="shared" si="4"/>
        <v>-1.6448497501677988</v>
      </c>
      <c r="S8" s="372">
        <f t="shared" si="5"/>
        <v>1.8992717482946004</v>
      </c>
    </row>
    <row r="9" spans="1:19">
      <c r="A9" s="210"/>
      <c r="B9" s="344" t="s">
        <v>10</v>
      </c>
      <c r="C9" s="318">
        <f>Scenarios!C10</f>
        <v>2.8536326743371695E-2</v>
      </c>
      <c r="D9" s="85">
        <f>+Scenarios!C30</f>
        <v>1.695057316664925E-2</v>
      </c>
      <c r="E9" s="85">
        <f>+Scenarios!D30</f>
        <v>-4.2653387188440507E-2</v>
      </c>
      <c r="F9" s="85">
        <f>+Scenarios!E30</f>
        <v>1.4434999267229312E-2</v>
      </c>
      <c r="G9" s="85">
        <f>+Scenarios!F30</f>
        <v>-0.25857548795346308</v>
      </c>
      <c r="H9" s="85">
        <f>+Scenarios!G30</f>
        <v>-1.0981482728457838E-2</v>
      </c>
      <c r="I9" s="85">
        <f>+Scenarios!H30</f>
        <v>0.27934742068923668</v>
      </c>
      <c r="J9" s="318">
        <f>Scenarios!D10</f>
        <v>0.15798659221184908</v>
      </c>
      <c r="L9" s="344" t="s">
        <v>10</v>
      </c>
      <c r="M9" s="368">
        <f t="shared" si="6"/>
        <v>0.18062499066443852</v>
      </c>
      <c r="N9" s="369">
        <f t="shared" si="0"/>
        <v>0.10729121331967023</v>
      </c>
      <c r="O9" s="369">
        <f t="shared" si="1"/>
        <v>-0.26998105719784921</v>
      </c>
      <c r="P9" s="369">
        <f t="shared" si="2"/>
        <v>9.1368508334384341E-2</v>
      </c>
      <c r="Q9" s="369">
        <f t="shared" si="3"/>
        <v>-1.6366926100078876</v>
      </c>
      <c r="R9" s="369">
        <f t="shared" si="4"/>
        <v>-6.950895373281063E-2</v>
      </c>
      <c r="S9" s="372">
        <f t="shared" si="5"/>
        <v>1.7681716959541172</v>
      </c>
    </row>
    <row r="10" spans="1:19">
      <c r="A10" s="210"/>
      <c r="B10" s="345" t="s">
        <v>11</v>
      </c>
      <c r="C10" s="319">
        <f>Scenarios!C11</f>
        <v>3.8644858050511752E-2</v>
      </c>
      <c r="D10" s="309">
        <f>+Scenarios!C31</f>
        <v>1.5703249352120311E-2</v>
      </c>
      <c r="E10" s="309">
        <f>+Scenarios!D31</f>
        <v>-5.8162269749716361E-2</v>
      </c>
      <c r="F10" s="309">
        <f>+Scenarios!E31</f>
        <v>4.4496035250283651E-2</v>
      </c>
      <c r="G10" s="309">
        <f>+Scenarios!F31</f>
        <v>-0.33152986308090188</v>
      </c>
      <c r="H10" s="309">
        <f>+Scenarios!G31</f>
        <v>-0.17474285130040365</v>
      </c>
      <c r="I10" s="309">
        <f>+Scenarios!H31</f>
        <v>0.39881762458018055</v>
      </c>
      <c r="J10" s="319">
        <f>Scenarios!D11</f>
        <v>0.19621796279766246</v>
      </c>
      <c r="L10" s="345" t="s">
        <v>11</v>
      </c>
      <c r="M10" s="370">
        <f t="shared" si="6"/>
        <v>0.19694862539349597</v>
      </c>
      <c r="N10" s="371">
        <f t="shared" si="0"/>
        <v>8.0029621795193684E-2</v>
      </c>
      <c r="O10" s="371">
        <f t="shared" si="1"/>
        <v>-0.29641664259705203</v>
      </c>
      <c r="P10" s="371">
        <f t="shared" si="2"/>
        <v>0.22676840904809217</v>
      </c>
      <c r="Q10" s="371">
        <f t="shared" si="3"/>
        <v>-1.68959996502854</v>
      </c>
      <c r="R10" s="371">
        <f t="shared" si="4"/>
        <v>-0.89055481368235545</v>
      </c>
      <c r="S10" s="373">
        <f t="shared" si="5"/>
        <v>2.0325235207514427</v>
      </c>
    </row>
    <row r="11" spans="1:19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53"/>
      <c r="N11" s="338"/>
      <c r="O11" s="338"/>
      <c r="P11" s="338"/>
      <c r="Q11" s="338"/>
      <c r="R11" s="354"/>
    </row>
    <row r="12" spans="1:19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53"/>
      <c r="N12" s="338"/>
      <c r="O12" s="338"/>
      <c r="P12" s="338"/>
      <c r="Q12" s="338"/>
      <c r="R12" s="338"/>
    </row>
    <row r="13" spans="1:19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3"/>
      <c r="N13" s="338"/>
      <c r="O13" s="338"/>
      <c r="P13" s="338"/>
      <c r="Q13" s="338"/>
      <c r="R13" s="338"/>
    </row>
    <row r="14" spans="1:19" ht="15.75">
      <c r="A14" s="210"/>
      <c r="B14" s="320" t="s">
        <v>129</v>
      </c>
      <c r="C14" s="325">
        <f>+Scenarios!B35</f>
        <v>0</v>
      </c>
      <c r="D14" s="312">
        <f>+Scenarios!C35</f>
        <v>6.7166639897738613E-3</v>
      </c>
      <c r="E14" s="312">
        <f>+Scenarios!D35</f>
        <v>-2.7765966605087712E-2</v>
      </c>
      <c r="F14" s="312">
        <f>+Scenarios!E35</f>
        <v>1.1477598315038176E-2</v>
      </c>
      <c r="G14" s="312">
        <f>+Scenarios!F35</f>
        <v>-0.21042761082821054</v>
      </c>
      <c r="H14" s="312">
        <f>+Scenarios!G35</f>
        <v>-0.30056364352192966</v>
      </c>
      <c r="I14" s="313">
        <f>+Scenarios!H35</f>
        <v>0.13827937355050324</v>
      </c>
      <c r="J14" s="321">
        <f>+Scenarios!I35</f>
        <v>6.7166639897738613E-3</v>
      </c>
      <c r="L14" s="210"/>
      <c r="M14" s="353"/>
      <c r="N14" s="338"/>
      <c r="O14" s="338"/>
      <c r="P14" s="338"/>
      <c r="Q14" s="338"/>
      <c r="R14" s="338"/>
    </row>
    <row r="15" spans="1:19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9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</row>
    <row r="19" spans="1:18">
      <c r="A19" s="210"/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 t="s">
        <v>143</v>
      </c>
    </row>
    <row r="20" spans="1:18">
      <c r="A20" s="210"/>
      <c r="B20" s="344" t="s">
        <v>4</v>
      </c>
      <c r="C20" s="318">
        <f>'Control panel'!B3</f>
        <v>0.56180875203091096</v>
      </c>
      <c r="D20" s="323">
        <f>'Samenvatting mixen'!B15</f>
        <v>0.58308104773113867</v>
      </c>
      <c r="E20" s="85">
        <f>'Samenvatting mixen'!B26</f>
        <v>0.61561843375329872</v>
      </c>
      <c r="F20" s="85">
        <f>'Samenvatting mixen'!B37</f>
        <v>0.58593601864408429</v>
      </c>
      <c r="G20" s="85">
        <f>'Samenvatting mixen'!B48</f>
        <v>0.64478697958152897</v>
      </c>
      <c r="H20" s="85">
        <f>'Samenvatting mixen'!B59</f>
        <v>0.6466406746414104</v>
      </c>
      <c r="I20" s="308">
        <f>'Samenvatting mixen'!B70</f>
        <v>0.64478697958152897</v>
      </c>
      <c r="J20" s="308">
        <f>'[4]Control panel'!F3</f>
        <v>0.99933044801477622</v>
      </c>
    </row>
    <row r="21" spans="1:18">
      <c r="A21" s="210"/>
      <c r="B21" s="344" t="s">
        <v>5</v>
      </c>
      <c r="C21" s="318">
        <f>'Control panel'!B4</f>
        <v>9.6622266302898649E-2</v>
      </c>
      <c r="D21" s="323">
        <f>'Samenvatting mixen'!B16</f>
        <v>8.4171789712308862E-2</v>
      </c>
      <c r="E21" s="85">
        <f>'Samenvatting mixen'!B27</f>
        <v>7.3540268530135622E-2</v>
      </c>
      <c r="F21" s="85">
        <f>'Samenvatting mixen'!B38</f>
        <v>8.4153773744813351E-2</v>
      </c>
      <c r="G21" s="85">
        <f>'Samenvatting mixen'!B49</f>
        <v>8.2937654470488245E-2</v>
      </c>
      <c r="H21" s="85">
        <f>'Samenvatting mixen'!B60</f>
        <v>8.4820313910013628E-2</v>
      </c>
      <c r="I21" s="308">
        <f>'Samenvatting mixen'!B71</f>
        <v>8.2937654470488245E-2</v>
      </c>
      <c r="J21" s="308">
        <f>'[4]Control panel'!F4</f>
        <v>5.9498856944343162E-5</v>
      </c>
    </row>
    <row r="22" spans="1:18">
      <c r="A22" s="210"/>
      <c r="B22" s="344" t="s">
        <v>6</v>
      </c>
      <c r="C22" s="318">
        <f>'Control panel'!B5</f>
        <v>9.4882090946714417E-2</v>
      </c>
      <c r="D22" s="323">
        <f>'Samenvatting mixen'!B17</f>
        <v>9.1777316331888431E-2</v>
      </c>
      <c r="E22" s="85">
        <f>'Samenvatting mixen'!B28</f>
        <v>9.5842649187610207E-2</v>
      </c>
      <c r="F22" s="85">
        <f>'Samenvatting mixen'!B39</f>
        <v>7.5068039564694641E-2</v>
      </c>
      <c r="G22" s="85">
        <f>'Samenvatting mixen'!B50</f>
        <v>7.8468977353536681E-2</v>
      </c>
      <c r="H22" s="85">
        <f>'Samenvatting mixen'!B61</f>
        <v>7.6454801202033865E-2</v>
      </c>
      <c r="I22" s="308">
        <f>'Samenvatting mixen'!B72</f>
        <v>7.8468977353536681E-2</v>
      </c>
      <c r="J22" s="308">
        <f>'[4]Control panel'!F5</f>
        <v>8.6775571303158883E-5</v>
      </c>
    </row>
    <row r="23" spans="1:18">
      <c r="A23" s="210"/>
      <c r="B23" s="344" t="s">
        <v>7</v>
      </c>
      <c r="C23" s="318">
        <f>'Control panel'!B6</f>
        <v>0.10456356326955371</v>
      </c>
      <c r="D23" s="323">
        <f>'Samenvatting mixen'!B18</f>
        <v>8.4600009654577771E-2</v>
      </c>
      <c r="E23" s="85">
        <f>'Samenvatting mixen'!B29</f>
        <v>8.0206337700230793E-2</v>
      </c>
      <c r="F23" s="85">
        <f>'Samenvatting mixen'!B40</f>
        <v>9.446061324958123E-2</v>
      </c>
      <c r="G23" s="85">
        <f>'Samenvatting mixen'!B51</f>
        <v>8.1233802875941272E-2</v>
      </c>
      <c r="H23" s="85">
        <f>'Samenvatting mixen'!B62</f>
        <v>8.0308147651511064E-2</v>
      </c>
      <c r="I23" s="308">
        <f>'Samenvatting mixen'!B73</f>
        <v>8.1233802875941272E-2</v>
      </c>
      <c r="J23" s="308">
        <f>'[4]Control panel'!F6</f>
        <v>3.3196657987390124E-5</v>
      </c>
    </row>
    <row r="24" spans="1:18">
      <c r="A24" s="210"/>
      <c r="B24" s="344" t="s">
        <v>8</v>
      </c>
      <c r="C24" s="318">
        <f>'Control panel'!B7</f>
        <v>4.8672187041583666E-2</v>
      </c>
      <c r="D24" s="323">
        <f>'Samenvatting mixen'!B19</f>
        <v>6.4363685203862667E-2</v>
      </c>
      <c r="E24" s="85">
        <f>'Samenvatting mixen'!B30</f>
        <v>4.5517395091864837E-2</v>
      </c>
      <c r="F24" s="85">
        <f>'Samenvatting mixen'!B41</f>
        <v>6.7181325786582077E-2</v>
      </c>
      <c r="G24" s="85">
        <f>'Samenvatting mixen'!B52</f>
        <v>2.9819738017547146E-2</v>
      </c>
      <c r="H24" s="85">
        <f>'Samenvatting mixen'!B63</f>
        <v>2.8420070559679499E-2</v>
      </c>
      <c r="I24" s="308">
        <f>'Samenvatting mixen'!B74</f>
        <v>2.9819738017547146E-2</v>
      </c>
      <c r="J24" s="308">
        <f>'[4]Control panel'!F7</f>
        <v>4.8644439396432552E-5</v>
      </c>
    </row>
    <row r="25" spans="1:18">
      <c r="A25" s="210"/>
      <c r="B25" s="344" t="s">
        <v>9</v>
      </c>
      <c r="C25" s="318">
        <f>'Control panel'!B8</f>
        <v>1.8487177597443272E-2</v>
      </c>
      <c r="D25" s="323">
        <f>'Samenvatting mixen'!B20</f>
        <v>1.9725823367499316E-2</v>
      </c>
      <c r="E25" s="85">
        <f>'Samenvatting mixen'!B31</f>
        <v>1.8756268542452055E-2</v>
      </c>
      <c r="F25" s="85">
        <f>'Samenvatting mixen'!B42</f>
        <v>2.0740318804958954E-2</v>
      </c>
      <c r="G25" s="85">
        <f>'Samenvatting mixen'!B53</f>
        <v>1.3431413252214346E-2</v>
      </c>
      <c r="H25" s="85">
        <f>'Samenvatting mixen'!B64</f>
        <v>1.3279527720502775E-2</v>
      </c>
      <c r="I25" s="308">
        <f>'Samenvatting mixen'!B75</f>
        <v>1.3431413252214346E-2</v>
      </c>
      <c r="J25" s="308">
        <f>'[4]Control panel'!F8</f>
        <v>2.3467442398853234E-4</v>
      </c>
    </row>
    <row r="26" spans="1:18">
      <c r="A26" s="210"/>
      <c r="B26" s="344" t="s">
        <v>10</v>
      </c>
      <c r="C26" s="318">
        <f>'Control panel'!B9</f>
        <v>3.0713456071724741E-2</v>
      </c>
      <c r="D26" s="323">
        <f>'Samenvatting mixen'!B21</f>
        <v>2.8249819591705951E-2</v>
      </c>
      <c r="E26" s="85">
        <f>'Samenvatting mixen'!B32</f>
        <v>2.7995414270465917E-2</v>
      </c>
      <c r="F26" s="85">
        <f>'Samenvatting mixen'!B43</f>
        <v>2.7706541668640661E-2</v>
      </c>
      <c r="G26" s="85">
        <f>'Samenvatting mixen'!B54</f>
        <v>2.7768719354073643E-2</v>
      </c>
      <c r="H26" s="85">
        <f>'Samenvatting mixen'!B65</f>
        <v>2.8071866327316175E-2</v>
      </c>
      <c r="I26" s="308">
        <f>'Samenvatting mixen'!B76</f>
        <v>2.7768719354073643E-2</v>
      </c>
      <c r="J26" s="308">
        <f>'[4]Control panel'!F9</f>
        <v>1.5994064696340217E-4</v>
      </c>
    </row>
    <row r="27" spans="1:18">
      <c r="A27" s="210"/>
      <c r="B27" s="345" t="s">
        <v>11</v>
      </c>
      <c r="C27" s="319">
        <f>'Control panel'!B10</f>
        <v>4.4250506739170546E-2</v>
      </c>
      <c r="D27" s="324">
        <f>'Samenvatting mixen'!B22</f>
        <v>4.4030508407018554E-2</v>
      </c>
      <c r="E27" s="309">
        <f>'Samenvatting mixen'!B33</f>
        <v>4.2523232923941445E-2</v>
      </c>
      <c r="F27" s="309">
        <f>'Samenvatting mixen'!B44</f>
        <v>4.475336853664437E-2</v>
      </c>
      <c r="G27" s="309">
        <f>'Samenvatting mixen'!B55</f>
        <v>4.15527150946697E-2</v>
      </c>
      <c r="H27" s="309">
        <f>'Samenvatting mixen'!B66</f>
        <v>4.2004597987532068E-2</v>
      </c>
      <c r="I27" s="310">
        <f>'Samenvatting mixen'!B77</f>
        <v>4.15527150946697E-2</v>
      </c>
      <c r="J27" s="310">
        <f>'[4]Control panel'!F10</f>
        <v>4.6821388640572115E-5</v>
      </c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 t="s">
        <v>148</v>
      </c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43" t="s">
        <v>101</v>
      </c>
      <c r="C33" s="317" t="s">
        <v>70</v>
      </c>
      <c r="D33" s="322" t="s">
        <v>112</v>
      </c>
      <c r="E33" s="306" t="s">
        <v>144</v>
      </c>
      <c r="F33" s="306" t="s">
        <v>145</v>
      </c>
      <c r="G33" s="306" t="s">
        <v>113</v>
      </c>
      <c r="H33" s="306" t="s">
        <v>114</v>
      </c>
      <c r="I33" s="307" t="s">
        <v>128</v>
      </c>
      <c r="J33" s="307" t="s">
        <v>143</v>
      </c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44" t="s">
        <v>4</v>
      </c>
      <c r="C34" s="318">
        <f>C20</f>
        <v>0.56180875203091096</v>
      </c>
      <c r="D34" s="323">
        <v>0.60848087749416713</v>
      </c>
      <c r="E34" s="85">
        <v>0.63429380289218151</v>
      </c>
      <c r="F34" s="85">
        <v>0.5878273206766802</v>
      </c>
      <c r="G34" s="85">
        <v>0.64766517686265979</v>
      </c>
      <c r="H34" s="85">
        <v>0.64802733648459176</v>
      </c>
      <c r="I34" s="308">
        <v>0.64766517686265979</v>
      </c>
      <c r="J34" s="308">
        <v>0.99933044801477622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44" t="s">
        <v>5</v>
      </c>
      <c r="C35" s="318">
        <f t="shared" ref="C35:C41" si="7">C21</f>
        <v>9.6622266302898649E-2</v>
      </c>
      <c r="D35" s="323">
        <v>8.9321968820360448E-2</v>
      </c>
      <c r="E35" s="85">
        <v>5.685023652253203E-2</v>
      </c>
      <c r="F35" s="85">
        <v>0.12649916600153724</v>
      </c>
      <c r="G35" s="85">
        <v>8.4241886801590157E-2</v>
      </c>
      <c r="H35" s="85">
        <v>9.0355995593255425E-2</v>
      </c>
      <c r="I35" s="308">
        <v>8.4241886801590157E-2</v>
      </c>
      <c r="J35" s="308">
        <v>5.9498856944343162E-5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44" t="s">
        <v>6</v>
      </c>
      <c r="C36" s="318">
        <f t="shared" si="7"/>
        <v>9.4882090946714417E-2</v>
      </c>
      <c r="D36" s="323">
        <v>6.3441864914029672E-2</v>
      </c>
      <c r="E36" s="85">
        <v>8.9930545151678407E-2</v>
      </c>
      <c r="F36" s="85">
        <v>5.7401129472963497E-2</v>
      </c>
      <c r="G36" s="85">
        <v>7.9334547678456518E-2</v>
      </c>
      <c r="H36" s="85">
        <v>7.3788193615281938E-2</v>
      </c>
      <c r="I36" s="308">
        <v>7.9334547678456518E-2</v>
      </c>
      <c r="J36" s="308">
        <v>8.6775571303158883E-5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44" t="s">
        <v>7</v>
      </c>
      <c r="C37" s="318">
        <f t="shared" si="7"/>
        <v>0.10456356326955371</v>
      </c>
      <c r="D37" s="323">
        <v>7.8609831420599921E-2</v>
      </c>
      <c r="E37" s="85">
        <v>7.7569179994081194E-2</v>
      </c>
      <c r="F37" s="85">
        <v>8.4225719434486215E-2</v>
      </c>
      <c r="G37" s="85">
        <v>7.7910827116559708E-2</v>
      </c>
      <c r="H37" s="85">
        <v>7.8006868264857004E-2</v>
      </c>
      <c r="I37" s="308">
        <v>7.7910827116559708E-2</v>
      </c>
      <c r="J37" s="308">
        <v>3.3196657987390124E-5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44" t="s">
        <v>8</v>
      </c>
      <c r="C38" s="318">
        <f t="shared" si="7"/>
        <v>4.8672187041583666E-2</v>
      </c>
      <c r="D38" s="323">
        <v>4.6880183306017301E-2</v>
      </c>
      <c r="E38" s="85">
        <v>3.3325239711635021E-2</v>
      </c>
      <c r="F38" s="85">
        <v>5.394454250764967E-2</v>
      </c>
      <c r="G38" s="85">
        <v>2.8116666145894708E-2</v>
      </c>
      <c r="H38" s="85">
        <v>2.7032403552113084E-2</v>
      </c>
      <c r="I38" s="308">
        <v>2.8116666145894708E-2</v>
      </c>
      <c r="J38" s="308">
        <v>4.8644439396432552E-5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44" t="s">
        <v>9</v>
      </c>
      <c r="C39" s="318">
        <f t="shared" si="7"/>
        <v>1.8487177597443272E-2</v>
      </c>
      <c r="D39" s="323">
        <v>3.2526096489757371E-2</v>
      </c>
      <c r="E39" s="85">
        <v>2.7291818172822932E-2</v>
      </c>
      <c r="F39" s="85">
        <v>9.3629443516143884E-3</v>
      </c>
      <c r="G39" s="85">
        <v>1.9917178397705921E-3</v>
      </c>
      <c r="H39" s="85">
        <v>2.0500249348322582E-3</v>
      </c>
      <c r="I39" s="308">
        <v>1.9917178397705921E-3</v>
      </c>
      <c r="J39" s="308">
        <v>2.3467442398853234E-4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44" t="s">
        <v>10</v>
      </c>
      <c r="C40" s="318">
        <f t="shared" si="7"/>
        <v>3.0713456071724741E-2</v>
      </c>
      <c r="D40" s="323">
        <v>3.2197057464982567E-2</v>
      </c>
      <c r="E40" s="85">
        <v>3.2197057464982567E-2</v>
      </c>
      <c r="F40" s="85">
        <v>3.2197057464982567E-2</v>
      </c>
      <c r="G40" s="85">
        <v>3.2197057464982567E-2</v>
      </c>
      <c r="H40" s="85">
        <v>3.2197057464982567E-2</v>
      </c>
      <c r="I40" s="308">
        <v>3.2197057464982567E-2</v>
      </c>
      <c r="J40" s="308">
        <v>1.5994064696340217E-4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45" t="s">
        <v>11</v>
      </c>
      <c r="C41" s="319">
        <f t="shared" si="7"/>
        <v>4.4250506739170546E-2</v>
      </c>
      <c r="D41" s="324">
        <v>4.8542120090085746E-2</v>
      </c>
      <c r="E41" s="309">
        <v>4.8542120090085746E-2</v>
      </c>
      <c r="F41" s="309">
        <v>4.8542120090085746E-2</v>
      </c>
      <c r="G41" s="309">
        <v>4.8542120090085746E-2</v>
      </c>
      <c r="H41" s="309">
        <v>4.8542120090085746E-2</v>
      </c>
      <c r="I41" s="310">
        <v>4.8542120090085746E-2</v>
      </c>
      <c r="J41" s="310">
        <v>4.6821388640572115E-5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343" t="s">
        <v>101</v>
      </c>
      <c r="C45" s="317" t="s">
        <v>70</v>
      </c>
      <c r="D45" s="322" t="s">
        <v>112</v>
      </c>
      <c r="E45" s="306" t="s">
        <v>144</v>
      </c>
      <c r="F45" s="306" t="s">
        <v>145</v>
      </c>
      <c r="G45" s="306" t="s">
        <v>113</v>
      </c>
      <c r="H45" s="306" t="s">
        <v>114</v>
      </c>
      <c r="I45" s="307" t="s">
        <v>128</v>
      </c>
      <c r="J45" s="307" t="s">
        <v>143</v>
      </c>
      <c r="L45" s="210"/>
      <c r="M45" s="210"/>
      <c r="N45" s="210"/>
      <c r="O45" s="210"/>
      <c r="P45" s="210"/>
      <c r="Q45" s="210"/>
      <c r="R45" s="210"/>
    </row>
    <row r="46" spans="1:18">
      <c r="A46" s="210"/>
      <c r="B46" s="344" t="s">
        <v>4</v>
      </c>
      <c r="C46" s="318">
        <f>'Control panel'!B3</f>
        <v>0.56180875203091096</v>
      </c>
      <c r="D46" s="323">
        <f t="shared" ref="D46:J53" si="8">D20-D34</f>
        <v>-2.5399829763028459E-2</v>
      </c>
      <c r="E46" s="85">
        <f t="shared" si="8"/>
        <v>-1.8675369138882791E-2</v>
      </c>
      <c r="F46" s="85">
        <f t="shared" si="8"/>
        <v>-1.8913020325959096E-3</v>
      </c>
      <c r="G46" s="85">
        <f t="shared" si="8"/>
        <v>-2.8781972811308121E-3</v>
      </c>
      <c r="H46" s="85">
        <f t="shared" si="8"/>
        <v>-1.3866618431813693E-3</v>
      </c>
      <c r="I46" s="308">
        <f t="shared" si="8"/>
        <v>-2.8781972811308121E-3</v>
      </c>
      <c r="J46" s="308">
        <f t="shared" si="8"/>
        <v>0</v>
      </c>
      <c r="L46" s="210"/>
      <c r="M46" s="210"/>
      <c r="N46" s="210"/>
      <c r="O46" s="210"/>
      <c r="P46" s="210"/>
      <c r="Q46" s="210"/>
      <c r="R46" s="210"/>
    </row>
    <row r="47" spans="1:18">
      <c r="A47" s="210"/>
      <c r="B47" s="344" t="s">
        <v>5</v>
      </c>
      <c r="C47" s="318">
        <f>'Control panel'!B4</f>
        <v>9.6622266302898649E-2</v>
      </c>
      <c r="D47" s="323">
        <f t="shared" si="8"/>
        <v>-5.1501791080515863E-3</v>
      </c>
      <c r="E47" s="85">
        <f t="shared" si="8"/>
        <v>1.6690032007603592E-2</v>
      </c>
      <c r="F47" s="85">
        <f t="shared" si="8"/>
        <v>-4.2345392256723888E-2</v>
      </c>
      <c r="G47" s="85">
        <f t="shared" si="8"/>
        <v>-1.3042323311019122E-3</v>
      </c>
      <c r="H47" s="85">
        <f t="shared" si="8"/>
        <v>-5.5356816832417971E-3</v>
      </c>
      <c r="I47" s="308">
        <f t="shared" si="8"/>
        <v>-1.3042323311019122E-3</v>
      </c>
      <c r="J47" s="308">
        <f t="shared" si="8"/>
        <v>0</v>
      </c>
      <c r="L47" s="210"/>
      <c r="M47" s="210"/>
      <c r="N47" s="210"/>
      <c r="O47" s="210"/>
      <c r="P47" s="210"/>
      <c r="Q47" s="210"/>
      <c r="R47" s="210"/>
    </row>
    <row r="48" spans="1:18">
      <c r="A48" s="210"/>
      <c r="B48" s="344" t="s">
        <v>6</v>
      </c>
      <c r="C48" s="318">
        <f>'Control panel'!B5</f>
        <v>9.4882090946714417E-2</v>
      </c>
      <c r="D48" s="323">
        <f t="shared" si="8"/>
        <v>2.8335451417858759E-2</v>
      </c>
      <c r="E48" s="85">
        <f t="shared" si="8"/>
        <v>5.9121040359318006E-3</v>
      </c>
      <c r="F48" s="85">
        <f t="shared" si="8"/>
        <v>1.7666910091731144E-2</v>
      </c>
      <c r="G48" s="85">
        <f t="shared" si="8"/>
        <v>-8.655703249198371E-4</v>
      </c>
      <c r="H48" s="85">
        <f t="shared" si="8"/>
        <v>2.6666075867519262E-3</v>
      </c>
      <c r="I48" s="308">
        <f t="shared" si="8"/>
        <v>-8.655703249198371E-4</v>
      </c>
      <c r="J48" s="308">
        <f t="shared" si="8"/>
        <v>0</v>
      </c>
      <c r="L48" s="210"/>
      <c r="M48" s="210"/>
      <c r="N48" s="210"/>
      <c r="O48" s="210"/>
      <c r="P48" s="210"/>
      <c r="Q48" s="210"/>
      <c r="R48" s="210"/>
    </row>
    <row r="49" spans="1:18">
      <c r="A49" s="210"/>
      <c r="B49" s="344" t="s">
        <v>7</v>
      </c>
      <c r="C49" s="318">
        <f>'Control panel'!B6</f>
        <v>0.10456356326955371</v>
      </c>
      <c r="D49" s="323">
        <f t="shared" si="8"/>
        <v>5.9901782339778498E-3</v>
      </c>
      <c r="E49" s="85">
        <f t="shared" si="8"/>
        <v>2.6371577061495982E-3</v>
      </c>
      <c r="F49" s="85">
        <f t="shared" si="8"/>
        <v>1.0234893815095014E-2</v>
      </c>
      <c r="G49" s="85">
        <f t="shared" si="8"/>
        <v>3.3229757593815634E-3</v>
      </c>
      <c r="H49" s="85">
        <f t="shared" si="8"/>
        <v>2.3012793866540593E-3</v>
      </c>
      <c r="I49" s="308">
        <f t="shared" si="8"/>
        <v>3.3229757593815634E-3</v>
      </c>
      <c r="J49" s="308">
        <f t="shared" si="8"/>
        <v>0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44" t="s">
        <v>8</v>
      </c>
      <c r="C50" s="318">
        <f>'Control panel'!B7</f>
        <v>4.8672187041583666E-2</v>
      </c>
      <c r="D50" s="323">
        <f>D24-D38</f>
        <v>1.7483501897845366E-2</v>
      </c>
      <c r="E50" s="85">
        <f t="shared" si="8"/>
        <v>1.2192155380229816E-2</v>
      </c>
      <c r="F50" s="85">
        <f t="shared" si="8"/>
        <v>1.3236783278932407E-2</v>
      </c>
      <c r="G50" s="85">
        <f t="shared" si="8"/>
        <v>1.7030718716524382E-3</v>
      </c>
      <c r="H50" s="85">
        <f t="shared" si="8"/>
        <v>1.3876670075664149E-3</v>
      </c>
      <c r="I50" s="308">
        <f t="shared" si="8"/>
        <v>1.7030718716524382E-3</v>
      </c>
      <c r="J50" s="308">
        <f t="shared" si="8"/>
        <v>0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44" t="s">
        <v>9</v>
      </c>
      <c r="C51" s="318">
        <f>'Control panel'!B8</f>
        <v>1.8487177597443272E-2</v>
      </c>
      <c r="D51" s="323">
        <f t="shared" si="8"/>
        <v>-1.2800273122258055E-2</v>
      </c>
      <c r="E51" s="85">
        <f t="shared" si="8"/>
        <v>-8.5355496303708769E-3</v>
      </c>
      <c r="F51" s="85">
        <f t="shared" si="8"/>
        <v>1.1377374453344566E-2</v>
      </c>
      <c r="G51" s="85">
        <f t="shared" si="8"/>
        <v>1.1439695412443754E-2</v>
      </c>
      <c r="H51" s="85">
        <f t="shared" si="8"/>
        <v>1.1229502785670517E-2</v>
      </c>
      <c r="I51" s="308">
        <f t="shared" si="8"/>
        <v>1.1439695412443754E-2</v>
      </c>
      <c r="J51" s="308">
        <f t="shared" si="8"/>
        <v>0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44" t="s">
        <v>10</v>
      </c>
      <c r="C52" s="318">
        <f>'Control panel'!B9</f>
        <v>3.0713456071724741E-2</v>
      </c>
      <c r="D52" s="323">
        <f t="shared" si="8"/>
        <v>-3.947237873276617E-3</v>
      </c>
      <c r="E52" s="85">
        <f t="shared" si="8"/>
        <v>-4.2016431945166507E-3</v>
      </c>
      <c r="F52" s="85">
        <f t="shared" si="8"/>
        <v>-4.4905157963419061E-3</v>
      </c>
      <c r="G52" s="85">
        <f t="shared" si="8"/>
        <v>-4.4283381109089248E-3</v>
      </c>
      <c r="H52" s="85">
        <f t="shared" si="8"/>
        <v>-4.1251911376663924E-3</v>
      </c>
      <c r="I52" s="308">
        <f t="shared" si="8"/>
        <v>-4.4283381109089248E-3</v>
      </c>
      <c r="J52" s="308">
        <f t="shared" si="8"/>
        <v>0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45" t="s">
        <v>11</v>
      </c>
      <c r="C53" s="319">
        <f>'Control panel'!B10</f>
        <v>4.4250506739170546E-2</v>
      </c>
      <c r="D53" s="324">
        <f t="shared" si="8"/>
        <v>-4.5116116830671918E-3</v>
      </c>
      <c r="E53" s="309">
        <f t="shared" si="8"/>
        <v>-6.0188871661443002E-3</v>
      </c>
      <c r="F53" s="309">
        <f t="shared" si="8"/>
        <v>-3.788751553441376E-3</v>
      </c>
      <c r="G53" s="309">
        <f t="shared" si="8"/>
        <v>-6.9894049954160459E-3</v>
      </c>
      <c r="H53" s="309">
        <f t="shared" si="8"/>
        <v>-6.5375221025536778E-3</v>
      </c>
      <c r="I53" s="310">
        <f t="shared" si="8"/>
        <v>-6.9894049954160459E-3</v>
      </c>
      <c r="J53" s="310">
        <f t="shared" si="8"/>
        <v>0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343" t="s">
        <v>101</v>
      </c>
      <c r="C62" s="317" t="s">
        <v>70</v>
      </c>
      <c r="D62" s="210"/>
      <c r="E62" s="322" t="s">
        <v>112</v>
      </c>
      <c r="F62" s="317" t="s">
        <v>146</v>
      </c>
      <c r="G62" s="210"/>
      <c r="H62" s="322" t="s">
        <v>145</v>
      </c>
      <c r="I62" s="317" t="s">
        <v>146</v>
      </c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344" t="s">
        <v>4</v>
      </c>
      <c r="C63" s="318">
        <f>'Control panel'!B3</f>
        <v>0.56180875203091096</v>
      </c>
      <c r="D63" s="210"/>
      <c r="E63" s="323">
        <f>'Samenvatting mixen'!B15</f>
        <v>0.58308104773113867</v>
      </c>
      <c r="F63" s="318">
        <f>E63-C63</f>
        <v>2.1272295700227706E-2</v>
      </c>
      <c r="G63" s="210"/>
      <c r="H63" s="323">
        <f>'Samenvatting mixen'!B37</f>
        <v>0.58593601864408429</v>
      </c>
      <c r="I63" s="318">
        <f>H63-C63</f>
        <v>2.4127266613173326E-2</v>
      </c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344" t="s">
        <v>5</v>
      </c>
      <c r="C64" s="318">
        <f>'Control panel'!B4</f>
        <v>9.6622266302898649E-2</v>
      </c>
      <c r="D64" s="210"/>
      <c r="E64" s="323">
        <f>'Samenvatting mixen'!B16</f>
        <v>8.4171789712308862E-2</v>
      </c>
      <c r="F64" s="318">
        <f t="shared" ref="F64:F70" si="9">E64-C64</f>
        <v>-1.2450476590589787E-2</v>
      </c>
      <c r="G64" s="210"/>
      <c r="H64" s="323">
        <f>'Samenvatting mixen'!B38</f>
        <v>8.4153773744813351E-2</v>
      </c>
      <c r="I64" s="318">
        <f t="shared" ref="I64:I70" si="10">H64-C64</f>
        <v>-1.2468492558085298E-2</v>
      </c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344" t="s">
        <v>6</v>
      </c>
      <c r="C65" s="318">
        <f>'Control panel'!B5</f>
        <v>9.4882090946714417E-2</v>
      </c>
      <c r="D65" s="210"/>
      <c r="E65" s="323">
        <f>'Samenvatting mixen'!B17</f>
        <v>9.1777316331888431E-2</v>
      </c>
      <c r="F65" s="318">
        <f t="shared" si="9"/>
        <v>-3.1047746148259864E-3</v>
      </c>
      <c r="G65" s="210"/>
      <c r="H65" s="323">
        <f>'Samenvatting mixen'!B39</f>
        <v>7.5068039564694641E-2</v>
      </c>
      <c r="I65" s="318">
        <f t="shared" si="10"/>
        <v>-1.9814051382019776E-2</v>
      </c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344" t="s">
        <v>7</v>
      </c>
      <c r="C66" s="318">
        <f>'Control panel'!B6</f>
        <v>0.10456356326955371</v>
      </c>
      <c r="D66" s="210"/>
      <c r="E66" s="323">
        <f>'Samenvatting mixen'!B18</f>
        <v>8.4600009654577771E-2</v>
      </c>
      <c r="F66" s="318">
        <f t="shared" si="9"/>
        <v>-1.996355361497594E-2</v>
      </c>
      <c r="G66" s="210"/>
      <c r="H66" s="323">
        <f>'Samenvatting mixen'!B40</f>
        <v>9.446061324958123E-2</v>
      </c>
      <c r="I66" s="318">
        <f t="shared" si="10"/>
        <v>-1.0102950019972481E-2</v>
      </c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344" t="s">
        <v>8</v>
      </c>
      <c r="C67" s="318">
        <f>'Control panel'!B7</f>
        <v>4.8672187041583666E-2</v>
      </c>
      <c r="D67" s="210"/>
      <c r="E67" s="323">
        <f>'Samenvatting mixen'!B19</f>
        <v>6.4363685203862667E-2</v>
      </c>
      <c r="F67" s="318">
        <f t="shared" si="9"/>
        <v>1.5691498162279001E-2</v>
      </c>
      <c r="G67" s="210"/>
      <c r="H67" s="323">
        <f>'Samenvatting mixen'!B41</f>
        <v>6.7181325786582077E-2</v>
      </c>
      <c r="I67" s="318">
        <f t="shared" si="10"/>
        <v>1.8509138744998412E-2</v>
      </c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344" t="s">
        <v>9</v>
      </c>
      <c r="C68" s="318">
        <f>'Control panel'!B8</f>
        <v>1.8487177597443272E-2</v>
      </c>
      <c r="D68" s="210"/>
      <c r="E68" s="323">
        <f>'Samenvatting mixen'!B20</f>
        <v>1.9725823367499316E-2</v>
      </c>
      <c r="F68" s="318">
        <f t="shared" si="9"/>
        <v>1.2386457700560433E-3</v>
      </c>
      <c r="G68" s="210"/>
      <c r="H68" s="323">
        <f>'Samenvatting mixen'!B42</f>
        <v>2.0740318804958954E-2</v>
      </c>
      <c r="I68" s="318">
        <f t="shared" si="10"/>
        <v>2.2531412075156819E-3</v>
      </c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344" t="s">
        <v>10</v>
      </c>
      <c r="C69" s="318">
        <f>'Control panel'!B9</f>
        <v>3.0713456071724741E-2</v>
      </c>
      <c r="D69" s="210"/>
      <c r="E69" s="323">
        <f>'Samenvatting mixen'!B21</f>
        <v>2.8249819591705951E-2</v>
      </c>
      <c r="F69" s="318">
        <f t="shared" si="9"/>
        <v>-2.4636364800187903E-3</v>
      </c>
      <c r="G69" s="210"/>
      <c r="H69" s="323">
        <f>'Samenvatting mixen'!B43</f>
        <v>2.7706541668640661E-2</v>
      </c>
      <c r="I69" s="318">
        <f t="shared" si="10"/>
        <v>-3.0069144030840794E-3</v>
      </c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345" t="s">
        <v>11</v>
      </c>
      <c r="C70" s="319">
        <f>'Control panel'!B10</f>
        <v>4.4250506739170546E-2</v>
      </c>
      <c r="D70" s="210"/>
      <c r="E70" s="324">
        <f>'Samenvatting mixen'!B22</f>
        <v>4.4030508407018554E-2</v>
      </c>
      <c r="F70" s="319">
        <f t="shared" si="9"/>
        <v>-2.1999833215199244E-4</v>
      </c>
      <c r="G70" s="210"/>
      <c r="H70" s="324">
        <f>'Samenvatting mixen'!B44</f>
        <v>4.475336853664437E-2</v>
      </c>
      <c r="I70" s="319">
        <f t="shared" si="10"/>
        <v>5.0286179747382337E-4</v>
      </c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343" t="s">
        <v>149</v>
      </c>
      <c r="C74" s="366" t="s">
        <v>70</v>
      </c>
      <c r="D74" s="366" t="s">
        <v>91</v>
      </c>
      <c r="E74" s="366" t="s">
        <v>92</v>
      </c>
      <c r="F74" s="366" t="s">
        <v>150</v>
      </c>
      <c r="G74" s="366" t="s">
        <v>151</v>
      </c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344" t="s">
        <v>4</v>
      </c>
      <c r="C75" s="318">
        <f>'Control panel'!B3</f>
        <v>0.56180875203091096</v>
      </c>
      <c r="D75" s="318">
        <f>'Control panel'!C3</f>
        <v>0.55000000000000004</v>
      </c>
      <c r="E75" s="318">
        <f>'Control panel'!D3</f>
        <v>0.65</v>
      </c>
      <c r="F75" s="318">
        <f>'Control panel'!F3</f>
        <v>0.58308104773113867</v>
      </c>
      <c r="G75" s="318">
        <f>'Control panel'!G3</f>
        <v>2.1272295700227706E-2</v>
      </c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344" t="s">
        <v>5</v>
      </c>
      <c r="C76" s="318">
        <f>'Control panel'!B4</f>
        <v>9.6622266302898649E-2</v>
      </c>
      <c r="D76" s="318">
        <f>'Control panel'!C4</f>
        <v>0.05</v>
      </c>
      <c r="E76" s="318">
        <f>'Control panel'!D4</f>
        <v>0.15</v>
      </c>
      <c r="F76" s="318">
        <f>'Control panel'!F4</f>
        <v>8.4171789712308862E-2</v>
      </c>
      <c r="G76" s="318">
        <f>'Control panel'!G4</f>
        <v>-1.2450476590589787E-2</v>
      </c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344" t="s">
        <v>6</v>
      </c>
      <c r="C77" s="318">
        <f>'Control panel'!B5</f>
        <v>9.4882090946714417E-2</v>
      </c>
      <c r="D77" s="318">
        <f>'Control panel'!C5</f>
        <v>0.05</v>
      </c>
      <c r="E77" s="318">
        <f>'Control panel'!D5</f>
        <v>0.15</v>
      </c>
      <c r="F77" s="318">
        <f>'Control panel'!F5</f>
        <v>9.1777316331888431E-2</v>
      </c>
      <c r="G77" s="318">
        <f>'Control panel'!G5</f>
        <v>-3.1047746148259864E-3</v>
      </c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344" t="s">
        <v>7</v>
      </c>
      <c r="C78" s="318">
        <f>'Control panel'!B6</f>
        <v>0.10456356326955371</v>
      </c>
      <c r="D78" s="318">
        <f>'Control panel'!C6</f>
        <v>7.4999999999999997E-2</v>
      </c>
      <c r="E78" s="318">
        <f>'Control panel'!D6</f>
        <v>0.3</v>
      </c>
      <c r="F78" s="318">
        <f>'Control panel'!F6</f>
        <v>8.4600009654577771E-2</v>
      </c>
      <c r="G78" s="318">
        <f>'Control panel'!G6</f>
        <v>-1.996355361497594E-2</v>
      </c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344" t="s">
        <v>8</v>
      </c>
      <c r="C79" s="318">
        <f>'Control panel'!B7</f>
        <v>4.8672187041583666E-2</v>
      </c>
      <c r="D79" s="318">
        <f>'Control panel'!C7</f>
        <v>2.5000000000000001E-2</v>
      </c>
      <c r="E79" s="318">
        <f>'Control panel'!D7</f>
        <v>0.1</v>
      </c>
      <c r="F79" s="318">
        <f>'Control panel'!F7</f>
        <v>6.4363685203862667E-2</v>
      </c>
      <c r="G79" s="318">
        <f>'Control panel'!G7</f>
        <v>1.5691498162279001E-2</v>
      </c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344" t="s">
        <v>9</v>
      </c>
      <c r="C80" s="318">
        <f>'Control panel'!B8</f>
        <v>1.8487177597443272E-2</v>
      </c>
      <c r="D80" s="318">
        <f>'Control panel'!C8</f>
        <v>0.01</v>
      </c>
      <c r="E80" s="318">
        <f>'Control panel'!D8</f>
        <v>0.03</v>
      </c>
      <c r="F80" s="318">
        <f>'Control panel'!F8</f>
        <v>1.9725823367499316E-2</v>
      </c>
      <c r="G80" s="318">
        <f>'Control panel'!G8</f>
        <v>1.2386457700560433E-3</v>
      </c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344" t="s">
        <v>10</v>
      </c>
      <c r="C81" s="318">
        <f>'Control panel'!B9</f>
        <v>3.0713456071724741E-2</v>
      </c>
      <c r="D81" s="318">
        <f>'Control panel'!C9</f>
        <v>0.02</v>
      </c>
      <c r="E81" s="318">
        <f>'Control panel'!D9</f>
        <v>0.04</v>
      </c>
      <c r="F81" s="318">
        <f>'Control panel'!F9</f>
        <v>2.8249819591705951E-2</v>
      </c>
      <c r="G81" s="318">
        <f>'Control panel'!G9</f>
        <v>-2.4636364800187903E-3</v>
      </c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345" t="s">
        <v>11</v>
      </c>
      <c r="C82" s="319">
        <f>'Control panel'!B10</f>
        <v>4.4250506739170546E-2</v>
      </c>
      <c r="D82" s="319">
        <f>'Control panel'!C10</f>
        <v>3.5000000000000003E-2</v>
      </c>
      <c r="E82" s="319">
        <f>'Control panel'!D10</f>
        <v>5.5E-2</v>
      </c>
      <c r="F82" s="319">
        <f>'Control panel'!F10</f>
        <v>4.4030508407018554E-2</v>
      </c>
      <c r="G82" s="319">
        <f>'Control panel'!G10</f>
        <v>-2.1999833215199244E-4</v>
      </c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O105" s="210"/>
      <c r="P105" s="210"/>
      <c r="Q105" s="210"/>
      <c r="R105" s="210"/>
    </row>
    <row r="106" spans="1:18">
      <c r="O106" s="210"/>
      <c r="P106" s="210"/>
      <c r="Q106" s="210"/>
      <c r="R106" s="210"/>
    </row>
    <row r="107" spans="1:18">
      <c r="O107" s="210"/>
      <c r="P107" s="210"/>
      <c r="Q107" s="210"/>
      <c r="R107" s="210"/>
    </row>
    <row r="108" spans="1:18">
      <c r="O108" s="210"/>
      <c r="P108" s="210"/>
      <c r="Q108" s="210"/>
      <c r="R108" s="210"/>
    </row>
    <row r="109" spans="1:18">
      <c r="O109" s="210"/>
      <c r="P109" s="210"/>
      <c r="Q109" s="210"/>
      <c r="R109" s="210"/>
    </row>
    <row r="110" spans="1:18">
      <c r="O110" s="210"/>
      <c r="P110" s="210"/>
      <c r="Q110" s="210"/>
      <c r="R110" s="210"/>
    </row>
    <row r="111" spans="1:18">
      <c r="O111" s="210"/>
      <c r="P111" s="210"/>
      <c r="Q111" s="210"/>
      <c r="R111" s="210"/>
    </row>
    <row r="112" spans="1:18">
      <c r="O112" s="210"/>
      <c r="P112" s="210"/>
      <c r="Q112" s="210"/>
      <c r="R112" s="210"/>
    </row>
    <row r="113" spans="15:18">
      <c r="O113" s="210"/>
      <c r="P113" s="210"/>
      <c r="Q113" s="210"/>
      <c r="R113" s="210"/>
    </row>
    <row r="114" spans="15:18">
      <c r="O114" s="210"/>
      <c r="P114" s="210"/>
      <c r="Q114" s="210"/>
      <c r="R114" s="210"/>
    </row>
    <row r="115" spans="15:18">
      <c r="O115" s="210"/>
      <c r="P115" s="210"/>
      <c r="Q115" s="210"/>
      <c r="R115" s="210"/>
    </row>
    <row r="116" spans="15:18">
      <c r="O116" s="210"/>
      <c r="P116" s="210"/>
      <c r="Q116" s="210"/>
      <c r="R116" s="210"/>
    </row>
    <row r="117" spans="15:18">
      <c r="O117" s="210"/>
      <c r="P117" s="210"/>
      <c r="Q117" s="210"/>
      <c r="R117" s="210"/>
    </row>
    <row r="118" spans="15:18">
      <c r="O118" s="210"/>
      <c r="P118" s="210"/>
      <c r="Q118" s="210"/>
      <c r="R118" s="210"/>
    </row>
    <row r="119" spans="15:18">
      <c r="O119" s="210"/>
      <c r="P119" s="210"/>
      <c r="Q119" s="210"/>
      <c r="R119" s="210"/>
    </row>
    <row r="120" spans="15:18">
      <c r="O120" s="210"/>
      <c r="P120" s="210"/>
      <c r="Q120" s="210"/>
      <c r="R120" s="210"/>
    </row>
    <row r="121" spans="15:18">
      <c r="O121" s="210"/>
      <c r="P121" s="210"/>
      <c r="Q121" s="210"/>
      <c r="R121" s="210"/>
    </row>
    <row r="122" spans="15:18">
      <c r="O122" s="210"/>
      <c r="P122" s="210"/>
      <c r="Q122" s="210"/>
      <c r="R122" s="210"/>
    </row>
    <row r="123" spans="15:18">
      <c r="O123" s="210"/>
      <c r="P123" s="210"/>
      <c r="Q123" s="210"/>
      <c r="R123" s="210"/>
    </row>
    <row r="124" spans="15:18">
      <c r="O124" s="210"/>
      <c r="P124" s="210"/>
      <c r="Q124" s="210"/>
      <c r="R124" s="210"/>
    </row>
    <row r="125" spans="15:18">
      <c r="O125" s="210"/>
      <c r="P125" s="210"/>
      <c r="Q125" s="210"/>
      <c r="R125" s="210"/>
    </row>
    <row r="190" spans="2:15"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</row>
    <row r="191" spans="2:15"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</row>
    <row r="192" spans="2:15"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</row>
    <row r="193" spans="2:15"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</row>
    <row r="194" spans="2:15">
      <c r="B194" s="210"/>
      <c r="C194" s="210"/>
      <c r="D194" s="402" t="s">
        <v>133</v>
      </c>
      <c r="E194" s="403"/>
      <c r="F194" s="402" t="s">
        <v>132</v>
      </c>
      <c r="G194" s="403"/>
      <c r="H194" s="403"/>
      <c r="I194" s="404"/>
      <c r="J194" s="210"/>
      <c r="L194" s="210"/>
      <c r="M194" s="210"/>
      <c r="N194" s="210"/>
      <c r="O194" s="210"/>
    </row>
    <row r="195" spans="2:15" ht="51.75">
      <c r="B195" s="210"/>
      <c r="C195" s="314"/>
      <c r="D195" s="328" t="s">
        <v>134</v>
      </c>
      <c r="E195" s="329" t="s">
        <v>135</v>
      </c>
      <c r="F195" s="329"/>
      <c r="G195" s="329"/>
      <c r="H195" s="328" t="s">
        <v>137</v>
      </c>
      <c r="I195" s="329" t="s">
        <v>136</v>
      </c>
      <c r="J195" s="307" t="s">
        <v>138</v>
      </c>
      <c r="K195" s="336" t="s">
        <v>139</v>
      </c>
      <c r="L195" s="336" t="s">
        <v>140</v>
      </c>
      <c r="M195" s="210"/>
      <c r="N195" s="210"/>
      <c r="O195" s="210"/>
    </row>
    <row r="196" spans="2:15">
      <c r="B196" s="210"/>
      <c r="C196" s="315" t="s">
        <v>4</v>
      </c>
      <c r="D196" s="337">
        <v>4.4499999999999998E-2</v>
      </c>
      <c r="E196" s="337">
        <v>9.3000000000000096E-3</v>
      </c>
      <c r="F196" s="85"/>
      <c r="G196" s="85"/>
      <c r="H196" s="337">
        <v>-8.7300000000000003E-2</v>
      </c>
      <c r="I196" s="337">
        <f>+Scenarios!C24</f>
        <v>-3.2445168309994665E-3</v>
      </c>
      <c r="J196" s="339">
        <v>0.1023</v>
      </c>
      <c r="K196" s="340">
        <f t="shared" ref="K196:K203" si="11">+H196/J196</f>
        <v>-0.85337243401759533</v>
      </c>
      <c r="L196" s="331">
        <f t="shared" ref="L196:L203" si="12">+I196/J196</f>
        <v>-3.1715707047893123E-2</v>
      </c>
      <c r="M196" s="210"/>
      <c r="N196" s="210"/>
      <c r="O196" s="210"/>
    </row>
    <row r="197" spans="2:15">
      <c r="B197" s="210"/>
      <c r="C197" s="315" t="s">
        <v>5</v>
      </c>
      <c r="D197" s="318">
        <v>8.5371817899603325E-2</v>
      </c>
      <c r="E197" s="318">
        <v>5.6265360838678849E-2</v>
      </c>
      <c r="F197" s="85"/>
      <c r="G197" s="85"/>
      <c r="H197" s="318">
        <v>-4.6468851830414513E-2</v>
      </c>
      <c r="I197" s="318">
        <f>+Scenarios!C25</f>
        <v>1.7080984570854354E-2</v>
      </c>
      <c r="J197" s="318">
        <f t="shared" ref="J197:J203" si="13">+J4</f>
        <v>0.15740402046445473</v>
      </c>
      <c r="K197" s="341">
        <f t="shared" si="11"/>
        <v>-0.29522023448510448</v>
      </c>
      <c r="L197" s="331">
        <f t="shared" si="12"/>
        <v>0.10851682517672166</v>
      </c>
      <c r="M197" s="210"/>
      <c r="N197" s="210"/>
      <c r="O197" s="210"/>
    </row>
    <row r="198" spans="2:15">
      <c r="B198" s="210"/>
      <c r="C198" s="315" t="s">
        <v>6</v>
      </c>
      <c r="D198" s="318">
        <v>0.14294511515742836</v>
      </c>
      <c r="E198" s="318">
        <v>4.8236186870114238E-2</v>
      </c>
      <c r="F198" s="85"/>
      <c r="G198" s="85"/>
      <c r="H198" s="318">
        <v>1.1104445427410514E-2</v>
      </c>
      <c r="I198" s="318">
        <f>+Scenarios!C26</f>
        <v>2.8210029350712571E-2</v>
      </c>
      <c r="J198" s="318">
        <f t="shared" si="13"/>
        <v>0.16055565886911449</v>
      </c>
      <c r="K198" s="341">
        <f t="shared" si="11"/>
        <v>6.9162591375635629E-2</v>
      </c>
      <c r="L198" s="331">
        <f>+I198/J198</f>
        <v>0.17570249189229437</v>
      </c>
      <c r="M198" s="210"/>
      <c r="N198" s="210"/>
      <c r="O198" s="210"/>
    </row>
    <row r="199" spans="2:15">
      <c r="B199" s="210"/>
      <c r="C199" s="315" t="s">
        <v>7</v>
      </c>
      <c r="D199" s="318">
        <v>7.3688794074914882E-2</v>
      </c>
      <c r="E199" s="318">
        <v>4.4755655663184818E-2</v>
      </c>
      <c r="F199" s="85"/>
      <c r="G199" s="85"/>
      <c r="H199" s="318">
        <v>-5.8151875655102964E-2</v>
      </c>
      <c r="I199" s="318">
        <f>+Scenarios!C27</f>
        <v>-3.3982895609806815E-2</v>
      </c>
      <c r="J199" s="318">
        <f t="shared" si="13"/>
        <v>0.28482723462884557</v>
      </c>
      <c r="K199" s="341">
        <f t="shared" si="11"/>
        <v>-0.20416543288383174</v>
      </c>
      <c r="L199" s="331">
        <f>+I199/J199</f>
        <v>-0.1193105555867558</v>
      </c>
      <c r="M199" s="210"/>
      <c r="N199" s="210"/>
      <c r="O199" s="210"/>
    </row>
    <row r="200" spans="2:15">
      <c r="B200" s="210"/>
      <c r="C200" s="315" t="s">
        <v>8</v>
      </c>
      <c r="D200" s="318">
        <v>8.8200075364801303E-2</v>
      </c>
      <c r="E200" s="318">
        <v>0.11547766137672615</v>
      </c>
      <c r="F200" s="85"/>
      <c r="G200" s="85"/>
      <c r="H200" s="318">
        <v>-4.3640594365216501E-2</v>
      </c>
      <c r="I200" s="318">
        <f>+Scenarios!C28</f>
        <v>7.2231587254445423E-2</v>
      </c>
      <c r="J200" s="318">
        <f t="shared" si="13"/>
        <v>0.29086830436352928</v>
      </c>
      <c r="K200" s="341">
        <f t="shared" si="11"/>
        <v>-0.15003557868125147</v>
      </c>
      <c r="L200" s="331">
        <f t="shared" si="12"/>
        <v>0.24833089811040349</v>
      </c>
      <c r="M200" s="210"/>
      <c r="N200" s="210"/>
      <c r="O200" s="210"/>
    </row>
    <row r="201" spans="2:15">
      <c r="C201" s="315" t="s">
        <v>9</v>
      </c>
      <c r="D201" s="318">
        <v>9.6125190679341666E-2</v>
      </c>
      <c r="E201" s="318">
        <v>8.8245130245983364E-2</v>
      </c>
      <c r="F201" s="85"/>
      <c r="G201" s="85"/>
      <c r="H201" s="318">
        <v>-3.571547905067618E-2</v>
      </c>
      <c r="I201" s="318">
        <f>+Scenarios!C29</f>
        <v>8.3002461795964225E-2</v>
      </c>
      <c r="J201" s="318">
        <f t="shared" si="13"/>
        <v>0.32762989319180058</v>
      </c>
      <c r="K201" s="341">
        <f t="shared" si="11"/>
        <v>-0.10901166161223171</v>
      </c>
      <c r="L201" s="331">
        <f t="shared" si="12"/>
        <v>0.25334215076453065</v>
      </c>
      <c r="M201" s="210"/>
      <c r="N201" s="210"/>
      <c r="O201" s="210"/>
    </row>
    <row r="202" spans="2:15">
      <c r="C202" s="315" t="s">
        <v>10</v>
      </c>
      <c r="D202" s="318">
        <v>6.2658557549145399E-2</v>
      </c>
      <c r="E202" s="318">
        <v>3.2952299000522406E-2</v>
      </c>
      <c r="F202" s="85"/>
      <c r="G202" s="85"/>
      <c r="H202" s="318">
        <v>-6.9182112180872446E-2</v>
      </c>
      <c r="I202" s="318">
        <f>+Scenarios!C30</f>
        <v>1.695057316664925E-2</v>
      </c>
      <c r="J202" s="318">
        <f t="shared" si="13"/>
        <v>0.15798659221184908</v>
      </c>
      <c r="K202" s="341">
        <f t="shared" si="11"/>
        <v>-0.43789862932231632</v>
      </c>
      <c r="L202" s="331">
        <f t="shared" si="12"/>
        <v>0.10729121331967023</v>
      </c>
      <c r="M202" s="210"/>
      <c r="N202" s="210"/>
      <c r="O202" s="210"/>
    </row>
    <row r="203" spans="2:15">
      <c r="C203" s="316" t="s">
        <v>11</v>
      </c>
      <c r="D203" s="319">
        <v>7.3464510927495008E-2</v>
      </c>
      <c r="E203" s="319">
        <v>3.9406691481015818E-2</v>
      </c>
      <c r="F203" s="309"/>
      <c r="G203" s="309"/>
      <c r="H203" s="319">
        <v>-5.8376158802522837E-2</v>
      </c>
      <c r="I203" s="319">
        <f>+Scenarios!C31</f>
        <v>1.5703249352120311E-2</v>
      </c>
      <c r="J203" s="319">
        <f t="shared" si="13"/>
        <v>0.19621796279766246</v>
      </c>
      <c r="K203" s="342">
        <f t="shared" si="11"/>
        <v>-0.29750670106956317</v>
      </c>
      <c r="L203" s="334">
        <f t="shared" si="12"/>
        <v>8.0029621795193684E-2</v>
      </c>
      <c r="M203" s="210"/>
      <c r="N203" s="210"/>
      <c r="O203" s="210"/>
    </row>
    <row r="204" spans="2:15">
      <c r="C204" s="84"/>
      <c r="D204" s="84"/>
      <c r="E204" s="84"/>
      <c r="F204" s="98"/>
      <c r="G204" s="98"/>
      <c r="H204" s="84"/>
      <c r="I204" s="84"/>
      <c r="J204" s="84"/>
      <c r="K204" s="84"/>
      <c r="L204" s="210"/>
      <c r="M204" s="210"/>
      <c r="N204" s="210"/>
      <c r="O204" s="210"/>
    </row>
    <row r="205" spans="2:15"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</row>
    <row r="206" spans="2:15"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</row>
    <row r="207" spans="2:15"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</row>
    <row r="208" spans="2:15"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</row>
    <row r="209" spans="3:15"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</row>
    <row r="210" spans="3:15"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</row>
    <row r="211" spans="3:15"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</row>
    <row r="212" spans="3:15"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</row>
    <row r="213" spans="3:15"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</row>
    <row r="214" spans="3:15"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</row>
    <row r="215" spans="3:15"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</row>
    <row r="216" spans="3:15"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</row>
    <row r="217" spans="3:15"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</row>
    <row r="218" spans="3:15"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</row>
    <row r="219" spans="3:15"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</row>
    <row r="220" spans="3:15"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</row>
    <row r="221" spans="3:15"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</row>
    <row r="222" spans="3:15"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</row>
    <row r="223" spans="3:15">
      <c r="C223" s="210"/>
      <c r="D223" s="210"/>
      <c r="E223" s="210"/>
      <c r="F223" s="210"/>
      <c r="G223" s="210"/>
      <c r="H223" s="210"/>
      <c r="I223" s="210"/>
      <c r="J223" s="210"/>
      <c r="L223" s="210"/>
      <c r="M223" s="210"/>
      <c r="N223" s="210"/>
    </row>
    <row r="224" spans="3:15">
      <c r="C224" s="210"/>
      <c r="D224" s="210"/>
      <c r="E224" s="210"/>
      <c r="F224" s="210"/>
      <c r="G224" s="210"/>
      <c r="H224" s="210"/>
      <c r="I224" s="210"/>
      <c r="J224" s="210"/>
      <c r="L224" s="210"/>
      <c r="M224" s="210"/>
      <c r="N224" s="210"/>
    </row>
    <row r="225" spans="11:14">
      <c r="K225" s="332"/>
      <c r="L225" s="210"/>
      <c r="N225" s="210"/>
    </row>
    <row r="226" spans="11:14">
      <c r="K226" s="332"/>
      <c r="L226" s="210"/>
    </row>
  </sheetData>
  <mergeCells count="2">
    <mergeCell ref="D194:E194"/>
    <mergeCell ref="F194:I19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workbookViewId="0">
      <selection activeCell="H19" sqref="H19:H20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4" t="s">
        <v>131</v>
      </c>
      <c r="B9" s="317" t="s">
        <v>70</v>
      </c>
      <c r="C9" s="317" t="s">
        <v>112</v>
      </c>
      <c r="E9" s="317" t="s">
        <v>147</v>
      </c>
      <c r="F9" s="317"/>
      <c r="H9" s="317" t="s">
        <v>112</v>
      </c>
      <c r="I9" s="317"/>
    </row>
    <row r="10" spans="1:9">
      <c r="A10" s="355" t="str">
        <f>'Control panel'!A3</f>
        <v>Nominale matching</v>
      </c>
      <c r="B10" s="357">
        <v>1.4756554714979015E-2</v>
      </c>
      <c r="C10" s="357">
        <v>1.5220718103759889E-2</v>
      </c>
      <c r="E10" s="363">
        <v>0</v>
      </c>
      <c r="F10" s="360">
        <f>B10</f>
        <v>1.4756554714979015E-2</v>
      </c>
      <c r="H10" s="363">
        <v>0</v>
      </c>
      <c r="I10" s="360">
        <f>C10</f>
        <v>1.5220718103759889E-2</v>
      </c>
    </row>
    <row r="11" spans="1:9">
      <c r="A11" s="355" t="str">
        <f>'Control panel'!A4</f>
        <v>High Yield</v>
      </c>
      <c r="B11" s="357">
        <v>1.4212854294443212E-2</v>
      </c>
      <c r="C11" s="357">
        <v>1.0530542875070045E-2</v>
      </c>
      <c r="E11" s="364">
        <f>E10+F10</f>
        <v>1.4756554714979015E-2</v>
      </c>
      <c r="F11" s="361">
        <f t="shared" ref="F11:F17" si="0">B11</f>
        <v>1.4212854294443212E-2</v>
      </c>
      <c r="H11" s="364">
        <f>H10+I10</f>
        <v>1.5220718103759889E-2</v>
      </c>
      <c r="I11" s="361">
        <f t="shared" ref="I11:I17" si="1">C11</f>
        <v>1.0530542875070045E-2</v>
      </c>
    </row>
    <row r="12" spans="1:9">
      <c r="A12" s="355" t="str">
        <f>'Control panel'!A5</f>
        <v>Emerging market debt</v>
      </c>
      <c r="B12" s="357">
        <v>1.4438415379559985E-2</v>
      </c>
      <c r="C12" s="357">
        <v>1.5173593894911512E-2</v>
      </c>
      <c r="E12" s="364">
        <f t="shared" ref="E12:E17" si="2">E11+F11</f>
        <v>2.8969409009422228E-2</v>
      </c>
      <c r="F12" s="361">
        <f t="shared" si="0"/>
        <v>1.4438415379559985E-2</v>
      </c>
      <c r="H12" s="364">
        <f t="shared" ref="H12:H17" si="3">H11+I11</f>
        <v>2.5751260978829932E-2</v>
      </c>
      <c r="I12" s="361">
        <f t="shared" si="1"/>
        <v>1.5173593894911512E-2</v>
      </c>
    </row>
    <row r="13" spans="1:9">
      <c r="A13" s="355" t="str">
        <f>'Control panel'!A6</f>
        <v>Aandelen ontwikkeld</v>
      </c>
      <c r="B13" s="357">
        <v>2.6178530363036752E-2</v>
      </c>
      <c r="C13" s="357">
        <v>1.942785291665489E-2</v>
      </c>
      <c r="E13" s="364">
        <f t="shared" si="2"/>
        <v>4.3407824388982212E-2</v>
      </c>
      <c r="F13" s="361">
        <f t="shared" si="0"/>
        <v>2.6178530363036752E-2</v>
      </c>
      <c r="H13" s="364">
        <f t="shared" si="3"/>
        <v>4.0924854873741444E-2</v>
      </c>
      <c r="I13" s="361">
        <f t="shared" si="1"/>
        <v>1.942785291665489E-2</v>
      </c>
    </row>
    <row r="14" spans="1:9">
      <c r="A14" s="355" t="str">
        <f>'Control panel'!A7</f>
        <v>Aandelen opkomend</v>
      </c>
      <c r="B14" s="357">
        <v>1.2885940533325082E-2</v>
      </c>
      <c r="C14" s="357">
        <v>2.1277542423549976E-2</v>
      </c>
      <c r="E14" s="364">
        <f t="shared" si="2"/>
        <v>6.9586354752018964E-2</v>
      </c>
      <c r="F14" s="361">
        <f t="shared" si="0"/>
        <v>1.2885940533325082E-2</v>
      </c>
      <c r="H14" s="364">
        <f t="shared" si="3"/>
        <v>6.0352707790396337E-2</v>
      </c>
      <c r="I14" s="361">
        <f t="shared" si="1"/>
        <v>2.1277542423549976E-2</v>
      </c>
    </row>
    <row r="15" spans="1:9">
      <c r="A15" s="355" t="str">
        <f>'Control panel'!A8</f>
        <v>Commodities</v>
      </c>
      <c r="B15" s="357">
        <v>4.6353992557141592E-3</v>
      </c>
      <c r="C15" s="357">
        <v>4.686099916713796E-3</v>
      </c>
      <c r="E15" s="364">
        <f t="shared" si="2"/>
        <v>8.2472295285344041E-2</v>
      </c>
      <c r="F15" s="361">
        <f t="shared" si="0"/>
        <v>4.6353992557141592E-3</v>
      </c>
      <c r="H15" s="364">
        <f t="shared" si="3"/>
        <v>8.163025021394632E-2</v>
      </c>
      <c r="I15" s="361">
        <f t="shared" si="1"/>
        <v>4.686099916713796E-3</v>
      </c>
    </row>
    <row r="16" spans="1:9">
      <c r="A16" s="355" t="str">
        <f>'Control panel'!A9</f>
        <v>Hedge funds</v>
      </c>
      <c r="B16" s="357">
        <v>4.3180826561846995E-3</v>
      </c>
      <c r="C16" s="357">
        <v>4.264603068845089E-3</v>
      </c>
      <c r="E16" s="364">
        <f t="shared" si="2"/>
        <v>8.7107694541058198E-2</v>
      </c>
      <c r="F16" s="361">
        <f t="shared" si="0"/>
        <v>4.3180826561846995E-3</v>
      </c>
      <c r="H16" s="364">
        <f t="shared" si="3"/>
        <v>8.6316350130660122E-2</v>
      </c>
      <c r="I16" s="361">
        <f t="shared" si="1"/>
        <v>4.264603068845089E-3</v>
      </c>
    </row>
    <row r="17" spans="1:9">
      <c r="A17" s="356" t="str">
        <f>'Control panel'!A10</f>
        <v>Onroerend goed</v>
      </c>
      <c r="B17" s="358">
        <v>8.4910307979983776E-3</v>
      </c>
      <c r="C17" s="358">
        <v>8.4188379833086361E-3</v>
      </c>
      <c r="E17" s="365">
        <f t="shared" si="2"/>
        <v>9.1425777197242902E-2</v>
      </c>
      <c r="F17" s="362">
        <f t="shared" si="0"/>
        <v>8.4910307979983776E-3</v>
      </c>
      <c r="H17" s="365">
        <f t="shared" si="3"/>
        <v>9.058095319950521E-2</v>
      </c>
      <c r="I17" s="362">
        <f t="shared" si="1"/>
        <v>8.4188379833086361E-3</v>
      </c>
    </row>
    <row r="19" spans="1:9">
      <c r="B19" s="359">
        <f>SUM(B10:B17)</f>
        <v>9.9916807995241275E-2</v>
      </c>
      <c r="C19" s="359">
        <f>SUM(C10:C17)</f>
        <v>9.8999791182813851E-2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B2:S27"/>
  <sheetViews>
    <sheetView workbookViewId="0">
      <selection activeCell="C8" sqref="C8"/>
    </sheetView>
  </sheetViews>
  <sheetFormatPr defaultRowHeight="15"/>
  <sheetData>
    <row r="2" spans="2:19" ht="25.5"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K2" s="210"/>
      <c r="L2" s="374" t="s">
        <v>152</v>
      </c>
      <c r="M2" s="375" t="s">
        <v>70</v>
      </c>
      <c r="N2" s="376" t="s">
        <v>112</v>
      </c>
      <c r="O2" s="376" t="s">
        <v>144</v>
      </c>
      <c r="P2" s="376" t="s">
        <v>145</v>
      </c>
      <c r="Q2" s="376" t="s">
        <v>113</v>
      </c>
      <c r="R2" s="376" t="s">
        <v>114</v>
      </c>
      <c r="S2" s="377" t="s">
        <v>128</v>
      </c>
    </row>
    <row r="3" spans="2:19">
      <c r="B3" s="344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3.8327320576542839E-2</v>
      </c>
      <c r="K3" s="210"/>
      <c r="L3" s="344" t="s">
        <v>4</v>
      </c>
      <c r="M3" s="368">
        <f>C3/$J3</f>
        <v>0</v>
      </c>
      <c r="N3" s="369">
        <f t="shared" ref="N3:S10" si="0">D3/$J3</f>
        <v>-8.4652847686545088E-2</v>
      </c>
      <c r="O3" s="369">
        <f t="shared" si="0"/>
        <v>-2.8077524301188938E-2</v>
      </c>
      <c r="P3" s="369">
        <f t="shared" si="0"/>
        <v>-8.9178873557373903E-2</v>
      </c>
      <c r="Q3" s="369">
        <f t="shared" si="0"/>
        <v>-0.67107112998577145</v>
      </c>
      <c r="R3" s="369">
        <f t="shared" si="0"/>
        <v>-6.8587038946676824</v>
      </c>
      <c r="S3" s="372">
        <f t="shared" si="0"/>
        <v>-8.4642869564566098E-2</v>
      </c>
    </row>
    <row r="4" spans="2:19">
      <c r="B4" s="344" t="s">
        <v>5</v>
      </c>
      <c r="C4" s="318">
        <f>+Scenarios!B25</f>
        <v>0.03</v>
      </c>
      <c r="D4" s="85">
        <f>+Scenarios!C25</f>
        <v>1.7080984570854354E-2</v>
      </c>
      <c r="E4" s="85">
        <f>+Scenarios!D25</f>
        <v>-5.3634034495987179E-2</v>
      </c>
      <c r="F4" s="85">
        <f>+Scenarios!E25</f>
        <v>1.9126088571386521E-2</v>
      </c>
      <c r="G4" s="85">
        <f>+Scenarios!F25</f>
        <v>-0.44320953513141953</v>
      </c>
      <c r="H4" s="85">
        <f>+Scenarios!G25</f>
        <v>-0.45286655377141971</v>
      </c>
      <c r="I4" s="85">
        <f>+Scenarios!H25</f>
        <v>0.29576434041524707</v>
      </c>
      <c r="J4" s="318">
        <f>Scenarios!D5</f>
        <v>0.15740402046445473</v>
      </c>
      <c r="K4" s="210"/>
      <c r="L4" s="344" t="s">
        <v>5</v>
      </c>
      <c r="M4" s="368">
        <f t="shared" ref="M4:M10" si="1">C4/$J4</f>
        <v>0.19059233627882241</v>
      </c>
      <c r="N4" s="369">
        <f t="shared" si="0"/>
        <v>0.10851682517672166</v>
      </c>
      <c r="O4" s="369">
        <f t="shared" si="0"/>
        <v>-0.34074119795497165</v>
      </c>
      <c r="P4" s="369">
        <f t="shared" si="0"/>
        <v>0.1215095301565414</v>
      </c>
      <c r="Q4" s="369">
        <f t="shared" si="0"/>
        <v>-2.8157446920582689</v>
      </c>
      <c r="R4" s="369">
        <f t="shared" si="0"/>
        <v>-2.8770964835277946</v>
      </c>
      <c r="S4" s="372">
        <f t="shared" si="0"/>
        <v>1.8790138875902291</v>
      </c>
    </row>
    <row r="5" spans="2:19">
      <c r="B5" s="344" t="s">
        <v>6</v>
      </c>
      <c r="C5" s="318">
        <f>+Scenarios!B26</f>
        <v>3.1390664572732138E-2</v>
      </c>
      <c r="D5" s="85">
        <f>+Scenarios!C26</f>
        <v>2.8210029350712571E-2</v>
      </c>
      <c r="E5" s="85">
        <f>+Scenarios!D26</f>
        <v>-2.95466166646563E-3</v>
      </c>
      <c r="F5" s="85">
        <f>+Scenarios!E26</f>
        <v>1.2307163627323543E-2</v>
      </c>
      <c r="G5" s="85">
        <f>+Scenarios!F26</f>
        <v>-0.50520055078596937</v>
      </c>
      <c r="H5" s="85">
        <f>+Scenarios!G26</f>
        <v>-0.35244265167679129</v>
      </c>
      <c r="I5" s="85">
        <f>+Scenarios!H26</f>
        <v>0.24637536735679014</v>
      </c>
      <c r="J5" s="318">
        <f>Scenarios!D6</f>
        <v>0.16055565886911449</v>
      </c>
      <c r="K5" s="210"/>
      <c r="L5" s="344" t="s">
        <v>6</v>
      </c>
      <c r="M5" s="368">
        <f t="shared" si="1"/>
        <v>0.19551266391875924</v>
      </c>
      <c r="N5" s="369">
        <f t="shared" si="0"/>
        <v>0.17570249189229437</v>
      </c>
      <c r="O5" s="369">
        <f t="shared" si="0"/>
        <v>-1.8402725181267388E-2</v>
      </c>
      <c r="P5" s="369">
        <f t="shared" si="0"/>
        <v>7.6653564963140811E-2</v>
      </c>
      <c r="Q5" s="369">
        <f t="shared" si="0"/>
        <v>-3.1465758002202247</v>
      </c>
      <c r="R5" s="369">
        <f t="shared" si="0"/>
        <v>-2.1951431307949334</v>
      </c>
      <c r="S5" s="372">
        <f t="shared" si="0"/>
        <v>1.5345168715456872</v>
      </c>
    </row>
    <row r="6" spans="2:19">
      <c r="B6" s="344" t="s">
        <v>7</v>
      </c>
      <c r="C6" s="318">
        <f>+Scenarios!B27</f>
        <v>5.5291722300972554E-2</v>
      </c>
      <c r="D6" s="85">
        <f>+Scenarios!C27</f>
        <v>-3.3982895609806815E-2</v>
      </c>
      <c r="E6" s="85">
        <f>+Scenarios!D27</f>
        <v>-0.20034010635526645</v>
      </c>
      <c r="F6" s="85">
        <f>+Scenarios!E27</f>
        <v>2.0569527320858455E-2</v>
      </c>
      <c r="G6" s="85">
        <f>+Scenarios!F27</f>
        <v>-0.64117999007188409</v>
      </c>
      <c r="H6" s="85">
        <f>+Scenarios!G27</f>
        <v>-0.50739956473317127</v>
      </c>
      <c r="I6" s="85">
        <f>+Scenarios!H27</f>
        <v>0.32892743718810752</v>
      </c>
      <c r="J6" s="318">
        <f>Scenarios!D7</f>
        <v>0.28482723462884557</v>
      </c>
      <c r="K6" s="210"/>
      <c r="L6" s="344" t="s">
        <v>7</v>
      </c>
      <c r="M6" s="368">
        <f t="shared" si="1"/>
        <v>0.19412371985081564</v>
      </c>
      <c r="N6" s="369">
        <f t="shared" si="0"/>
        <v>-0.1193105555867558</v>
      </c>
      <c r="O6" s="369">
        <f t="shared" si="0"/>
        <v>-0.7033741229708137</v>
      </c>
      <c r="P6" s="369">
        <f t="shared" si="0"/>
        <v>7.2217557944072031E-2</v>
      </c>
      <c r="Q6" s="369">
        <f t="shared" si="0"/>
        <v>-2.2511189665812572</v>
      </c>
      <c r="R6" s="369">
        <f t="shared" si="0"/>
        <v>-1.7814292421662439</v>
      </c>
      <c r="S6" s="372">
        <f t="shared" si="0"/>
        <v>1.154831410755816</v>
      </c>
    </row>
    <row r="7" spans="2:19">
      <c r="B7" s="344" t="s">
        <v>8</v>
      </c>
      <c r="C7" s="318">
        <f>+Scenarios!B28</f>
        <v>5.3998164657843073E-2</v>
      </c>
      <c r="D7" s="85">
        <f>+Scenarios!C28</f>
        <v>7.2231587254445423E-2</v>
      </c>
      <c r="E7" s="85">
        <f>+Scenarios!D28</f>
        <v>-2.9945024082715634E-2</v>
      </c>
      <c r="F7" s="85">
        <f>+Scenarios!E28</f>
        <v>7.5326235596053476E-2</v>
      </c>
      <c r="G7" s="85">
        <f>+Scenarios!F28</f>
        <v>-0.39383408868167263</v>
      </c>
      <c r="H7" s="85">
        <f>+Scenarios!G28</f>
        <v>-0.23709668904730849</v>
      </c>
      <c r="I7" s="85">
        <f>+Scenarios!H28</f>
        <v>0.4212127714691607</v>
      </c>
      <c r="J7" s="318">
        <f>Scenarios!D8</f>
        <v>0.29086830436352928</v>
      </c>
      <c r="K7" s="210"/>
      <c r="L7" s="344" t="s">
        <v>8</v>
      </c>
      <c r="M7" s="368">
        <f t="shared" si="1"/>
        <v>0.18564471909718902</v>
      </c>
      <c r="N7" s="369">
        <f t="shared" si="0"/>
        <v>0.24833089811040349</v>
      </c>
      <c r="O7" s="369">
        <f t="shared" si="0"/>
        <v>-0.10295045432413333</v>
      </c>
      <c r="P7" s="369">
        <f t="shared" si="0"/>
        <v>0.25897024346080078</v>
      </c>
      <c r="Q7" s="369">
        <f t="shared" si="0"/>
        <v>-1.3539945149522239</v>
      </c>
      <c r="R7" s="369">
        <f t="shared" si="0"/>
        <v>-0.8151341534654919</v>
      </c>
      <c r="S7" s="372">
        <f t="shared" si="0"/>
        <v>1.4481219340513842</v>
      </c>
    </row>
    <row r="8" spans="2:19">
      <c r="B8" s="344" t="s">
        <v>9</v>
      </c>
      <c r="C8" s="318">
        <f>+Scenarios!B29</f>
        <v>5.1554959718268165E-2</v>
      </c>
      <c r="D8" s="85">
        <f>+Scenarios!C29</f>
        <v>8.3002461795964225E-2</v>
      </c>
      <c r="E8" s="85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-0.53890194796403579</v>
      </c>
      <c r="I8" s="85">
        <f>+Scenarios!H29</f>
        <v>0.62225820003596433</v>
      </c>
      <c r="J8" s="318">
        <f>Scenarios!D9</f>
        <v>0.32762989319180058</v>
      </c>
      <c r="K8" s="210"/>
      <c r="L8" s="344" t="s">
        <v>9</v>
      </c>
      <c r="M8" s="368">
        <f t="shared" si="1"/>
        <v>0.1573573132048941</v>
      </c>
      <c r="N8" s="369">
        <f t="shared" si="0"/>
        <v>0.25334215076453065</v>
      </c>
      <c r="O8" s="369">
        <f t="shared" si="0"/>
        <v>4.4742968617689026E-2</v>
      </c>
      <c r="P8" s="369">
        <f t="shared" si="0"/>
        <v>0.27476469400366199</v>
      </c>
      <c r="Q8" s="369">
        <f t="shared" si="0"/>
        <v>-1.5882170923663186</v>
      </c>
      <c r="R8" s="369">
        <f t="shared" si="0"/>
        <v>-1.6448497501677988</v>
      </c>
      <c r="S8" s="372">
        <f t="shared" si="0"/>
        <v>1.8992717482946004</v>
      </c>
    </row>
    <row r="9" spans="2:19">
      <c r="B9" s="344" t="s">
        <v>10</v>
      </c>
      <c r="C9" s="318">
        <f>+Scenarios!B30</f>
        <v>2.8536326743371695E-2</v>
      </c>
      <c r="D9" s="85">
        <f>+Scenarios!C30</f>
        <v>1.695057316664925E-2</v>
      </c>
      <c r="E9" s="85">
        <f>+Scenarios!D30</f>
        <v>-4.2653387188440507E-2</v>
      </c>
      <c r="F9" s="85">
        <f>+Scenarios!E30</f>
        <v>1.4434999267229312E-2</v>
      </c>
      <c r="G9" s="85">
        <f>+Scenarios!F30</f>
        <v>-0.25857548795346308</v>
      </c>
      <c r="H9" s="85">
        <f>+Scenarios!G30</f>
        <v>-1.0981482728457838E-2</v>
      </c>
      <c r="I9" s="85">
        <f>+Scenarios!H30</f>
        <v>0.27934742068923668</v>
      </c>
      <c r="J9" s="318">
        <f>Scenarios!D10</f>
        <v>0.15798659221184908</v>
      </c>
      <c r="K9" s="210"/>
      <c r="L9" s="344" t="s">
        <v>10</v>
      </c>
      <c r="M9" s="368">
        <f t="shared" si="1"/>
        <v>0.18062499066443852</v>
      </c>
      <c r="N9" s="369">
        <f t="shared" si="0"/>
        <v>0.10729121331967023</v>
      </c>
      <c r="O9" s="369">
        <f t="shared" si="0"/>
        <v>-0.26998105719784921</v>
      </c>
      <c r="P9" s="369">
        <f t="shared" si="0"/>
        <v>9.1368508334384341E-2</v>
      </c>
      <c r="Q9" s="369">
        <f t="shared" si="0"/>
        <v>-1.6366926100078876</v>
      </c>
      <c r="R9" s="369">
        <f t="shared" si="0"/>
        <v>-6.950895373281063E-2</v>
      </c>
      <c r="S9" s="372">
        <f t="shared" si="0"/>
        <v>1.7681716959541172</v>
      </c>
    </row>
    <row r="10" spans="2:19">
      <c r="B10" s="345" t="s">
        <v>11</v>
      </c>
      <c r="C10" s="319">
        <f>+Scenarios!B31</f>
        <v>3.8644858050511752E-2</v>
      </c>
      <c r="D10" s="309">
        <f>+Scenarios!C31</f>
        <v>1.5703249352120311E-2</v>
      </c>
      <c r="E10" s="309">
        <f>+Scenarios!D31</f>
        <v>-5.8162269749716361E-2</v>
      </c>
      <c r="F10" s="309">
        <f>+Scenarios!E31</f>
        <v>4.4496035250283651E-2</v>
      </c>
      <c r="G10" s="309">
        <f>+Scenarios!F31</f>
        <v>-0.33152986308090188</v>
      </c>
      <c r="H10" s="309">
        <f>+Scenarios!G31</f>
        <v>-0.17474285130040365</v>
      </c>
      <c r="I10" s="309">
        <f>+Scenarios!H31</f>
        <v>0.39881762458018055</v>
      </c>
      <c r="J10" s="319">
        <f>Scenarios!D11</f>
        <v>0.19621796279766246</v>
      </c>
      <c r="K10" s="210"/>
      <c r="L10" s="345" t="s">
        <v>11</v>
      </c>
      <c r="M10" s="370">
        <f t="shared" si="1"/>
        <v>0.19694862539349597</v>
      </c>
      <c r="N10" s="371">
        <f t="shared" si="0"/>
        <v>8.0029621795193684E-2</v>
      </c>
      <c r="O10" s="371">
        <f t="shared" si="0"/>
        <v>-0.29641664259705203</v>
      </c>
      <c r="P10" s="371">
        <f t="shared" si="0"/>
        <v>0.22676840904809217</v>
      </c>
      <c r="Q10" s="371">
        <f t="shared" si="0"/>
        <v>-1.68959996502854</v>
      </c>
      <c r="R10" s="371">
        <f t="shared" si="0"/>
        <v>-0.89055481368235545</v>
      </c>
      <c r="S10" s="373">
        <f t="shared" si="0"/>
        <v>2.0325235207514427</v>
      </c>
    </row>
    <row r="11" spans="2:19" ht="15.75">
      <c r="B11" s="84"/>
      <c r="C11" s="84"/>
      <c r="D11" s="84"/>
      <c r="E11" s="84"/>
      <c r="F11" s="84"/>
      <c r="G11" s="84"/>
      <c r="H11" s="84"/>
      <c r="I11" s="84"/>
      <c r="J11" s="84"/>
      <c r="K11" s="210"/>
      <c r="L11" s="210"/>
      <c r="M11" s="353"/>
      <c r="N11" s="338"/>
      <c r="O11" s="338"/>
      <c r="P11" s="338"/>
      <c r="Q11" s="338"/>
      <c r="R11" s="354"/>
      <c r="S11" s="210"/>
    </row>
    <row r="12" spans="2:19" ht="15.75"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K12" s="210"/>
      <c r="L12" s="210"/>
      <c r="M12" s="353"/>
      <c r="N12" s="338"/>
      <c r="O12" s="338"/>
      <c r="P12" s="338"/>
      <c r="Q12" s="338"/>
      <c r="R12" s="338"/>
      <c r="S12" s="210"/>
    </row>
    <row r="13" spans="2:19" ht="15.75">
      <c r="B13" s="84"/>
      <c r="C13" s="84"/>
      <c r="D13" s="84"/>
      <c r="E13" s="84"/>
      <c r="F13" s="84"/>
      <c r="G13" s="84"/>
      <c r="H13" s="84"/>
      <c r="I13" s="84"/>
      <c r="J13" s="84"/>
      <c r="K13" s="210"/>
      <c r="L13" s="210"/>
      <c r="M13" s="353"/>
      <c r="N13" s="338"/>
      <c r="O13" s="338"/>
      <c r="P13" s="338"/>
      <c r="Q13" s="338"/>
      <c r="R13" s="338"/>
      <c r="S13" s="210"/>
    </row>
    <row r="14" spans="2:19" ht="15.75">
      <c r="B14" s="320" t="s">
        <v>129</v>
      </c>
      <c r="C14" s="325">
        <f>+Scenarios!B35</f>
        <v>0</v>
      </c>
      <c r="D14" s="312">
        <f>+Scenarios!C35</f>
        <v>6.7166639897738613E-3</v>
      </c>
      <c r="E14" s="312">
        <f>+Scenarios!D35</f>
        <v>-2.7765966605087712E-2</v>
      </c>
      <c r="F14" s="312">
        <f>+Scenarios!E35</f>
        <v>1.1477598315038176E-2</v>
      </c>
      <c r="G14" s="312">
        <f>+Scenarios!F35</f>
        <v>-0.21042761082821054</v>
      </c>
      <c r="H14" s="312">
        <f>+Scenarios!G35</f>
        <v>-0.30056364352192966</v>
      </c>
      <c r="I14" s="313">
        <f>+Scenarios!H35</f>
        <v>0.13827937355050324</v>
      </c>
      <c r="J14" s="321">
        <f>+Scenarios!I35</f>
        <v>6.7166639897738613E-3</v>
      </c>
      <c r="K14" s="210"/>
      <c r="L14" s="210"/>
      <c r="M14" s="353"/>
      <c r="N14" s="338"/>
      <c r="O14" s="338"/>
      <c r="P14" s="338"/>
      <c r="Q14" s="338"/>
      <c r="R14" s="338"/>
      <c r="S14" s="210"/>
    </row>
    <row r="15" spans="2:19"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</row>
    <row r="16" spans="2:19"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</row>
    <row r="17" spans="2:19">
      <c r="B17" s="210"/>
      <c r="C17" s="210"/>
      <c r="D17" s="210"/>
      <c r="E17" s="210"/>
      <c r="F17" s="210"/>
      <c r="G17" s="210"/>
      <c r="H17" s="210"/>
      <c r="I17" s="210"/>
      <c r="J17" s="210"/>
      <c r="K17" s="210"/>
      <c r="L17" s="332"/>
      <c r="M17" s="332"/>
      <c r="N17" s="332"/>
      <c r="O17" s="332"/>
      <c r="P17" s="332"/>
      <c r="Q17" s="332"/>
      <c r="R17" s="332"/>
      <c r="S17" s="210"/>
    </row>
    <row r="18" spans="2:19"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332"/>
      <c r="M18" s="332"/>
      <c r="N18" s="332"/>
      <c r="O18" s="332"/>
      <c r="P18" s="332"/>
      <c r="Q18" s="332"/>
      <c r="R18" s="332"/>
      <c r="S18" s="210"/>
    </row>
    <row r="19" spans="2:19"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/>
      <c r="K19" s="210"/>
      <c r="L19" s="332"/>
      <c r="M19" s="332"/>
      <c r="N19" s="332"/>
      <c r="O19" s="332"/>
      <c r="P19" s="332"/>
      <c r="Q19" s="332"/>
      <c r="R19" s="332"/>
      <c r="S19" s="210"/>
    </row>
    <row r="20" spans="2:19">
      <c r="B20" s="344" t="s">
        <v>4</v>
      </c>
      <c r="C20" s="318">
        <f>'Samenvatting mixen'!B4</f>
        <v>0.57569624792337049</v>
      </c>
      <c r="D20" s="323">
        <f>'Samenvatting mixen'!B15</f>
        <v>0.58308104773113867</v>
      </c>
      <c r="E20" s="85">
        <f>'Samenvatting mixen'!B26</f>
        <v>0.61561843375329872</v>
      </c>
      <c r="F20" s="85">
        <f>'Samenvatting mixen'!B37</f>
        <v>0.58593601864408429</v>
      </c>
      <c r="G20" s="85">
        <f>'Samenvatting mixen'!B48</f>
        <v>0.64478697958152897</v>
      </c>
      <c r="H20" s="85">
        <f>'Samenvatting mixen'!B59</f>
        <v>0.6466406746414104</v>
      </c>
      <c r="I20" s="308">
        <f>'Samenvatting mixen'!B70</f>
        <v>0.64478697958152897</v>
      </c>
      <c r="J20" s="308"/>
      <c r="K20" s="210"/>
      <c r="L20" s="332"/>
      <c r="M20" s="332"/>
      <c r="N20" s="332"/>
      <c r="O20" s="332"/>
      <c r="P20" s="332"/>
      <c r="Q20" s="332"/>
      <c r="R20" s="332"/>
      <c r="S20" s="210"/>
    </row>
    <row r="21" spans="2:19">
      <c r="B21" s="344" t="s">
        <v>5</v>
      </c>
      <c r="C21" s="318">
        <f>'Samenvatting mixen'!B5</f>
        <v>8.4351226739843063E-2</v>
      </c>
      <c r="D21" s="323">
        <f>'Samenvatting mixen'!B16</f>
        <v>8.4171789712308862E-2</v>
      </c>
      <c r="E21" s="85">
        <f>'Samenvatting mixen'!B27</f>
        <v>7.3540268530135622E-2</v>
      </c>
      <c r="F21" s="85">
        <f>'Samenvatting mixen'!B38</f>
        <v>8.4153773744813351E-2</v>
      </c>
      <c r="G21" s="85">
        <f>'Samenvatting mixen'!B49</f>
        <v>8.2937654470488245E-2</v>
      </c>
      <c r="H21" s="85">
        <f>'Samenvatting mixen'!B60</f>
        <v>8.4820313910013628E-2</v>
      </c>
      <c r="I21" s="308">
        <f>'Samenvatting mixen'!B71</f>
        <v>8.2937654470488245E-2</v>
      </c>
      <c r="J21" s="308"/>
      <c r="K21" s="210"/>
      <c r="L21" s="332"/>
      <c r="M21" s="332"/>
      <c r="N21" s="332"/>
      <c r="O21" s="332"/>
      <c r="P21" s="332"/>
      <c r="Q21" s="332"/>
      <c r="R21" s="332"/>
      <c r="S21" s="210"/>
    </row>
    <row r="22" spans="2:19">
      <c r="B22" s="344" t="s">
        <v>6</v>
      </c>
      <c r="C22" s="318">
        <f>'Samenvatting mixen'!B6</f>
        <v>8.4009310170226448E-2</v>
      </c>
      <c r="D22" s="323">
        <f>'Samenvatting mixen'!B17</f>
        <v>9.1777316331888431E-2</v>
      </c>
      <c r="E22" s="85">
        <f>'Samenvatting mixen'!B28</f>
        <v>9.5842649187610207E-2</v>
      </c>
      <c r="F22" s="85">
        <f>'Samenvatting mixen'!B39</f>
        <v>7.5068039564694641E-2</v>
      </c>
      <c r="G22" s="85">
        <f>'Samenvatting mixen'!B50</f>
        <v>7.8468977353536681E-2</v>
      </c>
      <c r="H22" s="85">
        <f>'Samenvatting mixen'!B61</f>
        <v>7.6454801202033865E-2</v>
      </c>
      <c r="I22" s="308">
        <f>'Samenvatting mixen'!B72</f>
        <v>7.8468977353536681E-2</v>
      </c>
      <c r="J22" s="308"/>
      <c r="K22" s="210"/>
      <c r="L22" s="332"/>
      <c r="M22" s="332"/>
      <c r="N22" s="332"/>
      <c r="O22" s="332"/>
      <c r="P22" s="332"/>
      <c r="Q22" s="332"/>
      <c r="R22" s="332"/>
      <c r="S22" s="210"/>
    </row>
    <row r="23" spans="2:19">
      <c r="B23" s="344" t="s">
        <v>7</v>
      </c>
      <c r="C23" s="318">
        <f>'Samenvatting mixen'!B7</f>
        <v>0.11830167584926844</v>
      </c>
      <c r="D23" s="323">
        <f>'Samenvatting mixen'!B18</f>
        <v>8.4600009654577771E-2</v>
      </c>
      <c r="E23" s="85">
        <f>'Samenvatting mixen'!B29</f>
        <v>8.0206337700230793E-2</v>
      </c>
      <c r="F23" s="85">
        <f>'Samenvatting mixen'!B40</f>
        <v>9.446061324958123E-2</v>
      </c>
      <c r="G23" s="85">
        <f>'Samenvatting mixen'!B51</f>
        <v>8.1233802875941272E-2</v>
      </c>
      <c r="H23" s="85">
        <f>'Samenvatting mixen'!B62</f>
        <v>8.0308147651511064E-2</v>
      </c>
      <c r="I23" s="308">
        <f>'Samenvatting mixen'!B73</f>
        <v>8.1233802875941272E-2</v>
      </c>
      <c r="J23" s="308"/>
      <c r="K23" s="210"/>
      <c r="L23" s="332"/>
      <c r="M23" s="332"/>
      <c r="N23" s="332"/>
      <c r="O23" s="332"/>
      <c r="P23" s="332"/>
      <c r="Q23" s="332"/>
      <c r="R23" s="332"/>
      <c r="S23" s="210"/>
    </row>
    <row r="24" spans="2:19">
      <c r="B24" s="344" t="s">
        <v>8</v>
      </c>
      <c r="C24" s="318">
        <f>'Samenvatting mixen'!B8</f>
        <v>4.7965216492468037E-2</v>
      </c>
      <c r="D24" s="323">
        <f>'Samenvatting mixen'!B19</f>
        <v>6.4363685203862667E-2</v>
      </c>
      <c r="E24" s="85">
        <f>'Samenvatting mixen'!B30</f>
        <v>4.5517395091864837E-2</v>
      </c>
      <c r="F24" s="85">
        <f>'Samenvatting mixen'!B41</f>
        <v>6.7181325786582077E-2</v>
      </c>
      <c r="G24" s="85">
        <f>'Samenvatting mixen'!B52</f>
        <v>2.9819738017547146E-2</v>
      </c>
      <c r="H24" s="85">
        <f>'Samenvatting mixen'!B63</f>
        <v>2.8420070559679499E-2</v>
      </c>
      <c r="I24" s="308">
        <f>'Samenvatting mixen'!B74</f>
        <v>2.9819738017547146E-2</v>
      </c>
      <c r="J24" s="308"/>
      <c r="K24" s="210"/>
      <c r="L24" s="332"/>
      <c r="M24" s="332"/>
      <c r="N24" s="332"/>
      <c r="O24" s="332"/>
      <c r="P24" s="332"/>
      <c r="Q24" s="332"/>
      <c r="R24" s="332"/>
      <c r="S24" s="210"/>
    </row>
    <row r="25" spans="2:19">
      <c r="B25" s="344" t="s">
        <v>9</v>
      </c>
      <c r="C25" s="318">
        <f>'Samenvatting mixen'!B9</f>
        <v>1.7692004887078165E-2</v>
      </c>
      <c r="D25" s="323">
        <f>'Samenvatting mixen'!B20</f>
        <v>1.9725823367499316E-2</v>
      </c>
      <c r="E25" s="85">
        <f>'Samenvatting mixen'!B31</f>
        <v>1.8756268542452055E-2</v>
      </c>
      <c r="F25" s="85">
        <f>'Samenvatting mixen'!B42</f>
        <v>2.0740318804958954E-2</v>
      </c>
      <c r="G25" s="85">
        <f>'Samenvatting mixen'!B53</f>
        <v>1.3431413252214346E-2</v>
      </c>
      <c r="H25" s="85">
        <f>'Samenvatting mixen'!B64</f>
        <v>1.3279527720502775E-2</v>
      </c>
      <c r="I25" s="308">
        <f>'Samenvatting mixen'!B75</f>
        <v>1.3431413252214346E-2</v>
      </c>
      <c r="J25" s="308"/>
      <c r="K25" s="210"/>
      <c r="L25" s="332"/>
      <c r="M25" s="332"/>
      <c r="N25" s="332"/>
      <c r="O25" s="332"/>
      <c r="P25" s="332"/>
      <c r="Q25" s="332"/>
      <c r="R25" s="332"/>
      <c r="S25" s="210"/>
    </row>
    <row r="26" spans="2:19">
      <c r="B26" s="344" t="s">
        <v>10</v>
      </c>
      <c r="C26" s="318">
        <f>'Samenvatting mixen'!B10</f>
        <v>2.7893694600253521E-2</v>
      </c>
      <c r="D26" s="323">
        <f>'Samenvatting mixen'!B21</f>
        <v>2.8249819591705951E-2</v>
      </c>
      <c r="E26" s="85">
        <f>'Samenvatting mixen'!B32</f>
        <v>2.7995414270465917E-2</v>
      </c>
      <c r="F26" s="85">
        <f>'Samenvatting mixen'!B43</f>
        <v>2.7706541668640661E-2</v>
      </c>
      <c r="G26" s="85">
        <f>'Samenvatting mixen'!B54</f>
        <v>2.7768719354073643E-2</v>
      </c>
      <c r="H26" s="85">
        <f>'Samenvatting mixen'!B65</f>
        <v>2.8071866327316175E-2</v>
      </c>
      <c r="I26" s="308">
        <f>'Samenvatting mixen'!B76</f>
        <v>2.7768719354073643E-2</v>
      </c>
      <c r="J26" s="308"/>
      <c r="K26" s="210"/>
      <c r="L26" s="332"/>
      <c r="M26" s="332"/>
      <c r="N26" s="332"/>
      <c r="O26" s="332"/>
      <c r="P26" s="332"/>
      <c r="Q26" s="332"/>
      <c r="R26" s="332"/>
      <c r="S26" s="210"/>
    </row>
    <row r="27" spans="2:19">
      <c r="B27" s="345" t="s">
        <v>11</v>
      </c>
      <c r="C27" s="319">
        <f>'Samenvatting mixen'!B11</f>
        <v>4.4090623337491378E-2</v>
      </c>
      <c r="D27" s="324">
        <f>'Samenvatting mixen'!B22</f>
        <v>4.4030508407018554E-2</v>
      </c>
      <c r="E27" s="309">
        <f>'Samenvatting mixen'!B33</f>
        <v>4.2523232923941445E-2</v>
      </c>
      <c r="F27" s="309">
        <f>'Samenvatting mixen'!B44</f>
        <v>4.475336853664437E-2</v>
      </c>
      <c r="G27" s="309">
        <f>'Samenvatting mixen'!B55</f>
        <v>4.15527150946697E-2</v>
      </c>
      <c r="H27" s="309">
        <f>'Samenvatting mixen'!B66</f>
        <v>4.2004597987532068E-2</v>
      </c>
      <c r="I27" s="310">
        <f>'Samenvatting mixen'!B77</f>
        <v>4.15527150946697E-2</v>
      </c>
      <c r="J27" s="310"/>
      <c r="K27" s="210"/>
      <c r="L27" s="332"/>
      <c r="M27" s="332"/>
      <c r="N27" s="332"/>
      <c r="O27" s="332"/>
      <c r="P27" s="332"/>
      <c r="Q27" s="332"/>
      <c r="R27" s="332"/>
      <c r="S27" s="2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single aandelen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2013-05-08T14:28:02Z</dcterms:modified>
</cp:coreProperties>
</file>