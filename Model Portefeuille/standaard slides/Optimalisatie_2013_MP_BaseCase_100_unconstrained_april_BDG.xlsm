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activeTab="8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extra analyze" sheetId="13" r:id="rId9"/>
    <sheet name="Sheet2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I17" i="13"/>
  <c r="I16"/>
  <c r="I15"/>
  <c r="I14"/>
  <c r="I13"/>
  <c r="I12"/>
  <c r="I11"/>
  <c r="H11"/>
  <c r="H12"/>
  <c r="H13"/>
  <c r="H14"/>
  <c r="H15"/>
  <c r="H16"/>
  <c r="H17"/>
  <c r="F17"/>
  <c r="F16"/>
  <c r="F15"/>
  <c r="F14"/>
  <c r="F13"/>
  <c r="F12"/>
  <c r="F11"/>
  <c r="E12"/>
  <c r="E13"/>
  <c r="E14"/>
  <c r="E15"/>
  <c r="E16"/>
  <c r="E17"/>
  <c r="E11"/>
  <c r="I10"/>
  <c r="F10"/>
  <c r="C19"/>
  <c r="B19"/>
  <c r="A11"/>
  <c r="A12"/>
  <c r="A13"/>
  <c r="A14"/>
  <c r="A15"/>
  <c r="A16"/>
  <c r="A17"/>
  <c r="A10"/>
  <c r="H39" i="11"/>
  <c r="C39"/>
  <c r="I39"/>
  <c r="H38"/>
  <c r="C38"/>
  <c r="I38"/>
  <c r="H37"/>
  <c r="C37"/>
  <c r="I37"/>
  <c r="H36"/>
  <c r="C36"/>
  <c r="I36"/>
  <c r="H35"/>
  <c r="C35"/>
  <c r="I35"/>
  <c r="H34"/>
  <c r="C34"/>
  <c r="I34"/>
  <c r="H33"/>
  <c r="C33"/>
  <c r="I33"/>
  <c r="H32"/>
  <c r="C32"/>
  <c r="I32"/>
  <c r="E39"/>
  <c r="F39"/>
  <c r="E38"/>
  <c r="F38"/>
  <c r="E37"/>
  <c r="F37"/>
  <c r="E36"/>
  <c r="F36"/>
  <c r="E35"/>
  <c r="F35"/>
  <c r="E34"/>
  <c r="F34"/>
  <c r="E33"/>
  <c r="F33"/>
  <c r="E32"/>
  <c r="F32"/>
  <c r="C33" i="7"/>
  <c r="E33"/>
  <c r="B31"/>
  <c r="B33"/>
  <c r="D33"/>
  <c r="F33"/>
  <c r="G33"/>
  <c r="H33"/>
  <c r="I31"/>
  <c r="B30"/>
  <c r="I30"/>
  <c r="B29"/>
  <c r="I29"/>
  <c r="B28"/>
  <c r="I28"/>
  <c r="B27"/>
  <c r="I27"/>
  <c r="B26"/>
  <c r="I26"/>
  <c r="B25"/>
  <c r="I25"/>
  <c r="B24"/>
  <c r="I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K135"/>
  <c r="I135"/>
  <c r="L135"/>
  <c r="J5"/>
  <c r="J137"/>
  <c r="K137"/>
  <c r="J6"/>
  <c r="J138"/>
  <c r="J7"/>
  <c r="J139"/>
  <c r="K139"/>
  <c r="J8"/>
  <c r="J140"/>
  <c r="J9"/>
  <c r="J141"/>
  <c r="J10"/>
  <c r="J142"/>
  <c r="J4"/>
  <c r="J136"/>
  <c r="K136"/>
  <c r="I139"/>
  <c r="I136"/>
  <c r="I137"/>
  <c r="I138"/>
  <c r="I140"/>
  <c r="I141"/>
  <c r="I142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F10" i="9"/>
  <c r="F9"/>
  <c r="F8"/>
  <c r="F7"/>
  <c r="F6"/>
  <c r="F5"/>
  <c r="F4"/>
  <c r="F3"/>
  <c r="H35" i="7"/>
  <c r="I14" i="11"/>
  <c r="B35" i="7"/>
  <c r="C14" i="11"/>
  <c r="I33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K140" i="11"/>
  <c r="L1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L136" i="11"/>
  <c r="H28" i="1"/>
  <c r="F30"/>
  <c r="D32"/>
  <c r="K33"/>
  <c r="K141" i="11"/>
  <c r="L141"/>
  <c r="L142"/>
  <c r="K142"/>
  <c r="L138"/>
  <c r="K1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L139" i="11"/>
  <c r="L137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<sst xmlns="http://schemas.openxmlformats.org/spreadsheetml/2006/main" count="446" uniqueCount="149">
  <si>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</si>
  <si>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</si>
  <si>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</si>
  <si>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</si>
  <si>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</si>
  <si>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</si>
  <si>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</si>
  <si>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</si>
  <si>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</si>
  <si>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</si>
  <si>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</si>
  <si>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</si>
  <si>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</si>
  <si>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</si>
  <si>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</si>
  <si>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</si>
  <si>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</si>
  <si>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</si>
  <si>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</si>
  <si>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</si>
  <si>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</si>
  <si>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</si>
  <si>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</si>
  <si>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</si>
  <si>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</si>
  <si>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</si>
  <si>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</si>
  <si>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</si>
  <si>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</si>
  <si>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</si>
  <si>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</si>
  <si>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</si>
  <si>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</si>
  <si>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</si>
  <si>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</si>
  <si>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</si>
  <si>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</si>
  <si>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</si>
  <si>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</si>
  <si>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</si>
  <si>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</si>
  <si>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</si>
  <si>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</si>
  <si>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</si>
  <si>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</si>
  <si>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</si>
  <si>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</si>
  <si>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</si>
  <si>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</si>
  <si>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</si>
  <si>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</si>
  <si>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</si>
  <si>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</si>
  <si>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</si>
  <si>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</si>
  <si>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</si>
  <si>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</si>
  <si>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</si>
  <si>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</si>
  <si>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</si>
  <si>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</si>
  <si>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</si>
  <si>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</si>
  <si>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</si>
  <si>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</si>
  <si>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</si>
  <si>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</si>
  <si>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</si>
  <si>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</si>
  <si>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</si>
  <si>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</si>
  <si>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</si>
  <si>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</si>
  <si>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</si>
  <si>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</si>
  <si>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</si>
  <si>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</si>
  <si>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</si>
  <si>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</si>
  <si>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</si>
  <si>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</si>
  <si>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</si>
  <si>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</si>
  <si>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</si>
  <si>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</si>
  <si>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</si>
  <si>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</si>
  <si>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</si>
  <si>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</si>
  <si>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</si>
  <si>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</si>
  <si>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</si>
  <si>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</si>
  <si>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</si>
  <si>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</si>
  <si>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</si>
  <si>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</si>
  <si>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</si>
  <si>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</si>
  <si>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</si>
  <si>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</si>
  <si>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</si>
  <si>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</si>
  <si>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</si>
  <si>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</si>
  <si>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</si>
  <si>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</si>
  <si>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</si>
  <si>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</si>
  <si>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</si>
  <si>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</si>
  <si>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</si>
  <si>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</si>
  <si>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</si>
  <si>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</si>
  <si>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</si>
  <si>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</si>
  <si>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</si>
  <si>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</si>
  <si>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</si>
  <si>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</si>
  <si>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</si>
  <si>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</si>
  <si>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</si>
  <si>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</si>
  <si>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</si>
  <si>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</si>
  <si>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</si>
  <si>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</si>
  <si>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</si>
  <si>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</si>
  <si>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</si>
  <si>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</si>
  <si>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</si>
  <si>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</si>
  <si>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</si>
  <si>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</si>
  <si>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</si>
  <si>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</si>
  <si>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</si>
  <si>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</si>
  <si>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</si>
  <si>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</si>
  <si>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t>Iran War</t>
  </si>
  <si>
    <t>Base - down</t>
  </si>
  <si>
    <t>Base - up</t>
  </si>
  <si>
    <t>delta</t>
  </si>
  <si>
    <t>NaN</t>
  </si>
  <si>
    <t>evenwicht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</si>
</sst>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1"/>
      <color rgb="FF00000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79" fillId="0" borderId="54" applyNumberFormat="0" applyFill="0" applyAlignment="0" applyProtection="0"/>
    <xf numFmtId="0" fontId="80" fillId="0" borderId="55" applyNumberFormat="0" applyFill="0" applyAlignment="0" applyProtection="0"/>
    <xf numFmtId="0" fontId="81" fillId="0" borderId="56" applyNumberFormat="0" applyFill="0" applyAlignment="0" applyProtection="0"/>
    <xf numFmtId="0" fontId="81" fillId="0" borderId="0" applyNumberFormat="0" applyFill="0" applyBorder="0" applyAlignment="0" applyProtection="0"/>
    <xf numFmtId="0" fontId="82" fillId="34" borderId="0" applyNumberFormat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57" applyNumberFormat="0" applyAlignment="0" applyProtection="0"/>
    <xf numFmtId="0" fontId="86" fillId="37" borderId="1" applyNumberFormat="0" applyAlignment="0" applyProtection="0"/>
    <xf numFmtId="0" fontId="87" fillId="0" borderId="58" applyNumberFormat="0" applyFill="0" applyAlignment="0" applyProtection="0"/>
    <xf numFmtId="0" fontId="88" fillId="38" borderId="59" applyNumberFormat="0" applyAlignment="0" applyProtection="0"/>
    <xf numFmtId="0" fontId="89" fillId="0" borderId="0" applyNumberFormat="0" applyFill="0" applyBorder="0" applyAlignment="0" applyProtection="0"/>
    <xf numFmtId="0" fontId="1" fillId="39" borderId="60" applyNumberFormat="0" applyFont="0" applyAlignment="0" applyProtection="0"/>
    <xf numFmtId="0" fontId="90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5" fillId="51" borderId="0" applyNumberFormat="0" applyBorder="0" applyAlignment="0" applyProtection="0"/>
    <xf numFmtId="0" fontId="15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5" fillId="55" borderId="0" applyNumberFormat="0" applyBorder="0" applyAlignment="0" applyProtection="0"/>
    <xf numFmtId="0" fontId="15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5" fillId="59" borderId="0" applyNumberFormat="0" applyBorder="0" applyAlignment="0" applyProtection="0"/>
    <xf numFmtId="0" fontId="15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15" fillId="63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1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2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3" fillId="64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392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6" fillId="3" borderId="0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76" fillId="3" borderId="0" xfId="0" applyFont="1" applyFill="1" applyBorder="1"/>
    <xf numFmtId="10" fontId="77" fillId="3" borderId="0" xfId="1" applyNumberFormat="1" applyFont="1" applyFill="1" applyBorder="1" applyAlignment="1">
      <alignment horizontal="center"/>
    </xf>
    <xf numFmtId="0" fontId="75" fillId="3" borderId="0" xfId="0" applyFont="1" applyFill="1" applyBorder="1" applyAlignment="1">
      <alignment horizontal="left"/>
    </xf>
    <xf numFmtId="0" fontId="75" fillId="3" borderId="0" xfId="0" applyFont="1" applyFill="1" applyBorder="1" applyAlignment="1">
      <alignment horizontal="center"/>
    </xf>
    <xf numFmtId="0" fontId="0" fillId="3" borderId="22" xfId="0" applyFill="1" applyBorder="1"/>
    <xf numFmtId="0" fontId="0" fillId="3" borderId="25" xfId="0" applyFill="1" applyBorder="1"/>
    <xf numFmtId="10" fontId="0" fillId="3" borderId="22" xfId="1" applyNumberFormat="1" applyFont="1" applyFill="1" applyBorder="1"/>
    <xf numFmtId="10" fontId="0" fillId="3" borderId="25" xfId="1" applyNumberFormat="1" applyFont="1" applyFill="1" applyBorder="1"/>
    <xf numFmtId="10" fontId="0" fillId="3" borderId="0" xfId="0" applyNumberFormat="1" applyFill="1"/>
    <xf numFmtId="10" fontId="0" fillId="3" borderId="36" xfId="0" applyNumberFormat="1" applyFill="1" applyBorder="1"/>
    <xf numFmtId="10" fontId="0" fillId="3" borderId="31" xfId="0" applyNumberFormat="1" applyFill="1" applyBorder="1"/>
    <xf numFmtId="10" fontId="0" fillId="3" borderId="33" xfId="0" applyNumberFormat="1" applyFill="1" applyBorder="1"/>
    <xf numFmtId="0" fontId="0" fillId="3" borderId="24" xfId="0" applyFill="1" applyBorder="1"/>
    <xf numFmtId="10" fontId="0" fillId="3" borderId="22" xfId="0" applyNumberFormat="1" applyFill="1" applyBorder="1"/>
    <xf numFmtId="10" fontId="0" fillId="3" borderId="25" xfId="0" applyNumberFormat="1" applyFill="1" applyBorder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54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4"/>
          <c:w val="0.5562682138416909"/>
          <c:h val="0.69258218413304928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8019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579E-4"/>
                  <c:y val="-8.3464566929134204E-2"/>
                </c:manualLayout>
              </c:layout>
              <c:showVal val="1"/>
            </c:dLbl>
            <c:dLbl>
              <c:idx val="5"/>
              <c:layout>
                <c:manualLayout>
                  <c:x val="2.6391177018773429E-2"/>
                  <c:y val="0.11040230140723956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0.61020084060424273</c:v>
                </c:pt>
                <c:pt idx="1">
                  <c:v>1.6790417554989345E-2</c:v>
                </c:pt>
                <c:pt idx="2">
                  <c:v>0.12485976627829061</c:v>
                </c:pt>
                <c:pt idx="3">
                  <c:v>1.141251145155782E-3</c:v>
                </c:pt>
                <c:pt idx="4">
                  <c:v>9.593213315633857E-2</c:v>
                </c:pt>
                <c:pt idx="5">
                  <c:v>0.12366290830163523</c:v>
                </c:pt>
                <c:pt idx="6">
                  <c:v>2.1195997363398451E-2</c:v>
                </c:pt>
                <c:pt idx="7">
                  <c:v>6.2166855959489582E-3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</c:title>
    <c:plotArea>
      <c:layout>
        <c:manualLayout>
          <c:layoutTarget val="inner"/>
          <c:xMode val="edge"/>
          <c:yMode val="edge"/>
          <c:x val="0.13456689285514054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0.58449850212939813</c:v>
                </c:pt>
                <c:pt idx="1">
                  <c:v>7.299893169338826E-3</c:v>
                </c:pt>
                <c:pt idx="2">
                  <c:v>6.6785306618220852E-2</c:v>
                </c:pt>
                <c:pt idx="3">
                  <c:v>1.6781075529544826E-4</c:v>
                </c:pt>
                <c:pt idx="4">
                  <c:v>6.6530510979244006E-2</c:v>
                </c:pt>
                <c:pt idx="5">
                  <c:v>0.10447423587056061</c:v>
                </c:pt>
                <c:pt idx="6">
                  <c:v>7.7281178754040995E-3</c:v>
                </c:pt>
                <c:pt idx="7">
                  <c:v>2.0051677424745987E-3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2.5702338474844599E-2</c:v>
                </c:pt>
                <c:pt idx="1">
                  <c:v>9.4905243856505186E-3</c:v>
                </c:pt>
                <c:pt idx="2">
                  <c:v>5.8074459660069758E-2</c:v>
                </c:pt>
                <c:pt idx="3">
                  <c:v>9.7344038986033369E-4</c:v>
                </c:pt>
                <c:pt idx="4">
                  <c:v>2.9401622177094563E-2</c:v>
                </c:pt>
                <c:pt idx="5">
                  <c:v>1.9188672431074624E-2</c:v>
                </c:pt>
                <c:pt idx="6">
                  <c:v>1.3467879487994352E-2</c:v>
                </c:pt>
                <c:pt idx="7">
                  <c:v>4.2115178534743595E-3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2.7026567601076246E-2</c:v>
                </c:pt>
                <c:pt idx="1">
                  <c:v>7.4607323441498764E-3</c:v>
                </c:pt>
                <c:pt idx="2">
                  <c:v>5.0484808245213605E-2</c:v>
                </c:pt>
                <c:pt idx="3">
                  <c:v>5.9127020993696459E-4</c:v>
                </c:pt>
                <c:pt idx="4">
                  <c:v>3.0334502437186647E-2</c:v>
                </c:pt>
                <c:pt idx="5">
                  <c:v>2.0472694097240396E-2</c:v>
                </c:pt>
                <c:pt idx="6">
                  <c:v>9.3808347183915036E-3</c:v>
                </c:pt>
                <c:pt idx="7">
                  <c:v>2.955482748333774E-3</c:v>
                </c:pt>
              </c:numCache>
            </c:numRef>
          </c:val>
        </c:ser>
        <c:overlap val="100"/>
        <c:axId val="288674176"/>
        <c:axId val="28867609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288674176"/>
        <c:axId val="288676096"/>
      </c:lineChart>
      <c:catAx>
        <c:axId val="288674176"/>
        <c:scaling>
          <c:orientation val="minMax"/>
        </c:scaling>
        <c:axPos val="b"/>
        <c:tickLblPos val="nextTo"/>
        <c:crossAx val="288676096"/>
        <c:crosses val="autoZero"/>
        <c:auto val="1"/>
        <c:lblAlgn val="ctr"/>
        <c:lblOffset val="100"/>
      </c:catAx>
      <c:valAx>
        <c:axId val="288676096"/>
        <c:scaling>
          <c:orientation val="minMax"/>
        </c:scaling>
        <c:axPos val="l"/>
        <c:majorGridlines/>
        <c:numFmt formatCode="0%" sourceLinked="0"/>
        <c:tickLblPos val="nextTo"/>
        <c:crossAx val="28867417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-0.11665352984413441</c:v>
                </c:pt>
                <c:pt idx="2">
                  <c:v>-4.8021188534465672E-2</c:v>
                </c:pt>
                <c:pt idx="3">
                  <c:v>-0.23429908700831398</c:v>
                </c:pt>
                <c:pt idx="4">
                  <c:v>-2.5637735919486003E-2</c:v>
                </c:pt>
                <c:pt idx="5">
                  <c:v>1.4659134029297541E-2</c:v>
                </c:pt>
                <c:pt idx="6">
                  <c:v>-4.9533268420959037E-2</c:v>
                </c:pt>
                <c:pt idx="7">
                  <c:v>-6.3742580471365828E-2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4.4921069366340667E-2</c:v>
                </c:pt>
                <c:pt idx="2">
                  <c:v>4.0962979877150092E-2</c:v>
                </c:pt>
                <c:pt idx="3">
                  <c:v>4.3775760455613204E-2</c:v>
                </c:pt>
                <c:pt idx="4">
                  <c:v>7.530034800317506E-2</c:v>
                </c:pt>
                <c:pt idx="5">
                  <c:v>9.0021127349297542E-2</c:v>
                </c:pt>
                <c:pt idx="6">
                  <c:v>1.7430872722668356E-2</c:v>
                </c:pt>
                <c:pt idx="7">
                  <c:v>5.1643285353376429E-2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-0.44674311133704736</c:v>
                </c:pt>
                <c:pt idx="2">
                  <c:v>-0.52419483478596951</c:v>
                </c:pt>
                <c:pt idx="3">
                  <c:v>-0.62714186373669567</c:v>
                </c:pt>
                <c:pt idx="4">
                  <c:v>-0.39025793435067591</c:v>
                </c:pt>
                <c:pt idx="5">
                  <c:v>-0.52034739633736904</c:v>
                </c:pt>
                <c:pt idx="6">
                  <c:v>-0.25817556934926228</c:v>
                </c:pt>
                <c:pt idx="7">
                  <c:v>-0.33711017380255137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-0.42626136345704735</c:v>
                </c:pt>
                <c:pt idx="2">
                  <c:v>-0.34915429717679131</c:v>
                </c:pt>
                <c:pt idx="3">
                  <c:v>-0.49529032858854438</c:v>
                </c:pt>
                <c:pt idx="4">
                  <c:v>-0.23400026239464458</c:v>
                </c:pt>
                <c:pt idx="5">
                  <c:v>-0.53983753129736911</c:v>
                </c:pt>
                <c:pt idx="6">
                  <c:v>-8.4113867738416243E-3</c:v>
                </c:pt>
                <c:pt idx="7">
                  <c:v>-0.18032316202205312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0.30725831758561928</c:v>
                </c:pt>
                <c:pt idx="2">
                  <c:v>0.25699806235679012</c:v>
                </c:pt>
                <c:pt idx="3">
                  <c:v>0.35646760603468935</c:v>
                </c:pt>
                <c:pt idx="4">
                  <c:v>0.42609885549762044</c:v>
                </c:pt>
                <c:pt idx="5">
                  <c:v>0.62225820003596433</c:v>
                </c:pt>
                <c:pt idx="6">
                  <c:v>0.28088399481325171</c:v>
                </c:pt>
                <c:pt idx="7">
                  <c:v>0.39323731385853111</c:v>
                </c:pt>
              </c:numCache>
            </c:numRef>
          </c:val>
        </c:ser>
        <c:axId val="288598272"/>
        <c:axId val="288608256"/>
      </c:barChart>
      <c:catAx>
        <c:axId val="288598272"/>
        <c:scaling>
          <c:orientation val="minMax"/>
        </c:scaling>
        <c:axPos val="b"/>
        <c:tickLblPos val="nextTo"/>
        <c:crossAx val="288608256"/>
        <c:crosses val="autoZero"/>
        <c:auto val="1"/>
        <c:lblAlgn val="ctr"/>
        <c:lblOffset val="100"/>
      </c:catAx>
      <c:valAx>
        <c:axId val="288608256"/>
        <c:scaling>
          <c:orientation val="minMax"/>
        </c:scaling>
        <c:axPos val="l"/>
        <c:majorGridlines/>
        <c:numFmt formatCode="0.0%" sourceLinked="1"/>
        <c:tickLblPos val="nextTo"/>
        <c:crossAx val="288598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7004"/>
          <c:y val="0.30999086720262203"/>
          <c:w val="0.27290015295627634"/>
          <c:h val="0.50313982945017743"/>
        </c:manualLayout>
      </c:layout>
    </c:legend>
    <c:plotVisOnly val="1"/>
  </c:chart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4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9.3736553429803107E-3</c:v>
                </c:pt>
                <c:pt idx="1">
                  <c:v>0.14520960122687579</c:v>
                </c:pt>
                <c:pt idx="2">
                  <c:v>1.4322402735167318E-4</c:v>
                </c:pt>
                <c:pt idx="3">
                  <c:v>0.11969127116783766</c:v>
                </c:pt>
                <c:pt idx="4">
                  <c:v>0.2292955949334641</c:v>
                </c:pt>
                <c:pt idx="5">
                  <c:v>1.1338267253759967E-2</c:v>
                </c:pt>
                <c:pt idx="6">
                  <c:v>2.7395909062775032E-3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3.4164748824127039E-2</c:v>
                </c:pt>
                <c:pt idx="1">
                  <c:v>0.16253857647592521</c:v>
                </c:pt>
                <c:pt idx="2">
                  <c:v>2.8161551624116517E-3</c:v>
                </c:pt>
                <c:pt idx="3">
                  <c:v>0.13355053658330723</c:v>
                </c:pt>
                <c:pt idx="4">
                  <c:v>9.2728337757529283E-2</c:v>
                </c:pt>
                <c:pt idx="5">
                  <c:v>4.3006363611807139E-2</c:v>
                </c:pt>
                <c:pt idx="6">
                  <c:v>1.3404076726345358E-2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3.4693950569915734E-2</c:v>
                </c:pt>
                <c:pt idx="1">
                  <c:v>0.16734287648808527</c:v>
                </c:pt>
                <c:pt idx="2">
                  <c:v>2.9741436026071173E-3</c:v>
                </c:pt>
                <c:pt idx="3">
                  <c:v>0.13166613127039151</c:v>
                </c:pt>
                <c:pt idx="4">
                  <c:v>9.0360180865172834E-2</c:v>
                </c:pt>
                <c:pt idx="5">
                  <c:v>3.5382912581431961E-2</c:v>
                </c:pt>
                <c:pt idx="6">
                  <c:v>1.3894481748610941E-2</c:v>
                </c:pt>
              </c:numCache>
            </c:numRef>
          </c:val>
        </c:ser>
        <c:overlap val="100"/>
        <c:axId val="289560448"/>
        <c:axId val="28957491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289560448"/>
        <c:axId val="289574912"/>
      </c:lineChart>
      <c:catAx>
        <c:axId val="289560448"/>
        <c:scaling>
          <c:orientation val="minMax"/>
        </c:scaling>
        <c:axPos val="b"/>
        <c:numFmt formatCode="General" sourceLinked="1"/>
        <c:tickLblPos val="nextTo"/>
        <c:crossAx val="289574912"/>
        <c:crosses val="autoZero"/>
        <c:auto val="1"/>
        <c:lblAlgn val="ctr"/>
        <c:lblOffset val="100"/>
      </c:catAx>
      <c:valAx>
        <c:axId val="289574912"/>
        <c:scaling>
          <c:orientation val="minMax"/>
        </c:scaling>
        <c:axPos val="l"/>
        <c:majorGridlines/>
        <c:numFmt formatCode="0%" sourceLinked="0"/>
        <c:tickLblPos val="nextTo"/>
        <c:crossAx val="28956044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-0.11665352984413441</c:v>
                </c:pt>
                <c:pt idx="2">
                  <c:v>-4.8021188534465672E-2</c:v>
                </c:pt>
                <c:pt idx="3">
                  <c:v>-0.23429908700831398</c:v>
                </c:pt>
                <c:pt idx="4">
                  <c:v>-2.5637735919486003E-2</c:v>
                </c:pt>
                <c:pt idx="5">
                  <c:v>1.4659134029297541E-2</c:v>
                </c:pt>
                <c:pt idx="6">
                  <c:v>-4.9533268420959037E-2</c:v>
                </c:pt>
                <c:pt idx="7">
                  <c:v>-6.3742580471365828E-2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4.4921069366340667E-2</c:v>
                </c:pt>
                <c:pt idx="2">
                  <c:v>4.0962979877150092E-2</c:v>
                </c:pt>
                <c:pt idx="3">
                  <c:v>4.3775760455613204E-2</c:v>
                </c:pt>
                <c:pt idx="4">
                  <c:v>7.530034800317506E-2</c:v>
                </c:pt>
                <c:pt idx="5">
                  <c:v>9.0021127349297542E-2</c:v>
                </c:pt>
                <c:pt idx="6">
                  <c:v>1.7430872722668356E-2</c:v>
                </c:pt>
                <c:pt idx="7">
                  <c:v>5.1643285353376429E-2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-0.44674311133704736</c:v>
                </c:pt>
                <c:pt idx="2">
                  <c:v>-0.52419483478596951</c:v>
                </c:pt>
                <c:pt idx="3">
                  <c:v>-0.62714186373669567</c:v>
                </c:pt>
                <c:pt idx="4">
                  <c:v>-0.39025793435067591</c:v>
                </c:pt>
                <c:pt idx="5">
                  <c:v>-0.52034739633736904</c:v>
                </c:pt>
                <c:pt idx="6">
                  <c:v>-0.25817556934926228</c:v>
                </c:pt>
                <c:pt idx="7">
                  <c:v>-0.33711017380255137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-0.42626136345704735</c:v>
                </c:pt>
                <c:pt idx="2">
                  <c:v>-0.34915429717679131</c:v>
                </c:pt>
                <c:pt idx="3">
                  <c:v>-0.49529032858854438</c:v>
                </c:pt>
                <c:pt idx="4">
                  <c:v>-0.23400026239464458</c:v>
                </c:pt>
                <c:pt idx="5">
                  <c:v>-0.53983753129736911</c:v>
                </c:pt>
                <c:pt idx="6">
                  <c:v>-8.4113867738416243E-3</c:v>
                </c:pt>
                <c:pt idx="7">
                  <c:v>-0.18032316202205312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0.30725831758561928</c:v>
                </c:pt>
                <c:pt idx="2">
                  <c:v>0.25699806235679012</c:v>
                </c:pt>
                <c:pt idx="3">
                  <c:v>0.35646760603468935</c:v>
                </c:pt>
                <c:pt idx="4">
                  <c:v>0.42609885549762044</c:v>
                </c:pt>
                <c:pt idx="5">
                  <c:v>0.62225820003596433</c:v>
                </c:pt>
                <c:pt idx="6">
                  <c:v>0.28088399481325171</c:v>
                </c:pt>
                <c:pt idx="7">
                  <c:v>0.39323731385853111</c:v>
                </c:pt>
              </c:numCache>
            </c:numRef>
          </c:val>
        </c:ser>
        <c:axId val="289608064"/>
        <c:axId val="289609600"/>
      </c:barChart>
      <c:catAx>
        <c:axId val="289608064"/>
        <c:scaling>
          <c:orientation val="minMax"/>
        </c:scaling>
        <c:axPos val="b"/>
        <c:tickLblPos val="nextTo"/>
        <c:crossAx val="289609600"/>
        <c:crosses val="autoZero"/>
        <c:auto val="1"/>
        <c:lblAlgn val="ctr"/>
        <c:lblOffset val="100"/>
      </c:catAx>
      <c:valAx>
        <c:axId val="289609600"/>
        <c:scaling>
          <c:orientation val="minMax"/>
        </c:scaling>
        <c:axPos val="l"/>
        <c:majorGridlines/>
        <c:numFmt formatCode="0.0%" sourceLinked="1"/>
        <c:tickLblPos val="nextTo"/>
        <c:crossAx val="28960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94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0.54046409884126789</c:v>
                </c:pt>
                <c:pt idx="1">
                  <c:v>5.0169652145646712E-2</c:v>
                </c:pt>
                <c:pt idx="2">
                  <c:v>4.4491571362147694E-2</c:v>
                </c:pt>
                <c:pt idx="3">
                  <c:v>6.8416393120094759E-2</c:v>
                </c:pt>
                <c:pt idx="4">
                  <c:v>3.944036673306632E-2</c:v>
                </c:pt>
                <c:pt idx="5">
                  <c:v>1.254326044746556E-2</c:v>
                </c:pt>
                <c:pt idx="6">
                  <c:v>3.0509628428140506E-2</c:v>
                </c:pt>
                <c:pt idx="7">
                  <c:v>3.5728552913028414E-2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1.0805127774380807E-2</c:v>
                </c:pt>
                <c:pt idx="1">
                  <c:v>3.506279289132519E-2</c:v>
                </c:pt>
                <c:pt idx="2">
                  <c:v>3.5776795664954314E-2</c:v>
                </c:pt>
                <c:pt idx="3">
                  <c:v>1.9154032822434275E-2</c:v>
                </c:pt>
                <c:pt idx="4">
                  <c:v>1.4726523415553097E-2</c:v>
                </c:pt>
                <c:pt idx="5">
                  <c:v>9.2602103199970875E-3</c:v>
                </c:pt>
                <c:pt idx="6">
                  <c:v>2.5275890026323883E-2</c:v>
                </c:pt>
                <c:pt idx="7">
                  <c:v>2.8175103094173135E-2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1.0205822914643337E-2</c:v>
                </c:pt>
                <c:pt idx="1">
                  <c:v>3.0868455081950838E-2</c:v>
                </c:pt>
                <c:pt idx="2">
                  <c:v>3.1077387321972696E-2</c:v>
                </c:pt>
                <c:pt idx="3">
                  <c:v>1.8059665337658778E-2</c:v>
                </c:pt>
                <c:pt idx="4">
                  <c:v>1.5434073654686076E-2</c:v>
                </c:pt>
                <c:pt idx="5">
                  <c:v>7.7873979073438682E-3</c:v>
                </c:pt>
                <c:pt idx="6">
                  <c:v>2.1689718443503717E-2</c:v>
                </c:pt>
                <c:pt idx="7">
                  <c:v>2.6414860609286689E-2</c:v>
                </c:pt>
              </c:numCache>
            </c:numRef>
          </c:val>
        </c:ser>
        <c:gapWidth val="100"/>
        <c:overlap val="100"/>
        <c:axId val="289960320"/>
        <c:axId val="289961856"/>
      </c:barChart>
      <c:catAx>
        <c:axId val="289960320"/>
        <c:scaling>
          <c:orientation val="minMax"/>
        </c:scaling>
        <c:axPos val="l"/>
        <c:numFmt formatCode="0%" sourceLinked="1"/>
        <c:tickLblPos val="nextTo"/>
        <c:crossAx val="289961856"/>
        <c:crosses val="autoZero"/>
        <c:auto val="1"/>
        <c:lblAlgn val="ctr"/>
        <c:lblOffset val="100"/>
      </c:catAx>
      <c:valAx>
        <c:axId val="289961856"/>
        <c:scaling>
          <c:orientation val="minMax"/>
        </c:scaling>
        <c:axPos val="b"/>
        <c:majorGridlines/>
        <c:numFmt formatCode="0%" sourceLinked="0"/>
        <c:tickLblPos val="nextTo"/>
        <c:crossAx val="289960320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0.58449850212939813</c:v>
                </c:pt>
                <c:pt idx="1">
                  <c:v>7.299893169338826E-3</c:v>
                </c:pt>
                <c:pt idx="2">
                  <c:v>6.6785306618220852E-2</c:v>
                </c:pt>
                <c:pt idx="3">
                  <c:v>1.6781075529544826E-4</c:v>
                </c:pt>
                <c:pt idx="4">
                  <c:v>6.6530510979244006E-2</c:v>
                </c:pt>
                <c:pt idx="5">
                  <c:v>0.10447423587056061</c:v>
                </c:pt>
                <c:pt idx="6">
                  <c:v>7.7281178754040995E-3</c:v>
                </c:pt>
                <c:pt idx="7">
                  <c:v>2.0051677424745987E-3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2.5702338474844599E-2</c:v>
                </c:pt>
                <c:pt idx="1">
                  <c:v>9.4905243856505186E-3</c:v>
                </c:pt>
                <c:pt idx="2">
                  <c:v>5.8074459660069758E-2</c:v>
                </c:pt>
                <c:pt idx="3">
                  <c:v>9.7344038986033369E-4</c:v>
                </c:pt>
                <c:pt idx="4">
                  <c:v>2.9401622177094563E-2</c:v>
                </c:pt>
                <c:pt idx="5">
                  <c:v>1.9188672431074624E-2</c:v>
                </c:pt>
                <c:pt idx="6">
                  <c:v>1.3467879487994352E-2</c:v>
                </c:pt>
                <c:pt idx="7">
                  <c:v>4.2115178534743595E-3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2.7026567601076246E-2</c:v>
                </c:pt>
                <c:pt idx="1">
                  <c:v>7.4607323441498764E-3</c:v>
                </c:pt>
                <c:pt idx="2">
                  <c:v>5.0484808245213605E-2</c:v>
                </c:pt>
                <c:pt idx="3">
                  <c:v>5.9127020993696459E-4</c:v>
                </c:pt>
                <c:pt idx="4">
                  <c:v>3.0334502437186647E-2</c:v>
                </c:pt>
                <c:pt idx="5">
                  <c:v>2.0472694097240396E-2</c:v>
                </c:pt>
                <c:pt idx="6">
                  <c:v>9.3808347183915036E-3</c:v>
                </c:pt>
                <c:pt idx="7">
                  <c:v>2.955482748333774E-3</c:v>
                </c:pt>
              </c:numCache>
            </c:numRef>
          </c:val>
        </c:ser>
        <c:gapWidth val="100"/>
        <c:overlap val="100"/>
        <c:axId val="289979008"/>
        <c:axId val="289988992"/>
      </c:barChart>
      <c:catAx>
        <c:axId val="289979008"/>
        <c:scaling>
          <c:orientation val="minMax"/>
        </c:scaling>
        <c:axPos val="l"/>
        <c:numFmt formatCode="0%" sourceLinked="1"/>
        <c:tickLblPos val="nextTo"/>
        <c:crossAx val="289988992"/>
        <c:crosses val="autoZero"/>
        <c:auto val="1"/>
        <c:lblAlgn val="ctr"/>
        <c:lblOffset val="100"/>
      </c:catAx>
      <c:valAx>
        <c:axId val="289988992"/>
        <c:scaling>
          <c:orientation val="minMax"/>
        </c:scaling>
        <c:axPos val="b"/>
        <c:majorGridlines/>
        <c:numFmt formatCode="0%" sourceLinked="0"/>
        <c:tickLblPos val="nextTo"/>
        <c:crossAx val="2899790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0.58449850212939813</c:v>
                </c:pt>
                <c:pt idx="1">
                  <c:v>7.299893169338826E-3</c:v>
                </c:pt>
                <c:pt idx="2">
                  <c:v>6.6785306618220852E-2</c:v>
                </c:pt>
                <c:pt idx="3">
                  <c:v>1.6781075529544826E-4</c:v>
                </c:pt>
                <c:pt idx="4">
                  <c:v>6.6530510979244006E-2</c:v>
                </c:pt>
                <c:pt idx="5">
                  <c:v>0.10447423587056061</c:v>
                </c:pt>
                <c:pt idx="6">
                  <c:v>7.7281178754040995E-3</c:v>
                </c:pt>
                <c:pt idx="7">
                  <c:v>2.0051677424745987E-3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2.5702338474844599E-2</c:v>
                </c:pt>
                <c:pt idx="1">
                  <c:v>9.4905243856505186E-3</c:v>
                </c:pt>
                <c:pt idx="2">
                  <c:v>5.8074459660069758E-2</c:v>
                </c:pt>
                <c:pt idx="3">
                  <c:v>9.7344038986033369E-4</c:v>
                </c:pt>
                <c:pt idx="4">
                  <c:v>2.9401622177094563E-2</c:v>
                </c:pt>
                <c:pt idx="5">
                  <c:v>1.9188672431074624E-2</c:v>
                </c:pt>
                <c:pt idx="6">
                  <c:v>1.3467879487994352E-2</c:v>
                </c:pt>
                <c:pt idx="7">
                  <c:v>4.2115178534743595E-3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2.7026567601076246E-2</c:v>
                </c:pt>
                <c:pt idx="1">
                  <c:v>7.4607323441498764E-3</c:v>
                </c:pt>
                <c:pt idx="2">
                  <c:v>5.0484808245213605E-2</c:v>
                </c:pt>
                <c:pt idx="3">
                  <c:v>5.9127020993696459E-4</c:v>
                </c:pt>
                <c:pt idx="4">
                  <c:v>3.0334502437186647E-2</c:v>
                </c:pt>
                <c:pt idx="5">
                  <c:v>2.0472694097240396E-2</c:v>
                </c:pt>
                <c:pt idx="6">
                  <c:v>9.3808347183915036E-3</c:v>
                </c:pt>
                <c:pt idx="7">
                  <c:v>2.955482748333774E-3</c:v>
                </c:pt>
              </c:numCache>
            </c:numRef>
          </c:val>
        </c:ser>
        <c:gapWidth val="100"/>
        <c:overlap val="100"/>
        <c:axId val="290022528"/>
        <c:axId val="290024064"/>
      </c:barChart>
      <c:catAx>
        <c:axId val="290022528"/>
        <c:scaling>
          <c:orientation val="minMax"/>
        </c:scaling>
        <c:axPos val="l"/>
        <c:numFmt formatCode="0%" sourceLinked="1"/>
        <c:tickLblPos val="nextTo"/>
        <c:crossAx val="290024064"/>
        <c:crosses val="autoZero"/>
        <c:auto val="1"/>
        <c:lblAlgn val="ctr"/>
        <c:lblOffset val="100"/>
      </c:catAx>
      <c:valAx>
        <c:axId val="290024064"/>
        <c:scaling>
          <c:orientation val="minMax"/>
        </c:scaling>
        <c:axPos val="b"/>
        <c:majorGridlines/>
        <c:numFmt formatCode="0%" sourceLinked="0"/>
        <c:tickLblPos val="nextTo"/>
        <c:crossAx val="2900225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0.51654818289803273</c:v>
                </c:pt>
                <c:pt idx="1">
                  <c:v>0.1568916166270182</c:v>
                </c:pt>
                <c:pt idx="2">
                  <c:v>2.3901769364338216E-2</c:v>
                </c:pt>
                <c:pt idx="3">
                  <c:v>7.2836540382580843E-4</c:v>
                </c:pt>
                <c:pt idx="4">
                  <c:v>1.3718655682255582E-2</c:v>
                </c:pt>
                <c:pt idx="5">
                  <c:v>8.1738011882018152E-2</c:v>
                </c:pt>
                <c:pt idx="6">
                  <c:v>3.309797457975128E-3</c:v>
                </c:pt>
                <c:pt idx="7">
                  <c:v>2.1772011481497794E-2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2.0070350736462794E-2</c:v>
                </c:pt>
                <c:pt idx="1">
                  <c:v>5.308651354394997E-2</c:v>
                </c:pt>
                <c:pt idx="2">
                  <c:v>3.5215724111541766E-2</c:v>
                </c:pt>
                <c:pt idx="3">
                  <c:v>2.7760870662465239E-3</c:v>
                </c:pt>
                <c:pt idx="4">
                  <c:v>1.9140329108206809E-2</c:v>
                </c:pt>
                <c:pt idx="5">
                  <c:v>1.7794953642287697E-2</c:v>
                </c:pt>
                <c:pt idx="6">
                  <c:v>6.1011369439292751E-3</c:v>
                </c:pt>
                <c:pt idx="7">
                  <c:v>2.7206494050413317E-2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2.0307587084219758E-2</c:v>
                </c:pt>
                <c:pt idx="1">
                  <c:v>4.6235563864997165E-2</c:v>
                </c:pt>
                <c:pt idx="2">
                  <c:v>2.577610261509411E-2</c:v>
                </c:pt>
                <c:pt idx="3">
                  <c:v>1.5031579547957019E-3</c:v>
                </c:pt>
                <c:pt idx="4">
                  <c:v>1.4950675023745419E-2</c:v>
                </c:pt>
                <c:pt idx="5">
                  <c:v>1.7545604319962424E-2</c:v>
                </c:pt>
                <c:pt idx="6">
                  <c:v>4.0915124859112074E-3</c:v>
                </c:pt>
                <c:pt idx="7">
                  <c:v>2.0982707640426097E-2</c:v>
                </c:pt>
              </c:numCache>
            </c:numRef>
          </c:val>
        </c:ser>
        <c:gapWidth val="100"/>
        <c:overlap val="100"/>
        <c:axId val="290049408"/>
        <c:axId val="290055296"/>
      </c:barChart>
      <c:catAx>
        <c:axId val="290049408"/>
        <c:scaling>
          <c:orientation val="minMax"/>
        </c:scaling>
        <c:axPos val="l"/>
        <c:tickLblPos val="nextTo"/>
        <c:crossAx val="290055296"/>
        <c:crosses val="autoZero"/>
        <c:auto val="1"/>
        <c:lblAlgn val="ctr"/>
        <c:lblOffset val="100"/>
      </c:catAx>
      <c:valAx>
        <c:axId val="290055296"/>
        <c:scaling>
          <c:orientation val="minMax"/>
        </c:scaling>
        <c:axPos val="b"/>
        <c:majorGridlines/>
        <c:numFmt formatCode="0%" sourceLinked="0"/>
        <c:tickLblPos val="nextTo"/>
        <c:crossAx val="290049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0.99930452437582407</c:v>
                </c:pt>
                <c:pt idx="1">
                  <c:v>9.7133451643336871E-7</c:v>
                </c:pt>
                <c:pt idx="2">
                  <c:v>7.1009272293360485E-7</c:v>
                </c:pt>
                <c:pt idx="3">
                  <c:v>2.141005562525642E-7</c:v>
                </c:pt>
                <c:pt idx="4">
                  <c:v>1.0691390503438878E-6</c:v>
                </c:pt>
                <c:pt idx="5">
                  <c:v>3.9763560674057552E-7</c:v>
                </c:pt>
                <c:pt idx="6">
                  <c:v>1.0596748358769783E-5</c:v>
                </c:pt>
                <c:pt idx="7">
                  <c:v>2.1770058305489551E-6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1.8971128865075126E-4</c:v>
                </c:pt>
                <c:pt idx="1">
                  <c:v>6.4362253954780346E-5</c:v>
                </c:pt>
                <c:pt idx="2">
                  <c:v>4.8444844393751866E-5</c:v>
                </c:pt>
                <c:pt idx="3">
                  <c:v>3.5544878005080638E-5</c:v>
                </c:pt>
                <c:pt idx="4">
                  <c:v>7.4845848314621192E-5</c:v>
                </c:pt>
                <c:pt idx="5">
                  <c:v>4.0285905829323189E-5</c:v>
                </c:pt>
                <c:pt idx="6">
                  <c:v>1.3805992353788161E-4</c:v>
                </c:pt>
                <c:pt idx="7">
                  <c:v>8.8084624848067838E-5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2.1755316266591773E-4</c:v>
                </c:pt>
                <c:pt idx="1">
                  <c:v>2.0066262391487465E-5</c:v>
                </c:pt>
                <c:pt idx="2">
                  <c:v>7.9745812521964752E-6</c:v>
                </c:pt>
                <c:pt idx="3">
                  <c:v>-9.4277927782704022E-7</c:v>
                </c:pt>
                <c:pt idx="4">
                  <c:v>2.2440694155439884E-5</c:v>
                </c:pt>
                <c:pt idx="5">
                  <c:v>4.9986765500396055E-6</c:v>
                </c:pt>
                <c:pt idx="6">
                  <c:v>6.2448737369965511E-5</c:v>
                </c:pt>
                <c:pt idx="7">
                  <c:v>2.5309739400481215E-5</c:v>
                </c:pt>
              </c:numCache>
            </c:numRef>
          </c:val>
        </c:ser>
        <c:gapWidth val="100"/>
        <c:overlap val="100"/>
        <c:axId val="290101120"/>
        <c:axId val="290102656"/>
      </c:barChart>
      <c:catAx>
        <c:axId val="290101120"/>
        <c:scaling>
          <c:orientation val="minMax"/>
        </c:scaling>
        <c:axPos val="l"/>
        <c:tickLblPos val="nextTo"/>
        <c:crossAx val="290102656"/>
        <c:crosses val="autoZero"/>
        <c:auto val="1"/>
        <c:lblAlgn val="ctr"/>
        <c:lblOffset val="100"/>
      </c:catAx>
      <c:valAx>
        <c:axId val="290102656"/>
        <c:scaling>
          <c:orientation val="minMax"/>
        </c:scaling>
        <c:axPos val="b"/>
        <c:majorGridlines/>
        <c:numFmt formatCode="0%" sourceLinked="0"/>
        <c:tickLblPos val="nextTo"/>
        <c:crossAx val="2901011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0.90885150849427099</c:v>
                </c:pt>
                <c:pt idx="1">
                  <c:v>6.3728900124408004E-6</c:v>
                </c:pt>
                <c:pt idx="2">
                  <c:v>6.9755945383153623E-6</c:v>
                </c:pt>
                <c:pt idx="3">
                  <c:v>1.1328907799621103E-6</c:v>
                </c:pt>
                <c:pt idx="4">
                  <c:v>2.9505481362213323E-6</c:v>
                </c:pt>
                <c:pt idx="5">
                  <c:v>1.8506230189558468E-6</c:v>
                </c:pt>
                <c:pt idx="6">
                  <c:v>8.7412789845975253E-2</c:v>
                </c:pt>
                <c:pt idx="7">
                  <c:v>2.4236897589343776E-5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8.7530606656449628E-4</c:v>
                </c:pt>
                <c:pt idx="1">
                  <c:v>2.4111271030033719E-4</c:v>
                </c:pt>
                <c:pt idx="2">
                  <c:v>3.2197707254658146E-4</c:v>
                </c:pt>
                <c:pt idx="3">
                  <c:v>1.4861699625084036E-4</c:v>
                </c:pt>
                <c:pt idx="4">
                  <c:v>2.6141351709517012E-4</c:v>
                </c:pt>
                <c:pt idx="5">
                  <c:v>1.4747860536512653E-4</c:v>
                </c:pt>
                <c:pt idx="6">
                  <c:v>1.0463323236930555E-3</c:v>
                </c:pt>
                <c:pt idx="7">
                  <c:v>6.4994492386183595E-4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6.4865936992353213E-4</c:v>
                </c:pt>
                <c:pt idx="1">
                  <c:v>9.8463174779333119E-5</c:v>
                </c:pt>
                <c:pt idx="2">
                  <c:v>1.3303418417122723E-4</c:v>
                </c:pt>
                <c:pt idx="3">
                  <c:v>2.104801258720956E-5</c:v>
                </c:pt>
                <c:pt idx="4">
                  <c:v>6.186926889855418E-5</c:v>
                </c:pt>
                <c:pt idx="5">
                  <c:v>3.0407357642473696E-5</c:v>
                </c:pt>
                <c:pt idx="6">
                  <c:v>9.6949545205055054E-4</c:v>
                </c:pt>
                <c:pt idx="7">
                  <c:v>2.7699543468692885E-4</c:v>
                </c:pt>
              </c:numCache>
            </c:numRef>
          </c:val>
        </c:ser>
        <c:gapWidth val="100"/>
        <c:overlap val="100"/>
        <c:axId val="290140544"/>
        <c:axId val="290142080"/>
      </c:barChart>
      <c:catAx>
        <c:axId val="290140544"/>
        <c:scaling>
          <c:orientation val="minMax"/>
        </c:scaling>
        <c:axPos val="l"/>
        <c:tickLblPos val="nextTo"/>
        <c:crossAx val="290142080"/>
        <c:crosses val="autoZero"/>
        <c:auto val="1"/>
        <c:lblAlgn val="ctr"/>
        <c:lblOffset val="100"/>
      </c:catAx>
      <c:valAx>
        <c:axId val="290142080"/>
        <c:scaling>
          <c:orientation val="minMax"/>
        </c:scaling>
        <c:axPos val="b"/>
        <c:majorGridlines/>
        <c:numFmt formatCode="0%" sourceLinked="0"/>
        <c:tickLblPos val="nextTo"/>
        <c:crossAx val="2901405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0.7476086610795265</c:v>
                </c:pt>
                <c:pt idx="1">
                  <c:v>1.5777939412135961E-4</c:v>
                </c:pt>
                <c:pt idx="2">
                  <c:v>1.364192579988681E-3</c:v>
                </c:pt>
                <c:pt idx="3">
                  <c:v>1.2403590982166434E-5</c:v>
                </c:pt>
                <c:pt idx="4">
                  <c:v>1.7697577566565983E-3</c:v>
                </c:pt>
                <c:pt idx="5">
                  <c:v>0.17305350562923499</c:v>
                </c:pt>
                <c:pt idx="6">
                  <c:v>1.4147074235410272E-3</c:v>
                </c:pt>
                <c:pt idx="7">
                  <c:v>5.4539080787600978E-4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3.2633948765959153E-2</c:v>
                </c:pt>
                <c:pt idx="1">
                  <c:v>1.062871187552539E-3</c:v>
                </c:pt>
                <c:pt idx="2">
                  <c:v>3.6660476430598822E-3</c:v>
                </c:pt>
                <c:pt idx="3">
                  <c:v>2.9725942265612935E-4</c:v>
                </c:pt>
                <c:pt idx="4">
                  <c:v>4.7038472848145736E-3</c:v>
                </c:pt>
                <c:pt idx="5">
                  <c:v>2.6655299736761062E-2</c:v>
                </c:pt>
                <c:pt idx="6">
                  <c:v>3.1517637656091405E-3</c:v>
                </c:pt>
                <c:pt idx="7">
                  <c:v>1.9025639316601825E-3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2.9829742782225943E-2</c:v>
                </c:pt>
                <c:pt idx="1">
                  <c:v>5.5159704353635076E-4</c:v>
                </c:pt>
                <c:pt idx="2">
                  <c:v>2.0410930488106967E-3</c:v>
                </c:pt>
                <c:pt idx="3">
                  <c:v>5.3599862006771125E-5</c:v>
                </c:pt>
                <c:pt idx="4">
                  <c:v>2.7132220290926315E-3</c:v>
                </c:pt>
                <c:pt idx="5">
                  <c:v>3.0743570636304562E-2</c:v>
                </c:pt>
                <c:pt idx="6">
                  <c:v>1.9252578059719676E-3</c:v>
                </c:pt>
                <c:pt idx="7">
                  <c:v>1.2214587425439629E-3</c:v>
                </c:pt>
              </c:numCache>
            </c:numRef>
          </c:val>
        </c:ser>
        <c:gapWidth val="100"/>
        <c:overlap val="100"/>
        <c:axId val="290167424"/>
        <c:axId val="290185600"/>
      </c:barChart>
      <c:catAx>
        <c:axId val="290167424"/>
        <c:scaling>
          <c:orientation val="minMax"/>
        </c:scaling>
        <c:axPos val="l"/>
        <c:numFmt formatCode="0%" sourceLinked="1"/>
        <c:tickLblPos val="nextTo"/>
        <c:crossAx val="290185600"/>
        <c:crosses val="autoZero"/>
        <c:auto val="1"/>
        <c:lblAlgn val="ctr"/>
        <c:lblOffset val="100"/>
      </c:catAx>
      <c:valAx>
        <c:axId val="290185600"/>
        <c:scaling>
          <c:orientation val="minMax"/>
        </c:scaling>
        <c:axPos val="b"/>
        <c:majorGridlines/>
        <c:numFmt formatCode="0%" sourceLinked="0"/>
        <c:tickLblPos val="nextTo"/>
        <c:crossAx val="2901674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0.72579744060069173</c:v>
                </c:pt>
                <c:pt idx="1">
                  <c:v>2.1335652814942152E-2</c:v>
                </c:pt>
                <c:pt idx="2">
                  <c:v>1.1533626908654089E-3</c:v>
                </c:pt>
                <c:pt idx="3">
                  <c:v>8.3816888838316193E-5</c:v>
                </c:pt>
                <c:pt idx="4">
                  <c:v>2.6375364715448748E-4</c:v>
                </c:pt>
                <c:pt idx="5">
                  <c:v>4.8238954908603117E-2</c:v>
                </c:pt>
                <c:pt idx="6">
                  <c:v>1.2266683443469838E-2</c:v>
                </c:pt>
                <c:pt idx="7">
                  <c:v>7.3843409993080089E-2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9.7824730257209946E-3</c:v>
                </c:pt>
                <c:pt idx="1">
                  <c:v>3.8163051628658677E-2</c:v>
                </c:pt>
                <c:pt idx="2">
                  <c:v>5.6945047199562244E-3</c:v>
                </c:pt>
                <c:pt idx="3">
                  <c:v>1.492080812125215E-3</c:v>
                </c:pt>
                <c:pt idx="4">
                  <c:v>2.5428512150261567E-3</c:v>
                </c:pt>
                <c:pt idx="5">
                  <c:v>8.8019472439039362E-3</c:v>
                </c:pt>
                <c:pt idx="6">
                  <c:v>2.2928618286305741E-2</c:v>
                </c:pt>
                <c:pt idx="7">
                  <c:v>2.7611398080658059E-2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1.0032643704261934E-2</c:v>
                </c:pt>
                <c:pt idx="1">
                  <c:v>3.3605492856758408E-2</c:v>
                </c:pt>
                <c:pt idx="2">
                  <c:v>2.4630824854797876E-3</c:v>
                </c:pt>
                <c:pt idx="3">
                  <c:v>6.7089328939598015E-4</c:v>
                </c:pt>
                <c:pt idx="4">
                  <c:v>1.2654116757723102E-3</c:v>
                </c:pt>
                <c:pt idx="5">
                  <c:v>8.6704693044764164E-3</c:v>
                </c:pt>
                <c:pt idx="6">
                  <c:v>1.6433445001632623E-2</c:v>
                </c:pt>
                <c:pt idx="7">
                  <c:v>2.8280031015404508E-2</c:v>
                </c:pt>
              </c:numCache>
            </c:numRef>
          </c:val>
        </c:ser>
        <c:gapWidth val="100"/>
        <c:overlap val="100"/>
        <c:axId val="290276480"/>
        <c:axId val="290278016"/>
      </c:barChart>
      <c:catAx>
        <c:axId val="290276480"/>
        <c:scaling>
          <c:orientation val="minMax"/>
        </c:scaling>
        <c:axPos val="l"/>
        <c:tickLblPos val="nextTo"/>
        <c:crossAx val="290278016"/>
        <c:crosses val="autoZero"/>
        <c:auto val="1"/>
        <c:lblAlgn val="ctr"/>
        <c:lblOffset val="100"/>
      </c:catAx>
      <c:valAx>
        <c:axId val="290278016"/>
        <c:scaling>
          <c:orientation val="minMax"/>
        </c:scaling>
        <c:axPos val="b"/>
        <c:majorGridlines/>
        <c:numFmt formatCode="0%" sourceLinked="0"/>
        <c:tickLblPos val="nextTo"/>
        <c:crossAx val="2902764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8.5671706871234571E-2</c:v>
                </c:pt>
                <c:pt idx="1">
                  <c:v>7.6162685560232854E-2</c:v>
                </c:pt>
                <c:pt idx="2">
                  <c:v>0.12932366217763835</c:v>
                </c:pt>
                <c:pt idx="3">
                  <c:v>7.1976721379474778E-2</c:v>
                </c:pt>
                <c:pt idx="4">
                  <c:v>2.2295861534444593E-2</c:v>
                </c:pt>
                <c:pt idx="5">
                  <c:v>5.0809172727776825E-2</c:v>
                </c:pt>
                <c:pt idx="6">
                  <c:v>5.3262039238667784E-2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0.10363150463835671</c:v>
                </c:pt>
                <c:pt idx="1">
                  <c:v>0.10207540371206102</c:v>
                </c:pt>
                <c:pt idx="2">
                  <c:v>6.6848671622598804E-2</c:v>
                </c:pt>
                <c:pt idx="3">
                  <c:v>4.9421012342745749E-2</c:v>
                </c:pt>
                <c:pt idx="4">
                  <c:v>2.6449600086948216E-2</c:v>
                </c:pt>
                <c:pt idx="5">
                  <c:v>7.2872923738352982E-2</c:v>
                </c:pt>
                <c:pt idx="6">
                  <c:v>8.9199034369466579E-2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9.9912501867285952E-2</c:v>
                </c:pt>
                <c:pt idx="1">
                  <c:v>0.11955947029363137</c:v>
                </c:pt>
                <c:pt idx="2">
                  <c:v>6.4708641647149928E-2</c:v>
                </c:pt>
                <c:pt idx="3">
                  <c:v>4.9922558761446287E-2</c:v>
                </c:pt>
                <c:pt idx="4">
                  <c:v>2.6564291304583966E-2</c:v>
                </c:pt>
                <c:pt idx="5">
                  <c:v>7.1379836126546706E-2</c:v>
                </c:pt>
                <c:pt idx="6">
                  <c:v>7.7931504564421245E-2</c:v>
                </c:pt>
              </c:numCache>
            </c:numRef>
          </c:val>
        </c:ser>
        <c:gapWidth val="101"/>
        <c:overlap val="100"/>
        <c:axId val="290217984"/>
        <c:axId val="290219520"/>
      </c:barChart>
      <c:catAx>
        <c:axId val="290217984"/>
        <c:scaling>
          <c:orientation val="minMax"/>
        </c:scaling>
        <c:axPos val="l"/>
        <c:tickLblPos val="nextTo"/>
        <c:crossAx val="290219520"/>
        <c:crosses val="autoZero"/>
        <c:auto val="1"/>
        <c:lblAlgn val="ctr"/>
        <c:lblOffset val="100"/>
      </c:catAx>
      <c:valAx>
        <c:axId val="290219520"/>
        <c:scaling>
          <c:orientation val="minMax"/>
        </c:scaling>
        <c:axPos val="b"/>
        <c:majorGridlines/>
        <c:numFmt formatCode="0%" sourceLinked="0"/>
        <c:tickLblPos val="nextTo"/>
        <c:crossAx val="2902179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9.3736553429803107E-3</c:v>
                </c:pt>
                <c:pt idx="1">
                  <c:v>0.14520960122687579</c:v>
                </c:pt>
                <c:pt idx="2">
                  <c:v>1.4322402735167318E-4</c:v>
                </c:pt>
                <c:pt idx="3">
                  <c:v>0.11969127116783766</c:v>
                </c:pt>
                <c:pt idx="4">
                  <c:v>0.2292955949334641</c:v>
                </c:pt>
                <c:pt idx="5">
                  <c:v>1.1338267253759967E-2</c:v>
                </c:pt>
                <c:pt idx="6">
                  <c:v>2.7395909062775032E-3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3.4164748824127039E-2</c:v>
                </c:pt>
                <c:pt idx="1">
                  <c:v>0.16253857647592521</c:v>
                </c:pt>
                <c:pt idx="2">
                  <c:v>2.8161551624116517E-3</c:v>
                </c:pt>
                <c:pt idx="3">
                  <c:v>0.13355053658330723</c:v>
                </c:pt>
                <c:pt idx="4">
                  <c:v>9.2728337757529283E-2</c:v>
                </c:pt>
                <c:pt idx="5">
                  <c:v>4.3006363611807139E-2</c:v>
                </c:pt>
                <c:pt idx="6">
                  <c:v>1.3404076726345358E-2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3.4693950569915734E-2</c:v>
                </c:pt>
                <c:pt idx="1">
                  <c:v>0.16734287648808527</c:v>
                </c:pt>
                <c:pt idx="2">
                  <c:v>2.9741436026071173E-3</c:v>
                </c:pt>
                <c:pt idx="3">
                  <c:v>0.13166613127039151</c:v>
                </c:pt>
                <c:pt idx="4">
                  <c:v>9.0360180865172834E-2</c:v>
                </c:pt>
                <c:pt idx="5">
                  <c:v>3.5382912581431961E-2</c:v>
                </c:pt>
                <c:pt idx="6">
                  <c:v>1.3894481748610941E-2</c:v>
                </c:pt>
              </c:numCache>
            </c:numRef>
          </c:val>
        </c:ser>
        <c:gapWidth val="101"/>
        <c:overlap val="100"/>
        <c:axId val="290240768"/>
        <c:axId val="290250752"/>
      </c:barChart>
      <c:catAx>
        <c:axId val="290240768"/>
        <c:scaling>
          <c:orientation val="minMax"/>
        </c:scaling>
        <c:axPos val="l"/>
        <c:tickLblPos val="nextTo"/>
        <c:crossAx val="290250752"/>
        <c:crosses val="autoZero"/>
        <c:auto val="1"/>
        <c:lblAlgn val="ctr"/>
        <c:lblOffset val="100"/>
      </c:catAx>
      <c:valAx>
        <c:axId val="290250752"/>
        <c:scaling>
          <c:orientation val="minMax"/>
        </c:scaling>
        <c:axPos val="b"/>
        <c:majorGridlines/>
        <c:numFmt formatCode="0%" sourceLinked="0"/>
        <c:tickLblPos val="nextTo"/>
        <c:crossAx val="2902407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2.4674389720345655E-4</c:v>
                </c:pt>
                <c:pt idx="1">
                  <c:v>3.6649069420206103E-3</c:v>
                </c:pt>
                <c:pt idx="2">
                  <c:v>1.5526382733695329E-5</c:v>
                </c:pt>
                <c:pt idx="3">
                  <c:v>4.5852827615505652E-3</c:v>
                </c:pt>
                <c:pt idx="4">
                  <c:v>0.87088275554840788</c:v>
                </c:pt>
                <c:pt idx="5">
                  <c:v>3.8973410581205977E-3</c:v>
                </c:pt>
                <c:pt idx="6">
                  <c:v>1.165823226275303E-3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5.3489391101958512E-3</c:v>
                </c:pt>
                <c:pt idx="1">
                  <c:v>1.8870518192621279E-2</c:v>
                </c:pt>
                <c:pt idx="2">
                  <c:v>1.3836218822230347E-3</c:v>
                </c:pt>
                <c:pt idx="3">
                  <c:v>2.4753528054594479E-2</c:v>
                </c:pt>
                <c:pt idx="4">
                  <c:v>3.8697227708590964E-2</c:v>
                </c:pt>
                <c:pt idx="5">
                  <c:v>1.656368666228835E-2</c:v>
                </c:pt>
                <c:pt idx="6">
                  <c:v>9.9240985731736779E-3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6.0997951795184087E-3</c:v>
                </c:pt>
                <c:pt idx="1">
                  <c:v>2.0065417338459016E-2</c:v>
                </c:pt>
                <c:pt idx="2">
                  <c:v>1.378603521106627E-3</c:v>
                </c:pt>
                <c:pt idx="3">
                  <c:v>2.5394661443606973E-2</c:v>
                </c:pt>
                <c:pt idx="4">
                  <c:v>3.9845230775679363E-2</c:v>
                </c:pt>
                <c:pt idx="5">
                  <c:v>1.7188387890983807E-2</c:v>
                </c:pt>
                <c:pt idx="6">
                  <c:v>9.3983662588464877E-3</c:v>
                </c:pt>
              </c:numCache>
            </c:numRef>
          </c:val>
        </c:ser>
        <c:gapWidth val="101"/>
        <c:overlap val="100"/>
        <c:axId val="6697728"/>
        <c:axId val="6699264"/>
      </c:barChart>
      <c:catAx>
        <c:axId val="6697728"/>
        <c:scaling>
          <c:orientation val="minMax"/>
        </c:scaling>
        <c:axPos val="l"/>
        <c:tickLblPos val="nextTo"/>
        <c:crossAx val="6699264"/>
        <c:crosses val="autoZero"/>
        <c:auto val="1"/>
        <c:lblAlgn val="ctr"/>
        <c:lblOffset val="100"/>
      </c:catAx>
      <c:valAx>
        <c:axId val="6699264"/>
        <c:scaling>
          <c:orientation val="minMax"/>
        </c:scaling>
        <c:axPos val="b"/>
        <c:majorGridlines/>
        <c:numFmt formatCode="0%" sourceLinked="0"/>
        <c:tickLblPos val="nextTo"/>
        <c:crossAx val="66977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0.31900554366094946</c:v>
                </c:pt>
                <c:pt idx="1">
                  <c:v>3.3483030808280551E-2</c:v>
                </c:pt>
                <c:pt idx="2">
                  <c:v>7.6814563118633543E-4</c:v>
                </c:pt>
                <c:pt idx="3">
                  <c:v>1.7402130623445616E-2</c:v>
                </c:pt>
                <c:pt idx="4">
                  <c:v>0.15079577011566611</c:v>
                </c:pt>
                <c:pt idx="5">
                  <c:v>3.929282530719753E-3</c:v>
                </c:pt>
                <c:pt idx="6">
                  <c:v>3.0839365518647757E-2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0.12958899687892478</c:v>
                </c:pt>
                <c:pt idx="1">
                  <c:v>9.3742189299492851E-2</c:v>
                </c:pt>
                <c:pt idx="2">
                  <c:v>6.8223876529018993E-3</c:v>
                </c:pt>
                <c:pt idx="3">
                  <c:v>5.4932102781320435E-2</c:v>
                </c:pt>
                <c:pt idx="4">
                  <c:v>6.7105325388701287E-2</c:v>
                </c:pt>
                <c:pt idx="5">
                  <c:v>1.6311379178346311E-2</c:v>
                </c:pt>
                <c:pt idx="6">
                  <c:v>7.5274349931416559E-2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0.14186462026251212</c:v>
                </c:pt>
                <c:pt idx="1">
                  <c:v>9.8021825303638038E-2</c:v>
                </c:pt>
                <c:pt idx="2">
                  <c:v>6.8613271499689795E-3</c:v>
                </c:pt>
                <c:pt idx="3">
                  <c:v>5.3916102347944111E-2</c:v>
                </c:pt>
                <c:pt idx="4">
                  <c:v>7.0910076486609103E-2</c:v>
                </c:pt>
                <c:pt idx="5">
                  <c:v>1.6690144339242569E-2</c:v>
                </c:pt>
                <c:pt idx="6">
                  <c:v>7.6710529433682145E-2</c:v>
                </c:pt>
              </c:numCache>
            </c:numRef>
          </c:val>
        </c:ser>
        <c:gapWidth val="100"/>
        <c:overlap val="100"/>
        <c:axId val="6724608"/>
        <c:axId val="6742784"/>
      </c:barChart>
      <c:catAx>
        <c:axId val="6724608"/>
        <c:scaling>
          <c:orientation val="minMax"/>
        </c:scaling>
        <c:axPos val="l"/>
        <c:tickLblPos val="nextTo"/>
        <c:crossAx val="6742784"/>
        <c:crosses val="autoZero"/>
        <c:auto val="1"/>
        <c:lblAlgn val="ctr"/>
        <c:lblOffset val="100"/>
      </c:catAx>
      <c:valAx>
        <c:axId val="6742784"/>
        <c:scaling>
          <c:orientation val="minMax"/>
        </c:scaling>
        <c:axPos val="b"/>
        <c:majorGridlines/>
        <c:numFmt formatCode="0%" sourceLinked="0"/>
        <c:tickLblPos val="nextTo"/>
        <c:crossAx val="67246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4.9193710007274134E-4</c:v>
                </c:pt>
                <c:pt idx="1">
                  <c:v>2.5352716412451956E-4</c:v>
                </c:pt>
                <c:pt idx="2">
                  <c:v>7.6413461206351296E-5</c:v>
                </c:pt>
                <c:pt idx="3">
                  <c:v>4.2457899014311659E-4</c:v>
                </c:pt>
                <c:pt idx="4">
                  <c:v>9.0313936457438491E-5</c:v>
                </c:pt>
                <c:pt idx="5">
                  <c:v>8.5232577738244084E-3</c:v>
                </c:pt>
                <c:pt idx="6">
                  <c:v>1.8068813345389566E-3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0.13734769186870216</c:v>
                </c:pt>
                <c:pt idx="1">
                  <c:v>0.11321570658744975</c:v>
                </c:pt>
                <c:pt idx="2">
                  <c:v>8.0758238653329525E-2</c:v>
                </c:pt>
                <c:pt idx="3">
                  <c:v>0.14726991223214145</c:v>
                </c:pt>
                <c:pt idx="4">
                  <c:v>8.987218086230514E-2</c:v>
                </c:pt>
                <c:pt idx="5">
                  <c:v>0.25500836286076189</c:v>
                </c:pt>
                <c:pt idx="6">
                  <c:v>0.16486099717458988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0.1908622162167383</c:v>
                </c:pt>
                <c:pt idx="1">
                  <c:v>0.11465634972807717</c:v>
                </c:pt>
                <c:pt idx="2">
                  <c:v>6.598641453358102E-2</c:v>
                </c:pt>
                <c:pt idx="3">
                  <c:v>0.19046710583808935</c:v>
                </c:pt>
                <c:pt idx="4">
                  <c:v>0.10744608892829087</c:v>
                </c:pt>
                <c:pt idx="5">
                  <c:v>0.33841838188250134</c:v>
                </c:pt>
                <c:pt idx="6">
                  <c:v>0.21538637811312916</c:v>
                </c:pt>
              </c:numCache>
            </c:numRef>
          </c:val>
        </c:ser>
        <c:gapWidth val="100"/>
        <c:overlap val="100"/>
        <c:axId val="290301440"/>
        <c:axId val="290302976"/>
      </c:barChart>
      <c:catAx>
        <c:axId val="290301440"/>
        <c:scaling>
          <c:orientation val="minMax"/>
        </c:scaling>
        <c:axPos val="l"/>
        <c:tickLblPos val="nextTo"/>
        <c:crossAx val="290302976"/>
        <c:crosses val="autoZero"/>
        <c:auto val="1"/>
        <c:lblAlgn val="ctr"/>
        <c:lblOffset val="100"/>
      </c:catAx>
      <c:valAx>
        <c:axId val="290302976"/>
        <c:scaling>
          <c:orientation val="minMax"/>
        </c:scaling>
        <c:axPos val="b"/>
        <c:majorGridlines/>
        <c:numFmt formatCode="0%" sourceLinked="0"/>
        <c:tickLblPos val="nextTo"/>
        <c:crossAx val="2903014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9.3736553429803107E-3</c:v>
                </c:pt>
                <c:pt idx="1">
                  <c:v>0.14520960122687579</c:v>
                </c:pt>
                <c:pt idx="2">
                  <c:v>1.4322402735167318E-4</c:v>
                </c:pt>
                <c:pt idx="3">
                  <c:v>0.11969127116783766</c:v>
                </c:pt>
                <c:pt idx="4">
                  <c:v>0.2292955949334641</c:v>
                </c:pt>
                <c:pt idx="5">
                  <c:v>1.1338267253759967E-2</c:v>
                </c:pt>
                <c:pt idx="6">
                  <c:v>2.7395909062775032E-3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3.4164748824127039E-2</c:v>
                </c:pt>
                <c:pt idx="1">
                  <c:v>0.16253857647592521</c:v>
                </c:pt>
                <c:pt idx="2">
                  <c:v>2.8161551624116517E-3</c:v>
                </c:pt>
                <c:pt idx="3">
                  <c:v>0.13355053658330723</c:v>
                </c:pt>
                <c:pt idx="4">
                  <c:v>9.2728337757529283E-2</c:v>
                </c:pt>
                <c:pt idx="5">
                  <c:v>4.3006363611807139E-2</c:v>
                </c:pt>
                <c:pt idx="6">
                  <c:v>1.3404076726345358E-2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3.4693950569915734E-2</c:v>
                </c:pt>
                <c:pt idx="1">
                  <c:v>0.16734287648808527</c:v>
                </c:pt>
                <c:pt idx="2">
                  <c:v>2.9741436026071173E-3</c:v>
                </c:pt>
                <c:pt idx="3">
                  <c:v>0.13166613127039151</c:v>
                </c:pt>
                <c:pt idx="4">
                  <c:v>9.0360180865172834E-2</c:v>
                </c:pt>
                <c:pt idx="5">
                  <c:v>3.5382912581431961E-2</c:v>
                </c:pt>
                <c:pt idx="6">
                  <c:v>1.3894481748610941E-2</c:v>
                </c:pt>
              </c:numCache>
            </c:numRef>
          </c:val>
        </c:ser>
        <c:gapWidth val="100"/>
        <c:overlap val="100"/>
        <c:axId val="6787072"/>
        <c:axId val="6788608"/>
      </c:barChart>
      <c:catAx>
        <c:axId val="6787072"/>
        <c:scaling>
          <c:orientation val="minMax"/>
        </c:scaling>
        <c:axPos val="l"/>
        <c:tickLblPos val="nextTo"/>
        <c:crossAx val="6788608"/>
        <c:crosses val="autoZero"/>
        <c:auto val="1"/>
        <c:lblAlgn val="ctr"/>
        <c:lblOffset val="100"/>
      </c:catAx>
      <c:valAx>
        <c:axId val="6788608"/>
        <c:scaling>
          <c:orientation val="minMax"/>
        </c:scaling>
        <c:axPos val="b"/>
        <c:majorGridlines/>
        <c:numFmt formatCode="0%" sourceLinked="0"/>
        <c:tickLblPos val="nextTo"/>
        <c:crossAx val="67870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4.3538404167107352E-2</c:v>
                </c:pt>
                <c:pt idx="1">
                  <c:v>0.307748177702801</c:v>
                </c:pt>
                <c:pt idx="2">
                  <c:v>2.9593791897633247E-3</c:v>
                </c:pt>
                <c:pt idx="3">
                  <c:v>0.25324180775114491</c:v>
                </c:pt>
                <c:pt idx="4">
                  <c:v>0.32202393269099339</c:v>
                </c:pt>
                <c:pt idx="5">
                  <c:v>5.4344630865567109E-2</c:v>
                </c:pt>
                <c:pt idx="6">
                  <c:v>1.6143667632622861E-2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4.3355375190842801E-2</c:v>
                </c:pt>
                <c:pt idx="1">
                  <c:v>1.6234411068552276E-3</c:v>
                </c:pt>
                <c:pt idx="2">
                  <c:v>6.978761811873377E-5</c:v>
                </c:pt>
                <c:pt idx="3">
                  <c:v>3.0279836896939525E-4</c:v>
                </c:pt>
                <c:pt idx="4">
                  <c:v>0.15832268254647391</c:v>
                </c:pt>
                <c:pt idx="5">
                  <c:v>2.309553850729194E-2</c:v>
                </c:pt>
                <c:pt idx="6">
                  <c:v>0.20828494944200074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0.17700845932862624</c:v>
                </c:pt>
                <c:pt idx="1">
                  <c:v>2.4385242380287948E-2</c:v>
                </c:pt>
                <c:pt idx="2">
                  <c:v>5.9467460405982558E-3</c:v>
                </c:pt>
                <c:pt idx="3">
                  <c:v>1.0409250715828079E-2</c:v>
                </c:pt>
                <c:pt idx="4">
                  <c:v>5.9658885049747173E-2</c:v>
                </c:pt>
                <c:pt idx="5">
                  <c:v>0.10828279369029488</c:v>
                </c:pt>
                <c:pt idx="6">
                  <c:v>0.17925405001406444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0.17661024050426855</c:v>
                </c:pt>
                <c:pt idx="1">
                  <c:v>3.0394624474262381E-2</c:v>
                </c:pt>
                <c:pt idx="2">
                  <c:v>6.4018772729465424E-3</c:v>
                </c:pt>
                <c:pt idx="3">
                  <c:v>9.2312989360876212E-3</c:v>
                </c:pt>
                <c:pt idx="4">
                  <c:v>6.0828350883257248E-2</c:v>
                </c:pt>
                <c:pt idx="5">
                  <c:v>9.5761029316150381E-2</c:v>
                </c:pt>
                <c:pt idx="6">
                  <c:v>0.16708137834846126</c:v>
                </c:pt>
              </c:numCache>
            </c:numRef>
          </c:val>
        </c:ser>
        <c:gapWidth val="100"/>
        <c:overlap val="100"/>
        <c:axId val="290597120"/>
        <c:axId val="290603008"/>
      </c:barChart>
      <c:catAx>
        <c:axId val="290597120"/>
        <c:scaling>
          <c:orientation val="minMax"/>
        </c:scaling>
        <c:axPos val="l"/>
        <c:tickLblPos val="nextTo"/>
        <c:crossAx val="290603008"/>
        <c:crosses val="autoZero"/>
        <c:auto val="1"/>
        <c:lblAlgn val="ctr"/>
        <c:lblOffset val="100"/>
      </c:catAx>
      <c:valAx>
        <c:axId val="290603008"/>
        <c:scaling>
          <c:orientation val="minMax"/>
        </c:scaling>
        <c:axPos val="b"/>
        <c:majorGridlines/>
        <c:numFmt formatCode="0%" sourceLinked="0"/>
        <c:tickLblPos val="nextTo"/>
        <c:crossAx val="2905971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1.7714342510377696E-5</c:v>
                </c:pt>
                <c:pt idx="1">
                  <c:v>1.4560760272935232E-5</c:v>
                </c:pt>
                <c:pt idx="2">
                  <c:v>2.0955116975592836E-6</c:v>
                </c:pt>
                <c:pt idx="3">
                  <c:v>3.8853275416122589E-6</c:v>
                </c:pt>
                <c:pt idx="4">
                  <c:v>2.1529988951496333E-6</c:v>
                </c:pt>
                <c:pt idx="5">
                  <c:v>0.96657763643214312</c:v>
                </c:pt>
                <c:pt idx="6">
                  <c:v>3.8226145082958881E-5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2.7157556208934077E-3</c:v>
                </c:pt>
                <c:pt idx="1">
                  <c:v>3.6184286510114027E-3</c:v>
                </c:pt>
                <c:pt idx="2">
                  <c:v>1.6523456091328409E-3</c:v>
                </c:pt>
                <c:pt idx="3">
                  <c:v>2.9288939201548708E-3</c:v>
                </c:pt>
                <c:pt idx="4">
                  <c:v>1.647352785285106E-3</c:v>
                </c:pt>
                <c:pt idx="5">
                  <c:v>1.3361459091707717E-2</c:v>
                </c:pt>
                <c:pt idx="6">
                  <c:v>7.4194928036700036E-3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3.5275802800369387E-3</c:v>
                </c:pt>
                <c:pt idx="1">
                  <c:v>4.2822087948606782E-3</c:v>
                </c:pt>
                <c:pt idx="2">
                  <c:v>1.8151328681154037E-3</c:v>
                </c:pt>
                <c:pt idx="3">
                  <c:v>3.2469810754435372E-3</c:v>
                </c:pt>
                <c:pt idx="4">
                  <c:v>2.0339590993653216E-3</c:v>
                </c:pt>
                <c:pt idx="5">
                  <c:v>1.2799614087042221E-2</c:v>
                </c:pt>
                <c:pt idx="6">
                  <c:v>9.223101351512452E-3</c:v>
                </c:pt>
              </c:numCache>
            </c:numRef>
          </c:val>
        </c:ser>
        <c:gapWidth val="100"/>
        <c:overlap val="100"/>
        <c:axId val="290628352"/>
        <c:axId val="290629888"/>
      </c:barChart>
      <c:catAx>
        <c:axId val="290628352"/>
        <c:scaling>
          <c:orientation val="minMax"/>
        </c:scaling>
        <c:axPos val="l"/>
        <c:tickLblPos val="nextTo"/>
        <c:crossAx val="290629888"/>
        <c:crosses val="autoZero"/>
        <c:auto val="1"/>
        <c:lblAlgn val="ctr"/>
        <c:lblOffset val="100"/>
      </c:catAx>
      <c:valAx>
        <c:axId val="290629888"/>
        <c:scaling>
          <c:orientation val="minMax"/>
        </c:scaling>
        <c:axPos val="b"/>
        <c:majorGridlines/>
        <c:numFmt formatCode="0%" sourceLinked="0"/>
        <c:tickLblPos val="nextTo"/>
        <c:crossAx val="2906283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47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088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0.58449850212939813</c:v>
                </c:pt>
                <c:pt idx="1">
                  <c:v>7.299893169338826E-3</c:v>
                </c:pt>
                <c:pt idx="2">
                  <c:v>6.6785306618220852E-2</c:v>
                </c:pt>
                <c:pt idx="3">
                  <c:v>1.6781075529544826E-4</c:v>
                </c:pt>
                <c:pt idx="4">
                  <c:v>6.6530510979244006E-2</c:v>
                </c:pt>
                <c:pt idx="5">
                  <c:v>0.10447423587056061</c:v>
                </c:pt>
                <c:pt idx="6">
                  <c:v>7.7281178754040995E-3</c:v>
                </c:pt>
                <c:pt idx="7">
                  <c:v>2.0051677424745987E-3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2.5702338474844599E-2</c:v>
                </c:pt>
                <c:pt idx="1">
                  <c:v>9.4905243856505186E-3</c:v>
                </c:pt>
                <c:pt idx="2">
                  <c:v>5.8074459660069758E-2</c:v>
                </c:pt>
                <c:pt idx="3">
                  <c:v>9.7344038986033369E-4</c:v>
                </c:pt>
                <c:pt idx="4">
                  <c:v>2.9401622177094563E-2</c:v>
                </c:pt>
                <c:pt idx="5">
                  <c:v>1.9188672431074624E-2</c:v>
                </c:pt>
                <c:pt idx="6">
                  <c:v>1.3467879487994352E-2</c:v>
                </c:pt>
                <c:pt idx="7">
                  <c:v>4.2115178534743595E-3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2.7026567601076246E-2</c:v>
                </c:pt>
                <c:pt idx="1">
                  <c:v>7.4607323441498764E-3</c:v>
                </c:pt>
                <c:pt idx="2">
                  <c:v>5.0484808245213605E-2</c:v>
                </c:pt>
                <c:pt idx="3">
                  <c:v>5.9127020993696459E-4</c:v>
                </c:pt>
                <c:pt idx="4">
                  <c:v>3.0334502437186647E-2</c:v>
                </c:pt>
                <c:pt idx="5">
                  <c:v>2.0472694097240396E-2</c:v>
                </c:pt>
                <c:pt idx="6">
                  <c:v>9.3808347183915036E-3</c:v>
                </c:pt>
                <c:pt idx="7">
                  <c:v>2.955482748333774E-3</c:v>
                </c:pt>
              </c:numCache>
            </c:numRef>
          </c:val>
        </c:ser>
        <c:overlap val="100"/>
        <c:axId val="290877824"/>
        <c:axId val="29087974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290877824"/>
        <c:axId val="290879744"/>
      </c:lineChart>
      <c:catAx>
        <c:axId val="290877824"/>
        <c:scaling>
          <c:orientation val="minMax"/>
        </c:scaling>
        <c:axPos val="b"/>
        <c:tickLblPos val="nextTo"/>
        <c:crossAx val="290879744"/>
        <c:crosses val="autoZero"/>
        <c:auto val="1"/>
        <c:lblAlgn val="ctr"/>
        <c:lblOffset val="100"/>
      </c:catAx>
      <c:valAx>
        <c:axId val="290879744"/>
        <c:scaling>
          <c:orientation val="minMax"/>
        </c:scaling>
        <c:axPos val="l"/>
        <c:majorGridlines/>
        <c:numFmt formatCode="0%" sourceLinked="0"/>
        <c:tickLblPos val="nextTo"/>
        <c:crossAx val="29087782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9"/>
          <c:w val="0.5562682138416909"/>
          <c:h val="0.692582184133049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0.61020084060424273</c:v>
                </c:pt>
                <c:pt idx="1">
                  <c:v>1.6790417554989345E-2</c:v>
                </c:pt>
                <c:pt idx="2">
                  <c:v>0.12485976627829061</c:v>
                </c:pt>
                <c:pt idx="3">
                  <c:v>1.141251145155782E-3</c:v>
                </c:pt>
                <c:pt idx="4">
                  <c:v>9.593213315633857E-2</c:v>
                </c:pt>
                <c:pt idx="5">
                  <c:v>0.12366290830163523</c:v>
                </c:pt>
                <c:pt idx="6">
                  <c:v>2.1195997363398451E-2</c:v>
                </c:pt>
                <c:pt idx="7">
                  <c:v>6.2166855959489582E-3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IC'!$D$134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IC'!$D$135:$D$142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IC'!$E$134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IC'!$E$135:$E$142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290734848"/>
        <c:axId val="290736384"/>
      </c:barChart>
      <c:catAx>
        <c:axId val="290734848"/>
        <c:scaling>
          <c:orientation val="minMax"/>
        </c:scaling>
        <c:axPos val="l"/>
        <c:tickLblPos val="nextTo"/>
        <c:crossAx val="290736384"/>
        <c:crosses val="autoZero"/>
        <c:auto val="1"/>
        <c:lblAlgn val="ctr"/>
        <c:lblOffset val="100"/>
      </c:catAx>
      <c:valAx>
        <c:axId val="290736384"/>
        <c:scaling>
          <c:orientation val="minMax"/>
        </c:scaling>
        <c:axPos val="b"/>
        <c:majorGridlines/>
        <c:numFmt formatCode="0.0%" sourceLinked="1"/>
        <c:tickLblPos val="nextTo"/>
        <c:crossAx val="29073484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46539267229392106"/>
          <c:y val="2.2888685473957116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8"/>
          <c:y val="5.1400554097404488E-2"/>
          <c:w val="0.82164348206474713"/>
          <c:h val="0.8213732137649461"/>
        </c:manualLayout>
      </c:layout>
      <c:scatterChart>
        <c:scatterStyle val="lineMarker"/>
        <c:ser>
          <c:idx val="0"/>
          <c:order val="0"/>
          <c:tx>
            <c:v>evenwicht</c:v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2.2925923573656215E-3"/>
                  <c:y val="-2.0934752710929077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2.9267566437338671E-2"/>
                  <c:y val="-5.7823089876890631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7.4067765714299863E-2"/>
                  <c:y val="1.8910961589052824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963300376201249"/>
                  <c:y val="2.1797292668660082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1.1987411018905218E-3"/>
                  <c:y val="-6.8002196299113494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1.3705789892028088E-3"/>
                  <c:y val="4.8181936007252596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1.8733079123236381E-3"/>
                  <c:y val="1.1191455951559761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4.8749721278946827E-3"/>
                  <c:y val="2.8709188524677683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txPr>
              <a:bodyPr/>
              <a:lstStyle/>
              <a:p>
                <a:pPr>
                  <a:defRPr baseline="0">
                    <a:solidFill>
                      <a:schemeClr val="accent1"/>
                    </a:solidFill>
                  </a:defRPr>
                </a:pPr>
                <a:endParaRPr lang="nl-NL"/>
              </a:p>
            </c:tx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IC'!$J$3:$J$10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yVal>
        </c:ser>
        <c:ser>
          <c:idx val="1"/>
          <c:order val="1"/>
          <c:tx>
            <c:v>base case</c:v>
          </c:tx>
          <c:spPr>
            <a:ln w="28575">
              <a:noFill/>
            </a:ln>
          </c:spPr>
          <c:marker>
            <c:symbol val="diamond"/>
            <c:size val="12"/>
          </c:marker>
          <c:dLbls>
            <c:dLbl>
              <c:idx val="0"/>
              <c:layout>
                <c:manualLayout>
                  <c:x val="-2.6188094026392678E-2"/>
                  <c:y val="4.612318931866831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1.7458729350929081E-3"/>
                  <c:y val="1.1530797329667103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200" baseline="0"/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0"/>
                  <c:y val="-3.170969265658448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200" baseline="0"/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6.9834917403713836E-3"/>
                  <c:y val="-1.1530797329667103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edge Funds</a:t>
                    </a:r>
                  </a:p>
                </c:rich>
              </c:tx>
              <c:showVal val="1"/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200" baseline="0"/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1200" baseline="0"/>
                </a:pPr>
                <a:endParaRPr lang="nl-NL"/>
              </a:p>
            </c:txPr>
            <c:showVal val="1"/>
          </c:dLbls>
          <c:xVal>
            <c:numRef>
              <c:f>'output IC'!$J$3:$J$10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IC'!$D$3:$D$10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yVal>
        </c:ser>
        <c:axId val="291022336"/>
        <c:axId val="291024256"/>
      </c:scatterChart>
      <c:valAx>
        <c:axId val="29102233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 sz="1300" baseline="0"/>
                </a:pPr>
                <a:r>
                  <a:rPr lang="en-US" sz="1300" baseline="0"/>
                  <a:t>Volatility</a:t>
                </a:r>
              </a:p>
            </c:rich>
          </c:tx>
          <c:layout>
            <c:manualLayout>
              <c:xMode val="edge"/>
              <c:yMode val="edge"/>
              <c:x val="0.65615582551779128"/>
              <c:y val="0.9143162960411767"/>
            </c:manualLayout>
          </c:layout>
        </c:title>
        <c:numFmt formatCode="0%" sourceLinked="0"/>
        <c:tickLblPos val="nextTo"/>
        <c:crossAx val="291024256"/>
        <c:crossesAt val="-4.0000000000000022E-2"/>
        <c:crossBetween val="midCat"/>
      </c:valAx>
      <c:valAx>
        <c:axId val="291024256"/>
        <c:scaling>
          <c:orientation val="minMax"/>
          <c:min val="-4.0000000000000022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300" b="1" i="0" baseline="0"/>
                </a:pPr>
                <a:r>
                  <a:rPr lang="en-US" sz="1300" b="1" i="0" baseline="0"/>
                  <a:t>Overrendement</a:t>
                </a:r>
              </a:p>
            </c:rich>
          </c:tx>
        </c:title>
        <c:numFmt formatCode="0%" sourceLinked="0"/>
        <c:tickLblPos val="nextTo"/>
        <c:crossAx val="291022336"/>
        <c:crosses val="autoZero"/>
        <c:crossBetween val="midCat"/>
      </c:valAx>
    </c:plotArea>
    <c:legend>
      <c:legendPos val="tr"/>
      <c:legendEntry>
        <c:idx val="2"/>
        <c:delete val="1"/>
      </c:legendEntry>
      <c:layout>
        <c:manualLayout>
          <c:xMode val="edge"/>
          <c:yMode val="edge"/>
          <c:x val="0.8568781601100266"/>
          <c:y val="0.53330637154320026"/>
          <c:w val="8.887733813734934E-2"/>
          <c:h val="8.2778823388199654E-2"/>
        </c:manualLayout>
      </c:layout>
      <c:spPr>
        <a:solidFill>
          <a:sysClr val="window" lastClr="FFFFFF"/>
        </a:solidFill>
        <a:ln>
          <a:solidFill>
            <a:sysClr val="windowText" lastClr="000000">
              <a:shade val="95000"/>
              <a:satMod val="105000"/>
            </a:sysClr>
          </a:solidFill>
        </a:ln>
      </c:spPr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IC'!$H$134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IC'!$H$135:$H$142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IC'!$I$134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IC'!$I$135:$I$142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val>
        </c:ser>
        <c:axId val="290966912"/>
        <c:axId val="290972800"/>
      </c:barChart>
      <c:catAx>
        <c:axId val="290966912"/>
        <c:scaling>
          <c:orientation val="minMax"/>
        </c:scaling>
        <c:axPos val="l"/>
        <c:tickLblPos val="none"/>
        <c:crossAx val="290972800"/>
        <c:crosses val="autoZero"/>
        <c:auto val="1"/>
        <c:lblAlgn val="ctr"/>
        <c:lblOffset val="100"/>
      </c:catAx>
      <c:valAx>
        <c:axId val="290972800"/>
        <c:scaling>
          <c:orientation val="minMax"/>
        </c:scaling>
        <c:axPos val="b"/>
        <c:majorGridlines/>
        <c:numFmt formatCode="0.0%" sourceLinked="1"/>
        <c:tickLblPos val="nextTo"/>
        <c:crossAx val="290966912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IC'!$K$134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IC'!$K$135:$K$142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-0.29390747695152525</c:v>
                </c:pt>
                <c:pt idx="2">
                  <c:v>6.857423812834619E-2</c:v>
                </c:pt>
                <c:pt idx="3">
                  <c:v>-0.20272934385775906</c:v>
                </c:pt>
                <c:pt idx="4">
                  <c:v>-0.14794569285453799</c:v>
                </c:pt>
                <c:pt idx="5">
                  <c:v>-0.10839492265633952</c:v>
                </c:pt>
                <c:pt idx="6">
                  <c:v>-0.43007353239699947</c:v>
                </c:pt>
                <c:pt idx="7">
                  <c:v>-0.2928562258300802</c:v>
                </c:pt>
              </c:numCache>
            </c:numRef>
          </c:val>
        </c:ser>
        <c:ser>
          <c:idx val="1"/>
          <c:order val="1"/>
          <c:tx>
            <c:strRef>
              <c:f>'output IC'!$L$134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IC'!$L$135:$L$142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0.10233379189671508</c:v>
                </c:pt>
                <c:pt idx="2">
                  <c:v>0.23046520083623781</c:v>
                </c:pt>
                <c:pt idx="3">
                  <c:v>-0.10096862303199326</c:v>
                </c:pt>
                <c:pt idx="4">
                  <c:v>0.24987552299403243</c:v>
                </c:pt>
                <c:pt idx="5">
                  <c:v>0.25190885481036218</c:v>
                </c:pt>
                <c:pt idx="6">
                  <c:v>0.10661415508186657</c:v>
                </c:pt>
                <c:pt idx="7">
                  <c:v>5.566815887253837E-2</c:v>
                </c:pt>
              </c:numCache>
            </c:numRef>
          </c:val>
        </c:ser>
        <c:axId val="291075584"/>
        <c:axId val="291077120"/>
      </c:barChart>
      <c:catAx>
        <c:axId val="291075584"/>
        <c:scaling>
          <c:orientation val="minMax"/>
        </c:scaling>
        <c:axPos val="l"/>
        <c:tickLblPos val="high"/>
        <c:crossAx val="291077120"/>
        <c:crosses val="autoZero"/>
        <c:auto val="1"/>
        <c:lblAlgn val="ctr"/>
        <c:lblOffset val="100"/>
      </c:catAx>
      <c:valAx>
        <c:axId val="291077120"/>
        <c:scaling>
          <c:orientation val="minMax"/>
        </c:scaling>
        <c:axPos val="b"/>
        <c:majorGridlines/>
        <c:numFmt formatCode="#,##0.00_ ;\-#,##0.00\ " sourceLinked="1"/>
        <c:tickLblPos val="nextTo"/>
        <c:crossAx val="291075584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7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9.3736553429803107E-3</c:v>
                </c:pt>
                <c:pt idx="1">
                  <c:v>0.14520960122687579</c:v>
                </c:pt>
                <c:pt idx="2">
                  <c:v>1.4322402735167318E-4</c:v>
                </c:pt>
                <c:pt idx="3">
                  <c:v>0.11969127116783766</c:v>
                </c:pt>
                <c:pt idx="4">
                  <c:v>0.2292955949334641</c:v>
                </c:pt>
                <c:pt idx="5">
                  <c:v>1.1338267253759967E-2</c:v>
                </c:pt>
                <c:pt idx="6">
                  <c:v>2.7395909062775032E-3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3.4164748824127039E-2</c:v>
                </c:pt>
                <c:pt idx="1">
                  <c:v>0.16253857647592521</c:v>
                </c:pt>
                <c:pt idx="2">
                  <c:v>2.8161551624116517E-3</c:v>
                </c:pt>
                <c:pt idx="3">
                  <c:v>0.13355053658330723</c:v>
                </c:pt>
                <c:pt idx="4">
                  <c:v>9.2728337757529283E-2</c:v>
                </c:pt>
                <c:pt idx="5">
                  <c:v>4.3006363611807139E-2</c:v>
                </c:pt>
                <c:pt idx="6">
                  <c:v>1.3404076726345358E-2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3.4693950569915734E-2</c:v>
                </c:pt>
                <c:pt idx="1">
                  <c:v>0.16734287648808527</c:v>
                </c:pt>
                <c:pt idx="2">
                  <c:v>2.9741436026071173E-3</c:v>
                </c:pt>
                <c:pt idx="3">
                  <c:v>0.13166613127039151</c:v>
                </c:pt>
                <c:pt idx="4">
                  <c:v>9.0360180865172834E-2</c:v>
                </c:pt>
                <c:pt idx="5">
                  <c:v>3.5382912581431961E-2</c:v>
                </c:pt>
                <c:pt idx="6">
                  <c:v>1.3894481748610941E-2</c:v>
                </c:pt>
              </c:numCache>
            </c:numRef>
          </c:val>
        </c:ser>
        <c:overlap val="100"/>
        <c:axId val="291112064"/>
        <c:axId val="29111398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291112064"/>
        <c:axId val="291113984"/>
      </c:lineChart>
      <c:catAx>
        <c:axId val="291112064"/>
        <c:scaling>
          <c:orientation val="minMax"/>
        </c:scaling>
        <c:axPos val="b"/>
        <c:numFmt formatCode="General" sourceLinked="1"/>
        <c:tickLblPos val="nextTo"/>
        <c:crossAx val="291113984"/>
        <c:crosses val="autoZero"/>
        <c:auto val="1"/>
        <c:lblAlgn val="ctr"/>
        <c:lblOffset val="100"/>
      </c:catAx>
      <c:valAx>
        <c:axId val="291113984"/>
        <c:scaling>
          <c:orientation val="minMax"/>
        </c:scaling>
        <c:axPos val="l"/>
        <c:majorGridlines/>
        <c:numFmt formatCode="0%" sourceLinked="0"/>
        <c:tickLblPos val="nextTo"/>
        <c:crossAx val="29111206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5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8"/>
          <c:y val="5.1400554097404488E-2"/>
          <c:w val="0.82164348206474713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5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IC'!$J$135:$J$142</c:f>
              <c:numCache>
                <c:formatCode>0.0%</c:formatCode>
                <c:ptCount val="8"/>
                <c:pt idx="0">
                  <c:v>0.1023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IC'!$I$135:$I$142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yVal>
        </c:ser>
        <c:axId val="291155328"/>
        <c:axId val="291173888"/>
      </c:scatterChart>
      <c:valAx>
        <c:axId val="29115532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34"/>
            </c:manualLayout>
          </c:layout>
        </c:title>
        <c:numFmt formatCode="0%" sourceLinked="0"/>
        <c:tickLblPos val="nextTo"/>
        <c:crossAx val="291173888"/>
        <c:crosses val="autoZero"/>
        <c:crossBetween val="midCat"/>
      </c:valAx>
      <c:valAx>
        <c:axId val="291173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291155328"/>
        <c:crosses val="autoZero"/>
        <c:crossBetween val="midCat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  <a:r>
              <a:rPr lang="nl-NL" sz="1800" b="1" i="0" u="none" strike="noStrike" baseline="0"/>
              <a:t> </a:t>
            </a:r>
            <a:endParaRPr lang="nl-NL"/>
          </a:p>
        </c:rich>
      </c:tx>
      <c:layout>
        <c:manualLayout>
          <c:xMode val="edge"/>
          <c:yMode val="edge"/>
          <c:x val="9.5235958753018223E-4"/>
          <c:y val="4.6296296296296302E-3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analyze'!$B$10:$B$17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66951836148686539"/>
          <c:y val="1.7532808398950134E-2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analyze'!$C$10:$C$17</c:f>
              <c:numCache>
                <c:formatCode>0.00%</c:formatCode>
                <c:ptCount val="8"/>
                <c:pt idx="0">
                  <c:v>1.6116830572092754E-2</c:v>
                </c:pt>
                <c:pt idx="1">
                  <c:v>2.3062985307763092E-3</c:v>
                </c:pt>
                <c:pt idx="2">
                  <c:v>1.8149729837182004E-2</c:v>
                </c:pt>
                <c:pt idx="3">
                  <c:v>2.64589313893338E-4</c:v>
                </c:pt>
                <c:pt idx="4">
                  <c:v>2.4025581299117308E-2</c:v>
                </c:pt>
                <c:pt idx="5">
                  <c:v>3.4221796175204058E-2</c:v>
                </c:pt>
                <c:pt idx="6">
                  <c:v>2.7275787712617077E-3</c:v>
                </c:pt>
                <c:pt idx="7">
                  <c:v>1.0585154592071815E-3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autoTitleDeleted val="1"/>
    <c:plotArea>
      <c:layout/>
      <c:pieChart>
        <c:varyColors val="1"/>
        <c:ser>
          <c:idx val="0"/>
          <c:order val="0"/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analyze'!$C$10:$C$17</c:f>
              <c:numCache>
                <c:formatCode>0.00%</c:formatCode>
                <c:ptCount val="8"/>
                <c:pt idx="0">
                  <c:v>1.6116830572092754E-2</c:v>
                </c:pt>
                <c:pt idx="1">
                  <c:v>2.3062985307763092E-3</c:v>
                </c:pt>
                <c:pt idx="2">
                  <c:v>1.8149729837182004E-2</c:v>
                </c:pt>
                <c:pt idx="3">
                  <c:v>2.64589313893338E-4</c:v>
                </c:pt>
                <c:pt idx="4">
                  <c:v>2.4025581299117308E-2</c:v>
                </c:pt>
                <c:pt idx="5">
                  <c:v>3.4221796175204058E-2</c:v>
                </c:pt>
                <c:pt idx="6">
                  <c:v>2.7275787712617077E-3</c:v>
                </c:pt>
                <c:pt idx="7">
                  <c:v>1.0585154592071815E-3</c:v>
                </c:pt>
              </c:numCache>
            </c:numRef>
          </c:val>
        </c:ser>
        <c:firstSliceAng val="0"/>
      </c:pieChart>
    </c:plotArea>
    <c:legend>
      <c:legendPos val="b"/>
      <c:layout>
        <c:manualLayout>
          <c:xMode val="edge"/>
          <c:yMode val="edge"/>
          <c:x val="8.3125267910102857E-2"/>
          <c:y val="8.2949983364755453E-2"/>
          <c:w val="0.83374946417979456"/>
          <c:h val="0.45695611992162954"/>
        </c:manualLayout>
      </c:layout>
      <c:spPr>
        <a:solidFill>
          <a:schemeClr val="bg1"/>
        </a:solidFill>
      </c:spPr>
      <c:txPr>
        <a:bodyPr/>
        <a:lstStyle/>
        <a:p>
          <a:pPr rtl="0">
            <a:defRPr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</a:p>
        </c:rich>
      </c:tx>
      <c:layout>
        <c:manualLayout>
          <c:xMode val="edge"/>
          <c:yMode val="edge"/>
          <c:x val="0.39119444444444451"/>
          <c:y val="0"/>
        </c:manualLayout>
      </c:layout>
      <c:overlay val="1"/>
      <c:spPr>
        <a:solidFill>
          <a:schemeClr val="bg1"/>
        </a:solidFill>
      </c:spPr>
    </c:title>
    <c:plotArea>
      <c:layout/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analyze'!$E$10:$E$17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1.4756554714979015E-2</c:v>
                </c:pt>
                <c:pt idx="2">
                  <c:v>2.8969409009422228E-2</c:v>
                </c:pt>
                <c:pt idx="3">
                  <c:v>4.3407824388982212E-2</c:v>
                </c:pt>
                <c:pt idx="4">
                  <c:v>6.9586354752018964E-2</c:v>
                </c:pt>
                <c:pt idx="5">
                  <c:v>8.2472295285344041E-2</c:v>
                </c:pt>
                <c:pt idx="6">
                  <c:v>8.7107694541058198E-2</c:v>
                </c:pt>
                <c:pt idx="7">
                  <c:v>9.1425777197242902E-2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analyze'!$F$10:$F$17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overlap val="100"/>
        <c:axId val="268768768"/>
        <c:axId val="268770304"/>
      </c:barChart>
      <c:catAx>
        <c:axId val="268768768"/>
        <c:scaling>
          <c:orientation val="minMax"/>
        </c:scaling>
        <c:axPos val="b"/>
        <c:tickLblPos val="nextTo"/>
        <c:crossAx val="268770304"/>
        <c:crosses val="autoZero"/>
        <c:auto val="1"/>
        <c:lblAlgn val="ctr"/>
        <c:lblOffset val="100"/>
      </c:catAx>
      <c:valAx>
        <c:axId val="268770304"/>
        <c:scaling>
          <c:orientation val="minMax"/>
        </c:scaling>
        <c:axPos val="l"/>
        <c:majorGridlines/>
        <c:numFmt formatCode="0%" sourceLinked="0"/>
        <c:tickLblPos val="nextTo"/>
        <c:crossAx val="268768768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</a:t>
            </a:r>
            <a:r>
              <a:rPr lang="nl-NL" baseline="0"/>
              <a:t> Case</a:t>
            </a:r>
            <a:endParaRPr lang="nl-NL"/>
          </a:p>
        </c:rich>
      </c:tx>
      <c:layout>
        <c:manualLayout>
          <c:xMode val="edge"/>
          <c:yMode val="edge"/>
          <c:x val="0.38897922134733159"/>
          <c:y val="4.6296296296296294E-3"/>
        </c:manualLayout>
      </c:layout>
      <c:overlay val="1"/>
      <c:spPr>
        <a:solidFill>
          <a:sysClr val="window" lastClr="FFFFFF"/>
        </a:solidFill>
      </c:spPr>
    </c:title>
    <c:plotArea>
      <c:layout/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analyze'!$H$10:$H$17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1.6116830572092754E-2</c:v>
                </c:pt>
                <c:pt idx="2">
                  <c:v>1.8423129102869064E-2</c:v>
                </c:pt>
                <c:pt idx="3">
                  <c:v>3.6572858940051065E-2</c:v>
                </c:pt>
                <c:pt idx="4">
                  <c:v>3.6837448253944402E-2</c:v>
                </c:pt>
                <c:pt idx="5">
                  <c:v>6.0863029553061707E-2</c:v>
                </c:pt>
                <c:pt idx="6">
                  <c:v>9.5084825728265765E-2</c:v>
                </c:pt>
                <c:pt idx="7">
                  <c:v>9.7812404499527467E-2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analyze'!$I$10:$I$17</c:f>
              <c:numCache>
                <c:formatCode>0.00%</c:formatCode>
                <c:ptCount val="8"/>
                <c:pt idx="0">
                  <c:v>1.6116830572092754E-2</c:v>
                </c:pt>
                <c:pt idx="1">
                  <c:v>2.3062985307763092E-3</c:v>
                </c:pt>
                <c:pt idx="2">
                  <c:v>1.8149729837182004E-2</c:v>
                </c:pt>
                <c:pt idx="3">
                  <c:v>2.64589313893338E-4</c:v>
                </c:pt>
                <c:pt idx="4">
                  <c:v>2.4025581299117308E-2</c:v>
                </c:pt>
                <c:pt idx="5">
                  <c:v>3.4221796175204058E-2</c:v>
                </c:pt>
                <c:pt idx="6">
                  <c:v>2.7275787712617077E-3</c:v>
                </c:pt>
                <c:pt idx="7">
                  <c:v>1.0585154592071815E-3</c:v>
                </c:pt>
              </c:numCache>
            </c:numRef>
          </c:val>
        </c:ser>
        <c:overlap val="100"/>
        <c:axId val="63734528"/>
        <c:axId val="269107968"/>
      </c:barChart>
      <c:catAx>
        <c:axId val="63734528"/>
        <c:scaling>
          <c:orientation val="minMax"/>
        </c:scaling>
        <c:axPos val="b"/>
        <c:tickLblPos val="nextTo"/>
        <c:crossAx val="269107968"/>
        <c:crosses val="autoZero"/>
        <c:auto val="1"/>
        <c:lblAlgn val="ctr"/>
        <c:lblOffset val="100"/>
      </c:catAx>
      <c:valAx>
        <c:axId val="269107968"/>
        <c:scaling>
          <c:orientation val="minMax"/>
        </c:scaling>
        <c:axPos val="l"/>
        <c:majorGridlines/>
        <c:numFmt formatCode="0%" sourceLinked="0"/>
        <c:tickLblPos val="nextTo"/>
        <c:crossAx val="63734528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chart" Target="../charts/chart30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image" Target="../media/image1.png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321609</xdr:colOff>
      <xdr:row>145</xdr:row>
      <xdr:rowOff>73958</xdr:rowOff>
    </xdr:from>
    <xdr:to>
      <xdr:col>5</xdr:col>
      <xdr:colOff>35859</xdr:colOff>
      <xdr:row>162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31937</xdr:colOff>
      <xdr:row>43</xdr:row>
      <xdr:rowOff>65553</xdr:rowOff>
    </xdr:from>
    <xdr:to>
      <xdr:col>10</xdr:col>
      <xdr:colOff>156883</xdr:colOff>
      <xdr:row>72</xdr:row>
      <xdr:rowOff>89646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1210234</xdr:colOff>
      <xdr:row>145</xdr:row>
      <xdr:rowOff>22412</xdr:rowOff>
    </xdr:from>
    <xdr:to>
      <xdr:col>10</xdr:col>
      <xdr:colOff>930087</xdr:colOff>
      <xdr:row>160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1019735</xdr:colOff>
      <xdr:row>145</xdr:row>
      <xdr:rowOff>56031</xdr:rowOff>
    </xdr:from>
    <xdr:to>
      <xdr:col>13</xdr:col>
      <xdr:colOff>705971</xdr:colOff>
      <xdr:row>161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5</xdr:col>
      <xdr:colOff>471769</xdr:colOff>
      <xdr:row>93</xdr:row>
      <xdr:rowOff>14567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96</xdr:row>
      <xdr:rowOff>0</xdr:rowOff>
    </xdr:from>
    <xdr:to>
      <xdr:col>5</xdr:col>
      <xdr:colOff>395567</xdr:colOff>
      <xdr:row>108</xdr:row>
      <xdr:rowOff>165847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923925</xdr:colOff>
      <xdr:row>21</xdr:row>
      <xdr:rowOff>28575</xdr:rowOff>
    </xdr:from>
    <xdr:to>
      <xdr:col>5</xdr:col>
      <xdr:colOff>200025</xdr:colOff>
      <xdr:row>35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21</xdr:row>
      <xdr:rowOff>9524</xdr:rowOff>
    </xdr:from>
    <xdr:to>
      <xdr:col>11</xdr:col>
      <xdr:colOff>85725</xdr:colOff>
      <xdr:row>35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190501</xdr:colOff>
      <xdr:row>34</xdr:row>
      <xdr:rowOff>95250</xdr:rowOff>
    </xdr:from>
    <xdr:to>
      <xdr:col>10</xdr:col>
      <xdr:colOff>142875</xdr:colOff>
      <xdr:row>40</xdr:row>
      <xdr:rowOff>19049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3</xdr:row>
      <xdr:rowOff>152400</xdr:rowOff>
    </xdr:from>
    <xdr:to>
      <xdr:col>18</xdr:col>
      <xdr:colOff>76200</xdr:colOff>
      <xdr:row>18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4</xdr:row>
      <xdr:rowOff>0</xdr:rowOff>
    </xdr:from>
    <xdr:to>
      <xdr:col>26</xdr:col>
      <xdr:colOff>304800</xdr:colOff>
      <xdr:row>18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G17" sqref="G17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8" t="s">
        <v>93</v>
      </c>
      <c r="D1" s="368"/>
      <c r="E1" s="369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0.55549268496933957</v>
      </c>
      <c r="C3" s="299">
        <v>0</v>
      </c>
      <c r="D3" s="218">
        <v>1</v>
      </c>
      <c r="E3" s="145">
        <v>0.99</v>
      </c>
      <c r="F3" s="144">
        <f>'Samenvatting mixen'!B81</f>
        <v>0.61020084060424273</v>
      </c>
      <c r="G3" s="144">
        <f>+F3-B3</f>
        <v>5.4708155634903166E-2</v>
      </c>
      <c r="H3" s="301"/>
    </row>
    <row r="4" spans="1:24">
      <c r="A4" s="143" t="str">
        <f>Scenarios!A5</f>
        <v>High Yield</v>
      </c>
      <c r="B4" s="218">
        <v>9.7387120358343723E-2</v>
      </c>
      <c r="C4" s="299">
        <v>0</v>
      </c>
      <c r="D4" s="346">
        <v>1</v>
      </c>
      <c r="E4" s="145">
        <v>0.99</v>
      </c>
      <c r="F4" s="144">
        <f>'Samenvatting mixen'!B82</f>
        <v>1.6790417554989345E-2</v>
      </c>
      <c r="G4" s="144">
        <f t="shared" ref="G4:G10" si="0">+F4-B4</f>
        <v>-8.0596702803354375E-2</v>
      </c>
      <c r="H4" s="302"/>
      <c r="W4" s="133" t="str">
        <f>A4</f>
        <v>High Yield</v>
      </c>
      <c r="X4" s="134">
        <f>B4/SUM($B$4:$B$10)</f>
        <v>0.21909002858957732</v>
      </c>
    </row>
    <row r="5" spans="1:24">
      <c r="A5" s="143" t="str">
        <f>Scenarios!A6</f>
        <v>Emerging market debt</v>
      </c>
      <c r="B5" s="218">
        <v>9.5164223805884504E-2</v>
      </c>
      <c r="C5" s="299">
        <v>0</v>
      </c>
      <c r="D5" s="218">
        <v>1</v>
      </c>
      <c r="E5" s="145">
        <v>0.99</v>
      </c>
      <c r="F5" s="144">
        <f>'Samenvatting mixen'!B83</f>
        <v>0.12485976627829061</v>
      </c>
      <c r="G5" s="144">
        <f t="shared" si="0"/>
        <v>2.9695542472406106E-2</v>
      </c>
      <c r="W5" s="133" t="str">
        <f t="shared" ref="W5:W10" si="1">A5</f>
        <v>Emerging market debt</v>
      </c>
      <c r="X5" s="134">
        <f t="shared" ref="X5:X10" si="2">B5/SUM($B$4:$B$10)</f>
        <v>0.21408921875519724</v>
      </c>
    </row>
    <row r="6" spans="1:24">
      <c r="A6" s="143" t="str">
        <f>Scenarios!A7</f>
        <v>Aandelen ontwikkeld</v>
      </c>
      <c r="B6" s="346">
        <v>0.10363483668477239</v>
      </c>
      <c r="C6" s="299">
        <v>0</v>
      </c>
      <c r="D6" s="346">
        <v>1</v>
      </c>
      <c r="E6" s="145">
        <v>0.99</v>
      </c>
      <c r="F6" s="144">
        <f>'Samenvatting mixen'!B84</f>
        <v>1.141251145155782E-3</v>
      </c>
      <c r="G6" s="144">
        <f t="shared" si="0"/>
        <v>-0.1024935855396166</v>
      </c>
      <c r="H6" s="301"/>
      <c r="W6" s="133" t="str">
        <f t="shared" si="1"/>
        <v>Aandelen ontwikkeld</v>
      </c>
      <c r="X6" s="134">
        <f t="shared" si="2"/>
        <v>0.23314540206750922</v>
      </c>
    </row>
    <row r="7" spans="1:24">
      <c r="A7" s="143" t="str">
        <f>Scenarios!A8</f>
        <v>Aandelen opkomend</v>
      </c>
      <c r="B7" s="346">
        <v>5.1404597453969164E-2</v>
      </c>
      <c r="C7" s="299">
        <v>0</v>
      </c>
      <c r="D7" s="346">
        <v>1</v>
      </c>
      <c r="E7" s="145">
        <v>0.99</v>
      </c>
      <c r="F7" s="144">
        <f>'Samenvatting mixen'!B85</f>
        <v>9.593213315633857E-2</v>
      </c>
      <c r="G7" s="144">
        <f t="shared" si="0"/>
        <v>4.4527535702369406E-2</v>
      </c>
      <c r="H7" s="301"/>
      <c r="W7" s="133" t="str">
        <f t="shared" si="1"/>
        <v>Aandelen opkomend</v>
      </c>
      <c r="X7" s="134">
        <f t="shared" si="2"/>
        <v>0.11564398540983163</v>
      </c>
    </row>
    <row r="8" spans="1:24">
      <c r="A8" s="143" t="str">
        <f>Scenarios!A9</f>
        <v>Commodities</v>
      </c>
      <c r="B8" s="346">
        <v>1.9729061421683056E-2</v>
      </c>
      <c r="C8" s="299">
        <v>0</v>
      </c>
      <c r="D8" s="346">
        <v>1</v>
      </c>
      <c r="E8" s="145">
        <v>0.99</v>
      </c>
      <c r="F8" s="144">
        <f>'Samenvatting mixen'!B86</f>
        <v>0.12366290830163523</v>
      </c>
      <c r="G8" s="144">
        <f t="shared" si="0"/>
        <v>0.10393384687995218</v>
      </c>
      <c r="H8" s="301"/>
      <c r="W8" s="133" t="str">
        <f t="shared" si="1"/>
        <v>Commodities</v>
      </c>
      <c r="X8" s="134">
        <f t="shared" si="2"/>
        <v>4.4384109675050465E-2</v>
      </c>
    </row>
    <row r="9" spans="1:24">
      <c r="A9" s="143" t="str">
        <f>Scenarios!A10</f>
        <v>Hedge funds</v>
      </c>
      <c r="B9" s="218">
        <v>3.1019975297703138E-2</v>
      </c>
      <c r="C9" s="299">
        <v>0</v>
      </c>
      <c r="D9" s="346">
        <v>1</v>
      </c>
      <c r="E9" s="145">
        <v>0.99</v>
      </c>
      <c r="F9" s="144">
        <f>'Samenvatting mixen'!B87</f>
        <v>2.1195997363398451E-2</v>
      </c>
      <c r="G9" s="144">
        <f t="shared" si="0"/>
        <v>-9.8239779343046868E-3</v>
      </c>
      <c r="W9" s="133" t="str">
        <f t="shared" si="1"/>
        <v>Hedge funds</v>
      </c>
      <c r="X9" s="134">
        <f t="shared" si="2"/>
        <v>6.978507270586419E-2</v>
      </c>
    </row>
    <row r="10" spans="1:24" ht="15.75" thickBot="1">
      <c r="A10" s="139" t="str">
        <f>Scenarios!A11</f>
        <v>Onroerend goed</v>
      </c>
      <c r="B10" s="219">
        <v>4.6167500008304781E-2</v>
      </c>
      <c r="C10" s="300">
        <v>0</v>
      </c>
      <c r="D10" s="219">
        <v>1</v>
      </c>
      <c r="E10" s="147">
        <v>0.99</v>
      </c>
      <c r="F10" s="146">
        <f>'Samenvatting mixen'!B88</f>
        <v>6.2166855959489582E-3</v>
      </c>
      <c r="G10" s="146">
        <f t="shared" si="0"/>
        <v>-3.9950814412355824E-2</v>
      </c>
      <c r="W10" s="133" t="str">
        <f t="shared" si="1"/>
        <v>Onroerend goed</v>
      </c>
      <c r="X10" s="134">
        <f t="shared" si="2"/>
        <v>0.10386218279696992</v>
      </c>
    </row>
    <row r="11" spans="1:24" ht="15.75" thickBot="1">
      <c r="A11" s="148" t="s">
        <v>89</v>
      </c>
      <c r="B11" s="149">
        <f>Scenarios!C12</f>
        <v>9.9916807995241275E-2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141</v>
      </c>
      <c r="B15" s="330">
        <f t="array" ref="B15">+MMULT(TRANSPOSE(F3:F10),MMULT(k,F3:F10))^(0.5)</f>
        <v>9.8870919958734663E-2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9.9916807995241275E-2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0" t="s">
        <v>98</v>
      </c>
      <c r="C200" s="368"/>
      <c r="D200" s="368"/>
      <c r="E200" s="369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disablePrompts="1"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E43" sqref="E43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72" t="s">
        <v>117</v>
      </c>
      <c r="F2" s="372"/>
      <c r="G2" s="372"/>
      <c r="H2" s="372"/>
      <c r="I2" s="372"/>
      <c r="J2" s="372"/>
      <c r="K2" s="372"/>
      <c r="L2" s="373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0.55549268496933957</v>
      </c>
      <c r="C4" s="178">
        <v>0</v>
      </c>
      <c r="D4" s="223">
        <v>4.3571419993869868E-2</v>
      </c>
      <c r="E4" s="220">
        <v>0.99999999999999989</v>
      </c>
      <c r="F4" s="221">
        <v>0.53809608757973648</v>
      </c>
      <c r="G4" s="221">
        <v>0.51691057431478837</v>
      </c>
      <c r="H4" s="221">
        <v>0.26512268753745427</v>
      </c>
      <c r="I4" s="221">
        <v>0.30633091260285272</v>
      </c>
      <c r="J4" s="221">
        <v>0.25776542912961581</v>
      </c>
      <c r="K4" s="221">
        <v>0.49880026622502738</v>
      </c>
      <c r="L4" s="222">
        <v>0.40988870730079396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9.7387120358343723E-2</v>
      </c>
      <c r="C5" s="178">
        <v>3.0000000000000002E-2</v>
      </c>
      <c r="D5" s="223">
        <v>0.15810707611932825</v>
      </c>
      <c r="E5" s="223">
        <v>0.53809608757973648</v>
      </c>
      <c r="F5" s="224">
        <v>1.0000000000000002</v>
      </c>
      <c r="G5" s="224">
        <v>0.94177115286639357</v>
      </c>
      <c r="H5" s="224">
        <v>0.73614790661359208</v>
      </c>
      <c r="I5" s="224">
        <v>0.74216818464687206</v>
      </c>
      <c r="J5" s="224">
        <v>0.6048417122454024</v>
      </c>
      <c r="K5" s="224">
        <v>0.86164575178315306</v>
      </c>
      <c r="L5" s="225">
        <v>0.86125970507824035</v>
      </c>
      <c r="S5" s="84"/>
      <c r="T5" s="6"/>
      <c r="U5" s="85"/>
    </row>
    <row r="6" spans="1:21">
      <c r="A6" s="102" t="s">
        <v>6</v>
      </c>
      <c r="B6" s="106">
        <f>'Control panel'!B5</f>
        <v>9.5164223805884504E-2</v>
      </c>
      <c r="C6" s="178">
        <v>3.1452343984147556E-2</v>
      </c>
      <c r="D6" s="223">
        <v>0.16193319430872868</v>
      </c>
      <c r="E6" s="223">
        <v>0.51691057431478837</v>
      </c>
      <c r="F6" s="224">
        <v>0.94177115286639357</v>
      </c>
      <c r="G6" s="224">
        <v>1</v>
      </c>
      <c r="H6" s="224">
        <v>0.7682232653061406</v>
      </c>
      <c r="I6" s="224">
        <v>0.79170142390806597</v>
      </c>
      <c r="J6" s="224">
        <v>0.62860572473116894</v>
      </c>
      <c r="K6" s="224">
        <v>0.86583564760808152</v>
      </c>
      <c r="L6" s="225">
        <v>0.86330366967843342</v>
      </c>
      <c r="S6" s="84"/>
      <c r="T6" s="6"/>
      <c r="U6" s="85"/>
    </row>
    <row r="7" spans="1:21">
      <c r="A7" s="102" t="s">
        <v>7</v>
      </c>
      <c r="B7" s="106">
        <f>'Control panel'!B6</f>
        <v>0.10363483668477239</v>
      </c>
      <c r="C7" s="178">
        <v>5.6804592721954011E-2</v>
      </c>
      <c r="D7" s="223">
        <v>0.28684488662827246</v>
      </c>
      <c r="E7" s="223">
        <v>0.26512268753745388</v>
      </c>
      <c r="F7" s="224">
        <v>0.7361479066135922</v>
      </c>
      <c r="G7" s="224">
        <v>0.7682232653061406</v>
      </c>
      <c r="H7" s="224">
        <v>1.0000000000000002</v>
      </c>
      <c r="I7" s="224">
        <v>0.810869651798099</v>
      </c>
      <c r="J7" s="224">
        <v>0.698944093128679</v>
      </c>
      <c r="K7" s="224">
        <v>0.74165364419402413</v>
      </c>
      <c r="L7" s="225">
        <v>0.88368691913192909</v>
      </c>
      <c r="S7" s="84"/>
      <c r="T7" s="6"/>
      <c r="U7" s="85"/>
    </row>
    <row r="8" spans="1:21">
      <c r="A8" s="102" t="s">
        <v>8</v>
      </c>
      <c r="B8" s="106">
        <f>'Control panel'!B7</f>
        <v>5.1404597453969164E-2</v>
      </c>
      <c r="C8" s="178">
        <v>5.6320387554596889E-2</v>
      </c>
      <c r="D8" s="223">
        <v>0.29497711980114533</v>
      </c>
      <c r="E8" s="223">
        <v>0.30633091260285283</v>
      </c>
      <c r="F8" s="224">
        <v>0.74216818464687206</v>
      </c>
      <c r="G8" s="224">
        <v>0.79170142390806608</v>
      </c>
      <c r="H8" s="224">
        <v>0.81086965179809911</v>
      </c>
      <c r="I8" s="224">
        <v>0.99999999999999978</v>
      </c>
      <c r="J8" s="224">
        <v>0.64038553303047341</v>
      </c>
      <c r="K8" s="224">
        <v>0.64285674252709391</v>
      </c>
      <c r="L8" s="225">
        <v>0.78565246061343619</v>
      </c>
      <c r="S8" s="84"/>
      <c r="T8" s="6"/>
      <c r="U8" s="85"/>
    </row>
    <row r="9" spans="1:21">
      <c r="A9" s="102" t="s">
        <v>9</v>
      </c>
      <c r="B9" s="106">
        <f>'Control panel'!B8</f>
        <v>1.9729061421683056E-2</v>
      </c>
      <c r="C9" s="178">
        <v>5.236888388126059E-2</v>
      </c>
      <c r="D9" s="223">
        <v>0.32949402218690865</v>
      </c>
      <c r="E9" s="223">
        <v>0.25776542912961575</v>
      </c>
      <c r="F9" s="224">
        <v>0.60484171224540262</v>
      </c>
      <c r="G9" s="224">
        <v>0.62860572473116916</v>
      </c>
      <c r="H9" s="224">
        <v>0.698944093128679</v>
      </c>
      <c r="I9" s="224">
        <v>0.64038553303047341</v>
      </c>
      <c r="J9" s="224">
        <v>1.0000000000000002</v>
      </c>
      <c r="K9" s="224">
        <v>0.56967702853737867</v>
      </c>
      <c r="L9" s="225">
        <v>0.67129908624723933</v>
      </c>
      <c r="S9" s="84"/>
      <c r="T9" s="6"/>
      <c r="U9" s="85"/>
    </row>
    <row r="10" spans="1:21">
      <c r="A10" s="102" t="s">
        <v>10</v>
      </c>
      <c r="B10" s="106">
        <f>'Control panel'!B9</f>
        <v>3.1019975297703138E-2</v>
      </c>
      <c r="C10" s="178">
        <v>2.8306574622560098E-2</v>
      </c>
      <c r="D10" s="223">
        <v>0.1608611248297202</v>
      </c>
      <c r="E10" s="223">
        <v>0.49880026622502749</v>
      </c>
      <c r="F10" s="224">
        <v>0.86164575178315295</v>
      </c>
      <c r="G10" s="224">
        <v>0.86583564760808163</v>
      </c>
      <c r="H10" s="224">
        <v>0.74165364419402413</v>
      </c>
      <c r="I10" s="224">
        <v>0.64285674252709391</v>
      </c>
      <c r="J10" s="224">
        <v>0.56967702853737878</v>
      </c>
      <c r="K10" s="224">
        <v>0.99999999999999978</v>
      </c>
      <c r="L10" s="225">
        <v>0.79252565178528167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4.6167500008304781E-2</v>
      </c>
      <c r="C11" s="179">
        <v>3.9543569652327068E-2</v>
      </c>
      <c r="D11" s="226">
        <v>0.19933384935580506</v>
      </c>
      <c r="E11" s="226">
        <v>0.40988870730079396</v>
      </c>
      <c r="F11" s="227">
        <v>0.86125970507824035</v>
      </c>
      <c r="G11" s="227">
        <v>0.86330366967843342</v>
      </c>
      <c r="H11" s="227">
        <v>0.88368691913192909</v>
      </c>
      <c r="I11" s="227">
        <v>0.78565246061343608</v>
      </c>
      <c r="J11" s="227">
        <v>0.67129908624723922</v>
      </c>
      <c r="K11" s="227">
        <v>0.79252565178528178</v>
      </c>
      <c r="L11" s="228">
        <v>1</v>
      </c>
    </row>
    <row r="12" spans="1:21">
      <c r="A12" s="84"/>
      <c r="B12" s="110" t="s">
        <v>89</v>
      </c>
      <c r="C12" s="85">
        <v>9.9916807995241275E-2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71"/>
      <c r="H17" s="371"/>
      <c r="I17" s="371"/>
      <c r="J17" s="371"/>
    </row>
    <row r="18" spans="1:24">
      <c r="D18" s="98"/>
      <c r="E18" s="98"/>
      <c r="S18" s="84"/>
      <c r="T18" s="371"/>
      <c r="U18" s="371"/>
      <c r="V18" s="371"/>
      <c r="W18" s="371"/>
      <c r="X18" s="371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47">
        <v>-3.2445168309994665E-3</v>
      </c>
      <c r="D24" s="347">
        <v>-1.0761362748873404E-3</v>
      </c>
      <c r="E24" s="347">
        <v>-3.4179872754884488E-3</v>
      </c>
      <c r="F24" s="347">
        <v>-2.5720358328627513E-2</v>
      </c>
      <c r="G24" s="347">
        <v>-0.26287574291051119</v>
      </c>
      <c r="H24" s="348">
        <v>-3.2441343963196256E-3</v>
      </c>
      <c r="I24" s="351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3.0000000000000002E-2</v>
      </c>
      <c r="C25" s="347">
        <v>1.6179696624993429E-2</v>
      </c>
      <c r="D25" s="347">
        <v>-0.11665352984413441</v>
      </c>
      <c r="E25" s="347">
        <v>4.4921069366340667E-2</v>
      </c>
      <c r="F25" s="347">
        <v>-0.44674311133704736</v>
      </c>
      <c r="G25" s="347">
        <v>-0.42626136345704735</v>
      </c>
      <c r="H25" s="348">
        <v>0.30725831758561928</v>
      </c>
      <c r="I25" s="178">
        <f t="shared" ref="I25:I31" si="1">+SUMPRODUCT(B25:H25,$B$33:$H$33)</f>
        <v>1.6179696624993429E-2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3.1452343984147556E-2</v>
      </c>
      <c r="C26" s="347">
        <v>3.7319966148414679E-2</v>
      </c>
      <c r="D26" s="347">
        <v>-4.8021188534465672E-2</v>
      </c>
      <c r="E26" s="347">
        <v>4.0962979877150092E-2</v>
      </c>
      <c r="F26" s="347">
        <v>-0.52419483478596951</v>
      </c>
      <c r="G26" s="347">
        <v>-0.34915429717679131</v>
      </c>
      <c r="H26" s="348">
        <v>0.25699806235679012</v>
      </c>
      <c r="I26" s="178">
        <f t="shared" si="1"/>
        <v>3.7319966148414679E-2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5.6804592721954011E-2</v>
      </c>
      <c r="C27" s="347">
        <v>-2.8962333226624885E-2</v>
      </c>
      <c r="D27" s="347">
        <v>-0.23429908700831398</v>
      </c>
      <c r="E27" s="347">
        <v>4.3775760455613204E-2</v>
      </c>
      <c r="F27" s="347">
        <v>-0.62714186373669567</v>
      </c>
      <c r="G27" s="347">
        <v>-0.49529032858854438</v>
      </c>
      <c r="H27" s="348">
        <v>0.35646760603468935</v>
      </c>
      <c r="I27" s="178">
        <f t="shared" si="1"/>
        <v>-2.8962333226624885E-2</v>
      </c>
      <c r="J27" s="76"/>
    </row>
    <row r="28" spans="1:24">
      <c r="A28" s="18" t="s">
        <v>8</v>
      </c>
      <c r="B28" s="21">
        <f t="shared" si="0"/>
        <v>5.6320387554596889E-2</v>
      </c>
      <c r="C28" s="347">
        <v>7.3707562081584549E-2</v>
      </c>
      <c r="D28" s="347">
        <v>-2.5637735919486003E-2</v>
      </c>
      <c r="E28" s="347">
        <v>7.530034800317506E-2</v>
      </c>
      <c r="F28" s="347">
        <v>-0.39025793435067591</v>
      </c>
      <c r="G28" s="347">
        <v>-0.23400026239464458</v>
      </c>
      <c r="H28" s="348">
        <v>0.42609885549762044</v>
      </c>
      <c r="I28" s="178">
        <f t="shared" si="1"/>
        <v>7.3707562081584549E-2</v>
      </c>
      <c r="J28" s="94"/>
      <c r="U28" s="95"/>
    </row>
    <row r="29" spans="1:24">
      <c r="A29" s="18" t="s">
        <v>9</v>
      </c>
      <c r="B29" s="21">
        <f t="shared" si="0"/>
        <v>5.236888388126059E-2</v>
      </c>
      <c r="C29" s="347">
        <v>8.3002461795964225E-2</v>
      </c>
      <c r="D29" s="347">
        <v>1.4659134029297541E-2</v>
      </c>
      <c r="E29" s="347">
        <v>9.0021127349297542E-2</v>
      </c>
      <c r="F29" s="347">
        <v>-0.52034739633736904</v>
      </c>
      <c r="G29" s="347">
        <v>-0.53983753129736911</v>
      </c>
      <c r="H29" s="348">
        <v>0.62225820003596433</v>
      </c>
      <c r="I29" s="178">
        <f t="shared" si="1"/>
        <v>8.3002461795964225E-2</v>
      </c>
      <c r="J29" s="96"/>
      <c r="U29" s="95"/>
    </row>
    <row r="30" spans="1:24">
      <c r="A30" s="18" t="s">
        <v>10</v>
      </c>
      <c r="B30" s="21">
        <f t="shared" si="0"/>
        <v>2.8306574622560098E-2</v>
      </c>
      <c r="C30" s="347">
        <v>1.7150072909239287E-2</v>
      </c>
      <c r="D30" s="347">
        <v>-4.9533268420959037E-2</v>
      </c>
      <c r="E30" s="347">
        <v>1.7430872722668356E-2</v>
      </c>
      <c r="F30" s="347">
        <v>-0.25817556934926228</v>
      </c>
      <c r="G30" s="347">
        <v>-8.4113867738416243E-3</v>
      </c>
      <c r="H30" s="348">
        <v>0.28088399481325171</v>
      </c>
      <c r="I30" s="178">
        <f t="shared" si="1"/>
        <v>1.7150072909239287E-2</v>
      </c>
      <c r="J30" s="96"/>
      <c r="U30" s="95"/>
    </row>
    <row r="31" spans="1:24" ht="13.5" thickBot="1">
      <c r="A31" s="22" t="s">
        <v>11</v>
      </c>
      <c r="B31" s="25">
        <f t="shared" si="0"/>
        <v>3.9543569652327068E-2</v>
      </c>
      <c r="C31" s="349">
        <v>1.1096548394613586E-2</v>
      </c>
      <c r="D31" s="349">
        <v>-6.3742580471365828E-2</v>
      </c>
      <c r="E31" s="349">
        <v>5.1643285353376429E-2</v>
      </c>
      <c r="F31" s="349">
        <v>-0.33711017380255137</v>
      </c>
      <c r="G31" s="349">
        <v>-0.18032316202205312</v>
      </c>
      <c r="H31" s="350">
        <v>0.39323731385853111</v>
      </c>
      <c r="I31" s="352">
        <f t="shared" si="1"/>
        <v>1.1096548394613586E-2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2.0686312054319547E-2</v>
      </c>
      <c r="D35" s="303">
        <f>SUMPRODUCT(D24:D31,'Control panel'!$F$3:$F$10)</f>
        <v>-1.0971495370588594E-2</v>
      </c>
      <c r="E35" s="303">
        <f>SUMPRODUCT(E24:E31,'Control panel'!$F$3:$F$10)</f>
        <v>2.2879684261693619E-2</v>
      </c>
      <c r="F35" s="303">
        <f>SUMPRODUCT(F24:F31,'Control panel'!$F$3:$F$10)</f>
        <v>-0.19871610370841936</v>
      </c>
      <c r="G35" s="303">
        <f>SUMPRODUCT(G24:G31,'Control panel'!$F$3:$F$10)</f>
        <v>-0.30223000377081116</v>
      </c>
      <c r="H35" s="303">
        <f>SUMPRODUCT(H24:H31,'Control panel'!$F$3:$F$10)</f>
        <v>0.16190003900996486</v>
      </c>
      <c r="I35" s="305">
        <f>SUMPRODUCT(I24:I31,'Control panel'!$F$3:$F$10)</f>
        <v>2.0686312054319547E-2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142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D4" sqref="D4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5" t="s">
        <v>3</v>
      </c>
      <c r="E3" s="375"/>
      <c r="F3" s="375"/>
      <c r="G3" s="375"/>
      <c r="H3" s="375"/>
      <c r="I3" s="375"/>
      <c r="J3" s="375"/>
      <c r="K3" s="376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4.3571419993869868E-2</v>
      </c>
      <c r="D4" s="111">
        <f>Scenarios!E4</f>
        <v>0.99999999999999989</v>
      </c>
      <c r="E4" s="112">
        <f>Scenarios!F4</f>
        <v>0.53809608757973648</v>
      </c>
      <c r="F4" s="112">
        <f>Scenarios!G4</f>
        <v>0.51691057431478837</v>
      </c>
      <c r="G4" s="112">
        <f>Scenarios!H4</f>
        <v>0.26512268753745427</v>
      </c>
      <c r="H4" s="112">
        <f>Scenarios!I4</f>
        <v>0.30633091260285272</v>
      </c>
      <c r="I4" s="112">
        <f>Scenarios!J4</f>
        <v>0.25776542912961581</v>
      </c>
      <c r="J4" s="112">
        <f>Scenarios!K4</f>
        <v>0.49880026622502738</v>
      </c>
      <c r="K4" s="113">
        <f>Scenarios!L4</f>
        <v>0.40988870730079396</v>
      </c>
      <c r="L4" s="239" t="s">
        <v>120</v>
      </c>
      <c r="N4" s="36">
        <f t="array" ref="N4:U11">+D4:K11*TRANSPOSE(C4:C11)*C4:C11</f>
        <v>1.8984686402822026E-3</v>
      </c>
      <c r="O4" s="36">
        <v>3.7069169443826253E-3</v>
      </c>
      <c r="P4" s="36">
        <v>3.6471448596698615E-3</v>
      </c>
      <c r="Q4" s="36">
        <v>3.3135667206881342E-3</v>
      </c>
      <c r="R4" s="36">
        <v>3.9371401025297022E-3</v>
      </c>
      <c r="S4" s="36">
        <v>3.7006151639920222E-3</v>
      </c>
      <c r="T4" s="36">
        <v>3.496064944121538E-3</v>
      </c>
      <c r="U4" s="36">
        <v>3.5599895305005284E-3</v>
      </c>
    </row>
    <row r="5" spans="1:21">
      <c r="A5" s="41" t="s">
        <v>5</v>
      </c>
      <c r="B5" s="42">
        <f>Scenarios!B25</f>
        <v>3.0000000000000002E-2</v>
      </c>
      <c r="C5" s="42">
        <f>Scenarios!D5</f>
        <v>0.15810707611932825</v>
      </c>
      <c r="D5" s="111">
        <f>Scenarios!E5</f>
        <v>0.53809608757973648</v>
      </c>
      <c r="E5" s="112">
        <f>Scenarios!F5</f>
        <v>1.0000000000000002</v>
      </c>
      <c r="F5" s="112">
        <f>Scenarios!G5</f>
        <v>0.94177115286639357</v>
      </c>
      <c r="G5" s="112">
        <f>Scenarios!H5</f>
        <v>0.73614790661359208</v>
      </c>
      <c r="H5" s="112">
        <f>Scenarios!I5</f>
        <v>0.74216818464687206</v>
      </c>
      <c r="I5" s="112">
        <f>Scenarios!J5</f>
        <v>0.6048417122454024</v>
      </c>
      <c r="J5" s="112">
        <f>Scenarios!K5</f>
        <v>0.86164575178315306</v>
      </c>
      <c r="K5" s="113">
        <f>Scenarios!L5</f>
        <v>0.86125970507824035</v>
      </c>
      <c r="N5" s="36">
        <v>3.7069169443826257E-3</v>
      </c>
      <c r="O5" s="36">
        <v>2.4997847519003063E-2</v>
      </c>
      <c r="P5" s="36">
        <v>2.4111963290141789E-2</v>
      </c>
      <c r="Q5" s="36">
        <v>3.3385931746144598E-2</v>
      </c>
      <c r="R5" s="36">
        <v>3.4613217481428198E-2</v>
      </c>
      <c r="S5" s="36">
        <v>3.15094324964642E-2</v>
      </c>
      <c r="T5" s="36">
        <v>2.1914479482341098E-2</v>
      </c>
      <c r="U5" s="36">
        <v>2.7143540181457169E-2</v>
      </c>
    </row>
    <row r="6" spans="1:21">
      <c r="A6" s="41" t="s">
        <v>6</v>
      </c>
      <c r="B6" s="42">
        <f>Scenarios!B26</f>
        <v>3.1452343984147556E-2</v>
      </c>
      <c r="C6" s="42">
        <f>Scenarios!D6</f>
        <v>0.16193319430872868</v>
      </c>
      <c r="D6" s="111">
        <f>Scenarios!E6</f>
        <v>0.51691057431478837</v>
      </c>
      <c r="E6" s="112">
        <f>Scenarios!F6</f>
        <v>0.94177115286639357</v>
      </c>
      <c r="F6" s="112">
        <f>Scenarios!G6</f>
        <v>1</v>
      </c>
      <c r="G6" s="112">
        <f>Scenarios!H6</f>
        <v>0.7682232653061406</v>
      </c>
      <c r="H6" s="112">
        <f>Scenarios!I6</f>
        <v>0.79170142390806597</v>
      </c>
      <c r="I6" s="112">
        <f>Scenarios!J6</f>
        <v>0.62860572473116894</v>
      </c>
      <c r="J6" s="112">
        <f>Scenarios!K6</f>
        <v>0.86583564760808152</v>
      </c>
      <c r="K6" s="113">
        <f>Scenarios!L6</f>
        <v>0.86330366967843342</v>
      </c>
      <c r="N6" s="36">
        <v>3.6471448596698615E-3</v>
      </c>
      <c r="O6" s="36">
        <v>2.4111963290141793E-2</v>
      </c>
      <c r="P6" s="36">
        <v>2.6222359419028479E-2</v>
      </c>
      <c r="Q6" s="36">
        <v>3.568374693830919E-2</v>
      </c>
      <c r="R6" s="36">
        <v>3.7816875146902962E-2</v>
      </c>
      <c r="S6" s="36">
        <v>3.3539899318107344E-2</v>
      </c>
      <c r="T6" s="36">
        <v>2.2553941333426766E-2</v>
      </c>
      <c r="U6" s="36">
        <v>2.7866377969297876E-2</v>
      </c>
    </row>
    <row r="7" spans="1:21">
      <c r="A7" s="41" t="s">
        <v>7</v>
      </c>
      <c r="B7" s="42">
        <f>Scenarios!B27</f>
        <v>5.6804592721954011E-2</v>
      </c>
      <c r="C7" s="42">
        <f>Scenarios!D7</f>
        <v>0.28684488662827246</v>
      </c>
      <c r="D7" s="111">
        <f>Scenarios!E7</f>
        <v>0.26512268753745388</v>
      </c>
      <c r="E7" s="112">
        <f>Scenarios!F7</f>
        <v>0.7361479066135922</v>
      </c>
      <c r="F7" s="112">
        <f>Scenarios!G7</f>
        <v>0.7682232653061406</v>
      </c>
      <c r="G7" s="112">
        <f>Scenarios!H7</f>
        <v>1.0000000000000002</v>
      </c>
      <c r="H7" s="112">
        <f>Scenarios!I7</f>
        <v>0.810869651798099</v>
      </c>
      <c r="I7" s="112">
        <f>Scenarios!J7</f>
        <v>0.698944093128679</v>
      </c>
      <c r="J7" s="112">
        <f>Scenarios!K7</f>
        <v>0.74165364419402413</v>
      </c>
      <c r="K7" s="113">
        <f>Scenarios!L7</f>
        <v>0.88368691913192909</v>
      </c>
      <c r="N7" s="36">
        <v>3.3135667206881294E-3</v>
      </c>
      <c r="O7" s="36">
        <v>3.3385931746144605E-2</v>
      </c>
      <c r="P7" s="36">
        <v>3.568374693830919E-2</v>
      </c>
      <c r="Q7" s="36">
        <v>8.2279988984786501E-2</v>
      </c>
      <c r="R7" s="36">
        <v>6.8609853142696492E-2</v>
      </c>
      <c r="S7" s="36">
        <v>6.6059775167898377E-2</v>
      </c>
      <c r="T7" s="36">
        <v>3.4221524191297668E-2</v>
      </c>
      <c r="U7" s="36">
        <v>5.0527358245832002E-2</v>
      </c>
    </row>
    <row r="8" spans="1:21">
      <c r="A8" s="41" t="s">
        <v>8</v>
      </c>
      <c r="B8" s="42">
        <f>Scenarios!B28</f>
        <v>5.6320387554596889E-2</v>
      </c>
      <c r="C8" s="42">
        <f>Scenarios!D8</f>
        <v>0.29497711980114533</v>
      </c>
      <c r="D8" s="111">
        <f>Scenarios!E8</f>
        <v>0.30633091260285283</v>
      </c>
      <c r="E8" s="112">
        <f>Scenarios!F8</f>
        <v>0.74216818464687206</v>
      </c>
      <c r="F8" s="112">
        <f>Scenarios!G8</f>
        <v>0.79170142390806608</v>
      </c>
      <c r="G8" s="112">
        <f>Scenarios!H8</f>
        <v>0.81086965179809911</v>
      </c>
      <c r="H8" s="112">
        <f>Scenarios!I8</f>
        <v>0.99999999999999978</v>
      </c>
      <c r="I8" s="112">
        <f>Scenarios!J8</f>
        <v>0.64038553303047341</v>
      </c>
      <c r="J8" s="112">
        <f>Scenarios!K8</f>
        <v>0.64285674252709391</v>
      </c>
      <c r="K8" s="113">
        <f>Scenarios!L8</f>
        <v>0.78565246061343619</v>
      </c>
      <c r="N8" s="36">
        <v>3.937140102529703E-3</v>
      </c>
      <c r="O8" s="36">
        <v>3.4613217481428198E-2</v>
      </c>
      <c r="P8" s="36">
        <v>3.7816875146902969E-2</v>
      </c>
      <c r="Q8" s="36">
        <v>6.8609853142696492E-2</v>
      </c>
      <c r="R8" s="36">
        <v>8.7011501206179231E-2</v>
      </c>
      <c r="S8" s="36">
        <v>6.2241117688122821E-2</v>
      </c>
      <c r="T8" s="36">
        <v>3.050377826221214E-2</v>
      </c>
      <c r="U8" s="36">
        <v>4.6195519920572352E-2</v>
      </c>
    </row>
    <row r="9" spans="1:21">
      <c r="A9" s="41" t="s">
        <v>9</v>
      </c>
      <c r="B9" s="42">
        <f>Scenarios!B29</f>
        <v>5.236888388126059E-2</v>
      </c>
      <c r="C9" s="42">
        <f>Scenarios!D9</f>
        <v>0.32949402218690865</v>
      </c>
      <c r="D9" s="111">
        <f>Scenarios!E9</f>
        <v>0.25776542912961575</v>
      </c>
      <c r="E9" s="112">
        <f>Scenarios!F9</f>
        <v>0.60484171224540262</v>
      </c>
      <c r="F9" s="112">
        <f>Scenarios!G9</f>
        <v>0.62860572473116916</v>
      </c>
      <c r="G9" s="112">
        <f>Scenarios!H9</f>
        <v>0.698944093128679</v>
      </c>
      <c r="H9" s="112">
        <f>Scenarios!I9</f>
        <v>0.64038553303047341</v>
      </c>
      <c r="I9" s="112">
        <f>Scenarios!J9</f>
        <v>1.0000000000000002</v>
      </c>
      <c r="J9" s="112">
        <f>Scenarios!K9</f>
        <v>0.56967702853737867</v>
      </c>
      <c r="K9" s="113">
        <f>Scenarios!L9</f>
        <v>0.67129908624723933</v>
      </c>
      <c r="N9" s="36">
        <v>3.7006151639920213E-3</v>
      </c>
      <c r="O9" s="36">
        <v>3.1509432496464214E-2</v>
      </c>
      <c r="P9" s="36">
        <v>3.3539899318107358E-2</v>
      </c>
      <c r="Q9" s="36">
        <v>6.6059775167898377E-2</v>
      </c>
      <c r="R9" s="36">
        <v>6.2241117688122821E-2</v>
      </c>
      <c r="S9" s="36">
        <v>0.10856631065690707</v>
      </c>
      <c r="T9" s="36">
        <v>3.0194465664115801E-2</v>
      </c>
      <c r="U9" s="36">
        <v>4.4090461984767626E-2</v>
      </c>
    </row>
    <row r="10" spans="1:21">
      <c r="A10" s="41" t="s">
        <v>10</v>
      </c>
      <c r="B10" s="42">
        <f>Scenarios!B30</f>
        <v>2.8306574622560098E-2</v>
      </c>
      <c r="C10" s="42">
        <f>Scenarios!D10</f>
        <v>0.1608611248297202</v>
      </c>
      <c r="D10" s="111">
        <f>Scenarios!E10</f>
        <v>0.49880026622502749</v>
      </c>
      <c r="E10" s="112">
        <f>Scenarios!F10</f>
        <v>0.86164575178315295</v>
      </c>
      <c r="F10" s="112">
        <f>Scenarios!G10</f>
        <v>0.86583564760808163</v>
      </c>
      <c r="G10" s="112">
        <f>Scenarios!H10</f>
        <v>0.74165364419402413</v>
      </c>
      <c r="H10" s="112">
        <f>Scenarios!I10</f>
        <v>0.64285674252709391</v>
      </c>
      <c r="I10" s="112">
        <f>Scenarios!J10</f>
        <v>0.56967702853737878</v>
      </c>
      <c r="J10" s="112">
        <f>Scenarios!K10</f>
        <v>0.99999999999999978</v>
      </c>
      <c r="K10" s="113">
        <f>Scenarios!L10</f>
        <v>0.79252565178528167</v>
      </c>
      <c r="N10" s="36">
        <v>3.4960649441215389E-3</v>
      </c>
      <c r="O10" s="36">
        <v>2.1914479482341098E-2</v>
      </c>
      <c r="P10" s="36">
        <v>2.255394133342677E-2</v>
      </c>
      <c r="Q10" s="36">
        <v>3.4221524191297668E-2</v>
      </c>
      <c r="R10" s="36">
        <v>3.050377826221214E-2</v>
      </c>
      <c r="S10" s="36">
        <v>3.0194465664115811E-2</v>
      </c>
      <c r="T10" s="36">
        <v>2.587630148148282E-2</v>
      </c>
      <c r="U10" s="36">
        <v>2.5412388301249617E-2</v>
      </c>
    </row>
    <row r="11" spans="1:21" ht="13.5" thickBot="1">
      <c r="A11" s="43" t="s">
        <v>11</v>
      </c>
      <c r="B11" s="44">
        <f>Scenarios!B31</f>
        <v>3.9543569652327068E-2</v>
      </c>
      <c r="C11" s="44">
        <f>Scenarios!D11</f>
        <v>0.19933384935580506</v>
      </c>
      <c r="D11" s="114">
        <f>Scenarios!E11</f>
        <v>0.40988870730079396</v>
      </c>
      <c r="E11" s="115">
        <f>Scenarios!F11</f>
        <v>0.86125970507824035</v>
      </c>
      <c r="F11" s="115">
        <f>Scenarios!G11</f>
        <v>0.86330366967843342</v>
      </c>
      <c r="G11" s="115">
        <f>Scenarios!H11</f>
        <v>0.88368691913192909</v>
      </c>
      <c r="H11" s="115">
        <f>Scenarios!I11</f>
        <v>0.78565246061343608</v>
      </c>
      <c r="I11" s="115">
        <f>Scenarios!J11</f>
        <v>0.67129908624723922</v>
      </c>
      <c r="J11" s="115">
        <f>Scenarios!K11</f>
        <v>0.79252565178528178</v>
      </c>
      <c r="K11" s="116">
        <f>Scenarios!L11</f>
        <v>1</v>
      </c>
      <c r="N11" s="36">
        <v>3.5599895305005284E-3</v>
      </c>
      <c r="O11" s="36">
        <v>2.7143540181457169E-2</v>
      </c>
      <c r="P11" s="36">
        <v>2.7866377969297876E-2</v>
      </c>
      <c r="Q11" s="36">
        <v>5.0527358245832002E-2</v>
      </c>
      <c r="R11" s="36">
        <v>4.6195519920572352E-2</v>
      </c>
      <c r="S11" s="36">
        <v>4.4090461984767626E-2</v>
      </c>
      <c r="T11" s="36">
        <v>2.541238830124962E-2</v>
      </c>
      <c r="U11" s="36">
        <v>3.9733983499002784E-2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4" t="s">
        <v>3</v>
      </c>
      <c r="E14" s="375"/>
      <c r="F14" s="375"/>
      <c r="G14" s="375"/>
      <c r="H14" s="375"/>
      <c r="I14" s="375"/>
      <c r="J14" s="375"/>
      <c r="K14" s="376"/>
    </row>
    <row r="15" spans="1:21">
      <c r="A15" s="41" t="s">
        <v>4</v>
      </c>
      <c r="B15" s="46">
        <f>Scenarios!C24</f>
        <v>-3.2445168309994665E-3</v>
      </c>
      <c r="C15" s="42">
        <f>C4</f>
        <v>4.3571419993869868E-2</v>
      </c>
      <c r="D15" s="111">
        <f t="shared" ref="D15:K15" si="0">D4</f>
        <v>0.99999999999999989</v>
      </c>
      <c r="E15" s="112">
        <f t="shared" si="0"/>
        <v>0.53809608757973648</v>
      </c>
      <c r="F15" s="112">
        <f t="shared" si="0"/>
        <v>0.51691057431478837</v>
      </c>
      <c r="G15" s="112">
        <f t="shared" si="0"/>
        <v>0.26512268753745427</v>
      </c>
      <c r="H15" s="112">
        <f t="shared" si="0"/>
        <v>0.30633091260285272</v>
      </c>
      <c r="I15" s="112">
        <f t="shared" si="0"/>
        <v>0.25776542912961581</v>
      </c>
      <c r="J15" s="112">
        <f t="shared" si="0"/>
        <v>0.49880026622502738</v>
      </c>
      <c r="K15" s="113">
        <f t="shared" si="0"/>
        <v>0.40988870730079396</v>
      </c>
      <c r="L15" s="239" t="s">
        <v>120</v>
      </c>
    </row>
    <row r="16" spans="1:21">
      <c r="A16" s="41" t="s">
        <v>5</v>
      </c>
      <c r="B16" s="46">
        <f>Scenarios!C25</f>
        <v>1.6179696624993429E-2</v>
      </c>
      <c r="C16" s="42">
        <f t="shared" ref="C16:K16" si="1">C5</f>
        <v>0.15810707611932825</v>
      </c>
      <c r="D16" s="111">
        <f t="shared" si="1"/>
        <v>0.53809608757973648</v>
      </c>
      <c r="E16" s="112">
        <f t="shared" si="1"/>
        <v>1.0000000000000002</v>
      </c>
      <c r="F16" s="112">
        <f t="shared" si="1"/>
        <v>0.94177115286639357</v>
      </c>
      <c r="G16" s="112">
        <f t="shared" si="1"/>
        <v>0.73614790661359208</v>
      </c>
      <c r="H16" s="112">
        <f t="shared" si="1"/>
        <v>0.74216818464687206</v>
      </c>
      <c r="I16" s="112">
        <f t="shared" si="1"/>
        <v>0.6048417122454024</v>
      </c>
      <c r="J16" s="112">
        <f t="shared" si="1"/>
        <v>0.86164575178315306</v>
      </c>
      <c r="K16" s="113">
        <f t="shared" si="1"/>
        <v>0.86125970507824035</v>
      </c>
    </row>
    <row r="17" spans="1:12">
      <c r="A17" s="41" t="s">
        <v>6</v>
      </c>
      <c r="B17" s="46">
        <f>Scenarios!C26</f>
        <v>3.7319966148414679E-2</v>
      </c>
      <c r="C17" s="42">
        <f t="shared" ref="C17:K17" si="2">C6</f>
        <v>0.16193319430872868</v>
      </c>
      <c r="D17" s="111">
        <f t="shared" si="2"/>
        <v>0.51691057431478837</v>
      </c>
      <c r="E17" s="112">
        <f t="shared" si="2"/>
        <v>0.94177115286639357</v>
      </c>
      <c r="F17" s="112">
        <f t="shared" si="2"/>
        <v>1</v>
      </c>
      <c r="G17" s="112">
        <f t="shared" si="2"/>
        <v>0.7682232653061406</v>
      </c>
      <c r="H17" s="112">
        <f t="shared" si="2"/>
        <v>0.79170142390806597</v>
      </c>
      <c r="I17" s="112">
        <f t="shared" si="2"/>
        <v>0.62860572473116894</v>
      </c>
      <c r="J17" s="112">
        <f t="shared" si="2"/>
        <v>0.86583564760808152</v>
      </c>
      <c r="K17" s="113">
        <f t="shared" si="2"/>
        <v>0.86330366967843342</v>
      </c>
    </row>
    <row r="18" spans="1:12">
      <c r="A18" s="41" t="s">
        <v>7</v>
      </c>
      <c r="B18" s="46">
        <f>Scenarios!C27</f>
        <v>-2.8962333226624885E-2</v>
      </c>
      <c r="C18" s="42">
        <f t="shared" ref="C18:K18" si="3">C7</f>
        <v>0.28684488662827246</v>
      </c>
      <c r="D18" s="111">
        <f t="shared" si="3"/>
        <v>0.26512268753745388</v>
      </c>
      <c r="E18" s="112">
        <f t="shared" si="3"/>
        <v>0.7361479066135922</v>
      </c>
      <c r="F18" s="112">
        <f t="shared" si="3"/>
        <v>0.7682232653061406</v>
      </c>
      <c r="G18" s="112">
        <f t="shared" si="3"/>
        <v>1.0000000000000002</v>
      </c>
      <c r="H18" s="112">
        <f t="shared" si="3"/>
        <v>0.810869651798099</v>
      </c>
      <c r="I18" s="112">
        <f t="shared" si="3"/>
        <v>0.698944093128679</v>
      </c>
      <c r="J18" s="112">
        <f t="shared" si="3"/>
        <v>0.74165364419402413</v>
      </c>
      <c r="K18" s="113">
        <f t="shared" si="3"/>
        <v>0.88368691913192909</v>
      </c>
    </row>
    <row r="19" spans="1:12">
      <c r="A19" s="41" t="s">
        <v>8</v>
      </c>
      <c r="B19" s="46">
        <f>Scenarios!C28</f>
        <v>7.3707562081584549E-2</v>
      </c>
      <c r="C19" s="42">
        <f t="shared" ref="C19:K19" si="4">C8</f>
        <v>0.29497711980114533</v>
      </c>
      <c r="D19" s="111">
        <f t="shared" si="4"/>
        <v>0.30633091260285283</v>
      </c>
      <c r="E19" s="112">
        <f t="shared" si="4"/>
        <v>0.74216818464687206</v>
      </c>
      <c r="F19" s="112">
        <f t="shared" si="4"/>
        <v>0.79170142390806608</v>
      </c>
      <c r="G19" s="112">
        <f t="shared" si="4"/>
        <v>0.81086965179809911</v>
      </c>
      <c r="H19" s="112">
        <f t="shared" si="4"/>
        <v>0.99999999999999978</v>
      </c>
      <c r="I19" s="112">
        <f t="shared" si="4"/>
        <v>0.64038553303047341</v>
      </c>
      <c r="J19" s="112">
        <f t="shared" si="4"/>
        <v>0.64285674252709391</v>
      </c>
      <c r="K19" s="113">
        <f t="shared" si="4"/>
        <v>0.78565246061343619</v>
      </c>
    </row>
    <row r="20" spans="1:12">
      <c r="A20" s="41" t="s">
        <v>9</v>
      </c>
      <c r="B20" s="46">
        <f>Scenarios!C29</f>
        <v>8.3002461795964225E-2</v>
      </c>
      <c r="C20" s="42">
        <f t="shared" ref="C20:K20" si="5">C9</f>
        <v>0.32949402218690865</v>
      </c>
      <c r="D20" s="111">
        <f t="shared" si="5"/>
        <v>0.25776542912961575</v>
      </c>
      <c r="E20" s="112">
        <f t="shared" si="5"/>
        <v>0.60484171224540262</v>
      </c>
      <c r="F20" s="112">
        <f t="shared" si="5"/>
        <v>0.62860572473116916</v>
      </c>
      <c r="G20" s="112">
        <f t="shared" si="5"/>
        <v>0.698944093128679</v>
      </c>
      <c r="H20" s="112">
        <f t="shared" si="5"/>
        <v>0.64038553303047341</v>
      </c>
      <c r="I20" s="112">
        <f t="shared" si="5"/>
        <v>1.0000000000000002</v>
      </c>
      <c r="J20" s="112">
        <f t="shared" si="5"/>
        <v>0.56967702853737867</v>
      </c>
      <c r="K20" s="113">
        <f t="shared" si="5"/>
        <v>0.67129908624723933</v>
      </c>
    </row>
    <row r="21" spans="1:12">
      <c r="A21" s="41" t="s">
        <v>10</v>
      </c>
      <c r="B21" s="46">
        <f>Scenarios!C30</f>
        <v>1.7150072909239287E-2</v>
      </c>
      <c r="C21" s="42">
        <f t="shared" ref="C21:K21" si="6">C10</f>
        <v>0.1608611248297202</v>
      </c>
      <c r="D21" s="111">
        <f t="shared" si="6"/>
        <v>0.49880026622502749</v>
      </c>
      <c r="E21" s="112">
        <f t="shared" si="6"/>
        <v>0.86164575178315295</v>
      </c>
      <c r="F21" s="112">
        <f t="shared" si="6"/>
        <v>0.86583564760808163</v>
      </c>
      <c r="G21" s="112">
        <f t="shared" si="6"/>
        <v>0.74165364419402413</v>
      </c>
      <c r="H21" s="112">
        <f t="shared" si="6"/>
        <v>0.64285674252709391</v>
      </c>
      <c r="I21" s="112">
        <f t="shared" si="6"/>
        <v>0.56967702853737878</v>
      </c>
      <c r="J21" s="112">
        <f t="shared" si="6"/>
        <v>0.99999999999999978</v>
      </c>
      <c r="K21" s="113">
        <f t="shared" si="6"/>
        <v>0.79252565178528167</v>
      </c>
    </row>
    <row r="22" spans="1:12" ht="13.5" thickBot="1">
      <c r="A22" s="43" t="s">
        <v>11</v>
      </c>
      <c r="B22" s="47">
        <f>Scenarios!C31</f>
        <v>1.1096548394613586E-2</v>
      </c>
      <c r="C22" s="44">
        <f t="shared" ref="C22:K22" si="7">C11</f>
        <v>0.19933384935580506</v>
      </c>
      <c r="D22" s="114">
        <f t="shared" si="7"/>
        <v>0.40988870730079396</v>
      </c>
      <c r="E22" s="115">
        <f t="shared" si="7"/>
        <v>0.86125970507824035</v>
      </c>
      <c r="F22" s="115">
        <f t="shared" si="7"/>
        <v>0.86330366967843342</v>
      </c>
      <c r="G22" s="115">
        <f t="shared" si="7"/>
        <v>0.88368691913192909</v>
      </c>
      <c r="H22" s="115">
        <f t="shared" si="7"/>
        <v>0.78565246061343608</v>
      </c>
      <c r="I22" s="115">
        <f t="shared" si="7"/>
        <v>0.67129908624723922</v>
      </c>
      <c r="J22" s="115">
        <f t="shared" si="7"/>
        <v>0.79252565178528178</v>
      </c>
      <c r="K22" s="116">
        <f t="shared" si="7"/>
        <v>1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74" t="s">
        <v>3</v>
      </c>
      <c r="E25" s="375"/>
      <c r="F25" s="375"/>
      <c r="G25" s="375"/>
      <c r="H25" s="375"/>
      <c r="I25" s="375"/>
      <c r="J25" s="375"/>
      <c r="K25" s="376"/>
    </row>
    <row r="26" spans="1:12">
      <c r="A26" s="41" t="s">
        <v>4</v>
      </c>
      <c r="B26" s="46">
        <f>Scenarios!D24</f>
        <v>-1.0761362748873404E-3</v>
      </c>
      <c r="C26" s="243">
        <f>C4</f>
        <v>4.3571419993869868E-2</v>
      </c>
      <c r="D26" s="249">
        <f t="shared" ref="D26:K26" si="8">D4</f>
        <v>0.99999999999999989</v>
      </c>
      <c r="E26" s="250">
        <f t="shared" si="8"/>
        <v>0.53809608757973648</v>
      </c>
      <c r="F26" s="250">
        <f t="shared" si="8"/>
        <v>0.51691057431478837</v>
      </c>
      <c r="G26" s="250">
        <f t="shared" si="8"/>
        <v>0.26512268753745427</v>
      </c>
      <c r="H26" s="250">
        <f t="shared" si="8"/>
        <v>0.30633091260285272</v>
      </c>
      <c r="I26" s="250">
        <f t="shared" si="8"/>
        <v>0.25776542912961581</v>
      </c>
      <c r="J26" s="250">
        <f t="shared" si="8"/>
        <v>0.49880026622502738</v>
      </c>
      <c r="K26" s="251">
        <f t="shared" si="8"/>
        <v>0.40988870730079396</v>
      </c>
      <c r="L26" s="239" t="s">
        <v>120</v>
      </c>
    </row>
    <row r="27" spans="1:12">
      <c r="A27" s="41" t="s">
        <v>5</v>
      </c>
      <c r="B27" s="46">
        <f>Scenarios!D25</f>
        <v>-0.11665352984413441</v>
      </c>
      <c r="C27" s="243">
        <f t="shared" ref="C27:K27" si="9">C5</f>
        <v>0.15810707611932825</v>
      </c>
      <c r="D27" s="249">
        <f t="shared" si="9"/>
        <v>0.53809608757973648</v>
      </c>
      <c r="E27" s="250">
        <f t="shared" si="9"/>
        <v>1.0000000000000002</v>
      </c>
      <c r="F27" s="250">
        <f t="shared" si="9"/>
        <v>0.94177115286639357</v>
      </c>
      <c r="G27" s="250">
        <f t="shared" si="9"/>
        <v>0.73614790661359208</v>
      </c>
      <c r="H27" s="250">
        <f t="shared" si="9"/>
        <v>0.74216818464687206</v>
      </c>
      <c r="I27" s="250">
        <f t="shared" si="9"/>
        <v>0.6048417122454024</v>
      </c>
      <c r="J27" s="250">
        <f t="shared" si="9"/>
        <v>0.86164575178315306</v>
      </c>
      <c r="K27" s="251">
        <f t="shared" si="9"/>
        <v>0.86125970507824035</v>
      </c>
    </row>
    <row r="28" spans="1:12">
      <c r="A28" s="41" t="s">
        <v>6</v>
      </c>
      <c r="B28" s="46">
        <f>Scenarios!D26</f>
        <v>-4.8021188534465672E-2</v>
      </c>
      <c r="C28" s="243">
        <f t="shared" ref="C28:K28" si="10">C6</f>
        <v>0.16193319430872868</v>
      </c>
      <c r="D28" s="249">
        <f t="shared" si="10"/>
        <v>0.51691057431478837</v>
      </c>
      <c r="E28" s="250">
        <f t="shared" si="10"/>
        <v>0.94177115286639357</v>
      </c>
      <c r="F28" s="250">
        <f t="shared" si="10"/>
        <v>1</v>
      </c>
      <c r="G28" s="250">
        <f t="shared" si="10"/>
        <v>0.7682232653061406</v>
      </c>
      <c r="H28" s="250">
        <f t="shared" si="10"/>
        <v>0.79170142390806597</v>
      </c>
      <c r="I28" s="250">
        <f t="shared" si="10"/>
        <v>0.62860572473116894</v>
      </c>
      <c r="J28" s="250">
        <f t="shared" si="10"/>
        <v>0.86583564760808152</v>
      </c>
      <c r="K28" s="251">
        <f t="shared" si="10"/>
        <v>0.86330366967843342</v>
      </c>
    </row>
    <row r="29" spans="1:12">
      <c r="A29" s="41" t="s">
        <v>7</v>
      </c>
      <c r="B29" s="46">
        <f>Scenarios!D27</f>
        <v>-0.23429908700831398</v>
      </c>
      <c r="C29" s="243">
        <f t="shared" ref="C29:K29" si="11">C7</f>
        <v>0.28684488662827246</v>
      </c>
      <c r="D29" s="249">
        <f t="shared" si="11"/>
        <v>0.26512268753745388</v>
      </c>
      <c r="E29" s="250">
        <f t="shared" si="11"/>
        <v>0.7361479066135922</v>
      </c>
      <c r="F29" s="250">
        <f t="shared" si="11"/>
        <v>0.7682232653061406</v>
      </c>
      <c r="G29" s="250">
        <f t="shared" si="11"/>
        <v>1.0000000000000002</v>
      </c>
      <c r="H29" s="250">
        <f t="shared" si="11"/>
        <v>0.810869651798099</v>
      </c>
      <c r="I29" s="250">
        <f t="shared" si="11"/>
        <v>0.698944093128679</v>
      </c>
      <c r="J29" s="250">
        <f t="shared" si="11"/>
        <v>0.74165364419402413</v>
      </c>
      <c r="K29" s="251">
        <f t="shared" si="11"/>
        <v>0.88368691913192909</v>
      </c>
    </row>
    <row r="30" spans="1:12">
      <c r="A30" s="41" t="s">
        <v>8</v>
      </c>
      <c r="B30" s="46">
        <f>Scenarios!D28</f>
        <v>-2.5637735919486003E-2</v>
      </c>
      <c r="C30" s="243">
        <f t="shared" ref="C30:K30" si="12">C8</f>
        <v>0.29497711980114533</v>
      </c>
      <c r="D30" s="249">
        <f t="shared" si="12"/>
        <v>0.30633091260285283</v>
      </c>
      <c r="E30" s="250">
        <f t="shared" si="12"/>
        <v>0.74216818464687206</v>
      </c>
      <c r="F30" s="250">
        <f t="shared" si="12"/>
        <v>0.79170142390806608</v>
      </c>
      <c r="G30" s="250">
        <f t="shared" si="12"/>
        <v>0.81086965179809911</v>
      </c>
      <c r="H30" s="250">
        <f t="shared" si="12"/>
        <v>0.99999999999999978</v>
      </c>
      <c r="I30" s="250">
        <f t="shared" si="12"/>
        <v>0.64038553303047341</v>
      </c>
      <c r="J30" s="250">
        <f t="shared" si="12"/>
        <v>0.64285674252709391</v>
      </c>
      <c r="K30" s="251">
        <f t="shared" si="12"/>
        <v>0.78565246061343619</v>
      </c>
    </row>
    <row r="31" spans="1:12">
      <c r="A31" s="41" t="s">
        <v>9</v>
      </c>
      <c r="B31" s="46">
        <f>Scenarios!D29</f>
        <v>1.4659134029297541E-2</v>
      </c>
      <c r="C31" s="243">
        <f t="shared" ref="C31:K31" si="13">C9</f>
        <v>0.32949402218690865</v>
      </c>
      <c r="D31" s="249">
        <f t="shared" si="13"/>
        <v>0.25776542912961575</v>
      </c>
      <c r="E31" s="250">
        <f t="shared" si="13"/>
        <v>0.60484171224540262</v>
      </c>
      <c r="F31" s="250">
        <f t="shared" si="13"/>
        <v>0.62860572473116916</v>
      </c>
      <c r="G31" s="250">
        <f t="shared" si="13"/>
        <v>0.698944093128679</v>
      </c>
      <c r="H31" s="250">
        <f t="shared" si="13"/>
        <v>0.64038553303047341</v>
      </c>
      <c r="I31" s="250">
        <f t="shared" si="13"/>
        <v>1.0000000000000002</v>
      </c>
      <c r="J31" s="250">
        <f t="shared" si="13"/>
        <v>0.56967702853737867</v>
      </c>
      <c r="K31" s="251">
        <f t="shared" si="13"/>
        <v>0.67129908624723933</v>
      </c>
    </row>
    <row r="32" spans="1:12">
      <c r="A32" s="41" t="s">
        <v>10</v>
      </c>
      <c r="B32" s="46">
        <f>Scenarios!D30</f>
        <v>-4.9533268420959037E-2</v>
      </c>
      <c r="C32" s="243">
        <f t="shared" ref="C32:K32" si="14">C10</f>
        <v>0.1608611248297202</v>
      </c>
      <c r="D32" s="249">
        <f t="shared" si="14"/>
        <v>0.49880026622502749</v>
      </c>
      <c r="E32" s="250">
        <f t="shared" si="14"/>
        <v>0.86164575178315295</v>
      </c>
      <c r="F32" s="250">
        <f t="shared" si="14"/>
        <v>0.86583564760808163</v>
      </c>
      <c r="G32" s="250">
        <f t="shared" si="14"/>
        <v>0.74165364419402413</v>
      </c>
      <c r="H32" s="250">
        <f t="shared" si="14"/>
        <v>0.64285674252709391</v>
      </c>
      <c r="I32" s="250">
        <f t="shared" si="14"/>
        <v>0.56967702853737878</v>
      </c>
      <c r="J32" s="250">
        <f t="shared" si="14"/>
        <v>0.99999999999999978</v>
      </c>
      <c r="K32" s="251">
        <f t="shared" si="14"/>
        <v>0.79252565178528167</v>
      </c>
    </row>
    <row r="33" spans="1:12" ht="13.5" thickBot="1">
      <c r="A33" s="43" t="s">
        <v>11</v>
      </c>
      <c r="B33" s="47">
        <f>Scenarios!D31</f>
        <v>-6.3742580471365828E-2</v>
      </c>
      <c r="C33" s="246">
        <f t="shared" ref="C33:K33" si="15">C11</f>
        <v>0.19933384935580506</v>
      </c>
      <c r="D33" s="252">
        <f t="shared" si="15"/>
        <v>0.40988870730079396</v>
      </c>
      <c r="E33" s="253">
        <f t="shared" si="15"/>
        <v>0.86125970507824035</v>
      </c>
      <c r="F33" s="253">
        <f t="shared" si="15"/>
        <v>0.86330366967843342</v>
      </c>
      <c r="G33" s="253">
        <f t="shared" si="15"/>
        <v>0.88368691913192909</v>
      </c>
      <c r="H33" s="253">
        <f t="shared" si="15"/>
        <v>0.78565246061343608</v>
      </c>
      <c r="I33" s="253">
        <f t="shared" si="15"/>
        <v>0.67129908624723922</v>
      </c>
      <c r="J33" s="253">
        <f t="shared" si="15"/>
        <v>0.79252565178528178</v>
      </c>
      <c r="K33" s="254">
        <f t="shared" si="15"/>
        <v>1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74" t="s">
        <v>3</v>
      </c>
      <c r="E36" s="375"/>
      <c r="F36" s="375"/>
      <c r="G36" s="375"/>
      <c r="H36" s="375"/>
      <c r="I36" s="375"/>
      <c r="J36" s="375"/>
      <c r="K36" s="376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4.3571419993869868E-2</v>
      </c>
      <c r="D37" s="249">
        <f t="shared" si="16"/>
        <v>0.99999999999999989</v>
      </c>
      <c r="E37" s="250">
        <f t="shared" si="16"/>
        <v>0.53809608757973648</v>
      </c>
      <c r="F37" s="250">
        <f t="shared" si="16"/>
        <v>0.51691057431478837</v>
      </c>
      <c r="G37" s="250">
        <f t="shared" si="16"/>
        <v>0.26512268753745427</v>
      </c>
      <c r="H37" s="250">
        <f t="shared" si="16"/>
        <v>0.30633091260285272</v>
      </c>
      <c r="I37" s="250">
        <f t="shared" si="16"/>
        <v>0.25776542912961581</v>
      </c>
      <c r="J37" s="250">
        <f t="shared" si="16"/>
        <v>0.49880026622502738</v>
      </c>
      <c r="K37" s="251">
        <f t="shared" si="16"/>
        <v>0.40988870730079396</v>
      </c>
      <c r="L37" s="239" t="s">
        <v>120</v>
      </c>
    </row>
    <row r="38" spans="1:12">
      <c r="A38" s="41" t="s">
        <v>5</v>
      </c>
      <c r="B38" s="46">
        <f>Scenarios!E25</f>
        <v>4.4921069366340667E-2</v>
      </c>
      <c r="C38" s="243">
        <f t="shared" ref="C38:K38" si="17">C16</f>
        <v>0.15810707611932825</v>
      </c>
      <c r="D38" s="249">
        <f t="shared" si="17"/>
        <v>0.53809608757973648</v>
      </c>
      <c r="E38" s="250">
        <f t="shared" si="17"/>
        <v>1.0000000000000002</v>
      </c>
      <c r="F38" s="250">
        <f t="shared" si="17"/>
        <v>0.94177115286639357</v>
      </c>
      <c r="G38" s="250">
        <f t="shared" si="17"/>
        <v>0.73614790661359208</v>
      </c>
      <c r="H38" s="250">
        <f t="shared" si="17"/>
        <v>0.74216818464687206</v>
      </c>
      <c r="I38" s="250">
        <f t="shared" si="17"/>
        <v>0.6048417122454024</v>
      </c>
      <c r="J38" s="250">
        <f t="shared" si="17"/>
        <v>0.86164575178315306</v>
      </c>
      <c r="K38" s="251">
        <f t="shared" si="17"/>
        <v>0.86125970507824035</v>
      </c>
    </row>
    <row r="39" spans="1:12">
      <c r="A39" s="41" t="s">
        <v>6</v>
      </c>
      <c r="B39" s="46">
        <f>Scenarios!E26</f>
        <v>4.0962979877150092E-2</v>
      </c>
      <c r="C39" s="243">
        <f t="shared" ref="C39:K39" si="18">C17</f>
        <v>0.16193319430872868</v>
      </c>
      <c r="D39" s="249">
        <f t="shared" si="18"/>
        <v>0.51691057431478837</v>
      </c>
      <c r="E39" s="250">
        <f t="shared" si="18"/>
        <v>0.94177115286639357</v>
      </c>
      <c r="F39" s="250">
        <f t="shared" si="18"/>
        <v>1</v>
      </c>
      <c r="G39" s="250">
        <f t="shared" si="18"/>
        <v>0.7682232653061406</v>
      </c>
      <c r="H39" s="250">
        <f t="shared" si="18"/>
        <v>0.79170142390806597</v>
      </c>
      <c r="I39" s="250">
        <f t="shared" si="18"/>
        <v>0.62860572473116894</v>
      </c>
      <c r="J39" s="250">
        <f t="shared" si="18"/>
        <v>0.86583564760808152</v>
      </c>
      <c r="K39" s="251">
        <f t="shared" si="18"/>
        <v>0.86330366967843342</v>
      </c>
    </row>
    <row r="40" spans="1:12">
      <c r="A40" s="41" t="s">
        <v>7</v>
      </c>
      <c r="B40" s="46">
        <f>Scenarios!E27</f>
        <v>4.3775760455613204E-2</v>
      </c>
      <c r="C40" s="243">
        <f t="shared" ref="C40:K40" si="19">C18</f>
        <v>0.28684488662827246</v>
      </c>
      <c r="D40" s="249">
        <f t="shared" si="19"/>
        <v>0.26512268753745388</v>
      </c>
      <c r="E40" s="250">
        <f t="shared" si="19"/>
        <v>0.7361479066135922</v>
      </c>
      <c r="F40" s="250">
        <f t="shared" si="19"/>
        <v>0.7682232653061406</v>
      </c>
      <c r="G40" s="250">
        <f t="shared" si="19"/>
        <v>1.0000000000000002</v>
      </c>
      <c r="H40" s="250">
        <f t="shared" si="19"/>
        <v>0.810869651798099</v>
      </c>
      <c r="I40" s="250">
        <f t="shared" si="19"/>
        <v>0.698944093128679</v>
      </c>
      <c r="J40" s="250">
        <f t="shared" si="19"/>
        <v>0.74165364419402413</v>
      </c>
      <c r="K40" s="251">
        <f t="shared" si="19"/>
        <v>0.88368691913192909</v>
      </c>
    </row>
    <row r="41" spans="1:12">
      <c r="A41" s="41" t="s">
        <v>8</v>
      </c>
      <c r="B41" s="46">
        <f>Scenarios!E28</f>
        <v>7.530034800317506E-2</v>
      </c>
      <c r="C41" s="243">
        <f t="shared" ref="C41:K41" si="20">C19</f>
        <v>0.29497711980114533</v>
      </c>
      <c r="D41" s="249">
        <f t="shared" si="20"/>
        <v>0.30633091260285283</v>
      </c>
      <c r="E41" s="250">
        <f t="shared" si="20"/>
        <v>0.74216818464687206</v>
      </c>
      <c r="F41" s="250">
        <f t="shared" si="20"/>
        <v>0.79170142390806608</v>
      </c>
      <c r="G41" s="250">
        <f t="shared" si="20"/>
        <v>0.81086965179809911</v>
      </c>
      <c r="H41" s="250">
        <f t="shared" si="20"/>
        <v>0.99999999999999978</v>
      </c>
      <c r="I41" s="250">
        <f t="shared" si="20"/>
        <v>0.64038553303047341</v>
      </c>
      <c r="J41" s="250">
        <f t="shared" si="20"/>
        <v>0.64285674252709391</v>
      </c>
      <c r="K41" s="251">
        <f t="shared" si="20"/>
        <v>0.78565246061343619</v>
      </c>
    </row>
    <row r="42" spans="1:12">
      <c r="A42" s="41" t="s">
        <v>9</v>
      </c>
      <c r="B42" s="46">
        <f>Scenarios!E29</f>
        <v>9.0021127349297542E-2</v>
      </c>
      <c r="C42" s="243">
        <f t="shared" ref="C42:K42" si="21">C20</f>
        <v>0.32949402218690865</v>
      </c>
      <c r="D42" s="249">
        <f t="shared" si="21"/>
        <v>0.25776542912961575</v>
      </c>
      <c r="E42" s="250">
        <f t="shared" si="21"/>
        <v>0.60484171224540262</v>
      </c>
      <c r="F42" s="250">
        <f t="shared" si="21"/>
        <v>0.62860572473116916</v>
      </c>
      <c r="G42" s="250">
        <f t="shared" si="21"/>
        <v>0.698944093128679</v>
      </c>
      <c r="H42" s="250">
        <f t="shared" si="21"/>
        <v>0.64038553303047341</v>
      </c>
      <c r="I42" s="250">
        <f t="shared" si="21"/>
        <v>1.0000000000000002</v>
      </c>
      <c r="J42" s="250">
        <f t="shared" si="21"/>
        <v>0.56967702853737867</v>
      </c>
      <c r="K42" s="251">
        <f t="shared" si="21"/>
        <v>0.67129908624723933</v>
      </c>
    </row>
    <row r="43" spans="1:12">
      <c r="A43" s="41" t="s">
        <v>10</v>
      </c>
      <c r="B43" s="46">
        <f>Scenarios!E30</f>
        <v>1.7430872722668356E-2</v>
      </c>
      <c r="C43" s="243">
        <f t="shared" ref="C43:K43" si="22">C21</f>
        <v>0.1608611248297202</v>
      </c>
      <c r="D43" s="249">
        <f t="shared" si="22"/>
        <v>0.49880026622502749</v>
      </c>
      <c r="E43" s="250">
        <f t="shared" si="22"/>
        <v>0.86164575178315295</v>
      </c>
      <c r="F43" s="250">
        <f t="shared" si="22"/>
        <v>0.86583564760808163</v>
      </c>
      <c r="G43" s="250">
        <f t="shared" si="22"/>
        <v>0.74165364419402413</v>
      </c>
      <c r="H43" s="250">
        <f t="shared" si="22"/>
        <v>0.64285674252709391</v>
      </c>
      <c r="I43" s="250">
        <f t="shared" si="22"/>
        <v>0.56967702853737878</v>
      </c>
      <c r="J43" s="250">
        <f t="shared" si="22"/>
        <v>0.99999999999999978</v>
      </c>
      <c r="K43" s="251">
        <f t="shared" si="22"/>
        <v>0.79252565178528167</v>
      </c>
    </row>
    <row r="44" spans="1:12" ht="13.5" thickBot="1">
      <c r="A44" s="43" t="s">
        <v>11</v>
      </c>
      <c r="B44" s="47">
        <f>Scenarios!E31</f>
        <v>5.1643285353376429E-2</v>
      </c>
      <c r="C44" s="246">
        <f t="shared" ref="C44:K44" si="23">C22</f>
        <v>0.19933384935580506</v>
      </c>
      <c r="D44" s="252">
        <f t="shared" si="23"/>
        <v>0.40988870730079396</v>
      </c>
      <c r="E44" s="253">
        <f t="shared" si="23"/>
        <v>0.86125970507824035</v>
      </c>
      <c r="F44" s="253">
        <f t="shared" si="23"/>
        <v>0.86330366967843342</v>
      </c>
      <c r="G44" s="253">
        <f t="shared" si="23"/>
        <v>0.88368691913192909</v>
      </c>
      <c r="H44" s="253">
        <f t="shared" si="23"/>
        <v>0.78565246061343608</v>
      </c>
      <c r="I44" s="253">
        <f t="shared" si="23"/>
        <v>0.67129908624723922</v>
      </c>
      <c r="J44" s="253">
        <f t="shared" si="23"/>
        <v>0.79252565178528178</v>
      </c>
      <c r="K44" s="254">
        <f t="shared" si="23"/>
        <v>1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77" t="s">
        <v>3</v>
      </c>
      <c r="E47" s="378"/>
      <c r="F47" s="378"/>
      <c r="G47" s="378"/>
      <c r="H47" s="378"/>
      <c r="I47" s="378"/>
      <c r="J47" s="378"/>
      <c r="K47" s="379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-0.44674311133704736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-0.52419483478596951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-0.62714186373669567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-0.39025793435067591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-0.52034739633736904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-0.25817556934926228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-0.33711017380255137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74" t="s">
        <v>3</v>
      </c>
      <c r="E58" s="375"/>
      <c r="F58" s="375"/>
      <c r="G58" s="375"/>
      <c r="H58" s="375"/>
      <c r="I58" s="375"/>
      <c r="J58" s="375"/>
      <c r="K58" s="376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-0.42626136345704735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-0.34915429717679131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-0.49529032858854438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-0.23400026239464458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-0.53983753129736911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-8.4113867738416243E-3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-0.18032316202205312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74" t="s">
        <v>3</v>
      </c>
      <c r="E69" s="375"/>
      <c r="F69" s="375"/>
      <c r="G69" s="375"/>
      <c r="H69" s="375"/>
      <c r="I69" s="375"/>
      <c r="J69" s="375"/>
      <c r="K69" s="376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0.30725831758561928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0.25699806235679012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0.35646760603468935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0.42609885549762044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0.28088399481325171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0.39323731385853111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E51" sqref="E51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0" t="s">
        <v>16</v>
      </c>
      <c r="D2" s="381"/>
      <c r="E2" s="382" t="s">
        <v>17</v>
      </c>
      <c r="F2" s="383"/>
      <c r="G2" s="384" t="s">
        <v>33</v>
      </c>
      <c r="H2" s="385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0.55549268496933957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9.7387120358343723E-2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9.5164223805884504E-2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0.10363483668477239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5.1404597453969164E-2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1.9729061421683056E-2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3.1019975297703138E-2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4.6167500008304781E-2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H36" sqref="H36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9.9916807995241275E-2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9.9916807995241275E-2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9.9916807995241275E-2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9.9916807995241275E-2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9.9916807995241275E-2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9.9916807995241275E-2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9.9916807995241275E-2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9.9916807995241275E-2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58" workbookViewId="0">
      <selection activeCell="A28" sqref="A28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6" t="s">
        <v>64</v>
      </c>
      <c r="E2" s="387"/>
      <c r="F2" s="388"/>
      <c r="G2" s="386" t="s">
        <v>65</v>
      </c>
      <c r="H2" s="387"/>
      <c r="I2" s="387"/>
      <c r="J2" s="387"/>
      <c r="K2" s="387"/>
      <c r="L2" s="387"/>
      <c r="M2" s="387"/>
      <c r="N2" s="387"/>
      <c r="O2" s="388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0.41173013764091237</v>
      </c>
      <c r="H3" s="272">
        <v>0.25502061810996024</v>
      </c>
      <c r="I3" s="272">
        <v>0.15323514255374771</v>
      </c>
      <c r="J3" s="272">
        <v>9.7849667726501055E-2</v>
      </c>
      <c r="K3" s="272">
        <v>6.0841349678311119E-2</v>
      </c>
      <c r="L3" s="272">
        <v>2.12988879861995E-2</v>
      </c>
      <c r="M3" s="272">
        <v>2.4196304374224376E-5</v>
      </c>
      <c r="N3" s="272">
        <v>2.2204460492503131E-16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0.5512692266156487</v>
      </c>
      <c r="C4" s="54">
        <v>1.5497697416938457E-2</v>
      </c>
      <c r="D4" s="55">
        <v>0.54046409884126789</v>
      </c>
      <c r="E4" s="1">
        <v>0.54977876180698637</v>
      </c>
      <c r="F4" s="56">
        <v>0.56147504953029204</v>
      </c>
      <c r="G4" s="2">
        <v>-5.7591682762592562E-3</v>
      </c>
      <c r="H4" s="2">
        <v>3.4617843313425468E-2</v>
      </c>
      <c r="I4" s="2">
        <v>3.8325538925162737E-2</v>
      </c>
      <c r="J4" s="2">
        <v>1</v>
      </c>
      <c r="K4" s="2">
        <v>0.24446832490880901</v>
      </c>
      <c r="L4" s="2">
        <v>0.12408459500330225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0.54046409884126789</v>
      </c>
      <c r="T4" s="52">
        <f>B4-D4</f>
        <v>1.0805127774380807E-2</v>
      </c>
      <c r="U4" s="52">
        <f>F4-B4</f>
        <v>1.0205822914643337E-2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8.5232445036971902E-2</v>
      </c>
      <c r="C5" s="54">
        <v>4.4430967753182928E-2</v>
      </c>
      <c r="D5" s="55">
        <v>5.0169652145646712E-2</v>
      </c>
      <c r="E5" s="1">
        <v>8.2844534969455236E-2</v>
      </c>
      <c r="F5" s="56">
        <v>0.11610090011892274</v>
      </c>
      <c r="G5" s="2">
        <v>-0.89321897212402535</v>
      </c>
      <c r="H5" s="2">
        <v>-0.64938329954406004</v>
      </c>
      <c r="I5" s="2">
        <v>-0.40611729495946097</v>
      </c>
      <c r="J5" s="2">
        <v>-0.70928327032071603</v>
      </c>
      <c r="K5" s="2">
        <v>3.1967581113171634E-2</v>
      </c>
      <c r="L5" s="2">
        <v>-0.10181276637990744</v>
      </c>
      <c r="M5" s="2">
        <v>0.18615822719172923</v>
      </c>
      <c r="N5" s="2">
        <v>0.99999999999885325</v>
      </c>
      <c r="O5" s="57"/>
      <c r="R5" s="51" t="str">
        <f t="shared" ref="R5:R11" si="0">A5</f>
        <v>High Yield</v>
      </c>
      <c r="S5" s="52">
        <f t="shared" ref="S5:S11" si="1">D5</f>
        <v>5.0169652145646712E-2</v>
      </c>
      <c r="T5" s="52">
        <f t="shared" ref="T5:T11" si="2">B5-D5</f>
        <v>3.506279289132519E-2</v>
      </c>
      <c r="U5" s="52">
        <f t="shared" ref="U5:U11" si="3">F5-B5</f>
        <v>3.0868455081950838E-2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8.0268367027102008E-2</v>
      </c>
      <c r="C6" s="54">
        <v>4.6720656840345945E-2</v>
      </c>
      <c r="D6" s="55">
        <v>4.4491571362147694E-2</v>
      </c>
      <c r="E6" s="1">
        <v>7.3050138931587433E-2</v>
      </c>
      <c r="F6" s="56">
        <v>0.1113457543490747</v>
      </c>
      <c r="G6" s="2">
        <v>1</v>
      </c>
      <c r="H6" s="2">
        <v>-0.57319533446395576</v>
      </c>
      <c r="I6" s="2">
        <v>-0.27225068026788063</v>
      </c>
      <c r="J6" s="2">
        <v>-0.64689409991345881</v>
      </c>
      <c r="K6" s="2">
        <v>8.7586510696812406E-2</v>
      </c>
      <c r="L6" s="2">
        <v>-0.1169811429968982</v>
      </c>
      <c r="M6" s="2">
        <v>0.14532681917361656</v>
      </c>
      <c r="N6" s="2">
        <v>0.99999999999879452</v>
      </c>
      <c r="O6" s="57"/>
      <c r="R6" s="51" t="str">
        <f t="shared" si="0"/>
        <v>Emerging market debt</v>
      </c>
      <c r="S6" s="52">
        <f t="shared" si="1"/>
        <v>4.4491571362147694E-2</v>
      </c>
      <c r="T6" s="52">
        <f t="shared" si="2"/>
        <v>3.5776795664954314E-2</v>
      </c>
      <c r="U6" s="52">
        <f t="shared" si="3"/>
        <v>3.1077387321972696E-2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8.7570425942529034E-2</v>
      </c>
      <c r="C7" s="54">
        <v>2.5765552796329087E-2</v>
      </c>
      <c r="D7" s="55">
        <v>6.8416393120094759E-2</v>
      </c>
      <c r="E7" s="1">
        <v>8.6742972759761588E-2</v>
      </c>
      <c r="F7" s="56">
        <v>0.10563009128018781</v>
      </c>
      <c r="G7" s="2">
        <v>-1.2790389372350905E-2</v>
      </c>
      <c r="H7" s="2">
        <v>-0.6199246415101064</v>
      </c>
      <c r="I7" s="2">
        <v>0.26920038421230469</v>
      </c>
      <c r="J7" s="2">
        <v>0.95340239502870772</v>
      </c>
      <c r="K7" s="2">
        <v>-0.5981919317955765</v>
      </c>
      <c r="L7" s="2">
        <v>-0.27883218946970412</v>
      </c>
      <c r="M7" s="2">
        <v>-0.53584661736187222</v>
      </c>
      <c r="N7" s="2">
        <v>0.99999999999783273</v>
      </c>
      <c r="O7" s="57"/>
      <c r="R7" s="51" t="str">
        <f t="shared" si="0"/>
        <v>Aandelen ontwikkeld</v>
      </c>
      <c r="S7" s="52">
        <f t="shared" si="1"/>
        <v>6.8416393120094759E-2</v>
      </c>
      <c r="T7" s="52">
        <f t="shared" si="2"/>
        <v>1.9154032822434275E-2</v>
      </c>
      <c r="U7" s="52">
        <f t="shared" si="3"/>
        <v>1.8059665337658778E-2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5.4166890148619418E-2</v>
      </c>
      <c r="C8" s="54">
        <v>1.9932297229456317E-2</v>
      </c>
      <c r="D8" s="55">
        <v>3.944036673306632E-2</v>
      </c>
      <c r="E8" s="1">
        <v>5.4242083527083665E-2</v>
      </c>
      <c r="F8" s="56">
        <v>6.9600963803305493E-2</v>
      </c>
      <c r="G8" s="2">
        <v>-6.7030895031051932E-2</v>
      </c>
      <c r="H8" s="2">
        <v>0.33036522520625455</v>
      </c>
      <c r="I8" s="2">
        <v>0.14054925728980036</v>
      </c>
      <c r="J8" s="2">
        <v>0.1633339269895806</v>
      </c>
      <c r="K8" s="2">
        <v>1</v>
      </c>
      <c r="L8" s="2">
        <v>-0.35886876577987809</v>
      </c>
      <c r="M8" s="2">
        <v>-0.52474955487522668</v>
      </c>
      <c r="N8" s="2">
        <v>0.99999999999784639</v>
      </c>
      <c r="O8" s="57"/>
      <c r="R8" s="51" t="str">
        <f t="shared" si="0"/>
        <v>Aandelen opkomend</v>
      </c>
      <c r="S8" s="52">
        <f t="shared" si="1"/>
        <v>3.944036673306632E-2</v>
      </c>
      <c r="T8" s="52">
        <f t="shared" si="2"/>
        <v>1.4726523415553097E-2</v>
      </c>
      <c r="U8" s="52">
        <f t="shared" si="3"/>
        <v>1.5434073654686076E-2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2.1803470767462647E-2</v>
      </c>
      <c r="C9" s="54">
        <v>1.1440349081368453E-2</v>
      </c>
      <c r="D9" s="55">
        <v>1.254326044746556E-2</v>
      </c>
      <c r="E9" s="1">
        <v>2.1484120472800721E-2</v>
      </c>
      <c r="F9" s="56">
        <v>2.9590868674806516E-2</v>
      </c>
      <c r="G9" s="2">
        <v>1.5838960307808805E-3</v>
      </c>
      <c r="H9" s="2">
        <v>3.6953018067537646E-2</v>
      </c>
      <c r="I9" s="2">
        <v>-2.9579060217450461E-2</v>
      </c>
      <c r="J9" s="2">
        <v>1.0670520109202454E-3</v>
      </c>
      <c r="K9" s="2">
        <v>5.40139915431894E-2</v>
      </c>
      <c r="L9" s="2">
        <v>1</v>
      </c>
      <c r="M9" s="2">
        <v>-0.42466933166010534</v>
      </c>
      <c r="N9" s="2">
        <v>0.99999999999798872</v>
      </c>
      <c r="O9" s="57"/>
      <c r="R9" s="51" t="str">
        <f t="shared" si="0"/>
        <v>Commodities</v>
      </c>
      <c r="S9" s="52">
        <f t="shared" si="1"/>
        <v>1.254326044746556E-2</v>
      </c>
      <c r="T9" s="52">
        <f t="shared" si="2"/>
        <v>9.2602103199970875E-3</v>
      </c>
      <c r="U9" s="52">
        <f t="shared" si="3"/>
        <v>7.7873979073438682E-3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5.5785518454464389E-2</v>
      </c>
      <c r="C10" s="54">
        <v>3.0920756827771387E-2</v>
      </c>
      <c r="D10" s="55">
        <v>3.0509628428140506E-2</v>
      </c>
      <c r="E10" s="1">
        <v>5.2804315289259288E-2</v>
      </c>
      <c r="F10" s="56">
        <v>7.7475236897968106E-2</v>
      </c>
      <c r="G10" s="2">
        <v>-5.4152636726012289E-2</v>
      </c>
      <c r="H10" s="2">
        <v>0.44056718893090568</v>
      </c>
      <c r="I10" s="2">
        <v>1</v>
      </c>
      <c r="J10" s="2">
        <v>-0.77337817724159652</v>
      </c>
      <c r="K10" s="2">
        <v>-0.32023466494233027</v>
      </c>
      <c r="L10" s="2">
        <v>-6.9490795761424223E-2</v>
      </c>
      <c r="M10" s="2">
        <v>0.22762752488386531</v>
      </c>
      <c r="N10" s="2">
        <v>0.99999999999891143</v>
      </c>
      <c r="O10" s="57"/>
      <c r="R10" s="51" t="str">
        <f t="shared" si="0"/>
        <v>Hedge funds</v>
      </c>
      <c r="S10" s="52">
        <f t="shared" si="1"/>
        <v>3.0509628428140506E-2</v>
      </c>
      <c r="T10" s="52">
        <f t="shared" si="2"/>
        <v>2.5275890026323883E-2</v>
      </c>
      <c r="U10" s="52">
        <f t="shared" si="3"/>
        <v>2.1689718443503717E-2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6.3903656007201548E-2</v>
      </c>
      <c r="C11" s="62">
        <v>3.5114008225689039E-2</v>
      </c>
      <c r="D11" s="63">
        <v>3.5728552913028414E-2</v>
      </c>
      <c r="E11" s="61">
        <v>6.230058558968074E-2</v>
      </c>
      <c r="F11" s="64">
        <v>9.0318516616488237E-2</v>
      </c>
      <c r="G11" s="65">
        <v>3.136816549891968E-2</v>
      </c>
      <c r="H11" s="65">
        <v>1</v>
      </c>
      <c r="I11" s="65">
        <v>-0.74012814498247481</v>
      </c>
      <c r="J11" s="65">
        <v>1.1752173446564521E-2</v>
      </c>
      <c r="K11" s="65">
        <v>-0.49960981152407241</v>
      </c>
      <c r="L11" s="65">
        <v>-0.19809893461548958</v>
      </c>
      <c r="M11" s="65">
        <v>-7.3847067354628523E-2</v>
      </c>
      <c r="N11" s="65">
        <v>0.99999999999848532</v>
      </c>
      <c r="O11" s="66"/>
      <c r="R11" s="51" t="str">
        <f t="shared" si="0"/>
        <v>Onroerend goed</v>
      </c>
      <c r="S11" s="52">
        <f t="shared" si="1"/>
        <v>3.5728552913028414E-2</v>
      </c>
      <c r="T11" s="52">
        <f t="shared" si="2"/>
        <v>2.8175103094173135E-2</v>
      </c>
      <c r="U11" s="52">
        <f t="shared" si="3"/>
        <v>2.6414860609286689E-2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6" t="s">
        <v>64</v>
      </c>
      <c r="E13" s="387"/>
      <c r="F13" s="388"/>
      <c r="G13" s="386" t="s">
        <v>65</v>
      </c>
      <c r="H13" s="387"/>
      <c r="I13" s="387"/>
      <c r="J13" s="387"/>
      <c r="K13" s="387"/>
      <c r="L13" s="387"/>
      <c r="M13" s="387"/>
      <c r="N13" s="387"/>
      <c r="O13" s="388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0.74030314665310193</v>
      </c>
      <c r="H14" s="272">
        <v>0.20128235779190795</v>
      </c>
      <c r="I14" s="272">
        <v>3.373479520581546E-2</v>
      </c>
      <c r="J14" s="272">
        <v>2.0125206774494253E-2</v>
      </c>
      <c r="K14" s="272">
        <v>3.493859448555181E-3</v>
      </c>
      <c r="L14" s="272">
        <v>8.512644571935235E-4</v>
      </c>
      <c r="M14" s="272">
        <v>2.0936966893647657E-4</v>
      </c>
      <c r="N14" s="272">
        <v>-2.2204460492503131E-16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0.61020084060424273</v>
      </c>
      <c r="C15" s="54">
        <v>3.3896399473364973E-2</v>
      </c>
      <c r="D15" s="55">
        <v>0.58449850212939813</v>
      </c>
      <c r="E15" s="1">
        <v>0.61135299940444554</v>
      </c>
      <c r="F15" s="56">
        <v>0.63722740820531898</v>
      </c>
      <c r="G15" s="2">
        <v>-0.44898309215438331</v>
      </c>
      <c r="H15" s="2">
        <v>0.22552396849605402</v>
      </c>
      <c r="I15" s="2">
        <v>-0.41031465768418879</v>
      </c>
      <c r="J15" s="2">
        <v>-0.39014879266574581</v>
      </c>
      <c r="K15" s="2">
        <v>-0.2410423743343095</v>
      </c>
      <c r="L15" s="2">
        <v>1</v>
      </c>
      <c r="M15" s="2">
        <v>-0.14168120387631594</v>
      </c>
      <c r="N15" s="2">
        <v>0.99999999999968969</v>
      </c>
      <c r="O15" s="57"/>
      <c r="R15" s="51" t="str">
        <f>A15</f>
        <v>Nominale matching</v>
      </c>
      <c r="S15" s="52">
        <f>D15</f>
        <v>0.58449850212939813</v>
      </c>
      <c r="T15" s="52">
        <f>B15-D15</f>
        <v>2.5702338474844599E-2</v>
      </c>
      <c r="U15" s="52">
        <f>F15-B15</f>
        <v>2.7026567601076246E-2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1.6790417554989345E-2</v>
      </c>
      <c r="C16" s="54">
        <v>1.2968941024372949E-2</v>
      </c>
      <c r="D16" s="55">
        <v>7.299893169338826E-3</v>
      </c>
      <c r="E16" s="1">
        <v>1.3802601689342785E-2</v>
      </c>
      <c r="F16" s="56">
        <v>2.4251149899139221E-2</v>
      </c>
      <c r="G16" s="2">
        <v>-2.5324178515144499E-2</v>
      </c>
      <c r="H16" s="2">
        <v>6.9818841878215132E-2</v>
      </c>
      <c r="I16" s="2">
        <v>-0.10834471516390903</v>
      </c>
      <c r="J16" s="2">
        <v>1</v>
      </c>
      <c r="K16" s="2">
        <v>-0.15235181683255811</v>
      </c>
      <c r="L16" s="2">
        <v>0.23731183480071971</v>
      </c>
      <c r="M16" s="2">
        <v>-0.13225282157538726</v>
      </c>
      <c r="N16" s="2">
        <v>0.99999999999971445</v>
      </c>
      <c r="O16" s="57"/>
      <c r="R16" s="51" t="str">
        <f t="shared" ref="R16:R22" si="5">A16</f>
        <v>High Yield</v>
      </c>
      <c r="S16" s="52">
        <f t="shared" ref="S16:S22" si="6">D16</f>
        <v>7.299893169338826E-3</v>
      </c>
      <c r="T16" s="52">
        <f t="shared" ref="T16:T22" si="7">B16-D16</f>
        <v>9.4905243856505186E-3</v>
      </c>
      <c r="U16" s="52">
        <f t="shared" ref="U16:U22" si="8">F16-B16</f>
        <v>7.4607323441498764E-3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0.12485976627829061</v>
      </c>
      <c r="C17" s="54">
        <v>7.2091684598194969E-2</v>
      </c>
      <c r="D17" s="55">
        <v>6.6785306618220852E-2</v>
      </c>
      <c r="E17" s="1">
        <v>0.11880964153283791</v>
      </c>
      <c r="F17" s="56">
        <v>0.17534457452350422</v>
      </c>
      <c r="G17" s="2">
        <v>1</v>
      </c>
      <c r="H17" s="2">
        <v>-0.26802704645540704</v>
      </c>
      <c r="I17" s="2">
        <v>-0.23345749043137523</v>
      </c>
      <c r="J17" s="2">
        <v>-0.20500859681113984</v>
      </c>
      <c r="K17" s="2">
        <v>-0.17833878840134348</v>
      </c>
      <c r="L17" s="2">
        <v>7.6967496080296557E-2</v>
      </c>
      <c r="M17" s="2">
        <v>-0.1471289898064117</v>
      </c>
      <c r="N17" s="2">
        <v>0.99999999999970657</v>
      </c>
      <c r="O17" s="57"/>
      <c r="R17" s="51" t="str">
        <f t="shared" si="5"/>
        <v>Emerging market debt</v>
      </c>
      <c r="S17" s="52">
        <f t="shared" si="6"/>
        <v>6.6785306618220852E-2</v>
      </c>
      <c r="T17" s="52">
        <f t="shared" si="7"/>
        <v>5.8074459660069758E-2</v>
      </c>
      <c r="U17" s="52">
        <f t="shared" si="8"/>
        <v>5.0484808245213605E-2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1.141251145155782E-3</v>
      </c>
      <c r="C18" s="54">
        <v>1.3431677245759077E-3</v>
      </c>
      <c r="D18" s="55">
        <v>1.6781075529544826E-4</v>
      </c>
      <c r="E18" s="1">
        <v>6.7598015059517659E-4</v>
      </c>
      <c r="F18" s="56">
        <v>1.7325213550927465E-3</v>
      </c>
      <c r="G18" s="2">
        <v>-1.4260161633449008E-4</v>
      </c>
      <c r="H18" s="2">
        <v>1.6468635751676263E-3</v>
      </c>
      <c r="I18" s="2">
        <v>-6.0956157710661792E-3</v>
      </c>
      <c r="J18" s="2">
        <v>-1.138734078948701E-2</v>
      </c>
      <c r="K18" s="2">
        <v>-1.1001472885160625E-2</v>
      </c>
      <c r="L18" s="2">
        <v>-2.3864005047755633E-2</v>
      </c>
      <c r="M18" s="2">
        <v>1</v>
      </c>
      <c r="N18" s="2">
        <v>1</v>
      </c>
      <c r="O18" s="57"/>
      <c r="R18" s="51" t="str">
        <f t="shared" si="5"/>
        <v>Aandelen ontwikkeld</v>
      </c>
      <c r="S18" s="52">
        <f t="shared" si="6"/>
        <v>1.6781075529544826E-4</v>
      </c>
      <c r="T18" s="52">
        <f t="shared" si="7"/>
        <v>9.7344038986033369E-4</v>
      </c>
      <c r="U18" s="52">
        <f t="shared" si="8"/>
        <v>5.9127020993696459E-4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9.593213315633857E-2</v>
      </c>
      <c r="C19" s="54">
        <v>4.3442656123323251E-2</v>
      </c>
      <c r="D19" s="55">
        <v>6.6530510979244006E-2</v>
      </c>
      <c r="E19" s="1">
        <v>9.6127910564453106E-2</v>
      </c>
      <c r="F19" s="56">
        <v>0.12626663559352522</v>
      </c>
      <c r="G19" s="2">
        <v>-0.43717068705996437</v>
      </c>
      <c r="H19" s="2">
        <v>-0.98941619172993767</v>
      </c>
      <c r="I19" s="2">
        <v>-0.14502447326204485</v>
      </c>
      <c r="J19" s="2">
        <v>-9.9812095095094713E-2</v>
      </c>
      <c r="K19" s="2">
        <v>-0.13740360870107476</v>
      </c>
      <c r="L19" s="2">
        <v>-0.74491246637177921</v>
      </c>
      <c r="M19" s="2">
        <v>-0.15321413922711086</v>
      </c>
      <c r="N19" s="2">
        <v>0.99999999999972078</v>
      </c>
      <c r="O19" s="57"/>
      <c r="R19" s="51" t="str">
        <f t="shared" si="5"/>
        <v>Aandelen opkomend</v>
      </c>
      <c r="S19" s="52">
        <f t="shared" si="6"/>
        <v>6.6530510979244006E-2</v>
      </c>
      <c r="T19" s="52">
        <f t="shared" si="7"/>
        <v>2.9401622177094563E-2</v>
      </c>
      <c r="U19" s="52">
        <f t="shared" si="8"/>
        <v>3.0334502437186647E-2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0.12366290830163523</v>
      </c>
      <c r="C20" s="54">
        <v>3.0791662541639953E-2</v>
      </c>
      <c r="D20" s="55">
        <v>0.10447423587056061</v>
      </c>
      <c r="E20" s="1">
        <v>0.12327777960297941</v>
      </c>
      <c r="F20" s="56">
        <v>0.14413560239887563</v>
      </c>
      <c r="G20" s="2">
        <v>-6.2414403713021642E-2</v>
      </c>
      <c r="H20" s="2">
        <v>1</v>
      </c>
      <c r="I20" s="2">
        <v>-5.991975051899677E-2</v>
      </c>
      <c r="J20" s="2">
        <v>-0.1409983353050222</v>
      </c>
      <c r="K20" s="2">
        <v>-0.13177132487555024</v>
      </c>
      <c r="L20" s="2">
        <v>-0.94569805216460801</v>
      </c>
      <c r="M20" s="2">
        <v>-0.15694803553165729</v>
      </c>
      <c r="N20" s="2">
        <v>0.99999999999972322</v>
      </c>
      <c r="O20" s="57"/>
      <c r="R20" s="51" t="str">
        <f t="shared" si="5"/>
        <v>Commodities</v>
      </c>
      <c r="S20" s="52">
        <f t="shared" si="6"/>
        <v>0.10447423587056061</v>
      </c>
      <c r="T20" s="52">
        <f t="shared" si="7"/>
        <v>1.9188672431074624E-2</v>
      </c>
      <c r="U20" s="52">
        <f t="shared" si="8"/>
        <v>2.0472694097240396E-2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2.1195997363398451E-2</v>
      </c>
      <c r="C21" s="54">
        <v>1.6298151945509102E-2</v>
      </c>
      <c r="D21" s="55">
        <v>7.7281178754040995E-3</v>
      </c>
      <c r="E21" s="1">
        <v>1.8617087348492108E-2</v>
      </c>
      <c r="F21" s="56">
        <v>3.0576832081789955E-2</v>
      </c>
      <c r="G21" s="2">
        <v>-2.0840569863701908E-2</v>
      </c>
      <c r="H21" s="2">
        <v>-4.5801929042025534E-2</v>
      </c>
      <c r="I21" s="2">
        <v>1</v>
      </c>
      <c r="J21" s="2">
        <v>-0.12366090386608433</v>
      </c>
      <c r="K21" s="2">
        <v>-0.14809061397002307</v>
      </c>
      <c r="L21" s="2">
        <v>0.29309857654577698</v>
      </c>
      <c r="M21" s="2">
        <v>-0.13718770759874752</v>
      </c>
      <c r="N21" s="2">
        <v>0.9999999999997089</v>
      </c>
      <c r="O21" s="57"/>
      <c r="R21" s="51" t="str">
        <f t="shared" si="5"/>
        <v>Hedge funds</v>
      </c>
      <c r="S21" s="52">
        <f t="shared" si="6"/>
        <v>7.7281178754040995E-3</v>
      </c>
      <c r="T21" s="52">
        <f t="shared" si="7"/>
        <v>1.3467879487994352E-2</v>
      </c>
      <c r="U21" s="52">
        <f t="shared" si="8"/>
        <v>9.3808347183915036E-3</v>
      </c>
    </row>
    <row r="22" spans="1:30">
      <c r="A22" s="60" t="str">
        <f t="shared" si="4"/>
        <v>Onroerend goed</v>
      </c>
      <c r="B22" s="286">
        <v>6.2166855959489582E-3</v>
      </c>
      <c r="C22" s="62">
        <v>5.4305653488431974E-3</v>
      </c>
      <c r="D22" s="63">
        <v>2.0051677424745987E-3</v>
      </c>
      <c r="E22" s="61">
        <v>4.878625916362591E-3</v>
      </c>
      <c r="F22" s="64">
        <v>9.1721683442827322E-3</v>
      </c>
      <c r="G22" s="65">
        <v>-5.1244670774494537E-3</v>
      </c>
      <c r="H22" s="65">
        <v>6.2554932779331912E-3</v>
      </c>
      <c r="I22" s="65">
        <v>-3.6843297168422391E-2</v>
      </c>
      <c r="J22" s="65">
        <v>-2.8983935467432328E-2</v>
      </c>
      <c r="K22" s="65">
        <v>1</v>
      </c>
      <c r="L22" s="65">
        <v>0.1070966161573947</v>
      </c>
      <c r="M22" s="65">
        <v>-0.13158710238465554</v>
      </c>
      <c r="N22" s="65">
        <v>0.99999999999973166</v>
      </c>
      <c r="O22" s="66"/>
      <c r="R22" s="51" t="str">
        <f t="shared" si="5"/>
        <v>Onroerend goed</v>
      </c>
      <c r="S22" s="52">
        <f t="shared" si="6"/>
        <v>2.0051677424745987E-3</v>
      </c>
      <c r="T22" s="52">
        <f t="shared" si="7"/>
        <v>4.2115178534743595E-3</v>
      </c>
      <c r="U22" s="52">
        <f t="shared" si="8"/>
        <v>2.955482748333774E-3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6" t="s">
        <v>64</v>
      </c>
      <c r="E24" s="387"/>
      <c r="F24" s="388"/>
      <c r="G24" s="386" t="s">
        <v>65</v>
      </c>
      <c r="H24" s="387"/>
      <c r="I24" s="387"/>
      <c r="J24" s="387"/>
      <c r="K24" s="387"/>
      <c r="L24" s="387"/>
      <c r="M24" s="387"/>
      <c r="N24" s="387"/>
      <c r="O24" s="388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0.95454475624259882</v>
      </c>
      <c r="H25" s="272">
        <v>2.4536571111890004E-2</v>
      </c>
      <c r="I25" s="272">
        <v>1.0278874446114195E-2</v>
      </c>
      <c r="J25" s="272">
        <v>7.1029444696628641E-3</v>
      </c>
      <c r="K25" s="272">
        <v>2.6613443596427144E-3</v>
      </c>
      <c r="L25" s="272">
        <v>7.767946293359973E-4</v>
      </c>
      <c r="M25" s="272">
        <v>9.8714740750738272E-5</v>
      </c>
      <c r="N25" s="272">
        <v>-2.2204460492503131E-16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0.78024260984548566</v>
      </c>
      <c r="C26" s="54">
        <v>3.9247138741793808E-2</v>
      </c>
      <c r="D26" s="55">
        <v>0.7476086610795265</v>
      </c>
      <c r="E26" s="1">
        <v>0.77518625500295046</v>
      </c>
      <c r="F26" s="56">
        <v>0.8100723526277116</v>
      </c>
      <c r="G26" s="68">
        <v>1</v>
      </c>
      <c r="H26" s="68">
        <v>-0.78623985742816038</v>
      </c>
      <c r="I26" s="68">
        <v>-0.23004675387445978</v>
      </c>
      <c r="J26" s="68">
        <v>-0.10399906708450513</v>
      </c>
      <c r="K26" s="68">
        <v>-0.15666205320853435</v>
      </c>
      <c r="L26" s="68">
        <v>-0.1486040745991086</v>
      </c>
      <c r="M26" s="2">
        <v>-0.14229539953021852</v>
      </c>
      <c r="N26" s="2">
        <v>0.99999999999986411</v>
      </c>
      <c r="O26" s="69"/>
      <c r="R26" s="51" t="str">
        <f>A26</f>
        <v>Nominale matching</v>
      </c>
      <c r="S26" s="52">
        <f>D26</f>
        <v>0.7476086610795265</v>
      </c>
      <c r="T26" s="52">
        <f>B26-D26</f>
        <v>3.2633948765959153E-2</v>
      </c>
      <c r="U26" s="52">
        <f>F26-B26</f>
        <v>2.9829742782225943E-2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1.2206505816738985E-3</v>
      </c>
      <c r="C27" s="54">
        <v>1.412848023088051E-3</v>
      </c>
      <c r="D27" s="55">
        <v>1.5777939412135961E-4</v>
      </c>
      <c r="E27" s="1">
        <v>7.7024808654239994E-4</v>
      </c>
      <c r="F27" s="56">
        <v>1.7722476252102493E-3</v>
      </c>
      <c r="G27" s="68">
        <v>-3.552573389404626E-3</v>
      </c>
      <c r="H27" s="68">
        <v>1.9524088211180561E-2</v>
      </c>
      <c r="I27" s="68">
        <v>1.8298257865061024E-3</v>
      </c>
      <c r="J27" s="68">
        <v>3.5397130764166251E-3</v>
      </c>
      <c r="K27" s="68">
        <v>7.3308712987781952E-2</v>
      </c>
      <c r="L27" s="68">
        <v>1</v>
      </c>
      <c r="M27" s="2">
        <v>-0.15130330950345616</v>
      </c>
      <c r="N27" s="2">
        <v>0.99999999999988576</v>
      </c>
      <c r="O27" s="69"/>
      <c r="R27" s="51" t="str">
        <f t="shared" ref="R27:R33" si="10">A27</f>
        <v>High Yield</v>
      </c>
      <c r="S27" s="52">
        <f t="shared" ref="S27:S33" si="11">D27</f>
        <v>1.5777939412135961E-4</v>
      </c>
      <c r="T27" s="52">
        <f t="shared" ref="T27:T33" si="12">B27-D27</f>
        <v>1.062871187552539E-3</v>
      </c>
      <c r="U27" s="52">
        <f t="shared" ref="U27:U33" si="13">F27-B27</f>
        <v>5.5159704353635076E-4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5.0302402230485632E-3</v>
      </c>
      <c r="C28" s="54">
        <v>4.9662727662155787E-3</v>
      </c>
      <c r="D28" s="55">
        <v>1.364192579988681E-3</v>
      </c>
      <c r="E28" s="1">
        <v>3.4139013491000583E-3</v>
      </c>
      <c r="F28" s="56">
        <v>7.0713332718592599E-3</v>
      </c>
      <c r="G28" s="68">
        <v>-2.6576067024883781E-2</v>
      </c>
      <c r="H28" s="68">
        <v>0.31716404527234598</v>
      </c>
      <c r="I28" s="68">
        <v>1</v>
      </c>
      <c r="J28" s="68">
        <v>-0.50699129967695566</v>
      </c>
      <c r="K28" s="68">
        <v>-0.28578348075132687</v>
      </c>
      <c r="L28" s="68">
        <v>-0.15170784943402407</v>
      </c>
      <c r="M28" s="2">
        <v>-0.14072615400919339</v>
      </c>
      <c r="N28" s="2">
        <v>0.99999999999986355</v>
      </c>
      <c r="O28" s="69"/>
      <c r="R28" s="51" t="str">
        <f t="shared" si="10"/>
        <v>Emerging market debt</v>
      </c>
      <c r="S28" s="52">
        <f t="shared" si="11"/>
        <v>1.364192579988681E-3</v>
      </c>
      <c r="T28" s="52">
        <f t="shared" si="12"/>
        <v>3.6660476430598822E-3</v>
      </c>
      <c r="U28" s="52">
        <f t="shared" si="13"/>
        <v>2.0410930488106967E-3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3.0966301363829579E-4</v>
      </c>
      <c r="C29" s="54">
        <v>5.071257823672144E-4</v>
      </c>
      <c r="D29" s="55">
        <v>1.2403590982166434E-5</v>
      </c>
      <c r="E29" s="1">
        <v>9.8871385926151736E-5</v>
      </c>
      <c r="F29" s="56">
        <v>3.6326287564506692E-4</v>
      </c>
      <c r="G29" s="68">
        <v>-1.6471737412585114E-3</v>
      </c>
      <c r="H29" s="68">
        <v>-4.2232158709808506E-3</v>
      </c>
      <c r="I29" s="68">
        <v>-2.2426593837079657E-3</v>
      </c>
      <c r="J29" s="68">
        <v>-4.6897590631749747E-3</v>
      </c>
      <c r="K29" s="68">
        <v>3.4651565876508673E-3</v>
      </c>
      <c r="L29" s="68">
        <v>8.4835600396976282E-3</v>
      </c>
      <c r="M29" s="2">
        <v>1</v>
      </c>
      <c r="N29" s="2">
        <v>1</v>
      </c>
      <c r="O29" s="69"/>
      <c r="R29" s="51" t="str">
        <f t="shared" si="10"/>
        <v>Aandelen ontwikkeld</v>
      </c>
      <c r="S29" s="52">
        <f t="shared" si="11"/>
        <v>1.2403590982166434E-5</v>
      </c>
      <c r="T29" s="52">
        <f t="shared" si="12"/>
        <v>2.9725942265612935E-4</v>
      </c>
      <c r="U29" s="52">
        <f t="shared" si="13"/>
        <v>5.3599862006771125E-5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6.4736050414711714E-3</v>
      </c>
      <c r="C30" s="54">
        <v>6.3570422734257051E-3</v>
      </c>
      <c r="D30" s="55">
        <v>1.7697577566565983E-3</v>
      </c>
      <c r="E30" s="1">
        <v>4.659543244657836E-3</v>
      </c>
      <c r="F30" s="56">
        <v>9.1868270705638029E-3</v>
      </c>
      <c r="G30" s="68">
        <v>-2.2434504530832244E-2</v>
      </c>
      <c r="H30" s="68">
        <v>1</v>
      </c>
      <c r="I30" s="68">
        <v>-0.80550547497299774</v>
      </c>
      <c r="J30" s="68">
        <v>-0.31123423043484433</v>
      </c>
      <c r="K30" s="68">
        <v>-0.18748482329826011</v>
      </c>
      <c r="L30" s="68">
        <v>-0.16300037206345105</v>
      </c>
      <c r="M30" s="2">
        <v>-0.14146131081968541</v>
      </c>
      <c r="N30" s="2">
        <v>0.99999999999986466</v>
      </c>
      <c r="O30" s="69"/>
      <c r="R30" s="51" t="str">
        <f t="shared" si="10"/>
        <v>Aandelen opkomend</v>
      </c>
      <c r="S30" s="52">
        <f t="shared" si="11"/>
        <v>1.7697577566565983E-3</v>
      </c>
      <c r="T30" s="52">
        <f t="shared" si="12"/>
        <v>4.7038472848145736E-3</v>
      </c>
      <c r="U30" s="52">
        <f t="shared" si="13"/>
        <v>2.7132220290926315E-3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0.19970880536599606</v>
      </c>
      <c r="C31" s="54">
        <v>3.582239684311856E-2</v>
      </c>
      <c r="D31" s="55">
        <v>0.17305350562923499</v>
      </c>
      <c r="E31" s="1">
        <v>0.20469737521812148</v>
      </c>
      <c r="F31" s="56">
        <v>0.23045237600230062</v>
      </c>
      <c r="G31" s="68">
        <v>-0.90949788103813078</v>
      </c>
      <c r="H31" s="68">
        <v>-0.90719850886296904</v>
      </c>
      <c r="I31" s="68">
        <v>-0.26904575192628333</v>
      </c>
      <c r="J31" s="68">
        <v>-0.12015354404505001</v>
      </c>
      <c r="K31" s="68">
        <v>-0.16385070117705586</v>
      </c>
      <c r="L31" s="68">
        <v>-0.15166954325275148</v>
      </c>
      <c r="M31" s="2">
        <v>-0.14455260637967585</v>
      </c>
      <c r="N31" s="2">
        <v>0.99999999999986378</v>
      </c>
      <c r="O31" s="69"/>
      <c r="R31" s="51" t="str">
        <f t="shared" si="10"/>
        <v>Commodities</v>
      </c>
      <c r="S31" s="52">
        <f t="shared" si="11"/>
        <v>0.17305350562923499</v>
      </c>
      <c r="T31" s="52">
        <f t="shared" si="12"/>
        <v>2.6655299736761062E-2</v>
      </c>
      <c r="U31" s="52">
        <f t="shared" si="13"/>
        <v>3.0743570636304562E-2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4.5664711891501676E-3</v>
      </c>
      <c r="C32" s="54">
        <v>4.3869776778461987E-3</v>
      </c>
      <c r="D32" s="55">
        <v>1.4147074235410272E-3</v>
      </c>
      <c r="E32" s="1">
        <v>3.2905093235930131E-3</v>
      </c>
      <c r="F32" s="56">
        <v>6.4917289951221353E-3</v>
      </c>
      <c r="G32" s="68">
        <v>-2.5251115919504352E-2</v>
      </c>
      <c r="H32" s="68">
        <v>0.27754176897883892</v>
      </c>
      <c r="I32" s="68">
        <v>0.19524403098042567</v>
      </c>
      <c r="J32" s="68">
        <v>1</v>
      </c>
      <c r="K32" s="68">
        <v>-0.28299281114026575</v>
      </c>
      <c r="L32" s="68">
        <v>-0.15441718413770991</v>
      </c>
      <c r="M32" s="2">
        <v>-0.13606585959956632</v>
      </c>
      <c r="N32" s="2">
        <v>0.99999999999986433</v>
      </c>
      <c r="O32" s="69"/>
      <c r="R32" s="51" t="str">
        <f t="shared" si="10"/>
        <v>Hedge funds</v>
      </c>
      <c r="S32" s="52">
        <f t="shared" si="11"/>
        <v>1.4147074235410272E-3</v>
      </c>
      <c r="T32" s="52">
        <f t="shared" si="12"/>
        <v>3.1517637656091405E-3</v>
      </c>
      <c r="U32" s="52">
        <f t="shared" si="13"/>
        <v>1.9252578059719676E-3</v>
      </c>
    </row>
    <row r="33" spans="1:30">
      <c r="A33" s="60" t="str">
        <f t="shared" si="9"/>
        <v>Onroerend goed</v>
      </c>
      <c r="B33" s="61">
        <v>2.4479547395361923E-3</v>
      </c>
      <c r="C33" s="62">
        <v>2.6285912113526762E-3</v>
      </c>
      <c r="D33" s="63">
        <v>5.4539080787600978E-4</v>
      </c>
      <c r="E33" s="61">
        <v>1.5324832184509174E-3</v>
      </c>
      <c r="F33" s="64">
        <v>3.6694134820801552E-3</v>
      </c>
      <c r="G33" s="70">
        <v>-1.1040684355985694E-2</v>
      </c>
      <c r="H33" s="70">
        <v>8.343167969974323E-2</v>
      </c>
      <c r="I33" s="70">
        <v>0.10976678339051694</v>
      </c>
      <c r="J33" s="70">
        <v>4.3528187228113295E-2</v>
      </c>
      <c r="K33" s="70">
        <v>1</v>
      </c>
      <c r="L33" s="70">
        <v>-0.23908453655267317</v>
      </c>
      <c r="M33" s="65">
        <v>-0.14359536015833518</v>
      </c>
      <c r="N33" s="65">
        <v>0.99999999999987244</v>
      </c>
      <c r="O33" s="71"/>
      <c r="R33" s="51" t="str">
        <f t="shared" si="10"/>
        <v>Onroerend goed</v>
      </c>
      <c r="S33" s="52">
        <f t="shared" si="11"/>
        <v>5.4539080787600978E-4</v>
      </c>
      <c r="T33" s="52">
        <f t="shared" si="12"/>
        <v>1.9025639316601825E-3</v>
      </c>
      <c r="U33" s="52">
        <f t="shared" si="13"/>
        <v>1.2214587425439629E-3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6" t="s">
        <v>64</v>
      </c>
      <c r="E35" s="387"/>
      <c r="F35" s="388"/>
      <c r="G35" s="386" t="s">
        <v>65</v>
      </c>
      <c r="H35" s="387"/>
      <c r="I35" s="387"/>
      <c r="J35" s="387"/>
      <c r="K35" s="387"/>
      <c r="L35" s="387"/>
      <c r="M35" s="387"/>
      <c r="N35" s="387"/>
      <c r="O35" s="388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0.58815298566534846</v>
      </c>
      <c r="H36" s="272">
        <v>0.20091254234009659</v>
      </c>
      <c r="I36" s="272">
        <v>0.1321033651141641</v>
      </c>
      <c r="J36" s="272">
        <v>6.8631126528603481E-2</v>
      </c>
      <c r="K36" s="272">
        <v>7.8775487081540474E-3</v>
      </c>
      <c r="L36" s="272">
        <v>1.9286220470984272E-3</v>
      </c>
      <c r="M36" s="272">
        <v>3.9380959653656511E-4</v>
      </c>
      <c r="N36" s="272">
        <v>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0.53661853363449552</v>
      </c>
      <c r="C37" s="54">
        <v>2.6372988276577799E-2</v>
      </c>
      <c r="D37" s="55">
        <v>0.51654818289803273</v>
      </c>
      <c r="E37" s="1">
        <v>0.53483226474340095</v>
      </c>
      <c r="F37" s="56">
        <v>0.55692612071871528</v>
      </c>
      <c r="G37" s="2">
        <v>-0.27076554329599445</v>
      </c>
      <c r="H37" s="2">
        <v>-0.41267243970028572</v>
      </c>
      <c r="I37" s="2">
        <v>-0.34699767566312362</v>
      </c>
      <c r="J37" s="2">
        <v>-1.0263529321293251E-2</v>
      </c>
      <c r="K37" s="2">
        <v>-0.35113657525064723</v>
      </c>
      <c r="L37" s="2">
        <v>7.6886913467186693E-2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0.51654818289803273</v>
      </c>
      <c r="T37" s="52">
        <f>B37-D37</f>
        <v>2.0070350736462794E-2</v>
      </c>
      <c r="U37" s="52">
        <f>F37-B37</f>
        <v>2.0307587084219758E-2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0.20997813017096817</v>
      </c>
      <c r="C38" s="54">
        <v>6.7626941663208096E-2</v>
      </c>
      <c r="D38" s="55">
        <v>0.1568916166270182</v>
      </c>
      <c r="E38" s="1">
        <v>0.20191983584015763</v>
      </c>
      <c r="F38" s="56">
        <v>0.25621369403596533</v>
      </c>
      <c r="G38" s="2">
        <v>1</v>
      </c>
      <c r="H38" s="2">
        <v>0.16975773601957256</v>
      </c>
      <c r="I38" s="2">
        <v>-4.798856060903757E-2</v>
      </c>
      <c r="J38" s="2">
        <v>-0.1009563362743309</v>
      </c>
      <c r="K38" s="2">
        <v>-0.20260194241802454</v>
      </c>
      <c r="L38" s="2">
        <v>-0.14016459144915089</v>
      </c>
      <c r="M38" s="2">
        <v>0.14986622204933436</v>
      </c>
      <c r="N38" s="2">
        <v>0.99999999999990596</v>
      </c>
      <c r="O38" s="57"/>
      <c r="R38" s="51" t="str">
        <f t="shared" ref="R38:R44" si="15">A38</f>
        <v>High Yield</v>
      </c>
      <c r="S38" s="52">
        <f t="shared" ref="S38:S44" si="16">D38</f>
        <v>0.1568916166270182</v>
      </c>
      <c r="T38" s="52">
        <f t="shared" ref="T38:T44" si="17">B38-D38</f>
        <v>5.308651354394997E-2</v>
      </c>
      <c r="U38" s="52">
        <f t="shared" ref="U38:U44" si="18">F38-B38</f>
        <v>4.6235563864997165E-2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5.9117493475879981E-2</v>
      </c>
      <c r="C39" s="54">
        <v>4.5241953681365292E-2</v>
      </c>
      <c r="D39" s="55">
        <v>2.3901769364338216E-2</v>
      </c>
      <c r="E39" s="1">
        <v>4.7891557467717338E-2</v>
      </c>
      <c r="F39" s="56">
        <v>8.4893596090974091E-2</v>
      </c>
      <c r="G39" s="2">
        <v>-0.37203612974787975</v>
      </c>
      <c r="H39" s="2">
        <v>1</v>
      </c>
      <c r="I39" s="2">
        <v>8.2687411533880442E-2</v>
      </c>
      <c r="J39" s="2">
        <v>3.3811965749343191E-2</v>
      </c>
      <c r="K39" s="2">
        <v>-0.15521257317492668</v>
      </c>
      <c r="L39" s="2">
        <v>-0.11986677615963777</v>
      </c>
      <c r="M39" s="2">
        <v>0.15095982315298306</v>
      </c>
      <c r="N39" s="2">
        <v>0.99999999999990541</v>
      </c>
      <c r="O39" s="57"/>
      <c r="R39" s="51" t="str">
        <f t="shared" si="15"/>
        <v>Emerging market debt</v>
      </c>
      <c r="S39" s="52">
        <f t="shared" si="16"/>
        <v>2.3901769364338216E-2</v>
      </c>
      <c r="T39" s="52">
        <f t="shared" si="17"/>
        <v>3.5215724111541766E-2</v>
      </c>
      <c r="U39" s="52">
        <f t="shared" si="18"/>
        <v>2.577610261509411E-2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3.5044524700723321E-3</v>
      </c>
      <c r="C40" s="54">
        <v>3.9965383600377088E-3</v>
      </c>
      <c r="D40" s="55">
        <v>7.2836540382580843E-4</v>
      </c>
      <c r="E40" s="1">
        <v>2.1391194142610214E-3</v>
      </c>
      <c r="F40" s="56">
        <v>5.007610424868034E-3</v>
      </c>
      <c r="G40" s="2">
        <v>7.3746771497732715E-3</v>
      </c>
      <c r="H40" s="2">
        <v>-5.1581290007563802E-3</v>
      </c>
      <c r="I40" s="2">
        <v>-1.6070152758843746E-2</v>
      </c>
      <c r="J40" s="2">
        <v>-1.0394939734497155E-2</v>
      </c>
      <c r="K40" s="2">
        <v>-5.8876339459698099E-2</v>
      </c>
      <c r="L40" s="2">
        <v>1</v>
      </c>
      <c r="M40" s="2">
        <v>-0.41238675487668219</v>
      </c>
      <c r="N40" s="2">
        <v>0.9999999999998358</v>
      </c>
      <c r="O40" s="57"/>
      <c r="R40" s="51" t="str">
        <f t="shared" si="15"/>
        <v>Aandelen ontwikkeld</v>
      </c>
      <c r="S40" s="52">
        <f t="shared" si="16"/>
        <v>7.2836540382580843E-4</v>
      </c>
      <c r="T40" s="52">
        <f t="shared" si="17"/>
        <v>2.7760870662465239E-3</v>
      </c>
      <c r="U40" s="52">
        <f t="shared" si="18"/>
        <v>1.5031579547957019E-3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3.2858984790462391E-2</v>
      </c>
      <c r="C41" s="54">
        <v>2.3232687673840846E-2</v>
      </c>
      <c r="D41" s="55">
        <v>1.3718655682255582E-2</v>
      </c>
      <c r="E41" s="1">
        <v>2.9907078051559302E-2</v>
      </c>
      <c r="F41" s="56">
        <v>4.780965981420781E-2</v>
      </c>
      <c r="G41" s="2">
        <v>-5.9482619971933312E-2</v>
      </c>
      <c r="H41" s="2">
        <v>-0.20779326217915794</v>
      </c>
      <c r="I41" s="2">
        <v>-0.19552828682710569</v>
      </c>
      <c r="J41" s="2">
        <v>1</v>
      </c>
      <c r="K41" s="2">
        <v>-5.3098180472274402E-2</v>
      </c>
      <c r="L41" s="2">
        <v>-0.28332544639513557</v>
      </c>
      <c r="M41" s="2">
        <v>-0.4799024637312414</v>
      </c>
      <c r="N41" s="2">
        <v>0.99999999999983491</v>
      </c>
      <c r="O41" s="57"/>
      <c r="R41" s="51" t="str">
        <f t="shared" si="15"/>
        <v>Aandelen opkomend</v>
      </c>
      <c r="S41" s="52">
        <f t="shared" si="16"/>
        <v>1.3718655682255582E-2</v>
      </c>
      <c r="T41" s="52">
        <f t="shared" si="17"/>
        <v>1.9140329108206809E-2</v>
      </c>
      <c r="U41" s="52">
        <f t="shared" si="18"/>
        <v>1.4950675023745419E-2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9.953296552430585E-2</v>
      </c>
      <c r="C42" s="54">
        <v>2.5831110620748495E-2</v>
      </c>
      <c r="D42" s="55">
        <v>8.1738011882018152E-2</v>
      </c>
      <c r="E42" s="1">
        <v>0.10019669640617168</v>
      </c>
      <c r="F42" s="56">
        <v>0.11707856984426827</v>
      </c>
      <c r="G42" s="2">
        <v>-0.20694855944061971</v>
      </c>
      <c r="H42" s="2">
        <v>-0.18316659553121234</v>
      </c>
      <c r="I42" s="2">
        <v>-0.45002999301814167</v>
      </c>
      <c r="J42" s="2">
        <v>-0.73938969968187396</v>
      </c>
      <c r="K42" s="2">
        <v>-5.1782900409675085E-2</v>
      </c>
      <c r="L42" s="2">
        <v>-0.35035016811559383</v>
      </c>
      <c r="M42" s="2">
        <v>-0.67018458901287725</v>
      </c>
      <c r="N42" s="2">
        <v>0.99999999999981448</v>
      </c>
      <c r="O42" s="57"/>
      <c r="R42" s="51" t="str">
        <f t="shared" si="15"/>
        <v>Commodities</v>
      </c>
      <c r="S42" s="52">
        <f t="shared" si="16"/>
        <v>8.1738011882018152E-2</v>
      </c>
      <c r="T42" s="52">
        <f t="shared" si="17"/>
        <v>1.7794953642287697E-2</v>
      </c>
      <c r="U42" s="52">
        <f t="shared" si="18"/>
        <v>1.7545604319962424E-2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9.4109344019044031E-3</v>
      </c>
      <c r="C43" s="54">
        <v>8.196139323385419E-3</v>
      </c>
      <c r="D43" s="55">
        <v>3.309797457975128E-3</v>
      </c>
      <c r="E43" s="1">
        <v>6.9428577116453609E-3</v>
      </c>
      <c r="F43" s="56">
        <v>1.3502446887815611E-2</v>
      </c>
      <c r="G43" s="2">
        <v>2.1155425686256335E-2</v>
      </c>
      <c r="H43" s="2">
        <v>-1.9576717185453528E-2</v>
      </c>
      <c r="I43" s="2">
        <v>-2.607274265762875E-2</v>
      </c>
      <c r="J43" s="2">
        <v>-2.3603749417716834E-2</v>
      </c>
      <c r="K43" s="2">
        <v>1</v>
      </c>
      <c r="L43" s="2">
        <v>-1.5640818920289356E-2</v>
      </c>
      <c r="M43" s="2">
        <v>0.31382325711292391</v>
      </c>
      <c r="N43" s="2">
        <v>0.99999999999991718</v>
      </c>
      <c r="O43" s="57"/>
      <c r="R43" s="51" t="str">
        <f t="shared" si="15"/>
        <v>Hedge funds</v>
      </c>
      <c r="S43" s="52">
        <f t="shared" si="16"/>
        <v>3.309797457975128E-3</v>
      </c>
      <c r="T43" s="52">
        <f t="shared" si="17"/>
        <v>6.1011369439292751E-3</v>
      </c>
      <c r="U43" s="52">
        <f t="shared" si="18"/>
        <v>4.0915124859112074E-3</v>
      </c>
    </row>
    <row r="44" spans="1:30">
      <c r="A44" s="60" t="str">
        <f t="shared" si="14"/>
        <v>Onroerend goed</v>
      </c>
      <c r="B44" s="61">
        <v>4.8978505531911111E-2</v>
      </c>
      <c r="C44" s="62">
        <v>3.43932294484975E-2</v>
      </c>
      <c r="D44" s="63">
        <v>2.1772011481497794E-2</v>
      </c>
      <c r="E44" s="61">
        <v>4.2604317227702033E-2</v>
      </c>
      <c r="F44" s="64">
        <v>6.9961213172337208E-2</v>
      </c>
      <c r="G44" s="65">
        <v>-0.11929725037960241</v>
      </c>
      <c r="H44" s="65">
        <v>-0.34139059242270636</v>
      </c>
      <c r="I44" s="65">
        <v>1</v>
      </c>
      <c r="J44" s="65">
        <v>-0.14920371131963114</v>
      </c>
      <c r="K44" s="65">
        <v>-0.1272914888147483</v>
      </c>
      <c r="L44" s="65">
        <v>-0.16753911242737227</v>
      </c>
      <c r="M44" s="65">
        <v>-5.2175494694662851E-2</v>
      </c>
      <c r="N44" s="65">
        <v>0.99999999999988298</v>
      </c>
      <c r="O44" s="66"/>
      <c r="R44" s="51" t="str">
        <f t="shared" si="15"/>
        <v>Onroerend goed</v>
      </c>
      <c r="S44" s="52">
        <f t="shared" si="16"/>
        <v>2.1772011481497794E-2</v>
      </c>
      <c r="T44" s="52">
        <f t="shared" si="17"/>
        <v>2.7206494050413317E-2</v>
      </c>
      <c r="U44" s="52">
        <f t="shared" si="18"/>
        <v>2.0982707640426097E-2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6" t="s">
        <v>64</v>
      </c>
      <c r="E46" s="387"/>
      <c r="F46" s="388"/>
      <c r="G46" s="386" t="s">
        <v>65</v>
      </c>
      <c r="H46" s="387"/>
      <c r="I46" s="387"/>
      <c r="J46" s="387"/>
      <c r="K46" s="387"/>
      <c r="L46" s="387"/>
      <c r="M46" s="387"/>
      <c r="N46" s="387"/>
      <c r="O46" s="388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0.54763385909774365</v>
      </c>
      <c r="H47" s="272">
        <v>0.18174621923137368</v>
      </c>
      <c r="I47" s="272">
        <v>8.9851898635866512E-2</v>
      </c>
      <c r="J47" s="272">
        <v>7.1460775325517645E-2</v>
      </c>
      <c r="K47" s="272">
        <v>4.4118959435089478E-2</v>
      </c>
      <c r="L47" s="272">
        <v>3.454081642011575E-2</v>
      </c>
      <c r="M47" s="272">
        <v>3.0647471854292285E-2</v>
      </c>
      <c r="N47" s="272">
        <v>0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0.99949423566447482</v>
      </c>
      <c r="C48" s="54">
        <v>2.6974616458008542E-4</v>
      </c>
      <c r="D48" s="55">
        <v>0.99930452437582407</v>
      </c>
      <c r="E48" s="1">
        <v>0.99950933985785761</v>
      </c>
      <c r="F48" s="56">
        <v>0.99971178882714073</v>
      </c>
      <c r="G48" s="68">
        <v>1</v>
      </c>
      <c r="H48" s="68">
        <v>0.45069805249076011</v>
      </c>
      <c r="I48" s="68">
        <v>-0.18658457242424212</v>
      </c>
      <c r="J48" s="68">
        <v>-0.15072285659630402</v>
      </c>
      <c r="K48" s="68">
        <v>-0.19234058959487296</v>
      </c>
      <c r="L48" s="68">
        <v>-0.14266473931524057</v>
      </c>
      <c r="M48" s="2">
        <v>-1.9811509538777174E-2</v>
      </c>
      <c r="N48" s="2">
        <v>0.99999999999996037</v>
      </c>
      <c r="O48" s="69"/>
      <c r="R48" s="51" t="str">
        <f>A48</f>
        <v>Nominale matching</v>
      </c>
      <c r="S48" s="52">
        <f>D48</f>
        <v>0.99930452437582407</v>
      </c>
      <c r="T48" s="52">
        <f>B48-D48</f>
        <v>1.8971128865075126E-4</v>
      </c>
      <c r="U48" s="52">
        <f>F48-B48</f>
        <v>2.1755316266591773E-4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6.5333588471213713E-5</v>
      </c>
      <c r="C49" s="54">
        <v>1.0374658943487147E-4</v>
      </c>
      <c r="D49" s="55">
        <v>9.7133451643336871E-7</v>
      </c>
      <c r="E49" s="1">
        <v>1.8968442843191247E-5</v>
      </c>
      <c r="F49" s="56">
        <v>8.5399850862701178E-5</v>
      </c>
      <c r="G49" s="68">
        <v>-6.6360963048674462E-2</v>
      </c>
      <c r="H49" s="68">
        <v>-0.17700408275566382</v>
      </c>
      <c r="I49" s="68">
        <v>0.1910077725517966</v>
      </c>
      <c r="J49" s="68">
        <v>1</v>
      </c>
      <c r="K49" s="68">
        <v>-0.47554555585660369</v>
      </c>
      <c r="L49" s="68">
        <v>-0.3315071394231795</v>
      </c>
      <c r="M49" s="2">
        <v>-3.4913895433701617E-2</v>
      </c>
      <c r="N49" s="2">
        <v>0.99999999999999323</v>
      </c>
      <c r="O49" s="69"/>
      <c r="R49" s="51" t="str">
        <f t="shared" ref="R49:R55" si="20">A49</f>
        <v>High Yield</v>
      </c>
      <c r="S49" s="52">
        <f t="shared" ref="S49:S55" si="21">D49</f>
        <v>9.7133451643336871E-7</v>
      </c>
      <c r="T49" s="52">
        <f t="shared" ref="T49:T55" si="22">B49-D49</f>
        <v>6.4362253954780346E-5</v>
      </c>
      <c r="U49" s="52">
        <f t="shared" ref="U49:U55" si="23">F49-B49</f>
        <v>2.0066262391487465E-5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4.915493711668547E-5</v>
      </c>
      <c r="C50" s="54">
        <v>8.188264137837493E-5</v>
      </c>
      <c r="D50" s="55">
        <v>7.1009272293360485E-7</v>
      </c>
      <c r="E50" s="1">
        <v>1.2999961696863675E-5</v>
      </c>
      <c r="F50" s="56">
        <v>5.7129518368881946E-5</v>
      </c>
      <c r="G50" s="68">
        <v>-3.6572240102175028E-3</v>
      </c>
      <c r="H50" s="68">
        <v>-0.10224987661495964</v>
      </c>
      <c r="I50" s="68">
        <v>0.10001405777968644</v>
      </c>
      <c r="J50" s="68">
        <v>9.2048114904970266E-2</v>
      </c>
      <c r="K50" s="68">
        <v>1</v>
      </c>
      <c r="L50" s="68">
        <v>-0.71805931657267685</v>
      </c>
      <c r="M50" s="2">
        <v>-2.9405017862814596E-2</v>
      </c>
      <c r="N50" s="2">
        <v>0.99999999999989797</v>
      </c>
      <c r="O50" s="69"/>
      <c r="R50" s="51" t="str">
        <f t="shared" si="20"/>
        <v>Emerging market debt</v>
      </c>
      <c r="S50" s="52">
        <f t="shared" si="21"/>
        <v>7.1009272293360485E-7</v>
      </c>
      <c r="T50" s="52">
        <f t="shared" si="22"/>
        <v>4.8444844393751866E-5</v>
      </c>
      <c r="U50" s="52">
        <f t="shared" si="23"/>
        <v>7.9745812521964752E-6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3.5758978561333201E-5</v>
      </c>
      <c r="C51" s="54">
        <v>7.1710189417376115E-5</v>
      </c>
      <c r="D51" s="55">
        <v>2.141005562525642E-7</v>
      </c>
      <c r="E51" s="1">
        <v>4.332513680099208E-6</v>
      </c>
      <c r="F51" s="56">
        <v>3.481619928350616E-5</v>
      </c>
      <c r="G51" s="68">
        <v>-2.1329236190373389E-2</v>
      </c>
      <c r="H51" s="68">
        <v>-6.7214783731442143E-2</v>
      </c>
      <c r="I51" s="68">
        <v>6.142749495228645E-2</v>
      </c>
      <c r="J51" s="68">
        <v>7.3011737510252347E-2</v>
      </c>
      <c r="K51" s="68">
        <v>0.18297593521975247</v>
      </c>
      <c r="L51" s="68">
        <v>0.77992577712871414</v>
      </c>
      <c r="M51" s="2">
        <v>1</v>
      </c>
      <c r="N51" s="2">
        <v>0.9999999999999476</v>
      </c>
      <c r="O51" s="69"/>
      <c r="R51" s="51" t="str">
        <f t="shared" si="20"/>
        <v>Aandelen ontwikkeld</v>
      </c>
      <c r="S51" s="52">
        <f t="shared" si="21"/>
        <v>2.141005562525642E-7</v>
      </c>
      <c r="T51" s="52">
        <f t="shared" si="22"/>
        <v>3.5544878005080638E-5</v>
      </c>
      <c r="U51" s="52">
        <f t="shared" si="23"/>
        <v>-9.4277927782704022E-7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7.5914987364965076E-5</v>
      </c>
      <c r="C52" s="54">
        <v>1.1754939452532254E-4</v>
      </c>
      <c r="D52" s="55">
        <v>1.0691390503438878E-6</v>
      </c>
      <c r="E52" s="1">
        <v>2.2029475824694759E-5</v>
      </c>
      <c r="F52" s="56">
        <v>9.835568152040496E-5</v>
      </c>
      <c r="G52" s="68">
        <v>-9.7339266476532599E-2</v>
      </c>
      <c r="H52" s="68">
        <v>-0.28971376558527828</v>
      </c>
      <c r="I52" s="68">
        <v>1</v>
      </c>
      <c r="J52" s="68">
        <v>-0.58850793015099534</v>
      </c>
      <c r="K52" s="68">
        <v>-0.32609132746521768</v>
      </c>
      <c r="L52" s="68">
        <v>-0.16526535045834681</v>
      </c>
      <c r="M52" s="2">
        <v>-8.1728198785575676E-2</v>
      </c>
      <c r="N52" s="2">
        <v>0.99999999999998657</v>
      </c>
      <c r="O52" s="69"/>
      <c r="R52" s="51" t="str">
        <f t="shared" si="20"/>
        <v>Aandelen opkomend</v>
      </c>
      <c r="S52" s="52">
        <f t="shared" si="21"/>
        <v>1.0691390503438878E-6</v>
      </c>
      <c r="T52" s="52">
        <f t="shared" si="22"/>
        <v>7.4845848314621192E-5</v>
      </c>
      <c r="U52" s="52">
        <f t="shared" si="23"/>
        <v>2.2440694155439884E-5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4.0683541436063766E-5</v>
      </c>
      <c r="C53" s="54">
        <v>7.3029985679175442E-5</v>
      </c>
      <c r="D53" s="55">
        <v>3.9763560674057552E-7</v>
      </c>
      <c r="E53" s="1">
        <v>6.1376884894566361E-6</v>
      </c>
      <c r="F53" s="56">
        <v>4.5682217986103371E-5</v>
      </c>
      <c r="G53" s="68">
        <v>-3.4712691834474396E-2</v>
      </c>
      <c r="H53" s="68">
        <v>-5.4084575264752681E-2</v>
      </c>
      <c r="I53" s="68">
        <v>-2.9105803976361873E-2</v>
      </c>
      <c r="J53" s="68">
        <v>0.10545493921059591</v>
      </c>
      <c r="K53" s="68">
        <v>0.24282727640617632</v>
      </c>
      <c r="L53" s="68">
        <v>1</v>
      </c>
      <c r="M53" s="2">
        <v>-0.82982949724978816</v>
      </c>
      <c r="N53" s="2">
        <v>1</v>
      </c>
      <c r="O53" s="69"/>
      <c r="R53" s="51" t="str">
        <f t="shared" si="20"/>
        <v>Commodities</v>
      </c>
      <c r="S53" s="52">
        <f t="shared" si="21"/>
        <v>3.9763560674057552E-7</v>
      </c>
      <c r="T53" s="52">
        <f t="shared" si="22"/>
        <v>4.0285905829323189E-5</v>
      </c>
      <c r="U53" s="52">
        <f t="shared" si="23"/>
        <v>4.9986765500396055E-6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1.486566718966514E-4</v>
      </c>
      <c r="C54" s="54">
        <v>2.0969231682891248E-4</v>
      </c>
      <c r="D54" s="55">
        <v>1.0596748358769783E-5</v>
      </c>
      <c r="E54" s="1">
        <v>6.1565682687079242E-5</v>
      </c>
      <c r="F54" s="56">
        <v>2.1110540926661691E-4</v>
      </c>
      <c r="G54" s="68">
        <v>-0.61625870655995252</v>
      </c>
      <c r="H54" s="68">
        <v>1</v>
      </c>
      <c r="I54" s="68">
        <v>-0.25222766813231567</v>
      </c>
      <c r="J54" s="68">
        <v>-0.17583547530531238</v>
      </c>
      <c r="K54" s="68">
        <v>-0.16623827773022679</v>
      </c>
      <c r="L54" s="68">
        <v>-0.18768226544591501</v>
      </c>
      <c r="M54" s="2">
        <v>-2.7722853913130451E-3</v>
      </c>
      <c r="N54" s="2">
        <v>0.99999999999987721</v>
      </c>
      <c r="O54" s="69"/>
      <c r="R54" s="51" t="str">
        <f t="shared" si="20"/>
        <v>Hedge funds</v>
      </c>
      <c r="S54" s="52">
        <f t="shared" si="21"/>
        <v>1.0596748358769783E-5</v>
      </c>
      <c r="T54" s="52">
        <f t="shared" si="22"/>
        <v>1.3805992353788161E-4</v>
      </c>
      <c r="U54" s="52">
        <f t="shared" si="23"/>
        <v>6.2448737369965511E-5</v>
      </c>
    </row>
    <row r="55" spans="1:36">
      <c r="A55" s="60" t="str">
        <f t="shared" si="19"/>
        <v>Onroerend goed</v>
      </c>
      <c r="B55" s="61">
        <v>9.0261630678616789E-5</v>
      </c>
      <c r="C55" s="62">
        <v>1.3982386247768068E-4</v>
      </c>
      <c r="D55" s="63">
        <v>2.1770058305489551E-6</v>
      </c>
      <c r="E55" s="61">
        <v>2.6531554111066425E-5</v>
      </c>
      <c r="F55" s="64">
        <v>1.15571370079098E-4</v>
      </c>
      <c r="G55" s="70">
        <v>-0.16034191187982125</v>
      </c>
      <c r="H55" s="70">
        <v>-0.76043096853857417</v>
      </c>
      <c r="I55" s="70">
        <v>-0.88453128075089704</v>
      </c>
      <c r="J55" s="70">
        <v>-0.35544852957323664</v>
      </c>
      <c r="K55" s="70">
        <v>-0.26558746097894309</v>
      </c>
      <c r="L55" s="70">
        <v>-0.23474696591343031</v>
      </c>
      <c r="M55" s="65">
        <v>-1.5395957379824802E-3</v>
      </c>
      <c r="N55" s="65">
        <v>0.99999999999995814</v>
      </c>
      <c r="O55" s="71"/>
      <c r="R55" s="51" t="str">
        <f t="shared" si="20"/>
        <v>Onroerend goed</v>
      </c>
      <c r="S55" s="52">
        <f t="shared" si="21"/>
        <v>2.1770058305489551E-6</v>
      </c>
      <c r="T55" s="52">
        <f t="shared" si="22"/>
        <v>8.8084624848067838E-5</v>
      </c>
      <c r="U55" s="52">
        <f t="shared" si="23"/>
        <v>2.5309739400481215E-5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6" t="s">
        <v>64</v>
      </c>
      <c r="E57" s="387"/>
      <c r="F57" s="388"/>
      <c r="G57" s="386" t="s">
        <v>65</v>
      </c>
      <c r="H57" s="387"/>
      <c r="I57" s="387"/>
      <c r="J57" s="387"/>
      <c r="K57" s="387"/>
      <c r="L57" s="387"/>
      <c r="M57" s="387"/>
      <c r="N57" s="387"/>
      <c r="O57" s="388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0.57049288151476407</v>
      </c>
      <c r="H58" s="272">
        <v>0.23460257942987517</v>
      </c>
      <c r="I58" s="272">
        <v>8.0334314650245542E-2</v>
      </c>
      <c r="J58" s="272">
        <v>4.8524325247837341E-2</v>
      </c>
      <c r="K58" s="272">
        <v>3.2678474498645471E-2</v>
      </c>
      <c r="L58" s="272">
        <v>1.9096164182099473E-2</v>
      </c>
      <c r="M58" s="272">
        <v>1.427126047652616E-2</v>
      </c>
      <c r="N58" s="272">
        <v>-2.2204460492503131E-16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0.90972681456083548</v>
      </c>
      <c r="C59" s="54">
        <v>1.0922063096076842E-3</v>
      </c>
      <c r="D59" s="55">
        <v>0.90885150849427099</v>
      </c>
      <c r="E59" s="1">
        <v>0.90954106451888828</v>
      </c>
      <c r="F59" s="56">
        <v>0.91037547393075902</v>
      </c>
      <c r="G59" s="2">
        <v>-0.60805112421549723</v>
      </c>
      <c r="H59" s="2">
        <v>-0.94183002854005071</v>
      </c>
      <c r="I59" s="2">
        <v>-0.62565806416321235</v>
      </c>
      <c r="J59" s="2">
        <v>-0.16178715926296902</v>
      </c>
      <c r="K59" s="2">
        <v>-7.90889254231711E-2</v>
      </c>
      <c r="L59" s="2">
        <v>-0.19656865985820587</v>
      </c>
      <c r="M59" s="2">
        <v>-3.200901895470229E-2</v>
      </c>
      <c r="N59" s="2">
        <v>0.99999999999998568</v>
      </c>
      <c r="O59" s="69"/>
      <c r="R59" s="51" t="str">
        <f>A59</f>
        <v>Nominale matching</v>
      </c>
      <c r="S59" s="52">
        <f>D59</f>
        <v>0.90885150849427099</v>
      </c>
      <c r="T59" s="52">
        <f>B59-D59</f>
        <v>8.7530606656449628E-4</v>
      </c>
      <c r="U59" s="52">
        <f>F59-B59</f>
        <v>6.4865936992353213E-4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2.4748560031277798E-4</v>
      </c>
      <c r="C60" s="54">
        <v>3.675903478162445E-4</v>
      </c>
      <c r="D60" s="55">
        <v>6.3728900124408004E-6</v>
      </c>
      <c r="E60" s="1">
        <v>8.639011771161936E-5</v>
      </c>
      <c r="F60" s="56">
        <v>3.459487750921111E-4</v>
      </c>
      <c r="G60" s="2">
        <v>7.4300501459336867E-3</v>
      </c>
      <c r="H60" s="2">
        <v>5.9595176544948177E-2</v>
      </c>
      <c r="I60" s="2">
        <v>0.27641112981005261</v>
      </c>
      <c r="J60" s="2">
        <v>9.1572978576579991E-2</v>
      </c>
      <c r="K60" s="2">
        <v>1</v>
      </c>
      <c r="L60" s="2">
        <v>-0.33944008980563178</v>
      </c>
      <c r="M60" s="2">
        <v>-2.7946634686460196E-2</v>
      </c>
      <c r="N60" s="2">
        <v>1</v>
      </c>
      <c r="O60" s="69"/>
      <c r="R60" s="51" t="str">
        <f t="shared" ref="R60:R66" si="25">A60</f>
        <v>High Yield</v>
      </c>
      <c r="S60" s="52">
        <f t="shared" ref="S60:S66" si="26">D60</f>
        <v>6.3728900124408004E-6</v>
      </c>
      <c r="T60" s="52">
        <f t="shared" ref="T60:T66" si="27">B60-D60</f>
        <v>2.4111271030033719E-4</v>
      </c>
      <c r="U60" s="52">
        <f t="shared" ref="U60:U66" si="28">F60-B60</f>
        <v>9.8463174779333119E-5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3.2895266708489685E-4</v>
      </c>
      <c r="C61" s="54">
        <v>4.8524630253597972E-4</v>
      </c>
      <c r="D61" s="55">
        <v>6.9755945383153623E-6</v>
      </c>
      <c r="E61" s="1">
        <v>1.1445318990582784E-4</v>
      </c>
      <c r="F61" s="56">
        <v>4.6198685125612408E-4</v>
      </c>
      <c r="G61" s="2">
        <v>-1.7126498044602232E-2</v>
      </c>
      <c r="H61" s="2">
        <v>0.10947999460301533</v>
      </c>
      <c r="I61" s="2">
        <v>1</v>
      </c>
      <c r="J61" s="2">
        <v>-0.81423789039121075</v>
      </c>
      <c r="K61" s="2">
        <v>-0.30752354233747997</v>
      </c>
      <c r="L61" s="2">
        <v>-0.33275867195849074</v>
      </c>
      <c r="M61" s="2">
        <v>-0.1126449514909577</v>
      </c>
      <c r="N61" s="2">
        <v>0.99999999999998102</v>
      </c>
      <c r="O61" s="69"/>
      <c r="R61" s="51" t="str">
        <f t="shared" si="25"/>
        <v>Emerging market debt</v>
      </c>
      <c r="S61" s="52">
        <f t="shared" si="26"/>
        <v>6.9755945383153623E-6</v>
      </c>
      <c r="T61" s="52">
        <f t="shared" si="27"/>
        <v>3.2197707254658146E-4</v>
      </c>
      <c r="U61" s="52">
        <f t="shared" si="28"/>
        <v>1.3303418417122723E-4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1.4974988703080245E-4</v>
      </c>
      <c r="C62" s="54">
        <v>2.6489120651934206E-4</v>
      </c>
      <c r="D62" s="55">
        <v>1.1328907799621103E-6</v>
      </c>
      <c r="E62" s="1">
        <v>2.6560669178371484E-5</v>
      </c>
      <c r="F62" s="56">
        <v>1.7079789961801201E-4</v>
      </c>
      <c r="G62" s="2">
        <v>9.9686489414863473E-3</v>
      </c>
      <c r="H62" s="2">
        <v>2.2894031759600753E-2</v>
      </c>
      <c r="I62" s="2">
        <v>7.1169796210596201E-2</v>
      </c>
      <c r="J62" s="2">
        <v>3.7407861915503098E-2</v>
      </c>
      <c r="K62" s="2">
        <v>4.0580556754099065E-2</v>
      </c>
      <c r="L62" s="2">
        <v>1</v>
      </c>
      <c r="M62" s="2">
        <v>-0.72845847565609467</v>
      </c>
      <c r="N62" s="2">
        <v>0.99999999999998956</v>
      </c>
      <c r="O62" s="69"/>
      <c r="R62" s="51" t="str">
        <f t="shared" si="25"/>
        <v>Aandelen ontwikkeld</v>
      </c>
      <c r="S62" s="52">
        <f t="shared" si="26"/>
        <v>1.1328907799621103E-6</v>
      </c>
      <c r="T62" s="52">
        <f t="shared" si="27"/>
        <v>1.4861699625084036E-4</v>
      </c>
      <c r="U62" s="52">
        <f t="shared" si="28"/>
        <v>2.104801258720956E-5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2.6436406523139147E-4</v>
      </c>
      <c r="C63" s="54">
        <v>4.5617560449338917E-4</v>
      </c>
      <c r="D63" s="55">
        <v>2.9505481362213323E-6</v>
      </c>
      <c r="E63" s="1">
        <v>5.8928533388626387E-5</v>
      </c>
      <c r="F63" s="56">
        <v>3.2623333412994565E-4</v>
      </c>
      <c r="G63" s="2">
        <v>-7.659440133756569E-2</v>
      </c>
      <c r="H63" s="2">
        <v>-2.5152849525357117E-2</v>
      </c>
      <c r="I63" s="2">
        <v>0.60841714961838134</v>
      </c>
      <c r="J63" s="2">
        <v>1</v>
      </c>
      <c r="K63" s="2">
        <v>-0.37207597195335612</v>
      </c>
      <c r="L63" s="2">
        <v>-0.30892325026872974</v>
      </c>
      <c r="M63" s="2">
        <v>-3.0029089806576609E-2</v>
      </c>
      <c r="N63" s="2">
        <v>0.99999999999998856</v>
      </c>
      <c r="O63" s="69"/>
      <c r="R63" s="51" t="str">
        <f t="shared" si="25"/>
        <v>Aandelen opkomend</v>
      </c>
      <c r="S63" s="52">
        <f t="shared" si="26"/>
        <v>2.9505481362213323E-6</v>
      </c>
      <c r="T63" s="52">
        <f t="shared" si="27"/>
        <v>2.6141351709517012E-4</v>
      </c>
      <c r="U63" s="52">
        <f t="shared" si="28"/>
        <v>6.186926889855418E-5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1.4932922838408236E-4</v>
      </c>
      <c r="C64" s="54">
        <v>2.5371939351085174E-4</v>
      </c>
      <c r="D64" s="55">
        <v>1.8506230189558468E-6</v>
      </c>
      <c r="E64" s="1">
        <v>2.7399875293672842E-5</v>
      </c>
      <c r="F64" s="56">
        <v>1.7973658602655606E-4</v>
      </c>
      <c r="G64" s="2">
        <v>1.2577581650253241E-2</v>
      </c>
      <c r="H64" s="2">
        <v>2.0470268417430507E-2</v>
      </c>
      <c r="I64" s="2">
        <v>0.12150118728394799</v>
      </c>
      <c r="J64" s="2">
        <v>-4.0911902746477824E-2</v>
      </c>
      <c r="K64" s="2">
        <v>-5.0231166722016721E-4</v>
      </c>
      <c r="L64" s="2">
        <v>0.64962090522859695</v>
      </c>
      <c r="M64" s="2">
        <v>1</v>
      </c>
      <c r="N64" s="2">
        <v>0.99999999999999334</v>
      </c>
      <c r="O64" s="69"/>
      <c r="R64" s="51" t="str">
        <f t="shared" si="25"/>
        <v>Commodities</v>
      </c>
      <c r="S64" s="52">
        <f t="shared" si="26"/>
        <v>1.8506230189558468E-6</v>
      </c>
      <c r="T64" s="52">
        <f t="shared" si="27"/>
        <v>1.4747860536512653E-4</v>
      </c>
      <c r="U64" s="52">
        <f t="shared" si="28"/>
        <v>3.0407357642473696E-5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8.8459122169668308E-2</v>
      </c>
      <c r="C65" s="54">
        <v>1.3590217629654718E-3</v>
      </c>
      <c r="D65" s="55">
        <v>8.7412789845975253E-2</v>
      </c>
      <c r="E65" s="1">
        <v>8.8481672397582922E-2</v>
      </c>
      <c r="F65" s="56">
        <v>8.9428617621718859E-2</v>
      </c>
      <c r="G65" s="2">
        <v>1</v>
      </c>
      <c r="H65" s="2">
        <v>-0.2454565932595924</v>
      </c>
      <c r="I65" s="2">
        <v>-0.60043182975482301</v>
      </c>
      <c r="J65" s="2">
        <v>-5.4989668876382E-2</v>
      </c>
      <c r="K65" s="2">
        <v>-0.13705530934085447</v>
      </c>
      <c r="L65" s="2">
        <v>-0.24046854144454921</v>
      </c>
      <c r="M65" s="2">
        <v>-3.8712222988957497E-2</v>
      </c>
      <c r="N65" s="2">
        <v>0.9999999999999889</v>
      </c>
      <c r="O65" s="69"/>
      <c r="R65" s="51" t="str">
        <f t="shared" si="25"/>
        <v>Hedge funds</v>
      </c>
      <c r="S65" s="52">
        <f t="shared" si="26"/>
        <v>8.7412789845975253E-2</v>
      </c>
      <c r="T65" s="52">
        <f t="shared" si="27"/>
        <v>1.0463323236930555E-3</v>
      </c>
      <c r="U65" s="52">
        <f t="shared" si="28"/>
        <v>9.6949545205055054E-4</v>
      </c>
    </row>
    <row r="66" spans="1:36">
      <c r="A66" s="60" t="str">
        <f t="shared" si="24"/>
        <v>Onroerend goed</v>
      </c>
      <c r="B66" s="61">
        <v>6.7418182145117969E-4</v>
      </c>
      <c r="C66" s="62">
        <v>9.1318194668356379E-4</v>
      </c>
      <c r="D66" s="63">
        <v>2.4236897589343776E-5</v>
      </c>
      <c r="E66" s="61">
        <v>2.6729476698962649E-4</v>
      </c>
      <c r="F66" s="64">
        <v>9.5117725613810854E-4</v>
      </c>
      <c r="G66" s="65">
        <v>-0.32820425714001</v>
      </c>
      <c r="H66" s="65">
        <v>1</v>
      </c>
      <c r="I66" s="65">
        <v>-0.85140936900493847</v>
      </c>
      <c r="J66" s="65">
        <v>-5.7054219215050321E-2</v>
      </c>
      <c r="K66" s="65">
        <v>-0.14433449603203072</v>
      </c>
      <c r="L66" s="65">
        <v>-0.23146169189299182</v>
      </c>
      <c r="M66" s="65">
        <v>-3.0199606416255513E-2</v>
      </c>
      <c r="N66" s="65">
        <v>0.99999999999999167</v>
      </c>
      <c r="O66" s="71"/>
      <c r="R66" s="51" t="str">
        <f t="shared" si="25"/>
        <v>Onroerend goed</v>
      </c>
      <c r="S66" s="52">
        <f t="shared" si="26"/>
        <v>2.4236897589343776E-5</v>
      </c>
      <c r="T66" s="52">
        <f t="shared" si="27"/>
        <v>6.4994492386183595E-4</v>
      </c>
      <c r="U66" s="52">
        <f t="shared" si="28"/>
        <v>2.7699543468692885E-4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0.65681055871552818</v>
      </c>
      <c r="H69" s="272">
        <v>0.22012469737196272</v>
      </c>
      <c r="I69" s="272">
        <v>0.10306937166300734</v>
      </c>
      <c r="J69" s="272">
        <v>1.4879820769860164E-2</v>
      </c>
      <c r="K69" s="272">
        <v>3.7379610255127149E-3</v>
      </c>
      <c r="L69" s="272">
        <v>1.1812203833226897E-3</v>
      </c>
      <c r="M69" s="272">
        <v>1.9637007080552937E-4</v>
      </c>
      <c r="N69" s="272">
        <v>0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0.73557991362641273</v>
      </c>
      <c r="C70" s="54">
        <v>1.3409563110070995E-2</v>
      </c>
      <c r="D70" s="55">
        <v>0.72579744060069173</v>
      </c>
      <c r="E70" s="1">
        <v>0.73525424426964392</v>
      </c>
      <c r="F70" s="56">
        <v>0.74561255733067466</v>
      </c>
      <c r="G70" s="68">
        <v>-0.18686451696327391</v>
      </c>
      <c r="H70" s="68">
        <v>-4.7315798081404785E-2</v>
      </c>
      <c r="I70" s="68">
        <v>0.85455338669473513</v>
      </c>
      <c r="J70" s="68">
        <v>-0.26986740546575833</v>
      </c>
      <c r="K70" s="68">
        <v>0.12666536093309744</v>
      </c>
      <c r="L70" s="68">
        <v>0.1079109929689982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0.72579744060069173</v>
      </c>
      <c r="T70" s="52">
        <f>B70-D70</f>
        <v>9.7824730257209946E-3</v>
      </c>
      <c r="U70" s="52">
        <f>F70-B70</f>
        <v>1.0032643704261934E-2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5.9498704443600829E-2</v>
      </c>
      <c r="C71" s="54">
        <v>4.4118752966679976E-2</v>
      </c>
      <c r="D71" s="55">
        <v>2.1335652814942152E-2</v>
      </c>
      <c r="E71" s="1">
        <v>5.3331064307441195E-2</v>
      </c>
      <c r="F71" s="56">
        <v>9.3104197300359237E-2</v>
      </c>
      <c r="G71" s="68">
        <v>1</v>
      </c>
      <c r="H71" s="68">
        <v>-0.53902838736104208</v>
      </c>
      <c r="I71" s="68">
        <v>-0.47699370493897064</v>
      </c>
      <c r="J71" s="68">
        <v>-0.16215685298147958</v>
      </c>
      <c r="K71" s="68">
        <v>-0.18301725959118614</v>
      </c>
      <c r="L71" s="68">
        <v>-0.10042613811666408</v>
      </c>
      <c r="M71" s="2">
        <v>0.15173732241471088</v>
      </c>
      <c r="N71" s="2">
        <v>0.99999999999987976</v>
      </c>
      <c r="O71" s="69"/>
      <c r="R71" s="51" t="str">
        <f t="shared" ref="R71:R77" si="30">A71</f>
        <v>High Yield</v>
      </c>
      <c r="S71" s="52">
        <f t="shared" ref="S71:S77" si="31">D71</f>
        <v>2.1335652814942152E-2</v>
      </c>
      <c r="T71" s="52">
        <f t="shared" ref="T71:T77" si="32">B71-D71</f>
        <v>3.8163051628658677E-2</v>
      </c>
      <c r="U71" s="52">
        <f t="shared" ref="U71:U77" si="33">F71-B71</f>
        <v>3.3605492856758408E-2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6.8478674108216333E-3</v>
      </c>
      <c r="C72" s="54">
        <v>7.8301820508561073E-3</v>
      </c>
      <c r="D72" s="55">
        <v>1.1533626908654089E-3</v>
      </c>
      <c r="E72" s="1">
        <v>4.2497437142399296E-3</v>
      </c>
      <c r="F72" s="56">
        <v>9.3109498963014209E-3</v>
      </c>
      <c r="G72" s="68">
        <v>-1.7592454352445257E-2</v>
      </c>
      <c r="H72" s="68">
        <v>-7.2730892831131691E-3</v>
      </c>
      <c r="I72" s="68">
        <v>0.10466896584736124</v>
      </c>
      <c r="J72" s="68">
        <v>1</v>
      </c>
      <c r="K72" s="68">
        <v>-0.11946379188583656</v>
      </c>
      <c r="L72" s="68">
        <v>-8.2284139114533694E-2</v>
      </c>
      <c r="M72" s="2">
        <v>0.16456744704333878</v>
      </c>
      <c r="N72" s="2">
        <v>0.9999999999998852</v>
      </c>
      <c r="O72" s="69"/>
      <c r="R72" s="51" t="str">
        <f t="shared" si="30"/>
        <v>Emerging market debt</v>
      </c>
      <c r="S72" s="52">
        <f t="shared" si="31"/>
        <v>1.1533626908654089E-3</v>
      </c>
      <c r="T72" s="52">
        <f t="shared" si="32"/>
        <v>5.6945047199562244E-3</v>
      </c>
      <c r="U72" s="52">
        <f t="shared" si="33"/>
        <v>2.4630824854797876E-3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1.5758977009635311E-3</v>
      </c>
      <c r="C73" s="54">
        <v>2.1482124375110838E-3</v>
      </c>
      <c r="D73" s="55">
        <v>8.3816888838316193E-5</v>
      </c>
      <c r="E73" s="1">
        <v>7.5342321595295368E-4</v>
      </c>
      <c r="F73" s="56">
        <v>2.2467909903595112E-3</v>
      </c>
      <c r="G73" s="68">
        <v>-1.0706355392112702E-3</v>
      </c>
      <c r="H73" s="68">
        <v>-6.9746469403150404E-3</v>
      </c>
      <c r="I73" s="68">
        <v>1.2647269366048942E-2</v>
      </c>
      <c r="J73" s="68">
        <v>-1.7529204988382657E-2</v>
      </c>
      <c r="K73" s="68">
        <v>0.12332343029051829</v>
      </c>
      <c r="L73" s="68">
        <v>1</v>
      </c>
      <c r="M73" s="2">
        <v>-0.42010996133974476</v>
      </c>
      <c r="N73" s="2">
        <v>0.99999999999982514</v>
      </c>
      <c r="O73" s="69"/>
      <c r="R73" s="51" t="str">
        <f t="shared" si="30"/>
        <v>Aandelen ontwikkeld</v>
      </c>
      <c r="S73" s="52">
        <f t="shared" si="31"/>
        <v>8.3816888838316193E-5</v>
      </c>
      <c r="T73" s="52">
        <f t="shared" si="32"/>
        <v>1.492080812125215E-3</v>
      </c>
      <c r="U73" s="52">
        <f t="shared" si="33"/>
        <v>6.7089328939598015E-4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2.806604862180644E-3</v>
      </c>
      <c r="C74" s="54">
        <v>3.604678412098839E-3</v>
      </c>
      <c r="D74" s="55">
        <v>2.6375364715448748E-4</v>
      </c>
      <c r="E74" s="1">
        <v>1.2390091507909675E-3</v>
      </c>
      <c r="F74" s="56">
        <v>4.0720165379529542E-3</v>
      </c>
      <c r="G74" s="68">
        <v>2.2335471896954808E-4</v>
      </c>
      <c r="H74" s="68">
        <v>1.453992360141499E-3</v>
      </c>
      <c r="I74" s="68">
        <v>2.4666616445155325E-2</v>
      </c>
      <c r="J74" s="68">
        <v>-4.1821234677689598E-2</v>
      </c>
      <c r="K74" s="68">
        <v>1</v>
      </c>
      <c r="L74" s="68">
        <v>-0.38157719095741099</v>
      </c>
      <c r="M74" s="2">
        <v>-0.36509641488020206</v>
      </c>
      <c r="N74" s="2">
        <v>0.99999999999981326</v>
      </c>
      <c r="O74" s="69"/>
      <c r="R74" s="51" t="str">
        <f t="shared" si="30"/>
        <v>Aandelen opkomend</v>
      </c>
      <c r="S74" s="52">
        <f t="shared" si="31"/>
        <v>2.6375364715448748E-4</v>
      </c>
      <c r="T74" s="52">
        <f t="shared" si="32"/>
        <v>2.5428512150261567E-3</v>
      </c>
      <c r="U74" s="52">
        <f t="shared" si="33"/>
        <v>1.2654116757723102E-3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5.7040902152507053E-2</v>
      </c>
      <c r="C75" s="54">
        <v>1.3408474837201647E-2</v>
      </c>
      <c r="D75" s="55">
        <v>4.8238954908603117E-2</v>
      </c>
      <c r="E75" s="1">
        <v>5.7834670015967427E-2</v>
      </c>
      <c r="F75" s="56">
        <v>6.5711371456983469E-2</v>
      </c>
      <c r="G75" s="68">
        <v>3.4920378972223456E-2</v>
      </c>
      <c r="H75" s="68">
        <v>0.16228815324098833</v>
      </c>
      <c r="I75" s="68">
        <v>1</v>
      </c>
      <c r="J75" s="68">
        <v>-0.1911077891049732</v>
      </c>
      <c r="K75" s="68">
        <v>-0.52620387303460592</v>
      </c>
      <c r="L75" s="68">
        <v>-0.30999921004397341</v>
      </c>
      <c r="M75" s="2">
        <v>-0.67098939477216568</v>
      </c>
      <c r="N75" s="2">
        <v>0.99999999999976297</v>
      </c>
      <c r="O75" s="69"/>
      <c r="R75" s="51" t="str">
        <f t="shared" si="30"/>
        <v>Commodities</v>
      </c>
      <c r="S75" s="52">
        <f t="shared" si="31"/>
        <v>4.8238954908603117E-2</v>
      </c>
      <c r="T75" s="52">
        <f t="shared" si="32"/>
        <v>8.8019472439039362E-3</v>
      </c>
      <c r="U75" s="52">
        <f t="shared" si="33"/>
        <v>8.6704693044764164E-3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3.5195301729775579E-2</v>
      </c>
      <c r="C76" s="54">
        <v>2.7064950583262738E-2</v>
      </c>
      <c r="D76" s="55">
        <v>1.2266683443469838E-2</v>
      </c>
      <c r="E76" s="1">
        <v>3.2089899002030728E-2</v>
      </c>
      <c r="F76" s="56">
        <v>5.1628746731408201E-2</v>
      </c>
      <c r="G76" s="68">
        <v>3.6583386393720309E-2</v>
      </c>
      <c r="H76" s="68">
        <v>1</v>
      </c>
      <c r="I76" s="68">
        <v>-0.78935761418091899</v>
      </c>
      <c r="J76" s="68">
        <v>-0.15402232375432859</v>
      </c>
      <c r="K76" s="68">
        <v>-0.157362779205624</v>
      </c>
      <c r="L76" s="68">
        <v>-7.8912462232346936E-2</v>
      </c>
      <c r="M76" s="2">
        <v>0.20188555040456208</v>
      </c>
      <c r="N76" s="2">
        <v>0.99999999999988698</v>
      </c>
      <c r="O76" s="69"/>
      <c r="R76" s="51" t="str">
        <f t="shared" si="30"/>
        <v>Hedge funds</v>
      </c>
      <c r="S76" s="52">
        <f t="shared" si="31"/>
        <v>1.2266683443469838E-2</v>
      </c>
      <c r="T76" s="52">
        <f t="shared" si="32"/>
        <v>2.2928618286305741E-2</v>
      </c>
      <c r="U76" s="52">
        <f t="shared" si="33"/>
        <v>1.6433445001632623E-2</v>
      </c>
    </row>
    <row r="77" spans="1:36">
      <c r="A77" s="60" t="str">
        <f t="shared" si="29"/>
        <v>Onroerend goed</v>
      </c>
      <c r="B77" s="61">
        <v>0.10145480807373815</v>
      </c>
      <c r="C77" s="62">
        <v>3.9752291262391493E-2</v>
      </c>
      <c r="D77" s="63">
        <v>7.3843409993080089E-2</v>
      </c>
      <c r="E77" s="61">
        <v>0.10354899137871718</v>
      </c>
      <c r="F77" s="64">
        <v>0.12973483908914266</v>
      </c>
      <c r="G77" s="70">
        <v>-0.86619951322998312</v>
      </c>
      <c r="H77" s="70">
        <v>-0.5631502239352546</v>
      </c>
      <c r="I77" s="70">
        <v>-0.73018491923341056</v>
      </c>
      <c r="J77" s="70">
        <v>-0.16349518902739127</v>
      </c>
      <c r="K77" s="70">
        <v>-0.26394108750637296</v>
      </c>
      <c r="L77" s="70">
        <v>-0.15471185250409317</v>
      </c>
      <c r="M77" s="65">
        <v>-6.199454887074813E-2</v>
      </c>
      <c r="N77" s="65">
        <v>0.99999999999984934</v>
      </c>
      <c r="O77" s="71"/>
      <c r="R77" s="51" t="str">
        <f t="shared" si="30"/>
        <v>Onroerend goed</v>
      </c>
      <c r="S77" s="52">
        <f t="shared" si="31"/>
        <v>7.3843409993080089E-2</v>
      </c>
      <c r="T77" s="52">
        <f t="shared" si="32"/>
        <v>2.7611398080658059E-2</v>
      </c>
      <c r="U77" s="52">
        <f t="shared" si="33"/>
        <v>2.8280031015404508E-2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6" t="s">
        <v>64</v>
      </c>
      <c r="E79" s="387"/>
      <c r="F79" s="388"/>
      <c r="G79" s="386" t="s">
        <v>65</v>
      </c>
      <c r="H79" s="387"/>
      <c r="I79" s="387"/>
      <c r="J79" s="387"/>
      <c r="K79" s="387"/>
      <c r="L79" s="387"/>
      <c r="M79" s="387"/>
      <c r="N79" s="387"/>
      <c r="O79" s="388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0.74030314665310193</v>
      </c>
      <c r="H80" s="272">
        <v>0.20128235779190795</v>
      </c>
      <c r="I80" s="272">
        <v>3.373479520581546E-2</v>
      </c>
      <c r="J80" s="272">
        <v>2.0125206774494253E-2</v>
      </c>
      <c r="K80" s="272">
        <v>3.493859448555181E-3</v>
      </c>
      <c r="L80" s="272">
        <v>8.512644571935235E-4</v>
      </c>
      <c r="M80" s="272">
        <v>2.0936966893647657E-4</v>
      </c>
      <c r="N80" s="272">
        <v>-2.2204460492503131E-16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0.61020084060424273</v>
      </c>
      <c r="C81" s="54">
        <v>3.3896399473364973E-2</v>
      </c>
      <c r="D81" s="55">
        <v>0.58449850212939813</v>
      </c>
      <c r="E81" s="1">
        <v>0.61135299940444554</v>
      </c>
      <c r="F81" s="56">
        <v>0.63722740820531898</v>
      </c>
      <c r="G81" s="2">
        <v>-0.44898309215438331</v>
      </c>
      <c r="H81" s="2">
        <v>0.22552396849605402</v>
      </c>
      <c r="I81" s="2">
        <v>-0.41031465768418879</v>
      </c>
      <c r="J81" s="2">
        <v>-0.39014879266574581</v>
      </c>
      <c r="K81" s="2">
        <v>-0.2410423743343095</v>
      </c>
      <c r="L81" s="2">
        <v>1</v>
      </c>
      <c r="M81" s="2">
        <v>-0.14168120387631594</v>
      </c>
      <c r="N81" s="2">
        <v>0.99999999999968969</v>
      </c>
      <c r="O81" s="69"/>
      <c r="R81" s="51" t="str">
        <f>A81</f>
        <v>Nominale matching</v>
      </c>
      <c r="S81" s="52">
        <f>D81</f>
        <v>0.58449850212939813</v>
      </c>
      <c r="T81" s="52">
        <f>B81-D81</f>
        <v>2.5702338474844599E-2</v>
      </c>
      <c r="U81" s="52">
        <f>F81-B81</f>
        <v>2.7026567601076246E-2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1.6790417554989345E-2</v>
      </c>
      <c r="C82" s="54">
        <v>1.2968941024372949E-2</v>
      </c>
      <c r="D82" s="55">
        <v>7.299893169338826E-3</v>
      </c>
      <c r="E82" s="1">
        <v>1.3802601689342785E-2</v>
      </c>
      <c r="F82" s="56">
        <v>2.4251149899139221E-2</v>
      </c>
      <c r="G82" s="2">
        <v>-2.5324178515144499E-2</v>
      </c>
      <c r="H82" s="2">
        <v>6.9818841878215132E-2</v>
      </c>
      <c r="I82" s="2">
        <v>-0.10834471516390903</v>
      </c>
      <c r="J82" s="2">
        <v>1</v>
      </c>
      <c r="K82" s="2">
        <v>-0.15235181683255811</v>
      </c>
      <c r="L82" s="2">
        <v>0.23731183480071971</v>
      </c>
      <c r="M82" s="2">
        <v>-0.13225282157538726</v>
      </c>
      <c r="N82" s="2">
        <v>0.99999999999971445</v>
      </c>
      <c r="O82" s="69"/>
      <c r="R82" s="51" t="str">
        <f t="shared" ref="R82:R88" si="35">A82</f>
        <v>High Yield</v>
      </c>
      <c r="S82" s="52">
        <f t="shared" ref="S82:S88" si="36">D82</f>
        <v>7.299893169338826E-3</v>
      </c>
      <c r="T82" s="52">
        <f t="shared" ref="T82:T88" si="37">B82-D82</f>
        <v>9.4905243856505186E-3</v>
      </c>
      <c r="U82" s="52">
        <f t="shared" ref="U82:U88" si="38">F82-B82</f>
        <v>7.4607323441498764E-3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0.12485976627829061</v>
      </c>
      <c r="C83" s="54">
        <v>7.2091684598194969E-2</v>
      </c>
      <c r="D83" s="55">
        <v>6.6785306618220852E-2</v>
      </c>
      <c r="E83" s="1">
        <v>0.11880964153283791</v>
      </c>
      <c r="F83" s="56">
        <v>0.17534457452350422</v>
      </c>
      <c r="G83" s="2">
        <v>1</v>
      </c>
      <c r="H83" s="2">
        <v>-0.26802704645540704</v>
      </c>
      <c r="I83" s="2">
        <v>-0.23345749043137523</v>
      </c>
      <c r="J83" s="2">
        <v>-0.20500859681113984</v>
      </c>
      <c r="K83" s="2">
        <v>-0.17833878840134348</v>
      </c>
      <c r="L83" s="2">
        <v>7.6967496080296557E-2</v>
      </c>
      <c r="M83" s="2">
        <v>-0.1471289898064117</v>
      </c>
      <c r="N83" s="2">
        <v>0.99999999999970657</v>
      </c>
      <c r="O83" s="69"/>
      <c r="R83" s="51" t="str">
        <f t="shared" si="35"/>
        <v>Emerging market debt</v>
      </c>
      <c r="S83" s="52">
        <f t="shared" si="36"/>
        <v>6.6785306618220852E-2</v>
      </c>
      <c r="T83" s="52">
        <f t="shared" si="37"/>
        <v>5.8074459660069758E-2</v>
      </c>
      <c r="U83" s="52">
        <f t="shared" si="38"/>
        <v>5.0484808245213605E-2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1.141251145155782E-3</v>
      </c>
      <c r="C84" s="54">
        <v>1.3431677245759077E-3</v>
      </c>
      <c r="D84" s="55">
        <v>1.6781075529544826E-4</v>
      </c>
      <c r="E84" s="1">
        <v>6.7598015059517659E-4</v>
      </c>
      <c r="F84" s="56">
        <v>1.7325213550927465E-3</v>
      </c>
      <c r="G84" s="2">
        <v>-1.4260161633449008E-4</v>
      </c>
      <c r="H84" s="2">
        <v>1.6468635751676263E-3</v>
      </c>
      <c r="I84" s="2">
        <v>-6.0956157710661792E-3</v>
      </c>
      <c r="J84" s="2">
        <v>-1.138734078948701E-2</v>
      </c>
      <c r="K84" s="2">
        <v>-1.1001472885160625E-2</v>
      </c>
      <c r="L84" s="2">
        <v>-2.3864005047755633E-2</v>
      </c>
      <c r="M84" s="2">
        <v>1</v>
      </c>
      <c r="N84" s="2">
        <v>1</v>
      </c>
      <c r="O84" s="69"/>
      <c r="R84" s="51" t="str">
        <f t="shared" si="35"/>
        <v>Aandelen ontwikkeld</v>
      </c>
      <c r="S84" s="52">
        <f t="shared" si="36"/>
        <v>1.6781075529544826E-4</v>
      </c>
      <c r="T84" s="52">
        <f t="shared" si="37"/>
        <v>9.7344038986033369E-4</v>
      </c>
      <c r="U84" s="52">
        <f t="shared" si="38"/>
        <v>5.9127020993696459E-4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9.593213315633857E-2</v>
      </c>
      <c r="C85" s="54">
        <v>4.3442656123323251E-2</v>
      </c>
      <c r="D85" s="55">
        <v>6.6530510979244006E-2</v>
      </c>
      <c r="E85" s="1">
        <v>9.6127910564453106E-2</v>
      </c>
      <c r="F85" s="56">
        <v>0.12626663559352522</v>
      </c>
      <c r="G85" s="2">
        <v>-0.43717068705996437</v>
      </c>
      <c r="H85" s="2">
        <v>-0.98941619172993767</v>
      </c>
      <c r="I85" s="2">
        <v>-0.14502447326204485</v>
      </c>
      <c r="J85" s="2">
        <v>-9.9812095095094713E-2</v>
      </c>
      <c r="K85" s="2">
        <v>-0.13740360870107476</v>
      </c>
      <c r="L85" s="2">
        <v>-0.74491246637177921</v>
      </c>
      <c r="M85" s="2">
        <v>-0.15321413922711086</v>
      </c>
      <c r="N85" s="2">
        <v>0.99999999999972078</v>
      </c>
      <c r="O85" s="69"/>
      <c r="R85" s="51" t="str">
        <f t="shared" si="35"/>
        <v>Aandelen opkomend</v>
      </c>
      <c r="S85" s="52">
        <f t="shared" si="36"/>
        <v>6.6530510979244006E-2</v>
      </c>
      <c r="T85" s="52">
        <f t="shared" si="37"/>
        <v>2.9401622177094563E-2</v>
      </c>
      <c r="U85" s="52">
        <f t="shared" si="38"/>
        <v>3.0334502437186647E-2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0.12366290830163523</v>
      </c>
      <c r="C86" s="54">
        <v>3.0791662541639953E-2</v>
      </c>
      <c r="D86" s="55">
        <v>0.10447423587056061</v>
      </c>
      <c r="E86" s="1">
        <v>0.12327777960297941</v>
      </c>
      <c r="F86" s="56">
        <v>0.14413560239887563</v>
      </c>
      <c r="G86" s="2">
        <v>-6.2414403713021642E-2</v>
      </c>
      <c r="H86" s="2">
        <v>1</v>
      </c>
      <c r="I86" s="2">
        <v>-5.991975051899677E-2</v>
      </c>
      <c r="J86" s="2">
        <v>-0.1409983353050222</v>
      </c>
      <c r="K86" s="2">
        <v>-0.13177132487555024</v>
      </c>
      <c r="L86" s="2">
        <v>-0.94569805216460801</v>
      </c>
      <c r="M86" s="2">
        <v>-0.15694803553165729</v>
      </c>
      <c r="N86" s="2">
        <v>0.99999999999972322</v>
      </c>
      <c r="O86" s="69"/>
      <c r="R86" s="51" t="str">
        <f t="shared" si="35"/>
        <v>Commodities</v>
      </c>
      <c r="S86" s="52">
        <f t="shared" si="36"/>
        <v>0.10447423587056061</v>
      </c>
      <c r="T86" s="52">
        <f t="shared" si="37"/>
        <v>1.9188672431074624E-2</v>
      </c>
      <c r="U86" s="52">
        <f t="shared" si="38"/>
        <v>2.0472694097240396E-2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2.1195997363398451E-2</v>
      </c>
      <c r="C87" s="54">
        <v>1.6298151945509102E-2</v>
      </c>
      <c r="D87" s="55">
        <v>7.7281178754040995E-3</v>
      </c>
      <c r="E87" s="1">
        <v>1.8617087348492108E-2</v>
      </c>
      <c r="F87" s="56">
        <v>3.0576832081789955E-2</v>
      </c>
      <c r="G87" s="2">
        <v>-2.0840569863701908E-2</v>
      </c>
      <c r="H87" s="2">
        <v>-4.5801929042025534E-2</v>
      </c>
      <c r="I87" s="2">
        <v>1</v>
      </c>
      <c r="J87" s="2">
        <v>-0.12366090386608433</v>
      </c>
      <c r="K87" s="2">
        <v>-0.14809061397002307</v>
      </c>
      <c r="L87" s="2">
        <v>0.29309857654577698</v>
      </c>
      <c r="M87" s="2">
        <v>-0.13718770759874752</v>
      </c>
      <c r="N87" s="2">
        <v>0.9999999999997089</v>
      </c>
      <c r="O87" s="69"/>
      <c r="R87" s="51" t="str">
        <f t="shared" si="35"/>
        <v>Hedge funds</v>
      </c>
      <c r="S87" s="52">
        <f t="shared" si="36"/>
        <v>7.7281178754040995E-3</v>
      </c>
      <c r="T87" s="52">
        <f t="shared" si="37"/>
        <v>1.3467879487994352E-2</v>
      </c>
      <c r="U87" s="52">
        <f t="shared" si="38"/>
        <v>9.3808347183915036E-3</v>
      </c>
    </row>
    <row r="88" spans="1:36">
      <c r="A88" s="60" t="str">
        <f t="shared" si="34"/>
        <v>Onroerend goed</v>
      </c>
      <c r="B88" s="286">
        <v>6.2166855959489582E-3</v>
      </c>
      <c r="C88" s="62">
        <v>5.4305653488431974E-3</v>
      </c>
      <c r="D88" s="63">
        <v>2.0051677424745987E-3</v>
      </c>
      <c r="E88" s="61">
        <v>4.878625916362591E-3</v>
      </c>
      <c r="F88" s="64">
        <v>9.1721683442827322E-3</v>
      </c>
      <c r="G88" s="65">
        <v>-5.1244670774494537E-3</v>
      </c>
      <c r="H88" s="65">
        <v>6.2554932779331912E-3</v>
      </c>
      <c r="I88" s="65">
        <v>-3.6843297168422391E-2</v>
      </c>
      <c r="J88" s="65">
        <v>-2.8983935467432328E-2</v>
      </c>
      <c r="K88" s="65">
        <v>1</v>
      </c>
      <c r="L88" s="65">
        <v>0.1070966161573947</v>
      </c>
      <c r="M88" s="65">
        <v>-0.13158710238465554</v>
      </c>
      <c r="N88" s="65">
        <v>0.99999999999973166</v>
      </c>
      <c r="O88" s="71"/>
      <c r="R88" s="51" t="str">
        <f t="shared" si="35"/>
        <v>Onroerend goed</v>
      </c>
      <c r="S88" s="52">
        <f t="shared" si="36"/>
        <v>2.0051677424745987E-3</v>
      </c>
      <c r="T88" s="52">
        <f t="shared" si="37"/>
        <v>4.2115178534743595E-3</v>
      </c>
      <c r="U88" s="52">
        <f t="shared" si="38"/>
        <v>2.955482748333774E-3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F60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6" t="s">
        <v>64</v>
      </c>
      <c r="E2" s="387"/>
      <c r="F2" s="388"/>
      <c r="G2" s="386" t="s">
        <v>65</v>
      </c>
      <c r="H2" s="387"/>
      <c r="I2" s="387"/>
      <c r="J2" s="387"/>
      <c r="K2" s="387"/>
      <c r="L2" s="387"/>
      <c r="M2" s="387"/>
      <c r="N2" s="388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0.42475613503083698</v>
      </c>
      <c r="H3" s="272">
        <v>0.26445533500908669</v>
      </c>
      <c r="I3" s="272">
        <v>0.15903649106255247</v>
      </c>
      <c r="J3" s="272">
        <v>7.6830798009739465E-2</v>
      </c>
      <c r="K3" s="272">
        <v>5.4240799702689801E-2</v>
      </c>
      <c r="L3" s="272">
        <v>2.0680441185088272E-2</v>
      </c>
      <c r="M3" s="272" t="s">
        <v>147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0.18930321150959128</v>
      </c>
      <c r="C4" s="118">
        <v>9.7069939861805746E-2</v>
      </c>
      <c r="D4" s="119">
        <v>8.5671706871234571E-2</v>
      </c>
      <c r="E4" s="117">
        <v>0.18302311166575624</v>
      </c>
      <c r="F4" s="120">
        <v>0.28921571337687724</v>
      </c>
      <c r="G4" s="2">
        <v>-0.89459961021423884</v>
      </c>
      <c r="H4" s="2">
        <v>-0.61700353787819828</v>
      </c>
      <c r="I4" s="2">
        <v>-0.37597118532928081</v>
      </c>
      <c r="J4" s="2">
        <v>-0.42612511075070481</v>
      </c>
      <c r="K4" s="2">
        <v>-0.20566477794065743</v>
      </c>
      <c r="L4" s="2">
        <v>-0.17836650796659323</v>
      </c>
      <c r="M4" s="2" t="s">
        <v>147</v>
      </c>
      <c r="N4" s="57"/>
      <c r="O4" s="72"/>
      <c r="Q4" s="72" t="str">
        <f>A4</f>
        <v>High Yield</v>
      </c>
      <c r="R4" s="72">
        <f>D4</f>
        <v>8.5671706871234571E-2</v>
      </c>
      <c r="S4" s="52">
        <f>B4-D4</f>
        <v>0.10363150463835671</v>
      </c>
      <c r="T4" s="52">
        <f>F4-B4</f>
        <v>9.9912501867285952E-2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0.17823808927229387</v>
      </c>
      <c r="C5" s="118">
        <v>0.10235236499415784</v>
      </c>
      <c r="D5" s="119">
        <v>7.6162685560232854E-2</v>
      </c>
      <c r="E5" s="117">
        <v>0.16215796108324271</v>
      </c>
      <c r="F5" s="120">
        <v>0.29779755956592524</v>
      </c>
      <c r="G5" s="2">
        <v>1</v>
      </c>
      <c r="H5" s="2">
        <v>-0.5421617183209837</v>
      </c>
      <c r="I5" s="2">
        <v>-0.2526698207667416</v>
      </c>
      <c r="J5" s="2">
        <v>-0.40468556022084451</v>
      </c>
      <c r="K5" s="2">
        <v>-0.13073129858399946</v>
      </c>
      <c r="L5" s="2">
        <v>-0.17808459195455989</v>
      </c>
      <c r="M5" s="2" t="s">
        <v>147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7.6162685560232854E-2</v>
      </c>
      <c r="S5" s="52">
        <f t="shared" ref="S5:S10" si="2">B5-D5</f>
        <v>0.10207540371206102</v>
      </c>
      <c r="T5" s="52">
        <f t="shared" ref="T5:T10" si="3">F5-B5</f>
        <v>0.11955947029363137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0.19617233380023716</v>
      </c>
      <c r="C6" s="118">
        <v>6.0759614568429286E-2</v>
      </c>
      <c r="D6" s="119">
        <v>0.12932366217763835</v>
      </c>
      <c r="E6" s="117">
        <v>0.19266315549208596</v>
      </c>
      <c r="F6" s="120">
        <v>0.26088097544738709</v>
      </c>
      <c r="G6" s="2">
        <v>-1.3069683277605099E-2</v>
      </c>
      <c r="H6" s="2">
        <v>-0.63686977499859643</v>
      </c>
      <c r="I6" s="2">
        <v>0.23088180208763784</v>
      </c>
      <c r="J6" s="2">
        <v>1</v>
      </c>
      <c r="K6" s="2">
        <v>7.1407331947983918E-2</v>
      </c>
      <c r="L6" s="2">
        <v>-0.11979147921548172</v>
      </c>
      <c r="M6" s="2" t="s">
        <v>147</v>
      </c>
      <c r="N6" s="57"/>
      <c r="O6" s="72"/>
      <c r="Q6" s="72" t="str">
        <f t="shared" si="0"/>
        <v>Aandelen ontwikkeld</v>
      </c>
      <c r="R6" s="72">
        <f t="shared" si="1"/>
        <v>0.12932366217763835</v>
      </c>
      <c r="S6" s="52">
        <f t="shared" si="2"/>
        <v>6.6848671622598804E-2</v>
      </c>
      <c r="T6" s="52">
        <f t="shared" si="3"/>
        <v>6.4708641647149928E-2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0.12139773372222053</v>
      </c>
      <c r="C7" s="118">
        <v>4.6147316840002013E-2</v>
      </c>
      <c r="D7" s="119">
        <v>7.1976721379474778E-2</v>
      </c>
      <c r="E7" s="117">
        <v>0.12142496775890256</v>
      </c>
      <c r="F7" s="120">
        <v>0.17132029248366681</v>
      </c>
      <c r="G7" s="2">
        <v>-6.8681170703817684E-2</v>
      </c>
      <c r="H7" s="2">
        <v>0.31876896930384341</v>
      </c>
      <c r="I7" s="2">
        <v>0.13277360425154136</v>
      </c>
      <c r="J7" s="2">
        <v>-0.22714774768442772</v>
      </c>
      <c r="K7" s="2">
        <v>1</v>
      </c>
      <c r="L7" s="2">
        <v>-0.16568832553678611</v>
      </c>
      <c r="M7" s="2" t="s">
        <v>147</v>
      </c>
      <c r="N7" s="57"/>
      <c r="O7" s="72"/>
      <c r="Q7" s="72" t="str">
        <f t="shared" si="0"/>
        <v>Aandelen opkomend</v>
      </c>
      <c r="R7" s="72">
        <f t="shared" si="1"/>
        <v>7.1976721379474778E-2</v>
      </c>
      <c r="S7" s="52">
        <f t="shared" si="2"/>
        <v>4.9421012342745749E-2</v>
      </c>
      <c r="T7" s="52">
        <f t="shared" si="3"/>
        <v>4.9922558761446287E-2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4.8745461621392809E-2</v>
      </c>
      <c r="C8" s="118">
        <v>2.5820489364754819E-2</v>
      </c>
      <c r="D8" s="119">
        <v>2.2295861534444593E-2</v>
      </c>
      <c r="E8" s="117">
        <v>4.839505799455323E-2</v>
      </c>
      <c r="F8" s="120">
        <v>7.5309752925976775E-2</v>
      </c>
      <c r="G8" s="2">
        <v>1.8952993383539775E-3</v>
      </c>
      <c r="H8" s="2">
        <v>3.4512633178637737E-2</v>
      </c>
      <c r="I8" s="2">
        <v>-2.9016487606375617E-2</v>
      </c>
      <c r="J8" s="2">
        <v>-4.1732932577815511E-2</v>
      </c>
      <c r="K8" s="2">
        <v>-1.295941718663411E-2</v>
      </c>
      <c r="L8" s="2">
        <v>1</v>
      </c>
      <c r="M8" s="2" t="s">
        <v>147</v>
      </c>
      <c r="N8" s="57"/>
      <c r="O8" s="72"/>
      <c r="Q8" s="72" t="str">
        <f t="shared" si="0"/>
        <v>Commodities</v>
      </c>
      <c r="R8" s="72">
        <f t="shared" si="1"/>
        <v>2.2295861534444593E-2</v>
      </c>
      <c r="S8" s="52">
        <f t="shared" si="2"/>
        <v>2.6449600086948216E-2</v>
      </c>
      <c r="T8" s="52">
        <f t="shared" si="3"/>
        <v>2.6564291304583966E-2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0.12368209646612981</v>
      </c>
      <c r="C9" s="118">
        <v>6.7632304730393153E-2</v>
      </c>
      <c r="D9" s="119">
        <v>5.0809172727776825E-2</v>
      </c>
      <c r="E9" s="117">
        <v>0.1176132660808831</v>
      </c>
      <c r="F9" s="120">
        <v>0.19506193259267651</v>
      </c>
      <c r="G9" s="2">
        <v>-5.2471847222533639E-2</v>
      </c>
      <c r="H9" s="2">
        <v>0.44275342871529794</v>
      </c>
      <c r="I9" s="2">
        <v>1</v>
      </c>
      <c r="J9" s="2">
        <v>-0.23095821056328111</v>
      </c>
      <c r="K9" s="2">
        <v>-0.45120762665396119</v>
      </c>
      <c r="L9" s="2">
        <v>-0.16774938864104291</v>
      </c>
      <c r="M9" s="2" t="s">
        <v>147</v>
      </c>
      <c r="N9" s="57"/>
      <c r="O9" s="72"/>
      <c r="Q9" s="72" t="str">
        <f t="shared" si="0"/>
        <v>Hedge funds</v>
      </c>
      <c r="R9" s="72">
        <f t="shared" si="1"/>
        <v>5.0809172727776825E-2</v>
      </c>
      <c r="S9" s="52">
        <f t="shared" si="2"/>
        <v>7.2872923738352982E-2</v>
      </c>
      <c r="T9" s="52">
        <f t="shared" si="3"/>
        <v>7.1379836126546706E-2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0.14246107360813437</v>
      </c>
      <c r="C10" s="122">
        <v>7.820726153440237E-2</v>
      </c>
      <c r="D10" s="123">
        <v>5.3262039238667784E-2</v>
      </c>
      <c r="E10" s="121">
        <v>0.13830245113177217</v>
      </c>
      <c r="F10" s="124">
        <v>0.22039257817255561</v>
      </c>
      <c r="G10" s="65">
        <v>2.6927012079841411E-2</v>
      </c>
      <c r="H10" s="65">
        <v>1</v>
      </c>
      <c r="I10" s="65">
        <v>-0.70599791263678069</v>
      </c>
      <c r="J10" s="65">
        <v>0.33064956179707355</v>
      </c>
      <c r="K10" s="65">
        <v>-0.2708442115827307</v>
      </c>
      <c r="L10" s="65">
        <v>-0.19031970668553616</v>
      </c>
      <c r="M10" s="65" t="s">
        <v>147</v>
      </c>
      <c r="N10" s="66"/>
      <c r="O10" s="72"/>
      <c r="Q10" s="72" t="str">
        <f t="shared" si="0"/>
        <v>Onroerend goed</v>
      </c>
      <c r="R10" s="72">
        <f t="shared" si="1"/>
        <v>5.3262039238667784E-2</v>
      </c>
      <c r="S10" s="52">
        <f t="shared" si="2"/>
        <v>8.9199034369466579E-2</v>
      </c>
      <c r="T10" s="52">
        <f t="shared" si="3"/>
        <v>7.7931504564421245E-2</v>
      </c>
      <c r="U10" s="52"/>
      <c r="V10" s="52"/>
      <c r="W10" s="52"/>
    </row>
    <row r="12" spans="1:23">
      <c r="A12" s="48" t="s">
        <v>68</v>
      </c>
      <c r="D12" s="386" t="s">
        <v>64</v>
      </c>
      <c r="E12" s="387"/>
      <c r="F12" s="388"/>
      <c r="G12" s="386" t="s">
        <v>65</v>
      </c>
      <c r="H12" s="387"/>
      <c r="I12" s="387"/>
      <c r="J12" s="387"/>
      <c r="K12" s="387"/>
      <c r="L12" s="387"/>
      <c r="M12" s="387"/>
      <c r="N12" s="388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0.67994218395466732</v>
      </c>
      <c r="H13" s="272">
        <v>0.25255855086218382</v>
      </c>
      <c r="I13" s="272">
        <v>3.8707324414591571E-2</v>
      </c>
      <c r="J13" s="272">
        <v>2.3979761293314361E-2</v>
      </c>
      <c r="K13" s="272">
        <v>4.5439194363878777E-3</v>
      </c>
      <c r="L13" s="272">
        <v>2.682600388512757E-4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4.3538404167107352E-2</v>
      </c>
      <c r="C14" s="118">
        <v>3.4074262864063863E-2</v>
      </c>
      <c r="D14" s="119">
        <v>9.3736553429803107E-3</v>
      </c>
      <c r="E14" s="117">
        <v>3.6532638775912701E-2</v>
      </c>
      <c r="F14" s="120">
        <v>7.8232354737023085E-2</v>
      </c>
      <c r="G14" s="2">
        <v>-5.1189930995202859E-2</v>
      </c>
      <c r="H14" s="2">
        <v>8.0186410242324369E-2</v>
      </c>
      <c r="I14" s="2">
        <v>-0.23580755730755026</v>
      </c>
      <c r="J14" s="2">
        <v>1</v>
      </c>
      <c r="K14" s="2">
        <v>-0.16329301388144327</v>
      </c>
      <c r="L14" s="2">
        <v>-0.15769120877782883</v>
      </c>
      <c r="M14" s="2">
        <v>0.99999999999999656</v>
      </c>
      <c r="N14" s="57"/>
      <c r="Q14" s="51" t="str">
        <f t="shared" ref="Q14:Q20" si="4">A14</f>
        <v>High Yield</v>
      </c>
      <c r="R14" s="72">
        <f>D14</f>
        <v>9.3736553429803107E-3</v>
      </c>
      <c r="S14" s="52">
        <f>B14-D14</f>
        <v>3.4164748824127039E-2</v>
      </c>
      <c r="T14" s="52">
        <f>F14-B14</f>
        <v>3.4693950569915734E-2</v>
      </c>
      <c r="U14" s="52"/>
    </row>
    <row r="15" spans="1:23">
      <c r="A15" s="59" t="str">
        <f t="shared" ref="A15:A20" si="5">A5</f>
        <v>Emerging market debt</v>
      </c>
      <c r="B15" s="117">
        <v>0.307748177702801</v>
      </c>
      <c r="C15" s="118">
        <v>0.15578997693033575</v>
      </c>
      <c r="D15" s="119">
        <v>0.14520960122687579</v>
      </c>
      <c r="E15" s="117">
        <v>0.30556758039295384</v>
      </c>
      <c r="F15" s="120">
        <v>0.47509105419088626</v>
      </c>
      <c r="G15" s="2">
        <v>1</v>
      </c>
      <c r="H15" s="2">
        <v>-0.32929796324338073</v>
      </c>
      <c r="I15" s="2">
        <v>-0.19534122110838137</v>
      </c>
      <c r="J15" s="2">
        <v>-0.23851303601346902</v>
      </c>
      <c r="K15" s="2">
        <v>-0.20557841727968323</v>
      </c>
      <c r="L15" s="2">
        <v>-0.17146599796081483</v>
      </c>
      <c r="M15" s="2">
        <v>0.99999999999999967</v>
      </c>
      <c r="N15" s="57"/>
      <c r="Q15" s="51" t="str">
        <f t="shared" si="4"/>
        <v>Emerging market debt</v>
      </c>
      <c r="R15" s="72">
        <f t="shared" ref="R15:R20" si="6">D15</f>
        <v>0.14520960122687579</v>
      </c>
      <c r="S15" s="52">
        <f t="shared" ref="S15:S20" si="7">B15-D15</f>
        <v>0.16253857647592521</v>
      </c>
      <c r="T15" s="52">
        <f t="shared" ref="T15:T20" si="8">F15-B15</f>
        <v>0.16734287648808527</v>
      </c>
      <c r="U15" s="52"/>
    </row>
    <row r="16" spans="1:23">
      <c r="A16" s="59" t="str">
        <f t="shared" si="5"/>
        <v>Aandelen ontwikkeld</v>
      </c>
      <c r="B16" s="117">
        <v>2.9593791897633247E-3</v>
      </c>
      <c r="C16" s="118">
        <v>3.5066911438619967E-3</v>
      </c>
      <c r="D16" s="119">
        <v>1.4322402735167318E-4</v>
      </c>
      <c r="E16" s="117">
        <v>1.7298905781286116E-3</v>
      </c>
      <c r="F16" s="120">
        <v>5.9335227923704419E-3</v>
      </c>
      <c r="G16" s="2">
        <v>-1.2988937949824949E-3</v>
      </c>
      <c r="H16" s="2">
        <v>1.6671158827029485E-3</v>
      </c>
      <c r="I16" s="2">
        <v>-6.158672525565078E-3</v>
      </c>
      <c r="J16" s="2">
        <v>-1.3699962473776641E-2</v>
      </c>
      <c r="K16" s="2">
        <v>-1.0400385005493437E-2</v>
      </c>
      <c r="L16" s="2">
        <v>1</v>
      </c>
      <c r="M16" s="2">
        <v>0.99999999999992195</v>
      </c>
      <c r="N16" s="57"/>
      <c r="Q16" s="51" t="str">
        <f t="shared" si="4"/>
        <v>Aandelen ontwikkeld</v>
      </c>
      <c r="R16" s="72">
        <f t="shared" si="6"/>
        <v>1.4322402735167318E-4</v>
      </c>
      <c r="S16" s="52">
        <f t="shared" si="7"/>
        <v>2.8161551624116517E-3</v>
      </c>
      <c r="T16" s="52">
        <f t="shared" si="8"/>
        <v>2.9741436026071173E-3</v>
      </c>
      <c r="U16" s="52"/>
    </row>
    <row r="17" spans="1:24">
      <c r="A17" s="59" t="str">
        <f t="shared" si="5"/>
        <v>Aandelen opkomend</v>
      </c>
      <c r="B17" s="117">
        <v>0.25324180775114491</v>
      </c>
      <c r="C17" s="118">
        <v>0.12575827653518509</v>
      </c>
      <c r="D17" s="119">
        <v>0.11969127116783766</v>
      </c>
      <c r="E17" s="117">
        <v>0.25417313846752371</v>
      </c>
      <c r="F17" s="120">
        <v>0.38490793902153642</v>
      </c>
      <c r="G17" s="2">
        <v>-0.69273909030665837</v>
      </c>
      <c r="H17" s="2">
        <v>-0.74934992713581083</v>
      </c>
      <c r="I17" s="2">
        <v>-0.2786890718764668</v>
      </c>
      <c r="J17" s="2">
        <v>-0.31223472218339804</v>
      </c>
      <c r="K17" s="2">
        <v>-0.22763112192719209</v>
      </c>
      <c r="L17" s="2">
        <v>-0.1742748240772872</v>
      </c>
      <c r="M17" s="2">
        <v>0.99999999999999978</v>
      </c>
      <c r="N17" s="57"/>
      <c r="Q17" s="51" t="str">
        <f t="shared" si="4"/>
        <v>Aandelen opkomend</v>
      </c>
      <c r="R17" s="72">
        <f t="shared" si="6"/>
        <v>0.11969127116783766</v>
      </c>
      <c r="S17" s="52">
        <f t="shared" si="7"/>
        <v>0.13355053658330723</v>
      </c>
      <c r="T17" s="52">
        <f t="shared" si="8"/>
        <v>0.13166613127039151</v>
      </c>
      <c r="U17" s="52"/>
    </row>
    <row r="18" spans="1:24">
      <c r="A18" s="59" t="str">
        <f t="shared" si="5"/>
        <v>Commodities</v>
      </c>
      <c r="B18" s="117">
        <v>0.32202393269099339</v>
      </c>
      <c r="C18" s="118">
        <v>9.4378230486923981E-2</v>
      </c>
      <c r="D18" s="119">
        <v>0.2292955949334641</v>
      </c>
      <c r="E18" s="117">
        <v>0.31366032584554943</v>
      </c>
      <c r="F18" s="120">
        <v>0.41238411355616622</v>
      </c>
      <c r="G18" s="2">
        <v>-0.18630815414766941</v>
      </c>
      <c r="H18" s="2">
        <v>1</v>
      </c>
      <c r="I18" s="2">
        <v>-0.2402464806223959</v>
      </c>
      <c r="J18" s="2">
        <v>-0.39209158172957309</v>
      </c>
      <c r="K18" s="2">
        <v>-0.23760441058357301</v>
      </c>
      <c r="L18" s="2">
        <v>-0.17665020338066106</v>
      </c>
      <c r="M18" s="2">
        <v>1</v>
      </c>
      <c r="N18" s="57"/>
      <c r="Q18" s="51" t="str">
        <f t="shared" si="4"/>
        <v>Commodities</v>
      </c>
      <c r="R18" s="72">
        <f t="shared" si="6"/>
        <v>0.2292955949334641</v>
      </c>
      <c r="S18" s="52">
        <f t="shared" si="7"/>
        <v>9.2728337757529283E-2</v>
      </c>
      <c r="T18" s="52">
        <f t="shared" si="8"/>
        <v>9.0360180865172834E-2</v>
      </c>
      <c r="U18" s="52"/>
    </row>
    <row r="19" spans="1:24">
      <c r="A19" s="59" t="str">
        <f t="shared" si="5"/>
        <v>Hedge funds</v>
      </c>
      <c r="B19" s="117">
        <v>5.4344630865567109E-2</v>
      </c>
      <c r="C19" s="118">
        <v>4.1413964769009742E-2</v>
      </c>
      <c r="D19" s="119">
        <v>1.1338267253759967E-2</v>
      </c>
      <c r="E19" s="117">
        <v>4.7785808638599388E-2</v>
      </c>
      <c r="F19" s="120">
        <v>8.972754344699907E-2</v>
      </c>
      <c r="G19" s="2">
        <v>-5.5139481304018204E-2</v>
      </c>
      <c r="H19" s="2">
        <v>-1.354344126061428E-2</v>
      </c>
      <c r="I19" s="2">
        <v>1</v>
      </c>
      <c r="J19" s="2">
        <v>5.762853728694139E-3</v>
      </c>
      <c r="K19" s="2">
        <v>-0.1554926513226122</v>
      </c>
      <c r="L19" s="2">
        <v>-0.16242018345153</v>
      </c>
      <c r="M19" s="2">
        <v>0.99999999999999789</v>
      </c>
      <c r="N19" s="57"/>
      <c r="Q19" s="51" t="str">
        <f t="shared" si="4"/>
        <v>Hedge funds</v>
      </c>
      <c r="R19" s="72">
        <f t="shared" si="6"/>
        <v>1.1338267253759967E-2</v>
      </c>
      <c r="S19" s="52">
        <f t="shared" si="7"/>
        <v>4.3006363611807139E-2</v>
      </c>
      <c r="T19" s="52">
        <f t="shared" si="8"/>
        <v>3.5382912581431961E-2</v>
      </c>
      <c r="U19" s="52"/>
    </row>
    <row r="20" spans="1:24">
      <c r="A20" s="60" t="str">
        <f t="shared" si="5"/>
        <v>Onroerend goed</v>
      </c>
      <c r="B20" s="121">
        <v>1.6143667632622861E-2</v>
      </c>
      <c r="C20" s="122">
        <v>1.4412240357748523E-2</v>
      </c>
      <c r="D20" s="123">
        <v>2.7395909062775032E-3</v>
      </c>
      <c r="E20" s="121">
        <v>1.2636680803287836E-2</v>
      </c>
      <c r="F20" s="124">
        <v>3.0038149381233802E-2</v>
      </c>
      <c r="G20" s="65">
        <v>-1.3324449451468583E-2</v>
      </c>
      <c r="H20" s="65">
        <v>1.0337805514778108E-2</v>
      </c>
      <c r="I20" s="65">
        <v>-4.3756996559639494E-2</v>
      </c>
      <c r="J20" s="65">
        <v>-4.9223551328475015E-2</v>
      </c>
      <c r="K20" s="65">
        <v>1</v>
      </c>
      <c r="L20" s="65">
        <v>-0.15749758235180303</v>
      </c>
      <c r="M20" s="65">
        <v>0.99999999999999534</v>
      </c>
      <c r="N20" s="66"/>
      <c r="Q20" s="51" t="str">
        <f t="shared" si="4"/>
        <v>Onroerend goed</v>
      </c>
      <c r="R20" s="72">
        <f t="shared" si="6"/>
        <v>2.7395909062775032E-3</v>
      </c>
      <c r="S20" s="52">
        <f t="shared" si="7"/>
        <v>1.3404076726345358E-2</v>
      </c>
      <c r="T20" s="52">
        <f t="shared" si="8"/>
        <v>1.3894481748610941E-2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6" t="s">
        <v>64</v>
      </c>
      <c r="E22" s="387"/>
      <c r="F22" s="388"/>
      <c r="G22" s="386" t="s">
        <v>65</v>
      </c>
      <c r="H22" s="387"/>
      <c r="I22" s="387"/>
      <c r="J22" s="387"/>
      <c r="K22" s="387"/>
      <c r="L22" s="387"/>
      <c r="M22" s="387"/>
      <c r="N22" s="388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0.61185657133217641</v>
      </c>
      <c r="H23" s="272">
        <v>0.19399993415045147</v>
      </c>
      <c r="I23" s="272">
        <v>0.12493288371123357</v>
      </c>
      <c r="J23" s="272">
        <v>5.206667887083527E-2</v>
      </c>
      <c r="K23" s="272">
        <v>1.5209653341708651E-2</v>
      </c>
      <c r="L23" s="272">
        <v>1.9342785935966278E-3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5.5956830073993075E-3</v>
      </c>
      <c r="C24" s="118">
        <v>6.3418874253077274E-3</v>
      </c>
      <c r="D24" s="119">
        <v>2.4674389720345655E-4</v>
      </c>
      <c r="E24" s="117">
        <v>3.6164197741669381E-3</v>
      </c>
      <c r="F24" s="120">
        <v>1.1695478186917716E-2</v>
      </c>
      <c r="G24" s="2">
        <v>-9.9734909027919053E-3</v>
      </c>
      <c r="H24" s="2">
        <v>-6.3811768992438449E-3</v>
      </c>
      <c r="I24" s="2">
        <v>4.0261136227638271E-3</v>
      </c>
      <c r="J24" s="2">
        <v>8.2226218160820153E-2</v>
      </c>
      <c r="K24" s="2">
        <v>1</v>
      </c>
      <c r="L24" s="2">
        <v>-0.17262160878204336</v>
      </c>
      <c r="M24" s="2">
        <v>0.99999999999999734</v>
      </c>
      <c r="N24" s="57"/>
      <c r="O24" s="67"/>
      <c r="Q24" s="51" t="str">
        <f t="shared" ref="Q24:Q30" si="9">A24</f>
        <v>High Yield</v>
      </c>
      <c r="R24" s="72">
        <f>D24</f>
        <v>2.4674389720345655E-4</v>
      </c>
      <c r="S24" s="52">
        <f>B24-D24</f>
        <v>5.3489391101958512E-3</v>
      </c>
      <c r="T24" s="52">
        <f>F24-B24</f>
        <v>6.0997951795184087E-3</v>
      </c>
      <c r="U24" s="52"/>
    </row>
    <row r="25" spans="1:24">
      <c r="A25" s="59" t="str">
        <f t="shared" ref="A25:A30" si="10">A5</f>
        <v>Emerging market debt</v>
      </c>
      <c r="B25" s="117">
        <v>2.2535425134641889E-2</v>
      </c>
      <c r="C25" s="118">
        <v>2.105720585948645E-2</v>
      </c>
      <c r="D25" s="119">
        <v>3.6649069420206103E-3</v>
      </c>
      <c r="E25" s="117">
        <v>1.5908533677397849E-2</v>
      </c>
      <c r="F25" s="120">
        <v>4.2600842473100906E-2</v>
      </c>
      <c r="G25" s="2">
        <v>-0.2105076446760665</v>
      </c>
      <c r="H25" s="2">
        <v>-0.9831290213593904</v>
      </c>
      <c r="I25" s="2">
        <v>-0.59534806355403713</v>
      </c>
      <c r="J25" s="2">
        <v>-0.32227557915643906</v>
      </c>
      <c r="K25" s="2">
        <v>-0.18141506256041823</v>
      </c>
      <c r="L25" s="2">
        <v>-0.16429763366810177</v>
      </c>
      <c r="M25" s="2">
        <v>0.99999999999999867</v>
      </c>
      <c r="N25" s="57"/>
      <c r="O25" s="67"/>
      <c r="Q25" s="51" t="str">
        <f t="shared" si="9"/>
        <v>Emerging market debt</v>
      </c>
      <c r="R25" s="72">
        <f t="shared" ref="R25:R30" si="11">D25</f>
        <v>3.6649069420206103E-3</v>
      </c>
      <c r="S25" s="52">
        <f t="shared" ref="S25:S30" si="12">B25-D25</f>
        <v>1.8870518192621279E-2</v>
      </c>
      <c r="T25" s="52">
        <f t="shared" ref="T25:T30" si="13">F25-B25</f>
        <v>2.0065417338459016E-2</v>
      </c>
      <c r="U25" s="52"/>
      <c r="X25" s="51"/>
    </row>
    <row r="26" spans="1:24">
      <c r="A26" s="59" t="str">
        <f t="shared" si="10"/>
        <v>Aandelen ontwikkeld</v>
      </c>
      <c r="B26" s="117">
        <v>1.39914826495673E-3</v>
      </c>
      <c r="C26" s="118">
        <v>2.2791412750303428E-3</v>
      </c>
      <c r="D26" s="119">
        <v>1.5526382733695329E-5</v>
      </c>
      <c r="E26" s="117">
        <v>4.5580819826116463E-4</v>
      </c>
      <c r="F26" s="120">
        <v>2.7777517860633569E-3</v>
      </c>
      <c r="G26" s="2">
        <v>4.1775477088473855E-3</v>
      </c>
      <c r="H26" s="2">
        <v>1.4522135873818952E-3</v>
      </c>
      <c r="I26" s="2">
        <v>-4.9739924586536576E-3</v>
      </c>
      <c r="J26" s="2">
        <v>7.7554418113667447E-3</v>
      </c>
      <c r="K26" s="2">
        <v>5.6278786108424376E-3</v>
      </c>
      <c r="L26" s="2">
        <v>1</v>
      </c>
      <c r="M26" s="2">
        <v>0.99999999999997924</v>
      </c>
      <c r="N26" s="57"/>
      <c r="O26" s="67"/>
      <c r="P26" s="72"/>
      <c r="Q26" s="51" t="str">
        <f t="shared" si="9"/>
        <v>Aandelen ontwikkeld</v>
      </c>
      <c r="R26" s="72">
        <f t="shared" si="11"/>
        <v>1.5526382733695329E-5</v>
      </c>
      <c r="S26" s="52">
        <f t="shared" si="12"/>
        <v>1.3836218822230347E-3</v>
      </c>
      <c r="T26" s="52">
        <f t="shared" si="13"/>
        <v>1.378603521106627E-3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2.9338810816145044E-2</v>
      </c>
      <c r="C27" s="118">
        <v>2.7289708571695992E-2</v>
      </c>
      <c r="D27" s="119">
        <v>4.5852827615505652E-3</v>
      </c>
      <c r="E27" s="117">
        <v>2.2050857135207387E-2</v>
      </c>
      <c r="F27" s="120">
        <v>5.4733472259752017E-2</v>
      </c>
      <c r="G27" s="2">
        <v>-0.55617942115198671</v>
      </c>
      <c r="H27" s="2">
        <v>1</v>
      </c>
      <c r="I27" s="2">
        <v>-0.32785595290095432</v>
      </c>
      <c r="J27" s="2">
        <v>-0.22282194784238318</v>
      </c>
      <c r="K27" s="2">
        <v>-0.1855706251600924</v>
      </c>
      <c r="L27" s="2">
        <v>-0.16428302322230895</v>
      </c>
      <c r="M27" s="2">
        <v>0.99999999999999978</v>
      </c>
      <c r="N27" s="57"/>
      <c r="O27" s="67"/>
      <c r="P27" s="72"/>
      <c r="Q27" s="51" t="str">
        <f t="shared" si="9"/>
        <v>Aandelen opkomend</v>
      </c>
      <c r="R27" s="72">
        <f t="shared" si="11"/>
        <v>4.5852827615505652E-3</v>
      </c>
      <c r="S27" s="52">
        <f t="shared" si="12"/>
        <v>2.4753528054594479E-2</v>
      </c>
      <c r="T27" s="52">
        <f t="shared" si="13"/>
        <v>2.5394661443606973E-2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0.90957998325699885</v>
      </c>
      <c r="C28" s="118">
        <v>3.7519739474969421E-2</v>
      </c>
      <c r="D28" s="119">
        <v>0.87088275554840788</v>
      </c>
      <c r="E28" s="117">
        <v>0.91256127281324906</v>
      </c>
      <c r="F28" s="120">
        <v>0.94942521403267821</v>
      </c>
      <c r="G28" s="2">
        <v>1</v>
      </c>
      <c r="H28" s="2">
        <v>0.30577916119946846</v>
      </c>
      <c r="I28" s="2">
        <v>-0.12566873475361923</v>
      </c>
      <c r="J28" s="2">
        <v>-0.20419096242600587</v>
      </c>
      <c r="K28" s="2">
        <v>-0.17741444549496821</v>
      </c>
      <c r="L28" s="2">
        <v>-0.16857049715650685</v>
      </c>
      <c r="M28" s="2">
        <v>1</v>
      </c>
      <c r="N28" s="57"/>
      <c r="O28" s="67"/>
      <c r="P28" s="72"/>
      <c r="Q28" s="51" t="str">
        <f t="shared" si="9"/>
        <v>Commodities</v>
      </c>
      <c r="R28" s="72">
        <f t="shared" si="11"/>
        <v>0.87088275554840788</v>
      </c>
      <c r="S28" s="52">
        <f t="shared" si="12"/>
        <v>3.8697227708590964E-2</v>
      </c>
      <c r="T28" s="52">
        <f t="shared" si="13"/>
        <v>3.9845230775679363E-2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2.0461027720408947E-2</v>
      </c>
      <c r="C29" s="118">
        <v>1.8311918674637391E-2</v>
      </c>
      <c r="D29" s="119">
        <v>3.8973410581205977E-3</v>
      </c>
      <c r="E29" s="117">
        <v>1.5493674234775278E-2</v>
      </c>
      <c r="F29" s="120">
        <v>3.7649415611392754E-2</v>
      </c>
      <c r="G29" s="2">
        <v>-0.1795527771209465</v>
      </c>
      <c r="H29" s="2">
        <v>-0.21381135864999631</v>
      </c>
      <c r="I29" s="2">
        <v>1</v>
      </c>
      <c r="J29" s="2">
        <v>-0.34069317054735632</v>
      </c>
      <c r="K29" s="2">
        <v>-0.18118731936370269</v>
      </c>
      <c r="L29" s="2">
        <v>-0.15864201576303599</v>
      </c>
      <c r="M29" s="2">
        <v>0.99999999999999911</v>
      </c>
      <c r="N29" s="57"/>
      <c r="O29" s="67"/>
      <c r="P29" s="72"/>
      <c r="Q29" s="51" t="str">
        <f t="shared" si="9"/>
        <v>Hedge funds</v>
      </c>
      <c r="R29" s="72">
        <f t="shared" si="11"/>
        <v>3.8973410581205977E-3</v>
      </c>
      <c r="S29" s="52">
        <f t="shared" si="12"/>
        <v>1.656368666228835E-2</v>
      </c>
      <c r="T29" s="52">
        <f t="shared" si="13"/>
        <v>1.7188387890983807E-2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1.1089921799448982E-2</v>
      </c>
      <c r="C30" s="122">
        <v>1.1529490305894872E-2</v>
      </c>
      <c r="D30" s="123">
        <v>1.165823226275303E-3</v>
      </c>
      <c r="E30" s="121">
        <v>6.9753678619493744E-3</v>
      </c>
      <c r="F30" s="124">
        <v>2.0488288058295469E-2</v>
      </c>
      <c r="G30" s="65">
        <v>-4.7964213857056452E-2</v>
      </c>
      <c r="H30" s="65">
        <v>-0.10390981787822078</v>
      </c>
      <c r="I30" s="65">
        <v>4.9820630044500942E-2</v>
      </c>
      <c r="J30" s="65">
        <v>1</v>
      </c>
      <c r="K30" s="65">
        <v>-0.28004042603165907</v>
      </c>
      <c r="L30" s="65">
        <v>-0.17158522140798255</v>
      </c>
      <c r="M30" s="65">
        <v>0.99999999999999822</v>
      </c>
      <c r="N30" s="66"/>
      <c r="O30" s="67"/>
      <c r="P30" s="72"/>
      <c r="Q30" s="51" t="str">
        <f t="shared" si="9"/>
        <v>Onroerend goed</v>
      </c>
      <c r="R30" s="72">
        <f t="shared" si="11"/>
        <v>1.165823226275303E-3</v>
      </c>
      <c r="S30" s="52">
        <f t="shared" si="12"/>
        <v>9.9240985731736779E-3</v>
      </c>
      <c r="T30" s="52">
        <f t="shared" si="13"/>
        <v>9.3983662588464877E-3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6" t="s">
        <v>64</v>
      </c>
      <c r="E32" s="387"/>
      <c r="F32" s="388"/>
      <c r="G32" s="386" t="s">
        <v>65</v>
      </c>
      <c r="H32" s="387"/>
      <c r="I32" s="387"/>
      <c r="J32" s="387"/>
      <c r="K32" s="387"/>
      <c r="L32" s="387"/>
      <c r="M32" s="387"/>
      <c r="N32" s="388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0.56673577795898789</v>
      </c>
      <c r="H33" s="272">
        <v>0.20177459120986052</v>
      </c>
      <c r="I33" s="272">
        <v>0.13648805293829114</v>
      </c>
      <c r="J33" s="272">
        <v>8.3908548191108046E-2</v>
      </c>
      <c r="K33" s="272">
        <v>8.8921585344480247E-3</v>
      </c>
      <c r="L33" s="272">
        <v>2.2008711673030534E-3</v>
      </c>
      <c r="M33" s="272">
        <v>2.2204460492503131E-16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0.44859454053987424</v>
      </c>
      <c r="C34" s="118">
        <v>0.12618768999432545</v>
      </c>
      <c r="D34" s="119">
        <v>0.31900554366094946</v>
      </c>
      <c r="E34" s="117">
        <v>0.44191394379151006</v>
      </c>
      <c r="F34" s="120">
        <v>0.59045916080238636</v>
      </c>
      <c r="G34" s="2">
        <v>1</v>
      </c>
      <c r="H34" s="2">
        <v>0.35530582205935712</v>
      </c>
      <c r="I34" s="2">
        <v>-0.14669391821535174</v>
      </c>
      <c r="J34" s="2">
        <v>-0.15867470167820397</v>
      </c>
      <c r="K34" s="2">
        <v>-0.20704972995151036</v>
      </c>
      <c r="L34" s="2">
        <v>-0.17958040807454079</v>
      </c>
      <c r="M34" s="2">
        <v>0.99999999999998268</v>
      </c>
      <c r="N34" s="57"/>
      <c r="O34" s="67"/>
      <c r="Q34" s="51" t="str">
        <f t="shared" ref="Q34:Q40" si="15">A34</f>
        <v>High Yield</v>
      </c>
      <c r="R34" s="72">
        <f>D34</f>
        <v>0.31900554366094946</v>
      </c>
      <c r="S34" s="52">
        <f>B34-D34</f>
        <v>0.12958899687892478</v>
      </c>
      <c r="T34" s="52">
        <f>F34-B34</f>
        <v>0.14186462026251212</v>
      </c>
      <c r="U34" s="52"/>
    </row>
    <row r="35" spans="1:24">
      <c r="A35" s="59" t="str">
        <f t="shared" si="14"/>
        <v>Emerging market debt</v>
      </c>
      <c r="B35" s="117">
        <v>0.1272252201077734</v>
      </c>
      <c r="C35" s="118">
        <v>9.6191855850311286E-2</v>
      </c>
      <c r="D35" s="119">
        <v>3.3483030808280551E-2</v>
      </c>
      <c r="E35" s="117">
        <v>0.10341185862998907</v>
      </c>
      <c r="F35" s="120">
        <v>0.22524704541141144</v>
      </c>
      <c r="G35" s="2">
        <v>-0.57267291032732193</v>
      </c>
      <c r="H35" s="2">
        <v>1</v>
      </c>
      <c r="I35" s="2">
        <v>-0.46882516260828361</v>
      </c>
      <c r="J35" s="2">
        <v>-6.6110708067903506E-2</v>
      </c>
      <c r="K35" s="2">
        <v>-0.15802045856472863</v>
      </c>
      <c r="L35" s="2">
        <v>-0.16205879509766177</v>
      </c>
      <c r="M35" s="2">
        <v>0.9999999999999829</v>
      </c>
      <c r="N35" s="57"/>
      <c r="O35" s="67"/>
      <c r="Q35" s="51" t="str">
        <f t="shared" si="15"/>
        <v>Emerging market debt</v>
      </c>
      <c r="R35" s="72">
        <f t="shared" ref="R35:R40" si="16">D35</f>
        <v>3.3483030808280551E-2</v>
      </c>
      <c r="S35" s="52">
        <f t="shared" ref="S35:S40" si="17">B35-D35</f>
        <v>9.3742189299492851E-2</v>
      </c>
      <c r="T35" s="52">
        <f t="shared" ref="T35:T40" si="18">F35-B35</f>
        <v>9.8021825303638038E-2</v>
      </c>
      <c r="U35" s="52"/>
    </row>
    <row r="36" spans="1:24">
      <c r="A36" s="59" t="str">
        <f t="shared" si="14"/>
        <v>Aandelen ontwikkeld</v>
      </c>
      <c r="B36" s="117">
        <v>7.5905332840882347E-3</v>
      </c>
      <c r="C36" s="118">
        <v>8.6776390909280802E-3</v>
      </c>
      <c r="D36" s="119">
        <v>7.6814563118633543E-4</v>
      </c>
      <c r="E36" s="117">
        <v>4.6552017566139098E-3</v>
      </c>
      <c r="F36" s="120">
        <v>1.4451860434057214E-2</v>
      </c>
      <c r="G36" s="2">
        <v>9.036911312336816E-3</v>
      </c>
      <c r="H36" s="2">
        <v>1.5257397203165548E-3</v>
      </c>
      <c r="I36" s="2">
        <v>2.2608123638791531E-2</v>
      </c>
      <c r="J36" s="2">
        <v>-8.228292125020983E-3</v>
      </c>
      <c r="K36" s="2">
        <v>-2.8724328232688182E-2</v>
      </c>
      <c r="L36" s="2">
        <v>1</v>
      </c>
      <c r="M36" s="2">
        <v>1</v>
      </c>
      <c r="N36" s="57"/>
      <c r="O36" s="67"/>
      <c r="Q36" s="51" t="str">
        <f t="shared" si="15"/>
        <v>Aandelen ontwikkeld</v>
      </c>
      <c r="R36" s="72">
        <f t="shared" si="16"/>
        <v>7.6814563118633543E-4</v>
      </c>
      <c r="S36" s="52">
        <f t="shared" si="17"/>
        <v>6.8223876529018993E-3</v>
      </c>
      <c r="T36" s="52">
        <f t="shared" si="18"/>
        <v>6.8613271499689795E-3</v>
      </c>
      <c r="U36" s="52"/>
    </row>
    <row r="37" spans="1:24">
      <c r="A37" s="59" t="str">
        <f t="shared" si="14"/>
        <v>Aandelen opkomend</v>
      </c>
      <c r="B37" s="117">
        <v>7.2334233404766052E-2</v>
      </c>
      <c r="C37" s="118">
        <v>5.2864184892545026E-2</v>
      </c>
      <c r="D37" s="119">
        <v>1.7402130623445616E-2</v>
      </c>
      <c r="E37" s="117">
        <v>6.4712434115993117E-2</v>
      </c>
      <c r="F37" s="120">
        <v>0.12625033575271016</v>
      </c>
      <c r="G37" s="2">
        <v>-4.7073162360870051E-2</v>
      </c>
      <c r="H37" s="2">
        <v>-0.1852562696773947</v>
      </c>
      <c r="I37" s="2">
        <v>0.32378358383961953</v>
      </c>
      <c r="J37" s="2">
        <v>1</v>
      </c>
      <c r="K37" s="2">
        <v>-0.20020343872425189</v>
      </c>
      <c r="L37" s="2">
        <v>-0.16934660099316837</v>
      </c>
      <c r="M37" s="2">
        <v>0.9999999999999829</v>
      </c>
      <c r="N37" s="57"/>
      <c r="O37" s="67"/>
      <c r="Q37" s="51" t="str">
        <f t="shared" si="15"/>
        <v>Aandelen opkomend</v>
      </c>
      <c r="R37" s="72">
        <f t="shared" si="16"/>
        <v>1.7402130623445616E-2</v>
      </c>
      <c r="S37" s="52">
        <f t="shared" si="17"/>
        <v>5.4932102781320435E-2</v>
      </c>
      <c r="T37" s="52">
        <f t="shared" si="18"/>
        <v>5.3916102347944111E-2</v>
      </c>
      <c r="U37" s="52"/>
      <c r="X37" s="51"/>
    </row>
    <row r="38" spans="1:24">
      <c r="A38" s="59" t="str">
        <f t="shared" si="14"/>
        <v>Commodities</v>
      </c>
      <c r="B38" s="117">
        <v>0.2179010955043674</v>
      </c>
      <c r="C38" s="118">
        <v>6.6267008334352867E-2</v>
      </c>
      <c r="D38" s="119">
        <v>0.15079577011566611</v>
      </c>
      <c r="E38" s="117">
        <v>0.21373704530665294</v>
      </c>
      <c r="F38" s="120">
        <v>0.2888111719909765</v>
      </c>
      <c r="G38" s="2">
        <v>-0.24142506718334628</v>
      </c>
      <c r="H38" s="2">
        <v>-0.18235702919217817</v>
      </c>
      <c r="I38" s="2">
        <v>1</v>
      </c>
      <c r="J38" s="2">
        <v>-0.5458174838831219</v>
      </c>
      <c r="K38" s="2">
        <v>-0.23153688386145996</v>
      </c>
      <c r="L38" s="2">
        <v>-0.18867601292763353</v>
      </c>
      <c r="M38" s="2">
        <v>0.99999999999998235</v>
      </c>
      <c r="N38" s="57"/>
      <c r="O38" s="67"/>
      <c r="P38" s="72"/>
      <c r="Q38" s="51" t="str">
        <f t="shared" si="15"/>
        <v>Commodities</v>
      </c>
      <c r="R38" s="72">
        <f t="shared" si="16"/>
        <v>0.15079577011566611</v>
      </c>
      <c r="S38" s="52">
        <f t="shared" si="17"/>
        <v>6.7105325388701287E-2</v>
      </c>
      <c r="T38" s="52">
        <f t="shared" si="18"/>
        <v>7.0910076486609103E-2</v>
      </c>
      <c r="U38" s="52"/>
      <c r="V38" s="52"/>
      <c r="W38" s="52"/>
    </row>
    <row r="39" spans="1:24">
      <c r="A39" s="59" t="str">
        <f t="shared" si="14"/>
        <v>Hedge funds</v>
      </c>
      <c r="B39" s="117">
        <v>2.0240661709066063E-2</v>
      </c>
      <c r="C39" s="118">
        <v>1.743897213785452E-2</v>
      </c>
      <c r="D39" s="119">
        <v>3.929282530719753E-3</v>
      </c>
      <c r="E39" s="117">
        <v>1.575182908599309E-2</v>
      </c>
      <c r="F39" s="120">
        <v>3.6930806048308631E-2</v>
      </c>
      <c r="G39" s="2">
        <v>2.1877899687465986E-2</v>
      </c>
      <c r="H39" s="2">
        <v>-1.7254819856413344E-2</v>
      </c>
      <c r="I39" s="2">
        <v>5.5378535287149588E-2</v>
      </c>
      <c r="J39" s="2">
        <v>-7.0640188759050603E-3</v>
      </c>
      <c r="K39" s="2">
        <v>1</v>
      </c>
      <c r="L39" s="2">
        <v>-0.13968411721054994</v>
      </c>
      <c r="M39" s="2">
        <v>0.99999999999998812</v>
      </c>
      <c r="N39" s="57"/>
      <c r="O39" s="67"/>
      <c r="P39" s="72"/>
      <c r="Q39" s="51" t="str">
        <f t="shared" si="15"/>
        <v>Hedge funds</v>
      </c>
      <c r="R39" s="72">
        <f t="shared" si="16"/>
        <v>3.929282530719753E-3</v>
      </c>
      <c r="S39" s="52">
        <f t="shared" si="17"/>
        <v>1.6311379178346311E-2</v>
      </c>
      <c r="T39" s="52">
        <f t="shared" si="18"/>
        <v>1.6690144339242569E-2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0.10611371545006432</v>
      </c>
      <c r="C40" s="122">
        <v>7.4993969622201534E-2</v>
      </c>
      <c r="D40" s="123">
        <v>3.0839365518647757E-2</v>
      </c>
      <c r="E40" s="121">
        <v>9.205686016140667E-2</v>
      </c>
      <c r="F40" s="124">
        <v>0.18282424488374646</v>
      </c>
      <c r="G40" s="65">
        <v>-0.1697436711282643</v>
      </c>
      <c r="H40" s="65">
        <v>-0.97196344305368754</v>
      </c>
      <c r="I40" s="65">
        <v>-0.78625116194192501</v>
      </c>
      <c r="J40" s="65">
        <v>-0.21410479536984467</v>
      </c>
      <c r="K40" s="65">
        <v>-0.17446516066536538</v>
      </c>
      <c r="L40" s="65">
        <v>-0.16065406569646132</v>
      </c>
      <c r="M40" s="65">
        <v>0.9999999999999829</v>
      </c>
      <c r="N40" s="66"/>
      <c r="O40" s="67"/>
      <c r="P40" s="72"/>
      <c r="Q40" s="51" t="str">
        <f t="shared" si="15"/>
        <v>Onroerend goed</v>
      </c>
      <c r="R40" s="72">
        <f t="shared" si="16"/>
        <v>3.0839365518647757E-2</v>
      </c>
      <c r="S40" s="52">
        <f t="shared" si="17"/>
        <v>7.5274349931416559E-2</v>
      </c>
      <c r="T40" s="52">
        <f t="shared" si="18"/>
        <v>7.6710529433682145E-2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6" t="s">
        <v>64</v>
      </c>
      <c r="E42" s="387"/>
      <c r="F42" s="388"/>
      <c r="G42" s="386" t="s">
        <v>65</v>
      </c>
      <c r="H42" s="387"/>
      <c r="I42" s="387"/>
      <c r="J42" s="387"/>
      <c r="K42" s="387"/>
      <c r="L42" s="387"/>
      <c r="M42" s="387"/>
      <c r="N42" s="388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0.31700517474551704</v>
      </c>
      <c r="H43" s="272">
        <v>0.17686478832561581</v>
      </c>
      <c r="I43" s="272">
        <v>0.17200212714600249</v>
      </c>
      <c r="J43" s="272">
        <v>0.13311822599846224</v>
      </c>
      <c r="K43" s="272">
        <v>0.10747993273673462</v>
      </c>
      <c r="L43" s="272">
        <v>9.3529751047669918E-2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0.13783962896877491</v>
      </c>
      <c r="C44" s="118">
        <v>0.19848915383020488</v>
      </c>
      <c r="D44" s="119">
        <v>4.9193710007274134E-4</v>
      </c>
      <c r="E44" s="117">
        <v>4.0255602889976511E-2</v>
      </c>
      <c r="F44" s="120">
        <v>0.32870184518551321</v>
      </c>
      <c r="G44" s="2">
        <v>-0.16531136707505287</v>
      </c>
      <c r="H44" s="2">
        <v>-0.68998117560503525</v>
      </c>
      <c r="I44" s="2">
        <v>-0.54604532967341413</v>
      </c>
      <c r="J44" s="2">
        <v>-0.65602264657617138</v>
      </c>
      <c r="K44" s="2">
        <v>-0.31683865299260605</v>
      </c>
      <c r="L44" s="2">
        <v>-0.12990941313492582</v>
      </c>
      <c r="M44" s="2">
        <v>0.99999999999921318</v>
      </c>
      <c r="N44" s="57"/>
      <c r="O44" s="67"/>
      <c r="Q44" s="51" t="str">
        <f t="shared" ref="Q44:Q50" si="19">A44</f>
        <v>High Yield</v>
      </c>
      <c r="R44" s="72">
        <f>D44</f>
        <v>4.9193710007274134E-4</v>
      </c>
      <c r="S44" s="52">
        <f>B44-D44</f>
        <v>0.13734769186870216</v>
      </c>
      <c r="T44" s="52">
        <f>F44-B44</f>
        <v>0.1908622162167383</v>
      </c>
      <c r="U44" s="52"/>
    </row>
    <row r="45" spans="1:24">
      <c r="A45" s="59" t="str">
        <f t="shared" ref="A45:A50" si="20">A5</f>
        <v>Emerging market debt</v>
      </c>
      <c r="B45" s="117">
        <v>0.11346923375157428</v>
      </c>
      <c r="C45" s="118">
        <v>0.17879384488335154</v>
      </c>
      <c r="D45" s="119">
        <v>2.5352716412451956E-4</v>
      </c>
      <c r="E45" s="117">
        <v>2.9952495732061841E-2</v>
      </c>
      <c r="F45" s="120">
        <v>0.22812558347965145</v>
      </c>
      <c r="G45" s="2">
        <v>-0.14717205603091565</v>
      </c>
      <c r="H45" s="2">
        <v>-0.19048809409036077</v>
      </c>
      <c r="I45" s="2">
        <v>4.6776171539399933E-2</v>
      </c>
      <c r="J45" s="2">
        <v>1</v>
      </c>
      <c r="K45" s="2">
        <v>-0.55070608229959328</v>
      </c>
      <c r="L45" s="2">
        <v>-0.24193749690487135</v>
      </c>
      <c r="M45" s="2">
        <v>0.99999999999927414</v>
      </c>
      <c r="N45" s="57"/>
      <c r="O45" s="67"/>
      <c r="Q45" s="51" t="str">
        <f t="shared" si="19"/>
        <v>Emerging market debt</v>
      </c>
      <c r="R45" s="72">
        <f t="shared" ref="R45:R50" si="21">D45</f>
        <v>2.5352716412451956E-4</v>
      </c>
      <c r="S45" s="52">
        <f t="shared" ref="S45:S50" si="22">B45-D45</f>
        <v>0.11321570658744975</v>
      </c>
      <c r="T45" s="52">
        <f t="shared" ref="T45:T50" si="23">F45-B45</f>
        <v>0.11465634972807717</v>
      </c>
      <c r="U45" s="52"/>
    </row>
    <row r="46" spans="1:24">
      <c r="A46" s="59" t="str">
        <f t="shared" si="20"/>
        <v>Aandelen ontwikkeld</v>
      </c>
      <c r="B46" s="117">
        <v>8.0834652114535874E-2</v>
      </c>
      <c r="C46" s="118">
        <v>0.15464102577914926</v>
      </c>
      <c r="D46" s="119">
        <v>7.6413461206351296E-5</v>
      </c>
      <c r="E46" s="117">
        <v>1.1278144353722276E-2</v>
      </c>
      <c r="F46" s="120">
        <v>0.14682106664811689</v>
      </c>
      <c r="G46" s="2">
        <v>-7.9344223300375147E-2</v>
      </c>
      <c r="H46" s="2">
        <v>-0.11735991521317486</v>
      </c>
      <c r="I46" s="2">
        <v>-3.5048083878014828E-2</v>
      </c>
      <c r="J46" s="2">
        <v>0.18781920315839115</v>
      </c>
      <c r="K46" s="2">
        <v>0.21961649145112919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7.6413461206351296E-5</v>
      </c>
      <c r="S46" s="52">
        <f t="shared" si="22"/>
        <v>8.0758238653329525E-2</v>
      </c>
      <c r="T46" s="52">
        <f t="shared" si="23"/>
        <v>6.598641453358102E-2</v>
      </c>
      <c r="U46" s="52"/>
    </row>
    <row r="47" spans="1:24">
      <c r="A47" s="59" t="str">
        <f t="shared" si="20"/>
        <v>Aandelen opkomend</v>
      </c>
      <c r="B47" s="117">
        <v>0.14769449122228456</v>
      </c>
      <c r="C47" s="118">
        <v>0.20616934311593485</v>
      </c>
      <c r="D47" s="119">
        <v>4.2457899014311659E-4</v>
      </c>
      <c r="E47" s="117">
        <v>4.7620553693514464E-2</v>
      </c>
      <c r="F47" s="120">
        <v>0.33816159706037391</v>
      </c>
      <c r="G47" s="2">
        <v>-0.22400883306797617</v>
      </c>
      <c r="H47" s="2">
        <v>-2.2259268483520837E-2</v>
      </c>
      <c r="I47" s="2">
        <v>1</v>
      </c>
      <c r="J47" s="2">
        <v>-0.44815237960951781</v>
      </c>
      <c r="K47" s="2">
        <v>-8.1499150339407189E-2</v>
      </c>
      <c r="L47" s="2">
        <v>-9.5598799050659183E-2</v>
      </c>
      <c r="M47" s="2">
        <v>0.99999999999901901</v>
      </c>
      <c r="N47" s="57"/>
      <c r="O47" s="67"/>
      <c r="Q47" s="51" t="str">
        <f t="shared" si="19"/>
        <v>Aandelen opkomend</v>
      </c>
      <c r="R47" s="72">
        <f t="shared" si="21"/>
        <v>4.2457899014311659E-4</v>
      </c>
      <c r="S47" s="52">
        <f t="shared" si="22"/>
        <v>0.14726991223214145</v>
      </c>
      <c r="T47" s="52">
        <f t="shared" si="23"/>
        <v>0.19046710583808935</v>
      </c>
      <c r="U47" s="52"/>
    </row>
    <row r="48" spans="1:24">
      <c r="A48" s="59" t="str">
        <f t="shared" si="20"/>
        <v>Commodities</v>
      </c>
      <c r="B48" s="117">
        <v>8.9962494798762574E-2</v>
      </c>
      <c r="C48" s="118">
        <v>0.16349774295004185</v>
      </c>
      <c r="D48" s="119">
        <v>9.0313936457438491E-5</v>
      </c>
      <c r="E48" s="117">
        <v>1.4087226828307065E-2</v>
      </c>
      <c r="F48" s="120">
        <v>0.19740858372705344</v>
      </c>
      <c r="G48" s="2">
        <v>-7.7409053299126826E-2</v>
      </c>
      <c r="H48" s="2">
        <v>-0.12091197257526254</v>
      </c>
      <c r="I48" s="2">
        <v>-0.11615471518077988</v>
      </c>
      <c r="J48" s="2">
        <v>0.22063667652995947</v>
      </c>
      <c r="K48" s="2">
        <v>1</v>
      </c>
      <c r="L48" s="2">
        <v>-0.41770247599110583</v>
      </c>
      <c r="M48" s="2">
        <v>0.99999999999948241</v>
      </c>
      <c r="N48" s="57"/>
      <c r="O48" s="67"/>
      <c r="Q48" s="51" t="str">
        <f t="shared" si="19"/>
        <v>Commodities</v>
      </c>
      <c r="R48" s="72">
        <f t="shared" si="21"/>
        <v>9.0313936457438491E-5</v>
      </c>
      <c r="S48" s="52">
        <f t="shared" si="22"/>
        <v>8.987218086230514E-2</v>
      </c>
      <c r="T48" s="52">
        <f t="shared" si="23"/>
        <v>0.10744608892829087</v>
      </c>
      <c r="U48" s="52"/>
    </row>
    <row r="49" spans="1:27">
      <c r="A49" s="59" t="str">
        <f t="shared" si="20"/>
        <v>Hedge funds</v>
      </c>
      <c r="B49" s="117">
        <v>0.26353162063458629</v>
      </c>
      <c r="C49" s="118">
        <v>0.27669074890351192</v>
      </c>
      <c r="D49" s="119">
        <v>8.5232577738244084E-3</v>
      </c>
      <c r="E49" s="117">
        <v>0.15949191321846778</v>
      </c>
      <c r="F49" s="120">
        <v>0.60195000251708763</v>
      </c>
      <c r="G49" s="2">
        <v>1</v>
      </c>
      <c r="H49" s="2">
        <v>0.1410004259676996</v>
      </c>
      <c r="I49" s="2">
        <v>1.6555443989064268E-2</v>
      </c>
      <c r="J49" s="2">
        <v>-9.4144619544063779E-2</v>
      </c>
      <c r="K49" s="2">
        <v>-0.10701865778709033</v>
      </c>
      <c r="L49" s="2">
        <v>-5.1056228117334561E-2</v>
      </c>
      <c r="M49" s="2">
        <v>0.99999999999906763</v>
      </c>
      <c r="N49" s="57"/>
      <c r="O49" s="67"/>
      <c r="Q49" s="51" t="str">
        <f t="shared" si="19"/>
        <v>Hedge funds</v>
      </c>
      <c r="R49" s="72">
        <f t="shared" si="21"/>
        <v>8.5232577738244084E-3</v>
      </c>
      <c r="S49" s="52">
        <f t="shared" si="22"/>
        <v>0.25500836286076189</v>
      </c>
      <c r="T49" s="52">
        <f t="shared" si="23"/>
        <v>0.33841838188250134</v>
      </c>
      <c r="U49" s="52"/>
      <c r="X49" s="51"/>
    </row>
    <row r="50" spans="1:27">
      <c r="A50" s="60" t="str">
        <f t="shared" si="20"/>
        <v>Onroerend goed</v>
      </c>
      <c r="B50" s="121">
        <v>0.16666787850912884</v>
      </c>
      <c r="C50" s="122">
        <v>0.21387761944661704</v>
      </c>
      <c r="D50" s="123">
        <v>1.8068813345389566E-3</v>
      </c>
      <c r="E50" s="121">
        <v>6.4366462234705324E-2</v>
      </c>
      <c r="F50" s="124">
        <v>0.382054256622258</v>
      </c>
      <c r="G50" s="65">
        <v>-0.30675446722641764</v>
      </c>
      <c r="H50" s="65">
        <v>1</v>
      </c>
      <c r="I50" s="65">
        <v>-0.36608348679607344</v>
      </c>
      <c r="J50" s="65">
        <v>-0.21013623395900702</v>
      </c>
      <c r="K50" s="65">
        <v>-0.16355394803290346</v>
      </c>
      <c r="L50" s="65">
        <v>-6.3795586801801335E-2</v>
      </c>
      <c r="M50" s="65">
        <v>0.99999999999902078</v>
      </c>
      <c r="N50" s="66"/>
      <c r="O50" s="67"/>
      <c r="P50" s="72"/>
      <c r="Q50" s="51" t="str">
        <f t="shared" si="19"/>
        <v>Onroerend goed</v>
      </c>
      <c r="R50" s="72">
        <f t="shared" si="21"/>
        <v>1.8068813345389566E-3</v>
      </c>
      <c r="S50" s="52">
        <f t="shared" si="22"/>
        <v>0.16486099717458988</v>
      </c>
      <c r="T50" s="52">
        <f t="shared" si="23"/>
        <v>0.21538637811312916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6" t="s">
        <v>64</v>
      </c>
      <c r="E52" s="387"/>
      <c r="F52" s="388"/>
      <c r="G52" s="386" t="s">
        <v>65</v>
      </c>
      <c r="H52" s="387"/>
      <c r="I52" s="387"/>
      <c r="J52" s="387"/>
      <c r="K52" s="387"/>
      <c r="L52" s="387"/>
      <c r="M52" s="387"/>
      <c r="N52" s="388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0.65337195567454143</v>
      </c>
      <c r="H53" s="272">
        <v>0.15267397954484918</v>
      </c>
      <c r="I53" s="272">
        <v>8.2899023329302435E-2</v>
      </c>
      <c r="J53" s="272">
        <v>5.5163309012860817E-2</v>
      </c>
      <c r="K53" s="272">
        <v>3.2493950622957568E-2</v>
      </c>
      <c r="L53" s="272">
        <v>2.33977818154808E-2</v>
      </c>
      <c r="M53" s="272">
        <v>-2.2204460492503131E-16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2.7334699634037852E-3</v>
      </c>
      <c r="C54" s="118">
        <v>4.0482715920133697E-3</v>
      </c>
      <c r="D54" s="119">
        <v>1.7714342510377696E-5</v>
      </c>
      <c r="E54" s="117">
        <v>9.4975126395833076E-4</v>
      </c>
      <c r="F54" s="120">
        <v>6.261050243440724E-3</v>
      </c>
      <c r="G54" s="2">
        <v>-4.8529699113869194E-2</v>
      </c>
      <c r="H54" s="2">
        <v>-0.22632383443807907</v>
      </c>
      <c r="I54" s="2">
        <v>2.1967265473176869E-2</v>
      </c>
      <c r="J54" s="2">
        <v>1</v>
      </c>
      <c r="K54" s="2">
        <v>-0.45851074826772581</v>
      </c>
      <c r="L54" s="2">
        <v>-3.4270071935707726E-2</v>
      </c>
      <c r="M54" s="2">
        <v>1</v>
      </c>
      <c r="N54" s="57"/>
      <c r="O54" s="67"/>
      <c r="P54" s="72"/>
      <c r="Q54" s="51" t="str">
        <f t="shared" ref="Q54:Q60" si="25">A54</f>
        <v>High Yield</v>
      </c>
      <c r="R54" s="72">
        <f>D54</f>
        <v>1.7714342510377696E-5</v>
      </c>
      <c r="S54" s="52">
        <f>B54-D54</f>
        <v>2.7157556208934077E-3</v>
      </c>
      <c r="T54" s="52">
        <f>F54-B54</f>
        <v>3.5275802800369387E-3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3.6329894112843378E-3</v>
      </c>
      <c r="C55" s="118">
        <v>5.3403252794259753E-3</v>
      </c>
      <c r="D55" s="119">
        <v>1.4560760272935232E-5</v>
      </c>
      <c r="E55" s="117">
        <v>1.2735385768623399E-3</v>
      </c>
      <c r="F55" s="120">
        <v>7.915198206145016E-3</v>
      </c>
      <c r="G55" s="2">
        <v>-0.11219002125059133</v>
      </c>
      <c r="H55" s="2">
        <v>-0.69961826406355598</v>
      </c>
      <c r="I55" s="2">
        <v>-0.85874776825270005</v>
      </c>
      <c r="J55" s="2">
        <v>-0.40831814110278009</v>
      </c>
      <c r="K55" s="2">
        <v>-0.38792505778431474</v>
      </c>
      <c r="L55" s="2">
        <v>-0.11346057840947942</v>
      </c>
      <c r="M55" s="2">
        <v>0.99999999999999845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1.4560760272935232E-5</v>
      </c>
      <c r="S55" s="52">
        <f t="shared" ref="S55:S60" si="27">B55-D55</f>
        <v>3.6184286510114027E-3</v>
      </c>
      <c r="T55" s="52">
        <f t="shared" ref="T55:T60" si="28">F55-B55</f>
        <v>4.2822087948606782E-3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1.6544411208304001E-3</v>
      </c>
      <c r="C56" s="118">
        <v>2.9200369548399159E-3</v>
      </c>
      <c r="D56" s="119">
        <v>2.0955116975592836E-6</v>
      </c>
      <c r="E56" s="117">
        <v>2.9398694269462661E-4</v>
      </c>
      <c r="F56" s="120">
        <v>3.4695739889458038E-3</v>
      </c>
      <c r="G56" s="2">
        <v>-1.5803160316866866E-2</v>
      </c>
      <c r="H56" s="2">
        <v>-7.0554345474749841E-2</v>
      </c>
      <c r="I56" s="2">
        <v>1.6543250518696463E-2</v>
      </c>
      <c r="J56" s="2">
        <v>7.7808875155789395E-2</v>
      </c>
      <c r="K56" s="2">
        <v>1</v>
      </c>
      <c r="L56" s="2">
        <v>-0.75935343998702198</v>
      </c>
      <c r="M56" s="2">
        <v>0.99999999999999845</v>
      </c>
      <c r="N56" s="57"/>
      <c r="O56" s="67"/>
      <c r="Q56" s="51" t="str">
        <f t="shared" si="25"/>
        <v>Aandelen ontwikkeld</v>
      </c>
      <c r="R56" s="72">
        <f t="shared" si="26"/>
        <v>2.0955116975592836E-6</v>
      </c>
      <c r="S56" s="52">
        <f t="shared" si="27"/>
        <v>1.6523456091328409E-3</v>
      </c>
      <c r="T56" s="52">
        <f t="shared" si="28"/>
        <v>1.8151328681154037E-3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2.9327792476964831E-3</v>
      </c>
      <c r="C57" s="118">
        <v>5.0703043088921301E-3</v>
      </c>
      <c r="D57" s="119">
        <v>3.8853275416122589E-6</v>
      </c>
      <c r="E57" s="117">
        <v>6.4492650221532628E-4</v>
      </c>
      <c r="F57" s="120">
        <v>6.1797603231400202E-3</v>
      </c>
      <c r="G57" s="2">
        <v>-7.3930887573150181E-2</v>
      </c>
      <c r="H57" s="2">
        <v>-0.50666778366575804</v>
      </c>
      <c r="I57" s="2">
        <v>1</v>
      </c>
      <c r="J57" s="2">
        <v>-0.39041988198224159</v>
      </c>
      <c r="K57" s="2">
        <v>-0.32842659477867492</v>
      </c>
      <c r="L57" s="2">
        <v>-2.7376260469001677E-2</v>
      </c>
      <c r="M57" s="2">
        <v>0.99999999999999822</v>
      </c>
      <c r="N57" s="57"/>
      <c r="O57" s="67"/>
      <c r="Q57" s="51" t="str">
        <f t="shared" si="25"/>
        <v>Aandelen opkomend</v>
      </c>
      <c r="R57" s="72">
        <f t="shared" si="26"/>
        <v>3.8853275416122589E-6</v>
      </c>
      <c r="S57" s="52">
        <f t="shared" si="27"/>
        <v>2.9288939201548708E-3</v>
      </c>
      <c r="T57" s="52">
        <f t="shared" si="28"/>
        <v>3.2469810754435372E-3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1.6495057841802556E-3</v>
      </c>
      <c r="C58" s="118">
        <v>2.7937864818175055E-3</v>
      </c>
      <c r="D58" s="119">
        <v>2.1529988951496333E-6</v>
      </c>
      <c r="E58" s="117">
        <v>3.0245137457181575E-4</v>
      </c>
      <c r="F58" s="120">
        <v>3.683464883545577E-3</v>
      </c>
      <c r="G58" s="2">
        <v>-1.3595017385238726E-2</v>
      </c>
      <c r="H58" s="2">
        <v>-0.10333514750738168</v>
      </c>
      <c r="I58" s="2">
        <v>-6.0670715245315296E-2</v>
      </c>
      <c r="J58" s="2">
        <v>2.6392843535338044E-2</v>
      </c>
      <c r="K58" s="2">
        <v>0.67427284036942847</v>
      </c>
      <c r="L58" s="2">
        <v>1</v>
      </c>
      <c r="M58" s="2">
        <v>0.999999999999999</v>
      </c>
      <c r="N58" s="57"/>
      <c r="O58" s="67"/>
      <c r="Q58" s="51" t="str">
        <f t="shared" si="25"/>
        <v>Commodities</v>
      </c>
      <c r="R58" s="72">
        <f t="shared" si="26"/>
        <v>2.1529988951496333E-6</v>
      </c>
      <c r="S58" s="52">
        <f t="shared" si="27"/>
        <v>1.647352785285106E-3</v>
      </c>
      <c r="T58" s="52">
        <f t="shared" si="28"/>
        <v>2.0339590993653216E-3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0.97993909552385083</v>
      </c>
      <c r="C59" s="118">
        <v>1.2322303608779639E-2</v>
      </c>
      <c r="D59" s="119">
        <v>0.96657763643214312</v>
      </c>
      <c r="E59" s="117">
        <v>0.98172098474143743</v>
      </c>
      <c r="F59" s="120">
        <v>0.99273870961089306</v>
      </c>
      <c r="G59" s="2">
        <v>1</v>
      </c>
      <c r="H59" s="2">
        <v>0.60649937514952557</v>
      </c>
      <c r="I59" s="2">
        <v>-6.3109658168324451E-2</v>
      </c>
      <c r="J59" s="2">
        <v>-0.14364548299585822</v>
      </c>
      <c r="K59" s="2">
        <v>-0.24921517571739127</v>
      </c>
      <c r="L59" s="2">
        <v>-3.632323470639396E-2</v>
      </c>
      <c r="M59" s="2">
        <v>0.99999999999999778</v>
      </c>
      <c r="N59" s="57"/>
      <c r="O59" s="67"/>
      <c r="Q59" s="51" t="str">
        <f t="shared" si="25"/>
        <v>Hedge funds</v>
      </c>
      <c r="R59" s="72">
        <f t="shared" si="26"/>
        <v>0.96657763643214312</v>
      </c>
      <c r="S59" s="52">
        <f t="shared" si="27"/>
        <v>1.3361459091707717E-2</v>
      </c>
      <c r="T59" s="52">
        <f t="shared" si="28"/>
        <v>1.2799614087042221E-2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7.4577189487529628E-3</v>
      </c>
      <c r="C60" s="122">
        <v>1.0084903764163381E-2</v>
      </c>
      <c r="D60" s="123">
        <v>3.8226145082958881E-5</v>
      </c>
      <c r="E60" s="121">
        <v>2.9451709845272093E-3</v>
      </c>
      <c r="F60" s="124">
        <v>1.6680820300265416E-2</v>
      </c>
      <c r="G60" s="65">
        <v>-0.73595121436028366</v>
      </c>
      <c r="H60" s="65">
        <v>1</v>
      </c>
      <c r="I60" s="65">
        <v>-5.5982374325533171E-2</v>
      </c>
      <c r="J60" s="65">
        <v>-0.16181821261024915</v>
      </c>
      <c r="K60" s="65">
        <v>-0.25019526382132184</v>
      </c>
      <c r="L60" s="65">
        <v>-2.9216414492395686E-2</v>
      </c>
      <c r="M60" s="65">
        <v>0.99999999999999822</v>
      </c>
      <c r="N60" s="66"/>
      <c r="O60" s="67"/>
      <c r="Q60" s="51" t="str">
        <f t="shared" si="25"/>
        <v>Onroerend goed</v>
      </c>
      <c r="R60" s="72">
        <f t="shared" si="26"/>
        <v>3.8226145082958881E-5</v>
      </c>
      <c r="S60" s="52">
        <f t="shared" si="27"/>
        <v>7.4194928036700036E-3</v>
      </c>
      <c r="T60" s="52">
        <f t="shared" si="28"/>
        <v>9.223101351512452E-3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6" t="s">
        <v>64</v>
      </c>
      <c r="E62" s="387"/>
      <c r="F62" s="388"/>
      <c r="G62" s="386" t="s">
        <v>65</v>
      </c>
      <c r="H62" s="387"/>
      <c r="I62" s="387"/>
      <c r="J62" s="387"/>
      <c r="K62" s="387"/>
      <c r="L62" s="387"/>
      <c r="M62" s="387"/>
      <c r="N62" s="388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0.68118531799706883</v>
      </c>
      <c r="H63" s="272">
        <v>0.22439507479660603</v>
      </c>
      <c r="I63" s="272">
        <v>7.3666251225379065E-2</v>
      </c>
      <c r="J63" s="272">
        <v>1.5950522460121741E-2</v>
      </c>
      <c r="K63" s="272">
        <v>3.6170847227996461E-3</v>
      </c>
      <c r="L63" s="272">
        <v>1.185748798022801E-3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0.22036383451946906</v>
      </c>
      <c r="C64" s="118">
        <v>0.15852234679835894</v>
      </c>
      <c r="D64" s="119">
        <v>4.3355375190842801E-2</v>
      </c>
      <c r="E64" s="117">
        <v>0.20561386223258404</v>
      </c>
      <c r="F64" s="120">
        <v>0.3969740750237376</v>
      </c>
      <c r="G64" s="2">
        <v>-0.99039429813176572</v>
      </c>
      <c r="H64" s="2">
        <v>-0.57389460619038968</v>
      </c>
      <c r="I64" s="2">
        <v>-0.32452783300358495</v>
      </c>
      <c r="J64" s="2">
        <v>-0.19885640084006498</v>
      </c>
      <c r="K64" s="2">
        <v>-0.22005760743361835</v>
      </c>
      <c r="L64" s="2">
        <v>-0.14981930622643819</v>
      </c>
      <c r="M64" s="2">
        <v>0.99999999999999933</v>
      </c>
      <c r="N64" s="57"/>
      <c r="O64" s="67"/>
      <c r="Q64" s="51" t="str">
        <f t="shared" ref="Q64:Q70" si="32">A64</f>
        <v>High Yield</v>
      </c>
      <c r="R64" s="72">
        <f>D64</f>
        <v>4.3355375190842801E-2</v>
      </c>
      <c r="S64" s="52">
        <f>B64-D64</f>
        <v>0.17700845932862624</v>
      </c>
      <c r="T64" s="52">
        <f>F64-B64</f>
        <v>0.17661024050426855</v>
      </c>
      <c r="U64" s="52"/>
    </row>
    <row r="65" spans="1:24">
      <c r="A65" s="59" t="str">
        <f t="shared" si="31"/>
        <v>Emerging market debt</v>
      </c>
      <c r="B65" s="117">
        <v>2.6008683487143178E-2</v>
      </c>
      <c r="C65" s="118">
        <v>2.9934406361348948E-2</v>
      </c>
      <c r="D65" s="119">
        <v>1.6234411068552276E-3</v>
      </c>
      <c r="E65" s="117">
        <v>1.614016001213496E-2</v>
      </c>
      <c r="F65" s="120">
        <v>5.6403307961405559E-2</v>
      </c>
      <c r="G65" s="2">
        <v>2.1016822955531901E-2</v>
      </c>
      <c r="H65" s="2">
        <v>-8.1078610275118375E-3</v>
      </c>
      <c r="I65" s="2">
        <v>0.12640507652185085</v>
      </c>
      <c r="J65" s="2">
        <v>1</v>
      </c>
      <c r="K65" s="2">
        <v>-0.19393986665939725</v>
      </c>
      <c r="L65" s="2">
        <v>-0.13805245172917946</v>
      </c>
      <c r="M65" s="2">
        <v>0.99999999999999278</v>
      </c>
      <c r="N65" s="57"/>
      <c r="O65" s="67"/>
      <c r="Q65" s="51" t="str">
        <f t="shared" si="32"/>
        <v>Emerging market debt</v>
      </c>
      <c r="R65" s="72">
        <f t="shared" ref="R65:R70" si="33">D65</f>
        <v>1.6234411068552276E-3</v>
      </c>
      <c r="S65" s="52">
        <f t="shared" ref="S65:S70" si="34">B65-D65</f>
        <v>2.4385242380287948E-2</v>
      </c>
      <c r="T65" s="52">
        <f t="shared" ref="T65:T70" si="35">F65-B65</f>
        <v>3.0394624474262381E-2</v>
      </c>
      <c r="U65" s="52"/>
    </row>
    <row r="66" spans="1:24">
      <c r="A66" s="59" t="str">
        <f t="shared" si="31"/>
        <v>Aandelen ontwikkeld</v>
      </c>
      <c r="B66" s="117">
        <v>6.0165336587169899E-3</v>
      </c>
      <c r="C66" s="118">
        <v>8.2503498609553562E-3</v>
      </c>
      <c r="D66" s="119">
        <v>6.978761811873377E-5</v>
      </c>
      <c r="E66" s="117">
        <v>2.8744390667002117E-3</v>
      </c>
      <c r="F66" s="120">
        <v>1.2418410931663532E-2</v>
      </c>
      <c r="G66" s="2">
        <v>1.9239086039025382E-3</v>
      </c>
      <c r="H66" s="2">
        <v>-7.5436333494217807E-3</v>
      </c>
      <c r="I66" s="2">
        <v>9.9718769175382582E-3</v>
      </c>
      <c r="J66" s="2">
        <v>-1.4044493086405286E-2</v>
      </c>
      <c r="K66" s="2">
        <v>9.8952295125211517E-2</v>
      </c>
      <c r="L66" s="2">
        <v>1</v>
      </c>
      <c r="M66" s="2">
        <v>0.99999999999995515</v>
      </c>
      <c r="N66" s="57"/>
      <c r="O66" s="67"/>
      <c r="Q66" s="51" t="str">
        <f t="shared" si="32"/>
        <v>Aandelen ontwikkeld</v>
      </c>
      <c r="R66" s="72">
        <f t="shared" si="33"/>
        <v>6.978761811873377E-5</v>
      </c>
      <c r="S66" s="52">
        <f t="shared" si="34"/>
        <v>5.9467460405982558E-3</v>
      </c>
      <c r="T66" s="52">
        <f t="shared" si="35"/>
        <v>6.4018772729465424E-3</v>
      </c>
      <c r="U66" s="52"/>
    </row>
    <row r="67" spans="1:24">
      <c r="A67" s="59" t="str">
        <f t="shared" si="31"/>
        <v>Aandelen opkomend</v>
      </c>
      <c r="B67" s="117">
        <v>1.0712049084797474E-2</v>
      </c>
      <c r="C67" s="118">
        <v>1.3885226828974931E-2</v>
      </c>
      <c r="D67" s="119">
        <v>3.0279836896939525E-4</v>
      </c>
      <c r="E67" s="117">
        <v>4.7833087629307941E-3</v>
      </c>
      <c r="F67" s="120">
        <v>1.9943348020885095E-2</v>
      </c>
      <c r="G67" s="2">
        <v>1.2960651272003996E-3</v>
      </c>
      <c r="H67" s="2">
        <v>6.4634780948185689E-4</v>
      </c>
      <c r="I67" s="2">
        <v>1.6451174698494823E-2</v>
      </c>
      <c r="J67" s="2">
        <v>-2.5177751931010611E-2</v>
      </c>
      <c r="K67" s="2">
        <v>1</v>
      </c>
      <c r="L67" s="2">
        <v>-0.26174804903489257</v>
      </c>
      <c r="M67" s="2">
        <v>0.99999999999998257</v>
      </c>
      <c r="N67" s="57"/>
      <c r="O67" s="67"/>
      <c r="Q67" s="51" t="str">
        <f t="shared" si="32"/>
        <v>Aandelen opkomend</v>
      </c>
      <c r="R67" s="72">
        <f t="shared" si="33"/>
        <v>3.0279836896939525E-4</v>
      </c>
      <c r="S67" s="52">
        <f t="shared" si="34"/>
        <v>1.0409250715828079E-2</v>
      </c>
      <c r="T67" s="52">
        <f t="shared" si="35"/>
        <v>9.2312989360876212E-3</v>
      </c>
      <c r="U67" s="52"/>
    </row>
    <row r="68" spans="1:24">
      <c r="A68" s="59" t="str">
        <f t="shared" si="31"/>
        <v>Commodities</v>
      </c>
      <c r="B68" s="117">
        <v>0.21798156759622109</v>
      </c>
      <c r="C68" s="118">
        <v>5.9047367228530455E-2</v>
      </c>
      <c r="D68" s="119">
        <v>0.15832268254647391</v>
      </c>
      <c r="E68" s="117">
        <v>0.21612700938234713</v>
      </c>
      <c r="F68" s="120">
        <v>0.27880991847947834</v>
      </c>
      <c r="G68" s="2">
        <v>-2.6140152761065343E-3</v>
      </c>
      <c r="H68" s="2">
        <v>0.12554097212768361</v>
      </c>
      <c r="I68" s="2">
        <v>1</v>
      </c>
      <c r="J68" s="2">
        <v>-0.35544011348753229</v>
      </c>
      <c r="K68" s="2">
        <v>-0.2457479081228793</v>
      </c>
      <c r="L68" s="2">
        <v>-0.15735968813356943</v>
      </c>
      <c r="M68" s="2">
        <v>1</v>
      </c>
      <c r="N68" s="57"/>
      <c r="O68" s="67"/>
      <c r="Q68" s="51" t="str">
        <f t="shared" si="32"/>
        <v>Commodities</v>
      </c>
      <c r="R68" s="72">
        <f t="shared" si="33"/>
        <v>0.15832268254647391</v>
      </c>
      <c r="S68" s="52">
        <f t="shared" si="34"/>
        <v>5.9658885049747173E-2</v>
      </c>
      <c r="T68" s="52">
        <f t="shared" si="35"/>
        <v>6.0828350883257248E-2</v>
      </c>
      <c r="U68" s="52"/>
    </row>
    <row r="69" spans="1:24">
      <c r="A69" s="59" t="str">
        <f t="shared" si="31"/>
        <v>Hedge funds</v>
      </c>
      <c r="B69" s="117">
        <v>0.13137833219758682</v>
      </c>
      <c r="C69" s="118">
        <v>9.8651619468995505E-2</v>
      </c>
      <c r="D69" s="119">
        <v>2.309553850729194E-2</v>
      </c>
      <c r="E69" s="117">
        <v>0.12378537550170873</v>
      </c>
      <c r="F69" s="120">
        <v>0.2271393615137372</v>
      </c>
      <c r="G69" s="2">
        <v>-3.1228483278762799E-2</v>
      </c>
      <c r="H69" s="2">
        <v>1</v>
      </c>
      <c r="I69" s="2">
        <v>-0.49145913184986079</v>
      </c>
      <c r="J69" s="2">
        <v>-0.18196617107080718</v>
      </c>
      <c r="K69" s="2">
        <v>-0.21645085218491905</v>
      </c>
      <c r="L69" s="2">
        <v>-0.14113820343568337</v>
      </c>
      <c r="M69" s="2">
        <v>0.99999999999999856</v>
      </c>
      <c r="N69" s="57"/>
      <c r="O69" s="67"/>
      <c r="Q69" s="51" t="str">
        <f t="shared" si="32"/>
        <v>Hedge funds</v>
      </c>
      <c r="R69" s="72">
        <f t="shared" si="33"/>
        <v>2.309553850729194E-2</v>
      </c>
      <c r="S69" s="52">
        <f t="shared" si="34"/>
        <v>0.10828279369029488</v>
      </c>
      <c r="T69" s="52">
        <f t="shared" si="35"/>
        <v>9.5761029316150381E-2</v>
      </c>
      <c r="U69" s="52"/>
      <c r="X69" s="51"/>
    </row>
    <row r="70" spans="1:24">
      <c r="A70" s="60" t="str">
        <f t="shared" si="31"/>
        <v>Onroerend goed</v>
      </c>
      <c r="B70" s="121">
        <v>0.38753899945606518</v>
      </c>
      <c r="C70" s="122">
        <v>0.15881498622817453</v>
      </c>
      <c r="D70" s="123">
        <v>0.20828494944200074</v>
      </c>
      <c r="E70" s="121">
        <v>0.38811285122720363</v>
      </c>
      <c r="F70" s="124">
        <v>0.55462037780452644</v>
      </c>
      <c r="G70" s="65">
        <v>1</v>
      </c>
      <c r="H70" s="65">
        <v>-0.5366412193698421</v>
      </c>
      <c r="I70" s="65">
        <v>-0.33684116328443758</v>
      </c>
      <c r="J70" s="65">
        <v>-0.22451506958417425</v>
      </c>
      <c r="K70" s="65">
        <v>-0.22275606072437695</v>
      </c>
      <c r="L70" s="65">
        <v>-0.1518823014401981</v>
      </c>
      <c r="M70" s="65">
        <v>0.99999999999999989</v>
      </c>
      <c r="N70" s="66"/>
      <c r="O70" s="67"/>
      <c r="P70" s="72"/>
      <c r="Q70" s="51" t="str">
        <f t="shared" si="32"/>
        <v>Onroerend goed</v>
      </c>
      <c r="R70" s="72">
        <f t="shared" si="33"/>
        <v>0.20828494944200074</v>
      </c>
      <c r="S70" s="52">
        <f t="shared" si="34"/>
        <v>0.17925405001406444</v>
      </c>
      <c r="T70" s="52">
        <f t="shared" si="35"/>
        <v>0.16708137834846126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6" t="s">
        <v>64</v>
      </c>
      <c r="E72" s="387"/>
      <c r="F72" s="388"/>
      <c r="G72" s="386" t="s">
        <v>65</v>
      </c>
      <c r="H72" s="387"/>
      <c r="I72" s="387"/>
      <c r="J72" s="387"/>
      <c r="K72" s="387"/>
      <c r="L72" s="387"/>
      <c r="M72" s="387"/>
      <c r="N72" s="388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0.67994218395466732</v>
      </c>
      <c r="H73" s="272">
        <v>0.25255855086218382</v>
      </c>
      <c r="I73" s="272">
        <v>3.8707324414591571E-2</v>
      </c>
      <c r="J73" s="272">
        <v>2.3979761293314361E-2</v>
      </c>
      <c r="K73" s="272">
        <v>4.5439194363878777E-3</v>
      </c>
      <c r="L73" s="272">
        <v>2.682600388512757E-4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4.3538404167107352E-2</v>
      </c>
      <c r="C74" s="118">
        <v>3.4074262864063863E-2</v>
      </c>
      <c r="D74" s="119">
        <v>9.3736553429803107E-3</v>
      </c>
      <c r="E74" s="117">
        <v>3.6532638775912701E-2</v>
      </c>
      <c r="F74" s="120">
        <v>7.8232354737023085E-2</v>
      </c>
      <c r="G74" s="2">
        <v>-5.1189930995202859E-2</v>
      </c>
      <c r="H74" s="2">
        <v>8.0186410242324369E-2</v>
      </c>
      <c r="I74" s="2">
        <v>-0.23580755730755026</v>
      </c>
      <c r="J74" s="2">
        <v>1</v>
      </c>
      <c r="K74" s="2">
        <v>-0.16329301388144327</v>
      </c>
      <c r="L74" s="2">
        <v>-0.15769120877782883</v>
      </c>
      <c r="M74" s="2">
        <v>0.99999999999999656</v>
      </c>
      <c r="N74" s="57"/>
      <c r="O74" s="67"/>
      <c r="P74" s="72"/>
      <c r="Q74" s="51" t="str">
        <f t="shared" ref="Q74:Q80" si="37">A74</f>
        <v>High Yield</v>
      </c>
      <c r="R74" s="72">
        <f>D74</f>
        <v>9.3736553429803107E-3</v>
      </c>
      <c r="S74" s="52">
        <f>B74-D74</f>
        <v>3.4164748824127039E-2</v>
      </c>
      <c r="T74" s="52">
        <f>F74-B74</f>
        <v>3.4693950569915734E-2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0.307748177702801</v>
      </c>
      <c r="C75" s="118">
        <v>0.15578997693033575</v>
      </c>
      <c r="D75" s="119">
        <v>0.14520960122687579</v>
      </c>
      <c r="E75" s="117">
        <v>0.30556758039295384</v>
      </c>
      <c r="F75" s="120">
        <v>0.47509105419088626</v>
      </c>
      <c r="G75" s="2">
        <v>1</v>
      </c>
      <c r="H75" s="2">
        <v>-0.32929796324338073</v>
      </c>
      <c r="I75" s="2">
        <v>-0.19534122110838137</v>
      </c>
      <c r="J75" s="2">
        <v>-0.23851303601346902</v>
      </c>
      <c r="K75" s="2">
        <v>-0.20557841727968323</v>
      </c>
      <c r="L75" s="2">
        <v>-0.17146599796081483</v>
      </c>
      <c r="M75" s="2">
        <v>0.99999999999999967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0.14520960122687579</v>
      </c>
      <c r="S75" s="52">
        <f t="shared" ref="S75:S80" si="39">B75-D75</f>
        <v>0.16253857647592521</v>
      </c>
      <c r="T75" s="52">
        <f t="shared" ref="T75:T80" si="40">F75-B75</f>
        <v>0.16734287648808527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2.9593791897633247E-3</v>
      </c>
      <c r="C76" s="118">
        <v>3.5066911438619967E-3</v>
      </c>
      <c r="D76" s="119">
        <v>1.4322402735167318E-4</v>
      </c>
      <c r="E76" s="117">
        <v>1.7298905781286116E-3</v>
      </c>
      <c r="F76" s="120">
        <v>5.9335227923704419E-3</v>
      </c>
      <c r="G76" s="2">
        <v>-1.2988937949824949E-3</v>
      </c>
      <c r="H76" s="2">
        <v>1.6671158827029485E-3</v>
      </c>
      <c r="I76" s="2">
        <v>-6.158672525565078E-3</v>
      </c>
      <c r="J76" s="2">
        <v>-1.3699962473776641E-2</v>
      </c>
      <c r="K76" s="2">
        <v>-1.0400385005493437E-2</v>
      </c>
      <c r="L76" s="2">
        <v>1</v>
      </c>
      <c r="M76" s="2">
        <v>0.99999999999992195</v>
      </c>
      <c r="N76" s="57"/>
      <c r="O76" s="67"/>
      <c r="Q76" s="51" t="str">
        <f t="shared" si="37"/>
        <v>Aandelen ontwikkeld</v>
      </c>
      <c r="R76" s="72">
        <f t="shared" si="38"/>
        <v>1.4322402735167318E-4</v>
      </c>
      <c r="S76" s="52">
        <f t="shared" si="39"/>
        <v>2.8161551624116517E-3</v>
      </c>
      <c r="T76" s="52">
        <f t="shared" si="40"/>
        <v>2.9741436026071173E-3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0.25324180775114491</v>
      </c>
      <c r="C77" s="118">
        <v>0.12575827653518509</v>
      </c>
      <c r="D77" s="119">
        <v>0.11969127116783766</v>
      </c>
      <c r="E77" s="117">
        <v>0.25417313846752371</v>
      </c>
      <c r="F77" s="120">
        <v>0.38490793902153642</v>
      </c>
      <c r="G77" s="2">
        <v>-0.69273909030665837</v>
      </c>
      <c r="H77" s="2">
        <v>-0.74934992713581083</v>
      </c>
      <c r="I77" s="2">
        <v>-0.2786890718764668</v>
      </c>
      <c r="J77" s="2">
        <v>-0.31223472218339804</v>
      </c>
      <c r="K77" s="2">
        <v>-0.22763112192719209</v>
      </c>
      <c r="L77" s="2">
        <v>-0.1742748240772872</v>
      </c>
      <c r="M77" s="2">
        <v>0.99999999999999978</v>
      </c>
      <c r="N77" s="57"/>
      <c r="O77" s="67"/>
      <c r="Q77" s="51" t="str">
        <f t="shared" si="37"/>
        <v>Aandelen opkomend</v>
      </c>
      <c r="R77" s="72">
        <f t="shared" si="38"/>
        <v>0.11969127116783766</v>
      </c>
      <c r="S77" s="52">
        <f t="shared" si="39"/>
        <v>0.13355053658330723</v>
      </c>
      <c r="T77" s="52">
        <f t="shared" si="40"/>
        <v>0.13166613127039151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0.32202393269099339</v>
      </c>
      <c r="C78" s="118">
        <v>9.4378230486923981E-2</v>
      </c>
      <c r="D78" s="119">
        <v>0.2292955949334641</v>
      </c>
      <c r="E78" s="117">
        <v>0.31366032584554943</v>
      </c>
      <c r="F78" s="120">
        <v>0.41238411355616622</v>
      </c>
      <c r="G78" s="2">
        <v>-0.18630815414766941</v>
      </c>
      <c r="H78" s="2">
        <v>1</v>
      </c>
      <c r="I78" s="2">
        <v>-0.2402464806223959</v>
      </c>
      <c r="J78" s="2">
        <v>-0.39209158172957309</v>
      </c>
      <c r="K78" s="2">
        <v>-0.23760441058357301</v>
      </c>
      <c r="L78" s="2">
        <v>-0.17665020338066106</v>
      </c>
      <c r="M78" s="2">
        <v>1</v>
      </c>
      <c r="N78" s="57"/>
      <c r="O78" s="67"/>
      <c r="Q78" s="51" t="str">
        <f t="shared" si="37"/>
        <v>Commodities</v>
      </c>
      <c r="R78" s="72">
        <f t="shared" si="38"/>
        <v>0.2292955949334641</v>
      </c>
      <c r="S78" s="52">
        <f t="shared" si="39"/>
        <v>9.2728337757529283E-2</v>
      </c>
      <c r="T78" s="52">
        <f t="shared" si="40"/>
        <v>9.0360180865172834E-2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5.4344630865567109E-2</v>
      </c>
      <c r="C79" s="118">
        <v>4.1413964769009742E-2</v>
      </c>
      <c r="D79" s="119">
        <v>1.1338267253759967E-2</v>
      </c>
      <c r="E79" s="117">
        <v>4.7785808638599388E-2</v>
      </c>
      <c r="F79" s="120">
        <v>8.972754344699907E-2</v>
      </c>
      <c r="G79" s="2">
        <v>-5.5139481304018204E-2</v>
      </c>
      <c r="H79" s="2">
        <v>-1.354344126061428E-2</v>
      </c>
      <c r="I79" s="2">
        <v>1</v>
      </c>
      <c r="J79" s="2">
        <v>5.762853728694139E-3</v>
      </c>
      <c r="K79" s="2">
        <v>-0.1554926513226122</v>
      </c>
      <c r="L79" s="2">
        <v>-0.16242018345153</v>
      </c>
      <c r="M79" s="2">
        <v>0.99999999999999789</v>
      </c>
      <c r="N79" s="57"/>
      <c r="O79" s="67"/>
      <c r="Q79" s="51" t="str">
        <f t="shared" si="37"/>
        <v>Hedge funds</v>
      </c>
      <c r="R79" s="72">
        <f t="shared" si="38"/>
        <v>1.1338267253759967E-2</v>
      </c>
      <c r="S79" s="52">
        <f t="shared" si="39"/>
        <v>4.3006363611807139E-2</v>
      </c>
      <c r="T79" s="52">
        <f t="shared" si="40"/>
        <v>3.5382912581431961E-2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1.6143667632622861E-2</v>
      </c>
      <c r="C80" s="122">
        <v>1.4412240357748523E-2</v>
      </c>
      <c r="D80" s="123">
        <v>2.7395909062775032E-3</v>
      </c>
      <c r="E80" s="121">
        <v>1.2636680803287836E-2</v>
      </c>
      <c r="F80" s="124">
        <v>3.0038149381233802E-2</v>
      </c>
      <c r="G80" s="65">
        <v>-1.3324449451468583E-2</v>
      </c>
      <c r="H80" s="65">
        <v>1.0337805514778108E-2</v>
      </c>
      <c r="I80" s="65">
        <v>-4.3756996559639494E-2</v>
      </c>
      <c r="J80" s="65">
        <v>-4.9223551328475015E-2</v>
      </c>
      <c r="K80" s="65">
        <v>1</v>
      </c>
      <c r="L80" s="65">
        <v>-0.15749758235180303</v>
      </c>
      <c r="M80" s="65">
        <v>0.99999999999999534</v>
      </c>
      <c r="N80" s="66"/>
      <c r="O80" s="67"/>
      <c r="Q80" s="51" t="str">
        <f t="shared" si="37"/>
        <v>Onroerend goed</v>
      </c>
      <c r="R80" s="72">
        <f t="shared" si="38"/>
        <v>2.7395909062775032E-3</v>
      </c>
      <c r="S80" s="52">
        <f t="shared" si="39"/>
        <v>1.3404076726345358E-2</v>
      </c>
      <c r="T80" s="52">
        <f t="shared" si="40"/>
        <v>1.3894481748610941E-2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165"/>
  <sheetViews>
    <sheetView topLeftCell="A133" zoomScale="85" zoomScaleNormal="85" workbookViewId="0">
      <selection activeCell="H31" sqref="H31:I39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43" t="s">
        <v>115</v>
      </c>
      <c r="C2" s="317" t="s">
        <v>70</v>
      </c>
      <c r="D2" s="306" t="s">
        <v>112</v>
      </c>
      <c r="E2" s="306" t="s">
        <v>144</v>
      </c>
      <c r="F2" s="306" t="s">
        <v>145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44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4.3571419993869868E-2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44" t="s">
        <v>5</v>
      </c>
      <c r="C4" s="318">
        <f>+Scenarios!B25</f>
        <v>3.0000000000000002E-2</v>
      </c>
      <c r="D4" s="85">
        <f>+Scenarios!C25</f>
        <v>1.6179696624993429E-2</v>
      </c>
      <c r="E4" s="85">
        <f>+Scenarios!D25</f>
        <v>-0.11665352984413441</v>
      </c>
      <c r="F4" s="85">
        <f>+Scenarios!E25</f>
        <v>4.4921069366340667E-2</v>
      </c>
      <c r="G4" s="85">
        <f>+Scenarios!F25</f>
        <v>-0.44674311133704736</v>
      </c>
      <c r="H4" s="85">
        <f>+Scenarios!G25</f>
        <v>-0.42626136345704735</v>
      </c>
      <c r="I4" s="85">
        <f>+Scenarios!H25</f>
        <v>0.30725831758561928</v>
      </c>
      <c r="J4" s="318">
        <f>Scenarios!D5</f>
        <v>0.15810707611932825</v>
      </c>
      <c r="L4" s="210"/>
      <c r="M4" s="355"/>
      <c r="N4" s="356"/>
      <c r="O4" s="356"/>
      <c r="P4" s="356"/>
      <c r="Q4" s="356"/>
      <c r="R4" s="356"/>
    </row>
    <row r="5" spans="1:18" ht="15.75">
      <c r="A5" s="210"/>
      <c r="B5" s="344" t="s">
        <v>6</v>
      </c>
      <c r="C5" s="318">
        <f>+Scenarios!B26</f>
        <v>3.1452343984147556E-2</v>
      </c>
      <c r="D5" s="85">
        <f>+Scenarios!C26</f>
        <v>3.7319966148414679E-2</v>
      </c>
      <c r="E5" s="85">
        <f>+Scenarios!D26</f>
        <v>-4.8021188534465672E-2</v>
      </c>
      <c r="F5" s="85">
        <f>+Scenarios!E26</f>
        <v>4.0962979877150092E-2</v>
      </c>
      <c r="G5" s="85">
        <f>+Scenarios!F26</f>
        <v>-0.52419483478596951</v>
      </c>
      <c r="H5" s="85">
        <f>+Scenarios!G26</f>
        <v>-0.34915429717679131</v>
      </c>
      <c r="I5" s="85">
        <f>+Scenarios!H26</f>
        <v>0.25699806235679012</v>
      </c>
      <c r="J5" s="318">
        <f>Scenarios!D6</f>
        <v>0.16193319430872868</v>
      </c>
      <c r="L5" s="210"/>
      <c r="M5" s="353"/>
      <c r="N5" s="338"/>
      <c r="O5" s="338"/>
      <c r="P5" s="338"/>
      <c r="Q5" s="338"/>
      <c r="R5" s="338"/>
    </row>
    <row r="6" spans="1:18" ht="15.75">
      <c r="A6" s="210"/>
      <c r="B6" s="344" t="s">
        <v>7</v>
      </c>
      <c r="C6" s="318">
        <f>+Scenarios!B27</f>
        <v>5.6804592721954011E-2</v>
      </c>
      <c r="D6" s="85">
        <f>+Scenarios!C27</f>
        <v>-2.8962333226624885E-2</v>
      </c>
      <c r="E6" s="85">
        <f>+Scenarios!D27</f>
        <v>-0.23429908700831398</v>
      </c>
      <c r="F6" s="85">
        <f>+Scenarios!E27</f>
        <v>4.3775760455613204E-2</v>
      </c>
      <c r="G6" s="85">
        <f>+Scenarios!F27</f>
        <v>-0.62714186373669567</v>
      </c>
      <c r="H6" s="85">
        <f>+Scenarios!G27</f>
        <v>-0.49529032858854438</v>
      </c>
      <c r="I6" s="85">
        <f>+Scenarios!H27</f>
        <v>0.35646760603468935</v>
      </c>
      <c r="J6" s="318">
        <f>Scenarios!D7</f>
        <v>0.28684488662827246</v>
      </c>
      <c r="L6" s="210"/>
      <c r="M6" s="353"/>
      <c r="N6" s="338"/>
      <c r="O6" s="338"/>
      <c r="P6" s="338"/>
      <c r="Q6" s="338"/>
      <c r="R6" s="338"/>
    </row>
    <row r="7" spans="1:18" ht="15.75">
      <c r="A7" s="210"/>
      <c r="B7" s="344" t="s">
        <v>8</v>
      </c>
      <c r="C7" s="318">
        <f>+Scenarios!B28</f>
        <v>5.6320387554596889E-2</v>
      </c>
      <c r="D7" s="85">
        <f>+Scenarios!C28</f>
        <v>7.3707562081584549E-2</v>
      </c>
      <c r="E7" s="85">
        <f>+Scenarios!D28</f>
        <v>-2.5637735919486003E-2</v>
      </c>
      <c r="F7" s="85">
        <f>+Scenarios!E28</f>
        <v>7.530034800317506E-2</v>
      </c>
      <c r="G7" s="85">
        <f>+Scenarios!F28</f>
        <v>-0.39025793435067591</v>
      </c>
      <c r="H7" s="85">
        <f>+Scenarios!G28</f>
        <v>-0.23400026239464458</v>
      </c>
      <c r="I7" s="85">
        <f>+Scenarios!H28</f>
        <v>0.42609885549762044</v>
      </c>
      <c r="J7" s="318">
        <f>Scenarios!D8</f>
        <v>0.29497711980114533</v>
      </c>
      <c r="L7" s="210"/>
      <c r="M7" s="353"/>
      <c r="N7" s="338"/>
      <c r="O7" s="338"/>
      <c r="P7" s="338"/>
      <c r="Q7" s="338"/>
      <c r="R7" s="338"/>
    </row>
    <row r="8" spans="1:18" ht="15.75">
      <c r="A8" s="210"/>
      <c r="B8" s="344" t="s">
        <v>9</v>
      </c>
      <c r="C8" s="318">
        <f>+Scenarios!B29</f>
        <v>5.236888388126059E-2</v>
      </c>
      <c r="D8" s="85">
        <f>+Scenarios!C29</f>
        <v>8.3002461795964225E-2</v>
      </c>
      <c r="E8" s="85">
        <f>+Scenarios!D29</f>
        <v>1.4659134029297541E-2</v>
      </c>
      <c r="F8" s="85">
        <f>+Scenarios!E29</f>
        <v>9.0021127349297542E-2</v>
      </c>
      <c r="G8" s="85">
        <f>+Scenarios!F29</f>
        <v>-0.52034739633736904</v>
      </c>
      <c r="H8" s="85">
        <f>+Scenarios!G29</f>
        <v>-0.53983753129736911</v>
      </c>
      <c r="I8" s="85">
        <f>+Scenarios!H29</f>
        <v>0.62225820003596433</v>
      </c>
      <c r="J8" s="318">
        <f>Scenarios!D9</f>
        <v>0.32949402218690865</v>
      </c>
      <c r="L8" s="210"/>
      <c r="M8" s="353"/>
      <c r="N8" s="338"/>
      <c r="O8" s="338"/>
      <c r="P8" s="338"/>
      <c r="Q8" s="338"/>
      <c r="R8" s="354"/>
    </row>
    <row r="9" spans="1:18" ht="15.75">
      <c r="A9" s="210"/>
      <c r="B9" s="344" t="s">
        <v>10</v>
      </c>
      <c r="C9" s="318">
        <f>+Scenarios!B30</f>
        <v>2.8306574622560098E-2</v>
      </c>
      <c r="D9" s="85">
        <f>+Scenarios!C30</f>
        <v>1.7150072909239287E-2</v>
      </c>
      <c r="E9" s="85">
        <f>+Scenarios!D30</f>
        <v>-4.9533268420959037E-2</v>
      </c>
      <c r="F9" s="85">
        <f>+Scenarios!E30</f>
        <v>1.7430872722668356E-2</v>
      </c>
      <c r="G9" s="85">
        <f>+Scenarios!F30</f>
        <v>-0.25817556934926228</v>
      </c>
      <c r="H9" s="85">
        <f>+Scenarios!G30</f>
        <v>-8.4113867738416243E-3</v>
      </c>
      <c r="I9" s="85">
        <f>+Scenarios!H30</f>
        <v>0.28088399481325171</v>
      </c>
      <c r="J9" s="318">
        <f>Scenarios!D10</f>
        <v>0.1608611248297202</v>
      </c>
      <c r="L9" s="210"/>
      <c r="M9" s="353"/>
      <c r="N9" s="338"/>
      <c r="O9" s="338"/>
      <c r="P9" s="338"/>
      <c r="Q9" s="338"/>
      <c r="R9" s="354"/>
    </row>
    <row r="10" spans="1:18" ht="15.75">
      <c r="A10" s="210"/>
      <c r="B10" s="345" t="s">
        <v>11</v>
      </c>
      <c r="C10" s="319">
        <f>+Scenarios!B31</f>
        <v>3.9543569652327068E-2</v>
      </c>
      <c r="D10" s="309">
        <f>+Scenarios!C31</f>
        <v>1.1096548394613586E-2</v>
      </c>
      <c r="E10" s="309">
        <f>+Scenarios!D31</f>
        <v>-6.3742580471365828E-2</v>
      </c>
      <c r="F10" s="309">
        <f>+Scenarios!E31</f>
        <v>5.1643285353376429E-2</v>
      </c>
      <c r="G10" s="309">
        <f>+Scenarios!F31</f>
        <v>-0.33711017380255137</v>
      </c>
      <c r="H10" s="309">
        <f>+Scenarios!G31</f>
        <v>-0.18032316202205312</v>
      </c>
      <c r="I10" s="309">
        <f>+Scenarios!H31</f>
        <v>0.39323731385853111</v>
      </c>
      <c r="J10" s="319">
        <f>Scenarios!D11</f>
        <v>0.19933384935580506</v>
      </c>
      <c r="L10" s="210"/>
      <c r="M10" s="353"/>
      <c r="N10" s="338"/>
      <c r="O10" s="338"/>
      <c r="P10" s="338"/>
      <c r="Q10" s="338"/>
      <c r="R10" s="338"/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53"/>
      <c r="N11" s="338"/>
      <c r="O11" s="338"/>
      <c r="P11" s="338"/>
      <c r="Q11" s="338"/>
      <c r="R11" s="354"/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53"/>
      <c r="N12" s="338"/>
      <c r="O12" s="338"/>
      <c r="P12" s="338"/>
      <c r="Q12" s="338"/>
      <c r="R12" s="338"/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3"/>
      <c r="N13" s="338"/>
      <c r="O13" s="338"/>
      <c r="P13" s="338"/>
      <c r="Q13" s="338"/>
      <c r="R13" s="338"/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2.0686312054319547E-2</v>
      </c>
      <c r="E14" s="312">
        <f>+Scenarios!D35</f>
        <v>-1.0971495370588594E-2</v>
      </c>
      <c r="F14" s="312">
        <f>+Scenarios!E35</f>
        <v>2.2879684261693619E-2</v>
      </c>
      <c r="G14" s="312">
        <f>+Scenarios!F35</f>
        <v>-0.19871610370841936</v>
      </c>
      <c r="H14" s="312">
        <f>+Scenarios!G35</f>
        <v>-0.30223000377081116</v>
      </c>
      <c r="I14" s="313">
        <f>+Scenarios!H35</f>
        <v>0.16190003900996486</v>
      </c>
      <c r="J14" s="321">
        <f>+Scenarios!I35</f>
        <v>2.0686312054319547E-2</v>
      </c>
      <c r="L14" s="210"/>
      <c r="M14" s="353"/>
      <c r="N14" s="338"/>
      <c r="O14" s="338"/>
      <c r="P14" s="338"/>
      <c r="Q14" s="338"/>
      <c r="R14" s="338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43" t="s">
        <v>101</v>
      </c>
      <c r="C19" s="317" t="s">
        <v>70</v>
      </c>
      <c r="D19" s="322" t="s">
        <v>112</v>
      </c>
      <c r="E19" s="306" t="s">
        <v>144</v>
      </c>
      <c r="F19" s="306" t="s">
        <v>145</v>
      </c>
      <c r="G19" s="306" t="s">
        <v>113</v>
      </c>
      <c r="H19" s="306" t="s">
        <v>114</v>
      </c>
      <c r="I19" s="307" t="s">
        <v>128</v>
      </c>
      <c r="J19" s="307" t="s">
        <v>143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44" t="s">
        <v>4</v>
      </c>
      <c r="C20" s="318">
        <f>'Samenvatting mixen'!B4</f>
        <v>0.5512692266156487</v>
      </c>
      <c r="D20" s="323">
        <f>'Samenvatting mixen'!B15</f>
        <v>0.61020084060424273</v>
      </c>
      <c r="E20" s="85">
        <f>'Samenvatting mixen'!B26</f>
        <v>0.78024260984548566</v>
      </c>
      <c r="F20" s="85">
        <f>'Samenvatting mixen'!B37</f>
        <v>0.53661853363449552</v>
      </c>
      <c r="G20" s="85">
        <f>'Samenvatting mixen'!B48</f>
        <v>0.99949423566447482</v>
      </c>
      <c r="H20" s="85">
        <f>'Samenvatting mixen'!B59</f>
        <v>0.90972681456083548</v>
      </c>
      <c r="I20" s="308">
        <f>'Samenvatting mixen'!B70</f>
        <v>0.73557991362641273</v>
      </c>
      <c r="J20" s="308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44" t="s">
        <v>5</v>
      </c>
      <c r="C21" s="318">
        <f>'Samenvatting mixen'!B5</f>
        <v>8.5232445036971902E-2</v>
      </c>
      <c r="D21" s="323">
        <f>'Samenvatting mixen'!B16</f>
        <v>1.6790417554989345E-2</v>
      </c>
      <c r="E21" s="85">
        <f>'Samenvatting mixen'!B27</f>
        <v>1.2206505816738985E-3</v>
      </c>
      <c r="F21" s="85">
        <f>'Samenvatting mixen'!B38</f>
        <v>0.20997813017096817</v>
      </c>
      <c r="G21" s="85">
        <f>'Samenvatting mixen'!B49</f>
        <v>6.5333588471213713E-5</v>
      </c>
      <c r="H21" s="85">
        <f>'Samenvatting mixen'!B60</f>
        <v>2.4748560031277798E-4</v>
      </c>
      <c r="I21" s="308">
        <f>'Samenvatting mixen'!B71</f>
        <v>5.9498704443600829E-2</v>
      </c>
      <c r="J21" s="308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44" t="s">
        <v>6</v>
      </c>
      <c r="C22" s="318">
        <f>'Samenvatting mixen'!B6</f>
        <v>8.0268367027102008E-2</v>
      </c>
      <c r="D22" s="323">
        <f>'Samenvatting mixen'!B17</f>
        <v>0.12485976627829061</v>
      </c>
      <c r="E22" s="85">
        <f>'Samenvatting mixen'!B28</f>
        <v>5.0302402230485632E-3</v>
      </c>
      <c r="F22" s="85">
        <f>'Samenvatting mixen'!B39</f>
        <v>5.9117493475879981E-2</v>
      </c>
      <c r="G22" s="85">
        <f>'Samenvatting mixen'!B50</f>
        <v>4.915493711668547E-5</v>
      </c>
      <c r="H22" s="85">
        <f>'Samenvatting mixen'!B61</f>
        <v>3.2895266708489685E-4</v>
      </c>
      <c r="I22" s="308">
        <f>'Samenvatting mixen'!B72</f>
        <v>6.8478674108216333E-3</v>
      </c>
      <c r="J22" s="308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44" t="s">
        <v>7</v>
      </c>
      <c r="C23" s="318">
        <f>'Samenvatting mixen'!B7</f>
        <v>8.7570425942529034E-2</v>
      </c>
      <c r="D23" s="323">
        <f>'Samenvatting mixen'!B18</f>
        <v>1.141251145155782E-3</v>
      </c>
      <c r="E23" s="85">
        <f>'Samenvatting mixen'!B29</f>
        <v>3.0966301363829579E-4</v>
      </c>
      <c r="F23" s="85">
        <f>'Samenvatting mixen'!B40</f>
        <v>3.5044524700723321E-3</v>
      </c>
      <c r="G23" s="85">
        <f>'Samenvatting mixen'!B51</f>
        <v>3.5758978561333201E-5</v>
      </c>
      <c r="H23" s="85">
        <f>'Samenvatting mixen'!B62</f>
        <v>1.4974988703080245E-4</v>
      </c>
      <c r="I23" s="308">
        <f>'Samenvatting mixen'!B73</f>
        <v>1.5758977009635311E-3</v>
      </c>
      <c r="J23" s="308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44" t="s">
        <v>8</v>
      </c>
      <c r="C24" s="318">
        <f>'Samenvatting mixen'!B8</f>
        <v>5.4166890148619418E-2</v>
      </c>
      <c r="D24" s="323">
        <f>'Samenvatting mixen'!B19</f>
        <v>9.593213315633857E-2</v>
      </c>
      <c r="E24" s="85">
        <f>'Samenvatting mixen'!B30</f>
        <v>6.4736050414711714E-3</v>
      </c>
      <c r="F24" s="85">
        <f>'Samenvatting mixen'!B41</f>
        <v>3.2858984790462391E-2</v>
      </c>
      <c r="G24" s="85">
        <f>'Samenvatting mixen'!B52</f>
        <v>7.5914987364965076E-5</v>
      </c>
      <c r="H24" s="85">
        <f>'Samenvatting mixen'!B63</f>
        <v>2.6436406523139147E-4</v>
      </c>
      <c r="I24" s="308">
        <f>'Samenvatting mixen'!B74</f>
        <v>2.806604862180644E-3</v>
      </c>
      <c r="J24" s="308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44" t="s">
        <v>9</v>
      </c>
      <c r="C25" s="318">
        <f>'Samenvatting mixen'!B9</f>
        <v>2.1803470767462647E-2</v>
      </c>
      <c r="D25" s="323">
        <f>'Samenvatting mixen'!B20</f>
        <v>0.12366290830163523</v>
      </c>
      <c r="E25" s="85">
        <f>'Samenvatting mixen'!B31</f>
        <v>0.19970880536599606</v>
      </c>
      <c r="F25" s="85">
        <f>'Samenvatting mixen'!B42</f>
        <v>9.953296552430585E-2</v>
      </c>
      <c r="G25" s="85">
        <f>'Samenvatting mixen'!B53</f>
        <v>4.0683541436063766E-5</v>
      </c>
      <c r="H25" s="85">
        <f>'Samenvatting mixen'!B64</f>
        <v>1.4932922838408236E-4</v>
      </c>
      <c r="I25" s="308">
        <f>'Samenvatting mixen'!B75</f>
        <v>5.7040902152507053E-2</v>
      </c>
      <c r="J25" s="308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44" t="s">
        <v>10</v>
      </c>
      <c r="C26" s="318">
        <f>'Samenvatting mixen'!B10</f>
        <v>5.5785518454464389E-2</v>
      </c>
      <c r="D26" s="323">
        <f>'Samenvatting mixen'!B21</f>
        <v>2.1195997363398451E-2</v>
      </c>
      <c r="E26" s="85">
        <f>'Samenvatting mixen'!B32</f>
        <v>4.5664711891501676E-3</v>
      </c>
      <c r="F26" s="85">
        <f>'Samenvatting mixen'!B43</f>
        <v>9.4109344019044031E-3</v>
      </c>
      <c r="G26" s="85">
        <f>'Samenvatting mixen'!B54</f>
        <v>1.486566718966514E-4</v>
      </c>
      <c r="H26" s="85">
        <f>'Samenvatting mixen'!B65</f>
        <v>8.8459122169668308E-2</v>
      </c>
      <c r="I26" s="308">
        <f>'Samenvatting mixen'!B76</f>
        <v>3.5195301729775579E-2</v>
      </c>
      <c r="J26" s="308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45" t="s">
        <v>11</v>
      </c>
      <c r="C27" s="319">
        <f>'Samenvatting mixen'!B11</f>
        <v>6.3903656007201548E-2</v>
      </c>
      <c r="D27" s="324">
        <f>'Samenvatting mixen'!B22</f>
        <v>6.2166855959489582E-3</v>
      </c>
      <c r="E27" s="309">
        <f>'Samenvatting mixen'!B33</f>
        <v>2.4479547395361923E-3</v>
      </c>
      <c r="F27" s="309">
        <f>'Samenvatting mixen'!B44</f>
        <v>4.8978505531911111E-2</v>
      </c>
      <c r="G27" s="309">
        <f>'Samenvatting mixen'!B55</f>
        <v>9.0261630678616789E-5</v>
      </c>
      <c r="H27" s="309">
        <f>'Samenvatting mixen'!B66</f>
        <v>6.7418182145117969E-4</v>
      </c>
      <c r="I27" s="310">
        <f>'Samenvatting mixen'!B77</f>
        <v>0.10145480807373815</v>
      </c>
      <c r="J27" s="310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343" t="s">
        <v>101</v>
      </c>
      <c r="C31" s="317" t="s">
        <v>70</v>
      </c>
      <c r="D31" s="210"/>
      <c r="E31" s="322" t="s">
        <v>112</v>
      </c>
      <c r="F31" s="317" t="s">
        <v>146</v>
      </c>
      <c r="G31" s="210"/>
      <c r="H31" s="322" t="s">
        <v>145</v>
      </c>
      <c r="I31" s="317" t="s">
        <v>146</v>
      </c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344" t="s">
        <v>4</v>
      </c>
      <c r="C32" s="318">
        <f>'Samenvatting mixen'!B4</f>
        <v>0.5512692266156487</v>
      </c>
      <c r="D32" s="210"/>
      <c r="E32" s="323">
        <f>'Samenvatting mixen'!B15</f>
        <v>0.61020084060424273</v>
      </c>
      <c r="F32" s="318">
        <f>E32-C32</f>
        <v>5.8931613988594034E-2</v>
      </c>
      <c r="G32" s="210"/>
      <c r="H32" s="323">
        <f>'Samenvatting mixen'!B37</f>
        <v>0.53661853363449552</v>
      </c>
      <c r="I32" s="318">
        <f>H32-C32</f>
        <v>-1.4650692981153179E-2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344" t="s">
        <v>5</v>
      </c>
      <c r="C33" s="318">
        <f>'Samenvatting mixen'!B5</f>
        <v>8.5232445036971902E-2</v>
      </c>
      <c r="D33" s="210"/>
      <c r="E33" s="323">
        <f>'Samenvatting mixen'!B16</f>
        <v>1.6790417554989345E-2</v>
      </c>
      <c r="F33" s="318">
        <f t="shared" ref="F33:F39" si="0">E33-C33</f>
        <v>-6.8442027481982554E-2</v>
      </c>
      <c r="G33" s="210"/>
      <c r="H33" s="323">
        <f>'Samenvatting mixen'!B38</f>
        <v>0.20997813017096817</v>
      </c>
      <c r="I33" s="318">
        <f t="shared" ref="I33:I39" si="1">H33-C33</f>
        <v>0.12474568513399627</v>
      </c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344" t="s">
        <v>6</v>
      </c>
      <c r="C34" s="318">
        <f>'Samenvatting mixen'!B6</f>
        <v>8.0268367027102008E-2</v>
      </c>
      <c r="D34" s="210"/>
      <c r="E34" s="323">
        <f>'Samenvatting mixen'!B17</f>
        <v>0.12485976627829061</v>
      </c>
      <c r="F34" s="318">
        <f t="shared" si="0"/>
        <v>4.4591399251188601E-2</v>
      </c>
      <c r="G34" s="210"/>
      <c r="H34" s="323">
        <f>'Samenvatting mixen'!B39</f>
        <v>5.9117493475879981E-2</v>
      </c>
      <c r="I34" s="318">
        <f t="shared" si="1"/>
        <v>-2.1150873551222027E-2</v>
      </c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44" t="s">
        <v>7</v>
      </c>
      <c r="C35" s="318">
        <f>'Samenvatting mixen'!B7</f>
        <v>8.7570425942529034E-2</v>
      </c>
      <c r="D35" s="210"/>
      <c r="E35" s="323">
        <f>'Samenvatting mixen'!B18</f>
        <v>1.141251145155782E-3</v>
      </c>
      <c r="F35" s="318">
        <f t="shared" si="0"/>
        <v>-8.6429174797373248E-2</v>
      </c>
      <c r="G35" s="210"/>
      <c r="H35" s="323">
        <f>'Samenvatting mixen'!B40</f>
        <v>3.5044524700723321E-3</v>
      </c>
      <c r="I35" s="318">
        <f t="shared" si="1"/>
        <v>-8.4065973472456701E-2</v>
      </c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44" t="s">
        <v>8</v>
      </c>
      <c r="C36" s="318">
        <f>'Samenvatting mixen'!B8</f>
        <v>5.4166890148619418E-2</v>
      </c>
      <c r="D36" s="210"/>
      <c r="E36" s="323">
        <f>'Samenvatting mixen'!B19</f>
        <v>9.593213315633857E-2</v>
      </c>
      <c r="F36" s="318">
        <f t="shared" si="0"/>
        <v>4.1765243007719152E-2</v>
      </c>
      <c r="G36" s="210"/>
      <c r="H36" s="323">
        <f>'Samenvatting mixen'!B41</f>
        <v>3.2858984790462391E-2</v>
      </c>
      <c r="I36" s="318">
        <f t="shared" si="1"/>
        <v>-2.1307905358157027E-2</v>
      </c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44" t="s">
        <v>9</v>
      </c>
      <c r="C37" s="318">
        <f>'Samenvatting mixen'!B9</f>
        <v>2.1803470767462647E-2</v>
      </c>
      <c r="D37" s="210"/>
      <c r="E37" s="323">
        <f>'Samenvatting mixen'!B20</f>
        <v>0.12366290830163523</v>
      </c>
      <c r="F37" s="318">
        <f t="shared" si="0"/>
        <v>0.10185943753417259</v>
      </c>
      <c r="G37" s="210"/>
      <c r="H37" s="323">
        <f>'Samenvatting mixen'!B42</f>
        <v>9.953296552430585E-2</v>
      </c>
      <c r="I37" s="318">
        <f t="shared" si="1"/>
        <v>7.7729494756843209E-2</v>
      </c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44" t="s">
        <v>10</v>
      </c>
      <c r="C38" s="318">
        <f>'Samenvatting mixen'!B10</f>
        <v>5.5785518454464389E-2</v>
      </c>
      <c r="D38" s="210"/>
      <c r="E38" s="323">
        <f>'Samenvatting mixen'!B21</f>
        <v>2.1195997363398451E-2</v>
      </c>
      <c r="F38" s="318">
        <f t="shared" si="0"/>
        <v>-3.4589521091065938E-2</v>
      </c>
      <c r="G38" s="210"/>
      <c r="H38" s="323">
        <f>'Samenvatting mixen'!B43</f>
        <v>9.4109344019044031E-3</v>
      </c>
      <c r="I38" s="318">
        <f t="shared" si="1"/>
        <v>-4.6374584052559988E-2</v>
      </c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45" t="s">
        <v>11</v>
      </c>
      <c r="C39" s="319">
        <f>'Samenvatting mixen'!B11</f>
        <v>6.3903656007201548E-2</v>
      </c>
      <c r="D39" s="210"/>
      <c r="E39" s="324">
        <f>'Samenvatting mixen'!B22</f>
        <v>6.2166855959489582E-3</v>
      </c>
      <c r="F39" s="319">
        <f t="shared" si="0"/>
        <v>-5.7686970411252592E-2</v>
      </c>
      <c r="G39" s="210"/>
      <c r="H39" s="324">
        <f>'Samenvatting mixen'!B44</f>
        <v>4.8978505531911111E-2</v>
      </c>
      <c r="I39" s="319">
        <f t="shared" si="1"/>
        <v>-1.4925150475290437E-2</v>
      </c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O44" s="210"/>
      <c r="P44" s="210"/>
      <c r="Q44" s="210"/>
      <c r="R44" s="210"/>
    </row>
    <row r="45" spans="1:18">
      <c r="O45" s="210"/>
      <c r="P45" s="210"/>
      <c r="Q45" s="210"/>
      <c r="R45" s="210"/>
    </row>
    <row r="46" spans="1:18">
      <c r="O46" s="210"/>
      <c r="P46" s="210"/>
      <c r="Q46" s="210"/>
      <c r="R46" s="210"/>
    </row>
    <row r="47" spans="1:18">
      <c r="O47" s="210"/>
      <c r="P47" s="210"/>
      <c r="Q47" s="210"/>
      <c r="R47" s="210"/>
    </row>
    <row r="48" spans="1:18">
      <c r="O48" s="210"/>
      <c r="P48" s="210"/>
      <c r="Q48" s="210"/>
      <c r="R48" s="210"/>
    </row>
    <row r="49" spans="15:18">
      <c r="O49" s="210"/>
      <c r="P49" s="210"/>
      <c r="Q49" s="210"/>
      <c r="R49" s="210"/>
    </row>
    <row r="50" spans="15:18">
      <c r="O50" s="210"/>
      <c r="P50" s="210"/>
      <c r="Q50" s="210"/>
      <c r="R50" s="210"/>
    </row>
    <row r="51" spans="15:18">
      <c r="O51" s="210"/>
      <c r="P51" s="210"/>
      <c r="Q51" s="210"/>
      <c r="R51" s="210"/>
    </row>
    <row r="52" spans="15:18">
      <c r="O52" s="210"/>
      <c r="P52" s="210"/>
      <c r="Q52" s="210"/>
      <c r="R52" s="210"/>
    </row>
    <row r="53" spans="15:18">
      <c r="O53" s="210"/>
      <c r="P53" s="210"/>
      <c r="Q53" s="210"/>
      <c r="R53" s="210"/>
    </row>
    <row r="54" spans="15:18">
      <c r="O54" s="210"/>
      <c r="P54" s="210"/>
      <c r="Q54" s="210"/>
      <c r="R54" s="210"/>
    </row>
    <row r="55" spans="15:18">
      <c r="O55" s="210"/>
      <c r="P55" s="210"/>
      <c r="Q55" s="210"/>
      <c r="R55" s="210"/>
    </row>
    <row r="56" spans="15:18">
      <c r="O56" s="210"/>
      <c r="P56" s="210"/>
      <c r="Q56" s="210"/>
      <c r="R56" s="210"/>
    </row>
    <row r="57" spans="15:18">
      <c r="O57" s="210"/>
      <c r="P57" s="210"/>
      <c r="Q57" s="210"/>
      <c r="R57" s="210"/>
    </row>
    <row r="58" spans="15:18">
      <c r="O58" s="210"/>
      <c r="P58" s="210"/>
      <c r="Q58" s="210"/>
      <c r="R58" s="210"/>
    </row>
    <row r="59" spans="15:18">
      <c r="O59" s="210"/>
      <c r="P59" s="210"/>
      <c r="Q59" s="210"/>
      <c r="R59" s="210"/>
    </row>
    <row r="60" spans="15:18">
      <c r="O60" s="210"/>
      <c r="P60" s="210"/>
      <c r="Q60" s="210"/>
      <c r="R60" s="210"/>
    </row>
    <row r="61" spans="15:18">
      <c r="O61" s="210"/>
      <c r="P61" s="210"/>
      <c r="Q61" s="210"/>
      <c r="R61" s="210"/>
    </row>
    <row r="62" spans="15:18">
      <c r="O62" s="210"/>
      <c r="P62" s="210"/>
      <c r="Q62" s="210"/>
      <c r="R62" s="210"/>
    </row>
    <row r="63" spans="15:18">
      <c r="O63" s="210"/>
      <c r="P63" s="210"/>
      <c r="Q63" s="210"/>
      <c r="R63" s="210"/>
    </row>
    <row r="64" spans="15:18">
      <c r="O64" s="210"/>
      <c r="P64" s="210"/>
      <c r="Q64" s="210"/>
      <c r="R64" s="210"/>
    </row>
    <row r="129" spans="2:15"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</row>
    <row r="130" spans="2:15"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</row>
    <row r="131" spans="2:15"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</row>
    <row r="132" spans="2:15"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</row>
    <row r="133" spans="2:15">
      <c r="B133" s="210"/>
      <c r="C133" s="210"/>
      <c r="D133" s="389" t="s">
        <v>133</v>
      </c>
      <c r="E133" s="390"/>
      <c r="F133" s="389" t="s">
        <v>132</v>
      </c>
      <c r="G133" s="390"/>
      <c r="H133" s="390"/>
      <c r="I133" s="391"/>
      <c r="J133" s="210"/>
      <c r="L133" s="210"/>
      <c r="M133" s="210"/>
      <c r="N133" s="210"/>
      <c r="O133" s="210"/>
    </row>
    <row r="134" spans="2:15" ht="51.75">
      <c r="B134" s="210"/>
      <c r="C134" s="314"/>
      <c r="D134" s="328" t="s">
        <v>134</v>
      </c>
      <c r="E134" s="329" t="s">
        <v>135</v>
      </c>
      <c r="F134" s="329"/>
      <c r="G134" s="329"/>
      <c r="H134" s="328" t="s">
        <v>137</v>
      </c>
      <c r="I134" s="329" t="s">
        <v>136</v>
      </c>
      <c r="J134" s="307" t="s">
        <v>138</v>
      </c>
      <c r="K134" s="336" t="s">
        <v>139</v>
      </c>
      <c r="L134" s="336" t="s">
        <v>140</v>
      </c>
      <c r="M134" s="210"/>
      <c r="N134" s="210"/>
      <c r="O134" s="210"/>
    </row>
    <row r="135" spans="2:15">
      <c r="B135" s="210"/>
      <c r="C135" s="315" t="s">
        <v>4</v>
      </c>
      <c r="D135" s="337">
        <v>4.4499999999999998E-2</v>
      </c>
      <c r="E135" s="337">
        <v>9.3000000000000096E-3</v>
      </c>
      <c r="F135" s="85"/>
      <c r="G135" s="85"/>
      <c r="H135" s="337">
        <v>-8.7300000000000003E-2</v>
      </c>
      <c r="I135" s="337">
        <f>+Scenarios!C24</f>
        <v>-3.2445168309994665E-3</v>
      </c>
      <c r="J135" s="339">
        <v>0.1023</v>
      </c>
      <c r="K135" s="340">
        <f t="shared" ref="K135:K142" si="2">+H135/J135</f>
        <v>-0.85337243401759533</v>
      </c>
      <c r="L135" s="331">
        <f t="shared" ref="L135:L142" si="3">+I135/J135</f>
        <v>-3.1715707047893123E-2</v>
      </c>
      <c r="M135" s="210"/>
      <c r="N135" s="210"/>
      <c r="O135" s="210"/>
    </row>
    <row r="136" spans="2:15">
      <c r="B136" s="210"/>
      <c r="C136" s="315" t="s">
        <v>5</v>
      </c>
      <c r="D136" s="318">
        <v>8.5371817899603325E-2</v>
      </c>
      <c r="E136" s="318">
        <v>5.6265360838678849E-2</v>
      </c>
      <c r="F136" s="85"/>
      <c r="G136" s="85"/>
      <c r="H136" s="318">
        <v>-4.6468851830414513E-2</v>
      </c>
      <c r="I136" s="318">
        <f>+Scenarios!C25</f>
        <v>1.6179696624993429E-2</v>
      </c>
      <c r="J136" s="318">
        <f t="shared" ref="J136:J142" si="4">+J4</f>
        <v>0.15810707611932825</v>
      </c>
      <c r="K136" s="341">
        <f t="shared" si="2"/>
        <v>-0.29390747695152525</v>
      </c>
      <c r="L136" s="331">
        <f t="shared" si="3"/>
        <v>0.10233379189671508</v>
      </c>
      <c r="M136" s="210"/>
      <c r="N136" s="210"/>
      <c r="O136" s="210"/>
    </row>
    <row r="137" spans="2:15">
      <c r="B137" s="210"/>
      <c r="C137" s="315" t="s">
        <v>6</v>
      </c>
      <c r="D137" s="318">
        <v>0.14294511515742836</v>
      </c>
      <c r="E137" s="318">
        <v>4.8236186870114238E-2</v>
      </c>
      <c r="F137" s="85"/>
      <c r="G137" s="85"/>
      <c r="H137" s="318">
        <v>1.1104445427410514E-2</v>
      </c>
      <c r="I137" s="318">
        <f>+Scenarios!C26</f>
        <v>3.7319966148414679E-2</v>
      </c>
      <c r="J137" s="318">
        <f t="shared" si="4"/>
        <v>0.16193319430872868</v>
      </c>
      <c r="K137" s="341">
        <f t="shared" si="2"/>
        <v>6.857423812834619E-2</v>
      </c>
      <c r="L137" s="331">
        <f>+I137/J137</f>
        <v>0.23046520083623781</v>
      </c>
      <c r="M137" s="210"/>
      <c r="N137" s="210"/>
      <c r="O137" s="210"/>
    </row>
    <row r="138" spans="2:15">
      <c r="B138" s="210"/>
      <c r="C138" s="315" t="s">
        <v>7</v>
      </c>
      <c r="D138" s="318">
        <v>7.3688794074914882E-2</v>
      </c>
      <c r="E138" s="318">
        <v>4.4755655663184818E-2</v>
      </c>
      <c r="F138" s="85"/>
      <c r="G138" s="85"/>
      <c r="H138" s="318">
        <v>-5.8151875655102964E-2</v>
      </c>
      <c r="I138" s="318">
        <f>+Scenarios!C27</f>
        <v>-2.8962333226624885E-2</v>
      </c>
      <c r="J138" s="318">
        <f t="shared" si="4"/>
        <v>0.28684488662827246</v>
      </c>
      <c r="K138" s="341">
        <f t="shared" si="2"/>
        <v>-0.20272934385775906</v>
      </c>
      <c r="L138" s="331">
        <f>+I138/J138</f>
        <v>-0.10096862303199326</v>
      </c>
      <c r="M138" s="210"/>
      <c r="N138" s="210"/>
      <c r="O138" s="210"/>
    </row>
    <row r="139" spans="2:15">
      <c r="B139" s="210"/>
      <c r="C139" s="315" t="s">
        <v>8</v>
      </c>
      <c r="D139" s="318">
        <v>8.8200075364801303E-2</v>
      </c>
      <c r="E139" s="318">
        <v>0.11547766137672615</v>
      </c>
      <c r="F139" s="85"/>
      <c r="G139" s="85"/>
      <c r="H139" s="318">
        <v>-4.3640594365216501E-2</v>
      </c>
      <c r="I139" s="318">
        <f>+Scenarios!C28</f>
        <v>7.3707562081584549E-2</v>
      </c>
      <c r="J139" s="318">
        <f t="shared" si="4"/>
        <v>0.29497711980114533</v>
      </c>
      <c r="K139" s="341">
        <f t="shared" si="2"/>
        <v>-0.14794569285453799</v>
      </c>
      <c r="L139" s="331">
        <f t="shared" si="3"/>
        <v>0.24987552299403243</v>
      </c>
      <c r="M139" s="210"/>
      <c r="N139" s="210"/>
      <c r="O139" s="210"/>
    </row>
    <row r="140" spans="2:15">
      <c r="C140" s="315" t="s">
        <v>9</v>
      </c>
      <c r="D140" s="318">
        <v>9.6125190679341666E-2</v>
      </c>
      <c r="E140" s="318">
        <v>8.8245130245983364E-2</v>
      </c>
      <c r="F140" s="85"/>
      <c r="G140" s="85"/>
      <c r="H140" s="318">
        <v>-3.571547905067618E-2</v>
      </c>
      <c r="I140" s="318">
        <f>+Scenarios!C29</f>
        <v>8.3002461795964225E-2</v>
      </c>
      <c r="J140" s="318">
        <f t="shared" si="4"/>
        <v>0.32949402218690865</v>
      </c>
      <c r="K140" s="341">
        <f t="shared" si="2"/>
        <v>-0.10839492265633952</v>
      </c>
      <c r="L140" s="331">
        <f t="shared" si="3"/>
        <v>0.25190885481036218</v>
      </c>
      <c r="M140" s="210"/>
      <c r="N140" s="210"/>
      <c r="O140" s="210"/>
    </row>
    <row r="141" spans="2:15">
      <c r="C141" s="315" t="s">
        <v>10</v>
      </c>
      <c r="D141" s="318">
        <v>6.2658557549145399E-2</v>
      </c>
      <c r="E141" s="318">
        <v>3.2952299000522406E-2</v>
      </c>
      <c r="F141" s="85"/>
      <c r="G141" s="85"/>
      <c r="H141" s="318">
        <v>-6.9182112180872446E-2</v>
      </c>
      <c r="I141" s="318">
        <f>+Scenarios!C30</f>
        <v>1.7150072909239287E-2</v>
      </c>
      <c r="J141" s="318">
        <f t="shared" si="4"/>
        <v>0.1608611248297202</v>
      </c>
      <c r="K141" s="341">
        <f t="shared" si="2"/>
        <v>-0.43007353239699947</v>
      </c>
      <c r="L141" s="331">
        <f t="shared" si="3"/>
        <v>0.10661415508186657</v>
      </c>
      <c r="M141" s="210"/>
      <c r="N141" s="210"/>
      <c r="O141" s="210"/>
    </row>
    <row r="142" spans="2:15">
      <c r="C142" s="316" t="s">
        <v>11</v>
      </c>
      <c r="D142" s="319">
        <v>7.3464510927495008E-2</v>
      </c>
      <c r="E142" s="319">
        <v>3.9406691481015818E-2</v>
      </c>
      <c r="F142" s="309"/>
      <c r="G142" s="309"/>
      <c r="H142" s="319">
        <v>-5.8376158802522837E-2</v>
      </c>
      <c r="I142" s="319">
        <f>+Scenarios!C31</f>
        <v>1.1096548394613586E-2</v>
      </c>
      <c r="J142" s="319">
        <f t="shared" si="4"/>
        <v>0.19933384935580506</v>
      </c>
      <c r="K142" s="342">
        <f t="shared" si="2"/>
        <v>-0.2928562258300802</v>
      </c>
      <c r="L142" s="334">
        <f t="shared" si="3"/>
        <v>5.566815887253837E-2</v>
      </c>
      <c r="M142" s="210"/>
      <c r="N142" s="210"/>
      <c r="O142" s="210"/>
    </row>
    <row r="143" spans="2:15">
      <c r="C143" s="84"/>
      <c r="D143" s="84"/>
      <c r="E143" s="84"/>
      <c r="F143" s="98"/>
      <c r="G143" s="98"/>
      <c r="H143" s="84"/>
      <c r="I143" s="84"/>
      <c r="J143" s="84"/>
      <c r="K143" s="84"/>
      <c r="L143" s="210"/>
      <c r="M143" s="210"/>
      <c r="N143" s="210"/>
      <c r="O143" s="210"/>
    </row>
    <row r="144" spans="2:15"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</row>
    <row r="145" spans="3:15"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</row>
    <row r="146" spans="3:15"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</row>
    <row r="147" spans="3:15"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</row>
    <row r="148" spans="3:15"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</row>
    <row r="149" spans="3:15"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</row>
    <row r="150" spans="3:15"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</row>
    <row r="151" spans="3:15"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</row>
    <row r="152" spans="3:15"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</row>
    <row r="153" spans="3:15"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</row>
    <row r="154" spans="3:15"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</row>
    <row r="155" spans="3:15"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</row>
    <row r="156" spans="3:15"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</row>
    <row r="157" spans="3:15"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</row>
    <row r="158" spans="3:15"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</row>
    <row r="159" spans="3:15"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</row>
    <row r="160" spans="3:15"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</row>
    <row r="161" spans="3:14"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</row>
    <row r="162" spans="3:14"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</row>
    <row r="163" spans="3:14"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</row>
    <row r="164" spans="3:14">
      <c r="K164" s="332"/>
      <c r="L164" s="210"/>
      <c r="N164" s="210"/>
    </row>
    <row r="165" spans="3:14">
      <c r="K165" s="332"/>
      <c r="L165" s="210"/>
    </row>
  </sheetData>
  <mergeCells count="2">
    <mergeCell ref="D133:E133"/>
    <mergeCell ref="F133:I1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9:I19"/>
  <sheetViews>
    <sheetView tabSelected="1" workbookViewId="0">
      <selection activeCell="Y22" sqref="Y22"/>
    </sheetView>
  </sheetViews>
  <sheetFormatPr defaultRowHeight="15"/>
  <cols>
    <col min="1" max="1" width="20.85546875" style="75" bestFit="1" customWidth="1"/>
    <col min="2" max="2" width="9.85546875" style="75" customWidth="1"/>
    <col min="3" max="3" width="12" style="75" customWidth="1"/>
    <col min="4" max="16384" width="9.140625" style="75"/>
  </cols>
  <sheetData>
    <row r="9" spans="1:9">
      <c r="A9" s="314" t="s">
        <v>131</v>
      </c>
      <c r="B9" s="317" t="s">
        <v>70</v>
      </c>
      <c r="C9" s="317" t="s">
        <v>112</v>
      </c>
      <c r="E9" s="317" t="s">
        <v>148</v>
      </c>
      <c r="F9" s="317"/>
      <c r="H9" s="317" t="s">
        <v>112</v>
      </c>
      <c r="I9" s="317"/>
    </row>
    <row r="10" spans="1:9">
      <c r="A10" s="357" t="str">
        <f>'Control panel'!A3</f>
        <v>Nominale matching</v>
      </c>
      <c r="B10" s="359">
        <v>1.4756554714979015E-2</v>
      </c>
      <c r="C10" s="359">
        <v>1.6116830572092754E-2</v>
      </c>
      <c r="E10" s="365">
        <v>0</v>
      </c>
      <c r="F10" s="362">
        <f>B10</f>
        <v>1.4756554714979015E-2</v>
      </c>
      <c r="H10" s="365">
        <v>0</v>
      </c>
      <c r="I10" s="362">
        <f>C10</f>
        <v>1.6116830572092754E-2</v>
      </c>
    </row>
    <row r="11" spans="1:9">
      <c r="A11" s="357" t="str">
        <f>'Control panel'!A4</f>
        <v>High Yield</v>
      </c>
      <c r="B11" s="359">
        <v>1.4212854294443212E-2</v>
      </c>
      <c r="C11" s="359">
        <v>2.3062985307763092E-3</v>
      </c>
      <c r="E11" s="366">
        <f>E10+F10</f>
        <v>1.4756554714979015E-2</v>
      </c>
      <c r="F11" s="363">
        <f t="shared" ref="F11:F17" si="0">B11</f>
        <v>1.4212854294443212E-2</v>
      </c>
      <c r="H11" s="366">
        <f>H10+I10</f>
        <v>1.6116830572092754E-2</v>
      </c>
      <c r="I11" s="363">
        <f t="shared" ref="I11:I17" si="1">C11</f>
        <v>2.3062985307763092E-3</v>
      </c>
    </row>
    <row r="12" spans="1:9">
      <c r="A12" s="357" t="str">
        <f>'Control panel'!A5</f>
        <v>Emerging market debt</v>
      </c>
      <c r="B12" s="359">
        <v>1.4438415379559985E-2</v>
      </c>
      <c r="C12" s="359">
        <v>1.8149729837182004E-2</v>
      </c>
      <c r="E12" s="366">
        <f t="shared" ref="E12:E17" si="2">E11+F11</f>
        <v>2.8969409009422228E-2</v>
      </c>
      <c r="F12" s="363">
        <f t="shared" si="0"/>
        <v>1.4438415379559985E-2</v>
      </c>
      <c r="H12" s="366">
        <f t="shared" ref="H12:H17" si="3">H11+I11</f>
        <v>1.8423129102869064E-2</v>
      </c>
      <c r="I12" s="363">
        <f t="shared" si="1"/>
        <v>1.8149729837182004E-2</v>
      </c>
    </row>
    <row r="13" spans="1:9">
      <c r="A13" s="357" t="str">
        <f>'Control panel'!A6</f>
        <v>Aandelen ontwikkeld</v>
      </c>
      <c r="B13" s="359">
        <v>2.6178530363036752E-2</v>
      </c>
      <c r="C13" s="359">
        <v>2.64589313893338E-4</v>
      </c>
      <c r="E13" s="366">
        <f t="shared" si="2"/>
        <v>4.3407824388982212E-2</v>
      </c>
      <c r="F13" s="363">
        <f t="shared" si="0"/>
        <v>2.6178530363036752E-2</v>
      </c>
      <c r="H13" s="366">
        <f t="shared" si="3"/>
        <v>3.6572858940051065E-2</v>
      </c>
      <c r="I13" s="363">
        <f t="shared" si="1"/>
        <v>2.64589313893338E-4</v>
      </c>
    </row>
    <row r="14" spans="1:9">
      <c r="A14" s="357" t="str">
        <f>'Control panel'!A7</f>
        <v>Aandelen opkomend</v>
      </c>
      <c r="B14" s="359">
        <v>1.2885940533325082E-2</v>
      </c>
      <c r="C14" s="359">
        <v>2.4025581299117308E-2</v>
      </c>
      <c r="E14" s="366">
        <f t="shared" si="2"/>
        <v>6.9586354752018964E-2</v>
      </c>
      <c r="F14" s="363">
        <f t="shared" si="0"/>
        <v>1.2885940533325082E-2</v>
      </c>
      <c r="H14" s="366">
        <f t="shared" si="3"/>
        <v>3.6837448253944402E-2</v>
      </c>
      <c r="I14" s="363">
        <f t="shared" si="1"/>
        <v>2.4025581299117308E-2</v>
      </c>
    </row>
    <row r="15" spans="1:9">
      <c r="A15" s="357" t="str">
        <f>'Control panel'!A8</f>
        <v>Commodities</v>
      </c>
      <c r="B15" s="359">
        <v>4.6353992557141592E-3</v>
      </c>
      <c r="C15" s="359">
        <v>3.4221796175204058E-2</v>
      </c>
      <c r="E15" s="366">
        <f t="shared" si="2"/>
        <v>8.2472295285344041E-2</v>
      </c>
      <c r="F15" s="363">
        <f t="shared" si="0"/>
        <v>4.6353992557141592E-3</v>
      </c>
      <c r="H15" s="366">
        <f t="shared" si="3"/>
        <v>6.0863029553061707E-2</v>
      </c>
      <c r="I15" s="363">
        <f t="shared" si="1"/>
        <v>3.4221796175204058E-2</v>
      </c>
    </row>
    <row r="16" spans="1:9">
      <c r="A16" s="357" t="str">
        <f>'Control panel'!A9</f>
        <v>Hedge funds</v>
      </c>
      <c r="B16" s="359">
        <v>4.3180826561846995E-3</v>
      </c>
      <c r="C16" s="359">
        <v>2.7275787712617077E-3</v>
      </c>
      <c r="E16" s="366">
        <f t="shared" si="2"/>
        <v>8.7107694541058198E-2</v>
      </c>
      <c r="F16" s="363">
        <f t="shared" si="0"/>
        <v>4.3180826561846995E-3</v>
      </c>
      <c r="H16" s="366">
        <f t="shared" si="3"/>
        <v>9.5084825728265765E-2</v>
      </c>
      <c r="I16" s="363">
        <f t="shared" si="1"/>
        <v>2.7275787712617077E-3</v>
      </c>
    </row>
    <row r="17" spans="1:9">
      <c r="A17" s="358" t="str">
        <f>'Control panel'!A10</f>
        <v>Onroerend goed</v>
      </c>
      <c r="B17" s="360">
        <v>8.4910307979983776E-3</v>
      </c>
      <c r="C17" s="360">
        <v>1.0585154592071815E-3</v>
      </c>
      <c r="E17" s="367">
        <f t="shared" si="2"/>
        <v>9.1425777197242902E-2</v>
      </c>
      <c r="F17" s="364">
        <f t="shared" si="0"/>
        <v>8.4910307979983776E-3</v>
      </c>
      <c r="H17" s="367">
        <f t="shared" si="3"/>
        <v>9.7812404499527467E-2</v>
      </c>
      <c r="I17" s="364">
        <f t="shared" si="1"/>
        <v>1.0585154592071815E-3</v>
      </c>
    </row>
    <row r="19" spans="1:9">
      <c r="B19" s="361">
        <f>SUM(B10:B17)</f>
        <v>9.9916807995241275E-2</v>
      </c>
      <c r="C19" s="361">
        <f>SUM(C10:C17)</f>
        <v>9.8870919958734649E-2</v>
      </c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extra analyze</vt:lpstr>
      <vt:lpstr>Sheet2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2013-04-04T07:18:34Z</dcterms:modified>
</cp:coreProperties>
</file>