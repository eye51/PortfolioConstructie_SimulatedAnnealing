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8655" yWindow="-15" windowWidth="8670" windowHeight="11880" activeTab="2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ingle aandelen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70" i="11"/>
  <c r="C69"/>
  <c r="C68"/>
  <c r="C67"/>
  <c r="C66"/>
  <c r="C65"/>
  <c r="C64"/>
  <c r="E63"/>
  <c r="C63"/>
  <c r="F63"/>
  <c r="C10"/>
  <c r="C9"/>
  <c r="C8"/>
  <c r="C7"/>
  <c r="C6"/>
  <c r="C5"/>
  <c r="C4"/>
  <c r="C3"/>
  <c r="D24"/>
  <c r="D50"/>
  <c r="C47"/>
  <c r="C48"/>
  <c r="C49"/>
  <c r="C50"/>
  <c r="C51"/>
  <c r="C52"/>
  <c r="C53"/>
  <c r="C46"/>
  <c r="C21"/>
  <c r="C35"/>
  <c r="C22"/>
  <c r="C36"/>
  <c r="C23"/>
  <c r="C37"/>
  <c r="C24"/>
  <c r="C38"/>
  <c r="C25"/>
  <c r="C39"/>
  <c r="C26"/>
  <c r="C40"/>
  <c r="C27"/>
  <c r="C41"/>
  <c r="C20"/>
  <c r="C34"/>
  <c r="I27" i="14"/>
  <c r="H27"/>
  <c r="G27"/>
  <c r="F27"/>
  <c r="E27"/>
  <c r="D27"/>
  <c r="C27"/>
  <c r="I26"/>
  <c r="H26"/>
  <c r="G26"/>
  <c r="F26"/>
  <c r="E26"/>
  <c r="D26"/>
  <c r="C26"/>
  <c r="I25"/>
  <c r="H25"/>
  <c r="G25"/>
  <c r="F25"/>
  <c r="E25"/>
  <c r="D25"/>
  <c r="C25"/>
  <c r="I24"/>
  <c r="H24"/>
  <c r="G24"/>
  <c r="F24"/>
  <c r="E24"/>
  <c r="D24"/>
  <c r="C24"/>
  <c r="I23"/>
  <c r="H23"/>
  <c r="G23"/>
  <c r="F23"/>
  <c r="E23"/>
  <c r="D23"/>
  <c r="C23"/>
  <c r="I22"/>
  <c r="H22"/>
  <c r="G22"/>
  <c r="F22"/>
  <c r="E22"/>
  <c r="D22"/>
  <c r="C22"/>
  <c r="I21"/>
  <c r="H21"/>
  <c r="G21"/>
  <c r="F21"/>
  <c r="E21"/>
  <c r="D21"/>
  <c r="C21"/>
  <c r="I20"/>
  <c r="H20"/>
  <c r="G20"/>
  <c r="F20"/>
  <c r="E20"/>
  <c r="D20"/>
  <c r="C20"/>
  <c r="B35" i="7"/>
  <c r="C14" i="14"/>
  <c r="B33" i="7"/>
  <c r="D33"/>
  <c r="E33"/>
  <c r="F33"/>
  <c r="G33"/>
  <c r="H33"/>
  <c r="C33"/>
  <c r="I33"/>
  <c r="J12" i="14"/>
  <c r="I12"/>
  <c r="H12"/>
  <c r="G12"/>
  <c r="F12"/>
  <c r="E12"/>
  <c r="D12"/>
  <c r="C12"/>
  <c r="I10"/>
  <c r="J10"/>
  <c r="S10"/>
  <c r="H10"/>
  <c r="R10"/>
  <c r="G10"/>
  <c r="Q10"/>
  <c r="F10"/>
  <c r="P10"/>
  <c r="E10"/>
  <c r="O10"/>
  <c r="D10"/>
  <c r="N10"/>
  <c r="B31" i="7"/>
  <c r="C10" i="14"/>
  <c r="M10"/>
  <c r="I9"/>
  <c r="J9"/>
  <c r="S9"/>
  <c r="H9"/>
  <c r="R9"/>
  <c r="G9"/>
  <c r="Q9"/>
  <c r="F9"/>
  <c r="P9"/>
  <c r="E9"/>
  <c r="O9"/>
  <c r="D9"/>
  <c r="N9"/>
  <c r="B30" i="7"/>
  <c r="C9" i="14"/>
  <c r="M9"/>
  <c r="I8"/>
  <c r="J8"/>
  <c r="S8"/>
  <c r="H8"/>
  <c r="R8"/>
  <c r="G8"/>
  <c r="Q8"/>
  <c r="F8"/>
  <c r="P8"/>
  <c r="E8"/>
  <c r="O8"/>
  <c r="D8"/>
  <c r="N8"/>
  <c r="B29" i="7"/>
  <c r="C8" i="14"/>
  <c r="M8"/>
  <c r="I7"/>
  <c r="J7"/>
  <c r="S7"/>
  <c r="H7"/>
  <c r="R7"/>
  <c r="G7"/>
  <c r="Q7"/>
  <c r="F7"/>
  <c r="P7"/>
  <c r="E7"/>
  <c r="O7"/>
  <c r="D7"/>
  <c r="N7"/>
  <c r="B28" i="7"/>
  <c r="C7" i="14"/>
  <c r="M7"/>
  <c r="I6"/>
  <c r="J6"/>
  <c r="S6"/>
  <c r="H6"/>
  <c r="R6"/>
  <c r="G6"/>
  <c r="Q6"/>
  <c r="F6"/>
  <c r="P6"/>
  <c r="E6"/>
  <c r="O6"/>
  <c r="D6"/>
  <c r="N6"/>
  <c r="B27" i="7"/>
  <c r="C6" i="14"/>
  <c r="M6"/>
  <c r="I5"/>
  <c r="J5"/>
  <c r="S5"/>
  <c r="H5"/>
  <c r="R5"/>
  <c r="G5"/>
  <c r="Q5"/>
  <c r="F5"/>
  <c r="P5"/>
  <c r="E5"/>
  <c r="O5"/>
  <c r="D5"/>
  <c r="N5"/>
  <c r="B26" i="7"/>
  <c r="C5" i="14"/>
  <c r="M5"/>
  <c r="I4"/>
  <c r="J4"/>
  <c r="S4"/>
  <c r="H4"/>
  <c r="R4"/>
  <c r="G4"/>
  <c r="Q4"/>
  <c r="F4"/>
  <c r="P4"/>
  <c r="E4"/>
  <c r="O4"/>
  <c r="D4"/>
  <c r="N4"/>
  <c r="B25" i="7"/>
  <c r="C4" i="14"/>
  <c r="M4"/>
  <c r="I3"/>
  <c r="J3"/>
  <c r="S3"/>
  <c r="H3"/>
  <c r="R3"/>
  <c r="G3"/>
  <c r="Q3"/>
  <c r="F3"/>
  <c r="P3"/>
  <c r="E3"/>
  <c r="O3"/>
  <c r="D3"/>
  <c r="N3"/>
  <c r="B24" i="7"/>
  <c r="C3" i="14"/>
  <c r="M3"/>
  <c r="J10" i="11"/>
  <c r="I10"/>
  <c r="S10"/>
  <c r="H10"/>
  <c r="R10"/>
  <c r="G10"/>
  <c r="Q10"/>
  <c r="F10"/>
  <c r="P10"/>
  <c r="E10"/>
  <c r="O10"/>
  <c r="D10"/>
  <c r="N10"/>
  <c r="M10"/>
  <c r="J9"/>
  <c r="I9"/>
  <c r="S9"/>
  <c r="H9"/>
  <c r="R9"/>
  <c r="G9"/>
  <c r="Q9"/>
  <c r="F9"/>
  <c r="P9"/>
  <c r="E9"/>
  <c r="O9"/>
  <c r="D9"/>
  <c r="N9"/>
  <c r="M9"/>
  <c r="J8"/>
  <c r="I8"/>
  <c r="S8"/>
  <c r="H8"/>
  <c r="R8"/>
  <c r="G8"/>
  <c r="Q8"/>
  <c r="F8"/>
  <c r="P8"/>
  <c r="E8"/>
  <c r="O8"/>
  <c r="D8"/>
  <c r="N8"/>
  <c r="M8"/>
  <c r="J7"/>
  <c r="I7"/>
  <c r="S7"/>
  <c r="H7"/>
  <c r="R7"/>
  <c r="G7"/>
  <c r="Q7"/>
  <c r="F7"/>
  <c r="P7"/>
  <c r="E7"/>
  <c r="O7"/>
  <c r="D7"/>
  <c r="N7"/>
  <c r="M7"/>
  <c r="J6"/>
  <c r="I6"/>
  <c r="S6"/>
  <c r="H6"/>
  <c r="R6"/>
  <c r="G6"/>
  <c r="Q6"/>
  <c r="F6"/>
  <c r="P6"/>
  <c r="E6"/>
  <c r="O6"/>
  <c r="D6"/>
  <c r="N6"/>
  <c r="M6"/>
  <c r="J5"/>
  <c r="I5"/>
  <c r="S5"/>
  <c r="H5"/>
  <c r="R5"/>
  <c r="G5"/>
  <c r="Q5"/>
  <c r="F5"/>
  <c r="P5"/>
  <c r="E5"/>
  <c r="O5"/>
  <c r="D5"/>
  <c r="N5"/>
  <c r="M5"/>
  <c r="J4"/>
  <c r="I4"/>
  <c r="S4"/>
  <c r="H4"/>
  <c r="R4"/>
  <c r="G4"/>
  <c r="Q4"/>
  <c r="F4"/>
  <c r="P4"/>
  <c r="E4"/>
  <c r="O4"/>
  <c r="D4"/>
  <c r="N4"/>
  <c r="M4"/>
  <c r="J3"/>
  <c r="I3"/>
  <c r="S3"/>
  <c r="H3"/>
  <c r="R3"/>
  <c r="G3"/>
  <c r="Q3"/>
  <c r="F3"/>
  <c r="P3"/>
  <c r="E3"/>
  <c r="O3"/>
  <c r="D3"/>
  <c r="N3"/>
  <c r="M3"/>
  <c r="F10" i="9"/>
  <c r="G10"/>
  <c r="G82" i="11"/>
  <c r="F82"/>
  <c r="F9" i="9"/>
  <c r="G9"/>
  <c r="G81" i="11"/>
  <c r="F81"/>
  <c r="F8" i="9"/>
  <c r="G8"/>
  <c r="G80" i="11"/>
  <c r="F80"/>
  <c r="F7" i="9"/>
  <c r="G7"/>
  <c r="G79" i="11"/>
  <c r="F79"/>
  <c r="F6" i="9"/>
  <c r="G6"/>
  <c r="G78" i="11"/>
  <c r="F78"/>
  <c r="F5" i="9"/>
  <c r="G5"/>
  <c r="G77" i="11"/>
  <c r="F77"/>
  <c r="F4" i="9"/>
  <c r="G4"/>
  <c r="G76" i="11"/>
  <c r="F76"/>
  <c r="F3" i="9"/>
  <c r="G3"/>
  <c r="G75" i="11"/>
  <c r="F75"/>
  <c r="E82"/>
  <c r="D82"/>
  <c r="C82"/>
  <c r="E81"/>
  <c r="D81"/>
  <c r="C81"/>
  <c r="E80"/>
  <c r="D80"/>
  <c r="C80"/>
  <c r="E79"/>
  <c r="D79"/>
  <c r="C79"/>
  <c r="E78"/>
  <c r="D78"/>
  <c r="C78"/>
  <c r="E77"/>
  <c r="D77"/>
  <c r="C77"/>
  <c r="E76"/>
  <c r="D76"/>
  <c r="C76"/>
  <c r="E75"/>
  <c r="D75"/>
  <c r="C75"/>
  <c r="E64"/>
  <c r="F64"/>
  <c r="E65"/>
  <c r="F65"/>
  <c r="E66"/>
  <c r="F66"/>
  <c r="E67"/>
  <c r="F67"/>
  <c r="E68"/>
  <c r="F68"/>
  <c r="E69"/>
  <c r="F69"/>
  <c r="E70"/>
  <c r="F70"/>
  <c r="I17" i="13"/>
  <c r="I16"/>
  <c r="I15"/>
  <c r="I14"/>
  <c r="I13"/>
  <c r="I12"/>
  <c r="I11"/>
  <c r="I10"/>
  <c r="H11"/>
  <c r="H12"/>
  <c r="H13"/>
  <c r="H14"/>
  <c r="H15"/>
  <c r="H16"/>
  <c r="H17"/>
  <c r="F17"/>
  <c r="F10"/>
  <c r="E11"/>
  <c r="F11"/>
  <c r="E12"/>
  <c r="F12"/>
  <c r="E13"/>
  <c r="F13"/>
  <c r="E14"/>
  <c r="F14"/>
  <c r="E15"/>
  <c r="F15"/>
  <c r="E16"/>
  <c r="F16"/>
  <c r="E17"/>
  <c r="J27" i="11"/>
  <c r="J53"/>
  <c r="I27"/>
  <c r="I53"/>
  <c r="H27"/>
  <c r="H53"/>
  <c r="G27"/>
  <c r="G53"/>
  <c r="F27"/>
  <c r="F53"/>
  <c r="E27"/>
  <c r="E53"/>
  <c r="D27"/>
  <c r="D53"/>
  <c r="J26"/>
  <c r="J52"/>
  <c r="I26"/>
  <c r="I52"/>
  <c r="H26"/>
  <c r="H52"/>
  <c r="G26"/>
  <c r="G52"/>
  <c r="F26"/>
  <c r="F52"/>
  <c r="E26"/>
  <c r="E52"/>
  <c r="D26"/>
  <c r="D52"/>
  <c r="J25"/>
  <c r="J51"/>
  <c r="I25"/>
  <c r="I51"/>
  <c r="H25"/>
  <c r="H51"/>
  <c r="G25"/>
  <c r="G51"/>
  <c r="F25"/>
  <c r="F51"/>
  <c r="E25"/>
  <c r="E51"/>
  <c r="D25"/>
  <c r="D51"/>
  <c r="J24"/>
  <c r="J50"/>
  <c r="I24"/>
  <c r="I50"/>
  <c r="H24"/>
  <c r="H50"/>
  <c r="G24"/>
  <c r="G50"/>
  <c r="F24"/>
  <c r="F50"/>
  <c r="E24"/>
  <c r="E50"/>
  <c r="J23"/>
  <c r="J49"/>
  <c r="I23"/>
  <c r="I49"/>
  <c r="H23"/>
  <c r="H49"/>
  <c r="G23"/>
  <c r="G49"/>
  <c r="F23"/>
  <c r="F49"/>
  <c r="E23"/>
  <c r="E49"/>
  <c r="D23"/>
  <c r="D49"/>
  <c r="J22"/>
  <c r="J48"/>
  <c r="I22"/>
  <c r="I48"/>
  <c r="H22"/>
  <c r="H48"/>
  <c r="G22"/>
  <c r="G48"/>
  <c r="F22"/>
  <c r="F48"/>
  <c r="E22"/>
  <c r="E48"/>
  <c r="D22"/>
  <c r="D48"/>
  <c r="J21"/>
  <c r="J47"/>
  <c r="I21"/>
  <c r="I47"/>
  <c r="H21"/>
  <c r="H47"/>
  <c r="G21"/>
  <c r="G47"/>
  <c r="F21"/>
  <c r="F47"/>
  <c r="E21"/>
  <c r="E47"/>
  <c r="D21"/>
  <c r="D47"/>
  <c r="J20"/>
  <c r="J46"/>
  <c r="I20"/>
  <c r="I46"/>
  <c r="H20"/>
  <c r="H46"/>
  <c r="G20"/>
  <c r="G46"/>
  <c r="F20"/>
  <c r="F46"/>
  <c r="E20"/>
  <c r="E46"/>
  <c r="D20"/>
  <c r="D46"/>
  <c r="C19" i="13"/>
  <c r="B19"/>
  <c r="A4" i="9"/>
  <c r="A11" i="13"/>
  <c r="A5" i="9"/>
  <c r="A12" i="13"/>
  <c r="A6" i="9"/>
  <c r="A13" i="13"/>
  <c r="A7" i="9"/>
  <c r="A14" i="13"/>
  <c r="A8" i="9"/>
  <c r="A15" i="13"/>
  <c r="A9" i="9"/>
  <c r="A16" i="13"/>
  <c r="A10" i="9"/>
  <c r="A17" i="13"/>
  <c r="A3" i="9"/>
  <c r="A10" i="13"/>
  <c r="H70" i="11"/>
  <c r="I70"/>
  <c r="H69"/>
  <c r="I69"/>
  <c r="H68"/>
  <c r="I68"/>
  <c r="H67"/>
  <c r="I67"/>
  <c r="H66"/>
  <c r="I66"/>
  <c r="H65"/>
  <c r="I65"/>
  <c r="H64"/>
  <c r="I64"/>
  <c r="H63"/>
  <c r="I63"/>
  <c r="I31" i="7"/>
  <c r="I30"/>
  <c r="I29"/>
  <c r="I28"/>
  <c r="I27"/>
  <c r="I26"/>
  <c r="I25"/>
  <c r="I24"/>
  <c r="E12" i="11"/>
  <c r="F12"/>
  <c r="G12"/>
  <c r="K196"/>
  <c r="I196"/>
  <c r="L196"/>
  <c r="J198"/>
  <c r="K198"/>
  <c r="J199"/>
  <c r="J200"/>
  <c r="K200"/>
  <c r="J201"/>
  <c r="J202"/>
  <c r="J203"/>
  <c r="J197"/>
  <c r="K197"/>
  <c r="I200"/>
  <c r="I197"/>
  <c r="I198"/>
  <c r="I199"/>
  <c r="I201"/>
  <c r="I202"/>
  <c r="I20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C14" i="11"/>
  <c r="J12"/>
  <c r="H12"/>
  <c r="I12"/>
  <c r="D12"/>
  <c r="C12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B5" i="7"/>
  <c r="B6"/>
  <c r="B7"/>
  <c r="B8"/>
  <c r="B9"/>
  <c r="B10"/>
  <c r="B11"/>
  <c r="B4"/>
  <c r="W4" i="9"/>
  <c r="W5"/>
  <c r="W6"/>
  <c r="W7"/>
  <c r="W8"/>
  <c r="W9"/>
  <c r="W10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201" i="11"/>
  <c r="L20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97" i="11"/>
  <c r="H28" i="1"/>
  <c r="F30"/>
  <c r="D32"/>
  <c r="K33"/>
  <c r="K202" i="11"/>
  <c r="L202"/>
  <c r="L203"/>
  <c r="K203"/>
  <c r="L199"/>
  <c r="K19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200" i="11"/>
  <c r="L198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I35" i="7"/>
  <c r="J14" i="11"/>
  <c r="J14" i="14"/>
  <c r="D35" i="7"/>
  <c r="E14" i="11"/>
  <c r="E35" i="7"/>
  <c r="F14" i="11"/>
  <c r="F35" i="7"/>
  <c r="G14" i="11"/>
  <c r="G35" i="7"/>
  <c r="H14" i="11"/>
  <c r="C35" i="7"/>
  <c r="D14" i="11"/>
  <c r="H35" i="7"/>
  <c r="I14" i="11"/>
  <c r="D14" i="14"/>
  <c r="E14"/>
  <c r="F14"/>
  <c r="G14"/>
  <c r="H14"/>
  <c r="I14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<sst xmlns="http://schemas.openxmlformats.org/spreadsheetml/2006/main" count="563" uniqueCount="154">
  <si>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</si>
  <si>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</si>
  <si>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</si>
  <si>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</si>
  <si>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</si>
  <si>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</si>
  <si>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</si>
  <si>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</si>
  <si>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</si>
  <si>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</si>
  <si>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</si>
  <si>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</si>
  <si>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</si>
  <si>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</si>
  <si>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</si>
  <si>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</si>
  <si>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</si>
  <si>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</si>
  <si>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</si>
  <si>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</si>
  <si>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</si>
  <si>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</si>
  <si>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</si>
  <si>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</si>
  <si>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</si>
  <si>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</si>
  <si>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</si>
  <si>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</si>
  <si>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</si>
  <si>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</si>
  <si>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</si>
  <si>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</si>
  <si>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</si>
  <si>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</si>
  <si>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</si>
  <si>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</si>
  <si>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</si>
  <si>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</si>
  <si>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</si>
  <si>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</si>
  <si>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</si>
  <si>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</si>
  <si>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</si>
  <si>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</si>
  <si>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</si>
  <si>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</si>
  <si>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</si>
  <si>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</si>
  <si>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</si>
  <si>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</si>
  <si>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</si>
  <si>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</si>
  <si>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</si>
  <si>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</si>
  <si>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</si>
  <si>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</si>
  <si>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</si>
  <si>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</si>
  <si>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</si>
  <si>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</si>
  <si>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</si>
  <si>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</si>
  <si>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</si>
  <si>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</si>
  <si>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</si>
  <si>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</si>
  <si>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</si>
  <si>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</si>
  <si>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</si>
  <si>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</si>
  <si>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</si>
  <si>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</si>
  <si>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</si>
  <si>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</si>
  <si>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</si>
  <si>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</si>
  <si>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</si>
  <si>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</si>
  <si>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</si>
  <si>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</si>
  <si>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</si>
  <si>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</si>
  <si>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</si>
  <si>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</si>
  <si>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</si>
  <si>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</si>
  <si>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</si>
  <si>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</si>
  <si>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</si>
  <si>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</si>
  <si>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</si>
  <si>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</si>
  <si>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</si>
  <si>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</si>
  <si>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</si>
  <si>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</si>
  <si>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</si>
  <si>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</si>
  <si>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</si>
  <si>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</si>
  <si>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</si>
  <si>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</si>
  <si>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</si>
  <si>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</si>
  <si>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</si>
  <si>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</si>
  <si>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</si>
  <si>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</si>
  <si>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</si>
  <si>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</si>
  <si>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</si>
  <si>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</si>
  <si>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</si>
  <si>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</si>
  <si>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</si>
  <si>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</si>
  <si>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</si>
  <si>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</si>
  <si>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</si>
  <si>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</si>
  <si>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</si>
  <si>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</si>
  <si>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</si>
  <si>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</si>
  <si>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</si>
  <si>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</si>
  <si>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</si>
  <si>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</si>
  <si>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</si>
  <si>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</si>
  <si>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</si>
  <si>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</si>
  <si>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</si>
  <si>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</si>
  <si>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</si>
  <si>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</si>
  <si>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</si>
  <si>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</si>
  <si>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</si>
  <si>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</si>
  <si>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</si>
  <si>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</si>
  <si>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</si>
  <si>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</si>
  <si>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</si>
  <si>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</si>
  <si>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</si>
  <si>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NaN</t>
  </si>
  <si>
    <t>evenwicht</t>
  </si>
  <si>
    <t>vorige allocatie</t>
  </si>
  <si>
    <t>Huidige</t>
  </si>
  <si>
    <t>Nieuw</t>
  </si>
  <si>
    <t>∆</t>
  </si>
  <si>
    <t>IR</t>
  </si>
</sst>
</file>

<file path=xl/styles.xml><?xml version="1.0" encoding="utf-8"?>
<styleSheet xmlns="http://schemas.openxmlformats.org/spreadsheetml/2006/main">
  <numFmts count="46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  <numFmt numFmtId="208" formatCode="_ * #,##0.000000_ ;_ * \-#,##0.000000_ ;_ * &quot;-&quot;??_ ;_ @_ 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4" applyNumberFormat="0" applyFill="0" applyAlignment="0" applyProtection="0"/>
    <xf numFmtId="0" fontId="79" fillId="0" borderId="55" applyNumberFormat="0" applyFill="0" applyAlignment="0" applyProtection="0"/>
    <xf numFmtId="0" fontId="80" fillId="0" borderId="56" applyNumberFormat="0" applyFill="0" applyAlignment="0" applyProtection="0"/>
    <xf numFmtId="0" fontId="80" fillId="0" borderId="0" applyNumberFormat="0" applyFill="0" applyBorder="0" applyAlignment="0" applyProtection="0"/>
    <xf numFmtId="0" fontId="81" fillId="34" borderId="0" applyNumberFormat="0" applyBorder="0" applyAlignment="0" applyProtection="0"/>
    <xf numFmtId="0" fontId="82" fillId="35" borderId="0" applyNumberFormat="0" applyBorder="0" applyAlignment="0" applyProtection="0"/>
    <xf numFmtId="0" fontId="83" fillId="36" borderId="0" applyNumberFormat="0" applyBorder="0" applyAlignment="0" applyProtection="0"/>
    <xf numFmtId="0" fontId="84" fillId="37" borderId="57" applyNumberFormat="0" applyAlignment="0" applyProtection="0"/>
    <xf numFmtId="0" fontId="85" fillId="37" borderId="1" applyNumberFormat="0" applyAlignment="0" applyProtection="0"/>
    <xf numFmtId="0" fontId="86" fillId="0" borderId="58" applyNumberFormat="0" applyFill="0" applyAlignment="0" applyProtection="0"/>
    <xf numFmtId="0" fontId="87" fillId="38" borderId="59" applyNumberFormat="0" applyAlignment="0" applyProtection="0"/>
    <xf numFmtId="0" fontId="88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89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0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1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2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1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5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5" fillId="3" borderId="0" xfId="0" applyFont="1" applyFill="1" applyBorder="1"/>
    <xf numFmtId="10" fontId="76" fillId="3" borderId="0" xfId="1" applyNumberFormat="1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24" fillId="5" borderId="24" xfId="0" applyFont="1" applyFill="1" applyBorder="1" applyAlignment="1">
      <alignment horizontal="center"/>
    </xf>
    <xf numFmtId="164" fontId="7" fillId="3" borderId="0" xfId="0" applyNumberFormat="1" applyFont="1" applyFill="1"/>
    <xf numFmtId="43" fontId="7" fillId="3" borderId="22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25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center" vertical="top" wrapText="1"/>
    </xf>
    <xf numFmtId="0" fontId="25" fillId="5" borderId="24" xfId="0" applyFont="1" applyFill="1" applyBorder="1" applyAlignment="1">
      <alignment horizontal="center" vertical="top" wrapText="1"/>
    </xf>
    <xf numFmtId="0" fontId="25" fillId="5" borderId="35" xfId="0" applyFont="1" applyFill="1" applyBorder="1" applyAlignment="1">
      <alignment horizontal="center" vertical="top" wrapText="1"/>
    </xf>
    <xf numFmtId="0" fontId="25" fillId="5" borderId="36" xfId="0" applyFont="1" applyFill="1" applyBorder="1" applyAlignment="1">
      <alignment horizontal="center" vertical="top" wrapText="1"/>
    </xf>
    <xf numFmtId="208" fontId="0" fillId="3" borderId="0" xfId="3" applyNumberFormat="1" applyFont="1" applyFill="1" applyBorder="1" applyAlignment="1">
      <alignment horizontal="center"/>
    </xf>
    <xf numFmtId="10" fontId="0" fillId="4" borderId="7" xfId="0" applyNumberFormat="1" applyFont="1" applyFill="1" applyBorder="1" applyAlignment="1">
      <alignment horizontal="center"/>
    </xf>
    <xf numFmtId="10" fontId="0" fillId="4" borderId="10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0" fontId="7" fillId="4" borderId="0" xfId="1" applyNumberFormat="1" applyFont="1" applyFill="1" applyBorder="1" applyAlignment="1">
      <alignment horizontal="center"/>
    </xf>
    <xf numFmtId="10" fontId="7" fillId="4" borderId="8" xfId="1" applyNumberFormat="1" applyFont="1" applyFill="1" applyBorder="1" applyAlignment="1">
      <alignment horizontal="center"/>
    </xf>
    <xf numFmtId="10" fontId="7" fillId="4" borderId="11" xfId="1" applyNumberFormat="1" applyFont="1" applyFill="1" applyBorder="1" applyAlignment="1">
      <alignment horizontal="center"/>
    </xf>
    <xf numFmtId="10" fontId="7" fillId="4" borderId="12" xfId="1" applyNumberFormat="1" applyFont="1" applyFill="1" applyBorder="1" applyAlignment="1">
      <alignment horizontal="center"/>
    </xf>
    <xf numFmtId="10" fontId="7" fillId="3" borderId="7" xfId="1" applyNumberFormat="1" applyFont="1" applyFill="1" applyBorder="1" applyAlignment="1">
      <alignment horizontal="center"/>
    </xf>
    <xf numFmtId="10" fontId="7" fillId="3" borderId="10" xfId="1" applyNumberFormat="1" applyFont="1" applyFill="1" applyBorder="1" applyAlignment="1">
      <alignment horizontal="center"/>
    </xf>
    <xf numFmtId="43" fontId="0" fillId="3" borderId="0" xfId="3" applyFont="1" applyFill="1" applyBorder="1" applyAlignment="1">
      <alignment horizontal="center"/>
    </xf>
    <xf numFmtId="10" fontId="0" fillId="3" borderId="7" xfId="0" applyNumberFormat="1" applyFont="1" applyFill="1" applyBorder="1" applyAlignment="1">
      <alignment horizontal="center"/>
    </xf>
    <xf numFmtId="10" fontId="0" fillId="3" borderId="10" xfId="0" applyNumberFormat="1" applyFont="1" applyFill="1" applyBorder="1" applyAlignment="1">
      <alignment horizontal="center"/>
    </xf>
    <xf numFmtId="10" fontId="7" fillId="3" borderId="0" xfId="1" applyNumberFormat="1" applyFont="1" applyFill="1" applyBorder="1" applyAlignment="1">
      <alignment horizontal="center"/>
    </xf>
    <xf numFmtId="10" fontId="7" fillId="3" borderId="32" xfId="1" applyNumberFormat="1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954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34"/>
          <c:w val="0.5562682138416909"/>
          <c:h val="0.692582184133048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158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828E-4"/>
                  <c:y val="-8.3464566929134246E-2"/>
                </c:manualLayout>
              </c:layout>
              <c:showVal val="1"/>
            </c:dLbl>
            <c:dLbl>
              <c:idx val="5"/>
              <c:layout>
                <c:manualLayout>
                  <c:x val="2.639117701877354E-2"/>
                  <c:y val="0.11040230140723968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0.64944893325636843</c:v>
                </c:pt>
                <c:pt idx="1">
                  <c:v>2.1676691195087878E-2</c:v>
                </c:pt>
                <c:pt idx="2">
                  <c:v>4.0938352073271157E-2</c:v>
                </c:pt>
                <c:pt idx="3">
                  <c:v>1.23325046265014E-3</c:v>
                </c:pt>
                <c:pt idx="4">
                  <c:v>0.11596613074290399</c:v>
                </c:pt>
                <c:pt idx="5">
                  <c:v>0.13649706597906699</c:v>
                </c:pt>
                <c:pt idx="6">
                  <c:v>2.3916818164114236E-2</c:v>
                </c:pt>
                <c:pt idx="7">
                  <c:v>1.0322758126537421E-2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84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0.63688192426410151</c:v>
                </c:pt>
                <c:pt idx="1">
                  <c:v>8.1892343795685243E-3</c:v>
                </c:pt>
                <c:pt idx="2">
                  <c:v>1.6052736708683641E-2</c:v>
                </c:pt>
                <c:pt idx="3">
                  <c:v>1.5099296972475402E-4</c:v>
                </c:pt>
                <c:pt idx="4">
                  <c:v>9.0776251814218528E-2</c:v>
                </c:pt>
                <c:pt idx="5">
                  <c:v>0.11565791215908999</c:v>
                </c:pt>
                <c:pt idx="6">
                  <c:v>1.003556078645464E-2</c:v>
                </c:pt>
                <c:pt idx="7">
                  <c:v>3.5341077167183386E-3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1.2567008992266926E-2</c:v>
                </c:pt>
                <c:pt idx="1">
                  <c:v>1.3487456815519354E-2</c:v>
                </c:pt>
                <c:pt idx="2">
                  <c:v>2.4885615364587516E-2</c:v>
                </c:pt>
                <c:pt idx="3">
                  <c:v>1.0822574929253859E-3</c:v>
                </c:pt>
                <c:pt idx="4">
                  <c:v>2.5189878928685461E-2</c:v>
                </c:pt>
                <c:pt idx="5">
                  <c:v>2.0839153819977002E-2</c:v>
                </c:pt>
                <c:pt idx="6">
                  <c:v>1.3881257377659596E-2</c:v>
                </c:pt>
                <c:pt idx="7">
                  <c:v>6.7886504098190817E-3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1.2924050338224191E-2</c:v>
                </c:pt>
                <c:pt idx="1">
                  <c:v>9.2157542678814076E-3</c:v>
                </c:pt>
                <c:pt idx="2">
                  <c:v>1.668873316012013E-2</c:v>
                </c:pt>
                <c:pt idx="3">
                  <c:v>5.2991646811197763E-4</c:v>
                </c:pt>
                <c:pt idx="4">
                  <c:v>2.4227775137097285E-2</c:v>
                </c:pt>
                <c:pt idx="5">
                  <c:v>2.0691245958793736E-2</c:v>
                </c:pt>
                <c:pt idx="6">
                  <c:v>1.0132071346297927E-2</c:v>
                </c:pt>
                <c:pt idx="7">
                  <c:v>4.6136878765169129E-3</c:v>
                </c:pt>
              </c:numCache>
            </c:numRef>
          </c:val>
        </c:ser>
        <c:overlap val="100"/>
        <c:axId val="410716416"/>
        <c:axId val="410726784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marker val="1"/>
        <c:axId val="410716416"/>
        <c:axId val="410726784"/>
      </c:lineChart>
      <c:catAx>
        <c:axId val="410716416"/>
        <c:scaling>
          <c:orientation val="minMax"/>
        </c:scaling>
        <c:axPos val="b"/>
        <c:tickLblPos val="nextTo"/>
        <c:crossAx val="410726784"/>
        <c:crosses val="autoZero"/>
        <c:auto val="1"/>
        <c:lblAlgn val="ctr"/>
        <c:lblOffset val="100"/>
      </c:catAx>
      <c:valAx>
        <c:axId val="410726784"/>
        <c:scaling>
          <c:orientation val="minMax"/>
        </c:scaling>
        <c:axPos val="l"/>
        <c:majorGridlines/>
        <c:numFmt formatCode="0%" sourceLinked="0"/>
        <c:tickLblPos val="nextTo"/>
        <c:crossAx val="41071641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0.00%</c:formatCode>
                <c:ptCount val="8"/>
                <c:pt idx="0">
                  <c:v>-1.0761362748873404E-3</c:v>
                </c:pt>
                <c:pt idx="1">
                  <c:v>-5.3634034495987179E-2</c:v>
                </c:pt>
                <c:pt idx="2">
                  <c:v>-2.95466166646563E-3</c:v>
                </c:pt>
                <c:pt idx="3">
                  <c:v>-0.20034010635526645</c:v>
                </c:pt>
                <c:pt idx="4">
                  <c:v>-2.9945024082715634E-2</c:v>
                </c:pt>
                <c:pt idx="5">
                  <c:v>1.4659134029297541E-2</c:v>
                </c:pt>
                <c:pt idx="6">
                  <c:v>-4.2653387188440507E-2</c:v>
                </c:pt>
                <c:pt idx="7">
                  <c:v>-5.8162269749716361E-2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0.00%</c:formatCode>
                <c:ptCount val="8"/>
                <c:pt idx="0">
                  <c:v>-3.4179872754884488E-3</c:v>
                </c:pt>
                <c:pt idx="1">
                  <c:v>1.9126088571386521E-2</c:v>
                </c:pt>
                <c:pt idx="2">
                  <c:v>1.2307163627323543E-2</c:v>
                </c:pt>
                <c:pt idx="3">
                  <c:v>2.0569527320858455E-2</c:v>
                </c:pt>
                <c:pt idx="4">
                  <c:v>7.5326235596053476E-2</c:v>
                </c:pt>
                <c:pt idx="5">
                  <c:v>9.0021127349297542E-2</c:v>
                </c:pt>
                <c:pt idx="6">
                  <c:v>1.4434999267229312E-2</c:v>
                </c:pt>
                <c:pt idx="7">
                  <c:v>4.4496035250283651E-2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0.00%</c:formatCode>
                <c:ptCount val="8"/>
                <c:pt idx="0">
                  <c:v>-2.5720358328627513E-2</c:v>
                </c:pt>
                <c:pt idx="1">
                  <c:v>-0.44320953513141953</c:v>
                </c:pt>
                <c:pt idx="2">
                  <c:v>-0.50520055078596937</c:v>
                </c:pt>
                <c:pt idx="3">
                  <c:v>-0.64117999007188409</c:v>
                </c:pt>
                <c:pt idx="4">
                  <c:v>-0.39383408868167263</c:v>
                </c:pt>
                <c:pt idx="5">
                  <c:v>-0.52034739633736904</c:v>
                </c:pt>
                <c:pt idx="6">
                  <c:v>-0.25857548795346308</c:v>
                </c:pt>
                <c:pt idx="7">
                  <c:v>-0.33152986308090188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0.00%</c:formatCode>
                <c:ptCount val="8"/>
                <c:pt idx="0">
                  <c:v>-0.26287574291051119</c:v>
                </c:pt>
                <c:pt idx="1">
                  <c:v>-0.45286655377141971</c:v>
                </c:pt>
                <c:pt idx="2">
                  <c:v>-0.35244265167679129</c:v>
                </c:pt>
                <c:pt idx="3">
                  <c:v>-0.50739956473317127</c:v>
                </c:pt>
                <c:pt idx="4">
                  <c:v>-0.23709668904730849</c:v>
                </c:pt>
                <c:pt idx="5">
                  <c:v>-0.53890194796403579</c:v>
                </c:pt>
                <c:pt idx="6">
                  <c:v>-1.0981482728457838E-2</c:v>
                </c:pt>
                <c:pt idx="7">
                  <c:v>-0.17474285130040365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0.00%</c:formatCode>
                <c:ptCount val="8"/>
                <c:pt idx="0">
                  <c:v>-3.2441343963196256E-3</c:v>
                </c:pt>
                <c:pt idx="1">
                  <c:v>0.29576434041524707</c:v>
                </c:pt>
                <c:pt idx="2">
                  <c:v>0.24637536735679014</c:v>
                </c:pt>
                <c:pt idx="3">
                  <c:v>0.32892743718810752</c:v>
                </c:pt>
                <c:pt idx="4">
                  <c:v>0.4212127714691607</c:v>
                </c:pt>
                <c:pt idx="5">
                  <c:v>0.62225820003596433</c:v>
                </c:pt>
                <c:pt idx="6">
                  <c:v>0.27934742068923668</c:v>
                </c:pt>
                <c:pt idx="7">
                  <c:v>0.39881762458018055</c:v>
                </c:pt>
              </c:numCache>
            </c:numRef>
          </c:val>
        </c:ser>
        <c:axId val="412160384"/>
        <c:axId val="412161920"/>
      </c:barChart>
      <c:catAx>
        <c:axId val="412160384"/>
        <c:scaling>
          <c:orientation val="minMax"/>
        </c:scaling>
        <c:axPos val="b"/>
        <c:tickLblPos val="nextTo"/>
        <c:crossAx val="412161920"/>
        <c:crosses val="autoZero"/>
        <c:auto val="1"/>
        <c:lblAlgn val="ctr"/>
        <c:lblOffset val="100"/>
      </c:catAx>
      <c:valAx>
        <c:axId val="412161920"/>
        <c:scaling>
          <c:orientation val="minMax"/>
        </c:scaling>
        <c:axPos val="l"/>
        <c:majorGridlines/>
        <c:numFmt formatCode="0.0%" sourceLinked="1"/>
        <c:tickLblPos val="nextTo"/>
        <c:crossAx val="412160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226"/>
          <c:y val="0.30999086720262337"/>
          <c:w val="0.27290015295627634"/>
          <c:h val="0.50313982945017843"/>
        </c:manualLayout>
      </c:layout>
    </c:legend>
    <c:plotVisOnly val="1"/>
  </c:chart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41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1.5051131453038423E-2</c:v>
                </c:pt>
                <c:pt idx="1">
                  <c:v>3.1183097502944408E-2</c:v>
                </c:pt>
                <c:pt idx="2">
                  <c:v>1.8752707025431216E-4</c:v>
                </c:pt>
                <c:pt idx="3">
                  <c:v>0.22668857932684336</c:v>
                </c:pt>
                <c:pt idx="4">
                  <c:v>0.29503502891400174</c:v>
                </c:pt>
                <c:pt idx="5">
                  <c:v>1.8349271072378381E-2</c:v>
                </c:pt>
                <c:pt idx="6">
                  <c:v>6.5821530269531909E-3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4.6261941875927214E-2</c:v>
                </c:pt>
                <c:pt idx="1">
                  <c:v>8.2842212271876187E-2</c:v>
                </c:pt>
                <c:pt idx="2">
                  <c:v>3.3630181581444907E-3</c:v>
                </c:pt>
                <c:pt idx="3">
                  <c:v>0.10505165348924292</c:v>
                </c:pt>
                <c:pt idx="4">
                  <c:v>9.7275343977011264E-2</c:v>
                </c:pt>
                <c:pt idx="5">
                  <c:v>4.9064026172809888E-2</c:v>
                </c:pt>
                <c:pt idx="6">
                  <c:v>2.3065015688573817E-2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4.7156650548082289E-2</c:v>
                </c:pt>
                <c:pt idx="1">
                  <c:v>7.6329484414428994E-2</c:v>
                </c:pt>
                <c:pt idx="2">
                  <c:v>3.4538092442941955E-3</c:v>
                </c:pt>
                <c:pt idx="3">
                  <c:v>0.10677039227646107</c:v>
                </c:pt>
                <c:pt idx="4">
                  <c:v>9.7554848817823947E-2</c:v>
                </c:pt>
                <c:pt idx="5">
                  <c:v>5.6107657909753195E-2</c:v>
                </c:pt>
                <c:pt idx="6">
                  <c:v>2.2086267723263588E-2</c:v>
                </c:pt>
              </c:numCache>
            </c:numRef>
          </c:val>
        </c:ser>
        <c:overlap val="100"/>
        <c:axId val="412213248"/>
        <c:axId val="41221516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0.2205025014778812</c:v>
                </c:pt>
                <c:pt idx="1">
                  <c:v>0.21653123239332159</c:v>
                </c:pt>
                <c:pt idx="2">
                  <c:v>0.23862540330091181</c:v>
                </c:pt>
                <c:pt idx="3">
                  <c:v>0.11107521491396176</c:v>
                </c:pt>
                <c:pt idx="4">
                  <c:v>4.2189746333654299E-2</c:v>
                </c:pt>
                <c:pt idx="5">
                  <c:v>7.0091441155144513E-2</c:v>
                </c:pt>
                <c:pt idx="6">
                  <c:v>0.10098446042512488</c:v>
                </c:pt>
              </c:numCache>
            </c:numRef>
          </c:val>
        </c:ser>
        <c:marker val="1"/>
        <c:axId val="412213248"/>
        <c:axId val="412215168"/>
      </c:lineChart>
      <c:catAx>
        <c:axId val="412213248"/>
        <c:scaling>
          <c:orientation val="minMax"/>
        </c:scaling>
        <c:axPos val="b"/>
        <c:numFmt formatCode="General" sourceLinked="1"/>
        <c:tickLblPos val="nextTo"/>
        <c:crossAx val="412215168"/>
        <c:crosses val="autoZero"/>
        <c:auto val="1"/>
        <c:lblAlgn val="ctr"/>
        <c:lblOffset val="100"/>
      </c:catAx>
      <c:valAx>
        <c:axId val="412215168"/>
        <c:scaling>
          <c:orientation val="minMax"/>
        </c:scaling>
        <c:axPos val="l"/>
        <c:majorGridlines/>
        <c:numFmt formatCode="0%" sourceLinked="0"/>
        <c:tickLblPos val="nextTo"/>
        <c:crossAx val="4122132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0.00%</c:formatCode>
                <c:ptCount val="8"/>
                <c:pt idx="0">
                  <c:v>-1.0761362748873404E-3</c:v>
                </c:pt>
                <c:pt idx="1">
                  <c:v>-5.3634034495987179E-2</c:v>
                </c:pt>
                <c:pt idx="2">
                  <c:v>-2.95466166646563E-3</c:v>
                </c:pt>
                <c:pt idx="3">
                  <c:v>-0.20034010635526645</c:v>
                </c:pt>
                <c:pt idx="4">
                  <c:v>-2.9945024082715634E-2</c:v>
                </c:pt>
                <c:pt idx="5">
                  <c:v>1.4659134029297541E-2</c:v>
                </c:pt>
                <c:pt idx="6">
                  <c:v>-4.2653387188440507E-2</c:v>
                </c:pt>
                <c:pt idx="7">
                  <c:v>-5.8162269749716361E-2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0.00%</c:formatCode>
                <c:ptCount val="8"/>
                <c:pt idx="0">
                  <c:v>-3.4179872754884488E-3</c:v>
                </c:pt>
                <c:pt idx="1">
                  <c:v>1.9126088571386521E-2</c:v>
                </c:pt>
                <c:pt idx="2">
                  <c:v>1.2307163627323543E-2</c:v>
                </c:pt>
                <c:pt idx="3">
                  <c:v>2.0569527320858455E-2</c:v>
                </c:pt>
                <c:pt idx="4">
                  <c:v>7.5326235596053476E-2</c:v>
                </c:pt>
                <c:pt idx="5">
                  <c:v>9.0021127349297542E-2</c:v>
                </c:pt>
                <c:pt idx="6">
                  <c:v>1.4434999267229312E-2</c:v>
                </c:pt>
                <c:pt idx="7">
                  <c:v>4.4496035250283651E-2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0.00%</c:formatCode>
                <c:ptCount val="8"/>
                <c:pt idx="0">
                  <c:v>-2.5720358328627513E-2</c:v>
                </c:pt>
                <c:pt idx="1">
                  <c:v>-0.44320953513141953</c:v>
                </c:pt>
                <c:pt idx="2">
                  <c:v>-0.50520055078596937</c:v>
                </c:pt>
                <c:pt idx="3">
                  <c:v>-0.64117999007188409</c:v>
                </c:pt>
                <c:pt idx="4">
                  <c:v>-0.39383408868167263</c:v>
                </c:pt>
                <c:pt idx="5">
                  <c:v>-0.52034739633736904</c:v>
                </c:pt>
                <c:pt idx="6">
                  <c:v>-0.25857548795346308</c:v>
                </c:pt>
                <c:pt idx="7">
                  <c:v>-0.33152986308090188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0.00%</c:formatCode>
                <c:ptCount val="8"/>
                <c:pt idx="0">
                  <c:v>-0.26287574291051119</c:v>
                </c:pt>
                <c:pt idx="1">
                  <c:v>-0.45286655377141971</c:v>
                </c:pt>
                <c:pt idx="2">
                  <c:v>-0.35244265167679129</c:v>
                </c:pt>
                <c:pt idx="3">
                  <c:v>-0.50739956473317127</c:v>
                </c:pt>
                <c:pt idx="4">
                  <c:v>-0.23709668904730849</c:v>
                </c:pt>
                <c:pt idx="5">
                  <c:v>-0.53890194796403579</c:v>
                </c:pt>
                <c:pt idx="6">
                  <c:v>-1.0981482728457838E-2</c:v>
                </c:pt>
                <c:pt idx="7">
                  <c:v>-0.17474285130040365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0.00%</c:formatCode>
                <c:ptCount val="8"/>
                <c:pt idx="0">
                  <c:v>-3.2441343963196256E-3</c:v>
                </c:pt>
                <c:pt idx="1">
                  <c:v>0.29576434041524707</c:v>
                </c:pt>
                <c:pt idx="2">
                  <c:v>0.24637536735679014</c:v>
                </c:pt>
                <c:pt idx="3">
                  <c:v>0.32892743718810752</c:v>
                </c:pt>
                <c:pt idx="4">
                  <c:v>0.4212127714691607</c:v>
                </c:pt>
                <c:pt idx="5">
                  <c:v>0.62225820003596433</c:v>
                </c:pt>
                <c:pt idx="6">
                  <c:v>0.27934742068923668</c:v>
                </c:pt>
                <c:pt idx="7">
                  <c:v>0.39881762458018055</c:v>
                </c:pt>
              </c:numCache>
            </c:numRef>
          </c:val>
        </c:ser>
        <c:axId val="413444352"/>
        <c:axId val="416616448"/>
      </c:barChart>
      <c:catAx>
        <c:axId val="413444352"/>
        <c:scaling>
          <c:orientation val="minMax"/>
        </c:scaling>
        <c:axPos val="b"/>
        <c:tickLblPos val="nextTo"/>
        <c:crossAx val="416616448"/>
        <c:crosses val="autoZero"/>
        <c:auto val="1"/>
        <c:lblAlgn val="ctr"/>
        <c:lblOffset val="100"/>
      </c:catAx>
      <c:valAx>
        <c:axId val="416616448"/>
        <c:scaling>
          <c:orientation val="minMax"/>
        </c:scaling>
        <c:axPos val="l"/>
        <c:majorGridlines/>
        <c:numFmt formatCode="0.0%" sourceLinked="1"/>
        <c:tickLblPos val="nextTo"/>
        <c:crossAx val="4134443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53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0.54355280602446576</c:v>
                </c:pt>
                <c:pt idx="1">
                  <c:v>5.0083002938182873E-2</c:v>
                </c:pt>
                <c:pt idx="2">
                  <c:v>4.4701988096091189E-2</c:v>
                </c:pt>
                <c:pt idx="3">
                  <c:v>7.013850701976751E-2</c:v>
                </c:pt>
                <c:pt idx="4">
                  <c:v>3.808802100231562E-2</c:v>
                </c:pt>
                <c:pt idx="5">
                  <c:v>1.1721925875841244E-2</c:v>
                </c:pt>
                <c:pt idx="6">
                  <c:v>3.1801931757093949E-2</c:v>
                </c:pt>
                <c:pt idx="7">
                  <c:v>3.1597784602097972E-2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1.3646202015216047E-2</c:v>
                </c:pt>
                <c:pt idx="1">
                  <c:v>3.3775996911717655E-2</c:v>
                </c:pt>
                <c:pt idx="2">
                  <c:v>3.6395061245996757E-2</c:v>
                </c:pt>
                <c:pt idx="3">
                  <c:v>1.8183054424906767E-2</c:v>
                </c:pt>
                <c:pt idx="4">
                  <c:v>1.3188350588494394E-2</c:v>
                </c:pt>
                <c:pt idx="5">
                  <c:v>9.6325336461884625E-3</c:v>
                </c:pt>
                <c:pt idx="6">
                  <c:v>2.599433773312318E-2</c:v>
                </c:pt>
                <c:pt idx="7">
                  <c:v>2.7498496118500207E-2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1.1258093532827251E-2</c:v>
                </c:pt>
                <c:pt idx="1">
                  <c:v>2.8354869373576425E-2</c:v>
                </c:pt>
                <c:pt idx="2">
                  <c:v>3.3575606317346074E-2</c:v>
                </c:pt>
                <c:pt idx="3">
                  <c:v>1.6017631443499145E-2</c:v>
                </c:pt>
                <c:pt idx="4">
                  <c:v>1.3617251248004933E-2</c:v>
                </c:pt>
                <c:pt idx="5">
                  <c:v>8.5748508021478813E-3</c:v>
                </c:pt>
                <c:pt idx="6">
                  <c:v>2.3618748423992836E-2</c:v>
                </c:pt>
                <c:pt idx="7">
                  <c:v>2.2728097146181639E-2</c:v>
                </c:pt>
              </c:numCache>
            </c:numRef>
          </c:val>
        </c:ser>
        <c:gapWidth val="100"/>
        <c:overlap val="100"/>
        <c:axId val="419673984"/>
        <c:axId val="419675520"/>
      </c:barChart>
      <c:catAx>
        <c:axId val="419673984"/>
        <c:scaling>
          <c:orientation val="minMax"/>
        </c:scaling>
        <c:axPos val="l"/>
        <c:numFmt formatCode="0%" sourceLinked="1"/>
        <c:tickLblPos val="nextTo"/>
        <c:crossAx val="419675520"/>
        <c:crosses val="autoZero"/>
        <c:auto val="1"/>
        <c:lblAlgn val="ctr"/>
        <c:lblOffset val="100"/>
      </c:catAx>
      <c:valAx>
        <c:axId val="419675520"/>
        <c:scaling>
          <c:orientation val="minMax"/>
        </c:scaling>
        <c:axPos val="b"/>
        <c:majorGridlines/>
        <c:numFmt formatCode="0%" sourceLinked="0"/>
        <c:tickLblPos val="nextTo"/>
        <c:crossAx val="41967398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0.63688192426410151</c:v>
                </c:pt>
                <c:pt idx="1">
                  <c:v>8.1892343795685243E-3</c:v>
                </c:pt>
                <c:pt idx="2">
                  <c:v>1.6052736708683641E-2</c:v>
                </c:pt>
                <c:pt idx="3">
                  <c:v>1.5099296972475402E-4</c:v>
                </c:pt>
                <c:pt idx="4">
                  <c:v>9.0776251814218528E-2</c:v>
                </c:pt>
                <c:pt idx="5">
                  <c:v>0.11565791215908999</c:v>
                </c:pt>
                <c:pt idx="6">
                  <c:v>1.003556078645464E-2</c:v>
                </c:pt>
                <c:pt idx="7">
                  <c:v>3.5341077167183386E-3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1.2567008992266926E-2</c:v>
                </c:pt>
                <c:pt idx="1">
                  <c:v>1.3487456815519354E-2</c:v>
                </c:pt>
                <c:pt idx="2">
                  <c:v>2.4885615364587516E-2</c:v>
                </c:pt>
                <c:pt idx="3">
                  <c:v>1.0822574929253859E-3</c:v>
                </c:pt>
                <c:pt idx="4">
                  <c:v>2.5189878928685461E-2</c:v>
                </c:pt>
                <c:pt idx="5">
                  <c:v>2.0839153819977002E-2</c:v>
                </c:pt>
                <c:pt idx="6">
                  <c:v>1.3881257377659596E-2</c:v>
                </c:pt>
                <c:pt idx="7">
                  <c:v>6.7886504098190817E-3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1.2924050338224191E-2</c:v>
                </c:pt>
                <c:pt idx="1">
                  <c:v>9.2157542678814076E-3</c:v>
                </c:pt>
                <c:pt idx="2">
                  <c:v>1.668873316012013E-2</c:v>
                </c:pt>
                <c:pt idx="3">
                  <c:v>5.2991646811197763E-4</c:v>
                </c:pt>
                <c:pt idx="4">
                  <c:v>2.4227775137097285E-2</c:v>
                </c:pt>
                <c:pt idx="5">
                  <c:v>2.0691245958793736E-2</c:v>
                </c:pt>
                <c:pt idx="6">
                  <c:v>1.0132071346297927E-2</c:v>
                </c:pt>
                <c:pt idx="7">
                  <c:v>4.6136878765169129E-3</c:v>
                </c:pt>
              </c:numCache>
            </c:numRef>
          </c:val>
        </c:ser>
        <c:gapWidth val="100"/>
        <c:overlap val="100"/>
        <c:axId val="416706944"/>
        <c:axId val="416708480"/>
      </c:barChart>
      <c:catAx>
        <c:axId val="416706944"/>
        <c:scaling>
          <c:orientation val="minMax"/>
        </c:scaling>
        <c:axPos val="l"/>
        <c:numFmt formatCode="0%" sourceLinked="1"/>
        <c:tickLblPos val="nextTo"/>
        <c:crossAx val="416708480"/>
        <c:crosses val="autoZero"/>
        <c:auto val="1"/>
        <c:lblAlgn val="ctr"/>
        <c:lblOffset val="100"/>
      </c:catAx>
      <c:valAx>
        <c:axId val="416708480"/>
        <c:scaling>
          <c:orientation val="minMax"/>
        </c:scaling>
        <c:axPos val="b"/>
        <c:majorGridlines/>
        <c:numFmt formatCode="0%" sourceLinked="0"/>
        <c:tickLblPos val="nextTo"/>
        <c:crossAx val="416706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0.63688192426410151</c:v>
                </c:pt>
                <c:pt idx="1">
                  <c:v>8.1892343795685243E-3</c:v>
                </c:pt>
                <c:pt idx="2">
                  <c:v>1.6052736708683641E-2</c:v>
                </c:pt>
                <c:pt idx="3">
                  <c:v>1.5099296972475402E-4</c:v>
                </c:pt>
                <c:pt idx="4">
                  <c:v>9.0776251814218528E-2</c:v>
                </c:pt>
                <c:pt idx="5">
                  <c:v>0.11565791215908999</c:v>
                </c:pt>
                <c:pt idx="6">
                  <c:v>1.003556078645464E-2</c:v>
                </c:pt>
                <c:pt idx="7">
                  <c:v>3.5341077167183386E-3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1.2567008992266926E-2</c:v>
                </c:pt>
                <c:pt idx="1">
                  <c:v>1.3487456815519354E-2</c:v>
                </c:pt>
                <c:pt idx="2">
                  <c:v>2.4885615364587516E-2</c:v>
                </c:pt>
                <c:pt idx="3">
                  <c:v>1.0822574929253859E-3</c:v>
                </c:pt>
                <c:pt idx="4">
                  <c:v>2.5189878928685461E-2</c:v>
                </c:pt>
                <c:pt idx="5">
                  <c:v>2.0839153819977002E-2</c:v>
                </c:pt>
                <c:pt idx="6">
                  <c:v>1.3881257377659596E-2</c:v>
                </c:pt>
                <c:pt idx="7">
                  <c:v>6.7886504098190817E-3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1.2924050338224191E-2</c:v>
                </c:pt>
                <c:pt idx="1">
                  <c:v>9.2157542678814076E-3</c:v>
                </c:pt>
                <c:pt idx="2">
                  <c:v>1.668873316012013E-2</c:v>
                </c:pt>
                <c:pt idx="3">
                  <c:v>5.2991646811197763E-4</c:v>
                </c:pt>
                <c:pt idx="4">
                  <c:v>2.4227775137097285E-2</c:v>
                </c:pt>
                <c:pt idx="5">
                  <c:v>2.0691245958793736E-2</c:v>
                </c:pt>
                <c:pt idx="6">
                  <c:v>1.0132071346297927E-2</c:v>
                </c:pt>
                <c:pt idx="7">
                  <c:v>4.6136878765169129E-3</c:v>
                </c:pt>
              </c:numCache>
            </c:numRef>
          </c:val>
        </c:ser>
        <c:gapWidth val="100"/>
        <c:overlap val="100"/>
        <c:axId val="416717824"/>
        <c:axId val="422052608"/>
      </c:barChart>
      <c:catAx>
        <c:axId val="416717824"/>
        <c:scaling>
          <c:orientation val="minMax"/>
        </c:scaling>
        <c:axPos val="l"/>
        <c:numFmt formatCode="0%" sourceLinked="1"/>
        <c:tickLblPos val="nextTo"/>
        <c:crossAx val="422052608"/>
        <c:crosses val="autoZero"/>
        <c:auto val="1"/>
        <c:lblAlgn val="ctr"/>
        <c:lblOffset val="100"/>
      </c:catAx>
      <c:valAx>
        <c:axId val="422052608"/>
        <c:scaling>
          <c:orientation val="minMax"/>
        </c:scaling>
        <c:axPos val="b"/>
        <c:majorGridlines/>
        <c:numFmt formatCode="0%" sourceLinked="0"/>
        <c:tickLblPos val="nextTo"/>
        <c:crossAx val="416717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0.6387216984622075</c:v>
                </c:pt>
                <c:pt idx="1">
                  <c:v>7.3806242197659924E-3</c:v>
                </c:pt>
                <c:pt idx="2">
                  <c:v>4.3427168142739225E-3</c:v>
                </c:pt>
                <c:pt idx="3">
                  <c:v>5.491350250175673E-4</c:v>
                </c:pt>
                <c:pt idx="4">
                  <c:v>6.6264798077849393E-2</c:v>
                </c:pt>
                <c:pt idx="5">
                  <c:v>0.11972466477757154</c:v>
                </c:pt>
                <c:pt idx="6">
                  <c:v>6.0124116154298118E-3</c:v>
                </c:pt>
                <c:pt idx="7">
                  <c:v>2.9030413980775226E-2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1.1397940226431591E-2</c:v>
                </c:pt>
                <c:pt idx="1">
                  <c:v>1.2741447243302343E-2</c:v>
                </c:pt>
                <c:pt idx="2">
                  <c:v>7.3340430594345928E-3</c:v>
                </c:pt>
                <c:pt idx="3">
                  <c:v>2.6842867643482081E-3</c:v>
                </c:pt>
                <c:pt idx="4">
                  <c:v>2.8111431340479914E-2</c:v>
                </c:pt>
                <c:pt idx="5">
                  <c:v>2.1725683340403978E-2</c:v>
                </c:pt>
                <c:pt idx="6">
                  <c:v>1.054619129015544E-2</c:v>
                </c:pt>
                <c:pt idx="7">
                  <c:v>3.3432513762552976E-2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1.1803230077343518E-2</c:v>
                </c:pt>
                <c:pt idx="1">
                  <c:v>9.809049846110713E-3</c:v>
                </c:pt>
                <c:pt idx="2">
                  <c:v>5.4780583154272668E-3</c:v>
                </c:pt>
                <c:pt idx="3">
                  <c:v>1.7163241163766583E-3</c:v>
                </c:pt>
                <c:pt idx="4">
                  <c:v>2.8273865668883666E-2</c:v>
                </c:pt>
                <c:pt idx="5">
                  <c:v>2.2504502902623125E-2</c:v>
                </c:pt>
                <c:pt idx="6">
                  <c:v>6.5194787599931261E-3</c:v>
                </c:pt>
                <c:pt idx="7">
                  <c:v>2.3459811658094153E-2</c:v>
                </c:pt>
              </c:numCache>
            </c:numRef>
          </c:val>
        </c:ser>
        <c:gapWidth val="100"/>
        <c:overlap val="100"/>
        <c:axId val="422086144"/>
        <c:axId val="422087680"/>
      </c:barChart>
      <c:catAx>
        <c:axId val="422086144"/>
        <c:scaling>
          <c:orientation val="minMax"/>
        </c:scaling>
        <c:axPos val="l"/>
        <c:tickLblPos val="nextTo"/>
        <c:crossAx val="422087680"/>
        <c:crosses val="autoZero"/>
        <c:auto val="1"/>
        <c:lblAlgn val="ctr"/>
        <c:lblOffset val="100"/>
      </c:catAx>
      <c:valAx>
        <c:axId val="422087680"/>
        <c:scaling>
          <c:orientation val="minMax"/>
        </c:scaling>
        <c:axPos val="b"/>
        <c:majorGridlines/>
        <c:numFmt formatCode="0%" sourceLinked="0"/>
        <c:tickLblPos val="nextTo"/>
        <c:crossAx val="4220861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0.999426477197776</c:v>
                </c:pt>
                <c:pt idx="1">
                  <c:v>4.2185223271464538E-7</c:v>
                </c:pt>
                <c:pt idx="2">
                  <c:v>6.811816383642873E-7</c:v>
                </c:pt>
                <c:pt idx="3">
                  <c:v>1.0907105388141971E-7</c:v>
                </c:pt>
                <c:pt idx="4">
                  <c:v>5.5387275547286722E-7</c:v>
                </c:pt>
                <c:pt idx="5">
                  <c:v>2.5555257546012397E-7</c:v>
                </c:pt>
                <c:pt idx="6">
                  <c:v>8.4030724632232616E-6</c:v>
                </c:pt>
                <c:pt idx="7">
                  <c:v>2.0155854905355793E-6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1.5903192272870292E-4</c:v>
                </c:pt>
                <c:pt idx="1">
                  <c:v>4.8600707632590236E-5</c:v>
                </c:pt>
                <c:pt idx="2">
                  <c:v>3.9665808532362739E-5</c:v>
                </c:pt>
                <c:pt idx="3">
                  <c:v>2.5326514163764409E-5</c:v>
                </c:pt>
                <c:pt idx="4">
                  <c:v>4.738895773910705E-5</c:v>
                </c:pt>
                <c:pt idx="5">
                  <c:v>3.6299068576900735E-5</c:v>
                </c:pt>
                <c:pt idx="6">
                  <c:v>1.271946437336928E-4</c:v>
                </c:pt>
                <c:pt idx="7">
                  <c:v>7.7574990907511562E-5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1.7522436394434848E-4</c:v>
                </c:pt>
                <c:pt idx="1">
                  <c:v>1.0673661188405449E-5</c:v>
                </c:pt>
                <c:pt idx="2">
                  <c:v>3.7216002752239033E-6</c:v>
                </c:pt>
                <c:pt idx="3">
                  <c:v>4.7989761987752786E-6</c:v>
                </c:pt>
                <c:pt idx="4">
                  <c:v>9.278452905149414E-6</c:v>
                </c:pt>
                <c:pt idx="5">
                  <c:v>8.6751753028786052E-6</c:v>
                </c:pt>
                <c:pt idx="6">
                  <c:v>6.665880751687643E-5</c:v>
                </c:pt>
                <c:pt idx="7">
                  <c:v>3.2151329732148741E-5</c:v>
                </c:pt>
              </c:numCache>
            </c:numRef>
          </c:val>
        </c:ser>
        <c:gapWidth val="100"/>
        <c:overlap val="100"/>
        <c:axId val="422121472"/>
        <c:axId val="422123008"/>
      </c:barChart>
      <c:catAx>
        <c:axId val="422121472"/>
        <c:scaling>
          <c:orientation val="minMax"/>
        </c:scaling>
        <c:axPos val="l"/>
        <c:tickLblPos val="nextTo"/>
        <c:crossAx val="422123008"/>
        <c:crosses val="autoZero"/>
        <c:auto val="1"/>
        <c:lblAlgn val="ctr"/>
        <c:lblOffset val="100"/>
      </c:catAx>
      <c:valAx>
        <c:axId val="422123008"/>
        <c:scaling>
          <c:orientation val="minMax"/>
        </c:scaling>
        <c:axPos val="b"/>
        <c:majorGridlines/>
        <c:numFmt formatCode="0%" sourceLinked="0"/>
        <c:tickLblPos val="nextTo"/>
        <c:crossAx val="4221214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0.9708401846060366</c:v>
                </c:pt>
                <c:pt idx="1">
                  <c:v>3.6937984661834862E-7</c:v>
                </c:pt>
                <c:pt idx="2">
                  <c:v>4.5556009669312221E-7</c:v>
                </c:pt>
                <c:pt idx="3">
                  <c:v>2.7994345267363115E-7</c:v>
                </c:pt>
                <c:pt idx="4">
                  <c:v>3.0399567173166726E-7</c:v>
                </c:pt>
                <c:pt idx="5">
                  <c:v>1.6337795671946091E-7</c:v>
                </c:pt>
                <c:pt idx="6">
                  <c:v>2.7463839188745461E-2</c:v>
                </c:pt>
                <c:pt idx="7">
                  <c:v>3.9628179075132048E-6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4.2466476814317922E-4</c:v>
                </c:pt>
                <c:pt idx="1">
                  <c:v>8.6723447057576427E-5</c:v>
                </c:pt>
                <c:pt idx="2">
                  <c:v>1.2250989272423731E-4</c:v>
                </c:pt>
                <c:pt idx="3">
                  <c:v>8.6160638683000992E-5</c:v>
                </c:pt>
                <c:pt idx="4">
                  <c:v>1.1744719502120039E-4</c:v>
                </c:pt>
                <c:pt idx="5">
                  <c:v>7.5145293856292706E-5</c:v>
                </c:pt>
                <c:pt idx="6">
                  <c:v>4.5258030368544588E-4</c:v>
                </c:pt>
                <c:pt idx="7">
                  <c:v>3.2520959111529866E-4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3.2051042794722928E-4</c:v>
                </c:pt>
                <c:pt idx="1">
                  <c:v>1.1255671899198862E-5</c:v>
                </c:pt>
                <c:pt idx="2">
                  <c:v>1.0622972613820436E-5</c:v>
                </c:pt>
                <c:pt idx="3">
                  <c:v>-6.802106312708386E-6</c:v>
                </c:pt>
                <c:pt idx="4">
                  <c:v>1.7579461560531903E-5</c:v>
                </c:pt>
                <c:pt idx="5">
                  <c:v>-1.3507470037450007E-5</c:v>
                </c:pt>
                <c:pt idx="6">
                  <c:v>4.868601268580644E-4</c:v>
                </c:pt>
                <c:pt idx="7">
                  <c:v>1.1043466728135232E-4</c:v>
                </c:pt>
              </c:numCache>
            </c:numRef>
          </c:val>
        </c:ser>
        <c:gapWidth val="100"/>
        <c:overlap val="100"/>
        <c:axId val="422156544"/>
        <c:axId val="422170624"/>
      </c:barChart>
      <c:catAx>
        <c:axId val="422156544"/>
        <c:scaling>
          <c:orientation val="minMax"/>
        </c:scaling>
        <c:axPos val="l"/>
        <c:tickLblPos val="nextTo"/>
        <c:crossAx val="422170624"/>
        <c:crosses val="autoZero"/>
        <c:auto val="1"/>
        <c:lblAlgn val="ctr"/>
        <c:lblOffset val="100"/>
      </c:catAx>
      <c:valAx>
        <c:axId val="422170624"/>
        <c:scaling>
          <c:orientation val="minMax"/>
        </c:scaling>
        <c:axPos val="b"/>
        <c:majorGridlines/>
        <c:numFmt formatCode="0%" sourceLinked="0"/>
        <c:tickLblPos val="nextTo"/>
        <c:crossAx val="4221565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0.70983955585054215</c:v>
                </c:pt>
                <c:pt idx="1">
                  <c:v>8.3777427421799543E-4</c:v>
                </c:pt>
                <c:pt idx="2">
                  <c:v>1.6571985119284469E-2</c:v>
                </c:pt>
                <c:pt idx="3">
                  <c:v>1.4351100526056912E-5</c:v>
                </c:pt>
                <c:pt idx="4">
                  <c:v>7.6124247521426396E-4</c:v>
                </c:pt>
                <c:pt idx="5">
                  <c:v>0.20116059469748279</c:v>
                </c:pt>
                <c:pt idx="6">
                  <c:v>1.0760539133088678E-3</c:v>
                </c:pt>
                <c:pt idx="7">
                  <c:v>4.4910364049291051E-4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1.901554517171411E-2</c:v>
                </c:pt>
                <c:pt idx="1">
                  <c:v>2.2379731504439133E-3</c:v>
                </c:pt>
                <c:pt idx="2">
                  <c:v>2.5298573554030285E-2</c:v>
                </c:pt>
                <c:pt idx="3">
                  <c:v>2.7407053102223661E-4</c:v>
                </c:pt>
                <c:pt idx="4">
                  <c:v>3.0756742477478683E-3</c:v>
                </c:pt>
                <c:pt idx="5">
                  <c:v>1.4640758557870476E-2</c:v>
                </c:pt>
                <c:pt idx="6">
                  <c:v>3.0009521076457758E-3</c:v>
                </c:pt>
                <c:pt idx="7">
                  <c:v>1.7457916084563951E-3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1.9281177024648599E-2</c:v>
                </c:pt>
                <c:pt idx="1">
                  <c:v>1.3699142583732389E-3</c:v>
                </c:pt>
                <c:pt idx="2">
                  <c:v>1.6365711106907044E-2</c:v>
                </c:pt>
                <c:pt idx="3">
                  <c:v>8.4444106473184415E-5</c:v>
                </c:pt>
                <c:pt idx="4">
                  <c:v>1.8668748573232473E-3</c:v>
                </c:pt>
                <c:pt idx="5">
                  <c:v>1.4815616179577329E-2</c:v>
                </c:pt>
                <c:pt idx="6">
                  <c:v>1.5681226573372332E-3</c:v>
                </c:pt>
                <c:pt idx="7">
                  <c:v>1.0417171608992988E-3</c:v>
                </c:pt>
              </c:numCache>
            </c:numRef>
          </c:val>
        </c:ser>
        <c:gapWidth val="100"/>
        <c:overlap val="100"/>
        <c:axId val="422265600"/>
        <c:axId val="422267136"/>
      </c:barChart>
      <c:catAx>
        <c:axId val="422265600"/>
        <c:scaling>
          <c:orientation val="minMax"/>
        </c:scaling>
        <c:axPos val="l"/>
        <c:numFmt formatCode="0%" sourceLinked="1"/>
        <c:tickLblPos val="nextTo"/>
        <c:crossAx val="422267136"/>
        <c:crosses val="autoZero"/>
        <c:auto val="1"/>
        <c:lblAlgn val="ctr"/>
        <c:lblOffset val="100"/>
      </c:catAx>
      <c:valAx>
        <c:axId val="422267136"/>
        <c:scaling>
          <c:orientation val="minMax"/>
        </c:scaling>
        <c:axPos val="b"/>
        <c:majorGridlines/>
        <c:numFmt formatCode="0%" sourceLinked="0"/>
        <c:tickLblPos val="nextTo"/>
        <c:crossAx val="4222656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0.76663047479259816</c:v>
                </c:pt>
                <c:pt idx="1">
                  <c:v>8.3608968918953436E-3</c:v>
                </c:pt>
                <c:pt idx="2">
                  <c:v>1.0941967080001977E-3</c:v>
                </c:pt>
                <c:pt idx="3">
                  <c:v>8.876899831703928E-5</c:v>
                </c:pt>
                <c:pt idx="4">
                  <c:v>2.8614187362706398E-4</c:v>
                </c:pt>
                <c:pt idx="5">
                  <c:v>4.0268827185614919E-2</c:v>
                </c:pt>
                <c:pt idx="6">
                  <c:v>7.667627317068269E-3</c:v>
                </c:pt>
                <c:pt idx="7">
                  <c:v>8.5139467216271775E-2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8.3680799671788098E-3</c:v>
                </c:pt>
                <c:pt idx="1">
                  <c:v>2.172543174648451E-2</c:v>
                </c:pt>
                <c:pt idx="2">
                  <c:v>5.3568798085017579E-3</c:v>
                </c:pt>
                <c:pt idx="3">
                  <c:v>1.1488488097691038E-3</c:v>
                </c:pt>
                <c:pt idx="4">
                  <c:v>2.5490588408992481E-3</c:v>
                </c:pt>
                <c:pt idx="5">
                  <c:v>1.0106934798302027E-2</c:v>
                </c:pt>
                <c:pt idx="6">
                  <c:v>1.9884931124029163E-2</c:v>
                </c:pt>
                <c:pt idx="7">
                  <c:v>2.1323433921442897E-2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6.9411399854065747E-3</c:v>
                </c:pt>
                <c:pt idx="1">
                  <c:v>1.6596212739965775E-2</c:v>
                </c:pt>
                <c:pt idx="2">
                  <c:v>2.7440388404245536E-3</c:v>
                </c:pt>
                <c:pt idx="3">
                  <c:v>5.0003670009679882E-4</c:v>
                </c:pt>
                <c:pt idx="4">
                  <c:v>1.1468886162180132E-3</c:v>
                </c:pt>
                <c:pt idx="5">
                  <c:v>1.139668056993854E-2</c:v>
                </c:pt>
                <c:pt idx="6">
                  <c:v>1.6310012034712992E-2</c:v>
                </c:pt>
                <c:pt idx="7">
                  <c:v>2.0498528166009083E-2</c:v>
                </c:pt>
              </c:numCache>
            </c:numRef>
          </c:val>
        </c:ser>
        <c:gapWidth val="100"/>
        <c:overlap val="100"/>
        <c:axId val="422317056"/>
        <c:axId val="422327040"/>
      </c:barChart>
      <c:catAx>
        <c:axId val="422317056"/>
        <c:scaling>
          <c:orientation val="minMax"/>
        </c:scaling>
        <c:axPos val="l"/>
        <c:tickLblPos val="nextTo"/>
        <c:crossAx val="422327040"/>
        <c:crosses val="autoZero"/>
        <c:auto val="1"/>
        <c:lblAlgn val="ctr"/>
        <c:lblOffset val="100"/>
      </c:catAx>
      <c:valAx>
        <c:axId val="422327040"/>
        <c:scaling>
          <c:orientation val="minMax"/>
        </c:scaling>
        <c:axPos val="b"/>
        <c:majorGridlines/>
        <c:numFmt formatCode="0%" sourceLinked="0"/>
        <c:tickLblPos val="nextTo"/>
        <c:crossAx val="422317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8.6029102857303585E-2</c:v>
                </c:pt>
                <c:pt idx="1">
                  <c:v>6.8962811632615528E-2</c:v>
                </c:pt>
                <c:pt idx="2">
                  <c:v>0.14217334796503378</c:v>
                </c:pt>
                <c:pt idx="3">
                  <c:v>7.0160392927908197E-2</c:v>
                </c:pt>
                <c:pt idx="4">
                  <c:v>1.8039630628720795E-2</c:v>
                </c:pt>
                <c:pt idx="5">
                  <c:v>5.3242077804494761E-2</c:v>
                </c:pt>
                <c:pt idx="6">
                  <c:v>4.8885635885622641E-2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0.10257565935050075</c:v>
                </c:pt>
                <c:pt idx="1">
                  <c:v>0.11310818008334539</c:v>
                </c:pt>
                <c:pt idx="2">
                  <c:v>5.8616280449755642E-2</c:v>
                </c:pt>
                <c:pt idx="3">
                  <c:v>4.6317727630427005E-2</c:v>
                </c:pt>
                <c:pt idx="4">
                  <c:v>3.0368256800975265E-2</c:v>
                </c:pt>
                <c:pt idx="5">
                  <c:v>7.6553143136679949E-2</c:v>
                </c:pt>
                <c:pt idx="6">
                  <c:v>8.4967752846616035E-2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0.10760026507970963</c:v>
                </c:pt>
                <c:pt idx="1">
                  <c:v>0.10112110683379977</c:v>
                </c:pt>
                <c:pt idx="2">
                  <c:v>5.796734617465471E-2</c:v>
                </c:pt>
                <c:pt idx="3">
                  <c:v>4.5454394763270317E-2</c:v>
                </c:pt>
                <c:pt idx="4">
                  <c:v>2.7853467101837372E-2</c:v>
                </c:pt>
                <c:pt idx="5">
                  <c:v>7.472148163932063E-2</c:v>
                </c:pt>
                <c:pt idx="6">
                  <c:v>8.1149229465249051E-2</c:v>
                </c:pt>
              </c:numCache>
            </c:numRef>
          </c:val>
        </c:ser>
        <c:gapWidth val="101"/>
        <c:overlap val="100"/>
        <c:axId val="423614336"/>
        <c:axId val="423615872"/>
      </c:barChart>
      <c:catAx>
        <c:axId val="423614336"/>
        <c:scaling>
          <c:orientation val="minMax"/>
        </c:scaling>
        <c:axPos val="l"/>
        <c:tickLblPos val="nextTo"/>
        <c:crossAx val="423615872"/>
        <c:crosses val="autoZero"/>
        <c:auto val="1"/>
        <c:lblAlgn val="ctr"/>
        <c:lblOffset val="100"/>
      </c:catAx>
      <c:valAx>
        <c:axId val="423615872"/>
        <c:scaling>
          <c:orientation val="minMax"/>
        </c:scaling>
        <c:axPos val="b"/>
        <c:majorGridlines/>
        <c:numFmt formatCode="0%" sourceLinked="0"/>
        <c:tickLblPos val="nextTo"/>
        <c:crossAx val="4236143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1.5051131453038423E-2</c:v>
                </c:pt>
                <c:pt idx="1">
                  <c:v>3.1183097502944408E-2</c:v>
                </c:pt>
                <c:pt idx="2">
                  <c:v>1.8752707025431216E-4</c:v>
                </c:pt>
                <c:pt idx="3">
                  <c:v>0.22668857932684336</c:v>
                </c:pt>
                <c:pt idx="4">
                  <c:v>0.29503502891400174</c:v>
                </c:pt>
                <c:pt idx="5">
                  <c:v>1.8349271072378381E-2</c:v>
                </c:pt>
                <c:pt idx="6">
                  <c:v>6.5821530269531909E-3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4.6261941875927214E-2</c:v>
                </c:pt>
                <c:pt idx="1">
                  <c:v>8.2842212271876187E-2</c:v>
                </c:pt>
                <c:pt idx="2">
                  <c:v>3.3630181581444907E-3</c:v>
                </c:pt>
                <c:pt idx="3">
                  <c:v>0.10505165348924292</c:v>
                </c:pt>
                <c:pt idx="4">
                  <c:v>9.7275343977011264E-2</c:v>
                </c:pt>
                <c:pt idx="5">
                  <c:v>4.9064026172809888E-2</c:v>
                </c:pt>
                <c:pt idx="6">
                  <c:v>2.3065015688573817E-2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4.7156650548082289E-2</c:v>
                </c:pt>
                <c:pt idx="1">
                  <c:v>7.6329484414428994E-2</c:v>
                </c:pt>
                <c:pt idx="2">
                  <c:v>3.4538092442941955E-3</c:v>
                </c:pt>
                <c:pt idx="3">
                  <c:v>0.10677039227646107</c:v>
                </c:pt>
                <c:pt idx="4">
                  <c:v>9.7554848817823947E-2</c:v>
                </c:pt>
                <c:pt idx="5">
                  <c:v>5.6107657909753195E-2</c:v>
                </c:pt>
                <c:pt idx="6">
                  <c:v>2.2086267723263588E-2</c:v>
                </c:pt>
              </c:numCache>
            </c:numRef>
          </c:val>
        </c:ser>
        <c:gapWidth val="101"/>
        <c:overlap val="100"/>
        <c:axId val="422408576"/>
        <c:axId val="422410112"/>
      </c:barChart>
      <c:catAx>
        <c:axId val="422408576"/>
        <c:scaling>
          <c:orientation val="minMax"/>
        </c:scaling>
        <c:axPos val="l"/>
        <c:tickLblPos val="nextTo"/>
        <c:crossAx val="422410112"/>
        <c:crosses val="autoZero"/>
        <c:auto val="1"/>
        <c:lblAlgn val="ctr"/>
        <c:lblOffset val="100"/>
      </c:catAx>
      <c:valAx>
        <c:axId val="422410112"/>
        <c:scaling>
          <c:orientation val="minMax"/>
        </c:scaling>
        <c:axPos val="b"/>
        <c:majorGridlines/>
        <c:numFmt formatCode="0%" sourceLinked="0"/>
        <c:tickLblPos val="nextTo"/>
        <c:crossAx val="4224085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1.7737821713503903E-3</c:v>
                </c:pt>
                <c:pt idx="1">
                  <c:v>4.4217877453302239E-2</c:v>
                </c:pt>
                <c:pt idx="2">
                  <c:v>1.4257318433065632E-5</c:v>
                </c:pt>
                <c:pt idx="3">
                  <c:v>1.3146456088787863E-3</c:v>
                </c:pt>
                <c:pt idx="4">
                  <c:v>0.71017013099172288</c:v>
                </c:pt>
                <c:pt idx="5">
                  <c:v>2.3206513745747197E-3</c:v>
                </c:pt>
                <c:pt idx="6">
                  <c:v>6.7908709846579865E-4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9.6526041548685507E-3</c:v>
                </c:pt>
                <c:pt idx="1">
                  <c:v>0.10227575114096402</c:v>
                </c:pt>
                <c:pt idx="2">
                  <c:v>1.0587601641488817E-3</c:v>
                </c:pt>
                <c:pt idx="3">
                  <c:v>1.2918065849227597E-2</c:v>
                </c:pt>
                <c:pt idx="4">
                  <c:v>9.3442485268384723E-2</c:v>
                </c:pt>
                <c:pt idx="5">
                  <c:v>1.2688321963956568E-2</c:v>
                </c:pt>
                <c:pt idx="6">
                  <c:v>7.47357944172057E-3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9.9688210853830471E-3</c:v>
                </c:pt>
                <c:pt idx="1">
                  <c:v>0.10321963193701364</c:v>
                </c:pt>
                <c:pt idx="2">
                  <c:v>9.4200491951813891E-4</c:v>
                </c:pt>
                <c:pt idx="3">
                  <c:v>1.3687482317194305E-2</c:v>
                </c:pt>
                <c:pt idx="4">
                  <c:v>9.3267497539217259E-2</c:v>
                </c:pt>
                <c:pt idx="5">
                  <c:v>1.1915684849404265E-2</c:v>
                </c:pt>
                <c:pt idx="6">
                  <c:v>7.4035275495207067E-3</c:v>
                </c:pt>
              </c:numCache>
            </c:numRef>
          </c:val>
        </c:ser>
        <c:gapWidth val="101"/>
        <c:overlap val="100"/>
        <c:axId val="422435456"/>
        <c:axId val="422441344"/>
      </c:barChart>
      <c:catAx>
        <c:axId val="422435456"/>
        <c:scaling>
          <c:orientation val="minMax"/>
        </c:scaling>
        <c:axPos val="l"/>
        <c:tickLblPos val="nextTo"/>
        <c:crossAx val="422441344"/>
        <c:crosses val="autoZero"/>
        <c:auto val="1"/>
        <c:lblAlgn val="ctr"/>
        <c:lblOffset val="100"/>
      </c:catAx>
      <c:valAx>
        <c:axId val="422441344"/>
        <c:scaling>
          <c:orientation val="minMax"/>
        </c:scaling>
        <c:axPos val="b"/>
        <c:majorGridlines/>
        <c:numFmt formatCode="0%" sourceLinked="0"/>
        <c:tickLblPos val="nextTo"/>
        <c:crossAx val="4224354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1.4351160602642372E-2</c:v>
                </c:pt>
                <c:pt idx="1">
                  <c:v>6.9316744385283114E-3</c:v>
                </c:pt>
                <c:pt idx="2">
                  <c:v>7.7834241840004357E-4</c:v>
                </c:pt>
                <c:pt idx="3">
                  <c:v>0.15088378734912558</c:v>
                </c:pt>
                <c:pt idx="4">
                  <c:v>0.3051481096655016</c:v>
                </c:pt>
                <c:pt idx="5">
                  <c:v>1.0675149708938311E-2</c:v>
                </c:pt>
                <c:pt idx="6">
                  <c:v>5.7779924252374923E-2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4.2763174774829604E-2</c:v>
                </c:pt>
                <c:pt idx="1">
                  <c:v>2.6485829363278104E-2</c:v>
                </c:pt>
                <c:pt idx="2">
                  <c:v>8.5586068320542327E-3</c:v>
                </c:pt>
                <c:pt idx="3">
                  <c:v>0.11991572920426538</c:v>
                </c:pt>
                <c:pt idx="4">
                  <c:v>0.10242805866230253</c:v>
                </c:pt>
                <c:pt idx="5">
                  <c:v>3.6422708964371657E-2</c:v>
                </c:pt>
                <c:pt idx="6">
                  <c:v>0.11687774376338776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4.6118240716008937E-2</c:v>
                </c:pt>
                <c:pt idx="1">
                  <c:v>2.8077013776950481E-2</c:v>
                </c:pt>
                <c:pt idx="2">
                  <c:v>8.8225489227209651E-3</c:v>
                </c:pt>
                <c:pt idx="3">
                  <c:v>0.11398470221148055</c:v>
                </c:pt>
                <c:pt idx="4">
                  <c:v>0.10158356894973114</c:v>
                </c:pt>
                <c:pt idx="5">
                  <c:v>3.4599522731175961E-2</c:v>
                </c:pt>
                <c:pt idx="6">
                  <c:v>0.12478493329907178</c:v>
                </c:pt>
              </c:numCache>
            </c:numRef>
          </c:val>
        </c:ser>
        <c:gapWidth val="100"/>
        <c:overlap val="100"/>
        <c:axId val="423531648"/>
        <c:axId val="423533184"/>
      </c:barChart>
      <c:catAx>
        <c:axId val="423531648"/>
        <c:scaling>
          <c:orientation val="minMax"/>
        </c:scaling>
        <c:axPos val="l"/>
        <c:tickLblPos val="nextTo"/>
        <c:crossAx val="423533184"/>
        <c:crosses val="autoZero"/>
        <c:auto val="1"/>
        <c:lblAlgn val="ctr"/>
        <c:lblOffset val="100"/>
      </c:catAx>
      <c:valAx>
        <c:axId val="423533184"/>
        <c:scaling>
          <c:orientation val="minMax"/>
        </c:scaling>
        <c:axPos val="b"/>
        <c:majorGridlines/>
        <c:numFmt formatCode="0%" sourceLinked="0"/>
        <c:tickLblPos val="nextTo"/>
        <c:crossAx val="4235316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2.2846957142900711E-4</c:v>
                </c:pt>
                <c:pt idx="1">
                  <c:v>2.9766511254505554E-4</c:v>
                </c:pt>
                <c:pt idx="2">
                  <c:v>1.7641177379754151E-5</c:v>
                </c:pt>
                <c:pt idx="3">
                  <c:v>2.2513688932031771E-4</c:v>
                </c:pt>
                <c:pt idx="4">
                  <c:v>1.2381149111968958E-4</c:v>
                </c:pt>
                <c:pt idx="5">
                  <c:v>5.4908732932846451E-3</c:v>
                </c:pt>
                <c:pt idx="6">
                  <c:v>1.9267403697389375E-3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0.12342690780940326</c:v>
                </c:pt>
                <c:pt idx="1">
                  <c:v>0.10977486210314626</c:v>
                </c:pt>
                <c:pt idx="2">
                  <c:v>7.2353661885885601E-2</c:v>
                </c:pt>
                <c:pt idx="3">
                  <c:v>0.12077370027893213</c:v>
                </c:pt>
                <c:pt idx="4">
                  <c:v>0.10395329598336876</c:v>
                </c:pt>
                <c:pt idx="5">
                  <c:v>0.2796486017441161</c:v>
                </c:pt>
                <c:pt idx="6">
                  <c:v>0.18175863228991498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0.1492354601411589</c:v>
                </c:pt>
                <c:pt idx="1">
                  <c:v>0.13354171424499939</c:v>
                </c:pt>
                <c:pt idx="2">
                  <c:v>5.4722472625313837E-2</c:v>
                </c:pt>
                <c:pt idx="3">
                  <c:v>0.13398664325005077</c:v>
                </c:pt>
                <c:pt idx="4">
                  <c:v>0.10407512967595378</c:v>
                </c:pt>
                <c:pt idx="5">
                  <c:v>0.31454956522668193</c:v>
                </c:pt>
                <c:pt idx="6">
                  <c:v>0.2516110086729908</c:v>
                </c:pt>
              </c:numCache>
            </c:numRef>
          </c:val>
        </c:ser>
        <c:gapWidth val="100"/>
        <c:overlap val="100"/>
        <c:axId val="424754560"/>
        <c:axId val="424764544"/>
      </c:barChart>
      <c:catAx>
        <c:axId val="424754560"/>
        <c:scaling>
          <c:orientation val="minMax"/>
        </c:scaling>
        <c:axPos val="l"/>
        <c:tickLblPos val="nextTo"/>
        <c:crossAx val="424764544"/>
        <c:crosses val="autoZero"/>
        <c:auto val="1"/>
        <c:lblAlgn val="ctr"/>
        <c:lblOffset val="100"/>
      </c:catAx>
      <c:valAx>
        <c:axId val="424764544"/>
        <c:scaling>
          <c:orientation val="minMax"/>
        </c:scaling>
        <c:axPos val="b"/>
        <c:majorGridlines/>
        <c:numFmt formatCode="0%" sourceLinked="0"/>
        <c:tickLblPos val="nextTo"/>
        <c:crossAx val="4247545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1.5051131453038423E-2</c:v>
                </c:pt>
                <c:pt idx="1">
                  <c:v>3.1183097502944408E-2</c:v>
                </c:pt>
                <c:pt idx="2">
                  <c:v>1.8752707025431216E-4</c:v>
                </c:pt>
                <c:pt idx="3">
                  <c:v>0.22668857932684336</c:v>
                </c:pt>
                <c:pt idx="4">
                  <c:v>0.29503502891400174</c:v>
                </c:pt>
                <c:pt idx="5">
                  <c:v>1.8349271072378381E-2</c:v>
                </c:pt>
                <c:pt idx="6">
                  <c:v>6.5821530269531909E-3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4.6261941875927214E-2</c:v>
                </c:pt>
                <c:pt idx="1">
                  <c:v>8.2842212271876187E-2</c:v>
                </c:pt>
                <c:pt idx="2">
                  <c:v>3.3630181581444907E-3</c:v>
                </c:pt>
                <c:pt idx="3">
                  <c:v>0.10505165348924292</c:v>
                </c:pt>
                <c:pt idx="4">
                  <c:v>9.7275343977011264E-2</c:v>
                </c:pt>
                <c:pt idx="5">
                  <c:v>4.9064026172809888E-2</c:v>
                </c:pt>
                <c:pt idx="6">
                  <c:v>2.3065015688573817E-2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4.7156650548082289E-2</c:v>
                </c:pt>
                <c:pt idx="1">
                  <c:v>7.6329484414428994E-2</c:v>
                </c:pt>
                <c:pt idx="2">
                  <c:v>3.4538092442941955E-3</c:v>
                </c:pt>
                <c:pt idx="3">
                  <c:v>0.10677039227646107</c:v>
                </c:pt>
                <c:pt idx="4">
                  <c:v>9.7554848817823947E-2</c:v>
                </c:pt>
                <c:pt idx="5">
                  <c:v>5.6107657909753195E-2</c:v>
                </c:pt>
                <c:pt idx="6">
                  <c:v>2.2086267723263588E-2</c:v>
                </c:pt>
              </c:numCache>
            </c:numRef>
          </c:val>
        </c:ser>
        <c:gapWidth val="100"/>
        <c:overlap val="100"/>
        <c:axId val="424793984"/>
        <c:axId val="424795520"/>
      </c:barChart>
      <c:catAx>
        <c:axId val="424793984"/>
        <c:scaling>
          <c:orientation val="minMax"/>
        </c:scaling>
        <c:axPos val="l"/>
        <c:tickLblPos val="nextTo"/>
        <c:crossAx val="424795520"/>
        <c:crosses val="autoZero"/>
        <c:auto val="1"/>
        <c:lblAlgn val="ctr"/>
        <c:lblOffset val="100"/>
      </c:catAx>
      <c:valAx>
        <c:axId val="424795520"/>
        <c:scaling>
          <c:orientation val="minMax"/>
        </c:scaling>
        <c:axPos val="b"/>
        <c:majorGridlines/>
        <c:numFmt formatCode="0%" sourceLinked="0"/>
        <c:tickLblPos val="nextTo"/>
        <c:crossAx val="4247939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6.1313073328965635E-2</c:v>
                </c:pt>
                <c:pt idx="1">
                  <c:v>0.11402530977482059</c:v>
                </c:pt>
                <c:pt idx="2">
                  <c:v>3.5505452283988029E-3</c:v>
                </c:pt>
                <c:pt idx="3">
                  <c:v>0.33174023281608628</c:v>
                </c:pt>
                <c:pt idx="4">
                  <c:v>0.392310372891013</c:v>
                </c:pt>
                <c:pt idx="5">
                  <c:v>6.7413297245188269E-2</c:v>
                </c:pt>
                <c:pt idx="6">
                  <c:v>2.9647168715527007E-2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1.7096823492285768E-2</c:v>
                </c:pt>
                <c:pt idx="1">
                  <c:v>2.261130683623705E-3</c:v>
                </c:pt>
                <c:pt idx="2">
                  <c:v>1.076106841651515E-4</c:v>
                </c:pt>
                <c:pt idx="3">
                  <c:v>3.1586752859679411E-4</c:v>
                </c:pt>
                <c:pt idx="4">
                  <c:v>0.14982448989663011</c:v>
                </c:pt>
                <c:pt idx="5">
                  <c:v>1.6848291264834579E-2</c:v>
                </c:pt>
                <c:pt idx="6">
                  <c:v>0.33207906816314359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0.11451409919466611</c:v>
                </c:pt>
                <c:pt idx="1">
                  <c:v>2.6539861518800105E-2</c:v>
                </c:pt>
                <c:pt idx="2">
                  <c:v>5.4451582284493162E-3</c:v>
                </c:pt>
                <c:pt idx="3">
                  <c:v>1.2476616400770704E-2</c:v>
                </c:pt>
                <c:pt idx="4">
                  <c:v>7.7143945377396217E-2</c:v>
                </c:pt>
                <c:pt idx="5">
                  <c:v>0.10348014031760175</c:v>
                </c:pt>
                <c:pt idx="6">
                  <c:v>0.14186689724903551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0.12466697455369033</c:v>
                </c:pt>
                <c:pt idx="1">
                  <c:v>2.4902779030225856E-2</c:v>
                </c:pt>
                <c:pt idx="2">
                  <c:v>5.4438378044335076E-3</c:v>
                </c:pt>
                <c:pt idx="3">
                  <c:v>1.4492430726294339E-2</c:v>
                </c:pt>
                <c:pt idx="4">
                  <c:v>7.5624054548778963E-2</c:v>
                </c:pt>
                <c:pt idx="5">
                  <c:v>0.12062845137204813</c:v>
                </c:pt>
                <c:pt idx="6">
                  <c:v>0.14832875273543017</c:v>
                </c:pt>
              </c:numCache>
            </c:numRef>
          </c:val>
        </c:ser>
        <c:gapWidth val="100"/>
        <c:overlap val="100"/>
        <c:axId val="424833408"/>
        <c:axId val="424834944"/>
      </c:barChart>
      <c:catAx>
        <c:axId val="424833408"/>
        <c:scaling>
          <c:orientation val="minMax"/>
        </c:scaling>
        <c:axPos val="l"/>
        <c:tickLblPos val="nextTo"/>
        <c:crossAx val="424834944"/>
        <c:crosses val="autoZero"/>
        <c:auto val="1"/>
        <c:lblAlgn val="ctr"/>
        <c:lblOffset val="100"/>
      </c:catAx>
      <c:valAx>
        <c:axId val="424834944"/>
        <c:scaling>
          <c:orientation val="minMax"/>
        </c:scaling>
        <c:axPos val="b"/>
        <c:majorGridlines/>
        <c:numFmt formatCode="0%" sourceLinked="0"/>
        <c:tickLblPos val="nextTo"/>
        <c:crossAx val="424833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3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1.4778360964780867E-6</c:v>
                </c:pt>
                <c:pt idx="1">
                  <c:v>1.6157780663921289E-6</c:v>
                </c:pt>
                <c:pt idx="2">
                  <c:v>7.9051427479657942E-7</c:v>
                </c:pt>
                <c:pt idx="3">
                  <c:v>1.0705976297408037E-6</c:v>
                </c:pt>
                <c:pt idx="4">
                  <c:v>4.3924224536310185E-7</c:v>
                </c:pt>
                <c:pt idx="5">
                  <c:v>0.95455137245515642</c:v>
                </c:pt>
                <c:pt idx="6">
                  <c:v>1.5337167890518998E-5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3.0195159855172776E-3</c:v>
                </c:pt>
                <c:pt idx="1">
                  <c:v>4.2676419300610152E-3</c:v>
                </c:pt>
                <c:pt idx="2">
                  <c:v>2.9818984378410102E-3</c:v>
                </c:pt>
                <c:pt idx="3">
                  <c:v>4.0970041491575366E-3</c:v>
                </c:pt>
                <c:pt idx="4">
                  <c:v>2.5997592661656547E-3</c:v>
                </c:pt>
                <c:pt idx="5">
                  <c:v>1.706559296972554E-2</c:v>
                </c:pt>
                <c:pt idx="6">
                  <c:v>1.1396483670167407E-2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3.3186688397065425E-3</c:v>
                </c:pt>
                <c:pt idx="1">
                  <c:v>4.6138930237822461E-3</c:v>
                </c:pt>
                <c:pt idx="2">
                  <c:v>3.3126826598355564E-3</c:v>
                </c:pt>
                <c:pt idx="3">
                  <c:v>4.5059968651581907E-3</c:v>
                </c:pt>
                <c:pt idx="4">
                  <c:v>2.6312096042274101E-3</c:v>
                </c:pt>
                <c:pt idx="5">
                  <c:v>1.9691591019555199E-2</c:v>
                </c:pt>
                <c:pt idx="6">
                  <c:v>1.3844229081417601E-2</c:v>
                </c:pt>
              </c:numCache>
            </c:numRef>
          </c:val>
        </c:ser>
        <c:gapWidth val="100"/>
        <c:overlap val="100"/>
        <c:axId val="424864384"/>
        <c:axId val="424952192"/>
      </c:barChart>
      <c:catAx>
        <c:axId val="424864384"/>
        <c:scaling>
          <c:orientation val="minMax"/>
        </c:scaling>
        <c:axPos val="l"/>
        <c:tickLblPos val="nextTo"/>
        <c:crossAx val="424952192"/>
        <c:crosses val="autoZero"/>
        <c:auto val="1"/>
        <c:lblAlgn val="ctr"/>
        <c:lblOffset val="100"/>
      </c:catAx>
      <c:valAx>
        <c:axId val="424952192"/>
        <c:scaling>
          <c:orientation val="minMax"/>
        </c:scaling>
        <c:axPos val="b"/>
        <c:majorGridlines/>
        <c:numFmt formatCode="0%" sourceLinked="0"/>
        <c:tickLblPos val="nextTo"/>
        <c:crossAx val="4248643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9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5977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0.63688192426410151</c:v>
                </c:pt>
                <c:pt idx="1">
                  <c:v>8.1892343795685243E-3</c:v>
                </c:pt>
                <c:pt idx="2">
                  <c:v>1.6052736708683641E-2</c:v>
                </c:pt>
                <c:pt idx="3">
                  <c:v>1.5099296972475402E-4</c:v>
                </c:pt>
                <c:pt idx="4">
                  <c:v>9.0776251814218528E-2</c:v>
                </c:pt>
                <c:pt idx="5">
                  <c:v>0.11565791215908999</c:v>
                </c:pt>
                <c:pt idx="6">
                  <c:v>1.003556078645464E-2</c:v>
                </c:pt>
                <c:pt idx="7">
                  <c:v>3.5341077167183386E-3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1.2567008992266926E-2</c:v>
                </c:pt>
                <c:pt idx="1">
                  <c:v>1.3487456815519354E-2</c:v>
                </c:pt>
                <c:pt idx="2">
                  <c:v>2.4885615364587516E-2</c:v>
                </c:pt>
                <c:pt idx="3">
                  <c:v>1.0822574929253859E-3</c:v>
                </c:pt>
                <c:pt idx="4">
                  <c:v>2.5189878928685461E-2</c:v>
                </c:pt>
                <c:pt idx="5">
                  <c:v>2.0839153819977002E-2</c:v>
                </c:pt>
                <c:pt idx="6">
                  <c:v>1.3881257377659596E-2</c:v>
                </c:pt>
                <c:pt idx="7">
                  <c:v>6.7886504098190817E-3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1.2924050338224191E-2</c:v>
                </c:pt>
                <c:pt idx="1">
                  <c:v>9.2157542678814076E-3</c:v>
                </c:pt>
                <c:pt idx="2">
                  <c:v>1.668873316012013E-2</c:v>
                </c:pt>
                <c:pt idx="3">
                  <c:v>5.2991646811197763E-4</c:v>
                </c:pt>
                <c:pt idx="4">
                  <c:v>2.4227775137097285E-2</c:v>
                </c:pt>
                <c:pt idx="5">
                  <c:v>2.0691245958793736E-2</c:v>
                </c:pt>
                <c:pt idx="6">
                  <c:v>1.0132071346297927E-2</c:v>
                </c:pt>
                <c:pt idx="7">
                  <c:v>4.6136878765169129E-3</c:v>
                </c:pt>
              </c:numCache>
            </c:numRef>
          </c:val>
        </c:ser>
        <c:overlap val="100"/>
        <c:axId val="425085184"/>
        <c:axId val="42509964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0.56180875203091096</c:v>
                </c:pt>
                <c:pt idx="1">
                  <c:v>9.6622266302898649E-2</c:v>
                </c:pt>
                <c:pt idx="2">
                  <c:v>9.4882090946714417E-2</c:v>
                </c:pt>
                <c:pt idx="3">
                  <c:v>0.10456356326955371</c:v>
                </c:pt>
                <c:pt idx="4">
                  <c:v>4.8672187041583666E-2</c:v>
                </c:pt>
                <c:pt idx="5">
                  <c:v>1.8487177597443272E-2</c:v>
                </c:pt>
                <c:pt idx="6">
                  <c:v>3.0713456071724741E-2</c:v>
                </c:pt>
                <c:pt idx="7">
                  <c:v>4.4250506739170546E-2</c:v>
                </c:pt>
              </c:numCache>
            </c:numRef>
          </c:val>
        </c:ser>
        <c:marker val="1"/>
        <c:axId val="425085184"/>
        <c:axId val="425099648"/>
      </c:lineChart>
      <c:catAx>
        <c:axId val="425085184"/>
        <c:scaling>
          <c:orientation val="minMax"/>
        </c:scaling>
        <c:axPos val="b"/>
        <c:tickLblPos val="nextTo"/>
        <c:crossAx val="425099648"/>
        <c:crosses val="autoZero"/>
        <c:auto val="1"/>
        <c:lblAlgn val="ctr"/>
        <c:lblOffset val="100"/>
      </c:catAx>
      <c:valAx>
        <c:axId val="425099648"/>
        <c:scaling>
          <c:orientation val="minMax"/>
        </c:scaling>
        <c:axPos val="l"/>
        <c:majorGridlines/>
        <c:numFmt formatCode="0%" sourceLinked="0"/>
        <c:tickLblPos val="nextTo"/>
        <c:crossAx val="4250851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43"/>
          <c:w val="0.5562682138416909"/>
          <c:h val="0.692582184133047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0.64944893325636843</c:v>
                </c:pt>
                <c:pt idx="1">
                  <c:v>2.1676691195087878E-2</c:v>
                </c:pt>
                <c:pt idx="2">
                  <c:v>4.0938352073271157E-2</c:v>
                </c:pt>
                <c:pt idx="3">
                  <c:v>1.23325046265014E-3</c:v>
                </c:pt>
                <c:pt idx="4">
                  <c:v>0.11596613074290399</c:v>
                </c:pt>
                <c:pt idx="5">
                  <c:v>0.13649706597906699</c:v>
                </c:pt>
                <c:pt idx="6">
                  <c:v>2.3916818164114236E-2</c:v>
                </c:pt>
                <c:pt idx="7">
                  <c:v>1.0322758126537421E-2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IC'!$D$195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IC'!$D$196:$D$203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IC'!$E$195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IC'!$E$196:$E$203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25003648"/>
        <c:axId val="425038208"/>
      </c:barChart>
      <c:catAx>
        <c:axId val="425003648"/>
        <c:scaling>
          <c:orientation val="minMax"/>
        </c:scaling>
        <c:axPos val="l"/>
        <c:tickLblPos val="nextTo"/>
        <c:crossAx val="425038208"/>
        <c:crosses val="autoZero"/>
        <c:auto val="1"/>
        <c:lblAlgn val="ctr"/>
        <c:lblOffset val="100"/>
      </c:catAx>
      <c:valAx>
        <c:axId val="425038208"/>
        <c:scaling>
          <c:orientation val="minMax"/>
        </c:scaling>
        <c:axPos val="b"/>
        <c:majorGridlines/>
        <c:numFmt formatCode="0.0%" sourceLinked="1"/>
        <c:tickLblPos val="nextTo"/>
        <c:crossAx val="42500364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162"/>
          <c:y val="2.288868547395718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09"/>
          <c:y val="5.1400554097404488E-2"/>
          <c:w val="0.82164348206474824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58E-3"/>
                  <c:y val="-2.0934752710929129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67E-2"/>
                  <c:y val="-5.7823089876890742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147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27E-3"/>
                  <c:y val="-6.800219629911358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133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409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905E-3"/>
                  <c:y val="2.8709188524677725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3.1390664572732138E-2</c:v>
                </c:pt>
                <c:pt idx="3">
                  <c:v>5.5291722300972554E-2</c:v>
                </c:pt>
                <c:pt idx="4">
                  <c:v>5.3998164657843073E-2</c:v>
                </c:pt>
                <c:pt idx="5">
                  <c:v>5.1554959718268165E-2</c:v>
                </c:pt>
                <c:pt idx="6">
                  <c:v>2.8536326743371695E-2</c:v>
                </c:pt>
                <c:pt idx="7">
                  <c:v>3.8644858050511752E-2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3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4027E-3"/>
                  <c:y val="-1.1530797329667133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yVal>
        </c:ser>
        <c:axId val="434679168"/>
        <c:axId val="434693632"/>
      </c:scatterChart>
      <c:valAx>
        <c:axId val="43467916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283"/>
              <c:y val="0.9143162960411767"/>
            </c:manualLayout>
          </c:layout>
        </c:title>
        <c:numFmt formatCode="0%" sourceLinked="0"/>
        <c:tickLblPos val="nextTo"/>
        <c:crossAx val="434693632"/>
        <c:crossesAt val="-4.0000000000000022E-2"/>
        <c:crossBetween val="midCat"/>
      </c:valAx>
      <c:valAx>
        <c:axId val="434693632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434679168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618E-2"/>
          <c:h val="8.2778823388199876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IC'!$H$195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IC'!$H$196:$H$203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IC'!$I$195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val>
        </c:ser>
        <c:axId val="434624000"/>
        <c:axId val="434625536"/>
      </c:barChart>
      <c:catAx>
        <c:axId val="434624000"/>
        <c:scaling>
          <c:orientation val="minMax"/>
        </c:scaling>
        <c:axPos val="l"/>
        <c:tickLblPos val="none"/>
        <c:crossAx val="434625536"/>
        <c:crosses val="autoZero"/>
        <c:auto val="1"/>
        <c:lblAlgn val="ctr"/>
        <c:lblOffset val="100"/>
      </c:catAx>
      <c:valAx>
        <c:axId val="434625536"/>
        <c:scaling>
          <c:orientation val="minMax"/>
        </c:scaling>
        <c:axPos val="b"/>
        <c:majorGridlines/>
        <c:numFmt formatCode="0.0%" sourceLinked="1"/>
        <c:tickLblPos val="nextTo"/>
        <c:crossAx val="43462400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IC'!$K$195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IC'!$K$196:$K$203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-0.29522023448510448</c:v>
                </c:pt>
                <c:pt idx="2">
                  <c:v>6.9162591375635629E-2</c:v>
                </c:pt>
                <c:pt idx="3">
                  <c:v>-0.20416543288383174</c:v>
                </c:pt>
                <c:pt idx="4">
                  <c:v>-0.15003557868125147</c:v>
                </c:pt>
                <c:pt idx="5">
                  <c:v>-0.10901166161223171</c:v>
                </c:pt>
                <c:pt idx="6">
                  <c:v>-0.43789862932231632</c:v>
                </c:pt>
                <c:pt idx="7">
                  <c:v>-0.29750670106956317</c:v>
                </c:pt>
              </c:numCache>
            </c:numRef>
          </c:val>
        </c:ser>
        <c:ser>
          <c:idx val="1"/>
          <c:order val="1"/>
          <c:tx>
            <c:strRef>
              <c:f>'output IC'!$L$195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IC'!$L$196:$L$203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0.10851682517672166</c:v>
                </c:pt>
                <c:pt idx="2">
                  <c:v>0.17570249189229437</c:v>
                </c:pt>
                <c:pt idx="3">
                  <c:v>-0.1193105555867558</c:v>
                </c:pt>
                <c:pt idx="4">
                  <c:v>0.24833089811040349</c:v>
                </c:pt>
                <c:pt idx="5">
                  <c:v>0.25334215076453065</c:v>
                </c:pt>
                <c:pt idx="6">
                  <c:v>0.10729121331967023</c:v>
                </c:pt>
                <c:pt idx="7">
                  <c:v>8.0029621795193684E-2</c:v>
                </c:pt>
              </c:numCache>
            </c:numRef>
          </c:val>
        </c:ser>
        <c:axId val="434703744"/>
        <c:axId val="434726016"/>
      </c:barChart>
      <c:catAx>
        <c:axId val="434703744"/>
        <c:scaling>
          <c:orientation val="minMax"/>
        </c:scaling>
        <c:axPos val="l"/>
        <c:tickLblPos val="high"/>
        <c:crossAx val="434726016"/>
        <c:crosses val="autoZero"/>
        <c:auto val="1"/>
        <c:lblAlgn val="ctr"/>
        <c:lblOffset val="100"/>
      </c:catAx>
      <c:valAx>
        <c:axId val="434726016"/>
        <c:scaling>
          <c:orientation val="minMax"/>
        </c:scaling>
        <c:axPos val="b"/>
        <c:majorGridlines/>
        <c:numFmt formatCode="#,##0.00_ ;\-#,##0.00\ " sourceLinked="1"/>
        <c:tickLblPos val="nextTo"/>
        <c:crossAx val="43470374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45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1.5051131453038423E-2</c:v>
                </c:pt>
                <c:pt idx="1">
                  <c:v>3.1183097502944408E-2</c:v>
                </c:pt>
                <c:pt idx="2">
                  <c:v>1.8752707025431216E-4</c:v>
                </c:pt>
                <c:pt idx="3">
                  <c:v>0.22668857932684336</c:v>
                </c:pt>
                <c:pt idx="4">
                  <c:v>0.29503502891400174</c:v>
                </c:pt>
                <c:pt idx="5">
                  <c:v>1.8349271072378381E-2</c:v>
                </c:pt>
                <c:pt idx="6">
                  <c:v>6.5821530269531909E-3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4.6261941875927214E-2</c:v>
                </c:pt>
                <c:pt idx="1">
                  <c:v>8.2842212271876187E-2</c:v>
                </c:pt>
                <c:pt idx="2">
                  <c:v>3.3630181581444907E-3</c:v>
                </c:pt>
                <c:pt idx="3">
                  <c:v>0.10505165348924292</c:v>
                </c:pt>
                <c:pt idx="4">
                  <c:v>9.7275343977011264E-2</c:v>
                </c:pt>
                <c:pt idx="5">
                  <c:v>4.9064026172809888E-2</c:v>
                </c:pt>
                <c:pt idx="6">
                  <c:v>2.3065015688573817E-2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4.7156650548082289E-2</c:v>
                </c:pt>
                <c:pt idx="1">
                  <c:v>7.6329484414428994E-2</c:v>
                </c:pt>
                <c:pt idx="2">
                  <c:v>3.4538092442941955E-3</c:v>
                </c:pt>
                <c:pt idx="3">
                  <c:v>0.10677039227646107</c:v>
                </c:pt>
                <c:pt idx="4">
                  <c:v>9.7554848817823947E-2</c:v>
                </c:pt>
                <c:pt idx="5">
                  <c:v>5.6107657909753195E-2</c:v>
                </c:pt>
                <c:pt idx="6">
                  <c:v>2.2086267723263588E-2</c:v>
                </c:pt>
              </c:numCache>
            </c:numRef>
          </c:val>
        </c:ser>
        <c:overlap val="100"/>
        <c:axId val="434748416"/>
        <c:axId val="43477107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0.2205025014778812</c:v>
                </c:pt>
                <c:pt idx="1">
                  <c:v>0.21653123239332159</c:v>
                </c:pt>
                <c:pt idx="2">
                  <c:v>0.23862540330091181</c:v>
                </c:pt>
                <c:pt idx="3">
                  <c:v>0.11107521491396176</c:v>
                </c:pt>
                <c:pt idx="4">
                  <c:v>4.2189746333654299E-2</c:v>
                </c:pt>
                <c:pt idx="5">
                  <c:v>7.0091441155144513E-2</c:v>
                </c:pt>
                <c:pt idx="6">
                  <c:v>0.10098446042512488</c:v>
                </c:pt>
              </c:numCache>
            </c:numRef>
          </c:val>
        </c:ser>
        <c:marker val="1"/>
        <c:axId val="434748416"/>
        <c:axId val="434771072"/>
      </c:lineChart>
      <c:catAx>
        <c:axId val="434748416"/>
        <c:scaling>
          <c:orientation val="minMax"/>
        </c:scaling>
        <c:axPos val="b"/>
        <c:numFmt formatCode="General" sourceLinked="1"/>
        <c:tickLblPos val="nextTo"/>
        <c:crossAx val="434771072"/>
        <c:crosses val="autoZero"/>
        <c:auto val="1"/>
        <c:lblAlgn val="ctr"/>
        <c:lblOffset val="100"/>
      </c:catAx>
      <c:valAx>
        <c:axId val="434771072"/>
        <c:scaling>
          <c:orientation val="minMax"/>
        </c:scaling>
        <c:axPos val="l"/>
        <c:majorGridlines/>
        <c:numFmt formatCode="0%" sourceLinked="0"/>
        <c:tickLblPos val="nextTo"/>
        <c:crossAx val="43474841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6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09"/>
          <c:y val="5.1400554097404488E-2"/>
          <c:w val="0.821643482064748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7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IC'!$J$196:$J$203</c:f>
              <c:numCache>
                <c:formatCode>0.0%</c:formatCode>
                <c:ptCount val="8"/>
                <c:pt idx="0">
                  <c:v>0.1023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1.7080984570854354E-2</c:v>
                </c:pt>
                <c:pt idx="2">
                  <c:v>2.8210029350712571E-2</c:v>
                </c:pt>
                <c:pt idx="3">
                  <c:v>-3.3982895609806815E-2</c:v>
                </c:pt>
                <c:pt idx="4">
                  <c:v>7.2231587254445423E-2</c:v>
                </c:pt>
                <c:pt idx="5">
                  <c:v>8.3002461795964225E-2</c:v>
                </c:pt>
                <c:pt idx="6">
                  <c:v>1.695057316664925E-2</c:v>
                </c:pt>
                <c:pt idx="7">
                  <c:v>1.5703249352120311E-2</c:v>
                </c:pt>
              </c:numCache>
            </c:numRef>
          </c:yVal>
        </c:ser>
        <c:axId val="434804224"/>
        <c:axId val="434806144"/>
      </c:scatterChart>
      <c:valAx>
        <c:axId val="43480422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545"/>
            </c:manualLayout>
          </c:layout>
        </c:title>
        <c:numFmt formatCode="0%" sourceLinked="0"/>
        <c:tickLblPos val="nextTo"/>
        <c:crossAx val="434806144"/>
        <c:crosses val="autoZero"/>
        <c:crossBetween val="midCat"/>
      </c:valAx>
      <c:valAx>
        <c:axId val="4348061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34804224"/>
        <c:crosses val="autoZero"/>
        <c:crossBetween val="midCat"/>
      </c:valAx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472E-4"/>
          <c:y val="4.6296296296296424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72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3065E-2"/>
          <c:y val="8.2949983364755453E-2"/>
          <c:w val="0.8337494641797969"/>
          <c:h val="0.45695611992162982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895"/>
          <c:w val="0.84357852143482071"/>
          <c:h val="0.52385151043111544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analyze'!$E$10:$E$17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1.4756554714979015E-2</c:v>
                </c:pt>
                <c:pt idx="2">
                  <c:v>2.8969409009422228E-2</c:v>
                </c:pt>
                <c:pt idx="3">
                  <c:v>4.3407824388982212E-2</c:v>
                </c:pt>
                <c:pt idx="4">
                  <c:v>6.9586354752018964E-2</c:v>
                </c:pt>
                <c:pt idx="5">
                  <c:v>8.2472295285344041E-2</c:v>
                </c:pt>
                <c:pt idx="6">
                  <c:v>8.7107694541058198E-2</c:v>
                </c:pt>
                <c:pt idx="7">
                  <c:v>9.1425777197242902E-2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analyze'!$F$10:$F$17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overlap val="100"/>
        <c:axId val="434927872"/>
        <c:axId val="434937856"/>
      </c:barChart>
      <c:catAx>
        <c:axId val="434927872"/>
        <c:scaling>
          <c:orientation val="minMax"/>
        </c:scaling>
        <c:axPos val="b"/>
        <c:tickLblPos val="nextTo"/>
        <c:crossAx val="434937856"/>
        <c:crosses val="autoZero"/>
        <c:auto val="1"/>
        <c:lblAlgn val="ctr"/>
        <c:lblOffset val="100"/>
      </c:catAx>
      <c:valAx>
        <c:axId val="434937856"/>
        <c:scaling>
          <c:orientation val="minMax"/>
        </c:scaling>
        <c:axPos val="l"/>
        <c:majorGridlines/>
        <c:numFmt formatCode="General" sourceLinked="1"/>
        <c:tickLblPos val="nextTo"/>
        <c:crossAx val="4349278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01"/>
          <c:w val="0.84357852143482071"/>
          <c:h val="0.52385151043111566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analyze'!$H$10:$H$17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1.5220718103759889E-2</c:v>
                </c:pt>
                <c:pt idx="2">
                  <c:v>2.5751260978829932E-2</c:v>
                </c:pt>
                <c:pt idx="3">
                  <c:v>4.0924854873741444E-2</c:v>
                </c:pt>
                <c:pt idx="4">
                  <c:v>6.0352707790396337E-2</c:v>
                </c:pt>
                <c:pt idx="5">
                  <c:v>8.163025021394632E-2</c:v>
                </c:pt>
                <c:pt idx="6">
                  <c:v>8.6316350130660122E-2</c:v>
                </c:pt>
                <c:pt idx="7">
                  <c:v>9.058095319950521E-2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analyze'!$I$10:$I$17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overlap val="100"/>
        <c:axId val="435027968"/>
        <c:axId val="435029504"/>
      </c:barChart>
      <c:catAx>
        <c:axId val="435027968"/>
        <c:scaling>
          <c:orientation val="minMax"/>
        </c:scaling>
        <c:axPos val="b"/>
        <c:tickLblPos val="nextTo"/>
        <c:crossAx val="435029504"/>
        <c:crosses val="autoZero"/>
        <c:auto val="1"/>
        <c:lblAlgn val="ctr"/>
        <c:lblOffset val="100"/>
      </c:catAx>
      <c:valAx>
        <c:axId val="435029504"/>
        <c:scaling>
          <c:orientation val="minMax"/>
        </c:scaling>
        <c:axPos val="l"/>
        <c:majorGridlines/>
        <c:numFmt formatCode="General" sourceLinked="1"/>
        <c:tickLblPos val="nextTo"/>
        <c:crossAx val="4350279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616045</xdr:colOff>
      <xdr:row>5</xdr:row>
      <xdr:rowOff>17089</xdr:rowOff>
    </xdr:from>
    <xdr:to>
      <xdr:col>48</xdr:col>
      <xdr:colOff>443473</xdr:colOff>
      <xdr:row>26</xdr:row>
      <xdr:rowOff>62471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201705</xdr:colOff>
      <xdr:row>19</xdr:row>
      <xdr:rowOff>58832</xdr:rowOff>
    </xdr:from>
    <xdr:to>
      <xdr:col>38</xdr:col>
      <xdr:colOff>602315</xdr:colOff>
      <xdr:row>26</xdr:row>
      <xdr:rowOff>108698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206</xdr:row>
      <xdr:rowOff>73958</xdr:rowOff>
    </xdr:from>
    <xdr:to>
      <xdr:col>5</xdr:col>
      <xdr:colOff>35859</xdr:colOff>
      <xdr:row>223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104</xdr:row>
      <xdr:rowOff>65553</xdr:rowOff>
    </xdr:from>
    <xdr:to>
      <xdr:col>10</xdr:col>
      <xdr:colOff>156883</xdr:colOff>
      <xdr:row>133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206</xdr:row>
      <xdr:rowOff>22412</xdr:rowOff>
    </xdr:from>
    <xdr:to>
      <xdr:col>10</xdr:col>
      <xdr:colOff>930087</xdr:colOff>
      <xdr:row>221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206</xdr:row>
      <xdr:rowOff>56031</xdr:rowOff>
    </xdr:from>
    <xdr:to>
      <xdr:col>13</xdr:col>
      <xdr:colOff>705971</xdr:colOff>
      <xdr:row>222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136</xdr:row>
      <xdr:rowOff>0</xdr:rowOff>
    </xdr:from>
    <xdr:to>
      <xdr:col>5</xdr:col>
      <xdr:colOff>471769</xdr:colOff>
      <xdr:row>154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5</xdr:col>
      <xdr:colOff>395567</xdr:colOff>
      <xdr:row>169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1</xdr:row>
      <xdr:rowOff>38100</xdr:rowOff>
    </xdr:from>
    <xdr:to>
      <xdr:col>18</xdr:col>
      <xdr:colOff>180975</xdr:colOff>
      <xdr:row>19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1</xdr:row>
      <xdr:rowOff>38100</xdr:rowOff>
    </xdr:from>
    <xdr:to>
      <xdr:col>26</xdr:col>
      <xdr:colOff>9525</xdr:colOff>
      <xdr:row>19</xdr:row>
      <xdr:rowOff>123825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 refreshError="1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F10" sqref="F10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5" t="s">
        <v>100</v>
      </c>
      <c r="C1" s="376" t="s">
        <v>93</v>
      </c>
      <c r="D1" s="376"/>
      <c r="E1" s="377"/>
      <c r="F1" s="235" t="s">
        <v>124</v>
      </c>
      <c r="G1" s="235" t="s">
        <v>98</v>
      </c>
    </row>
    <row r="2" spans="1:24" ht="15.75" thickBot="1">
      <c r="A2" s="139"/>
      <c r="B2" s="236" t="s">
        <v>101</v>
      </c>
      <c r="C2" s="140" t="s">
        <v>91</v>
      </c>
      <c r="D2" s="141" t="s">
        <v>92</v>
      </c>
      <c r="E2" s="142" t="s">
        <v>23</v>
      </c>
      <c r="F2" s="236" t="s">
        <v>101</v>
      </c>
      <c r="G2" s="236" t="s">
        <v>101</v>
      </c>
    </row>
    <row r="3" spans="1:24">
      <c r="A3" s="143" t="str">
        <f>Scenarios!A4</f>
        <v>Nominale matching</v>
      </c>
      <c r="B3" s="374">
        <v>0.56180875203091096</v>
      </c>
      <c r="C3" s="298">
        <v>0.55000000000000004</v>
      </c>
      <c r="D3" s="217">
        <v>0.65</v>
      </c>
      <c r="E3" s="145">
        <v>0.99</v>
      </c>
      <c r="F3" s="407">
        <f>'Samenvatting mixen'!B81</f>
        <v>0.64944893325636843</v>
      </c>
      <c r="G3" s="144">
        <f>+F3-B3</f>
        <v>8.764018122545747E-2</v>
      </c>
      <c r="H3" s="300"/>
    </row>
    <row r="4" spans="1:24">
      <c r="A4" s="143" t="str">
        <f>Scenarios!A5</f>
        <v>High Yield</v>
      </c>
      <c r="B4" s="374">
        <v>9.6622266302898649E-2</v>
      </c>
      <c r="C4" s="298">
        <v>0.05</v>
      </c>
      <c r="D4" s="345">
        <v>0.15</v>
      </c>
      <c r="E4" s="145">
        <v>0.99</v>
      </c>
      <c r="F4" s="407">
        <f>'Samenvatting mixen'!B82</f>
        <v>2.1676691195087878E-2</v>
      </c>
      <c r="G4" s="144">
        <f t="shared" ref="G4:G10" si="0">+F4-B4</f>
        <v>-7.4945575107810775E-2</v>
      </c>
      <c r="H4" s="301"/>
      <c r="W4" s="133" t="str">
        <f>A4</f>
        <v>High Yield</v>
      </c>
      <c r="X4" s="134">
        <f>B4/SUM($B$4:$B$10)</f>
        <v>0.2205025014778812</v>
      </c>
    </row>
    <row r="5" spans="1:24">
      <c r="A5" s="143" t="str">
        <f>Scenarios!A6</f>
        <v>Emerging market debt</v>
      </c>
      <c r="B5" s="374">
        <v>9.4882090946714417E-2</v>
      </c>
      <c r="C5" s="298">
        <v>0.05</v>
      </c>
      <c r="D5" s="217">
        <v>0.15</v>
      </c>
      <c r="E5" s="145">
        <v>0.99</v>
      </c>
      <c r="F5" s="407">
        <f>'Samenvatting mixen'!B83</f>
        <v>4.0938352073271157E-2</v>
      </c>
      <c r="G5" s="144">
        <f t="shared" si="0"/>
        <v>-5.394373887344326E-2</v>
      </c>
      <c r="W5" s="133" t="str">
        <f t="shared" ref="W5:W10" si="1">A5</f>
        <v>Emerging market debt</v>
      </c>
      <c r="X5" s="134">
        <f t="shared" ref="X5:X10" si="2">B5/SUM($B$4:$B$10)</f>
        <v>0.21653123239332159</v>
      </c>
    </row>
    <row r="6" spans="1:24">
      <c r="A6" s="143" t="str">
        <f>Scenarios!A7</f>
        <v>Aandelen ontwikkeld</v>
      </c>
      <c r="B6" s="374">
        <v>0.10456356326955371</v>
      </c>
      <c r="C6" s="298">
        <v>7.4999999999999997E-2</v>
      </c>
      <c r="D6" s="345">
        <v>0.3</v>
      </c>
      <c r="E6" s="145">
        <v>0.99</v>
      </c>
      <c r="F6" s="407">
        <f>'Samenvatting mixen'!B84</f>
        <v>1.23325046265014E-3</v>
      </c>
      <c r="G6" s="144">
        <f t="shared" si="0"/>
        <v>-0.10333031280690357</v>
      </c>
      <c r="H6" s="300"/>
      <c r="W6" s="133" t="str">
        <f t="shared" si="1"/>
        <v>Aandelen ontwikkeld</v>
      </c>
      <c r="X6" s="134">
        <f t="shared" si="2"/>
        <v>0.23862540330091181</v>
      </c>
    </row>
    <row r="7" spans="1:24">
      <c r="A7" s="143" t="str">
        <f>Scenarios!A8</f>
        <v>Aandelen opkomend</v>
      </c>
      <c r="B7" s="374">
        <v>4.8672187041583666E-2</v>
      </c>
      <c r="C7" s="298">
        <v>2.5000000000000001E-2</v>
      </c>
      <c r="D7" s="345">
        <v>0.1</v>
      </c>
      <c r="E7" s="145">
        <v>0.99</v>
      </c>
      <c r="F7" s="407">
        <f>'Samenvatting mixen'!B85</f>
        <v>0.11596613074290399</v>
      </c>
      <c r="G7" s="144">
        <f t="shared" si="0"/>
        <v>6.729394370132033E-2</v>
      </c>
      <c r="H7" s="300"/>
      <c r="W7" s="133" t="str">
        <f t="shared" si="1"/>
        <v>Aandelen opkomend</v>
      </c>
      <c r="X7" s="134">
        <f t="shared" si="2"/>
        <v>0.11107521491396176</v>
      </c>
    </row>
    <row r="8" spans="1:24">
      <c r="A8" s="143" t="str">
        <f>Scenarios!A9</f>
        <v>Commodities</v>
      </c>
      <c r="B8" s="374">
        <v>1.8487177597443272E-2</v>
      </c>
      <c r="C8" s="298">
        <v>0.01</v>
      </c>
      <c r="D8" s="345">
        <v>0.03</v>
      </c>
      <c r="E8" s="145">
        <v>0.99</v>
      </c>
      <c r="F8" s="407">
        <f>'Samenvatting mixen'!B86</f>
        <v>0.13649706597906699</v>
      </c>
      <c r="G8" s="144">
        <f t="shared" si="0"/>
        <v>0.11800988838162373</v>
      </c>
      <c r="H8" s="300"/>
      <c r="W8" s="133" t="str">
        <f t="shared" si="1"/>
        <v>Commodities</v>
      </c>
      <c r="X8" s="134">
        <f t="shared" si="2"/>
        <v>4.2189746333654299E-2</v>
      </c>
    </row>
    <row r="9" spans="1:24">
      <c r="A9" s="143" t="str">
        <f>Scenarios!A10</f>
        <v>Hedge funds</v>
      </c>
      <c r="B9" s="374">
        <v>3.0713456071724741E-2</v>
      </c>
      <c r="C9" s="298">
        <v>0.02</v>
      </c>
      <c r="D9" s="345">
        <v>0.04</v>
      </c>
      <c r="E9" s="145">
        <v>0.99</v>
      </c>
      <c r="F9" s="407">
        <f>'Samenvatting mixen'!B87</f>
        <v>2.3916818164114236E-2</v>
      </c>
      <c r="G9" s="144">
        <f t="shared" si="0"/>
        <v>-6.7966379076105053E-3</v>
      </c>
      <c r="W9" s="133" t="str">
        <f t="shared" si="1"/>
        <v>Hedge funds</v>
      </c>
      <c r="X9" s="134">
        <f t="shared" si="2"/>
        <v>7.0091441155144513E-2</v>
      </c>
    </row>
    <row r="10" spans="1:24" ht="15.75" thickBot="1">
      <c r="A10" s="139" t="str">
        <f>Scenarios!A11</f>
        <v>Onroerend goed</v>
      </c>
      <c r="B10" s="375">
        <v>4.4250506739170546E-2</v>
      </c>
      <c r="C10" s="299">
        <v>3.5000000000000003E-2</v>
      </c>
      <c r="D10" s="218">
        <v>5.5E-2</v>
      </c>
      <c r="E10" s="147">
        <v>0.99</v>
      </c>
      <c r="F10" s="408">
        <f>'Samenvatting mixen'!B88</f>
        <v>1.0322758126537421E-2</v>
      </c>
      <c r="G10" s="146">
        <f t="shared" si="0"/>
        <v>-3.3927748612633125E-2</v>
      </c>
      <c r="W10" s="133" t="str">
        <f t="shared" si="1"/>
        <v>Onroerend goed</v>
      </c>
      <c r="X10" s="134">
        <f t="shared" si="2"/>
        <v>0.10098446042512488</v>
      </c>
    </row>
    <row r="11" spans="1:24" ht="15.75" thickBot="1">
      <c r="A11" s="148" t="s">
        <v>89</v>
      </c>
      <c r="B11" s="149">
        <f>Scenarios!C12</f>
        <v>9.3074502522160901E-2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4" t="s">
        <v>141</v>
      </c>
      <c r="B15" s="329">
        <f t="array" ref="B15">+MMULT(TRANSPOSE(F3:F10),MMULT(k,F3:F10))^(0.5)</f>
        <v>9.2015665640654248E-2</v>
      </c>
      <c r="C15" s="332"/>
      <c r="D15" s="332"/>
      <c r="E15" s="332"/>
      <c r="F15" s="216"/>
    </row>
    <row r="16" spans="1:24">
      <c r="A16" s="165"/>
      <c r="B16" s="216"/>
      <c r="C16" s="216"/>
      <c r="D16" s="216"/>
      <c r="E16" s="216"/>
      <c r="F16" s="165"/>
    </row>
    <row r="17" spans="1:6">
      <c r="A17" s="165"/>
      <c r="B17" s="163"/>
      <c r="C17" s="373"/>
      <c r="D17" s="163"/>
      <c r="E17" s="163"/>
      <c r="F17" s="154"/>
    </row>
    <row r="18" spans="1:6">
      <c r="A18" s="165"/>
      <c r="B18" s="406">
        <v>9.3074502522160901E-2</v>
      </c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9.3074502522160901E-2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1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2" t="s">
        <v>109</v>
      </c>
      <c r="B35" s="175">
        <v>500</v>
      </c>
    </row>
    <row r="36" spans="1:6">
      <c r="A36" s="202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8" t="s">
        <v>98</v>
      </c>
      <c r="C200" s="376"/>
      <c r="D200" s="376"/>
      <c r="E200" s="377"/>
      <c r="F200" s="215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H31" sqref="H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6" t="s">
        <v>79</v>
      </c>
      <c r="C2" s="13" t="s">
        <v>79</v>
      </c>
      <c r="D2" s="297" t="s">
        <v>116</v>
      </c>
      <c r="E2" s="380" t="s">
        <v>117</v>
      </c>
      <c r="F2" s="380"/>
      <c r="G2" s="380"/>
      <c r="H2" s="380"/>
      <c r="I2" s="380"/>
      <c r="J2" s="380"/>
      <c r="K2" s="380"/>
      <c r="L2" s="381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0.56180875203091096</v>
      </c>
      <c r="C4" s="404">
        <v>0</v>
      </c>
      <c r="D4" s="222">
        <v>3.8327320576542839E-2</v>
      </c>
      <c r="E4" s="219">
        <v>1</v>
      </c>
      <c r="F4" s="220">
        <v>0.3418544126049784</v>
      </c>
      <c r="G4" s="220">
        <v>0.32920370115226022</v>
      </c>
      <c r="H4" s="220">
        <v>9.8859848538283293E-2</v>
      </c>
      <c r="I4" s="220">
        <v>0.17199291666801578</v>
      </c>
      <c r="J4" s="220">
        <v>0.11635308708310647</v>
      </c>
      <c r="K4" s="220">
        <v>0.31533261335053236</v>
      </c>
      <c r="L4" s="221">
        <v>0.22382706166473479</v>
      </c>
      <c r="M4" s="3" t="s">
        <v>118</v>
      </c>
      <c r="N4" s="291"/>
      <c r="O4" s="362"/>
      <c r="S4" s="84"/>
      <c r="T4" s="6"/>
      <c r="U4" s="85"/>
    </row>
    <row r="5" spans="1:21">
      <c r="A5" s="102" t="s">
        <v>5</v>
      </c>
      <c r="B5" s="106">
        <f>'Control panel'!B4</f>
        <v>9.6622266302898649E-2</v>
      </c>
      <c r="C5" s="404">
        <v>0.03</v>
      </c>
      <c r="D5" s="222">
        <v>0.15740402046445473</v>
      </c>
      <c r="E5" s="222">
        <v>0.3418544126049784</v>
      </c>
      <c r="F5" s="223">
        <v>0.99999999999999978</v>
      </c>
      <c r="G5" s="223">
        <v>0.94415502841460053</v>
      </c>
      <c r="H5" s="223">
        <v>0.75643025620736359</v>
      </c>
      <c r="I5" s="223">
        <v>0.74460051775263425</v>
      </c>
      <c r="J5" s="223">
        <v>0.63042249533958317</v>
      </c>
      <c r="K5" s="223">
        <v>0.87087144487559465</v>
      </c>
      <c r="L5" s="224">
        <v>0.88503479579271971</v>
      </c>
      <c r="N5" s="291"/>
      <c r="O5" s="362"/>
      <c r="S5" s="84"/>
      <c r="T5" s="6"/>
      <c r="U5" s="85"/>
    </row>
    <row r="6" spans="1:21">
      <c r="A6" s="102" t="s">
        <v>6</v>
      </c>
      <c r="B6" s="106">
        <f>'Control panel'!B5</f>
        <v>9.4882090946714417E-2</v>
      </c>
      <c r="C6" s="404">
        <v>3.1390664572732138E-2</v>
      </c>
      <c r="D6" s="222">
        <v>0.16055565886911449</v>
      </c>
      <c r="E6" s="222">
        <v>0.32920370115226077</v>
      </c>
      <c r="F6" s="223">
        <v>0.94415502841460075</v>
      </c>
      <c r="G6" s="223">
        <v>1</v>
      </c>
      <c r="H6" s="223">
        <v>0.79131459925771463</v>
      </c>
      <c r="I6" s="223">
        <v>0.79813028035122646</v>
      </c>
      <c r="J6" s="223">
        <v>0.65620336381946465</v>
      </c>
      <c r="K6" s="223">
        <v>0.87052123629161937</v>
      </c>
      <c r="L6" s="224">
        <v>0.89384087654365485</v>
      </c>
      <c r="N6" s="291"/>
      <c r="O6" s="362"/>
      <c r="S6" s="84"/>
      <c r="T6" s="6"/>
      <c r="U6" s="85"/>
    </row>
    <row r="7" spans="1:21">
      <c r="A7" s="102" t="s">
        <v>7</v>
      </c>
      <c r="B7" s="106">
        <f>'Control panel'!B6</f>
        <v>0.10456356326955371</v>
      </c>
      <c r="C7" s="404">
        <v>5.5291722300972554E-2</v>
      </c>
      <c r="D7" s="222">
        <v>0.28482723462884557</v>
      </c>
      <c r="E7" s="222">
        <v>9.8859848538283279E-2</v>
      </c>
      <c r="F7" s="223">
        <v>0.75643025620736359</v>
      </c>
      <c r="G7" s="223">
        <v>0.79131459925771463</v>
      </c>
      <c r="H7" s="223">
        <v>1.0000000000000002</v>
      </c>
      <c r="I7" s="223">
        <v>0.80404615715542727</v>
      </c>
      <c r="J7" s="223">
        <v>0.71454817175760521</v>
      </c>
      <c r="K7" s="223">
        <v>0.77932838421386064</v>
      </c>
      <c r="L7" s="224">
        <v>0.8858491706713586</v>
      </c>
      <c r="N7" s="291"/>
      <c r="O7" s="362"/>
      <c r="S7" s="84"/>
      <c r="T7" s="6"/>
      <c r="U7" s="85"/>
    </row>
    <row r="8" spans="1:21">
      <c r="A8" s="102" t="s">
        <v>8</v>
      </c>
      <c r="B8" s="106">
        <f>'Control panel'!B7</f>
        <v>4.8672187041583666E-2</v>
      </c>
      <c r="C8" s="404">
        <v>5.3998164657843073E-2</v>
      </c>
      <c r="D8" s="222">
        <v>0.29086830436352928</v>
      </c>
      <c r="E8" s="222">
        <v>0.17199291666801564</v>
      </c>
      <c r="F8" s="223">
        <v>0.74460051775263425</v>
      </c>
      <c r="G8" s="223">
        <v>0.79813028035122635</v>
      </c>
      <c r="H8" s="223">
        <v>0.80404615715542738</v>
      </c>
      <c r="I8" s="223">
        <v>1</v>
      </c>
      <c r="J8" s="223">
        <v>0.63722686856845323</v>
      </c>
      <c r="K8" s="223">
        <v>0.66166173932878602</v>
      </c>
      <c r="L8" s="224">
        <v>0.78445174530045891</v>
      </c>
      <c r="N8" s="291"/>
      <c r="O8" s="362"/>
      <c r="S8" s="84"/>
      <c r="T8" s="6"/>
      <c r="U8" s="85"/>
    </row>
    <row r="9" spans="1:21">
      <c r="A9" s="102" t="s">
        <v>9</v>
      </c>
      <c r="B9" s="106">
        <f>'Control panel'!B8</f>
        <v>1.8487177597443272E-2</v>
      </c>
      <c r="C9" s="404">
        <v>5.1554959718268165E-2</v>
      </c>
      <c r="D9" s="222">
        <v>0.32762989319180058</v>
      </c>
      <c r="E9" s="222">
        <v>0.1163530870831065</v>
      </c>
      <c r="F9" s="223">
        <v>0.63042249533958294</v>
      </c>
      <c r="G9" s="223">
        <v>0.65620336381946465</v>
      </c>
      <c r="H9" s="223">
        <v>0.71454817175760499</v>
      </c>
      <c r="I9" s="223">
        <v>0.63722686856845323</v>
      </c>
      <c r="J9" s="223">
        <v>0.99999999999999978</v>
      </c>
      <c r="K9" s="223">
        <v>0.61123567343454832</v>
      </c>
      <c r="L9" s="224">
        <v>0.68083389626068458</v>
      </c>
      <c r="N9" s="291"/>
      <c r="O9" s="362"/>
      <c r="S9" s="84"/>
      <c r="T9" s="6"/>
      <c r="U9" s="85"/>
    </row>
    <row r="10" spans="1:21">
      <c r="A10" s="102" t="s">
        <v>10</v>
      </c>
      <c r="B10" s="106">
        <f>'Control panel'!B9</f>
        <v>3.0713456071724741E-2</v>
      </c>
      <c r="C10" s="404">
        <v>2.8536326743371695E-2</v>
      </c>
      <c r="D10" s="222">
        <v>0.15798659221184908</v>
      </c>
      <c r="E10" s="222">
        <v>0.31533261335053225</v>
      </c>
      <c r="F10" s="223">
        <v>0.87087144487559476</v>
      </c>
      <c r="G10" s="223">
        <v>0.87052123629161926</v>
      </c>
      <c r="H10" s="223">
        <v>0.77932838421386041</v>
      </c>
      <c r="I10" s="223">
        <v>0.66166173932878602</v>
      </c>
      <c r="J10" s="223">
        <v>0.61123567343454821</v>
      </c>
      <c r="K10" s="223">
        <v>0.99999999999999978</v>
      </c>
      <c r="L10" s="224">
        <v>0.84390932125983842</v>
      </c>
      <c r="N10" s="291"/>
      <c r="O10" s="362"/>
      <c r="S10" s="84"/>
      <c r="T10" s="6"/>
      <c r="U10" s="85"/>
    </row>
    <row r="11" spans="1:21" ht="13.5" thickBot="1">
      <c r="A11" s="103" t="s">
        <v>11</v>
      </c>
      <c r="B11" s="107">
        <f>'Control panel'!B10</f>
        <v>4.4250506739170546E-2</v>
      </c>
      <c r="C11" s="405">
        <v>3.8644858050511752E-2</v>
      </c>
      <c r="D11" s="225">
        <v>0.19621796279766246</v>
      </c>
      <c r="E11" s="225">
        <v>0.22382706166473476</v>
      </c>
      <c r="F11" s="226">
        <v>0.88503479579271971</v>
      </c>
      <c r="G11" s="226">
        <v>0.89384087654365474</v>
      </c>
      <c r="H11" s="226">
        <v>0.8858491706713586</v>
      </c>
      <c r="I11" s="226">
        <v>0.78445174530045891</v>
      </c>
      <c r="J11" s="226">
        <v>0.68083389626068469</v>
      </c>
      <c r="K11" s="226">
        <v>0.84390932125983853</v>
      </c>
      <c r="L11" s="227">
        <v>1.0000000000000002</v>
      </c>
      <c r="N11" s="291"/>
      <c r="O11" s="362"/>
    </row>
    <row r="12" spans="1:21">
      <c r="A12" s="84"/>
      <c r="B12" s="110" t="s">
        <v>89</v>
      </c>
      <c r="C12" s="85">
        <v>9.3074502522160901E-2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1"/>
    </row>
    <row r="15" spans="1:21">
      <c r="A15" s="87" t="s">
        <v>83</v>
      </c>
      <c r="B15" s="89" t="s">
        <v>4</v>
      </c>
      <c r="C15" s="200">
        <v>0</v>
      </c>
      <c r="H15" s="291"/>
    </row>
    <row r="16" spans="1:21">
      <c r="A16" s="87" t="s">
        <v>84</v>
      </c>
      <c r="B16" s="89" t="s">
        <v>5</v>
      </c>
      <c r="C16" s="200">
        <v>0.03</v>
      </c>
    </row>
    <row r="17" spans="1:24">
      <c r="D17" s="98"/>
      <c r="E17" s="98"/>
      <c r="G17" s="379"/>
      <c r="H17" s="379"/>
      <c r="I17" s="379"/>
      <c r="J17" s="379"/>
    </row>
    <row r="18" spans="1:24">
      <c r="D18" s="98"/>
      <c r="E18" s="98"/>
      <c r="S18" s="84"/>
      <c r="T18" s="379"/>
      <c r="U18" s="379"/>
      <c r="V18" s="379"/>
      <c r="W18" s="379"/>
      <c r="X18" s="379"/>
    </row>
    <row r="19" spans="1:24">
      <c r="D19" s="98"/>
      <c r="E19" s="98"/>
      <c r="S19" s="84"/>
      <c r="T19" s="273"/>
      <c r="U19" s="273"/>
      <c r="V19" s="273"/>
      <c r="W19" s="273"/>
      <c r="X19" s="273"/>
    </row>
    <row r="20" spans="1:24">
      <c r="D20" s="98"/>
      <c r="E20" s="98"/>
      <c r="S20" s="84"/>
      <c r="T20" s="273"/>
      <c r="U20" s="273"/>
      <c r="V20" s="273"/>
      <c r="W20" s="273"/>
      <c r="X20" s="273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7" t="s">
        <v>115</v>
      </c>
      <c r="B23" s="286" t="s">
        <v>70</v>
      </c>
      <c r="C23" s="287" t="s">
        <v>112</v>
      </c>
      <c r="D23" s="287" t="s">
        <v>126</v>
      </c>
      <c r="E23" s="287" t="s">
        <v>127</v>
      </c>
      <c r="F23" s="287" t="s">
        <v>113</v>
      </c>
      <c r="G23" s="287" t="s">
        <v>114</v>
      </c>
      <c r="H23" s="288" t="s">
        <v>128</v>
      </c>
      <c r="I23" s="290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400">
        <v>-3.2445168309994665E-3</v>
      </c>
      <c r="D24" s="400">
        <v>-1.0761362748873404E-3</v>
      </c>
      <c r="E24" s="400">
        <v>-3.4179872754884488E-3</v>
      </c>
      <c r="F24" s="400">
        <v>-2.5720358328627513E-2</v>
      </c>
      <c r="G24" s="400">
        <v>-0.26287574291051119</v>
      </c>
      <c r="H24" s="401">
        <v>-3.2441343963196256E-3</v>
      </c>
      <c r="I24" s="346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400">
        <v>1.7080984570854354E-2</v>
      </c>
      <c r="D25" s="400">
        <v>-5.3634034495987179E-2</v>
      </c>
      <c r="E25" s="400">
        <v>1.9126088571386521E-2</v>
      </c>
      <c r="F25" s="400">
        <v>-0.44320953513141953</v>
      </c>
      <c r="G25" s="400">
        <v>-0.45286655377141971</v>
      </c>
      <c r="H25" s="401">
        <v>0.29576434041524707</v>
      </c>
      <c r="I25" s="178">
        <f t="shared" ref="I25:I31" si="1">+SUMPRODUCT(B25:H25,$B$33:$H$33)</f>
        <v>1.7080984570854354E-2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3.1390664572732138E-2</v>
      </c>
      <c r="C26" s="400">
        <v>2.8210029350712571E-2</v>
      </c>
      <c r="D26" s="400">
        <v>-2.95466166646563E-3</v>
      </c>
      <c r="E26" s="400">
        <v>1.2307163627323543E-2</v>
      </c>
      <c r="F26" s="400">
        <v>-0.50520055078596937</v>
      </c>
      <c r="G26" s="400">
        <v>-0.35244265167679129</v>
      </c>
      <c r="H26" s="401">
        <v>0.24637536735679014</v>
      </c>
      <c r="I26" s="178">
        <f t="shared" si="1"/>
        <v>2.8210029350712571E-2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5.5291722300972554E-2</v>
      </c>
      <c r="C27" s="400">
        <v>-3.3982895609806815E-2</v>
      </c>
      <c r="D27" s="400">
        <v>-0.20034010635526645</v>
      </c>
      <c r="E27" s="400">
        <v>2.0569527320858455E-2</v>
      </c>
      <c r="F27" s="400">
        <v>-0.64117999007188409</v>
      </c>
      <c r="G27" s="400">
        <v>-0.50739956473317127</v>
      </c>
      <c r="H27" s="401">
        <v>0.32892743718810752</v>
      </c>
      <c r="I27" s="178">
        <f t="shared" si="1"/>
        <v>-3.3982895609806815E-2</v>
      </c>
      <c r="J27" s="76"/>
    </row>
    <row r="28" spans="1:24">
      <c r="A28" s="18" t="s">
        <v>8</v>
      </c>
      <c r="B28" s="21">
        <f t="shared" si="0"/>
        <v>5.3998164657843073E-2</v>
      </c>
      <c r="C28" s="400">
        <v>7.2231587254445423E-2</v>
      </c>
      <c r="D28" s="400">
        <v>-2.9945024082715634E-2</v>
      </c>
      <c r="E28" s="400">
        <v>7.5326235596053476E-2</v>
      </c>
      <c r="F28" s="400">
        <v>-0.39383408868167263</v>
      </c>
      <c r="G28" s="400">
        <v>-0.23709668904730849</v>
      </c>
      <c r="H28" s="401">
        <v>0.4212127714691607</v>
      </c>
      <c r="I28" s="178">
        <f t="shared" si="1"/>
        <v>7.2231587254445423E-2</v>
      </c>
      <c r="J28" s="94"/>
      <c r="U28" s="95"/>
    </row>
    <row r="29" spans="1:24">
      <c r="A29" s="18" t="s">
        <v>9</v>
      </c>
      <c r="B29" s="21">
        <f t="shared" si="0"/>
        <v>5.1554959718268165E-2</v>
      </c>
      <c r="C29" s="400">
        <v>8.3002461795964225E-2</v>
      </c>
      <c r="D29" s="400">
        <v>1.4659134029297541E-2</v>
      </c>
      <c r="E29" s="400">
        <v>9.0021127349297542E-2</v>
      </c>
      <c r="F29" s="400">
        <v>-0.52034739633736904</v>
      </c>
      <c r="G29" s="400">
        <v>-0.53890194796403579</v>
      </c>
      <c r="H29" s="401">
        <v>0.62225820003596433</v>
      </c>
      <c r="I29" s="178">
        <f t="shared" si="1"/>
        <v>8.3002461795964225E-2</v>
      </c>
      <c r="J29" s="96"/>
      <c r="U29" s="95"/>
    </row>
    <row r="30" spans="1:24">
      <c r="A30" s="18" t="s">
        <v>10</v>
      </c>
      <c r="B30" s="21">
        <f t="shared" si="0"/>
        <v>2.8536326743371695E-2</v>
      </c>
      <c r="C30" s="400">
        <v>1.695057316664925E-2</v>
      </c>
      <c r="D30" s="400">
        <v>-4.2653387188440507E-2</v>
      </c>
      <c r="E30" s="400">
        <v>1.4434999267229312E-2</v>
      </c>
      <c r="F30" s="400">
        <v>-0.25857548795346308</v>
      </c>
      <c r="G30" s="400">
        <v>-1.0981482728457838E-2</v>
      </c>
      <c r="H30" s="401">
        <v>0.27934742068923668</v>
      </c>
      <c r="I30" s="178">
        <f t="shared" si="1"/>
        <v>1.695057316664925E-2</v>
      </c>
      <c r="J30" s="96"/>
      <c r="U30" s="95"/>
    </row>
    <row r="31" spans="1:24" ht="13.5" thickBot="1">
      <c r="A31" s="22" t="s">
        <v>11</v>
      </c>
      <c r="B31" s="25">
        <f t="shared" si="0"/>
        <v>3.8644858050511752E-2</v>
      </c>
      <c r="C31" s="402">
        <v>1.5703249352120311E-2</v>
      </c>
      <c r="D31" s="402">
        <v>-5.8162269749716361E-2</v>
      </c>
      <c r="E31" s="402">
        <v>4.4496035250283651E-2</v>
      </c>
      <c r="F31" s="402">
        <v>-0.33152986308090188</v>
      </c>
      <c r="G31" s="402">
        <v>-0.17474285130040365</v>
      </c>
      <c r="H31" s="403">
        <v>0.39881762458018055</v>
      </c>
      <c r="I31" s="347">
        <f t="shared" si="1"/>
        <v>1.5703249352120311E-2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2" t="s">
        <v>123</v>
      </c>
      <c r="B33" s="289">
        <f>Optimalisatie!B13</f>
        <v>0</v>
      </c>
      <c r="C33" s="289">
        <f>Optimalisatie!C13</f>
        <v>1</v>
      </c>
      <c r="D33" s="289">
        <f>Optimalisatie!D13</f>
        <v>0</v>
      </c>
      <c r="E33" s="289">
        <f>Optimalisatie!E13</f>
        <v>0</v>
      </c>
      <c r="F33" s="289">
        <f>Optimalisatie!F13</f>
        <v>0</v>
      </c>
      <c r="G33" s="289">
        <f>Optimalisatie!G13</f>
        <v>0</v>
      </c>
      <c r="H33" s="289">
        <f>Optimalisatie!H13</f>
        <v>0</v>
      </c>
      <c r="I33" s="295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2" t="s">
        <v>129</v>
      </c>
      <c r="B35" s="303">
        <f>Optimalisatie!B15</f>
        <v>0</v>
      </c>
      <c r="C35" s="302">
        <f>SUMPRODUCT(C24:C31,'Control panel'!$F$3:$F$10)</f>
        <v>1.9649588741421451E-2</v>
      </c>
      <c r="D35" s="302">
        <f>SUMPRODUCT(D24:D31,'Control panel'!$F$3:$F$10)</f>
        <v>-5.3217406087582826E-3</v>
      </c>
      <c r="E35" s="302">
        <f>SUMPRODUCT(E24:E31,'Control panel'!$F$3:$F$10)</f>
        <v>2.0551457409427494E-2</v>
      </c>
      <c r="F35" s="302">
        <f>SUMPRODUCT(F24:F31,'Control panel'!$F$3:$F$10)</f>
        <v>-0.17408810286670279</v>
      </c>
      <c r="G35" s="302">
        <f>SUMPRODUCT(G24:G31,'Control panel'!$F$3:$F$10)</f>
        <v>-0.29871538206100001</v>
      </c>
      <c r="H35" s="302">
        <f>SUMPRODUCT(H24:H31,'Control panel'!$F$3:$F$10)</f>
        <v>0.15937697734927275</v>
      </c>
      <c r="I35" s="304">
        <f>SUMPRODUCT(I24:I31,'Control panel'!$F$3:$F$10)</f>
        <v>1.9649588741421451E-2</v>
      </c>
    </row>
    <row r="38" spans="1:21" ht="13.5" thickBot="1"/>
    <row r="39" spans="1:21" ht="13.5" thickBot="1">
      <c r="A39" s="293" t="s">
        <v>119</v>
      </c>
      <c r="B39" s="294">
        <v>8</v>
      </c>
    </row>
    <row r="40" spans="1:21" ht="13.5" thickBot="1">
      <c r="A40" s="293" t="s">
        <v>142</v>
      </c>
      <c r="B40" s="294">
        <v>8</v>
      </c>
    </row>
    <row r="45" spans="1:21">
      <c r="A45" s="291"/>
      <c r="B45" s="291"/>
      <c r="C45" s="291"/>
      <c r="D45" s="291"/>
      <c r="E45" s="291"/>
      <c r="F45" s="291"/>
      <c r="G45" s="291"/>
      <c r="H45" s="291"/>
      <c r="I45" s="291"/>
    </row>
    <row r="46" spans="1:21">
      <c r="A46" s="291"/>
      <c r="B46" s="291"/>
      <c r="C46" s="291"/>
      <c r="D46" s="291"/>
      <c r="E46" s="291"/>
      <c r="F46" s="291"/>
      <c r="G46" s="291"/>
      <c r="H46" s="291"/>
      <c r="I46" s="291"/>
    </row>
    <row r="47" spans="1:21">
      <c r="A47" s="291"/>
      <c r="B47" s="291"/>
      <c r="C47" s="291"/>
      <c r="D47" s="291"/>
      <c r="E47" s="291"/>
      <c r="F47" s="291"/>
      <c r="G47" s="291"/>
      <c r="H47" s="291"/>
      <c r="I47" s="291"/>
    </row>
    <row r="48" spans="1:21">
      <c r="A48" s="291"/>
      <c r="B48" s="291"/>
      <c r="C48" s="291"/>
      <c r="D48" s="291"/>
      <c r="E48" s="291"/>
      <c r="F48" s="291"/>
      <c r="G48" s="291"/>
      <c r="H48" s="291"/>
      <c r="I48" s="291"/>
    </row>
    <row r="49" spans="1:9">
      <c r="A49" s="291"/>
      <c r="B49" s="291"/>
      <c r="C49" s="291"/>
      <c r="D49" s="291"/>
      <c r="E49" s="291"/>
      <c r="F49" s="291"/>
      <c r="G49" s="291"/>
      <c r="H49" s="291"/>
      <c r="I49" s="291"/>
    </row>
    <row r="50" spans="1:9">
      <c r="A50" s="291"/>
      <c r="B50" s="291"/>
      <c r="C50" s="291"/>
      <c r="D50" s="291"/>
      <c r="E50" s="291"/>
      <c r="F50" s="291"/>
      <c r="G50" s="291"/>
      <c r="H50" s="291"/>
      <c r="I50" s="291"/>
    </row>
    <row r="51" spans="1:9">
      <c r="A51" s="291"/>
      <c r="B51" s="291"/>
      <c r="C51" s="291"/>
      <c r="D51" s="291"/>
      <c r="E51" s="291"/>
      <c r="F51" s="291"/>
      <c r="G51" s="291"/>
      <c r="H51" s="291"/>
      <c r="I51" s="291"/>
    </row>
    <row r="52" spans="1:9">
      <c r="A52" s="291"/>
      <c r="B52" s="291"/>
      <c r="C52" s="291"/>
      <c r="D52" s="291"/>
      <c r="E52" s="291"/>
      <c r="F52" s="291"/>
      <c r="G52" s="291"/>
      <c r="H52" s="291"/>
      <c r="I52" s="291"/>
    </row>
    <row r="53" spans="1:9">
      <c r="A53" s="291"/>
      <c r="B53" s="291"/>
      <c r="C53" s="291"/>
      <c r="D53" s="291"/>
      <c r="E53" s="291"/>
      <c r="F53" s="291"/>
      <c r="G53" s="291"/>
      <c r="H53" s="291"/>
      <c r="I53" s="291"/>
    </row>
    <row r="54" spans="1:9">
      <c r="A54" s="291"/>
      <c r="B54" s="291"/>
      <c r="C54" s="291"/>
      <c r="D54" s="291"/>
      <c r="E54" s="291"/>
      <c r="F54" s="291"/>
      <c r="G54" s="291"/>
      <c r="H54" s="291"/>
      <c r="I54" s="291"/>
    </row>
    <row r="55" spans="1:9">
      <c r="A55" s="291"/>
      <c r="B55" s="291"/>
      <c r="C55" s="291"/>
      <c r="D55" s="291"/>
      <c r="E55" s="291"/>
      <c r="F55" s="291"/>
      <c r="G55" s="291"/>
      <c r="H55" s="291"/>
      <c r="I55" s="291"/>
    </row>
    <row r="56" spans="1:9">
      <c r="A56" s="291"/>
      <c r="B56" s="291"/>
      <c r="C56" s="291"/>
      <c r="D56" s="291"/>
      <c r="E56" s="291"/>
      <c r="F56" s="291"/>
      <c r="G56" s="291"/>
      <c r="H56" s="291"/>
      <c r="I56" s="291"/>
    </row>
    <row r="57" spans="1:9">
      <c r="I57" s="291"/>
    </row>
    <row r="58" spans="1:9">
      <c r="I58" s="291"/>
    </row>
    <row r="59" spans="1:9">
      <c r="I59" s="291"/>
    </row>
    <row r="60" spans="1:9">
      <c r="I60" s="291"/>
    </row>
    <row r="61" spans="1:9">
      <c r="I61" s="291"/>
    </row>
    <row r="62" spans="1:9">
      <c r="I62" s="291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tabSelected="1" topLeftCell="A37" workbookViewId="0"/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3" t="s">
        <v>3</v>
      </c>
      <c r="E3" s="383"/>
      <c r="F3" s="383"/>
      <c r="G3" s="383"/>
      <c r="H3" s="383"/>
      <c r="I3" s="383"/>
      <c r="J3" s="383"/>
      <c r="K3" s="384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3.8327320576542839E-2</v>
      </c>
      <c r="D4" s="111">
        <f>Scenarios!E4</f>
        <v>1</v>
      </c>
      <c r="E4" s="112">
        <f>Scenarios!F4</f>
        <v>0.3418544126049784</v>
      </c>
      <c r="F4" s="112">
        <f>Scenarios!G4</f>
        <v>0.32920370115226022</v>
      </c>
      <c r="G4" s="112">
        <f>Scenarios!H4</f>
        <v>9.8859848538283293E-2</v>
      </c>
      <c r="H4" s="112">
        <f>Scenarios!I4</f>
        <v>0.17199291666801578</v>
      </c>
      <c r="I4" s="112">
        <f>Scenarios!J4</f>
        <v>0.11635308708310647</v>
      </c>
      <c r="J4" s="112">
        <f>Scenarios!K4</f>
        <v>0.31533261335053236</v>
      </c>
      <c r="K4" s="113">
        <f>Scenarios!L4</f>
        <v>0.22382706166473479</v>
      </c>
      <c r="L4" s="238" t="s">
        <v>120</v>
      </c>
      <c r="N4" s="36">
        <f t="array" ref="N4:U11">+D4:K11*TRANSPOSE(C4:C11)*C4:C11</f>
        <v>1.4689835025770842E-3</v>
      </c>
      <c r="O4" s="36">
        <v>2.0623647180517748E-3</v>
      </c>
      <c r="P4" s="36">
        <v>2.0258103496887318E-3</v>
      </c>
      <c r="Q4" s="36">
        <v>1.0792198218053869E-3</v>
      </c>
      <c r="R4" s="36">
        <v>1.9174119060451009E-3</v>
      </c>
      <c r="S4" s="36">
        <v>1.461066186458311E-3</v>
      </c>
      <c r="T4" s="36">
        <v>1.9094029127275302E-3</v>
      </c>
      <c r="U4" s="36">
        <v>1.6832933786511406E-3</v>
      </c>
    </row>
    <row r="5" spans="1:21">
      <c r="A5" s="41" t="s">
        <v>5</v>
      </c>
      <c r="B5" s="42">
        <f>Scenarios!B25</f>
        <v>0.03</v>
      </c>
      <c r="C5" s="42">
        <f>Scenarios!D5</f>
        <v>0.15740402046445473</v>
      </c>
      <c r="D5" s="111">
        <f>Scenarios!E5</f>
        <v>0.3418544126049784</v>
      </c>
      <c r="E5" s="112">
        <f>Scenarios!F5</f>
        <v>0.99999999999999978</v>
      </c>
      <c r="F5" s="112">
        <f>Scenarios!G5</f>
        <v>0.94415502841460053</v>
      </c>
      <c r="G5" s="112">
        <f>Scenarios!H5</f>
        <v>0.75643025620736359</v>
      </c>
      <c r="H5" s="112">
        <f>Scenarios!I5</f>
        <v>0.74460051775263425</v>
      </c>
      <c r="I5" s="112">
        <f>Scenarios!J5</f>
        <v>0.63042249533958317</v>
      </c>
      <c r="J5" s="112">
        <f>Scenarios!K5</f>
        <v>0.87087144487559465</v>
      </c>
      <c r="K5" s="113">
        <f>Scenarios!L5</f>
        <v>0.88503479579271971</v>
      </c>
      <c r="N5" s="36">
        <v>2.0623647180517748E-3</v>
      </c>
      <c r="O5" s="36">
        <v>2.477602565837448E-2</v>
      </c>
      <c r="P5" s="36">
        <v>2.3860786160876318E-2</v>
      </c>
      <c r="Q5" s="36">
        <v>3.3913001268310553E-2</v>
      </c>
      <c r="R5" s="36">
        <v>3.4090671365202212E-2</v>
      </c>
      <c r="S5" s="36">
        <v>3.2511053515549913E-2</v>
      </c>
      <c r="T5" s="36">
        <v>2.1656591421791421E-2</v>
      </c>
      <c r="U5" s="36">
        <v>2.7334738850376662E-2</v>
      </c>
    </row>
    <row r="6" spans="1:21">
      <c r="A6" s="41" t="s">
        <v>6</v>
      </c>
      <c r="B6" s="42">
        <f>Scenarios!B26</f>
        <v>3.1390664572732138E-2</v>
      </c>
      <c r="C6" s="42">
        <f>Scenarios!D6</f>
        <v>0.16055565886911449</v>
      </c>
      <c r="D6" s="111">
        <f>Scenarios!E6</f>
        <v>0.32920370115226077</v>
      </c>
      <c r="E6" s="112">
        <f>Scenarios!F6</f>
        <v>0.94415502841460075</v>
      </c>
      <c r="F6" s="112">
        <f>Scenarios!G6</f>
        <v>1</v>
      </c>
      <c r="G6" s="112">
        <f>Scenarios!H6</f>
        <v>0.79131459925771463</v>
      </c>
      <c r="H6" s="112">
        <f>Scenarios!I6</f>
        <v>0.79813028035122646</v>
      </c>
      <c r="I6" s="112">
        <f>Scenarios!J6</f>
        <v>0.65620336381946465</v>
      </c>
      <c r="J6" s="112">
        <f>Scenarios!K6</f>
        <v>0.87052123629161937</v>
      </c>
      <c r="K6" s="113">
        <f>Scenarios!L6</f>
        <v>0.89384087654365485</v>
      </c>
      <c r="N6" s="36">
        <v>2.0258103496887357E-3</v>
      </c>
      <c r="O6" s="36">
        <v>2.3860786160876321E-2</v>
      </c>
      <c r="P6" s="36">
        <v>2.5778119594895465E-2</v>
      </c>
      <c r="Q6" s="36">
        <v>3.6187310657350216E-2</v>
      </c>
      <c r="R6" s="36">
        <v>3.7273124860830162E-2</v>
      </c>
      <c r="S6" s="36">
        <v>3.451815620161551E-2</v>
      </c>
      <c r="T6" s="36">
        <v>2.2081329515262319E-2</v>
      </c>
      <c r="U6" s="36">
        <v>2.8159477433106667E-2</v>
      </c>
    </row>
    <row r="7" spans="1:21">
      <c r="A7" s="41" t="s">
        <v>7</v>
      </c>
      <c r="B7" s="42">
        <f>Scenarios!B27</f>
        <v>5.5291722300972554E-2</v>
      </c>
      <c r="C7" s="42">
        <f>Scenarios!D7</f>
        <v>0.28482723462884557</v>
      </c>
      <c r="D7" s="111">
        <f>Scenarios!E7</f>
        <v>9.8859848538283279E-2</v>
      </c>
      <c r="E7" s="112">
        <f>Scenarios!F7</f>
        <v>0.75643025620736359</v>
      </c>
      <c r="F7" s="112">
        <f>Scenarios!G7</f>
        <v>0.79131459925771463</v>
      </c>
      <c r="G7" s="112">
        <f>Scenarios!H7</f>
        <v>1.0000000000000002</v>
      </c>
      <c r="H7" s="112">
        <f>Scenarios!I7</f>
        <v>0.80404615715542727</v>
      </c>
      <c r="I7" s="112">
        <f>Scenarios!J7</f>
        <v>0.71454817175760521</v>
      </c>
      <c r="J7" s="112">
        <f>Scenarios!K7</f>
        <v>0.77932838421386064</v>
      </c>
      <c r="K7" s="113">
        <f>Scenarios!L7</f>
        <v>0.8858491706713586</v>
      </c>
      <c r="N7" s="36">
        <v>1.0792198218053869E-3</v>
      </c>
      <c r="O7" s="36">
        <v>3.3913001268310553E-2</v>
      </c>
      <c r="P7" s="36">
        <v>3.6187310657350216E-2</v>
      </c>
      <c r="Q7" s="36">
        <v>8.1126553586315459E-2</v>
      </c>
      <c r="R7" s="36">
        <v>6.661298466929752E-2</v>
      </c>
      <c r="S7" s="36">
        <v>6.6680146598410817E-2</v>
      </c>
      <c r="T7" s="36">
        <v>3.5068907690180166E-2</v>
      </c>
      <c r="U7" s="36">
        <v>4.9508533096492648E-2</v>
      </c>
    </row>
    <row r="8" spans="1:21">
      <c r="A8" s="41" t="s">
        <v>8</v>
      </c>
      <c r="B8" s="42">
        <f>Scenarios!B28</f>
        <v>5.3998164657843073E-2</v>
      </c>
      <c r="C8" s="42">
        <f>Scenarios!D8</f>
        <v>0.29086830436352928</v>
      </c>
      <c r="D8" s="111">
        <f>Scenarios!E8</f>
        <v>0.17199291666801564</v>
      </c>
      <c r="E8" s="112">
        <f>Scenarios!F8</f>
        <v>0.74460051775263425</v>
      </c>
      <c r="F8" s="112">
        <f>Scenarios!G8</f>
        <v>0.79813028035122635</v>
      </c>
      <c r="G8" s="112">
        <f>Scenarios!H8</f>
        <v>0.80404615715542738</v>
      </c>
      <c r="H8" s="112">
        <f>Scenarios!I8</f>
        <v>1</v>
      </c>
      <c r="I8" s="112">
        <f>Scenarios!J8</f>
        <v>0.63722686856845323</v>
      </c>
      <c r="J8" s="112">
        <f>Scenarios!K8</f>
        <v>0.66166173932878602</v>
      </c>
      <c r="K8" s="113">
        <f>Scenarios!L8</f>
        <v>0.78445174530045891</v>
      </c>
      <c r="N8" s="36">
        <v>1.9174119060450991E-3</v>
      </c>
      <c r="O8" s="36">
        <v>3.4090671365202212E-2</v>
      </c>
      <c r="P8" s="36">
        <v>3.7273124860830155E-2</v>
      </c>
      <c r="Q8" s="36">
        <v>6.661298466929752E-2</v>
      </c>
      <c r="R8" s="36">
        <v>8.4604370483314706E-2</v>
      </c>
      <c r="S8" s="36">
        <v>6.0725905428424112E-2</v>
      </c>
      <c r="T8" s="36">
        <v>3.0405535237547097E-2</v>
      </c>
      <c r="U8" s="36">
        <v>4.4771474246015901E-2</v>
      </c>
    </row>
    <row r="9" spans="1:21">
      <c r="A9" s="41" t="s">
        <v>9</v>
      </c>
      <c r="B9" s="42">
        <f>Scenarios!B29</f>
        <v>5.1554959718268165E-2</v>
      </c>
      <c r="C9" s="42">
        <f>Scenarios!D9</f>
        <v>0.32762989319180058</v>
      </c>
      <c r="D9" s="111">
        <f>Scenarios!E9</f>
        <v>0.1163530870831065</v>
      </c>
      <c r="E9" s="112">
        <f>Scenarios!F9</f>
        <v>0.63042249533958294</v>
      </c>
      <c r="F9" s="112">
        <f>Scenarios!G9</f>
        <v>0.65620336381946465</v>
      </c>
      <c r="G9" s="112">
        <f>Scenarios!H9</f>
        <v>0.71454817175760499</v>
      </c>
      <c r="H9" s="112">
        <f>Scenarios!I9</f>
        <v>0.63722686856845323</v>
      </c>
      <c r="I9" s="112">
        <f>Scenarios!J9</f>
        <v>0.99999999999999978</v>
      </c>
      <c r="J9" s="112">
        <f>Scenarios!K9</f>
        <v>0.61123567343454832</v>
      </c>
      <c r="K9" s="113">
        <f>Scenarios!L9</f>
        <v>0.68083389626068458</v>
      </c>
      <c r="N9" s="36">
        <v>1.4610661864583113E-3</v>
      </c>
      <c r="O9" s="36">
        <v>3.2511053515549906E-2</v>
      </c>
      <c r="P9" s="36">
        <v>3.451815620161551E-2</v>
      </c>
      <c r="Q9" s="36">
        <v>6.6680146598410803E-2</v>
      </c>
      <c r="R9" s="36">
        <v>6.0725905428424112E-2</v>
      </c>
      <c r="S9" s="36">
        <v>0.10734134691287064</v>
      </c>
      <c r="T9" s="36">
        <v>3.1638249356277424E-2</v>
      </c>
      <c r="U9" s="36">
        <v>4.3768680312389029E-2</v>
      </c>
    </row>
    <row r="10" spans="1:21">
      <c r="A10" s="41" t="s">
        <v>10</v>
      </c>
      <c r="B10" s="42">
        <f>Scenarios!B30</f>
        <v>2.8536326743371695E-2</v>
      </c>
      <c r="C10" s="42">
        <f>Scenarios!D10</f>
        <v>0.15798659221184908</v>
      </c>
      <c r="D10" s="111">
        <f>Scenarios!E10</f>
        <v>0.31533261335053225</v>
      </c>
      <c r="E10" s="112">
        <f>Scenarios!F10</f>
        <v>0.87087144487559476</v>
      </c>
      <c r="F10" s="112">
        <f>Scenarios!G10</f>
        <v>0.87052123629161926</v>
      </c>
      <c r="G10" s="112">
        <f>Scenarios!H10</f>
        <v>0.77932838421386041</v>
      </c>
      <c r="H10" s="112">
        <f>Scenarios!I10</f>
        <v>0.66166173932878602</v>
      </c>
      <c r="I10" s="112">
        <f>Scenarios!J10</f>
        <v>0.61123567343454821</v>
      </c>
      <c r="J10" s="112">
        <f>Scenarios!K10</f>
        <v>0.99999999999999978</v>
      </c>
      <c r="K10" s="113">
        <f>Scenarios!L10</f>
        <v>0.84390932125983842</v>
      </c>
      <c r="N10" s="36">
        <v>1.9094029127275296E-3</v>
      </c>
      <c r="O10" s="36">
        <v>2.1656591421791424E-2</v>
      </c>
      <c r="P10" s="36">
        <v>2.2081329515262316E-2</v>
      </c>
      <c r="Q10" s="36">
        <v>3.5068907690180159E-2</v>
      </c>
      <c r="R10" s="36">
        <v>3.0405535237547094E-2</v>
      </c>
      <c r="S10" s="36">
        <v>3.1638249356277418E-2</v>
      </c>
      <c r="T10" s="36">
        <v>2.4959763318713087E-2</v>
      </c>
      <c r="U10" s="36">
        <v>2.6161026315073256E-2</v>
      </c>
    </row>
    <row r="11" spans="1:21" ht="13.5" thickBot="1">
      <c r="A11" s="43" t="s">
        <v>11</v>
      </c>
      <c r="B11" s="44">
        <f>Scenarios!B31</f>
        <v>3.8644858050511752E-2</v>
      </c>
      <c r="C11" s="44">
        <f>Scenarios!D11</f>
        <v>0.19621796279766246</v>
      </c>
      <c r="D11" s="114">
        <f>Scenarios!E11</f>
        <v>0.22382706166473476</v>
      </c>
      <c r="E11" s="115">
        <f>Scenarios!F11</f>
        <v>0.88503479579271971</v>
      </c>
      <c r="F11" s="115">
        <f>Scenarios!G11</f>
        <v>0.89384087654365474</v>
      </c>
      <c r="G11" s="115">
        <f>Scenarios!H11</f>
        <v>0.8858491706713586</v>
      </c>
      <c r="H11" s="115">
        <f>Scenarios!I11</f>
        <v>0.78445174530045891</v>
      </c>
      <c r="I11" s="115">
        <f>Scenarios!J11</f>
        <v>0.68083389626068469</v>
      </c>
      <c r="J11" s="115">
        <f>Scenarios!K11</f>
        <v>0.84390932125983853</v>
      </c>
      <c r="K11" s="116">
        <f>Scenarios!L11</f>
        <v>1.0000000000000002</v>
      </c>
      <c r="N11" s="36">
        <v>1.6832933786511404E-3</v>
      </c>
      <c r="O11" s="36">
        <v>2.7334738850376659E-2</v>
      </c>
      <c r="P11" s="36">
        <v>2.815947743310666E-2</v>
      </c>
      <c r="Q11" s="36">
        <v>4.9508533096492655E-2</v>
      </c>
      <c r="R11" s="36">
        <v>4.4771474246015901E-2</v>
      </c>
      <c r="S11" s="36">
        <v>4.3768680312389036E-2</v>
      </c>
      <c r="T11" s="36">
        <v>2.6161026315073256E-2</v>
      </c>
      <c r="U11" s="36">
        <v>3.8501488924464859E-2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2" t="s">
        <v>3</v>
      </c>
      <c r="E14" s="383"/>
      <c r="F14" s="383"/>
      <c r="G14" s="383"/>
      <c r="H14" s="383"/>
      <c r="I14" s="383"/>
      <c r="J14" s="383"/>
      <c r="K14" s="384"/>
    </row>
    <row r="15" spans="1:21">
      <c r="A15" s="41" t="s">
        <v>4</v>
      </c>
      <c r="B15" s="46">
        <f>Scenarios!C24</f>
        <v>-3.2445168309994665E-3</v>
      </c>
      <c r="C15" s="42">
        <f>C4</f>
        <v>3.8327320576542839E-2</v>
      </c>
      <c r="D15" s="111">
        <f t="shared" ref="D15:K15" si="0">D4</f>
        <v>1</v>
      </c>
      <c r="E15" s="112">
        <f t="shared" si="0"/>
        <v>0.3418544126049784</v>
      </c>
      <c r="F15" s="112">
        <f t="shared" si="0"/>
        <v>0.32920370115226022</v>
      </c>
      <c r="G15" s="112">
        <f t="shared" si="0"/>
        <v>9.8859848538283293E-2</v>
      </c>
      <c r="H15" s="112">
        <f t="shared" si="0"/>
        <v>0.17199291666801578</v>
      </c>
      <c r="I15" s="112">
        <f t="shared" si="0"/>
        <v>0.11635308708310647</v>
      </c>
      <c r="J15" s="112">
        <f t="shared" si="0"/>
        <v>0.31533261335053236</v>
      </c>
      <c r="K15" s="113">
        <f t="shared" si="0"/>
        <v>0.22382706166473479</v>
      </c>
      <c r="L15" s="238" t="s">
        <v>120</v>
      </c>
    </row>
    <row r="16" spans="1:21">
      <c r="A16" s="41" t="s">
        <v>5</v>
      </c>
      <c r="B16" s="46">
        <f>Scenarios!C25</f>
        <v>1.7080984570854354E-2</v>
      </c>
      <c r="C16" s="42">
        <f t="shared" ref="C16:K16" si="1">C5</f>
        <v>0.15740402046445473</v>
      </c>
      <c r="D16" s="111">
        <f t="shared" si="1"/>
        <v>0.3418544126049784</v>
      </c>
      <c r="E16" s="112">
        <f t="shared" si="1"/>
        <v>0.99999999999999978</v>
      </c>
      <c r="F16" s="112">
        <f t="shared" si="1"/>
        <v>0.94415502841460053</v>
      </c>
      <c r="G16" s="112">
        <f t="shared" si="1"/>
        <v>0.75643025620736359</v>
      </c>
      <c r="H16" s="112">
        <f t="shared" si="1"/>
        <v>0.74460051775263425</v>
      </c>
      <c r="I16" s="112">
        <f t="shared" si="1"/>
        <v>0.63042249533958317</v>
      </c>
      <c r="J16" s="112">
        <f t="shared" si="1"/>
        <v>0.87087144487559465</v>
      </c>
      <c r="K16" s="113">
        <f t="shared" si="1"/>
        <v>0.88503479579271971</v>
      </c>
    </row>
    <row r="17" spans="1:12">
      <c r="A17" s="41" t="s">
        <v>6</v>
      </c>
      <c r="B17" s="46">
        <f>Scenarios!C26</f>
        <v>2.8210029350712571E-2</v>
      </c>
      <c r="C17" s="42">
        <f t="shared" ref="C17:K17" si="2">C6</f>
        <v>0.16055565886911449</v>
      </c>
      <c r="D17" s="111">
        <f t="shared" si="2"/>
        <v>0.32920370115226077</v>
      </c>
      <c r="E17" s="112">
        <f t="shared" si="2"/>
        <v>0.94415502841460075</v>
      </c>
      <c r="F17" s="112">
        <f t="shared" si="2"/>
        <v>1</v>
      </c>
      <c r="G17" s="112">
        <f t="shared" si="2"/>
        <v>0.79131459925771463</v>
      </c>
      <c r="H17" s="112">
        <f t="shared" si="2"/>
        <v>0.79813028035122646</v>
      </c>
      <c r="I17" s="112">
        <f t="shared" si="2"/>
        <v>0.65620336381946465</v>
      </c>
      <c r="J17" s="112">
        <f t="shared" si="2"/>
        <v>0.87052123629161937</v>
      </c>
      <c r="K17" s="113">
        <f t="shared" si="2"/>
        <v>0.89384087654365485</v>
      </c>
    </row>
    <row r="18" spans="1:12">
      <c r="A18" s="41" t="s">
        <v>7</v>
      </c>
      <c r="B18" s="46">
        <f>Scenarios!C27</f>
        <v>-3.3982895609806815E-2</v>
      </c>
      <c r="C18" s="42">
        <f t="shared" ref="C18:K18" si="3">C7</f>
        <v>0.28482723462884557</v>
      </c>
      <c r="D18" s="111">
        <f t="shared" si="3"/>
        <v>9.8859848538283279E-2</v>
      </c>
      <c r="E18" s="112">
        <f t="shared" si="3"/>
        <v>0.75643025620736359</v>
      </c>
      <c r="F18" s="112">
        <f t="shared" si="3"/>
        <v>0.79131459925771463</v>
      </c>
      <c r="G18" s="112">
        <f t="shared" si="3"/>
        <v>1.0000000000000002</v>
      </c>
      <c r="H18" s="112">
        <f t="shared" si="3"/>
        <v>0.80404615715542727</v>
      </c>
      <c r="I18" s="112">
        <f t="shared" si="3"/>
        <v>0.71454817175760521</v>
      </c>
      <c r="J18" s="112">
        <f t="shared" si="3"/>
        <v>0.77932838421386064</v>
      </c>
      <c r="K18" s="113">
        <f t="shared" si="3"/>
        <v>0.8858491706713586</v>
      </c>
    </row>
    <row r="19" spans="1:12">
      <c r="A19" s="41" t="s">
        <v>8</v>
      </c>
      <c r="B19" s="46">
        <f>Scenarios!C28</f>
        <v>7.2231587254445423E-2</v>
      </c>
      <c r="C19" s="42">
        <f t="shared" ref="C19:K19" si="4">C8</f>
        <v>0.29086830436352928</v>
      </c>
      <c r="D19" s="111">
        <f t="shared" si="4"/>
        <v>0.17199291666801564</v>
      </c>
      <c r="E19" s="112">
        <f t="shared" si="4"/>
        <v>0.74460051775263425</v>
      </c>
      <c r="F19" s="112">
        <f t="shared" si="4"/>
        <v>0.79813028035122635</v>
      </c>
      <c r="G19" s="112">
        <f t="shared" si="4"/>
        <v>0.80404615715542738</v>
      </c>
      <c r="H19" s="112">
        <f t="shared" si="4"/>
        <v>1</v>
      </c>
      <c r="I19" s="112">
        <f t="shared" si="4"/>
        <v>0.63722686856845323</v>
      </c>
      <c r="J19" s="112">
        <f t="shared" si="4"/>
        <v>0.66166173932878602</v>
      </c>
      <c r="K19" s="113">
        <f t="shared" si="4"/>
        <v>0.78445174530045891</v>
      </c>
    </row>
    <row r="20" spans="1:12">
      <c r="A20" s="41" t="s">
        <v>9</v>
      </c>
      <c r="B20" s="46">
        <f>Scenarios!C29</f>
        <v>8.3002461795964225E-2</v>
      </c>
      <c r="C20" s="42">
        <f t="shared" ref="C20:K20" si="5">C9</f>
        <v>0.32762989319180058</v>
      </c>
      <c r="D20" s="111">
        <f t="shared" si="5"/>
        <v>0.1163530870831065</v>
      </c>
      <c r="E20" s="112">
        <f t="shared" si="5"/>
        <v>0.63042249533958294</v>
      </c>
      <c r="F20" s="112">
        <f t="shared" si="5"/>
        <v>0.65620336381946465</v>
      </c>
      <c r="G20" s="112">
        <f t="shared" si="5"/>
        <v>0.71454817175760499</v>
      </c>
      <c r="H20" s="112">
        <f t="shared" si="5"/>
        <v>0.63722686856845323</v>
      </c>
      <c r="I20" s="112">
        <f t="shared" si="5"/>
        <v>0.99999999999999978</v>
      </c>
      <c r="J20" s="112">
        <f t="shared" si="5"/>
        <v>0.61123567343454832</v>
      </c>
      <c r="K20" s="113">
        <f t="shared" si="5"/>
        <v>0.68083389626068458</v>
      </c>
    </row>
    <row r="21" spans="1:12">
      <c r="A21" s="41" t="s">
        <v>10</v>
      </c>
      <c r="B21" s="46">
        <f>Scenarios!C30</f>
        <v>1.695057316664925E-2</v>
      </c>
      <c r="C21" s="42">
        <f t="shared" ref="C21:K21" si="6">C10</f>
        <v>0.15798659221184908</v>
      </c>
      <c r="D21" s="111">
        <f t="shared" si="6"/>
        <v>0.31533261335053225</v>
      </c>
      <c r="E21" s="112">
        <f t="shared" si="6"/>
        <v>0.87087144487559476</v>
      </c>
      <c r="F21" s="112">
        <f t="shared" si="6"/>
        <v>0.87052123629161926</v>
      </c>
      <c r="G21" s="112">
        <f t="shared" si="6"/>
        <v>0.77932838421386041</v>
      </c>
      <c r="H21" s="112">
        <f t="shared" si="6"/>
        <v>0.66166173932878602</v>
      </c>
      <c r="I21" s="112">
        <f t="shared" si="6"/>
        <v>0.61123567343454821</v>
      </c>
      <c r="J21" s="112">
        <f t="shared" si="6"/>
        <v>0.99999999999999978</v>
      </c>
      <c r="K21" s="113">
        <f t="shared" si="6"/>
        <v>0.84390932125983842</v>
      </c>
    </row>
    <row r="22" spans="1:12" ht="13.5" thickBot="1">
      <c r="A22" s="43" t="s">
        <v>11</v>
      </c>
      <c r="B22" s="47">
        <f>Scenarios!C31</f>
        <v>1.5703249352120311E-2</v>
      </c>
      <c r="C22" s="44">
        <f t="shared" ref="C22:K22" si="7">C11</f>
        <v>0.19621796279766246</v>
      </c>
      <c r="D22" s="114">
        <f t="shared" si="7"/>
        <v>0.22382706166473476</v>
      </c>
      <c r="E22" s="115">
        <f t="shared" si="7"/>
        <v>0.88503479579271971</v>
      </c>
      <c r="F22" s="115">
        <f t="shared" si="7"/>
        <v>0.89384087654365474</v>
      </c>
      <c r="G22" s="115">
        <f t="shared" si="7"/>
        <v>0.8858491706713586</v>
      </c>
      <c r="H22" s="115">
        <f t="shared" si="7"/>
        <v>0.78445174530045891</v>
      </c>
      <c r="I22" s="115">
        <f t="shared" si="7"/>
        <v>0.68083389626068469</v>
      </c>
      <c r="J22" s="115">
        <f t="shared" si="7"/>
        <v>0.84390932125983853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2" t="s">
        <v>3</v>
      </c>
      <c r="E25" s="383"/>
      <c r="F25" s="383"/>
      <c r="G25" s="383"/>
      <c r="H25" s="383"/>
      <c r="I25" s="383"/>
      <c r="J25" s="383"/>
      <c r="K25" s="384"/>
    </row>
    <row r="26" spans="1:12">
      <c r="A26" s="41" t="s">
        <v>4</v>
      </c>
      <c r="B26" s="46">
        <f>Scenarios!D24</f>
        <v>-1.0761362748873404E-3</v>
      </c>
      <c r="C26" s="242">
        <f>C4</f>
        <v>3.8327320576542839E-2</v>
      </c>
      <c r="D26" s="248">
        <f t="shared" ref="D26:K26" si="8">D4</f>
        <v>1</v>
      </c>
      <c r="E26" s="249">
        <f t="shared" si="8"/>
        <v>0.3418544126049784</v>
      </c>
      <c r="F26" s="249">
        <f t="shared" si="8"/>
        <v>0.32920370115226022</v>
      </c>
      <c r="G26" s="249">
        <f t="shared" si="8"/>
        <v>9.8859848538283293E-2</v>
      </c>
      <c r="H26" s="249">
        <f t="shared" si="8"/>
        <v>0.17199291666801578</v>
      </c>
      <c r="I26" s="249">
        <f t="shared" si="8"/>
        <v>0.11635308708310647</v>
      </c>
      <c r="J26" s="249">
        <f t="shared" si="8"/>
        <v>0.31533261335053236</v>
      </c>
      <c r="K26" s="250">
        <f t="shared" si="8"/>
        <v>0.22382706166473479</v>
      </c>
      <c r="L26" s="238" t="s">
        <v>120</v>
      </c>
    </row>
    <row r="27" spans="1:12">
      <c r="A27" s="41" t="s">
        <v>5</v>
      </c>
      <c r="B27" s="46">
        <f>Scenarios!D25</f>
        <v>-5.3634034495987179E-2</v>
      </c>
      <c r="C27" s="242">
        <f t="shared" ref="C27:K27" si="9">C5</f>
        <v>0.15740402046445473</v>
      </c>
      <c r="D27" s="248">
        <f t="shared" si="9"/>
        <v>0.3418544126049784</v>
      </c>
      <c r="E27" s="249">
        <f t="shared" si="9"/>
        <v>0.99999999999999978</v>
      </c>
      <c r="F27" s="249">
        <f t="shared" si="9"/>
        <v>0.94415502841460053</v>
      </c>
      <c r="G27" s="249">
        <f t="shared" si="9"/>
        <v>0.75643025620736359</v>
      </c>
      <c r="H27" s="249">
        <f t="shared" si="9"/>
        <v>0.74460051775263425</v>
      </c>
      <c r="I27" s="249">
        <f t="shared" si="9"/>
        <v>0.63042249533958317</v>
      </c>
      <c r="J27" s="249">
        <f t="shared" si="9"/>
        <v>0.87087144487559465</v>
      </c>
      <c r="K27" s="250">
        <f t="shared" si="9"/>
        <v>0.88503479579271971</v>
      </c>
    </row>
    <row r="28" spans="1:12">
      <c r="A28" s="41" t="s">
        <v>6</v>
      </c>
      <c r="B28" s="46">
        <f>Scenarios!D26</f>
        <v>-2.95466166646563E-3</v>
      </c>
      <c r="C28" s="242">
        <f t="shared" ref="C28:K28" si="10">C6</f>
        <v>0.16055565886911449</v>
      </c>
      <c r="D28" s="248">
        <f t="shared" si="10"/>
        <v>0.32920370115226077</v>
      </c>
      <c r="E28" s="249">
        <f t="shared" si="10"/>
        <v>0.94415502841460075</v>
      </c>
      <c r="F28" s="249">
        <f t="shared" si="10"/>
        <v>1</v>
      </c>
      <c r="G28" s="249">
        <f t="shared" si="10"/>
        <v>0.79131459925771463</v>
      </c>
      <c r="H28" s="249">
        <f t="shared" si="10"/>
        <v>0.79813028035122646</v>
      </c>
      <c r="I28" s="249">
        <f t="shared" si="10"/>
        <v>0.65620336381946465</v>
      </c>
      <c r="J28" s="249">
        <f t="shared" si="10"/>
        <v>0.87052123629161937</v>
      </c>
      <c r="K28" s="250">
        <f t="shared" si="10"/>
        <v>0.89384087654365485</v>
      </c>
    </row>
    <row r="29" spans="1:12">
      <c r="A29" s="41" t="s">
        <v>7</v>
      </c>
      <c r="B29" s="46">
        <f>Scenarios!D27</f>
        <v>-0.20034010635526645</v>
      </c>
      <c r="C29" s="242">
        <f t="shared" ref="C29:K29" si="11">C7</f>
        <v>0.28482723462884557</v>
      </c>
      <c r="D29" s="248">
        <f t="shared" si="11"/>
        <v>9.8859848538283279E-2</v>
      </c>
      <c r="E29" s="249">
        <f t="shared" si="11"/>
        <v>0.75643025620736359</v>
      </c>
      <c r="F29" s="249">
        <f t="shared" si="11"/>
        <v>0.79131459925771463</v>
      </c>
      <c r="G29" s="249">
        <f t="shared" si="11"/>
        <v>1.0000000000000002</v>
      </c>
      <c r="H29" s="249">
        <f t="shared" si="11"/>
        <v>0.80404615715542727</v>
      </c>
      <c r="I29" s="249">
        <f t="shared" si="11"/>
        <v>0.71454817175760521</v>
      </c>
      <c r="J29" s="249">
        <f t="shared" si="11"/>
        <v>0.77932838421386064</v>
      </c>
      <c r="K29" s="250">
        <f t="shared" si="11"/>
        <v>0.8858491706713586</v>
      </c>
    </row>
    <row r="30" spans="1:12">
      <c r="A30" s="41" t="s">
        <v>8</v>
      </c>
      <c r="B30" s="46">
        <f>Scenarios!D28</f>
        <v>-2.9945024082715634E-2</v>
      </c>
      <c r="C30" s="242">
        <f t="shared" ref="C30:K30" si="12">C8</f>
        <v>0.29086830436352928</v>
      </c>
      <c r="D30" s="248">
        <f t="shared" si="12"/>
        <v>0.17199291666801564</v>
      </c>
      <c r="E30" s="249">
        <f t="shared" si="12"/>
        <v>0.74460051775263425</v>
      </c>
      <c r="F30" s="249">
        <f t="shared" si="12"/>
        <v>0.79813028035122635</v>
      </c>
      <c r="G30" s="249">
        <f t="shared" si="12"/>
        <v>0.80404615715542738</v>
      </c>
      <c r="H30" s="249">
        <f t="shared" si="12"/>
        <v>1</v>
      </c>
      <c r="I30" s="249">
        <f t="shared" si="12"/>
        <v>0.63722686856845323</v>
      </c>
      <c r="J30" s="249">
        <f t="shared" si="12"/>
        <v>0.66166173932878602</v>
      </c>
      <c r="K30" s="250">
        <f t="shared" si="12"/>
        <v>0.78445174530045891</v>
      </c>
    </row>
    <row r="31" spans="1:12">
      <c r="A31" s="41" t="s">
        <v>9</v>
      </c>
      <c r="B31" s="46">
        <f>Scenarios!D29</f>
        <v>1.4659134029297541E-2</v>
      </c>
      <c r="C31" s="242">
        <f t="shared" ref="C31:K31" si="13">C9</f>
        <v>0.32762989319180058</v>
      </c>
      <c r="D31" s="248">
        <f t="shared" si="13"/>
        <v>0.1163530870831065</v>
      </c>
      <c r="E31" s="249">
        <f t="shared" si="13"/>
        <v>0.63042249533958294</v>
      </c>
      <c r="F31" s="249">
        <f t="shared" si="13"/>
        <v>0.65620336381946465</v>
      </c>
      <c r="G31" s="249">
        <f t="shared" si="13"/>
        <v>0.71454817175760499</v>
      </c>
      <c r="H31" s="249">
        <f t="shared" si="13"/>
        <v>0.63722686856845323</v>
      </c>
      <c r="I31" s="249">
        <f t="shared" si="13"/>
        <v>0.99999999999999978</v>
      </c>
      <c r="J31" s="249">
        <f t="shared" si="13"/>
        <v>0.61123567343454832</v>
      </c>
      <c r="K31" s="250">
        <f t="shared" si="13"/>
        <v>0.68083389626068458</v>
      </c>
    </row>
    <row r="32" spans="1:12">
      <c r="A32" s="41" t="s">
        <v>10</v>
      </c>
      <c r="B32" s="46">
        <f>Scenarios!D30</f>
        <v>-4.2653387188440507E-2</v>
      </c>
      <c r="C32" s="242">
        <f t="shared" ref="C32:K32" si="14">C10</f>
        <v>0.15798659221184908</v>
      </c>
      <c r="D32" s="248">
        <f t="shared" si="14"/>
        <v>0.31533261335053225</v>
      </c>
      <c r="E32" s="249">
        <f t="shared" si="14"/>
        <v>0.87087144487559476</v>
      </c>
      <c r="F32" s="249">
        <f t="shared" si="14"/>
        <v>0.87052123629161926</v>
      </c>
      <c r="G32" s="249">
        <f t="shared" si="14"/>
        <v>0.77932838421386041</v>
      </c>
      <c r="H32" s="249">
        <f t="shared" si="14"/>
        <v>0.66166173932878602</v>
      </c>
      <c r="I32" s="249">
        <f t="shared" si="14"/>
        <v>0.61123567343454821</v>
      </c>
      <c r="J32" s="249">
        <f t="shared" si="14"/>
        <v>0.99999999999999978</v>
      </c>
      <c r="K32" s="250">
        <f t="shared" si="14"/>
        <v>0.84390932125983842</v>
      </c>
    </row>
    <row r="33" spans="1:12" ht="13.5" thickBot="1">
      <c r="A33" s="43" t="s">
        <v>11</v>
      </c>
      <c r="B33" s="47">
        <f>Scenarios!D31</f>
        <v>-5.8162269749716361E-2</v>
      </c>
      <c r="C33" s="245">
        <f t="shared" ref="C33:K33" si="15">C11</f>
        <v>0.19621796279766246</v>
      </c>
      <c r="D33" s="251">
        <f t="shared" si="15"/>
        <v>0.22382706166473476</v>
      </c>
      <c r="E33" s="252">
        <f t="shared" si="15"/>
        <v>0.88503479579271971</v>
      </c>
      <c r="F33" s="252">
        <f t="shared" si="15"/>
        <v>0.89384087654365474</v>
      </c>
      <c r="G33" s="252">
        <f t="shared" si="15"/>
        <v>0.8858491706713586</v>
      </c>
      <c r="H33" s="252">
        <f t="shared" si="15"/>
        <v>0.78445174530045891</v>
      </c>
      <c r="I33" s="252">
        <f t="shared" si="15"/>
        <v>0.68083389626068469</v>
      </c>
      <c r="J33" s="252">
        <f t="shared" si="15"/>
        <v>0.84390932125983853</v>
      </c>
      <c r="K33" s="253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2" t="s">
        <v>3</v>
      </c>
      <c r="E36" s="383"/>
      <c r="F36" s="383"/>
      <c r="G36" s="383"/>
      <c r="H36" s="383"/>
      <c r="I36" s="383"/>
      <c r="J36" s="383"/>
      <c r="K36" s="384"/>
    </row>
    <row r="37" spans="1:12">
      <c r="A37" s="41" t="s">
        <v>4</v>
      </c>
      <c r="B37" s="46">
        <f>Scenarios!E24</f>
        <v>-3.4179872754884488E-3</v>
      </c>
      <c r="C37" s="242">
        <f t="shared" ref="C37:K37" si="16">C15</f>
        <v>3.8327320576542839E-2</v>
      </c>
      <c r="D37" s="248">
        <f t="shared" si="16"/>
        <v>1</v>
      </c>
      <c r="E37" s="249">
        <f t="shared" si="16"/>
        <v>0.3418544126049784</v>
      </c>
      <c r="F37" s="249">
        <f t="shared" si="16"/>
        <v>0.32920370115226022</v>
      </c>
      <c r="G37" s="249">
        <f t="shared" si="16"/>
        <v>9.8859848538283293E-2</v>
      </c>
      <c r="H37" s="249">
        <f t="shared" si="16"/>
        <v>0.17199291666801578</v>
      </c>
      <c r="I37" s="249">
        <f t="shared" si="16"/>
        <v>0.11635308708310647</v>
      </c>
      <c r="J37" s="249">
        <f t="shared" si="16"/>
        <v>0.31533261335053236</v>
      </c>
      <c r="K37" s="250">
        <f t="shared" si="16"/>
        <v>0.22382706166473479</v>
      </c>
      <c r="L37" s="238" t="s">
        <v>120</v>
      </c>
    </row>
    <row r="38" spans="1:12">
      <c r="A38" s="41" t="s">
        <v>5</v>
      </c>
      <c r="B38" s="46">
        <f>Scenarios!E25</f>
        <v>1.9126088571386521E-2</v>
      </c>
      <c r="C38" s="242">
        <f t="shared" ref="C38:K38" si="17">C16</f>
        <v>0.15740402046445473</v>
      </c>
      <c r="D38" s="248">
        <f t="shared" si="17"/>
        <v>0.3418544126049784</v>
      </c>
      <c r="E38" s="249">
        <f t="shared" si="17"/>
        <v>0.99999999999999978</v>
      </c>
      <c r="F38" s="249">
        <f t="shared" si="17"/>
        <v>0.94415502841460053</v>
      </c>
      <c r="G38" s="249">
        <f t="shared" si="17"/>
        <v>0.75643025620736359</v>
      </c>
      <c r="H38" s="249">
        <f t="shared" si="17"/>
        <v>0.74460051775263425</v>
      </c>
      <c r="I38" s="249">
        <f t="shared" si="17"/>
        <v>0.63042249533958317</v>
      </c>
      <c r="J38" s="249">
        <f t="shared" si="17"/>
        <v>0.87087144487559465</v>
      </c>
      <c r="K38" s="250">
        <f t="shared" si="17"/>
        <v>0.88503479579271971</v>
      </c>
    </row>
    <row r="39" spans="1:12">
      <c r="A39" s="41" t="s">
        <v>6</v>
      </c>
      <c r="B39" s="46">
        <f>Scenarios!E26</f>
        <v>1.2307163627323543E-2</v>
      </c>
      <c r="C39" s="242">
        <f t="shared" ref="C39:K39" si="18">C17</f>
        <v>0.16055565886911449</v>
      </c>
      <c r="D39" s="248">
        <f t="shared" si="18"/>
        <v>0.32920370115226077</v>
      </c>
      <c r="E39" s="249">
        <f t="shared" si="18"/>
        <v>0.94415502841460075</v>
      </c>
      <c r="F39" s="249">
        <f t="shared" si="18"/>
        <v>1</v>
      </c>
      <c r="G39" s="249">
        <f t="shared" si="18"/>
        <v>0.79131459925771463</v>
      </c>
      <c r="H39" s="249">
        <f t="shared" si="18"/>
        <v>0.79813028035122646</v>
      </c>
      <c r="I39" s="249">
        <f t="shared" si="18"/>
        <v>0.65620336381946465</v>
      </c>
      <c r="J39" s="249">
        <f t="shared" si="18"/>
        <v>0.87052123629161937</v>
      </c>
      <c r="K39" s="250">
        <f t="shared" si="18"/>
        <v>0.89384087654365485</v>
      </c>
    </row>
    <row r="40" spans="1:12">
      <c r="A40" s="41" t="s">
        <v>7</v>
      </c>
      <c r="B40" s="46">
        <f>Scenarios!E27</f>
        <v>2.0569527320858455E-2</v>
      </c>
      <c r="C40" s="242">
        <f t="shared" ref="C40:K40" si="19">C18</f>
        <v>0.28482723462884557</v>
      </c>
      <c r="D40" s="248">
        <f t="shared" si="19"/>
        <v>9.8859848538283279E-2</v>
      </c>
      <c r="E40" s="249">
        <f t="shared" si="19"/>
        <v>0.75643025620736359</v>
      </c>
      <c r="F40" s="249">
        <f t="shared" si="19"/>
        <v>0.79131459925771463</v>
      </c>
      <c r="G40" s="249">
        <f t="shared" si="19"/>
        <v>1.0000000000000002</v>
      </c>
      <c r="H40" s="249">
        <f t="shared" si="19"/>
        <v>0.80404615715542727</v>
      </c>
      <c r="I40" s="249">
        <f t="shared" si="19"/>
        <v>0.71454817175760521</v>
      </c>
      <c r="J40" s="249">
        <f t="shared" si="19"/>
        <v>0.77932838421386064</v>
      </c>
      <c r="K40" s="250">
        <f t="shared" si="19"/>
        <v>0.8858491706713586</v>
      </c>
    </row>
    <row r="41" spans="1:12">
      <c r="A41" s="41" t="s">
        <v>8</v>
      </c>
      <c r="B41" s="46">
        <f>Scenarios!E28</f>
        <v>7.5326235596053476E-2</v>
      </c>
      <c r="C41" s="242">
        <f t="shared" ref="C41:K41" si="20">C19</f>
        <v>0.29086830436352928</v>
      </c>
      <c r="D41" s="248">
        <f t="shared" si="20"/>
        <v>0.17199291666801564</v>
      </c>
      <c r="E41" s="249">
        <f t="shared" si="20"/>
        <v>0.74460051775263425</v>
      </c>
      <c r="F41" s="249">
        <f t="shared" si="20"/>
        <v>0.79813028035122635</v>
      </c>
      <c r="G41" s="249">
        <f t="shared" si="20"/>
        <v>0.80404615715542738</v>
      </c>
      <c r="H41" s="249">
        <f t="shared" si="20"/>
        <v>1</v>
      </c>
      <c r="I41" s="249">
        <f t="shared" si="20"/>
        <v>0.63722686856845323</v>
      </c>
      <c r="J41" s="249">
        <f t="shared" si="20"/>
        <v>0.66166173932878602</v>
      </c>
      <c r="K41" s="250">
        <f t="shared" si="20"/>
        <v>0.78445174530045891</v>
      </c>
    </row>
    <row r="42" spans="1:12">
      <c r="A42" s="41" t="s">
        <v>9</v>
      </c>
      <c r="B42" s="46">
        <f>Scenarios!E29</f>
        <v>9.0021127349297542E-2</v>
      </c>
      <c r="C42" s="242">
        <f t="shared" ref="C42:K42" si="21">C20</f>
        <v>0.32762989319180058</v>
      </c>
      <c r="D42" s="248">
        <f t="shared" si="21"/>
        <v>0.1163530870831065</v>
      </c>
      <c r="E42" s="249">
        <f t="shared" si="21"/>
        <v>0.63042249533958294</v>
      </c>
      <c r="F42" s="249">
        <f t="shared" si="21"/>
        <v>0.65620336381946465</v>
      </c>
      <c r="G42" s="249">
        <f t="shared" si="21"/>
        <v>0.71454817175760499</v>
      </c>
      <c r="H42" s="249">
        <f t="shared" si="21"/>
        <v>0.63722686856845323</v>
      </c>
      <c r="I42" s="249">
        <f t="shared" si="21"/>
        <v>0.99999999999999978</v>
      </c>
      <c r="J42" s="249">
        <f t="shared" si="21"/>
        <v>0.61123567343454832</v>
      </c>
      <c r="K42" s="250">
        <f t="shared" si="21"/>
        <v>0.68083389626068458</v>
      </c>
    </row>
    <row r="43" spans="1:12">
      <c r="A43" s="41" t="s">
        <v>10</v>
      </c>
      <c r="B43" s="46">
        <f>Scenarios!E30</f>
        <v>1.4434999267229312E-2</v>
      </c>
      <c r="C43" s="242">
        <f t="shared" ref="C43:K43" si="22">C21</f>
        <v>0.15798659221184908</v>
      </c>
      <c r="D43" s="248">
        <f t="shared" si="22"/>
        <v>0.31533261335053225</v>
      </c>
      <c r="E43" s="249">
        <f t="shared" si="22"/>
        <v>0.87087144487559476</v>
      </c>
      <c r="F43" s="249">
        <f t="shared" si="22"/>
        <v>0.87052123629161926</v>
      </c>
      <c r="G43" s="249">
        <f t="shared" si="22"/>
        <v>0.77932838421386041</v>
      </c>
      <c r="H43" s="249">
        <f t="shared" si="22"/>
        <v>0.66166173932878602</v>
      </c>
      <c r="I43" s="249">
        <f t="shared" si="22"/>
        <v>0.61123567343454821</v>
      </c>
      <c r="J43" s="249">
        <f t="shared" si="22"/>
        <v>0.99999999999999978</v>
      </c>
      <c r="K43" s="250">
        <f t="shared" si="22"/>
        <v>0.84390932125983842</v>
      </c>
    </row>
    <row r="44" spans="1:12" ht="13.5" thickBot="1">
      <c r="A44" s="43" t="s">
        <v>11</v>
      </c>
      <c r="B44" s="47">
        <f>Scenarios!E31</f>
        <v>4.4496035250283651E-2</v>
      </c>
      <c r="C44" s="245">
        <f t="shared" ref="C44:K44" si="23">C22</f>
        <v>0.19621796279766246</v>
      </c>
      <c r="D44" s="251">
        <f t="shared" si="23"/>
        <v>0.22382706166473476</v>
      </c>
      <c r="E44" s="252">
        <f t="shared" si="23"/>
        <v>0.88503479579271971</v>
      </c>
      <c r="F44" s="252">
        <f t="shared" si="23"/>
        <v>0.89384087654365474</v>
      </c>
      <c r="G44" s="252">
        <f t="shared" si="23"/>
        <v>0.8858491706713586</v>
      </c>
      <c r="H44" s="252">
        <f t="shared" si="23"/>
        <v>0.78445174530045891</v>
      </c>
      <c r="I44" s="252">
        <f t="shared" si="23"/>
        <v>0.68083389626068469</v>
      </c>
      <c r="J44" s="252">
        <f t="shared" si="23"/>
        <v>0.84390932125983853</v>
      </c>
      <c r="K44" s="253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1" t="s">
        <v>2</v>
      </c>
      <c r="D47" s="385" t="s">
        <v>3</v>
      </c>
      <c r="E47" s="386"/>
      <c r="F47" s="386"/>
      <c r="G47" s="386"/>
      <c r="H47" s="386"/>
      <c r="I47" s="386"/>
      <c r="J47" s="386"/>
      <c r="K47" s="387"/>
    </row>
    <row r="48" spans="1:12">
      <c r="A48" s="41" t="s">
        <v>4</v>
      </c>
      <c r="B48" s="229">
        <f>Scenarios!F24</f>
        <v>-2.5720358328627513E-2</v>
      </c>
      <c r="C48" s="232">
        <v>6.2230972955435157E-2</v>
      </c>
      <c r="D48" s="280">
        <v>1</v>
      </c>
      <c r="E48" s="281">
        <v>0.47102969549764873</v>
      </c>
      <c r="F48" s="281">
        <v>0.44102598120003672</v>
      </c>
      <c r="G48" s="281">
        <v>0.1916139221868596</v>
      </c>
      <c r="H48" s="281">
        <v>0.24756676138433611</v>
      </c>
      <c r="I48" s="281">
        <v>0.1747091736012199</v>
      </c>
      <c r="J48" s="281">
        <v>0.43690863222333309</v>
      </c>
      <c r="K48" s="282">
        <v>0.33880552794512614</v>
      </c>
      <c r="L48" s="36" t="s">
        <v>125</v>
      </c>
    </row>
    <row r="49" spans="1:13">
      <c r="A49" s="41" t="s">
        <v>5</v>
      </c>
      <c r="B49" s="229">
        <f>Scenarios!F25</f>
        <v>-0.44320953513141953</v>
      </c>
      <c r="C49" s="228">
        <v>0.22813368702469963</v>
      </c>
      <c r="D49" s="274">
        <v>0.47102969549764873</v>
      </c>
      <c r="E49" s="275">
        <v>1.0000000000000002</v>
      </c>
      <c r="F49" s="275">
        <v>0.93822360415104178</v>
      </c>
      <c r="G49" s="275">
        <v>0.75326025420376108</v>
      </c>
      <c r="H49" s="275">
        <v>0.73352486795767102</v>
      </c>
      <c r="I49" s="275">
        <v>0.63359529390296199</v>
      </c>
      <c r="J49" s="275">
        <v>0.87098619109423425</v>
      </c>
      <c r="K49" s="276">
        <v>0.87135999187444568</v>
      </c>
    </row>
    <row r="50" spans="1:13">
      <c r="A50" s="41" t="s">
        <v>6</v>
      </c>
      <c r="B50" s="229">
        <f>Scenarios!F26</f>
        <v>-0.50520055078596937</v>
      </c>
      <c r="C50" s="228">
        <v>0.23612462727275424</v>
      </c>
      <c r="D50" s="274">
        <v>0.44102598120003672</v>
      </c>
      <c r="E50" s="275">
        <v>0.93822360415104189</v>
      </c>
      <c r="F50" s="275">
        <v>1.0000000000000002</v>
      </c>
      <c r="G50" s="275">
        <v>0.79963015318153241</v>
      </c>
      <c r="H50" s="275">
        <v>0.78704984484445428</v>
      </c>
      <c r="I50" s="275">
        <v>0.6705837763066671</v>
      </c>
      <c r="J50" s="275">
        <v>0.87302411710056305</v>
      </c>
      <c r="K50" s="276">
        <v>0.89106747178031864</v>
      </c>
    </row>
    <row r="51" spans="1:13">
      <c r="A51" s="41" t="s">
        <v>7</v>
      </c>
      <c r="B51" s="229">
        <f>Scenarios!F27</f>
        <v>-0.64117999007188409</v>
      </c>
      <c r="C51" s="228">
        <v>0.41877013863949536</v>
      </c>
      <c r="D51" s="274">
        <v>0.19161392218685974</v>
      </c>
      <c r="E51" s="275">
        <v>0.75326025420376086</v>
      </c>
      <c r="F51" s="275">
        <v>0.79963015318153241</v>
      </c>
      <c r="G51" s="275">
        <v>1</v>
      </c>
      <c r="H51" s="275">
        <v>0.80812183743359234</v>
      </c>
      <c r="I51" s="275">
        <v>0.70238919189824067</v>
      </c>
      <c r="J51" s="275">
        <v>0.80604385760605091</v>
      </c>
      <c r="K51" s="276">
        <v>0.88086813992686197</v>
      </c>
    </row>
    <row r="52" spans="1:13">
      <c r="A52" s="41" t="s">
        <v>8</v>
      </c>
      <c r="B52" s="229">
        <f>Scenarios!F28</f>
        <v>-0.39383408868167263</v>
      </c>
      <c r="C52" s="228">
        <v>0.43715930361035565</v>
      </c>
      <c r="D52" s="274">
        <v>0.24756676138433592</v>
      </c>
      <c r="E52" s="275">
        <v>0.73352486795767102</v>
      </c>
      <c r="F52" s="275">
        <v>0.78704984484445417</v>
      </c>
      <c r="G52" s="275">
        <v>0.80812183743359234</v>
      </c>
      <c r="H52" s="275">
        <v>1</v>
      </c>
      <c r="I52" s="275">
        <v>0.6227307997578343</v>
      </c>
      <c r="J52" s="275">
        <v>0.64969582874157039</v>
      </c>
      <c r="K52" s="276">
        <v>0.77520880186806285</v>
      </c>
    </row>
    <row r="53" spans="1:13">
      <c r="A53" s="41" t="s">
        <v>9</v>
      </c>
      <c r="B53" s="229">
        <f>Scenarios!F29</f>
        <v>-0.52034739633736904</v>
      </c>
      <c r="C53" s="228">
        <v>0.49612218939856001</v>
      </c>
      <c r="D53" s="274">
        <v>0.17470917360121993</v>
      </c>
      <c r="E53" s="275">
        <v>0.63359529390296199</v>
      </c>
      <c r="F53" s="275">
        <v>0.67058377630666699</v>
      </c>
      <c r="G53" s="275">
        <v>0.70238919189824078</v>
      </c>
      <c r="H53" s="275">
        <v>0.6227307997578343</v>
      </c>
      <c r="I53" s="275">
        <v>0.99999999999999989</v>
      </c>
      <c r="J53" s="275">
        <v>0.64379087144854052</v>
      </c>
      <c r="K53" s="276">
        <v>0.65952840986787564</v>
      </c>
    </row>
    <row r="54" spans="1:13">
      <c r="A54" s="41" t="s">
        <v>10</v>
      </c>
      <c r="B54" s="229">
        <f>Scenarios!F30</f>
        <v>-0.25857548795346308</v>
      </c>
      <c r="C54" s="228">
        <v>0.22513334484340575</v>
      </c>
      <c r="D54" s="274">
        <v>0.43690863222333315</v>
      </c>
      <c r="E54" s="275">
        <v>0.87098619109423403</v>
      </c>
      <c r="F54" s="275">
        <v>0.87302411710056305</v>
      </c>
      <c r="G54" s="275">
        <v>0.80604385760605068</v>
      </c>
      <c r="H54" s="275">
        <v>0.6496958287415705</v>
      </c>
      <c r="I54" s="275">
        <v>0.64379087144854041</v>
      </c>
      <c r="J54" s="275">
        <v>1.0000000000000002</v>
      </c>
      <c r="K54" s="276">
        <v>0.86491136423250092</v>
      </c>
    </row>
    <row r="55" spans="1:13" ht="13.5" thickBot="1">
      <c r="A55" s="43" t="s">
        <v>11</v>
      </c>
      <c r="B55" s="230">
        <f>Scenarios!F31</f>
        <v>-0.33152986308090188</v>
      </c>
      <c r="C55" s="233">
        <v>0.28443486592153544</v>
      </c>
      <c r="D55" s="277">
        <v>0.33880552794512614</v>
      </c>
      <c r="E55" s="278">
        <v>0.87135999187444568</v>
      </c>
      <c r="F55" s="278">
        <v>0.89106747178031853</v>
      </c>
      <c r="G55" s="278">
        <v>0.88086813992686197</v>
      </c>
      <c r="H55" s="278">
        <v>0.77520880186806285</v>
      </c>
      <c r="I55" s="278">
        <v>0.65952840986787553</v>
      </c>
      <c r="J55" s="278">
        <v>0.86491136423250081</v>
      </c>
      <c r="K55" s="279">
        <v>1</v>
      </c>
    </row>
    <row r="56" spans="1:13">
      <c r="A56" s="206"/>
      <c r="B56" s="207"/>
      <c r="C56" s="208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3" t="s">
        <v>2</v>
      </c>
      <c r="D58" s="382" t="s">
        <v>3</v>
      </c>
      <c r="E58" s="383"/>
      <c r="F58" s="383"/>
      <c r="G58" s="383"/>
      <c r="H58" s="383"/>
      <c r="I58" s="383"/>
      <c r="J58" s="383"/>
      <c r="K58" s="384"/>
      <c r="M58" s="78"/>
    </row>
    <row r="59" spans="1:13">
      <c r="A59" s="41" t="s">
        <v>4</v>
      </c>
      <c r="B59" s="46">
        <f>Scenarios!G24</f>
        <v>-0.26287574291051119</v>
      </c>
      <c r="C59" s="228">
        <v>9.0618112702252188E-2</v>
      </c>
      <c r="D59" s="274">
        <v>1</v>
      </c>
      <c r="E59" s="275">
        <v>0.57085300818064821</v>
      </c>
      <c r="F59" s="275">
        <v>0.51590317152054344</v>
      </c>
      <c r="G59" s="275">
        <v>0.22543235061374906</v>
      </c>
      <c r="H59" s="275">
        <v>0.30482733339870521</v>
      </c>
      <c r="I59" s="275">
        <v>0.1877131252242237</v>
      </c>
      <c r="J59" s="275">
        <v>0.56475392912687616</v>
      </c>
      <c r="K59" s="276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-0.45286655377141971</v>
      </c>
      <c r="C60" s="228">
        <v>0.31486528648887419</v>
      </c>
      <c r="D60" s="274">
        <v>0.57085300818064832</v>
      </c>
      <c r="E60" s="275">
        <v>0.99999999999999978</v>
      </c>
      <c r="F60" s="275">
        <v>0.92670220027648009</v>
      </c>
      <c r="G60" s="275">
        <v>0.70556983049672706</v>
      </c>
      <c r="H60" s="275">
        <v>0.73729250351193587</v>
      </c>
      <c r="I60" s="275">
        <v>0.60792613623167058</v>
      </c>
      <c r="J60" s="275">
        <v>0.86315016289079405</v>
      </c>
      <c r="K60" s="276">
        <v>0.86742743262167787</v>
      </c>
      <c r="M60" s="78"/>
    </row>
    <row r="61" spans="1:13">
      <c r="A61" s="41" t="s">
        <v>6</v>
      </c>
      <c r="B61" s="46">
        <f>Scenarios!G26</f>
        <v>-0.35244265167679129</v>
      </c>
      <c r="C61" s="228">
        <v>0.33563157880530137</v>
      </c>
      <c r="D61" s="274">
        <v>0.51590317152054366</v>
      </c>
      <c r="E61" s="275">
        <v>0.92670220027648009</v>
      </c>
      <c r="F61" s="275">
        <v>0.99999999999999989</v>
      </c>
      <c r="G61" s="275">
        <v>0.77735373318815371</v>
      </c>
      <c r="H61" s="275">
        <v>0.80713427036091268</v>
      </c>
      <c r="I61" s="275">
        <v>0.67030879727576365</v>
      </c>
      <c r="J61" s="275">
        <v>0.8684724670306897</v>
      </c>
      <c r="K61" s="276">
        <v>0.8890877543808684</v>
      </c>
      <c r="M61" s="78"/>
    </row>
    <row r="62" spans="1:13">
      <c r="A62" s="41" t="s">
        <v>7</v>
      </c>
      <c r="B62" s="46">
        <f>Scenarios!G27</f>
        <v>-0.50739956473317127</v>
      </c>
      <c r="C62" s="228">
        <v>0.58057822101166678</v>
      </c>
      <c r="D62" s="274">
        <v>0.22543235061374906</v>
      </c>
      <c r="E62" s="275">
        <v>0.70556983049672706</v>
      </c>
      <c r="F62" s="275">
        <v>0.77735373318815371</v>
      </c>
      <c r="G62" s="275">
        <v>1.0000000000000002</v>
      </c>
      <c r="H62" s="275">
        <v>0.82379140885718805</v>
      </c>
      <c r="I62" s="275">
        <v>0.71491859487248288</v>
      </c>
      <c r="J62" s="275">
        <v>0.7945256498620229</v>
      </c>
      <c r="K62" s="276">
        <v>0.86375669090984664</v>
      </c>
      <c r="M62" s="78"/>
    </row>
    <row r="63" spans="1:13">
      <c r="A63" s="41" t="s">
        <v>8</v>
      </c>
      <c r="B63" s="46">
        <f>Scenarios!G28</f>
        <v>-0.23709668904730849</v>
      </c>
      <c r="C63" s="228">
        <v>0.63397873832777574</v>
      </c>
      <c r="D63" s="274">
        <v>0.30482733339870499</v>
      </c>
      <c r="E63" s="275">
        <v>0.73729250351193587</v>
      </c>
      <c r="F63" s="275">
        <v>0.80713427036091279</v>
      </c>
      <c r="G63" s="275">
        <v>0.82379140885718805</v>
      </c>
      <c r="H63" s="275">
        <v>1</v>
      </c>
      <c r="I63" s="275">
        <v>0.66043271027173578</v>
      </c>
      <c r="J63" s="275">
        <v>0.67907866736685552</v>
      </c>
      <c r="K63" s="276">
        <v>0.79157487896608858</v>
      </c>
      <c r="M63" s="78"/>
    </row>
    <row r="64" spans="1:13">
      <c r="A64" s="41" t="s">
        <v>9</v>
      </c>
      <c r="B64" s="46">
        <f>Scenarios!G29</f>
        <v>-0.53890194796403579</v>
      </c>
      <c r="C64" s="228">
        <v>0.67038386164030728</v>
      </c>
      <c r="D64" s="274">
        <v>0.18771312522422376</v>
      </c>
      <c r="E64" s="275">
        <v>0.60792613623167069</v>
      </c>
      <c r="F64" s="275">
        <v>0.67030879727576365</v>
      </c>
      <c r="G64" s="275">
        <v>0.71491859487248288</v>
      </c>
      <c r="H64" s="275">
        <v>0.66043271027173578</v>
      </c>
      <c r="I64" s="275">
        <v>1.0000000000000002</v>
      </c>
      <c r="J64" s="275">
        <v>0.64225367758188689</v>
      </c>
      <c r="K64" s="276">
        <v>0.67366535141540462</v>
      </c>
      <c r="M64" s="78"/>
    </row>
    <row r="65" spans="1:13">
      <c r="A65" s="41" t="s">
        <v>10</v>
      </c>
      <c r="B65" s="46">
        <f>Scenarios!G30</f>
        <v>-1.0981482728457838E-2</v>
      </c>
      <c r="C65" s="228">
        <v>0.29165630729321568</v>
      </c>
      <c r="D65" s="274">
        <v>0.56475392912687616</v>
      </c>
      <c r="E65" s="275">
        <v>0.86315016289079405</v>
      </c>
      <c r="F65" s="275">
        <v>0.86847246703068981</v>
      </c>
      <c r="G65" s="275">
        <v>0.7945256498620229</v>
      </c>
      <c r="H65" s="275">
        <v>0.67907866736685563</v>
      </c>
      <c r="I65" s="275">
        <v>0.64225367758188689</v>
      </c>
      <c r="J65" s="275">
        <v>1</v>
      </c>
      <c r="K65" s="276">
        <v>0.89194847086880591</v>
      </c>
      <c r="M65" s="78"/>
    </row>
    <row r="66" spans="1:13" ht="13.5" thickBot="1">
      <c r="A66" s="43" t="s">
        <v>11</v>
      </c>
      <c r="B66" s="47">
        <f>+Scenarios!G31</f>
        <v>-0.17474285130040365</v>
      </c>
      <c r="C66" s="233">
        <v>0.38188039832723164</v>
      </c>
      <c r="D66" s="277">
        <v>0.4262035345797428</v>
      </c>
      <c r="E66" s="278">
        <v>0.86742743262167776</v>
      </c>
      <c r="F66" s="278">
        <v>0.8890877543808684</v>
      </c>
      <c r="G66" s="278">
        <v>0.86375669090984664</v>
      </c>
      <c r="H66" s="278">
        <v>0.79157487896608847</v>
      </c>
      <c r="I66" s="278">
        <v>0.67366535141540462</v>
      </c>
      <c r="J66" s="278">
        <v>0.89194847086880591</v>
      </c>
      <c r="K66" s="279">
        <v>1</v>
      </c>
    </row>
    <row r="67" spans="1:13">
      <c r="A67" s="206"/>
      <c r="B67" s="207"/>
      <c r="C67" s="208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3" t="s">
        <v>2</v>
      </c>
      <c r="D69" s="382" t="s">
        <v>3</v>
      </c>
      <c r="E69" s="383"/>
      <c r="F69" s="383"/>
      <c r="G69" s="383"/>
      <c r="H69" s="383"/>
      <c r="I69" s="383"/>
      <c r="J69" s="383"/>
      <c r="K69" s="384"/>
      <c r="M69" s="78"/>
    </row>
    <row r="70" spans="1:13">
      <c r="A70" s="41" t="s">
        <v>4</v>
      </c>
      <c r="B70" s="46">
        <f>+Scenarios!H24</f>
        <v>-3.2441343963196256E-3</v>
      </c>
      <c r="C70" s="239">
        <f>C48</f>
        <v>6.2230972955435157E-2</v>
      </c>
      <c r="D70" s="240">
        <f t="shared" ref="D70:K70" si="24">D48</f>
        <v>1</v>
      </c>
      <c r="E70" s="240">
        <f t="shared" si="24"/>
        <v>0.47102969549764873</v>
      </c>
      <c r="F70" s="240">
        <f t="shared" si="24"/>
        <v>0.44102598120003672</v>
      </c>
      <c r="G70" s="240">
        <f t="shared" si="24"/>
        <v>0.1916139221868596</v>
      </c>
      <c r="H70" s="240">
        <f t="shared" si="24"/>
        <v>0.24756676138433611</v>
      </c>
      <c r="I70" s="240">
        <f t="shared" si="24"/>
        <v>0.1747091736012199</v>
      </c>
      <c r="J70" s="240">
        <f t="shared" si="24"/>
        <v>0.43690863222333309</v>
      </c>
      <c r="K70" s="241">
        <f t="shared" si="24"/>
        <v>0.33880552794512614</v>
      </c>
      <c r="L70" s="238" t="s">
        <v>122</v>
      </c>
    </row>
    <row r="71" spans="1:13">
      <c r="A71" s="41" t="s">
        <v>5</v>
      </c>
      <c r="B71" s="46">
        <f>+Scenarios!H25</f>
        <v>0.29576434041524707</v>
      </c>
      <c r="C71" s="242">
        <f t="shared" ref="C71:K71" si="25">C49</f>
        <v>0.22813368702469963</v>
      </c>
      <c r="D71" s="243">
        <f t="shared" si="25"/>
        <v>0.47102969549764873</v>
      </c>
      <c r="E71" s="243">
        <f t="shared" si="25"/>
        <v>1.0000000000000002</v>
      </c>
      <c r="F71" s="243">
        <f t="shared" si="25"/>
        <v>0.93822360415104178</v>
      </c>
      <c r="G71" s="243">
        <f t="shared" si="25"/>
        <v>0.75326025420376108</v>
      </c>
      <c r="H71" s="243">
        <f t="shared" si="25"/>
        <v>0.73352486795767102</v>
      </c>
      <c r="I71" s="243">
        <f t="shared" si="25"/>
        <v>0.63359529390296199</v>
      </c>
      <c r="J71" s="243">
        <f t="shared" si="25"/>
        <v>0.87098619109423425</v>
      </c>
      <c r="K71" s="244">
        <f t="shared" si="25"/>
        <v>0.87135999187444568</v>
      </c>
    </row>
    <row r="72" spans="1:13">
      <c r="A72" s="41" t="s">
        <v>6</v>
      </c>
      <c r="B72" s="46">
        <f>+Scenarios!H26</f>
        <v>0.24637536735679014</v>
      </c>
      <c r="C72" s="242">
        <f t="shared" ref="C72:K72" si="26">C50</f>
        <v>0.23612462727275424</v>
      </c>
      <c r="D72" s="243">
        <f t="shared" si="26"/>
        <v>0.44102598120003672</v>
      </c>
      <c r="E72" s="243">
        <f t="shared" si="26"/>
        <v>0.93822360415104189</v>
      </c>
      <c r="F72" s="243">
        <f t="shared" si="26"/>
        <v>1.0000000000000002</v>
      </c>
      <c r="G72" s="243">
        <f t="shared" si="26"/>
        <v>0.79963015318153241</v>
      </c>
      <c r="H72" s="243">
        <f t="shared" si="26"/>
        <v>0.78704984484445428</v>
      </c>
      <c r="I72" s="243">
        <f t="shared" si="26"/>
        <v>0.6705837763066671</v>
      </c>
      <c r="J72" s="243">
        <f t="shared" si="26"/>
        <v>0.87302411710056305</v>
      </c>
      <c r="K72" s="244">
        <f t="shared" si="26"/>
        <v>0.89106747178031864</v>
      </c>
    </row>
    <row r="73" spans="1:13">
      <c r="A73" s="41" t="s">
        <v>7</v>
      </c>
      <c r="B73" s="46">
        <f>+Scenarios!H27</f>
        <v>0.32892743718810752</v>
      </c>
      <c r="C73" s="242">
        <f t="shared" ref="C73:K73" si="27">C51</f>
        <v>0.41877013863949536</v>
      </c>
      <c r="D73" s="243">
        <f t="shared" si="27"/>
        <v>0.19161392218685974</v>
      </c>
      <c r="E73" s="243">
        <f t="shared" si="27"/>
        <v>0.75326025420376086</v>
      </c>
      <c r="F73" s="243">
        <f t="shared" si="27"/>
        <v>0.79963015318153241</v>
      </c>
      <c r="G73" s="243">
        <f t="shared" si="27"/>
        <v>1</v>
      </c>
      <c r="H73" s="243">
        <f t="shared" si="27"/>
        <v>0.80812183743359234</v>
      </c>
      <c r="I73" s="243">
        <f t="shared" si="27"/>
        <v>0.70238919189824067</v>
      </c>
      <c r="J73" s="243">
        <f t="shared" si="27"/>
        <v>0.80604385760605091</v>
      </c>
      <c r="K73" s="244">
        <f t="shared" si="27"/>
        <v>0.88086813992686197</v>
      </c>
    </row>
    <row r="74" spans="1:13">
      <c r="A74" s="41" t="s">
        <v>8</v>
      </c>
      <c r="B74" s="46">
        <f>+Scenarios!H28</f>
        <v>0.4212127714691607</v>
      </c>
      <c r="C74" s="242">
        <f t="shared" ref="C74:K74" si="28">C52</f>
        <v>0.43715930361035565</v>
      </c>
      <c r="D74" s="243">
        <f t="shared" si="28"/>
        <v>0.24756676138433592</v>
      </c>
      <c r="E74" s="243">
        <f t="shared" si="28"/>
        <v>0.73352486795767102</v>
      </c>
      <c r="F74" s="243">
        <f t="shared" si="28"/>
        <v>0.78704984484445417</v>
      </c>
      <c r="G74" s="243">
        <f t="shared" si="28"/>
        <v>0.80812183743359234</v>
      </c>
      <c r="H74" s="243">
        <f t="shared" si="28"/>
        <v>1</v>
      </c>
      <c r="I74" s="243">
        <f t="shared" si="28"/>
        <v>0.6227307997578343</v>
      </c>
      <c r="J74" s="243">
        <f t="shared" si="28"/>
        <v>0.64969582874157039</v>
      </c>
      <c r="K74" s="244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2">
        <f t="shared" ref="C75:K75" si="29">C53</f>
        <v>0.49612218939856001</v>
      </c>
      <c r="D75" s="243">
        <f t="shared" si="29"/>
        <v>0.17470917360121993</v>
      </c>
      <c r="E75" s="243">
        <f t="shared" si="29"/>
        <v>0.63359529390296199</v>
      </c>
      <c r="F75" s="243">
        <f t="shared" si="29"/>
        <v>0.67058377630666699</v>
      </c>
      <c r="G75" s="243">
        <f t="shared" si="29"/>
        <v>0.70238919189824078</v>
      </c>
      <c r="H75" s="243">
        <f t="shared" si="29"/>
        <v>0.6227307997578343</v>
      </c>
      <c r="I75" s="243">
        <f t="shared" si="29"/>
        <v>0.99999999999999989</v>
      </c>
      <c r="J75" s="243">
        <f t="shared" si="29"/>
        <v>0.64379087144854052</v>
      </c>
      <c r="K75" s="244">
        <f t="shared" si="29"/>
        <v>0.65952840986787564</v>
      </c>
    </row>
    <row r="76" spans="1:13">
      <c r="A76" s="41" t="s">
        <v>10</v>
      </c>
      <c r="B76" s="46">
        <f>+Scenarios!H30</f>
        <v>0.27934742068923668</v>
      </c>
      <c r="C76" s="242">
        <f t="shared" ref="C76:K76" si="30">C54</f>
        <v>0.22513334484340575</v>
      </c>
      <c r="D76" s="243">
        <f t="shared" si="30"/>
        <v>0.43690863222333315</v>
      </c>
      <c r="E76" s="243">
        <f t="shared" si="30"/>
        <v>0.87098619109423403</v>
      </c>
      <c r="F76" s="243">
        <f t="shared" si="30"/>
        <v>0.87302411710056305</v>
      </c>
      <c r="G76" s="243">
        <f t="shared" si="30"/>
        <v>0.80604385760605068</v>
      </c>
      <c r="H76" s="243">
        <f t="shared" si="30"/>
        <v>0.6496958287415705</v>
      </c>
      <c r="I76" s="243">
        <f t="shared" si="30"/>
        <v>0.64379087144854041</v>
      </c>
      <c r="J76" s="243">
        <f t="shared" si="30"/>
        <v>1.0000000000000002</v>
      </c>
      <c r="K76" s="244">
        <f t="shared" si="30"/>
        <v>0.86491136423250092</v>
      </c>
    </row>
    <row r="77" spans="1:13" ht="13.5" thickBot="1">
      <c r="A77" s="43" t="s">
        <v>11</v>
      </c>
      <c r="B77" s="47">
        <f>+Scenarios!H31</f>
        <v>0.39881762458018055</v>
      </c>
      <c r="C77" s="245">
        <f t="shared" ref="C77:K77" si="31">C55</f>
        <v>0.28443486592153544</v>
      </c>
      <c r="D77" s="246">
        <f t="shared" si="31"/>
        <v>0.33880552794512614</v>
      </c>
      <c r="E77" s="246">
        <f t="shared" si="31"/>
        <v>0.87135999187444568</v>
      </c>
      <c r="F77" s="246">
        <f t="shared" si="31"/>
        <v>0.89106747178031853</v>
      </c>
      <c r="G77" s="246">
        <f t="shared" si="31"/>
        <v>0.88086813992686197</v>
      </c>
      <c r="H77" s="246">
        <f t="shared" si="31"/>
        <v>0.77520880186806285</v>
      </c>
      <c r="I77" s="246">
        <f t="shared" si="31"/>
        <v>0.65952840986787553</v>
      </c>
      <c r="J77" s="246">
        <f t="shared" si="31"/>
        <v>0.86491136423250081</v>
      </c>
      <c r="K77" s="247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2" sqref="D12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8" t="s">
        <v>16</v>
      </c>
      <c r="D2" s="389"/>
      <c r="E2" s="390" t="s">
        <v>17</v>
      </c>
      <c r="F2" s="391"/>
      <c r="G2" s="392" t="s">
        <v>33</v>
      </c>
      <c r="H2" s="393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v>0</v>
      </c>
      <c r="D4" s="16">
        <v>1</v>
      </c>
      <c r="E4" s="16">
        <v>0</v>
      </c>
      <c r="F4" s="16">
        <v>1</v>
      </c>
      <c r="G4" s="17">
        <f>'Control panel'!B3</f>
        <v>0.56180875203091096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v>0</v>
      </c>
      <c r="D5" s="20">
        <v>1</v>
      </c>
      <c r="E5" s="20">
        <v>0</v>
      </c>
      <c r="F5" s="20">
        <v>1</v>
      </c>
      <c r="G5" s="21">
        <f>'Control panel'!B4</f>
        <v>9.6622266302898649E-2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v>0</v>
      </c>
      <c r="D6" s="20">
        <v>1</v>
      </c>
      <c r="E6" s="20">
        <v>0</v>
      </c>
      <c r="F6" s="20">
        <v>1</v>
      </c>
      <c r="G6" s="21">
        <f>'Control panel'!B5</f>
        <v>9.4882090946714417E-2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v>0</v>
      </c>
      <c r="D7" s="20">
        <v>1</v>
      </c>
      <c r="E7" s="20">
        <v>0</v>
      </c>
      <c r="F7" s="20">
        <v>1</v>
      </c>
      <c r="G7" s="21">
        <f>'Control panel'!B6</f>
        <v>0.10456356326955371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v>0</v>
      </c>
      <c r="D8" s="20">
        <v>1</v>
      </c>
      <c r="E8" s="20">
        <v>0</v>
      </c>
      <c r="F8" s="20">
        <v>1</v>
      </c>
      <c r="G8" s="21">
        <f>'Control panel'!B7</f>
        <v>4.8672187041583666E-2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v>0</v>
      </c>
      <c r="D9" s="20">
        <v>1</v>
      </c>
      <c r="E9" s="20">
        <v>0</v>
      </c>
      <c r="F9" s="20">
        <v>1</v>
      </c>
      <c r="G9" s="21">
        <f>'Control panel'!B8</f>
        <v>1.8487177597443272E-2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v>0</v>
      </c>
      <c r="D10" s="20">
        <v>1</v>
      </c>
      <c r="E10" s="20">
        <v>0</v>
      </c>
      <c r="F10" s="20">
        <v>1</v>
      </c>
      <c r="G10" s="21">
        <f>'Control panel'!B9</f>
        <v>3.0713456071724741E-2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v>0</v>
      </c>
      <c r="D11" s="24">
        <v>1</v>
      </c>
      <c r="E11" s="24">
        <v>0</v>
      </c>
      <c r="F11" s="24">
        <v>1</v>
      </c>
      <c r="G11" s="25">
        <f>'Control panel'!B10</f>
        <v>4.4250506739170546E-2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4">
        <v>0</v>
      </c>
      <c r="C15" s="254">
        <v>0</v>
      </c>
      <c r="D15" s="254">
        <v>0</v>
      </c>
      <c r="E15" s="254">
        <v>0</v>
      </c>
      <c r="F15" s="254">
        <v>0</v>
      </c>
      <c r="G15" s="255">
        <v>0</v>
      </c>
    </row>
    <row r="16" spans="1:8">
      <c r="A16" s="18" t="str">
        <f t="shared" ref="A16:A22" si="0">A5</f>
        <v>High Yield</v>
      </c>
      <c r="B16" s="256">
        <v>0</v>
      </c>
      <c r="C16" s="256">
        <v>0</v>
      </c>
      <c r="D16" s="256">
        <v>0</v>
      </c>
      <c r="E16" s="256">
        <v>0</v>
      </c>
      <c r="F16" s="256">
        <v>0</v>
      </c>
      <c r="G16" s="256">
        <v>0</v>
      </c>
    </row>
    <row r="17" spans="1:7">
      <c r="A17" s="18" t="str">
        <f t="shared" si="0"/>
        <v>Emerging market debt</v>
      </c>
      <c r="B17" s="256">
        <v>0</v>
      </c>
      <c r="C17" s="256">
        <v>0</v>
      </c>
      <c r="D17" s="256">
        <v>0</v>
      </c>
      <c r="E17" s="256">
        <v>0</v>
      </c>
      <c r="F17" s="256">
        <v>0</v>
      </c>
      <c r="G17" s="257">
        <v>0</v>
      </c>
    </row>
    <row r="18" spans="1:7">
      <c r="A18" s="18" t="str">
        <f t="shared" si="0"/>
        <v>Aandelen ontwikkeld</v>
      </c>
      <c r="B18" s="256">
        <v>0</v>
      </c>
      <c r="C18" s="256">
        <v>0</v>
      </c>
      <c r="D18" s="256">
        <v>0</v>
      </c>
      <c r="E18" s="256">
        <v>0</v>
      </c>
      <c r="F18" s="256">
        <v>0</v>
      </c>
      <c r="G18" s="257">
        <v>0</v>
      </c>
    </row>
    <row r="19" spans="1:7">
      <c r="A19" s="18" t="str">
        <f t="shared" si="0"/>
        <v>Aandelen opkomend</v>
      </c>
      <c r="B19" s="256">
        <v>0</v>
      </c>
      <c r="C19" s="256">
        <v>0</v>
      </c>
      <c r="D19" s="256">
        <v>0</v>
      </c>
      <c r="E19" s="256">
        <v>0</v>
      </c>
      <c r="F19" s="256">
        <v>0</v>
      </c>
      <c r="G19" s="257">
        <v>0</v>
      </c>
    </row>
    <row r="20" spans="1:7">
      <c r="A20" s="18" t="str">
        <f t="shared" si="0"/>
        <v>Commodities</v>
      </c>
      <c r="B20" s="256">
        <v>0</v>
      </c>
      <c r="C20" s="256">
        <v>0</v>
      </c>
      <c r="D20" s="256">
        <v>0</v>
      </c>
      <c r="E20" s="256">
        <v>0</v>
      </c>
      <c r="F20" s="256">
        <v>0</v>
      </c>
      <c r="G20" s="257">
        <v>0</v>
      </c>
    </row>
    <row r="21" spans="1:7">
      <c r="A21" s="18" t="str">
        <f t="shared" si="0"/>
        <v>Hedge funds</v>
      </c>
      <c r="B21" s="256">
        <v>0</v>
      </c>
      <c r="C21" s="256">
        <v>0</v>
      </c>
      <c r="D21" s="256">
        <v>0</v>
      </c>
      <c r="E21" s="256">
        <v>0</v>
      </c>
      <c r="F21" s="256">
        <v>0</v>
      </c>
      <c r="G21" s="257">
        <v>0</v>
      </c>
    </row>
    <row r="22" spans="1:7" ht="15.75" thickBot="1">
      <c r="A22" s="22" t="str">
        <f t="shared" si="0"/>
        <v>Onroerend goed</v>
      </c>
      <c r="B22" s="258">
        <v>0</v>
      </c>
      <c r="C22" s="258">
        <v>0</v>
      </c>
      <c r="D22" s="258">
        <v>0</v>
      </c>
      <c r="E22" s="258">
        <v>0</v>
      </c>
      <c r="F22" s="258">
        <v>0</v>
      </c>
      <c r="G22" s="259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F37" sqref="F37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79" t="s">
        <v>39</v>
      </c>
    </row>
    <row r="2" spans="1:8">
      <c r="C2" s="180"/>
    </row>
    <row r="3" spans="1:8">
      <c r="A3" s="27" t="s">
        <v>40</v>
      </c>
      <c r="B3" s="3"/>
      <c r="C3" s="181"/>
      <c r="D3" s="3"/>
      <c r="E3" s="3"/>
      <c r="F3" s="3"/>
    </row>
    <row r="4" spans="1:8" ht="15.75" thickBot="1">
      <c r="A4" s="182"/>
      <c r="B4" s="204"/>
      <c r="C4" s="204"/>
      <c r="D4" s="204"/>
      <c r="E4" s="204"/>
      <c r="F4" s="204"/>
      <c r="G4" s="204"/>
      <c r="H4" s="204"/>
    </row>
    <row r="5" spans="1:8" ht="15.75" thickBot="1">
      <c r="A5" s="211" t="s">
        <v>38</v>
      </c>
      <c r="B5" s="212" t="str">
        <f>Scenarios!B23</f>
        <v>Evenwicht</v>
      </c>
      <c r="C5" s="183" t="str">
        <f>Scenarios!C23</f>
        <v>Base Case</v>
      </c>
      <c r="D5" s="212" t="str">
        <f>Scenarios!D23</f>
        <v>Base - muddle down</v>
      </c>
      <c r="E5" s="183" t="str">
        <f>Scenarios!E23</f>
        <v>Base - muddle up</v>
      </c>
      <c r="F5" s="212" t="str">
        <f>Scenarios!F23</f>
        <v>Bear case</v>
      </c>
      <c r="G5" s="212" t="str">
        <f>Scenarios!G23</f>
        <v>Tail risk</v>
      </c>
      <c r="H5" s="212" t="str">
        <f>Scenarios!H23</f>
        <v>Bull case</v>
      </c>
    </row>
    <row r="6" spans="1:8">
      <c r="A6" s="184" t="s">
        <v>70</v>
      </c>
      <c r="B6" s="283">
        <v>1</v>
      </c>
      <c r="C6" s="264">
        <v>0</v>
      </c>
      <c r="D6" s="263">
        <v>0</v>
      </c>
      <c r="E6" s="264">
        <v>0</v>
      </c>
      <c r="F6" s="263">
        <v>0</v>
      </c>
      <c r="G6" s="263">
        <v>0</v>
      </c>
      <c r="H6" s="263">
        <v>0</v>
      </c>
    </row>
    <row r="7" spans="1:8">
      <c r="A7" s="184" t="s">
        <v>112</v>
      </c>
      <c r="B7" s="213">
        <v>0</v>
      </c>
      <c r="C7" s="98">
        <v>1</v>
      </c>
      <c r="D7" s="213">
        <v>0</v>
      </c>
      <c r="E7" s="98">
        <v>0</v>
      </c>
      <c r="F7" s="213">
        <v>0</v>
      </c>
      <c r="G7" s="213">
        <v>0</v>
      </c>
      <c r="H7" s="213">
        <v>0</v>
      </c>
    </row>
    <row r="8" spans="1:8">
      <c r="A8" s="184" t="s">
        <v>126</v>
      </c>
      <c r="B8" s="213">
        <v>0</v>
      </c>
      <c r="C8" s="98">
        <v>0</v>
      </c>
      <c r="D8" s="213">
        <v>1</v>
      </c>
      <c r="E8" s="98">
        <v>0</v>
      </c>
      <c r="F8" s="213">
        <v>0</v>
      </c>
      <c r="G8" s="213">
        <v>0</v>
      </c>
      <c r="H8" s="213">
        <v>0</v>
      </c>
    </row>
    <row r="9" spans="1:8">
      <c r="A9" s="184" t="s">
        <v>127</v>
      </c>
      <c r="B9" s="213">
        <v>0</v>
      </c>
      <c r="C9" s="98">
        <v>0</v>
      </c>
      <c r="D9" s="213">
        <v>0</v>
      </c>
      <c r="E9" s="98">
        <v>1</v>
      </c>
      <c r="F9" s="213">
        <v>0</v>
      </c>
      <c r="G9" s="213">
        <v>0</v>
      </c>
      <c r="H9" s="213">
        <v>0</v>
      </c>
    </row>
    <row r="10" spans="1:8">
      <c r="A10" s="184" t="s">
        <v>113</v>
      </c>
      <c r="B10" s="213">
        <v>0</v>
      </c>
      <c r="C10" s="98">
        <v>0</v>
      </c>
      <c r="D10" s="213">
        <v>0</v>
      </c>
      <c r="E10" s="98">
        <v>0</v>
      </c>
      <c r="F10" s="213">
        <v>1</v>
      </c>
      <c r="G10" s="213">
        <v>0</v>
      </c>
      <c r="H10" s="213">
        <v>0</v>
      </c>
    </row>
    <row r="11" spans="1:8">
      <c r="A11" s="184" t="s">
        <v>114</v>
      </c>
      <c r="B11" s="213">
        <v>0</v>
      </c>
      <c r="C11" s="98">
        <v>0</v>
      </c>
      <c r="D11" s="213">
        <v>0</v>
      </c>
      <c r="E11" s="98">
        <v>0</v>
      </c>
      <c r="F11" s="213">
        <v>0</v>
      </c>
      <c r="G11" s="213">
        <v>1</v>
      </c>
      <c r="H11" s="213">
        <v>0</v>
      </c>
    </row>
    <row r="12" spans="1:8" ht="15.75" thickBot="1">
      <c r="A12" s="184" t="s">
        <v>128</v>
      </c>
      <c r="B12" s="214">
        <v>0</v>
      </c>
      <c r="C12" s="210">
        <v>0</v>
      </c>
      <c r="D12" s="214">
        <v>0</v>
      </c>
      <c r="E12" s="210">
        <v>0</v>
      </c>
      <c r="F12" s="214">
        <v>0</v>
      </c>
      <c r="G12" s="214">
        <v>0</v>
      </c>
      <c r="H12" s="214">
        <v>1</v>
      </c>
    </row>
    <row r="13" spans="1:8" ht="15.75" thickBot="1">
      <c r="A13" s="205" t="s">
        <v>30</v>
      </c>
      <c r="B13" s="260">
        <v>0</v>
      </c>
      <c r="C13" s="260">
        <v>1</v>
      </c>
      <c r="D13" s="261">
        <v>0</v>
      </c>
      <c r="E13" s="261">
        <v>0</v>
      </c>
      <c r="F13" s="261">
        <v>0</v>
      </c>
      <c r="G13" s="262">
        <v>0</v>
      </c>
      <c r="H13" s="261">
        <v>0</v>
      </c>
    </row>
    <row r="14" spans="1:8">
      <c r="A14" s="209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5"/>
      <c r="B18" s="186" t="s">
        <v>43</v>
      </c>
      <c r="C18" s="187"/>
      <c r="D18" s="187"/>
      <c r="E18" s="92"/>
      <c r="F18" s="188"/>
      <c r="G18" s="188"/>
      <c r="H18" s="189"/>
      <c r="I18" s="93" t="s">
        <v>46</v>
      </c>
    </row>
    <row r="19" spans="1:9" ht="15.75" thickBot="1">
      <c r="A19" s="190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4" t="str">
        <f>A6</f>
        <v>Evenwicht</v>
      </c>
      <c r="B20" s="191">
        <v>0</v>
      </c>
      <c r="C20" s="192">
        <v>0</v>
      </c>
      <c r="D20" s="106">
        <f>D27</f>
        <v>9.3074502522160901E-2</v>
      </c>
      <c r="E20" s="19">
        <v>1</v>
      </c>
      <c r="F20" s="193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4" t="str">
        <f t="shared" ref="A21:A26" si="0">A7</f>
        <v>Base Case</v>
      </c>
      <c r="B21" s="191">
        <v>0</v>
      </c>
      <c r="C21" s="192">
        <v>0</v>
      </c>
      <c r="D21" s="106">
        <f t="shared" ref="D21:D26" si="1">$D$27</f>
        <v>9.3074502522160901E-2</v>
      </c>
      <c r="E21" s="19">
        <v>1</v>
      </c>
      <c r="F21" s="193">
        <v>0.02</v>
      </c>
      <c r="G21" s="29">
        <v>0</v>
      </c>
      <c r="H21" s="29" t="s">
        <v>49</v>
      </c>
      <c r="I21" s="29" t="s">
        <v>60</v>
      </c>
    </row>
    <row r="22" spans="1:9">
      <c r="A22" s="184" t="str">
        <f t="shared" si="0"/>
        <v>Base - muddle down</v>
      </c>
      <c r="B22" s="191">
        <v>0</v>
      </c>
      <c r="C22" s="192">
        <v>0</v>
      </c>
      <c r="D22" s="106">
        <f t="shared" si="1"/>
        <v>9.3074502522160901E-2</v>
      </c>
      <c r="E22" s="19">
        <v>1</v>
      </c>
      <c r="F22" s="193">
        <v>0.02</v>
      </c>
      <c r="G22" s="29">
        <v>0</v>
      </c>
      <c r="H22" s="29" t="s">
        <v>49</v>
      </c>
      <c r="I22" s="29" t="s">
        <v>60</v>
      </c>
    </row>
    <row r="23" spans="1:9">
      <c r="A23" s="184" t="str">
        <f t="shared" si="0"/>
        <v>Base - muddle up</v>
      </c>
      <c r="B23" s="191">
        <v>0</v>
      </c>
      <c r="C23" s="192">
        <v>0</v>
      </c>
      <c r="D23" s="106">
        <f t="shared" si="1"/>
        <v>9.3074502522160901E-2</v>
      </c>
      <c r="E23" s="19">
        <v>1</v>
      </c>
      <c r="F23" s="193">
        <v>0.02</v>
      </c>
      <c r="G23" s="29">
        <v>0</v>
      </c>
      <c r="H23" s="29" t="s">
        <v>49</v>
      </c>
      <c r="I23" s="29" t="s">
        <v>60</v>
      </c>
    </row>
    <row r="24" spans="1:9">
      <c r="A24" s="184" t="str">
        <f t="shared" si="0"/>
        <v>Bear case</v>
      </c>
      <c r="B24" s="191">
        <v>0</v>
      </c>
      <c r="C24" s="192">
        <v>0</v>
      </c>
      <c r="D24" s="106">
        <f t="shared" si="1"/>
        <v>9.3074502522160901E-2</v>
      </c>
      <c r="E24" s="19">
        <v>1</v>
      </c>
      <c r="F24" s="193">
        <v>0.02</v>
      </c>
      <c r="G24" s="29">
        <v>0</v>
      </c>
      <c r="H24" s="29" t="s">
        <v>49</v>
      </c>
      <c r="I24" s="29" t="s">
        <v>60</v>
      </c>
    </row>
    <row r="25" spans="1:9">
      <c r="A25" s="184" t="str">
        <f t="shared" si="0"/>
        <v>Tail risk</v>
      </c>
      <c r="B25" s="191">
        <v>0</v>
      </c>
      <c r="C25" s="192">
        <v>0</v>
      </c>
      <c r="D25" s="106">
        <f t="shared" si="1"/>
        <v>9.3074502522160901E-2</v>
      </c>
      <c r="E25" s="19">
        <v>1</v>
      </c>
      <c r="F25" s="193">
        <v>0.02</v>
      </c>
      <c r="G25" s="29">
        <v>0</v>
      </c>
      <c r="H25" s="29" t="s">
        <v>49</v>
      </c>
      <c r="I25" s="29" t="s">
        <v>60</v>
      </c>
    </row>
    <row r="26" spans="1:9">
      <c r="A26" s="184" t="str">
        <f t="shared" si="0"/>
        <v>Bull case</v>
      </c>
      <c r="B26" s="191">
        <v>0</v>
      </c>
      <c r="C26" s="192">
        <v>0</v>
      </c>
      <c r="D26" s="106">
        <f t="shared" si="1"/>
        <v>9.3074502522160901E-2</v>
      </c>
      <c r="E26" s="19">
        <v>1</v>
      </c>
      <c r="F26" s="193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4" t="str">
        <f>A13</f>
        <v>Kansgewogen</v>
      </c>
      <c r="B27" s="195">
        <f>'Control panel'!B26</f>
        <v>0</v>
      </c>
      <c r="C27" s="81">
        <f>'Control panel'!C26</f>
        <v>0</v>
      </c>
      <c r="D27" s="107">
        <f>'Control panel'!B27</f>
        <v>9.3074502522160901E-2</v>
      </c>
      <c r="E27" s="23">
        <f>'Control panel'!C27</f>
        <v>1</v>
      </c>
      <c r="F27" s="196">
        <v>0.02</v>
      </c>
      <c r="G27" s="33">
        <f>'Control panel'!C28</f>
        <v>0</v>
      </c>
      <c r="H27" s="33" t="str">
        <f>'Control panel'!B23</f>
        <v>Max rendement</v>
      </c>
      <c r="I27" s="259" t="s">
        <v>60</v>
      </c>
    </row>
    <row r="29" spans="1:9">
      <c r="A29" s="27" t="s">
        <v>52</v>
      </c>
    </row>
    <row r="30" spans="1:9">
      <c r="A30" s="197" t="s">
        <v>53</v>
      </c>
      <c r="B30" s="109">
        <f>'Control panel'!B31</f>
        <v>0</v>
      </c>
    </row>
    <row r="31" spans="1:9">
      <c r="A31" s="197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8" t="s">
        <v>13</v>
      </c>
      <c r="B34" s="73">
        <f>'Control panel'!B35</f>
        <v>500</v>
      </c>
    </row>
    <row r="35" spans="1:2">
      <c r="A35" s="198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199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5"/>
      <c r="O2" s="396"/>
      <c r="R2" s="234" t="s">
        <v>66</v>
      </c>
      <c r="S2" s="50"/>
      <c r="T2" s="50"/>
      <c r="U2" s="50"/>
      <c r="W2" s="50"/>
    </row>
    <row r="3" spans="1:30">
      <c r="A3" s="265" t="s">
        <v>70</v>
      </c>
      <c r="B3" s="266" t="s">
        <v>67</v>
      </c>
      <c r="C3" s="267" t="s">
        <v>2</v>
      </c>
      <c r="D3" s="268">
        <v>0.25</v>
      </c>
      <c r="E3" s="269">
        <v>0.5</v>
      </c>
      <c r="F3" s="270">
        <v>0.75</v>
      </c>
      <c r="G3" s="271">
        <v>0.40581048982142598</v>
      </c>
      <c r="H3" s="271">
        <v>0.22539385869851969</v>
      </c>
      <c r="I3" s="271">
        <v>0.17120110226763607</v>
      </c>
      <c r="J3" s="271">
        <v>0.11631100938446393</v>
      </c>
      <c r="K3" s="271">
        <v>5.8766650140110066E-2</v>
      </c>
      <c r="L3" s="271">
        <v>2.2493329314324906E-2</v>
      </c>
      <c r="M3" s="271">
        <v>2.356037351580742E-5</v>
      </c>
      <c r="N3" s="271">
        <v>0</v>
      </c>
      <c r="O3" s="272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0.55719900803968181</v>
      </c>
      <c r="C4" s="54">
        <v>1.6549245276953766E-2</v>
      </c>
      <c r="D4" s="55">
        <v>0.54355280602446576</v>
      </c>
      <c r="E4" s="1">
        <v>0.55581912386412968</v>
      </c>
      <c r="F4" s="56">
        <v>0.56845710157250906</v>
      </c>
      <c r="G4" s="2">
        <v>-2.9696885953054409E-2</v>
      </c>
      <c r="H4" s="2">
        <v>0.20175835097961348</v>
      </c>
      <c r="I4" s="2">
        <v>-7.846179616887769E-2</v>
      </c>
      <c r="J4" s="2">
        <v>0.72180007197699048</v>
      </c>
      <c r="K4" s="2">
        <v>0.31038407229426068</v>
      </c>
      <c r="L4" s="2">
        <v>0.13043248391736303</v>
      </c>
      <c r="M4" s="2">
        <v>1</v>
      </c>
      <c r="N4" s="2">
        <v>0.99999999999976286</v>
      </c>
      <c r="O4" s="57"/>
      <c r="R4" s="51" t="str">
        <f>A4</f>
        <v>Nominale matching</v>
      </c>
      <c r="S4" s="52">
        <f>D4</f>
        <v>0.54355280602446576</v>
      </c>
      <c r="T4" s="52">
        <f>B4-D4</f>
        <v>1.3646202015216047E-2</v>
      </c>
      <c r="U4" s="52">
        <f>F4-B4</f>
        <v>1.1258093532827251E-2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8.3858999849900528E-2</v>
      </c>
      <c r="C5" s="54">
        <v>4.584869903341237E-2</v>
      </c>
      <c r="D5" s="55">
        <v>5.0083002938182873E-2</v>
      </c>
      <c r="E5" s="1">
        <v>7.7965087140071263E-2</v>
      </c>
      <c r="F5" s="56">
        <v>0.11221386922347695</v>
      </c>
      <c r="G5" s="2">
        <v>-0.98200420184514825</v>
      </c>
      <c r="H5" s="2">
        <v>-0.78268958784854537</v>
      </c>
      <c r="I5" s="2">
        <v>-0.19216736480929195</v>
      </c>
      <c r="J5" s="2">
        <v>-0.49922988262683665</v>
      </c>
      <c r="K5" s="2">
        <v>-9.0569950425863077E-2</v>
      </c>
      <c r="L5" s="2">
        <v>-9.5942458698698468E-2</v>
      </c>
      <c r="M5" s="2">
        <v>0.17188641380761074</v>
      </c>
      <c r="N5" s="2">
        <v>0.99999999999989142</v>
      </c>
      <c r="O5" s="57"/>
      <c r="R5" s="51" t="str">
        <f t="shared" ref="R5:R11" si="0">A5</f>
        <v>High Yield</v>
      </c>
      <c r="S5" s="52">
        <f t="shared" ref="S5:S11" si="1">D5</f>
        <v>5.0083002938182873E-2</v>
      </c>
      <c r="T5" s="52">
        <f t="shared" ref="T5:T11" si="2">B5-D5</f>
        <v>3.3775996911717655E-2</v>
      </c>
      <c r="U5" s="52">
        <f t="shared" ref="U5:U11" si="3">F5-B5</f>
        <v>2.8354869373576425E-2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8.1097049342087946E-2</v>
      </c>
      <c r="C6" s="54">
        <v>4.6696093800054482E-2</v>
      </c>
      <c r="D6" s="55">
        <v>4.4701988096091189E-2</v>
      </c>
      <c r="E6" s="1">
        <v>7.8273087077832537E-2</v>
      </c>
      <c r="F6" s="56">
        <v>0.11467265565943402</v>
      </c>
      <c r="G6" s="2">
        <v>1</v>
      </c>
      <c r="H6" s="2">
        <v>-0.8406243848301862</v>
      </c>
      <c r="I6" s="2">
        <v>-0.20838028326454827</v>
      </c>
      <c r="J6" s="2">
        <v>-0.3724585199064222</v>
      </c>
      <c r="K6" s="2">
        <v>-8.7082372660187519E-4</v>
      </c>
      <c r="L6" s="2">
        <v>-0.11755833639978841</v>
      </c>
      <c r="M6" s="2">
        <v>0.13389208335957484</v>
      </c>
      <c r="N6" s="2">
        <v>0.99999999999989775</v>
      </c>
      <c r="O6" s="57"/>
      <c r="R6" s="51" t="str">
        <f t="shared" si="0"/>
        <v>Emerging market debt</v>
      </c>
      <c r="S6" s="52">
        <f t="shared" si="1"/>
        <v>4.4701988096091189E-2</v>
      </c>
      <c r="T6" s="52">
        <f t="shared" si="2"/>
        <v>3.6395061245996757E-2</v>
      </c>
      <c r="U6" s="52">
        <f t="shared" si="3"/>
        <v>3.3575606317346074E-2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8.8321561444674276E-2</v>
      </c>
      <c r="C7" s="54">
        <v>2.3847972210570244E-2</v>
      </c>
      <c r="D7" s="55">
        <v>7.013850701976751E-2</v>
      </c>
      <c r="E7" s="1">
        <v>8.7362594741487026E-2</v>
      </c>
      <c r="F7" s="56">
        <v>0.10433919288817342</v>
      </c>
      <c r="G7" s="2">
        <v>-4.7354529083396948E-2</v>
      </c>
      <c r="H7" s="2">
        <v>-0.28725307182221105</v>
      </c>
      <c r="I7" s="2">
        <v>8.0732863395767657E-2</v>
      </c>
      <c r="J7" s="2">
        <v>1</v>
      </c>
      <c r="K7" s="2">
        <v>-0.57462543583856307</v>
      </c>
      <c r="L7" s="2">
        <v>-0.26129733768193641</v>
      </c>
      <c r="M7" s="2">
        <v>-0.52547458206588715</v>
      </c>
      <c r="N7" s="2">
        <v>1</v>
      </c>
      <c r="O7" s="57"/>
      <c r="R7" s="51" t="str">
        <f t="shared" si="0"/>
        <v>Aandelen ontwikkeld</v>
      </c>
      <c r="S7" s="52">
        <f t="shared" si="1"/>
        <v>7.013850701976751E-2</v>
      </c>
      <c r="T7" s="52">
        <f t="shared" si="2"/>
        <v>1.8183054424906767E-2</v>
      </c>
      <c r="U7" s="52">
        <f t="shared" si="3"/>
        <v>1.6017631443499145E-2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5.1276371590810013E-2</v>
      </c>
      <c r="C8" s="54">
        <v>1.8812458257207287E-2</v>
      </c>
      <c r="D8" s="55">
        <v>3.808802100231562E-2</v>
      </c>
      <c r="E8" s="1">
        <v>5.1887513397860324E-2</v>
      </c>
      <c r="F8" s="56">
        <v>6.4893622838814946E-2</v>
      </c>
      <c r="G8" s="2">
        <v>-6.1592831089311247E-2</v>
      </c>
      <c r="H8" s="2">
        <v>0.2431662011865775</v>
      </c>
      <c r="I8" s="2">
        <v>0.15386501452034576</v>
      </c>
      <c r="J8" s="2">
        <v>-5.7859987319620922E-3</v>
      </c>
      <c r="K8" s="2">
        <v>1</v>
      </c>
      <c r="L8" s="2">
        <v>-0.40993119901319702</v>
      </c>
      <c r="M8" s="2">
        <v>-0.490540443716181</v>
      </c>
      <c r="N8" s="2">
        <v>0.99999999999999445</v>
      </c>
      <c r="O8" s="57"/>
      <c r="R8" s="51" t="str">
        <f t="shared" si="0"/>
        <v>Aandelen opkomend</v>
      </c>
      <c r="S8" s="52">
        <f t="shared" si="1"/>
        <v>3.808802100231562E-2</v>
      </c>
      <c r="T8" s="52">
        <f t="shared" si="2"/>
        <v>1.3188350588494394E-2</v>
      </c>
      <c r="U8" s="52">
        <f t="shared" si="3"/>
        <v>1.3617251248004933E-2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2.1354459522029707E-2</v>
      </c>
      <c r="C9" s="54">
        <v>1.1837606093748907E-2</v>
      </c>
      <c r="D9" s="55">
        <v>1.1721925875841244E-2</v>
      </c>
      <c r="E9" s="1">
        <v>2.2070247567612972E-2</v>
      </c>
      <c r="F9" s="56">
        <v>2.9929310324177588E-2</v>
      </c>
      <c r="G9" s="2">
        <v>3.2632798989199754E-3</v>
      </c>
      <c r="H9" s="2">
        <v>2.3467824181686203E-2</v>
      </c>
      <c r="I9" s="2">
        <v>1.0810563328763744E-2</v>
      </c>
      <c r="J9" s="2">
        <v>-2.329566523602155E-2</v>
      </c>
      <c r="K9" s="2">
        <v>0.11749495379824032</v>
      </c>
      <c r="L9" s="2">
        <v>1</v>
      </c>
      <c r="M9" s="2">
        <v>-0.43025085600070184</v>
      </c>
      <c r="N9" s="2">
        <v>0.99999999999998423</v>
      </c>
      <c r="O9" s="57"/>
      <c r="R9" s="51" t="str">
        <f t="shared" si="0"/>
        <v>Commodities</v>
      </c>
      <c r="S9" s="52">
        <f t="shared" si="1"/>
        <v>1.1721925875841244E-2</v>
      </c>
      <c r="T9" s="52">
        <f t="shared" si="2"/>
        <v>9.6325336461884625E-3</v>
      </c>
      <c r="U9" s="52">
        <f t="shared" si="3"/>
        <v>8.5748508021478813E-3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5.7796269490217128E-2</v>
      </c>
      <c r="C10" s="54">
        <v>3.257122578533541E-2</v>
      </c>
      <c r="D10" s="55">
        <v>3.1801931757093949E-2</v>
      </c>
      <c r="E10" s="1">
        <v>5.4972291957819178E-2</v>
      </c>
      <c r="F10" s="56">
        <v>8.1415017914209964E-2</v>
      </c>
      <c r="G10" s="2">
        <v>6.8257340789540683E-2</v>
      </c>
      <c r="H10" s="2">
        <v>0.44217466815306622</v>
      </c>
      <c r="I10" s="2">
        <v>1</v>
      </c>
      <c r="J10" s="2">
        <v>-0.4674721329653968</v>
      </c>
      <c r="K10" s="2">
        <v>-0.38826413684341238</v>
      </c>
      <c r="L10" s="2">
        <v>-8.3586858180746237E-2</v>
      </c>
      <c r="M10" s="2">
        <v>0.20924714697847441</v>
      </c>
      <c r="N10" s="2">
        <v>0.99999999999988476</v>
      </c>
      <c r="O10" s="57"/>
      <c r="R10" s="51" t="str">
        <f t="shared" si="0"/>
        <v>Hedge funds</v>
      </c>
      <c r="S10" s="52">
        <f t="shared" si="1"/>
        <v>3.1801931757093949E-2</v>
      </c>
      <c r="T10" s="52">
        <f t="shared" si="2"/>
        <v>2.599433773312318E-2</v>
      </c>
      <c r="U10" s="52">
        <f t="shared" si="3"/>
        <v>2.3618748423992836E-2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5.9096280720598179E-2</v>
      </c>
      <c r="C11" s="62">
        <v>3.4961393241273252E-2</v>
      </c>
      <c r="D11" s="63">
        <v>3.1597784602097972E-2</v>
      </c>
      <c r="E11" s="61">
        <v>5.6453021987204442E-2</v>
      </c>
      <c r="F11" s="64">
        <v>8.1824377866779818E-2</v>
      </c>
      <c r="G11" s="65">
        <v>4.9127827282450291E-2</v>
      </c>
      <c r="H11" s="65">
        <v>1</v>
      </c>
      <c r="I11" s="65">
        <v>-0.76639899700215885</v>
      </c>
      <c r="J11" s="65">
        <v>-0.35355787251035115</v>
      </c>
      <c r="K11" s="65">
        <v>-0.37354867925806035</v>
      </c>
      <c r="L11" s="65">
        <v>-0.16211629394299576</v>
      </c>
      <c r="M11" s="65">
        <v>-6.8759762362610319E-2</v>
      </c>
      <c r="N11" s="65">
        <v>0.99999999999992861</v>
      </c>
      <c r="O11" s="66"/>
      <c r="R11" s="51" t="str">
        <f t="shared" si="0"/>
        <v>Onroerend goed</v>
      </c>
      <c r="S11" s="52">
        <f t="shared" si="1"/>
        <v>3.1597784602097972E-2</v>
      </c>
      <c r="T11" s="52">
        <f t="shared" si="2"/>
        <v>2.7498496118500207E-2</v>
      </c>
      <c r="U11" s="52">
        <f t="shared" si="3"/>
        <v>2.2728097146181639E-2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4" t="s">
        <v>64</v>
      </c>
      <c r="E13" s="395"/>
      <c r="F13" s="396"/>
      <c r="G13" s="394" t="s">
        <v>65</v>
      </c>
      <c r="H13" s="395"/>
      <c r="I13" s="395"/>
      <c r="J13" s="395"/>
      <c r="K13" s="395"/>
      <c r="L13" s="395"/>
      <c r="M13" s="395"/>
      <c r="N13" s="395"/>
      <c r="O13" s="396"/>
    </row>
    <row r="14" spans="1:30">
      <c r="A14" s="265" t="str">
        <f>Optimalisatie!A21</f>
        <v>Base Case</v>
      </c>
      <c r="B14" s="266" t="s">
        <v>1</v>
      </c>
      <c r="C14" s="267" t="s">
        <v>2</v>
      </c>
      <c r="D14" s="268">
        <v>0.25</v>
      </c>
      <c r="E14" s="269">
        <v>0.5</v>
      </c>
      <c r="F14" s="270">
        <v>0.75</v>
      </c>
      <c r="G14" s="271">
        <v>0.50955795782026558</v>
      </c>
      <c r="H14" s="271">
        <v>0.28872925902161428</v>
      </c>
      <c r="I14" s="271">
        <v>0.10137527020062032</v>
      </c>
      <c r="J14" s="271">
        <v>7.8835546509488874E-2</v>
      </c>
      <c r="K14" s="271">
        <v>1.8670486725059554E-2</v>
      </c>
      <c r="L14" s="271">
        <v>2.2563963027465439E-3</v>
      </c>
      <c r="M14" s="271">
        <v>5.7508342020451408E-4</v>
      </c>
      <c r="N14" s="271">
        <v>0</v>
      </c>
      <c r="O14" s="272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4">
        <v>0.64944893325636843</v>
      </c>
      <c r="C15" s="54">
        <v>1.8434831743596752E-2</v>
      </c>
      <c r="D15" s="55">
        <v>0.63688192426410151</v>
      </c>
      <c r="E15" s="1">
        <v>0.64968634059528707</v>
      </c>
      <c r="F15" s="56">
        <v>0.66237298359459262</v>
      </c>
      <c r="G15" s="2">
        <v>-5.4626148393596828E-2</v>
      </c>
      <c r="H15" s="2">
        <v>-0.48363116238510973</v>
      </c>
      <c r="I15" s="2">
        <v>-0.59642951246405496</v>
      </c>
      <c r="J15" s="2">
        <v>-0.20572960894398687</v>
      </c>
      <c r="K15" s="2">
        <v>-0.26764594389737745</v>
      </c>
      <c r="L15" s="2">
        <v>1</v>
      </c>
      <c r="M15" s="2">
        <v>-0.12774044436840337</v>
      </c>
      <c r="N15" s="2">
        <v>1</v>
      </c>
      <c r="O15" s="57"/>
      <c r="R15" s="51" t="str">
        <f>A15</f>
        <v>Nominale matching</v>
      </c>
      <c r="S15" s="52">
        <f>D15</f>
        <v>0.63688192426410151</v>
      </c>
      <c r="T15" s="52">
        <f>B15-D15</f>
        <v>1.2567008992266926E-2</v>
      </c>
      <c r="U15" s="52">
        <f>F15-B15</f>
        <v>1.2924050338224191E-2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4">
        <v>2.1676691195087878E-2</v>
      </c>
      <c r="C16" s="54">
        <v>1.7214059352478672E-2</v>
      </c>
      <c r="D16" s="55">
        <v>8.1892343795685243E-3</v>
      </c>
      <c r="E16" s="1">
        <v>1.8089176373281796E-2</v>
      </c>
      <c r="F16" s="56">
        <v>3.0892445462969285E-2</v>
      </c>
      <c r="G16" s="2">
        <v>6.7790368800747141E-3</v>
      </c>
      <c r="H16" s="2">
        <v>-5.8107363715971E-2</v>
      </c>
      <c r="I16" s="2">
        <v>0.3673471272506722</v>
      </c>
      <c r="J16" s="2">
        <v>1</v>
      </c>
      <c r="K16" s="2">
        <v>-0.12812420387588572</v>
      </c>
      <c r="L16" s="2">
        <v>0.25014799063039761</v>
      </c>
      <c r="M16" s="2">
        <v>-0.13162078671802907</v>
      </c>
      <c r="N16" s="2">
        <v>0.99999999999999134</v>
      </c>
      <c r="O16" s="57"/>
      <c r="R16" s="51" t="str">
        <f t="shared" ref="R16:R22" si="5">A16</f>
        <v>High Yield</v>
      </c>
      <c r="S16" s="52">
        <f t="shared" ref="S16:S22" si="6">D16</f>
        <v>8.1892343795685243E-3</v>
      </c>
      <c r="T16" s="52">
        <f t="shared" ref="T16:T22" si="7">B16-D16</f>
        <v>1.3487456815519354E-2</v>
      </c>
      <c r="U16" s="52">
        <f t="shared" ref="U16:U22" si="8">F16-B16</f>
        <v>9.2157542678814076E-3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4">
        <v>4.0938352073271157E-2</v>
      </c>
      <c r="C17" s="54">
        <v>3.1822965940001002E-2</v>
      </c>
      <c r="D17" s="55">
        <v>1.6052736708683641E-2</v>
      </c>
      <c r="E17" s="1">
        <v>3.2956357559955213E-2</v>
      </c>
      <c r="F17" s="56">
        <v>5.7627085233391287E-2</v>
      </c>
      <c r="G17" s="2">
        <v>-0.17296321373884604</v>
      </c>
      <c r="H17" s="2">
        <v>1</v>
      </c>
      <c r="I17" s="2">
        <v>-0.30173604810678273</v>
      </c>
      <c r="J17" s="2">
        <v>-8.5022265355344698E-2</v>
      </c>
      <c r="K17" s="2">
        <v>-0.17987153551460922</v>
      </c>
      <c r="L17" s="2">
        <v>0.13771293624268605</v>
      </c>
      <c r="M17" s="2">
        <v>-0.1401631713631421</v>
      </c>
      <c r="N17" s="2">
        <v>0.99999999999999101</v>
      </c>
      <c r="O17" s="57"/>
      <c r="R17" s="51" t="str">
        <f t="shared" si="5"/>
        <v>Emerging market debt</v>
      </c>
      <c r="S17" s="52">
        <f t="shared" si="6"/>
        <v>1.6052736708683641E-2</v>
      </c>
      <c r="T17" s="52">
        <f t="shared" si="7"/>
        <v>2.4885615364587516E-2</v>
      </c>
      <c r="U17" s="52">
        <f t="shared" si="8"/>
        <v>1.668873316012013E-2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4">
        <v>1.23325046265014E-3</v>
      </c>
      <c r="C18" s="54">
        <v>1.5101046609079024E-3</v>
      </c>
      <c r="D18" s="55">
        <v>1.5099296972475402E-4</v>
      </c>
      <c r="E18" s="1">
        <v>6.727882647476535E-4</v>
      </c>
      <c r="F18" s="56">
        <v>1.7631669307621176E-3</v>
      </c>
      <c r="G18" s="2">
        <v>2.2663186089912678E-3</v>
      </c>
      <c r="H18" s="2">
        <v>-2.8591213015569396E-3</v>
      </c>
      <c r="I18" s="2">
        <v>-1.3408320042002302E-2</v>
      </c>
      <c r="J18" s="2">
        <v>-2.9859402392158349E-3</v>
      </c>
      <c r="K18" s="2">
        <v>6.5338498288942276E-4</v>
      </c>
      <c r="L18" s="2">
        <v>-5.1426234108727861E-2</v>
      </c>
      <c r="M18" s="2">
        <v>1</v>
      </c>
      <c r="N18" s="2">
        <v>0.99999999999992928</v>
      </c>
      <c r="O18" s="57"/>
      <c r="R18" s="51" t="str">
        <f t="shared" si="5"/>
        <v>Aandelen ontwikkeld</v>
      </c>
      <c r="S18" s="52">
        <f t="shared" si="6"/>
        <v>1.5099296972475402E-4</v>
      </c>
      <c r="T18" s="52">
        <f t="shared" si="7"/>
        <v>1.0822574929253859E-3</v>
      </c>
      <c r="U18" s="52">
        <f t="shared" si="8"/>
        <v>5.2991646811197763E-4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4">
        <v>0.11596613074290399</v>
      </c>
      <c r="C19" s="54">
        <v>3.6786709798689386E-2</v>
      </c>
      <c r="D19" s="55">
        <v>9.0776251814218528E-2</v>
      </c>
      <c r="E19" s="1">
        <v>0.11566513514566773</v>
      </c>
      <c r="F19" s="56">
        <v>0.14019390588000127</v>
      </c>
      <c r="G19" s="2">
        <v>1</v>
      </c>
      <c r="H19" s="2">
        <v>-9.9003249166263615E-2</v>
      </c>
      <c r="I19" s="2">
        <v>-0.2205325769797038</v>
      </c>
      <c r="J19" s="2">
        <v>-7.0847922777199299E-2</v>
      </c>
      <c r="K19" s="2">
        <v>-0.16041255510004868</v>
      </c>
      <c r="L19" s="2">
        <v>-0.72118740061582187</v>
      </c>
      <c r="M19" s="2">
        <v>-0.1629950966478439</v>
      </c>
      <c r="N19" s="2">
        <v>0.9999999999999829</v>
      </c>
      <c r="O19" s="57"/>
      <c r="R19" s="51" t="str">
        <f t="shared" si="5"/>
        <v>Aandelen opkomend</v>
      </c>
      <c r="S19" s="52">
        <f t="shared" si="6"/>
        <v>9.0776251814218528E-2</v>
      </c>
      <c r="T19" s="52">
        <f t="shared" si="7"/>
        <v>2.5189878928685461E-2</v>
      </c>
      <c r="U19" s="52">
        <f t="shared" si="8"/>
        <v>2.4227775137097285E-2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4">
        <v>0.13649706597906699</v>
      </c>
      <c r="C20" s="54">
        <v>3.1024847473264446E-2</v>
      </c>
      <c r="D20" s="55">
        <v>0.11565791215908999</v>
      </c>
      <c r="E20" s="1">
        <v>0.13585595592789823</v>
      </c>
      <c r="F20" s="56">
        <v>0.15718831193786073</v>
      </c>
      <c r="G20" s="2">
        <v>-0.80729039301088512</v>
      </c>
      <c r="H20" s="2">
        <v>-0.30542363050010918</v>
      </c>
      <c r="I20" s="2">
        <v>-0.11226920179043101</v>
      </c>
      <c r="J20" s="2">
        <v>-7.4292363461628583E-2</v>
      </c>
      <c r="K20" s="2">
        <v>-0.16665351598645642</v>
      </c>
      <c r="L20" s="2">
        <v>-0.97547529805472355</v>
      </c>
      <c r="M20" s="2">
        <v>-0.16538404176037547</v>
      </c>
      <c r="N20" s="2">
        <v>0.99999999999998068</v>
      </c>
      <c r="O20" s="57"/>
      <c r="R20" s="51" t="str">
        <f t="shared" si="5"/>
        <v>Commodities</v>
      </c>
      <c r="S20" s="52">
        <f t="shared" si="6"/>
        <v>0.11565791215908999</v>
      </c>
      <c r="T20" s="52">
        <f t="shared" si="7"/>
        <v>2.0839153819977002E-2</v>
      </c>
      <c r="U20" s="52">
        <f t="shared" si="8"/>
        <v>2.0691245958793736E-2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4">
        <v>2.3916818164114236E-2</v>
      </c>
      <c r="C21" s="54">
        <v>1.8631703121729317E-2</v>
      </c>
      <c r="D21" s="55">
        <v>1.003556078645464E-2</v>
      </c>
      <c r="E21" s="1">
        <v>1.9115470949913085E-2</v>
      </c>
      <c r="F21" s="56">
        <v>3.4048889510412163E-2</v>
      </c>
      <c r="G21" s="2">
        <v>4.0825495988353368E-2</v>
      </c>
      <c r="H21" s="2">
        <v>-2.4755972494844253E-2</v>
      </c>
      <c r="I21" s="2">
        <v>1</v>
      </c>
      <c r="J21" s="2">
        <v>-0.54205443036672485</v>
      </c>
      <c r="K21" s="2">
        <v>-9.7945630608508139E-2</v>
      </c>
      <c r="L21" s="2">
        <v>0.28597200488908275</v>
      </c>
      <c r="M21" s="2">
        <v>-0.12885009336670927</v>
      </c>
      <c r="N21" s="2">
        <v>0.9999999999999919</v>
      </c>
      <c r="O21" s="57"/>
      <c r="R21" s="51" t="str">
        <f t="shared" si="5"/>
        <v>Hedge funds</v>
      </c>
      <c r="S21" s="52">
        <f t="shared" si="6"/>
        <v>1.003556078645464E-2</v>
      </c>
      <c r="T21" s="52">
        <f t="shared" si="7"/>
        <v>1.3881257377659596E-2</v>
      </c>
      <c r="U21" s="52">
        <f t="shared" si="8"/>
        <v>1.0132071346297927E-2</v>
      </c>
    </row>
    <row r="22" spans="1:30">
      <c r="A22" s="60" t="str">
        <f t="shared" si="4"/>
        <v>Onroerend goed</v>
      </c>
      <c r="B22" s="285">
        <v>1.0322758126537421E-2</v>
      </c>
      <c r="C22" s="62">
        <v>8.6251977754985068E-3</v>
      </c>
      <c r="D22" s="63">
        <v>3.5341077167183386E-3</v>
      </c>
      <c r="E22" s="61">
        <v>8.4688012127893796E-3</v>
      </c>
      <c r="F22" s="64">
        <v>1.4936446003054334E-2</v>
      </c>
      <c r="G22" s="65">
        <v>-1.4991096334090185E-2</v>
      </c>
      <c r="H22" s="65">
        <v>-2.6219500436144984E-2</v>
      </c>
      <c r="I22" s="65">
        <v>-0.12297146786769714</v>
      </c>
      <c r="J22" s="65">
        <v>-1.9067468855900254E-2</v>
      </c>
      <c r="K22" s="65">
        <v>1</v>
      </c>
      <c r="L22" s="65">
        <v>7.4256001017078008E-2</v>
      </c>
      <c r="M22" s="65">
        <v>-0.14324636577543717</v>
      </c>
      <c r="N22" s="65">
        <v>0.99999999999998745</v>
      </c>
      <c r="O22" s="66"/>
      <c r="R22" s="51" t="str">
        <f t="shared" si="5"/>
        <v>Onroerend goed</v>
      </c>
      <c r="S22" s="52">
        <f t="shared" si="6"/>
        <v>3.5341077167183386E-3</v>
      </c>
      <c r="T22" s="52">
        <f t="shared" si="7"/>
        <v>6.7886504098190817E-3</v>
      </c>
      <c r="U22" s="52">
        <f t="shared" si="8"/>
        <v>4.6136878765169129E-3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4" t="s">
        <v>64</v>
      </c>
      <c r="E24" s="395"/>
      <c r="F24" s="396"/>
      <c r="G24" s="394" t="s">
        <v>65</v>
      </c>
      <c r="H24" s="395"/>
      <c r="I24" s="395"/>
      <c r="J24" s="395"/>
      <c r="K24" s="395"/>
      <c r="L24" s="395"/>
      <c r="M24" s="395"/>
      <c r="N24" s="395"/>
      <c r="O24" s="396"/>
    </row>
    <row r="25" spans="1:30">
      <c r="A25" s="265" t="str">
        <f>Optimalisatie!A22</f>
        <v>Base - muddle down</v>
      </c>
      <c r="B25" s="266" t="s">
        <v>1</v>
      </c>
      <c r="C25" s="267" t="s">
        <v>2</v>
      </c>
      <c r="D25" s="268">
        <v>0.25</v>
      </c>
      <c r="E25" s="269">
        <v>0.5</v>
      </c>
      <c r="F25" s="270">
        <v>0.75</v>
      </c>
      <c r="G25" s="271">
        <v>0.7255328680108718</v>
      </c>
      <c r="H25" s="271">
        <v>0.24989373954513483</v>
      </c>
      <c r="I25" s="271">
        <v>1.041841144015565E-2</v>
      </c>
      <c r="J25" s="271">
        <v>7.2006148041919849E-3</v>
      </c>
      <c r="K25" s="271">
        <v>4.3284193418204886E-3</v>
      </c>
      <c r="L25" s="271">
        <v>2.5337517055217251E-3</v>
      </c>
      <c r="M25" s="271">
        <v>9.2195152304075378E-5</v>
      </c>
      <c r="N25" s="271">
        <v>0</v>
      </c>
      <c r="O25" s="272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0.72885510102225626</v>
      </c>
      <c r="C26" s="54">
        <v>3.0865584960922759E-2</v>
      </c>
      <c r="D26" s="55">
        <v>0.70983955585054215</v>
      </c>
      <c r="E26" s="1">
        <v>0.72909077779155984</v>
      </c>
      <c r="F26" s="56">
        <v>0.74813627804690486</v>
      </c>
      <c r="G26" s="68">
        <v>-0.91010523391946385</v>
      </c>
      <c r="H26" s="68">
        <v>-0.62498640074693224</v>
      </c>
      <c r="I26" s="68">
        <v>-0.53110348415642616</v>
      </c>
      <c r="J26" s="68">
        <v>-0.1168083916570017</v>
      </c>
      <c r="K26" s="68">
        <v>-0.13448031248588141</v>
      </c>
      <c r="L26" s="2">
        <v>-0.14643106240329046</v>
      </c>
      <c r="M26" s="2">
        <v>-0.14584614709263272</v>
      </c>
      <c r="N26" s="2">
        <v>0.99999999999999578</v>
      </c>
      <c r="O26" s="69"/>
      <c r="R26" s="51" t="str">
        <f>A26</f>
        <v>Nominale matching</v>
      </c>
      <c r="S26" s="52">
        <f>D26</f>
        <v>0.70983955585054215</v>
      </c>
      <c r="T26" s="52">
        <f>B26-D26</f>
        <v>1.901554517171411E-2</v>
      </c>
      <c r="U26" s="52">
        <f>F26-B26</f>
        <v>1.9281177024648599E-2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3.0757474246619087E-3</v>
      </c>
      <c r="C27" s="54">
        <v>3.0779847339599572E-3</v>
      </c>
      <c r="D27" s="55">
        <v>8.3777427421799543E-4</v>
      </c>
      <c r="E27" s="1">
        <v>2.1297311785498769E-3</v>
      </c>
      <c r="F27" s="56">
        <v>4.4456616830351476E-3</v>
      </c>
      <c r="G27" s="68">
        <v>-4.2772878861153914E-3</v>
      </c>
      <c r="H27" s="68">
        <v>2.2334599073849975E-2</v>
      </c>
      <c r="I27" s="68">
        <v>0.19687159007937036</v>
      </c>
      <c r="J27" s="68">
        <v>-1.9306605058363853E-2</v>
      </c>
      <c r="K27" s="68">
        <v>1</v>
      </c>
      <c r="L27" s="2">
        <v>-0.14451569175362391</v>
      </c>
      <c r="M27" s="2">
        <v>-0.14322153596479587</v>
      </c>
      <c r="N27" s="2">
        <v>1</v>
      </c>
      <c r="O27" s="69"/>
      <c r="R27" s="51" t="str">
        <f t="shared" ref="R27:R33" si="10">A27</f>
        <v>High Yield</v>
      </c>
      <c r="S27" s="52">
        <f t="shared" ref="S27:S33" si="11">D27</f>
        <v>8.3777427421799543E-4</v>
      </c>
      <c r="T27" s="52">
        <f t="shared" ref="T27:T33" si="12">B27-D27</f>
        <v>2.2379731504439133E-3</v>
      </c>
      <c r="U27" s="52">
        <f t="shared" ref="U27:U33" si="13">F27-B27</f>
        <v>1.3699142583732389E-3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4.1870558673314753E-2</v>
      </c>
      <c r="C28" s="54">
        <v>3.2622716266838797E-2</v>
      </c>
      <c r="D28" s="55">
        <v>1.6571985119284469E-2</v>
      </c>
      <c r="E28" s="1">
        <v>3.4099214865626143E-2</v>
      </c>
      <c r="F28" s="56">
        <v>5.8236269780221797E-2</v>
      </c>
      <c r="G28" s="68">
        <v>1</v>
      </c>
      <c r="H28" s="68">
        <v>-0.49383352872255043</v>
      </c>
      <c r="I28" s="68">
        <v>-0.52667051868395498</v>
      </c>
      <c r="J28" s="68">
        <v>-0.11128586804342942</v>
      </c>
      <c r="K28" s="68">
        <v>-0.13132049824554851</v>
      </c>
      <c r="L28" s="2">
        <v>-0.14462131825276095</v>
      </c>
      <c r="M28" s="2">
        <v>-0.14569876543510676</v>
      </c>
      <c r="N28" s="2">
        <v>0.99999999999999611</v>
      </c>
      <c r="O28" s="69"/>
      <c r="R28" s="51" t="str">
        <f t="shared" si="10"/>
        <v>Emerging market debt</v>
      </c>
      <c r="S28" s="52">
        <f t="shared" si="11"/>
        <v>1.6571985119284469E-2</v>
      </c>
      <c r="T28" s="52">
        <f t="shared" si="12"/>
        <v>2.5298573554030285E-2</v>
      </c>
      <c r="U28" s="52">
        <f t="shared" si="13"/>
        <v>1.6365711106907044E-2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2.884216315482935E-4</v>
      </c>
      <c r="C29" s="54">
        <v>4.4996784671350428E-4</v>
      </c>
      <c r="D29" s="55">
        <v>1.4351100526056912E-5</v>
      </c>
      <c r="E29" s="1">
        <v>9.6585248599977366E-5</v>
      </c>
      <c r="F29" s="56">
        <v>3.7286573802147792E-4</v>
      </c>
      <c r="G29" s="68">
        <v>-3.0877015490957002E-4</v>
      </c>
      <c r="H29" s="68">
        <v>2.7382810844536398E-3</v>
      </c>
      <c r="I29" s="68">
        <v>-8.4325674990153778E-3</v>
      </c>
      <c r="J29" s="68">
        <v>3.5398484986876194E-3</v>
      </c>
      <c r="K29" s="68">
        <v>-7.8246884332952365E-4</v>
      </c>
      <c r="L29" s="2">
        <v>-1.3491469051964562E-2</v>
      </c>
      <c r="M29" s="2">
        <v>1</v>
      </c>
      <c r="N29" s="2">
        <v>0.99999999999996092</v>
      </c>
      <c r="O29" s="69"/>
      <c r="R29" s="51" t="str">
        <f t="shared" si="10"/>
        <v>Aandelen ontwikkeld</v>
      </c>
      <c r="S29" s="52">
        <f t="shared" si="11"/>
        <v>1.4351100526056912E-5</v>
      </c>
      <c r="T29" s="52">
        <f t="shared" si="12"/>
        <v>2.7407053102223661E-4</v>
      </c>
      <c r="U29" s="52">
        <f t="shared" si="13"/>
        <v>8.4444106473184415E-5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3.8369167229621321E-3</v>
      </c>
      <c r="C30" s="54">
        <v>3.9284179213599649E-3</v>
      </c>
      <c r="D30" s="55">
        <v>7.6124247521426396E-4</v>
      </c>
      <c r="E30" s="1">
        <v>2.5455398981302103E-3</v>
      </c>
      <c r="F30" s="56">
        <v>5.7037915802853794E-3</v>
      </c>
      <c r="G30" s="68">
        <v>-5.6858385624752959E-3</v>
      </c>
      <c r="H30" s="68">
        <v>2.9206278682549713E-2</v>
      </c>
      <c r="I30" s="68">
        <v>0.48660594272186913</v>
      </c>
      <c r="J30" s="68">
        <v>1</v>
      </c>
      <c r="K30" s="68">
        <v>-0.24477686986418315</v>
      </c>
      <c r="L30" s="2">
        <v>-0.22507498666354472</v>
      </c>
      <c r="M30" s="2">
        <v>-0.14670244580458983</v>
      </c>
      <c r="N30" s="2">
        <v>0.99999999999999489</v>
      </c>
      <c r="O30" s="69"/>
      <c r="R30" s="51" t="str">
        <f t="shared" si="10"/>
        <v>Aandelen opkomend</v>
      </c>
      <c r="S30" s="52">
        <f t="shared" si="11"/>
        <v>7.6124247521426396E-4</v>
      </c>
      <c r="T30" s="52">
        <f t="shared" si="12"/>
        <v>3.0756742477478683E-3</v>
      </c>
      <c r="U30" s="52">
        <f t="shared" si="13"/>
        <v>1.8668748573232473E-3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0.21580135325535327</v>
      </c>
      <c r="C31" s="54">
        <v>1.9610618544013327E-2</v>
      </c>
      <c r="D31" s="55">
        <v>0.20116059469748279</v>
      </c>
      <c r="E31" s="1">
        <v>0.21874808365207693</v>
      </c>
      <c r="F31" s="56">
        <v>0.2306169694349306</v>
      </c>
      <c r="G31" s="68">
        <v>-7.4555979204812675E-2</v>
      </c>
      <c r="H31" s="68">
        <v>1</v>
      </c>
      <c r="I31" s="68">
        <v>-0.66000800706134899</v>
      </c>
      <c r="J31" s="68">
        <v>-0.12411589781005637</v>
      </c>
      <c r="K31" s="68">
        <v>-0.14832737880826133</v>
      </c>
      <c r="L31" s="2">
        <v>-0.1608731321676232</v>
      </c>
      <c r="M31" s="2">
        <v>-0.14951807406644668</v>
      </c>
      <c r="N31" s="2">
        <v>0.99999999999999689</v>
      </c>
      <c r="O31" s="69"/>
      <c r="R31" s="51" t="str">
        <f t="shared" si="10"/>
        <v>Commodities</v>
      </c>
      <c r="S31" s="52">
        <f t="shared" si="11"/>
        <v>0.20116059469748279</v>
      </c>
      <c r="T31" s="52">
        <f t="shared" si="12"/>
        <v>1.4640758557870476E-2</v>
      </c>
      <c r="U31" s="52">
        <f t="shared" si="13"/>
        <v>1.4815616179577329E-2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4.0770060209546436E-3</v>
      </c>
      <c r="C32" s="54">
        <v>4.3174664441933573E-3</v>
      </c>
      <c r="D32" s="55">
        <v>1.0760539133088678E-3</v>
      </c>
      <c r="E32" s="1">
        <v>2.8467445584803228E-3</v>
      </c>
      <c r="F32" s="56">
        <v>5.6451286782918768E-3</v>
      </c>
      <c r="G32" s="68">
        <v>-2.1669132246771188E-3</v>
      </c>
      <c r="H32" s="68">
        <v>4.8726218054662623E-2</v>
      </c>
      <c r="I32" s="68">
        <v>1</v>
      </c>
      <c r="J32" s="68">
        <v>-0.68772136656795502</v>
      </c>
      <c r="K32" s="68">
        <v>-0.31517694580694805</v>
      </c>
      <c r="L32" s="2">
        <v>-0.1649923397071911</v>
      </c>
      <c r="M32" s="2">
        <v>-0.13931996812119751</v>
      </c>
      <c r="N32" s="2">
        <v>0.999999999999994</v>
      </c>
      <c r="O32" s="69"/>
      <c r="R32" s="51" t="str">
        <f t="shared" si="10"/>
        <v>Hedge funds</v>
      </c>
      <c r="S32" s="52">
        <f t="shared" si="11"/>
        <v>1.0760539133088678E-3</v>
      </c>
      <c r="T32" s="52">
        <f t="shared" si="12"/>
        <v>3.0009521076457758E-3</v>
      </c>
      <c r="U32" s="52">
        <f t="shared" si="13"/>
        <v>1.5681226573372332E-3</v>
      </c>
    </row>
    <row r="33" spans="1:30">
      <c r="A33" s="60" t="str">
        <f t="shared" si="9"/>
        <v>Onroerend goed</v>
      </c>
      <c r="B33" s="61">
        <v>2.1948952489493057E-3</v>
      </c>
      <c r="C33" s="62">
        <v>2.3424714196918009E-3</v>
      </c>
      <c r="D33" s="63">
        <v>4.4910364049291051E-4</v>
      </c>
      <c r="E33" s="61">
        <v>1.4234212158335568E-3</v>
      </c>
      <c r="F33" s="64">
        <v>3.2366124098486045E-3</v>
      </c>
      <c r="G33" s="70">
        <v>-2.8999770475463846E-3</v>
      </c>
      <c r="H33" s="70">
        <v>1.5814552573965347E-2</v>
      </c>
      <c r="I33" s="70">
        <v>4.2737044599508223E-2</v>
      </c>
      <c r="J33" s="70">
        <v>5.5698280638118158E-2</v>
      </c>
      <c r="K33" s="70">
        <v>-2.5135525945853061E-2</v>
      </c>
      <c r="L33" s="65">
        <v>1</v>
      </c>
      <c r="M33" s="65">
        <v>-0.12969306351519536</v>
      </c>
      <c r="N33" s="65">
        <v>0.99999999999999467</v>
      </c>
      <c r="O33" s="71"/>
      <c r="R33" s="51" t="str">
        <f t="shared" si="10"/>
        <v>Onroerend goed</v>
      </c>
      <c r="S33" s="52">
        <f t="shared" si="11"/>
        <v>4.4910364049291051E-4</v>
      </c>
      <c r="T33" s="52">
        <f t="shared" si="12"/>
        <v>1.7457916084563951E-3</v>
      </c>
      <c r="U33" s="52">
        <f t="shared" si="13"/>
        <v>1.0417171608992988E-3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4" t="s">
        <v>64</v>
      </c>
      <c r="E35" s="395"/>
      <c r="F35" s="396"/>
      <c r="G35" s="394" t="s">
        <v>65</v>
      </c>
      <c r="H35" s="395"/>
      <c r="I35" s="395"/>
      <c r="J35" s="395"/>
      <c r="K35" s="395"/>
      <c r="L35" s="395"/>
      <c r="M35" s="395"/>
      <c r="N35" s="395"/>
      <c r="O35" s="396"/>
    </row>
    <row r="36" spans="1:30">
      <c r="A36" s="265" t="str">
        <f>Optimalisatie!A23</f>
        <v>Base - muddle up</v>
      </c>
      <c r="B36" s="266" t="s">
        <v>1</v>
      </c>
      <c r="C36" s="267" t="s">
        <v>2</v>
      </c>
      <c r="D36" s="268">
        <v>0.25</v>
      </c>
      <c r="E36" s="269">
        <v>0.5</v>
      </c>
      <c r="F36" s="270">
        <v>0.75</v>
      </c>
      <c r="G36" s="271">
        <v>0.48689440082927116</v>
      </c>
      <c r="H36" s="271">
        <v>0.38560155021809295</v>
      </c>
      <c r="I36" s="271">
        <v>6.0774574362170486E-2</v>
      </c>
      <c r="J36" s="271">
        <v>4.3645126649319188E-2</v>
      </c>
      <c r="K36" s="271">
        <v>1.921988303129496E-2</v>
      </c>
      <c r="L36" s="271">
        <v>2.5390895329489016E-3</v>
      </c>
      <c r="M36" s="271">
        <v>1.3253753768955878E-3</v>
      </c>
      <c r="N36" s="271">
        <v>-2.2204460492503131E-16</v>
      </c>
      <c r="O36" s="272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0.65011963868863909</v>
      </c>
      <c r="C37" s="54">
        <v>1.7262768428317896E-2</v>
      </c>
      <c r="D37" s="55">
        <v>0.6387216984622075</v>
      </c>
      <c r="E37" s="1">
        <v>0.65015560225163838</v>
      </c>
      <c r="F37" s="56">
        <v>0.66192286876598261</v>
      </c>
      <c r="G37" s="2">
        <v>-0.22712679080390777</v>
      </c>
      <c r="H37" s="2">
        <v>0.39592031140466966</v>
      </c>
      <c r="I37" s="2">
        <v>-0.50824751738515583</v>
      </c>
      <c r="J37" s="2">
        <v>-0.38025938409805421</v>
      </c>
      <c r="K37" s="2">
        <v>-0.32390054684616071</v>
      </c>
      <c r="L37" s="2">
        <v>8.9640125740241966E-2</v>
      </c>
      <c r="M37" s="2">
        <v>1</v>
      </c>
      <c r="N37" s="2">
        <v>0.99999999999999811</v>
      </c>
      <c r="O37" s="57"/>
      <c r="R37" s="51" t="str">
        <f>A37</f>
        <v>Nominale matching</v>
      </c>
      <c r="S37" s="52">
        <f>D37</f>
        <v>0.6387216984622075</v>
      </c>
      <c r="T37" s="52">
        <f>B37-D37</f>
        <v>1.1397940226431591E-2</v>
      </c>
      <c r="U37" s="52">
        <f>F37-B37</f>
        <v>1.1803230077343518E-2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2.0122071463068335E-2</v>
      </c>
      <c r="C38" s="54">
        <v>1.6103484413969377E-2</v>
      </c>
      <c r="D38" s="55">
        <v>7.3806242197659924E-3</v>
      </c>
      <c r="E38" s="1">
        <v>1.6022646046708854E-2</v>
      </c>
      <c r="F38" s="56">
        <v>2.9931121309179048E-2</v>
      </c>
      <c r="G38" s="2">
        <v>-3.8952558985909116E-2</v>
      </c>
      <c r="H38" s="2">
        <v>5.7155746667695427E-2</v>
      </c>
      <c r="I38" s="2">
        <v>1</v>
      </c>
      <c r="J38" s="2">
        <v>-0.30631581435449046</v>
      </c>
      <c r="K38" s="2">
        <v>-0.15492754759837118</v>
      </c>
      <c r="L38" s="2">
        <v>-7.0596526403434848E-2</v>
      </c>
      <c r="M38" s="2">
        <v>0.28775128505201625</v>
      </c>
      <c r="N38" s="2">
        <v>0.99999999999999745</v>
      </c>
      <c r="O38" s="57"/>
      <c r="R38" s="51" t="str">
        <f t="shared" ref="R38:R44" si="15">A38</f>
        <v>High Yield</v>
      </c>
      <c r="S38" s="52">
        <f t="shared" ref="S38:S44" si="16">D38</f>
        <v>7.3806242197659924E-3</v>
      </c>
      <c r="T38" s="52">
        <f t="shared" ref="T38:T44" si="17">B38-D38</f>
        <v>1.2741447243302343E-2</v>
      </c>
      <c r="U38" s="52">
        <f t="shared" ref="U38:U44" si="18">F38-B38</f>
        <v>9.809049846110713E-3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1.1676759873708515E-2</v>
      </c>
      <c r="C39" s="54">
        <v>9.2651568023077464E-3</v>
      </c>
      <c r="D39" s="55">
        <v>4.3427168142739225E-3</v>
      </c>
      <c r="E39" s="1">
        <v>9.5331599498849097E-3</v>
      </c>
      <c r="F39" s="56">
        <v>1.7154818189135782E-2</v>
      </c>
      <c r="G39" s="2">
        <v>-2.5809787675748281E-2</v>
      </c>
      <c r="H39" s="2">
        <v>2.6240428201970853E-2</v>
      </c>
      <c r="I39" s="2">
        <v>-4.9137292206105465E-2</v>
      </c>
      <c r="J39" s="2">
        <v>-1.1714796559726924E-2</v>
      </c>
      <c r="K39" s="2">
        <v>1</v>
      </c>
      <c r="L39" s="2">
        <v>-4.7634306772007085E-2</v>
      </c>
      <c r="M39" s="2">
        <v>0.3103407904912876</v>
      </c>
      <c r="N39" s="2">
        <v>0.99999999999999833</v>
      </c>
      <c r="O39" s="57"/>
      <c r="R39" s="51" t="str">
        <f t="shared" si="15"/>
        <v>Emerging market debt</v>
      </c>
      <c r="S39" s="52">
        <f t="shared" si="16"/>
        <v>4.3427168142739225E-3</v>
      </c>
      <c r="T39" s="52">
        <f t="shared" si="17"/>
        <v>7.3340430594345928E-3</v>
      </c>
      <c r="U39" s="52">
        <f t="shared" si="18"/>
        <v>5.4780583154272668E-3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3.2334217893657752E-3</v>
      </c>
      <c r="C40" s="54">
        <v>3.3526475942779483E-3</v>
      </c>
      <c r="D40" s="55">
        <v>5.491350250175673E-4</v>
      </c>
      <c r="E40" s="1">
        <v>2.292344408802121E-3</v>
      </c>
      <c r="F40" s="56">
        <v>4.9497459057424335E-3</v>
      </c>
      <c r="G40" s="2">
        <v>-9.5000240337228068E-3</v>
      </c>
      <c r="H40" s="2">
        <v>1.2257509422284006E-2</v>
      </c>
      <c r="I40" s="2">
        <v>-1.9384594331021229E-2</v>
      </c>
      <c r="J40" s="2">
        <v>3.2729981568101578E-3</v>
      </c>
      <c r="K40" s="2">
        <v>-2.9402240713982973E-2</v>
      </c>
      <c r="L40" s="2">
        <v>1</v>
      </c>
      <c r="M40" s="2">
        <v>-0.54926641323423808</v>
      </c>
      <c r="N40" s="2">
        <v>0.99999999999998934</v>
      </c>
      <c r="O40" s="57"/>
      <c r="R40" s="51" t="str">
        <f t="shared" si="15"/>
        <v>Aandelen ontwikkeld</v>
      </c>
      <c r="S40" s="52">
        <f t="shared" si="16"/>
        <v>5.491350250175673E-4</v>
      </c>
      <c r="T40" s="52">
        <f t="shared" si="17"/>
        <v>2.6842867643482081E-3</v>
      </c>
      <c r="U40" s="52">
        <f t="shared" si="18"/>
        <v>1.7163241163766583E-3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9.4376229418329308E-2</v>
      </c>
      <c r="C41" s="54">
        <v>3.9114122836454962E-2</v>
      </c>
      <c r="D41" s="55">
        <v>6.6264798077849393E-2</v>
      </c>
      <c r="E41" s="1">
        <v>9.5471343003297821E-2</v>
      </c>
      <c r="F41" s="56">
        <v>0.12265009508721297</v>
      </c>
      <c r="G41" s="2">
        <v>-0.92520872056084202</v>
      </c>
      <c r="H41" s="2">
        <v>-0.70577922629040402</v>
      </c>
      <c r="I41" s="2">
        <v>-0.16330525386678049</v>
      </c>
      <c r="J41" s="2">
        <v>-0.10742834093136794</v>
      </c>
      <c r="K41" s="2">
        <v>-9.8926657434919588E-2</v>
      </c>
      <c r="L41" s="2">
        <v>-0.32422477071408956</v>
      </c>
      <c r="M41" s="2">
        <v>-0.54946270818024967</v>
      </c>
      <c r="N41" s="2">
        <v>1</v>
      </c>
      <c r="O41" s="57"/>
      <c r="R41" s="51" t="str">
        <f t="shared" si="15"/>
        <v>Aandelen opkomend</v>
      </c>
      <c r="S41" s="52">
        <f t="shared" si="16"/>
        <v>6.6264798077849393E-2</v>
      </c>
      <c r="T41" s="52">
        <f t="shared" si="17"/>
        <v>2.8111431340479914E-2</v>
      </c>
      <c r="U41" s="52">
        <f t="shared" si="18"/>
        <v>2.8273865668883666E-2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0.14145034811797552</v>
      </c>
      <c r="C42" s="54">
        <v>3.0960696371923863E-2</v>
      </c>
      <c r="D42" s="55">
        <v>0.11972466477757154</v>
      </c>
      <c r="E42" s="1">
        <v>0.14149712925772157</v>
      </c>
      <c r="F42" s="56">
        <v>0.16395485102059865</v>
      </c>
      <c r="G42" s="2">
        <v>0.27359347766859532</v>
      </c>
      <c r="H42" s="2">
        <v>1</v>
      </c>
      <c r="I42" s="2">
        <v>-0.13075574920453836</v>
      </c>
      <c r="J42" s="2">
        <v>-6.4132792401271788E-2</v>
      </c>
      <c r="K42" s="2">
        <v>-6.3870534652404498E-2</v>
      </c>
      <c r="L42" s="2">
        <v>-0.40628350761225385</v>
      </c>
      <c r="M42" s="2">
        <v>-0.83598078548703725</v>
      </c>
      <c r="N42" s="2">
        <v>0.99999999999999933</v>
      </c>
      <c r="O42" s="57"/>
      <c r="R42" s="51" t="str">
        <f t="shared" si="15"/>
        <v>Commodities</v>
      </c>
      <c r="S42" s="52">
        <f t="shared" si="16"/>
        <v>0.11972466477757154</v>
      </c>
      <c r="T42" s="52">
        <f t="shared" si="17"/>
        <v>2.1725683340403978E-2</v>
      </c>
      <c r="U42" s="52">
        <f t="shared" si="18"/>
        <v>2.2504502902623125E-2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1.6558602905585251E-2</v>
      </c>
      <c r="C43" s="54">
        <v>1.3703787904085536E-2</v>
      </c>
      <c r="D43" s="55">
        <v>6.0124116154298118E-3</v>
      </c>
      <c r="E43" s="1">
        <v>1.3337042950156305E-2</v>
      </c>
      <c r="F43" s="56">
        <v>2.3078081665578377E-2</v>
      </c>
      <c r="G43" s="2">
        <v>-4.699559560846512E-2</v>
      </c>
      <c r="H43" s="2">
        <v>4.5699928983691171E-2</v>
      </c>
      <c r="I43" s="2">
        <v>6.1207876963357451E-2</v>
      </c>
      <c r="J43" s="2">
        <v>1</v>
      </c>
      <c r="K43" s="2">
        <v>-0.19183306848580656</v>
      </c>
      <c r="L43" s="2">
        <v>-7.4462871155843879E-2</v>
      </c>
      <c r="M43" s="2">
        <v>0.35830084319962963</v>
      </c>
      <c r="N43" s="2">
        <v>0.99999999999999745</v>
      </c>
      <c r="O43" s="57"/>
      <c r="R43" s="51" t="str">
        <f t="shared" si="15"/>
        <v>Hedge funds</v>
      </c>
      <c r="S43" s="52">
        <f t="shared" si="16"/>
        <v>6.0124116154298118E-3</v>
      </c>
      <c r="T43" s="52">
        <f t="shared" si="17"/>
        <v>1.054619129015544E-2</v>
      </c>
      <c r="U43" s="52">
        <f t="shared" si="18"/>
        <v>6.5194787599931261E-3</v>
      </c>
    </row>
    <row r="44" spans="1:30">
      <c r="A44" s="60" t="str">
        <f t="shared" si="14"/>
        <v>Onroerend goed</v>
      </c>
      <c r="B44" s="61">
        <v>6.2462927743328199E-2</v>
      </c>
      <c r="C44" s="62">
        <v>4.3376105362977674E-2</v>
      </c>
      <c r="D44" s="63">
        <v>2.9030413980775226E-2</v>
      </c>
      <c r="E44" s="61">
        <v>5.3611351758697738E-2</v>
      </c>
      <c r="F44" s="64">
        <v>8.5922739401422352E-2</v>
      </c>
      <c r="G44" s="65">
        <v>1</v>
      </c>
      <c r="H44" s="65">
        <v>-0.83149469838990608</v>
      </c>
      <c r="I44" s="65">
        <v>-0.19037746996975527</v>
      </c>
      <c r="J44" s="65">
        <v>-0.13342186981189799</v>
      </c>
      <c r="K44" s="65">
        <v>-0.13713940426835536</v>
      </c>
      <c r="L44" s="65">
        <v>-0.16643814308260307</v>
      </c>
      <c r="M44" s="65">
        <v>-2.1683011841410593E-2</v>
      </c>
      <c r="N44" s="65">
        <v>0.99999999999999878</v>
      </c>
      <c r="O44" s="66"/>
      <c r="R44" s="51" t="str">
        <f t="shared" si="15"/>
        <v>Onroerend goed</v>
      </c>
      <c r="S44" s="52">
        <f t="shared" si="16"/>
        <v>2.9030413980775226E-2</v>
      </c>
      <c r="T44" s="52">
        <f t="shared" si="17"/>
        <v>3.3432513762552976E-2</v>
      </c>
      <c r="U44" s="52">
        <f t="shared" si="18"/>
        <v>2.3459811658094153E-2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4" t="s">
        <v>64</v>
      </c>
      <c r="E46" s="395"/>
      <c r="F46" s="396"/>
      <c r="G46" s="394" t="s">
        <v>65</v>
      </c>
      <c r="H46" s="395"/>
      <c r="I46" s="395"/>
      <c r="J46" s="395"/>
      <c r="K46" s="395"/>
      <c r="L46" s="395"/>
      <c r="M46" s="395"/>
      <c r="N46" s="395"/>
      <c r="O46" s="396"/>
    </row>
    <row r="47" spans="1:30">
      <c r="A47" s="265" t="str">
        <f>Optimalisatie!A24</f>
        <v>Bear case</v>
      </c>
      <c r="B47" s="266" t="s">
        <v>1</v>
      </c>
      <c r="C47" s="267" t="s">
        <v>2</v>
      </c>
      <c r="D47" s="268">
        <v>0.25</v>
      </c>
      <c r="E47" s="269">
        <v>0.5</v>
      </c>
      <c r="F47" s="270">
        <v>0.75</v>
      </c>
      <c r="G47" s="271">
        <v>0.56843441286125795</v>
      </c>
      <c r="H47" s="271">
        <v>0.17120235835941933</v>
      </c>
      <c r="I47" s="271">
        <v>8.7832144835320869E-2</v>
      </c>
      <c r="J47" s="271">
        <v>6.7454213898886839E-2</v>
      </c>
      <c r="K47" s="271">
        <v>4.8822241905193242E-2</v>
      </c>
      <c r="L47" s="271">
        <v>3.66113887241869E-2</v>
      </c>
      <c r="M47" s="271">
        <v>1.9643239415733094E-2</v>
      </c>
      <c r="N47" s="271" t="s">
        <v>147</v>
      </c>
      <c r="O47" s="272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0.9995855091205047</v>
      </c>
      <c r="C48" s="54">
        <v>2.1822391533438395E-4</v>
      </c>
      <c r="D48" s="55">
        <v>0.999426477197776</v>
      </c>
      <c r="E48" s="1">
        <v>0.99959120432181836</v>
      </c>
      <c r="F48" s="56">
        <v>0.99976073348444905</v>
      </c>
      <c r="G48" s="68">
        <v>1</v>
      </c>
      <c r="H48" s="68">
        <v>0.50791263617678017</v>
      </c>
      <c r="I48" s="68">
        <v>0.38461055784744719</v>
      </c>
      <c r="J48" s="68">
        <v>6.3865710812431309E-2</v>
      </c>
      <c r="K48" s="68">
        <v>-0.14777585142370575</v>
      </c>
      <c r="L48" s="2">
        <v>-4.9607491530234957E-2</v>
      </c>
      <c r="M48" s="2">
        <v>-0.11289825767631441</v>
      </c>
      <c r="N48" s="2" t="s">
        <v>147</v>
      </c>
      <c r="O48" s="69"/>
      <c r="R48" s="51" t="str">
        <f>A48</f>
        <v>Nominale matching</v>
      </c>
      <c r="S48" s="52">
        <f>D48</f>
        <v>0.999426477197776</v>
      </c>
      <c r="T48" s="52">
        <f>B48-D48</f>
        <v>1.5903192272870292E-4</v>
      </c>
      <c r="U48" s="52">
        <f>F48-B48</f>
        <v>1.7522436394434848E-4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4.9022559865304879E-5</v>
      </c>
      <c r="C49" s="54">
        <v>8.2537444150032385E-5</v>
      </c>
      <c r="D49" s="55">
        <v>4.2185223271464538E-7</v>
      </c>
      <c r="E49" s="1">
        <v>9.1245686211674511E-6</v>
      </c>
      <c r="F49" s="56">
        <v>5.9696221053710329E-5</v>
      </c>
      <c r="G49" s="68">
        <v>-5.9420318834173716E-2</v>
      </c>
      <c r="H49" s="68">
        <v>-0.15310776305266915</v>
      </c>
      <c r="I49" s="68">
        <v>-0.5519057803625762</v>
      </c>
      <c r="J49" s="68">
        <v>-0.96071214856867404</v>
      </c>
      <c r="K49" s="68">
        <v>-0.62937779107160485</v>
      </c>
      <c r="L49" s="2">
        <v>-7.672931349938561E-2</v>
      </c>
      <c r="M49" s="2">
        <v>-0.21773546559423523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4.2185223271464538E-7</v>
      </c>
      <c r="T49" s="52">
        <f t="shared" ref="T49:T55" si="22">B49-D49</f>
        <v>4.8600707632590236E-5</v>
      </c>
      <c r="U49" s="52">
        <f t="shared" ref="U49:U55" si="23">F49-B49</f>
        <v>1.0673661188405449E-5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4.0346990170727023E-5</v>
      </c>
      <c r="C50" s="54">
        <v>6.9411126935097785E-5</v>
      </c>
      <c r="D50" s="55">
        <v>6.811816383642873E-7</v>
      </c>
      <c r="E50" s="1">
        <v>9.9715496426137715E-6</v>
      </c>
      <c r="F50" s="56">
        <v>4.4068590445950927E-5</v>
      </c>
      <c r="G50" s="68">
        <v>-1.5574091977058595E-2</v>
      </c>
      <c r="H50" s="68">
        <v>-7.7636394065871001E-2</v>
      </c>
      <c r="I50" s="68">
        <v>-0.2964055196744913</v>
      </c>
      <c r="J50" s="68">
        <v>-0.14830237692444667</v>
      </c>
      <c r="K50" s="68">
        <v>1</v>
      </c>
      <c r="L50" s="2">
        <v>-0.59406402678002712</v>
      </c>
      <c r="M50" s="2">
        <v>-0.17454443878144105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6.811816383642873E-7</v>
      </c>
      <c r="T50" s="52">
        <f t="shared" si="22"/>
        <v>3.9665808532362739E-5</v>
      </c>
      <c r="U50" s="52">
        <f t="shared" si="23"/>
        <v>3.7216002752239033E-6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2.5435585217645827E-5</v>
      </c>
      <c r="C51" s="54">
        <v>4.5566899908365088E-5</v>
      </c>
      <c r="D51" s="55">
        <v>1.0907105388141971E-7</v>
      </c>
      <c r="E51" s="1">
        <v>4.2284199822051233E-6</v>
      </c>
      <c r="F51" s="56">
        <v>3.0234561416421106E-5</v>
      </c>
      <c r="G51" s="68">
        <v>-6.4478996187373053E-3</v>
      </c>
      <c r="H51" s="68">
        <v>-1.886182994049778E-2</v>
      </c>
      <c r="I51" s="68">
        <v>-9.6323722447904631E-2</v>
      </c>
      <c r="J51" s="68">
        <v>-7.9144715466931789E-2</v>
      </c>
      <c r="K51" s="68">
        <v>1.3454440378180175E-3</v>
      </c>
      <c r="L51" s="2">
        <v>-1.5062311043388123E-2</v>
      </c>
      <c r="M51" s="2">
        <v>1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1.0907105388141971E-7</v>
      </c>
      <c r="T51" s="52">
        <f t="shared" si="22"/>
        <v>2.5326514163764409E-5</v>
      </c>
      <c r="U51" s="52">
        <f t="shared" si="23"/>
        <v>4.7989761987752786E-6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4.7942830494579915E-5</v>
      </c>
      <c r="C52" s="54">
        <v>8.6899055012407684E-5</v>
      </c>
      <c r="D52" s="55">
        <v>5.5387275547286722E-7</v>
      </c>
      <c r="E52" s="1">
        <v>8.6625697970875454E-6</v>
      </c>
      <c r="F52" s="56">
        <v>5.7221283399729329E-5</v>
      </c>
      <c r="G52" s="68">
        <v>-4.8721123176988304E-2</v>
      </c>
      <c r="H52" s="68">
        <v>-0.22332086781581159</v>
      </c>
      <c r="I52" s="68">
        <v>-0.72539416375771804</v>
      </c>
      <c r="J52" s="68">
        <v>1</v>
      </c>
      <c r="K52" s="68">
        <v>-0.40317097039023736</v>
      </c>
      <c r="L52" s="2">
        <v>-0.10548724750472714</v>
      </c>
      <c r="M52" s="2">
        <v>-0.13662251334223274</v>
      </c>
      <c r="N52" s="2" t="s">
        <v>147</v>
      </c>
      <c r="O52" s="69"/>
      <c r="R52" s="51" t="str">
        <f t="shared" si="20"/>
        <v>Aandelen opkomend</v>
      </c>
      <c r="S52" s="52">
        <f t="shared" si="21"/>
        <v>5.5387275547286722E-7</v>
      </c>
      <c r="T52" s="52">
        <f t="shared" si="22"/>
        <v>4.738895773910705E-5</v>
      </c>
      <c r="U52" s="52">
        <f t="shared" si="23"/>
        <v>9.278452905149414E-6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3.6554621152360859E-5</v>
      </c>
      <c r="C53" s="54">
        <v>6.3903485026477032E-5</v>
      </c>
      <c r="D53" s="55">
        <v>2.5555257546012397E-7</v>
      </c>
      <c r="E53" s="1">
        <v>7.4905152532942862E-6</v>
      </c>
      <c r="F53" s="56">
        <v>4.5229796455239464E-5</v>
      </c>
      <c r="G53" s="68">
        <v>-1.7153463603220152E-2</v>
      </c>
      <c r="H53" s="68">
        <v>-0.12382346841302998</v>
      </c>
      <c r="I53" s="68">
        <v>-0.14154332563786123</v>
      </c>
      <c r="J53" s="68">
        <v>-4.1879520708356065E-2</v>
      </c>
      <c r="K53" s="68">
        <v>0.47116361798153644</v>
      </c>
      <c r="L53" s="2">
        <v>1</v>
      </c>
      <c r="M53" s="2">
        <v>-0.14215380396757304</v>
      </c>
      <c r="N53" s="2" t="s">
        <v>147</v>
      </c>
      <c r="O53" s="69"/>
      <c r="R53" s="51" t="str">
        <f t="shared" si="20"/>
        <v>Commodities</v>
      </c>
      <c r="S53" s="52">
        <f t="shared" si="21"/>
        <v>2.5555257546012397E-7</v>
      </c>
      <c r="T53" s="52">
        <f t="shared" si="22"/>
        <v>3.6299068576900735E-5</v>
      </c>
      <c r="U53" s="52">
        <f t="shared" si="23"/>
        <v>8.6751753028786052E-6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1.3559771619691606E-4</v>
      </c>
      <c r="C54" s="54">
        <v>1.7604735779482372E-4</v>
      </c>
      <c r="D54" s="55">
        <v>8.4030724632232616E-6</v>
      </c>
      <c r="E54" s="1">
        <v>5.9016393293560336E-5</v>
      </c>
      <c r="F54" s="56">
        <v>2.0225652371379249E-4</v>
      </c>
      <c r="G54" s="68">
        <v>-0.68454585355994846</v>
      </c>
      <c r="H54" s="68">
        <v>1</v>
      </c>
      <c r="I54" s="68">
        <v>0.42696195403311221</v>
      </c>
      <c r="J54" s="68">
        <v>9.2618327070207312E-2</v>
      </c>
      <c r="K54" s="68">
        <v>-0.12639767239790131</v>
      </c>
      <c r="L54" s="2">
        <v>-4.0609171859222588E-2</v>
      </c>
      <c r="M54" s="2">
        <v>-0.1128365076093564</v>
      </c>
      <c r="N54" s="2" t="s">
        <v>147</v>
      </c>
      <c r="O54" s="69"/>
      <c r="R54" s="51" t="str">
        <f t="shared" si="20"/>
        <v>Hedge funds</v>
      </c>
      <c r="S54" s="52">
        <f t="shared" si="21"/>
        <v>8.4030724632232616E-6</v>
      </c>
      <c r="T54" s="52">
        <f t="shared" si="22"/>
        <v>1.271946437336928E-4</v>
      </c>
      <c r="U54" s="52">
        <f t="shared" si="23"/>
        <v>6.665880751687643E-5</v>
      </c>
    </row>
    <row r="55" spans="1:36">
      <c r="A55" s="60" t="str">
        <f t="shared" si="19"/>
        <v>Onroerend goed</v>
      </c>
      <c r="B55" s="61">
        <v>7.9590576398047146E-5</v>
      </c>
      <c r="C55" s="62">
        <v>1.1668754640232378E-4</v>
      </c>
      <c r="D55" s="63">
        <v>2.0155854905355793E-6</v>
      </c>
      <c r="E55" s="61">
        <v>2.5707957198032597E-5</v>
      </c>
      <c r="F55" s="64">
        <v>1.1174190613019589E-4</v>
      </c>
      <c r="G55" s="70">
        <v>-0.16813724922987633</v>
      </c>
      <c r="H55" s="70">
        <v>-0.91116231288887184</v>
      </c>
      <c r="I55" s="70">
        <v>1</v>
      </c>
      <c r="J55" s="70">
        <v>7.3554723785761639E-2</v>
      </c>
      <c r="K55" s="70">
        <v>-0.16578677673593117</v>
      </c>
      <c r="L55" s="65">
        <v>-0.11844043778298269</v>
      </c>
      <c r="M55" s="65">
        <v>-0.10320901302875031</v>
      </c>
      <c r="N55" s="65" t="s">
        <v>147</v>
      </c>
      <c r="O55" s="71"/>
      <c r="R55" s="51" t="str">
        <f t="shared" si="20"/>
        <v>Onroerend goed</v>
      </c>
      <c r="S55" s="52">
        <f t="shared" si="21"/>
        <v>2.0155854905355793E-6</v>
      </c>
      <c r="T55" s="52">
        <f t="shared" si="22"/>
        <v>7.7574990907511562E-5</v>
      </c>
      <c r="U55" s="52">
        <f t="shared" si="23"/>
        <v>3.2151329732148741E-5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4" t="s">
        <v>64</v>
      </c>
      <c r="E57" s="395"/>
      <c r="F57" s="396"/>
      <c r="G57" s="394" t="s">
        <v>65</v>
      </c>
      <c r="H57" s="395"/>
      <c r="I57" s="395"/>
      <c r="J57" s="395"/>
      <c r="K57" s="395"/>
      <c r="L57" s="395"/>
      <c r="M57" s="395"/>
      <c r="N57" s="395"/>
      <c r="O57" s="396"/>
    </row>
    <row r="58" spans="1:36">
      <c r="A58" s="265" t="str">
        <f>Optimalisatie!A11</f>
        <v>Tail risk</v>
      </c>
      <c r="B58" s="266" t="s">
        <v>1</v>
      </c>
      <c r="C58" s="267" t="s">
        <v>2</v>
      </c>
      <c r="D58" s="268">
        <v>0.25</v>
      </c>
      <c r="E58" s="269">
        <v>0.5</v>
      </c>
      <c r="F58" s="270">
        <v>0.75</v>
      </c>
      <c r="G58" s="271">
        <v>0.53980777716256467</v>
      </c>
      <c r="H58" s="271">
        <v>0.27331265598816301</v>
      </c>
      <c r="I58" s="271">
        <v>6.6119101633024702E-2</v>
      </c>
      <c r="J58" s="271">
        <v>4.4581962152314136E-2</v>
      </c>
      <c r="K58" s="271">
        <v>2.9464551543542661E-2</v>
      </c>
      <c r="L58" s="271">
        <v>2.5298194914190941E-2</v>
      </c>
      <c r="M58" s="271">
        <v>2.1415756606204095E-2</v>
      </c>
      <c r="N58" s="271">
        <v>2.2204460492503131E-16</v>
      </c>
      <c r="O58" s="272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0.97126484937417978</v>
      </c>
      <c r="C59" s="54">
        <v>5.4325428080315684E-4</v>
      </c>
      <c r="D59" s="55">
        <v>0.9708401846060366</v>
      </c>
      <c r="E59" s="1">
        <v>0.97114304640908589</v>
      </c>
      <c r="F59" s="56">
        <v>0.97158535980212701</v>
      </c>
      <c r="G59" s="2">
        <v>-0.54340767788591848</v>
      </c>
      <c r="H59" s="2">
        <v>1</v>
      </c>
      <c r="I59" s="2">
        <v>-0.73532155336030613</v>
      </c>
      <c r="J59" s="2">
        <v>-9.9459193925539563E-2</v>
      </c>
      <c r="K59" s="2">
        <v>-0.14092685725679227</v>
      </c>
      <c r="L59" s="2">
        <v>-9.5565575725533813E-2</v>
      </c>
      <c r="M59" s="2">
        <v>-2.4978741468744809E-2</v>
      </c>
      <c r="N59" s="2">
        <v>0.99999999999994416</v>
      </c>
      <c r="O59" s="69"/>
      <c r="R59" s="51" t="str">
        <f>A59</f>
        <v>Nominale matching</v>
      </c>
      <c r="S59" s="52">
        <f>D59</f>
        <v>0.9708401846060366</v>
      </c>
      <c r="T59" s="52">
        <f>B59-D59</f>
        <v>4.2466476814317922E-4</v>
      </c>
      <c r="U59" s="52">
        <f>F59-B59</f>
        <v>3.2051042794722928E-4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8.7092826904194774E-5</v>
      </c>
      <c r="C60" s="54">
        <v>1.6061867496024255E-4</v>
      </c>
      <c r="D60" s="55">
        <v>3.6937984661834862E-7</v>
      </c>
      <c r="E60" s="1">
        <v>9.7063745287721907E-6</v>
      </c>
      <c r="F60" s="56">
        <v>9.8348498803393637E-5</v>
      </c>
      <c r="G60" s="2">
        <v>3.3188848152629078E-3</v>
      </c>
      <c r="H60" s="2">
        <v>-1.5729491362262801E-2</v>
      </c>
      <c r="I60" s="2">
        <v>0.1999858061760022</v>
      </c>
      <c r="J60" s="2">
        <v>3.1679408690996691E-3</v>
      </c>
      <c r="K60" s="2">
        <v>0.36389940719258429</v>
      </c>
      <c r="L60" s="2">
        <v>1</v>
      </c>
      <c r="M60" s="2">
        <v>-0.51510497095909213</v>
      </c>
      <c r="N60" s="2">
        <v>0.99999999999995837</v>
      </c>
      <c r="O60" s="69"/>
      <c r="R60" s="51" t="str">
        <f t="shared" ref="R60:R66" si="25">A60</f>
        <v>High Yield</v>
      </c>
      <c r="S60" s="52">
        <f t="shared" ref="S60:S66" si="26">D60</f>
        <v>3.6937984661834862E-7</v>
      </c>
      <c r="T60" s="52">
        <f t="shared" ref="T60:T66" si="27">B60-D60</f>
        <v>8.6723447057576427E-5</v>
      </c>
      <c r="U60" s="52">
        <f t="shared" ref="U60:U66" si="28">F60-B60</f>
        <v>1.1255671899198862E-5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1.2296545282093044E-4</v>
      </c>
      <c r="C61" s="54">
        <v>2.2551986486180978E-4</v>
      </c>
      <c r="D61" s="55">
        <v>4.5556009669312221E-7</v>
      </c>
      <c r="E61" s="1">
        <v>1.6775630558226037E-5</v>
      </c>
      <c r="F61" s="56">
        <v>1.3358842543475087E-4</v>
      </c>
      <c r="G61" s="2">
        <v>-3.3529366268299346E-2</v>
      </c>
      <c r="H61" s="2">
        <v>-2.6668428570457321E-2</v>
      </c>
      <c r="I61" s="2">
        <v>1</v>
      </c>
      <c r="J61" s="2">
        <v>-0.9230270507439704</v>
      </c>
      <c r="K61" s="2">
        <v>-0.4979876069507117</v>
      </c>
      <c r="L61" s="2">
        <v>-0.14525298596168731</v>
      </c>
      <c r="M61" s="2">
        <v>1.8643662907050912E-2</v>
      </c>
      <c r="N61" s="2">
        <v>0.99999999999995492</v>
      </c>
      <c r="O61" s="69"/>
      <c r="R61" s="51" t="str">
        <f t="shared" si="25"/>
        <v>Emerging market debt</v>
      </c>
      <c r="S61" s="52">
        <f t="shared" si="26"/>
        <v>4.5556009669312221E-7</v>
      </c>
      <c r="T61" s="52">
        <f t="shared" si="27"/>
        <v>1.2250989272423731E-4</v>
      </c>
      <c r="U61" s="52">
        <f t="shared" si="28"/>
        <v>1.0622972613820436E-5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8.6440582135674618E-5</v>
      </c>
      <c r="C62" s="54">
        <v>1.7332962131918464E-4</v>
      </c>
      <c r="D62" s="55">
        <v>2.7994345267363115E-7</v>
      </c>
      <c r="E62" s="1">
        <v>8.2803549363395767E-6</v>
      </c>
      <c r="F62" s="56">
        <v>7.9638475822966232E-5</v>
      </c>
      <c r="G62" s="2">
        <v>4.0483393198658277E-2</v>
      </c>
      <c r="H62" s="2">
        <v>-4.1109618257954061E-2</v>
      </c>
      <c r="I62" s="2">
        <v>0.30400659657036461</v>
      </c>
      <c r="J62" s="2">
        <v>6.6797828899968423E-2</v>
      </c>
      <c r="K62" s="2">
        <v>1</v>
      </c>
      <c r="L62" s="2">
        <v>-0.70682970278209434</v>
      </c>
      <c r="M62" s="2">
        <v>-0.29161093114272274</v>
      </c>
      <c r="N62" s="2">
        <v>0.99999999999993072</v>
      </c>
      <c r="O62" s="69"/>
      <c r="R62" s="51" t="str">
        <f t="shared" si="25"/>
        <v>Aandelen ontwikkeld</v>
      </c>
      <c r="S62" s="52">
        <f t="shared" si="26"/>
        <v>2.7994345267363115E-7</v>
      </c>
      <c r="T62" s="52">
        <f t="shared" si="27"/>
        <v>8.6160638683000992E-5</v>
      </c>
      <c r="U62" s="52">
        <f t="shared" si="28"/>
        <v>-6.802106312708386E-6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1.1775119069293206E-4</v>
      </c>
      <c r="C63" s="54">
        <v>2.1416955297384193E-4</v>
      </c>
      <c r="D63" s="55">
        <v>3.0399567173166726E-7</v>
      </c>
      <c r="E63" s="1">
        <v>1.7370050941815017E-5</v>
      </c>
      <c r="F63" s="56">
        <v>1.3533065225346396E-4</v>
      </c>
      <c r="G63" s="2">
        <v>-3.467628512187907E-2</v>
      </c>
      <c r="H63" s="2">
        <v>2.5742874011573554E-2</v>
      </c>
      <c r="I63" s="2">
        <v>0.6985026040907707</v>
      </c>
      <c r="J63" s="2">
        <v>1</v>
      </c>
      <c r="K63" s="2">
        <v>-0.62262008456423967</v>
      </c>
      <c r="L63" s="2">
        <v>-0.14373018474374641</v>
      </c>
      <c r="M63" s="2">
        <v>-7.5413149721206454E-2</v>
      </c>
      <c r="N63" s="2">
        <v>1</v>
      </c>
      <c r="O63" s="69"/>
      <c r="R63" s="51" t="str">
        <f t="shared" si="25"/>
        <v>Aandelen opkomend</v>
      </c>
      <c r="S63" s="52">
        <f t="shared" si="26"/>
        <v>3.0399567173166726E-7</v>
      </c>
      <c r="T63" s="52">
        <f t="shared" si="27"/>
        <v>1.1744719502120039E-4</v>
      </c>
      <c r="U63" s="52">
        <f t="shared" si="28"/>
        <v>1.7579461560531903E-5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7.5308671813012167E-5</v>
      </c>
      <c r="C64" s="54">
        <v>1.5435226717746889E-4</v>
      </c>
      <c r="D64" s="55">
        <v>1.6337795671946091E-7</v>
      </c>
      <c r="E64" s="1">
        <v>7.9921285505538762E-6</v>
      </c>
      <c r="F64" s="56">
        <v>6.180120177556216E-5</v>
      </c>
      <c r="G64" s="2">
        <v>3.2976352068715159E-2</v>
      </c>
      <c r="H64" s="2">
        <v>-3.9216701262764435E-2</v>
      </c>
      <c r="I64" s="2">
        <v>0.11918004930215143</v>
      </c>
      <c r="J64" s="2">
        <v>0.10278935706226015</v>
      </c>
      <c r="K64" s="2">
        <v>0.40917891593009859</v>
      </c>
      <c r="L64" s="2">
        <v>0.28755837878830243</v>
      </c>
      <c r="M64" s="2">
        <v>1</v>
      </c>
      <c r="N64" s="2">
        <v>0.99999999999995426</v>
      </c>
      <c r="O64" s="69"/>
      <c r="R64" s="51" t="str">
        <f t="shared" si="25"/>
        <v>Commodities</v>
      </c>
      <c r="S64" s="52">
        <f t="shared" si="26"/>
        <v>1.6337795671946091E-7</v>
      </c>
      <c r="T64" s="52">
        <f t="shared" si="27"/>
        <v>7.5145293856292706E-5</v>
      </c>
      <c r="U64" s="52">
        <f t="shared" si="28"/>
        <v>-1.3507470037450007E-5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2.7916419492430906E-2</v>
      </c>
      <c r="C65" s="54">
        <v>6.5565271177626071E-4</v>
      </c>
      <c r="D65" s="55">
        <v>2.7463839188745461E-2</v>
      </c>
      <c r="E65" s="1">
        <v>2.794219351907893E-2</v>
      </c>
      <c r="F65" s="56">
        <v>2.8403279619288971E-2</v>
      </c>
      <c r="G65" s="2">
        <v>1</v>
      </c>
      <c r="H65" s="2">
        <v>8.6244821472352642E-2</v>
      </c>
      <c r="I65" s="2">
        <v>-0.7484795138757272</v>
      </c>
      <c r="J65" s="2">
        <v>-8.6217794734229733E-2</v>
      </c>
      <c r="K65" s="2">
        <v>-0.2784701982448558</v>
      </c>
      <c r="L65" s="2">
        <v>-9.366047590352225E-2</v>
      </c>
      <c r="M65" s="2">
        <v>-5.9315881891176245E-2</v>
      </c>
      <c r="N65" s="2">
        <v>0.99999999999995437</v>
      </c>
      <c r="O65" s="69"/>
      <c r="R65" s="51" t="str">
        <f t="shared" si="25"/>
        <v>Hedge funds</v>
      </c>
      <c r="S65" s="52">
        <f t="shared" si="26"/>
        <v>2.7463839188745461E-2</v>
      </c>
      <c r="T65" s="52">
        <f t="shared" si="27"/>
        <v>4.5258030368544588E-4</v>
      </c>
      <c r="U65" s="52">
        <f t="shared" si="28"/>
        <v>4.868601268580644E-4</v>
      </c>
    </row>
    <row r="66" spans="1:36">
      <c r="A66" s="60" t="str">
        <f t="shared" si="24"/>
        <v>Onroerend goed</v>
      </c>
      <c r="B66" s="61">
        <v>3.2917240902281185E-4</v>
      </c>
      <c r="C66" s="62">
        <v>5.1292300851689713E-4</v>
      </c>
      <c r="D66" s="63">
        <v>3.9628179075132048E-6</v>
      </c>
      <c r="E66" s="61">
        <v>8.9927291186335713E-5</v>
      </c>
      <c r="F66" s="64">
        <v>4.3960707630416417E-4</v>
      </c>
      <c r="G66" s="65">
        <v>-0.46516530080654406</v>
      </c>
      <c r="H66" s="65">
        <v>-0.98926345603048271</v>
      </c>
      <c r="I66" s="65">
        <v>-0.83787398890329112</v>
      </c>
      <c r="J66" s="65">
        <v>-6.4051087427633116E-2</v>
      </c>
      <c r="K66" s="65">
        <v>-0.23307357610603488</v>
      </c>
      <c r="L66" s="65">
        <v>-0.10251945367173292</v>
      </c>
      <c r="M66" s="65">
        <v>-5.2219987724110288E-2</v>
      </c>
      <c r="N66" s="65">
        <v>0.99999999999995159</v>
      </c>
      <c r="O66" s="71"/>
      <c r="R66" s="51" t="str">
        <f t="shared" si="25"/>
        <v>Onroerend goed</v>
      </c>
      <c r="S66" s="52">
        <f t="shared" si="26"/>
        <v>3.9628179075132048E-6</v>
      </c>
      <c r="T66" s="52">
        <f t="shared" si="27"/>
        <v>3.2520959111529866E-4</v>
      </c>
      <c r="U66" s="52">
        <f t="shared" si="28"/>
        <v>1.1043466728135232E-4</v>
      </c>
    </row>
    <row r="69" spans="1:36">
      <c r="A69" s="265" t="str">
        <f>Optimalisatie!A12</f>
        <v>Bull case</v>
      </c>
      <c r="B69" s="266" t="s">
        <v>1</v>
      </c>
      <c r="C69" s="267" t="s">
        <v>2</v>
      </c>
      <c r="D69" s="268">
        <v>0.25</v>
      </c>
      <c r="E69" s="269">
        <v>0.5</v>
      </c>
      <c r="F69" s="270">
        <v>0.75</v>
      </c>
      <c r="G69" s="271">
        <v>0.50159703779361264</v>
      </c>
      <c r="H69" s="271">
        <v>0.28455174353173818</v>
      </c>
      <c r="I69" s="271">
        <v>0.18466470398609336</v>
      </c>
      <c r="J69" s="271">
        <v>2.119066002267922E-2</v>
      </c>
      <c r="K69" s="271">
        <v>6.2100315478278434E-3</v>
      </c>
      <c r="L69" s="271">
        <v>1.3453838661787731E-3</v>
      </c>
      <c r="M69" s="271">
        <v>4.4043925187375876E-4</v>
      </c>
      <c r="N69" s="271">
        <v>0</v>
      </c>
      <c r="O69" s="272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0.77499855475977697</v>
      </c>
      <c r="C70" s="54">
        <v>1.1400998161153164E-2</v>
      </c>
      <c r="D70" s="55">
        <v>0.76663047479259816</v>
      </c>
      <c r="E70" s="1">
        <v>0.7750731136961696</v>
      </c>
      <c r="F70" s="56">
        <v>0.78193969474518354</v>
      </c>
      <c r="G70" s="68">
        <v>4.2813338340741455E-2</v>
      </c>
      <c r="H70" s="68">
        <v>3.2817449997990598E-2</v>
      </c>
      <c r="I70" s="68">
        <v>0.94334418605070203</v>
      </c>
      <c r="J70" s="68">
        <v>-0.26565802843884989</v>
      </c>
      <c r="K70" s="68">
        <v>0.13464697019126026</v>
      </c>
      <c r="L70" s="2">
        <v>0.15708042997879029</v>
      </c>
      <c r="M70" s="2">
        <v>1</v>
      </c>
      <c r="N70" s="2">
        <v>0.99999999999989353</v>
      </c>
      <c r="O70" s="69"/>
      <c r="R70" s="51" t="str">
        <f>A70</f>
        <v>Nominale matching</v>
      </c>
      <c r="S70" s="52">
        <f>D70</f>
        <v>0.76663047479259816</v>
      </c>
      <c r="T70" s="52">
        <f>B70-D70</f>
        <v>8.3680799671788098E-3</v>
      </c>
      <c r="U70" s="52">
        <f>F70-B70</f>
        <v>6.9411399854065747E-3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3.0086328638379851E-2</v>
      </c>
      <c r="C71" s="54">
        <v>2.6849856137190369E-2</v>
      </c>
      <c r="D71" s="55">
        <v>8.3608968918953436E-3</v>
      </c>
      <c r="E71" s="1">
        <v>2.2412264353713345E-2</v>
      </c>
      <c r="F71" s="56">
        <v>4.6682541378345627E-2</v>
      </c>
      <c r="G71" s="68">
        <v>-0.58422858087703433</v>
      </c>
      <c r="H71" s="68">
        <v>-0.95597236263525454</v>
      </c>
      <c r="I71" s="68">
        <v>-0.69443131710084127</v>
      </c>
      <c r="J71" s="68">
        <v>-0.12989361321837559</v>
      </c>
      <c r="K71" s="68">
        <v>-0.14595837290077965</v>
      </c>
      <c r="L71" s="2">
        <v>-0.10479695119846792</v>
      </c>
      <c r="M71" s="2">
        <v>0.17044879093124363</v>
      </c>
      <c r="N71" s="2">
        <v>0.99999999999994804</v>
      </c>
      <c r="O71" s="69"/>
      <c r="R71" s="51" t="str">
        <f t="shared" ref="R71:R77" si="30">A71</f>
        <v>High Yield</v>
      </c>
      <c r="S71" s="52">
        <f t="shared" ref="S71:S77" si="31">D71</f>
        <v>8.3608968918953436E-3</v>
      </c>
      <c r="T71" s="52">
        <f t="shared" ref="T71:T77" si="32">B71-D71</f>
        <v>2.172543174648451E-2</v>
      </c>
      <c r="U71" s="52">
        <f t="shared" ref="U71:U77" si="33">F71-B71</f>
        <v>1.6596212739965775E-2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6.4510765165019558E-3</v>
      </c>
      <c r="C72" s="54">
        <v>7.1219266808850773E-3</v>
      </c>
      <c r="D72" s="55">
        <v>1.0941967080001977E-3</v>
      </c>
      <c r="E72" s="1">
        <v>4.03456439037282E-3</v>
      </c>
      <c r="F72" s="56">
        <v>9.1951153569265094E-3</v>
      </c>
      <c r="G72" s="68">
        <v>3.5466440228207489E-2</v>
      </c>
      <c r="H72" s="68">
        <v>2.6096197585921195E-2</v>
      </c>
      <c r="I72" s="68">
        <v>0.11097095373186858</v>
      </c>
      <c r="J72" s="68">
        <v>1</v>
      </c>
      <c r="K72" s="68">
        <v>-9.6618212245906374E-2</v>
      </c>
      <c r="L72" s="2">
        <v>-9.4952295763619701E-2</v>
      </c>
      <c r="M72" s="2">
        <v>0.16637208846539364</v>
      </c>
      <c r="N72" s="2">
        <v>0.99999999999995093</v>
      </c>
      <c r="O72" s="69"/>
      <c r="R72" s="51" t="str">
        <f t="shared" si="30"/>
        <v>Emerging market debt</v>
      </c>
      <c r="S72" s="52">
        <f t="shared" si="31"/>
        <v>1.0941967080001977E-3</v>
      </c>
      <c r="T72" s="52">
        <f t="shared" si="32"/>
        <v>5.3568798085017579E-3</v>
      </c>
      <c r="U72" s="52">
        <f t="shared" si="33"/>
        <v>2.7440388404245536E-3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1.237617808086143E-3</v>
      </c>
      <c r="C73" s="54">
        <v>1.6956474722814115E-3</v>
      </c>
      <c r="D73" s="55">
        <v>8.876899831703928E-5</v>
      </c>
      <c r="E73" s="1">
        <v>4.9539436386043627E-4</v>
      </c>
      <c r="F73" s="56">
        <v>1.7376545081829418E-3</v>
      </c>
      <c r="G73" s="68">
        <v>1.5037202006237945E-3</v>
      </c>
      <c r="H73" s="68">
        <v>-4.4908004595423058E-4</v>
      </c>
      <c r="I73" s="68">
        <v>1.1786261282313387E-2</v>
      </c>
      <c r="J73" s="68">
        <v>-1.2750929769471455E-2</v>
      </c>
      <c r="K73" s="68">
        <v>1.6071039566049546E-2</v>
      </c>
      <c r="L73" s="2">
        <v>1</v>
      </c>
      <c r="M73" s="2">
        <v>-0.47378587803316979</v>
      </c>
      <c r="N73" s="2">
        <v>0.99999999999998923</v>
      </c>
      <c r="O73" s="69"/>
      <c r="R73" s="51" t="str">
        <f t="shared" si="30"/>
        <v>Aandelen ontwikkeld</v>
      </c>
      <c r="S73" s="52">
        <f t="shared" si="31"/>
        <v>8.876899831703928E-5</v>
      </c>
      <c r="T73" s="52">
        <f t="shared" si="32"/>
        <v>1.1488488097691038E-3</v>
      </c>
      <c r="U73" s="52">
        <f t="shared" si="33"/>
        <v>5.0003670009679882E-4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2.8352007145263122E-3</v>
      </c>
      <c r="C74" s="54">
        <v>3.5568913805583383E-3</v>
      </c>
      <c r="D74" s="55">
        <v>2.8614187362706398E-4</v>
      </c>
      <c r="E74" s="1">
        <v>1.4688464353017463E-3</v>
      </c>
      <c r="F74" s="56">
        <v>3.9820893307443254E-3</v>
      </c>
      <c r="G74" s="68">
        <v>3.3004867960816169E-3</v>
      </c>
      <c r="H74" s="68">
        <v>1.21951346249487E-2</v>
      </c>
      <c r="I74" s="68">
        <v>4.2751344937836319E-2</v>
      </c>
      <c r="J74" s="68">
        <v>-5.3555368022779382E-2</v>
      </c>
      <c r="K74" s="68">
        <v>1</v>
      </c>
      <c r="L74" s="2">
        <v>-0.31214072944519289</v>
      </c>
      <c r="M74" s="2">
        <v>-0.39245347931919683</v>
      </c>
      <c r="N74" s="2">
        <v>0.99999999999998723</v>
      </c>
      <c r="O74" s="69"/>
      <c r="R74" s="51" t="str">
        <f t="shared" si="30"/>
        <v>Aandelen opkomend</v>
      </c>
      <c r="S74" s="52">
        <f t="shared" si="31"/>
        <v>2.8614187362706398E-4</v>
      </c>
      <c r="T74" s="52">
        <f t="shared" si="32"/>
        <v>2.5490588408992481E-3</v>
      </c>
      <c r="U74" s="52">
        <f t="shared" si="33"/>
        <v>1.1468886162180132E-3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5.0375761983916946E-2</v>
      </c>
      <c r="C75" s="54">
        <v>1.4583802627261605E-2</v>
      </c>
      <c r="D75" s="55">
        <v>4.0268827185614919E-2</v>
      </c>
      <c r="E75" s="1">
        <v>5.1109151253579697E-2</v>
      </c>
      <c r="F75" s="56">
        <v>6.1772442553855486E-2</v>
      </c>
      <c r="G75" s="68">
        <v>-0.25411146183982214</v>
      </c>
      <c r="H75" s="68">
        <v>0.16062785401886259</v>
      </c>
      <c r="I75" s="68">
        <v>1</v>
      </c>
      <c r="J75" s="68">
        <v>-0.18853428723130283</v>
      </c>
      <c r="K75" s="68">
        <v>-0.51077664170382198</v>
      </c>
      <c r="L75" s="2">
        <v>-0.37474501779213321</v>
      </c>
      <c r="M75" s="2">
        <v>-0.63266423779678516</v>
      </c>
      <c r="N75" s="2">
        <v>1</v>
      </c>
      <c r="O75" s="69"/>
      <c r="R75" s="51" t="str">
        <f t="shared" si="30"/>
        <v>Commodities</v>
      </c>
      <c r="S75" s="52">
        <f t="shared" si="31"/>
        <v>4.0268827185614919E-2</v>
      </c>
      <c r="T75" s="52">
        <f t="shared" si="32"/>
        <v>1.0106934798302027E-2</v>
      </c>
      <c r="U75" s="52">
        <f t="shared" si="33"/>
        <v>1.139668056993854E-2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2.7552558441097431E-2</v>
      </c>
      <c r="C76" s="54">
        <v>2.3752742941977847E-2</v>
      </c>
      <c r="D76" s="55">
        <v>7.667627317068269E-3</v>
      </c>
      <c r="E76" s="1">
        <v>2.1441006651863173E-2</v>
      </c>
      <c r="F76" s="56">
        <v>4.3862570475810422E-2</v>
      </c>
      <c r="G76" s="68">
        <v>-0.24474394284879786</v>
      </c>
      <c r="H76" s="68">
        <v>1</v>
      </c>
      <c r="I76" s="68">
        <v>-0.97879085320271542</v>
      </c>
      <c r="J76" s="68">
        <v>-0.16221383463673697</v>
      </c>
      <c r="K76" s="68">
        <v>-0.14190460325029527</v>
      </c>
      <c r="L76" s="2">
        <v>-8.8501764983287934E-2</v>
      </c>
      <c r="M76" s="2">
        <v>0.21689210181405696</v>
      </c>
      <c r="N76" s="2">
        <v>0.99999999999994449</v>
      </c>
      <c r="O76" s="69"/>
      <c r="R76" s="51" t="str">
        <f t="shared" si="30"/>
        <v>Hedge funds</v>
      </c>
      <c r="S76" s="52">
        <f t="shared" si="31"/>
        <v>7.667627317068269E-3</v>
      </c>
      <c r="T76" s="52">
        <f t="shared" si="32"/>
        <v>1.9884931124029163E-2</v>
      </c>
      <c r="U76" s="52">
        <f t="shared" si="33"/>
        <v>1.6310012034712992E-2</v>
      </c>
    </row>
    <row r="77" spans="1:36">
      <c r="A77" s="60" t="str">
        <f t="shared" si="29"/>
        <v>Onroerend goed</v>
      </c>
      <c r="B77" s="61">
        <v>0.10646290113771467</v>
      </c>
      <c r="C77" s="62">
        <v>3.1072641311498336E-2</v>
      </c>
      <c r="D77" s="63">
        <v>8.5139467216271775E-2</v>
      </c>
      <c r="E77" s="61">
        <v>0.10397521840072158</v>
      </c>
      <c r="F77" s="64">
        <v>0.12696142930372376</v>
      </c>
      <c r="G77" s="70">
        <v>1</v>
      </c>
      <c r="H77" s="70">
        <v>-0.27531519354651407</v>
      </c>
      <c r="I77" s="70">
        <v>-0.43563057569916452</v>
      </c>
      <c r="J77" s="70">
        <v>-0.18739393868248644</v>
      </c>
      <c r="K77" s="70">
        <v>-0.25546017965650891</v>
      </c>
      <c r="L77" s="65">
        <v>-0.18194367079608767</v>
      </c>
      <c r="M77" s="65">
        <v>-5.4809386061419364E-2</v>
      </c>
      <c r="N77" s="65">
        <v>0.99999999999996225</v>
      </c>
      <c r="O77" s="71"/>
      <c r="R77" s="51" t="str">
        <f t="shared" si="30"/>
        <v>Onroerend goed</v>
      </c>
      <c r="S77" s="52">
        <f t="shared" si="31"/>
        <v>8.5139467216271775E-2</v>
      </c>
      <c r="T77" s="52">
        <f t="shared" si="32"/>
        <v>2.1323433921442897E-2</v>
      </c>
      <c r="U77" s="52">
        <f t="shared" si="33"/>
        <v>2.0498528166009083E-2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4" t="s">
        <v>64</v>
      </c>
      <c r="E79" s="395"/>
      <c r="F79" s="396"/>
      <c r="G79" s="394" t="s">
        <v>65</v>
      </c>
      <c r="H79" s="395"/>
      <c r="I79" s="395"/>
      <c r="J79" s="395"/>
      <c r="K79" s="395"/>
      <c r="L79" s="395"/>
      <c r="M79" s="395"/>
      <c r="N79" s="395"/>
      <c r="O79" s="396"/>
    </row>
    <row r="80" spans="1:36">
      <c r="A80" s="265" t="str">
        <f>Optimalisatie!A13</f>
        <v>Kansgewogen</v>
      </c>
      <c r="B80" s="266" t="s">
        <v>1</v>
      </c>
      <c r="C80" s="267" t="s">
        <v>2</v>
      </c>
      <c r="D80" s="268">
        <v>0.25</v>
      </c>
      <c r="E80" s="269">
        <v>0.5</v>
      </c>
      <c r="F80" s="270">
        <v>0.75</v>
      </c>
      <c r="G80" s="271">
        <v>0.50955795782026558</v>
      </c>
      <c r="H80" s="271">
        <v>0.28872925902161428</v>
      </c>
      <c r="I80" s="271">
        <v>0.10137527020062032</v>
      </c>
      <c r="J80" s="271">
        <v>7.8835546509488874E-2</v>
      </c>
      <c r="K80" s="271">
        <v>1.8670486725059554E-2</v>
      </c>
      <c r="L80" s="271">
        <v>2.2563963027465439E-3</v>
      </c>
      <c r="M80" s="271">
        <v>5.7508342020451408E-4</v>
      </c>
      <c r="N80" s="271">
        <v>0</v>
      </c>
      <c r="O80" s="272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4">
        <v>0.64944893325636843</v>
      </c>
      <c r="C81" s="54">
        <v>1.8434831743596752E-2</v>
      </c>
      <c r="D81" s="55">
        <v>0.63688192426410151</v>
      </c>
      <c r="E81" s="1">
        <v>0.64968634059528707</v>
      </c>
      <c r="F81" s="56">
        <v>0.66237298359459262</v>
      </c>
      <c r="G81" s="2">
        <v>-5.4626148393596828E-2</v>
      </c>
      <c r="H81" s="2">
        <v>-0.48363116238510973</v>
      </c>
      <c r="I81" s="2">
        <v>-0.59642951246405496</v>
      </c>
      <c r="J81" s="2">
        <v>-0.20572960894398687</v>
      </c>
      <c r="K81" s="2">
        <v>-0.26764594389737745</v>
      </c>
      <c r="L81" s="2">
        <v>1</v>
      </c>
      <c r="M81" s="2">
        <v>-0.12774044436840337</v>
      </c>
      <c r="N81" s="2">
        <v>1</v>
      </c>
      <c r="O81" s="69"/>
      <c r="R81" s="51" t="str">
        <f>A81</f>
        <v>Nominale matching</v>
      </c>
      <c r="S81" s="52">
        <f>D81</f>
        <v>0.63688192426410151</v>
      </c>
      <c r="T81" s="52">
        <f>B81-D81</f>
        <v>1.2567008992266926E-2</v>
      </c>
      <c r="U81" s="52">
        <f>F81-B81</f>
        <v>1.2924050338224191E-2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4">
        <v>2.1676691195087878E-2</v>
      </c>
      <c r="C82" s="54">
        <v>1.7214059352478672E-2</v>
      </c>
      <c r="D82" s="55">
        <v>8.1892343795685243E-3</v>
      </c>
      <c r="E82" s="1">
        <v>1.8089176373281796E-2</v>
      </c>
      <c r="F82" s="56">
        <v>3.0892445462969285E-2</v>
      </c>
      <c r="G82" s="2">
        <v>6.7790368800747141E-3</v>
      </c>
      <c r="H82" s="2">
        <v>-5.8107363715971E-2</v>
      </c>
      <c r="I82" s="2">
        <v>0.3673471272506722</v>
      </c>
      <c r="J82" s="2">
        <v>1</v>
      </c>
      <c r="K82" s="2">
        <v>-0.12812420387588572</v>
      </c>
      <c r="L82" s="2">
        <v>0.25014799063039761</v>
      </c>
      <c r="M82" s="2">
        <v>-0.13162078671802907</v>
      </c>
      <c r="N82" s="2">
        <v>0.99999999999999134</v>
      </c>
      <c r="O82" s="69"/>
      <c r="R82" s="51" t="str">
        <f t="shared" ref="R82:R88" si="35">A82</f>
        <v>High Yield</v>
      </c>
      <c r="S82" s="52">
        <f t="shared" ref="S82:S88" si="36">D82</f>
        <v>8.1892343795685243E-3</v>
      </c>
      <c r="T82" s="52">
        <f t="shared" ref="T82:T88" si="37">B82-D82</f>
        <v>1.3487456815519354E-2</v>
      </c>
      <c r="U82" s="52">
        <f t="shared" ref="U82:U88" si="38">F82-B82</f>
        <v>9.2157542678814076E-3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4">
        <v>4.0938352073271157E-2</v>
      </c>
      <c r="C83" s="54">
        <v>3.1822965940001002E-2</v>
      </c>
      <c r="D83" s="55">
        <v>1.6052736708683641E-2</v>
      </c>
      <c r="E83" s="1">
        <v>3.2956357559955213E-2</v>
      </c>
      <c r="F83" s="56">
        <v>5.7627085233391287E-2</v>
      </c>
      <c r="G83" s="2">
        <v>-0.17296321373884604</v>
      </c>
      <c r="H83" s="2">
        <v>1</v>
      </c>
      <c r="I83" s="2">
        <v>-0.30173604810678273</v>
      </c>
      <c r="J83" s="2">
        <v>-8.5022265355344698E-2</v>
      </c>
      <c r="K83" s="2">
        <v>-0.17987153551460922</v>
      </c>
      <c r="L83" s="2">
        <v>0.13771293624268605</v>
      </c>
      <c r="M83" s="2">
        <v>-0.1401631713631421</v>
      </c>
      <c r="N83" s="2">
        <v>0.99999999999999101</v>
      </c>
      <c r="O83" s="69"/>
      <c r="R83" s="51" t="str">
        <f t="shared" si="35"/>
        <v>Emerging market debt</v>
      </c>
      <c r="S83" s="52">
        <f t="shared" si="36"/>
        <v>1.6052736708683641E-2</v>
      </c>
      <c r="T83" s="52">
        <f t="shared" si="37"/>
        <v>2.4885615364587516E-2</v>
      </c>
      <c r="U83" s="52">
        <f t="shared" si="38"/>
        <v>1.668873316012013E-2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4">
        <v>1.23325046265014E-3</v>
      </c>
      <c r="C84" s="54">
        <v>1.5101046609079024E-3</v>
      </c>
      <c r="D84" s="55">
        <v>1.5099296972475402E-4</v>
      </c>
      <c r="E84" s="1">
        <v>6.727882647476535E-4</v>
      </c>
      <c r="F84" s="56">
        <v>1.7631669307621176E-3</v>
      </c>
      <c r="G84" s="2">
        <v>2.2663186089912678E-3</v>
      </c>
      <c r="H84" s="2">
        <v>-2.8591213015569396E-3</v>
      </c>
      <c r="I84" s="2">
        <v>-1.3408320042002302E-2</v>
      </c>
      <c r="J84" s="2">
        <v>-2.9859402392158349E-3</v>
      </c>
      <c r="K84" s="2">
        <v>6.5338498288942276E-4</v>
      </c>
      <c r="L84" s="2">
        <v>-5.1426234108727861E-2</v>
      </c>
      <c r="M84" s="2">
        <v>1</v>
      </c>
      <c r="N84" s="2">
        <v>0.99999999999992928</v>
      </c>
      <c r="O84" s="69"/>
      <c r="R84" s="51" t="str">
        <f t="shared" si="35"/>
        <v>Aandelen ontwikkeld</v>
      </c>
      <c r="S84" s="52">
        <f t="shared" si="36"/>
        <v>1.5099296972475402E-4</v>
      </c>
      <c r="T84" s="52">
        <f t="shared" si="37"/>
        <v>1.0822574929253859E-3</v>
      </c>
      <c r="U84" s="52">
        <f t="shared" si="38"/>
        <v>5.2991646811197763E-4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4">
        <v>0.11596613074290399</v>
      </c>
      <c r="C85" s="54">
        <v>3.6786709798689386E-2</v>
      </c>
      <c r="D85" s="55">
        <v>9.0776251814218528E-2</v>
      </c>
      <c r="E85" s="1">
        <v>0.11566513514566773</v>
      </c>
      <c r="F85" s="56">
        <v>0.14019390588000127</v>
      </c>
      <c r="G85" s="2">
        <v>1</v>
      </c>
      <c r="H85" s="2">
        <v>-9.9003249166263615E-2</v>
      </c>
      <c r="I85" s="2">
        <v>-0.2205325769797038</v>
      </c>
      <c r="J85" s="2">
        <v>-7.0847922777199299E-2</v>
      </c>
      <c r="K85" s="2">
        <v>-0.16041255510004868</v>
      </c>
      <c r="L85" s="2">
        <v>-0.72118740061582187</v>
      </c>
      <c r="M85" s="2">
        <v>-0.1629950966478439</v>
      </c>
      <c r="N85" s="2">
        <v>0.9999999999999829</v>
      </c>
      <c r="O85" s="69"/>
      <c r="R85" s="51" t="str">
        <f t="shared" si="35"/>
        <v>Aandelen opkomend</v>
      </c>
      <c r="S85" s="52">
        <f t="shared" si="36"/>
        <v>9.0776251814218528E-2</v>
      </c>
      <c r="T85" s="52">
        <f t="shared" si="37"/>
        <v>2.5189878928685461E-2</v>
      </c>
      <c r="U85" s="52">
        <f t="shared" si="38"/>
        <v>2.4227775137097285E-2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4">
        <v>0.13649706597906699</v>
      </c>
      <c r="C86" s="54">
        <v>3.1024847473264446E-2</v>
      </c>
      <c r="D86" s="55">
        <v>0.11565791215908999</v>
      </c>
      <c r="E86" s="1">
        <v>0.13585595592789823</v>
      </c>
      <c r="F86" s="56">
        <v>0.15718831193786073</v>
      </c>
      <c r="G86" s="2">
        <v>-0.80729039301088512</v>
      </c>
      <c r="H86" s="2">
        <v>-0.30542363050010918</v>
      </c>
      <c r="I86" s="2">
        <v>-0.11226920179043101</v>
      </c>
      <c r="J86" s="2">
        <v>-7.4292363461628583E-2</v>
      </c>
      <c r="K86" s="2">
        <v>-0.16665351598645642</v>
      </c>
      <c r="L86" s="2">
        <v>-0.97547529805472355</v>
      </c>
      <c r="M86" s="2">
        <v>-0.16538404176037547</v>
      </c>
      <c r="N86" s="2">
        <v>0.99999999999998068</v>
      </c>
      <c r="O86" s="69"/>
      <c r="R86" s="51" t="str">
        <f t="shared" si="35"/>
        <v>Commodities</v>
      </c>
      <c r="S86" s="52">
        <f t="shared" si="36"/>
        <v>0.11565791215908999</v>
      </c>
      <c r="T86" s="52">
        <f t="shared" si="37"/>
        <v>2.0839153819977002E-2</v>
      </c>
      <c r="U86" s="52">
        <f t="shared" si="38"/>
        <v>2.0691245958793736E-2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4">
        <v>2.3916818164114236E-2</v>
      </c>
      <c r="C87" s="54">
        <v>1.8631703121729317E-2</v>
      </c>
      <c r="D87" s="55">
        <v>1.003556078645464E-2</v>
      </c>
      <c r="E87" s="1">
        <v>1.9115470949913085E-2</v>
      </c>
      <c r="F87" s="56">
        <v>3.4048889510412163E-2</v>
      </c>
      <c r="G87" s="2">
        <v>4.0825495988353368E-2</v>
      </c>
      <c r="H87" s="2">
        <v>-2.4755972494844253E-2</v>
      </c>
      <c r="I87" s="2">
        <v>1</v>
      </c>
      <c r="J87" s="2">
        <v>-0.54205443036672485</v>
      </c>
      <c r="K87" s="2">
        <v>-9.7945630608508139E-2</v>
      </c>
      <c r="L87" s="2">
        <v>0.28597200488908275</v>
      </c>
      <c r="M87" s="2">
        <v>-0.12885009336670927</v>
      </c>
      <c r="N87" s="2">
        <v>0.9999999999999919</v>
      </c>
      <c r="O87" s="69"/>
      <c r="R87" s="51" t="str">
        <f t="shared" si="35"/>
        <v>Hedge funds</v>
      </c>
      <c r="S87" s="52">
        <f t="shared" si="36"/>
        <v>1.003556078645464E-2</v>
      </c>
      <c r="T87" s="52">
        <f t="shared" si="37"/>
        <v>1.3881257377659596E-2</v>
      </c>
      <c r="U87" s="52">
        <f t="shared" si="38"/>
        <v>1.0132071346297927E-2</v>
      </c>
    </row>
    <row r="88" spans="1:36">
      <c r="A88" s="60" t="str">
        <f t="shared" si="34"/>
        <v>Onroerend goed</v>
      </c>
      <c r="B88" s="285">
        <v>1.0322758126537421E-2</v>
      </c>
      <c r="C88" s="62">
        <v>8.6251977754985068E-3</v>
      </c>
      <c r="D88" s="63">
        <v>3.5341077167183386E-3</v>
      </c>
      <c r="E88" s="61">
        <v>8.4688012127893796E-3</v>
      </c>
      <c r="F88" s="64">
        <v>1.4936446003054334E-2</v>
      </c>
      <c r="G88" s="65">
        <v>-1.4991096334090185E-2</v>
      </c>
      <c r="H88" s="65">
        <v>-2.6219500436144984E-2</v>
      </c>
      <c r="I88" s="65">
        <v>-0.12297146786769714</v>
      </c>
      <c r="J88" s="65">
        <v>-1.9067468855900254E-2</v>
      </c>
      <c r="K88" s="65">
        <v>1</v>
      </c>
      <c r="L88" s="65">
        <v>7.4256001017078008E-2</v>
      </c>
      <c r="M88" s="65">
        <v>-0.14324636577543717</v>
      </c>
      <c r="N88" s="65">
        <v>0.99999999999998745</v>
      </c>
      <c r="O88" s="71"/>
      <c r="R88" s="51" t="str">
        <f t="shared" si="35"/>
        <v>Onroerend goed</v>
      </c>
      <c r="S88" s="52">
        <f t="shared" si="36"/>
        <v>3.5341077167183386E-3</v>
      </c>
      <c r="T88" s="52">
        <f t="shared" si="37"/>
        <v>6.7886504098190817E-3</v>
      </c>
      <c r="U88" s="52">
        <f t="shared" si="38"/>
        <v>4.6136878765169129E-3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6"/>
    </row>
    <row r="3" spans="1:23">
      <c r="A3" s="265" t="str">
        <f>'Samenvatting mixen'!A3</f>
        <v>Evenwicht</v>
      </c>
      <c r="B3" s="266" t="s">
        <v>67</v>
      </c>
      <c r="C3" s="267" t="s">
        <v>2</v>
      </c>
      <c r="D3" s="268">
        <v>0.25</v>
      </c>
      <c r="E3" s="269">
        <v>0.5</v>
      </c>
      <c r="F3" s="270">
        <v>0.75</v>
      </c>
      <c r="G3" s="271">
        <v>0.42044485860838676</v>
      </c>
      <c r="H3" s="271">
        <v>0.2301310234736893</v>
      </c>
      <c r="I3" s="271">
        <v>0.17752666330798428</v>
      </c>
      <c r="J3" s="271">
        <v>9.7767600373028896E-2</v>
      </c>
      <c r="K3" s="271">
        <v>5.2342125962209773E-2</v>
      </c>
      <c r="L3" s="271">
        <v>2.1787728274697327E-2</v>
      </c>
      <c r="M3" s="271">
        <v>0</v>
      </c>
      <c r="N3" s="271"/>
      <c r="O3" s="272"/>
      <c r="Q3" s="51" t="str">
        <f>A3</f>
        <v>Evenwicht</v>
      </c>
    </row>
    <row r="4" spans="1:23">
      <c r="A4" s="53" t="str">
        <f>+'Samenvatting mixen'!A5</f>
        <v>High Yield</v>
      </c>
      <c r="B4" s="117">
        <v>0.18860476220780434</v>
      </c>
      <c r="C4" s="118">
        <v>0.10202352456084107</v>
      </c>
      <c r="D4" s="119">
        <v>8.6029102857303585E-2</v>
      </c>
      <c r="E4" s="117">
        <v>0.17456078671427289</v>
      </c>
      <c r="F4" s="120">
        <v>0.29620502728751397</v>
      </c>
      <c r="G4" s="2">
        <v>1</v>
      </c>
      <c r="H4" s="2">
        <v>-0.65418279118579192</v>
      </c>
      <c r="I4" s="2">
        <v>-0.22338945197704935</v>
      </c>
      <c r="J4" s="2">
        <v>-0.34432715114438167</v>
      </c>
      <c r="K4" s="2">
        <v>-0.19467855093435341</v>
      </c>
      <c r="L4" s="2">
        <v>-0.16590511998587662</v>
      </c>
      <c r="M4" s="2">
        <v>0.99999999999999889</v>
      </c>
      <c r="N4" s="57"/>
      <c r="O4" s="72"/>
      <c r="Q4" s="72" t="str">
        <f>A4</f>
        <v>High Yield</v>
      </c>
      <c r="R4" s="72">
        <f>D4</f>
        <v>8.6029102857303585E-2</v>
      </c>
      <c r="S4" s="52">
        <f>B4-D4</f>
        <v>0.10257565935050075</v>
      </c>
      <c r="T4" s="52">
        <f>F4-B4</f>
        <v>0.10760026507970963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0.18207099171596092</v>
      </c>
      <c r="C5" s="118">
        <v>0.10304152532647168</v>
      </c>
      <c r="D5" s="119">
        <v>6.8962811632615528E-2</v>
      </c>
      <c r="E5" s="117">
        <v>0.17584845473884853</v>
      </c>
      <c r="F5" s="120">
        <v>0.28319209854976068</v>
      </c>
      <c r="G5" s="2">
        <v>-0.98879235078713779</v>
      </c>
      <c r="H5" s="2">
        <v>-0.75176378998012661</v>
      </c>
      <c r="I5" s="2">
        <v>-0.24227807240748264</v>
      </c>
      <c r="J5" s="2">
        <v>-0.28328346392059012</v>
      </c>
      <c r="K5" s="2">
        <v>-9.6894600515848792E-2</v>
      </c>
      <c r="L5" s="2">
        <v>-0.16839704166254271</v>
      </c>
      <c r="M5" s="2">
        <v>0.999999999999999</v>
      </c>
      <c r="N5" s="57"/>
      <c r="O5" s="72"/>
      <c r="Q5" s="72" t="str">
        <f t="shared" ref="Q5:Q10" si="0">A5</f>
        <v>Emerging market debt</v>
      </c>
      <c r="R5" s="72">
        <f t="shared" ref="R5:R10" si="1">D5</f>
        <v>6.8962811632615528E-2</v>
      </c>
      <c r="S5" s="52">
        <f t="shared" ref="S5:S10" si="2">B5-D5</f>
        <v>0.11310818008334539</v>
      </c>
      <c r="T5" s="52">
        <f t="shared" ref="T5:T10" si="3">F5-B5</f>
        <v>0.10112110683379977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0.20078962841478942</v>
      </c>
      <c r="C6" s="118">
        <v>5.8844324601093935E-2</v>
      </c>
      <c r="D6" s="119">
        <v>0.14217334796503378</v>
      </c>
      <c r="E6" s="117">
        <v>0.19557661759277917</v>
      </c>
      <c r="F6" s="120">
        <v>0.25875697458944413</v>
      </c>
      <c r="G6" s="2">
        <v>5.5542284835986541E-2</v>
      </c>
      <c r="H6" s="2">
        <v>-0.31884802752013824</v>
      </c>
      <c r="I6" s="2">
        <v>9.9627362728357052E-2</v>
      </c>
      <c r="J6" s="2">
        <v>1</v>
      </c>
      <c r="K6" s="2">
        <v>-6.9600318660079388E-2</v>
      </c>
      <c r="L6" s="2">
        <v>-0.11337098328647327</v>
      </c>
      <c r="M6" s="2">
        <v>1</v>
      </c>
      <c r="N6" s="57"/>
      <c r="O6" s="72"/>
      <c r="Q6" s="72" t="str">
        <f t="shared" si="0"/>
        <v>Aandelen ontwikkeld</v>
      </c>
      <c r="R6" s="72">
        <f t="shared" si="1"/>
        <v>0.14217334796503378</v>
      </c>
      <c r="S6" s="52">
        <f t="shared" si="2"/>
        <v>5.8616280449755642E-2</v>
      </c>
      <c r="T6" s="52">
        <f t="shared" si="3"/>
        <v>5.796734617465471E-2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0.1164781205583352</v>
      </c>
      <c r="C7" s="118">
        <v>4.4240447280027032E-2</v>
      </c>
      <c r="D7" s="119">
        <v>7.0160392927908197E-2</v>
      </c>
      <c r="E7" s="117">
        <v>0.11733495133677346</v>
      </c>
      <c r="F7" s="120">
        <v>0.16193251532160552</v>
      </c>
      <c r="G7" s="2">
        <v>5.9376937194925955E-2</v>
      </c>
      <c r="H7" s="2">
        <v>0.22852742031088005</v>
      </c>
      <c r="I7" s="2">
        <v>0.16068020952375056</v>
      </c>
      <c r="J7" s="2">
        <v>-0.11281221076972613</v>
      </c>
      <c r="K7" s="2">
        <v>1</v>
      </c>
      <c r="L7" s="2">
        <v>-0.21044352988849521</v>
      </c>
      <c r="M7" s="2">
        <v>0.99999999999999956</v>
      </c>
      <c r="N7" s="57"/>
      <c r="O7" s="72"/>
      <c r="Q7" s="72" t="str">
        <f t="shared" si="0"/>
        <v>Aandelen opkomend</v>
      </c>
      <c r="R7" s="72">
        <f t="shared" si="1"/>
        <v>7.0160392927908197E-2</v>
      </c>
      <c r="S7" s="52">
        <f t="shared" si="2"/>
        <v>4.6317727630427005E-2</v>
      </c>
      <c r="T7" s="52">
        <f t="shared" si="3"/>
        <v>4.5454394763270317E-2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4.840788742969606E-2</v>
      </c>
      <c r="C8" s="118">
        <v>2.7080018854386996E-2</v>
      </c>
      <c r="D8" s="119">
        <v>1.8039630628720795E-2</v>
      </c>
      <c r="E8" s="117">
        <v>4.959677760750858E-2</v>
      </c>
      <c r="F8" s="120">
        <v>7.6261354531533432E-2</v>
      </c>
      <c r="G8" s="2">
        <v>-2.9677215312515492E-3</v>
      </c>
      <c r="H8" s="2">
        <v>2.5651607842823717E-2</v>
      </c>
      <c r="I8" s="2">
        <v>9.4450769163243135E-3</v>
      </c>
      <c r="J8" s="2">
        <v>-5.1817397481804625E-2</v>
      </c>
      <c r="K8" s="2">
        <v>3.7497692140719283E-2</v>
      </c>
      <c r="L8" s="2">
        <v>1</v>
      </c>
      <c r="M8" s="2">
        <v>0.99999999999999956</v>
      </c>
      <c r="N8" s="57"/>
      <c r="O8" s="72"/>
      <c r="Q8" s="72" t="str">
        <f t="shared" si="0"/>
        <v>Commodities</v>
      </c>
      <c r="R8" s="72">
        <f t="shared" si="1"/>
        <v>1.8039630628720795E-2</v>
      </c>
      <c r="S8" s="52">
        <f t="shared" si="2"/>
        <v>3.0368256800975265E-2</v>
      </c>
      <c r="T8" s="52">
        <f t="shared" si="3"/>
        <v>2.7853467101837372E-2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0.12979522094117471</v>
      </c>
      <c r="C9" s="118">
        <v>7.1833665555184001E-2</v>
      </c>
      <c r="D9" s="119">
        <v>5.3242077804494761E-2</v>
      </c>
      <c r="E9" s="117">
        <v>0.12450704996504361</v>
      </c>
      <c r="F9" s="120">
        <v>0.20451670258049534</v>
      </c>
      <c r="G9" s="2">
        <v>-7.21971989945564E-2</v>
      </c>
      <c r="H9" s="2">
        <v>0.47061558053235303</v>
      </c>
      <c r="I9" s="2">
        <v>1</v>
      </c>
      <c r="J9" s="2">
        <v>-0.21818273400239543</v>
      </c>
      <c r="K9" s="2">
        <v>-0.42397506066625945</v>
      </c>
      <c r="L9" s="2">
        <v>-0.17576763462160924</v>
      </c>
      <c r="M9" s="2">
        <v>0.99999999999999989</v>
      </c>
      <c r="N9" s="57"/>
      <c r="O9" s="72"/>
      <c r="Q9" s="72" t="str">
        <f t="shared" si="0"/>
        <v>Hedge funds</v>
      </c>
      <c r="R9" s="72">
        <f t="shared" si="1"/>
        <v>5.3242077804494761E-2</v>
      </c>
      <c r="S9" s="52">
        <f t="shared" si="2"/>
        <v>7.6553143136679949E-2</v>
      </c>
      <c r="T9" s="52">
        <f t="shared" si="3"/>
        <v>7.472148163932063E-2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0.13385338873223868</v>
      </c>
      <c r="C10" s="122">
        <v>7.9901168575425591E-2</v>
      </c>
      <c r="D10" s="123">
        <v>4.8885635885622641E-2</v>
      </c>
      <c r="E10" s="121">
        <v>0.12587527464878706</v>
      </c>
      <c r="F10" s="124">
        <v>0.21500261819748773</v>
      </c>
      <c r="G10" s="65">
        <v>-5.0961950717967337E-2</v>
      </c>
      <c r="H10" s="65">
        <v>1</v>
      </c>
      <c r="I10" s="65">
        <v>-0.80408512478390026</v>
      </c>
      <c r="J10" s="65">
        <v>1.0422957318897462E-2</v>
      </c>
      <c r="K10" s="65">
        <v>-0.25234916136417845</v>
      </c>
      <c r="L10" s="65">
        <v>-0.16611569055500267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4.8885635885622641E-2</v>
      </c>
      <c r="S10" s="52">
        <f t="shared" si="2"/>
        <v>8.4967752846616035E-2</v>
      </c>
      <c r="T10" s="52">
        <f t="shared" si="3"/>
        <v>8.1149229465249051E-2</v>
      </c>
      <c r="U10" s="52"/>
      <c r="V10" s="52"/>
      <c r="W10" s="52"/>
    </row>
    <row r="12" spans="1:23">
      <c r="A12" s="48" t="s">
        <v>68</v>
      </c>
      <c r="D12" s="394" t="s">
        <v>64</v>
      </c>
      <c r="E12" s="395"/>
      <c r="F12" s="396"/>
      <c r="G12" s="394" t="s">
        <v>65</v>
      </c>
      <c r="H12" s="395"/>
      <c r="I12" s="395"/>
      <c r="J12" s="395"/>
      <c r="K12" s="395"/>
      <c r="L12" s="395"/>
      <c r="M12" s="395"/>
      <c r="N12" s="396"/>
      <c r="T12" s="48"/>
      <c r="U12" s="48"/>
    </row>
    <row r="13" spans="1:23">
      <c r="A13" s="265" t="str">
        <f>'Samenvatting mixen'!A14</f>
        <v>Base Case</v>
      </c>
      <c r="B13" s="266" t="s">
        <v>1</v>
      </c>
      <c r="C13" s="267" t="s">
        <v>2</v>
      </c>
      <c r="D13" s="268">
        <v>0.25</v>
      </c>
      <c r="E13" s="269">
        <v>0.5</v>
      </c>
      <c r="F13" s="270">
        <v>0.75</v>
      </c>
      <c r="G13" s="271">
        <v>0.55435487872119016</v>
      </c>
      <c r="H13" s="271">
        <v>0.2556403920414001</v>
      </c>
      <c r="I13" s="271">
        <v>9.1579107704287899E-2</v>
      </c>
      <c r="J13" s="271">
        <v>7.7783545844687274E-2</v>
      </c>
      <c r="K13" s="271">
        <v>2.0013487501554073E-2</v>
      </c>
      <c r="L13" s="271">
        <v>6.2858818688016349E-4</v>
      </c>
      <c r="M13" s="271">
        <v>-2.2204460492503131E-16</v>
      </c>
      <c r="N13" s="271"/>
      <c r="O13" s="272"/>
      <c r="Q13" s="51" t="str">
        <f>A13</f>
        <v>Base Case</v>
      </c>
    </row>
    <row r="14" spans="1:23">
      <c r="A14" s="53" t="str">
        <f>A4</f>
        <v>High Yield</v>
      </c>
      <c r="B14" s="117">
        <v>6.1313073328965635E-2</v>
      </c>
      <c r="C14" s="118">
        <v>4.7756532082960372E-2</v>
      </c>
      <c r="D14" s="119">
        <v>1.5051131453038423E-2</v>
      </c>
      <c r="E14" s="117">
        <v>5.2278485756749829E-2</v>
      </c>
      <c r="F14" s="120">
        <v>0.10846972387704792</v>
      </c>
      <c r="G14" s="2">
        <v>-6.3147469285018004E-4</v>
      </c>
      <c r="H14" s="2">
        <v>-0.10460357884133448</v>
      </c>
      <c r="I14" s="2">
        <v>0.16416821248784708</v>
      </c>
      <c r="J14" s="2">
        <v>1</v>
      </c>
      <c r="K14" s="2">
        <v>-0.14177775324120315</v>
      </c>
      <c r="L14" s="2">
        <v>-0.15930737195419986</v>
      </c>
      <c r="M14" s="2">
        <v>0.99999999999985467</v>
      </c>
      <c r="N14" s="57"/>
      <c r="Q14" s="51" t="str">
        <f t="shared" ref="Q14:Q20" si="4">A14</f>
        <v>High Yield</v>
      </c>
      <c r="R14" s="72">
        <f>D14</f>
        <v>1.5051131453038423E-2</v>
      </c>
      <c r="S14" s="52">
        <f>B14-D14</f>
        <v>4.6261941875927214E-2</v>
      </c>
      <c r="T14" s="52">
        <f>F14-B14</f>
        <v>4.7156650548082289E-2</v>
      </c>
      <c r="U14" s="52"/>
    </row>
    <row r="15" spans="1:23">
      <c r="A15" s="59" t="str">
        <f t="shared" ref="A15:A20" si="5">A5</f>
        <v>Emerging market debt</v>
      </c>
      <c r="B15" s="117">
        <v>0.11402530977482059</v>
      </c>
      <c r="C15" s="118">
        <v>8.3732268845640209E-2</v>
      </c>
      <c r="D15" s="119">
        <v>3.1183097502944408E-2</v>
      </c>
      <c r="E15" s="117">
        <v>9.5868691949466844E-2</v>
      </c>
      <c r="F15" s="120">
        <v>0.19035479418924958</v>
      </c>
      <c r="G15" s="2">
        <v>-0.15403198986457023</v>
      </c>
      <c r="H15" s="2">
        <v>1</v>
      </c>
      <c r="I15" s="2">
        <v>-0.21143098078328348</v>
      </c>
      <c r="J15" s="2">
        <v>-0.10955596695568445</v>
      </c>
      <c r="K15" s="2">
        <v>-0.20522529974076845</v>
      </c>
      <c r="L15" s="2">
        <v>-0.16548125950714729</v>
      </c>
      <c r="M15" s="2">
        <v>0.9999999999998529</v>
      </c>
      <c r="N15" s="57"/>
      <c r="Q15" s="51" t="str">
        <f t="shared" si="4"/>
        <v>Emerging market debt</v>
      </c>
      <c r="R15" s="72">
        <f t="shared" ref="R15:R20" si="6">D15</f>
        <v>3.1183097502944408E-2</v>
      </c>
      <c r="S15" s="52">
        <f t="shared" ref="S15:S20" si="7">B15-D15</f>
        <v>8.2842212271876187E-2</v>
      </c>
      <c r="T15" s="52">
        <f t="shared" ref="T15:T20" si="8">F15-B15</f>
        <v>7.6329484414428994E-2</v>
      </c>
      <c r="U15" s="52"/>
    </row>
    <row r="16" spans="1:23">
      <c r="A16" s="59" t="str">
        <f t="shared" si="5"/>
        <v>Aandelen ontwikkeld</v>
      </c>
      <c r="B16" s="117">
        <v>3.5505452283988029E-3</v>
      </c>
      <c r="C16" s="118">
        <v>4.4039410212814911E-3</v>
      </c>
      <c r="D16" s="119">
        <v>1.8752707025431216E-4</v>
      </c>
      <c r="E16" s="117">
        <v>1.9528012231027493E-3</v>
      </c>
      <c r="F16" s="120">
        <v>7.0043544726929984E-3</v>
      </c>
      <c r="G16" s="2">
        <v>2.1353726085351172E-3</v>
      </c>
      <c r="H16" s="2">
        <v>-4.1639364786629036E-3</v>
      </c>
      <c r="I16" s="2">
        <v>-1.4452785438403837E-2</v>
      </c>
      <c r="J16" s="2">
        <v>-5.9086309041982213E-3</v>
      </c>
      <c r="K16" s="2">
        <v>2.6256033396141773E-3</v>
      </c>
      <c r="L16" s="2">
        <v>1</v>
      </c>
      <c r="M16" s="2">
        <v>1</v>
      </c>
      <c r="N16" s="57"/>
      <c r="Q16" s="51" t="str">
        <f t="shared" si="4"/>
        <v>Aandelen ontwikkeld</v>
      </c>
      <c r="R16" s="72">
        <f t="shared" si="6"/>
        <v>1.8752707025431216E-4</v>
      </c>
      <c r="S16" s="52">
        <f t="shared" si="7"/>
        <v>3.3630181581444907E-3</v>
      </c>
      <c r="T16" s="52">
        <f t="shared" si="8"/>
        <v>3.4538092442941955E-3</v>
      </c>
      <c r="U16" s="52"/>
    </row>
    <row r="17" spans="1:24">
      <c r="A17" s="59" t="str">
        <f t="shared" si="5"/>
        <v>Aandelen opkomend</v>
      </c>
      <c r="B17" s="117">
        <v>0.33174023281608628</v>
      </c>
      <c r="C17" s="118">
        <v>0.1088843189738385</v>
      </c>
      <c r="D17" s="119">
        <v>0.22668857932684336</v>
      </c>
      <c r="E17" s="117">
        <v>0.3283940617713591</v>
      </c>
      <c r="F17" s="120">
        <v>0.43851062509254735</v>
      </c>
      <c r="G17" s="2">
        <v>1</v>
      </c>
      <c r="H17" s="2">
        <v>-0.27451514867723781</v>
      </c>
      <c r="I17" s="2">
        <v>-0.40827013504851756</v>
      </c>
      <c r="J17" s="2">
        <v>-0.21539139568210083</v>
      </c>
      <c r="K17" s="2">
        <v>-0.26211767155809218</v>
      </c>
      <c r="L17" s="2">
        <v>-0.17450321156701998</v>
      </c>
      <c r="M17" s="2">
        <v>0.99999999999985079</v>
      </c>
      <c r="N17" s="57"/>
      <c r="Q17" s="51" t="str">
        <f t="shared" si="4"/>
        <v>Aandelen opkomend</v>
      </c>
      <c r="R17" s="72">
        <f t="shared" si="6"/>
        <v>0.22668857932684336</v>
      </c>
      <c r="S17" s="52">
        <f t="shared" si="7"/>
        <v>0.10505165348924292</v>
      </c>
      <c r="T17" s="52">
        <f t="shared" si="8"/>
        <v>0.10677039227646107</v>
      </c>
      <c r="U17" s="52"/>
    </row>
    <row r="18" spans="1:24">
      <c r="A18" s="59" t="str">
        <f t="shared" si="5"/>
        <v>Commodities</v>
      </c>
      <c r="B18" s="117">
        <v>0.392310372891013</v>
      </c>
      <c r="C18" s="118">
        <v>0.10133791659082994</v>
      </c>
      <c r="D18" s="119">
        <v>0.29503502891400174</v>
      </c>
      <c r="E18" s="117">
        <v>0.38132975268154762</v>
      </c>
      <c r="F18" s="120">
        <v>0.48986522170883695</v>
      </c>
      <c r="G18" s="2">
        <v>-0.86470219515547764</v>
      </c>
      <c r="H18" s="2">
        <v>-0.4981692700058894</v>
      </c>
      <c r="I18" s="2">
        <v>-0.39225601453918157</v>
      </c>
      <c r="J18" s="2">
        <v>-0.2443758119910599</v>
      </c>
      <c r="K18" s="2">
        <v>-0.29029913700340354</v>
      </c>
      <c r="L18" s="2">
        <v>-0.17258815019163529</v>
      </c>
      <c r="M18" s="2">
        <v>0.99999999999985112</v>
      </c>
      <c r="N18" s="57"/>
      <c r="Q18" s="51" t="str">
        <f t="shared" si="4"/>
        <v>Commodities</v>
      </c>
      <c r="R18" s="72">
        <f t="shared" si="6"/>
        <v>0.29503502891400174</v>
      </c>
      <c r="S18" s="52">
        <f t="shared" si="7"/>
        <v>9.7275343977011264E-2</v>
      </c>
      <c r="T18" s="52">
        <f t="shared" si="8"/>
        <v>9.7554848817823947E-2</v>
      </c>
      <c r="U18" s="52"/>
    </row>
    <row r="19" spans="1:24">
      <c r="A19" s="59" t="str">
        <f t="shared" si="5"/>
        <v>Hedge funds</v>
      </c>
      <c r="B19" s="117">
        <v>6.7413297245188269E-2</v>
      </c>
      <c r="C19" s="118">
        <v>5.1192238253162325E-2</v>
      </c>
      <c r="D19" s="119">
        <v>1.8349271072378381E-2</v>
      </c>
      <c r="E19" s="117">
        <v>5.5226360347460986E-2</v>
      </c>
      <c r="F19" s="120">
        <v>0.12352095515494146</v>
      </c>
      <c r="G19" s="2">
        <v>3.43012297030846E-2</v>
      </c>
      <c r="H19" s="2">
        <v>-8.3738194926925205E-2</v>
      </c>
      <c r="I19" s="2">
        <v>1</v>
      </c>
      <c r="J19" s="2">
        <v>-0.37769729711393057</v>
      </c>
      <c r="K19" s="2">
        <v>-0.10320574179615156</v>
      </c>
      <c r="L19" s="2">
        <v>-0.15691058156697965</v>
      </c>
      <c r="M19" s="2">
        <v>0.99999999999985489</v>
      </c>
      <c r="N19" s="57"/>
      <c r="Q19" s="51" t="str">
        <f t="shared" si="4"/>
        <v>Hedge funds</v>
      </c>
      <c r="R19" s="72">
        <f t="shared" si="6"/>
        <v>1.8349271072378381E-2</v>
      </c>
      <c r="S19" s="52">
        <f t="shared" si="7"/>
        <v>4.9064026172809888E-2</v>
      </c>
      <c r="T19" s="52">
        <f t="shared" si="8"/>
        <v>5.6107657909753195E-2</v>
      </c>
      <c r="U19" s="52"/>
    </row>
    <row r="20" spans="1:24">
      <c r="A20" s="60" t="str">
        <f t="shared" si="5"/>
        <v>Onroerend goed</v>
      </c>
      <c r="B20" s="121">
        <v>2.9647168715527007E-2</v>
      </c>
      <c r="C20" s="122">
        <v>2.5007540054351254E-2</v>
      </c>
      <c r="D20" s="123">
        <v>6.5821530269531909E-3</v>
      </c>
      <c r="E20" s="121">
        <v>2.4324796364107976E-2</v>
      </c>
      <c r="F20" s="124">
        <v>5.1733436438790595E-2</v>
      </c>
      <c r="G20" s="65">
        <v>-1.7070942598721155E-2</v>
      </c>
      <c r="H20" s="65">
        <v>-3.4809871069951009E-2</v>
      </c>
      <c r="I20" s="65">
        <v>-0.1377582966784619</v>
      </c>
      <c r="J20" s="65">
        <v>-4.7070897353027372E-2</v>
      </c>
      <c r="K20" s="65">
        <v>1</v>
      </c>
      <c r="L20" s="65">
        <v>-0.17120942521316332</v>
      </c>
      <c r="M20" s="65">
        <v>0.99999999999985612</v>
      </c>
      <c r="N20" s="66"/>
      <c r="Q20" s="51" t="str">
        <f t="shared" si="4"/>
        <v>Onroerend goed</v>
      </c>
      <c r="R20" s="72">
        <f t="shared" si="6"/>
        <v>6.5821530269531909E-3</v>
      </c>
      <c r="S20" s="52">
        <f t="shared" si="7"/>
        <v>2.3065015688573817E-2</v>
      </c>
      <c r="T20" s="52">
        <f t="shared" si="8"/>
        <v>2.2086267723263588E-2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4" t="s">
        <v>64</v>
      </c>
      <c r="E22" s="395"/>
      <c r="F22" s="396"/>
      <c r="G22" s="394" t="s">
        <v>65</v>
      </c>
      <c r="H22" s="395"/>
      <c r="I22" s="395"/>
      <c r="J22" s="395"/>
      <c r="K22" s="395"/>
      <c r="L22" s="395"/>
      <c r="M22" s="395"/>
      <c r="N22" s="396"/>
      <c r="O22" s="67"/>
    </row>
    <row r="23" spans="1:24">
      <c r="A23" s="265" t="str">
        <f>'Samenvatting mixen'!A25</f>
        <v>Base - muddle down</v>
      </c>
      <c r="B23" s="266" t="s">
        <v>67</v>
      </c>
      <c r="C23" s="267" t="s">
        <v>2</v>
      </c>
      <c r="D23" s="268">
        <v>0.25</v>
      </c>
      <c r="E23" s="269">
        <v>0.5</v>
      </c>
      <c r="F23" s="270">
        <v>0.75</v>
      </c>
      <c r="G23" s="271">
        <v>0.95413211793502772</v>
      </c>
      <c r="H23" s="271">
        <v>2.1657954124164824E-2</v>
      </c>
      <c r="I23" s="271">
        <v>1.2160079667034251E-2</v>
      </c>
      <c r="J23" s="271">
        <v>7.5179743713940095E-3</v>
      </c>
      <c r="K23" s="271">
        <v>4.364430839486455E-3</v>
      </c>
      <c r="L23" s="271">
        <v>1.674430628946233E-4</v>
      </c>
      <c r="M23" s="271">
        <v>0</v>
      </c>
      <c r="N23" s="271"/>
      <c r="O23" s="272"/>
      <c r="Q23" s="51" t="str">
        <f>A23</f>
        <v>Base - muddle down</v>
      </c>
    </row>
    <row r="24" spans="1:24">
      <c r="A24" s="59" t="str">
        <f>A4</f>
        <v>High Yield</v>
      </c>
      <c r="B24" s="117">
        <v>1.1426386326218941E-2</v>
      </c>
      <c r="C24" s="118">
        <v>1.1352332888480053E-2</v>
      </c>
      <c r="D24" s="119">
        <v>1.7737821713503903E-3</v>
      </c>
      <c r="E24" s="117">
        <v>8.1018037977977214E-3</v>
      </c>
      <c r="F24" s="120">
        <v>2.1395207411601988E-2</v>
      </c>
      <c r="G24" s="2">
        <v>-1.6223443368821502E-2</v>
      </c>
      <c r="H24" s="2">
        <v>-0.25627410985555982</v>
      </c>
      <c r="I24" s="2">
        <v>-2.7777736725151766E-2</v>
      </c>
      <c r="J24" s="2">
        <v>1</v>
      </c>
      <c r="K24" s="2">
        <v>-0.23424994914785197</v>
      </c>
      <c r="L24" s="2">
        <v>-0.16865458389530516</v>
      </c>
      <c r="M24" s="2">
        <v>0.99999999999996958</v>
      </c>
      <c r="N24" s="57"/>
      <c r="O24" s="67"/>
      <c r="Q24" s="51" t="str">
        <f t="shared" ref="Q24:Q30" si="9">A24</f>
        <v>High Yield</v>
      </c>
      <c r="R24" s="72">
        <f>D24</f>
        <v>1.7737821713503903E-3</v>
      </c>
      <c r="S24" s="52">
        <f>B24-D24</f>
        <v>9.6526041548685507E-3</v>
      </c>
      <c r="T24" s="52">
        <f>F24-B24</f>
        <v>9.9688210853830471E-3</v>
      </c>
      <c r="U24" s="52"/>
    </row>
    <row r="25" spans="1:24">
      <c r="A25" s="59" t="str">
        <f t="shared" ref="A25:A30" si="10">A5</f>
        <v>Emerging market debt</v>
      </c>
      <c r="B25" s="117">
        <v>0.14649362859426626</v>
      </c>
      <c r="C25" s="118">
        <v>0.10082356368133097</v>
      </c>
      <c r="D25" s="119">
        <v>4.4217877453302239E-2</v>
      </c>
      <c r="E25" s="117">
        <v>0.12972302811095032</v>
      </c>
      <c r="F25" s="120">
        <v>0.2497132605312799</v>
      </c>
      <c r="G25" s="2">
        <v>1</v>
      </c>
      <c r="H25" s="2">
        <v>0.89419709367180511</v>
      </c>
      <c r="I25" s="2">
        <v>-9.5629795203876933E-2</v>
      </c>
      <c r="J25" s="2">
        <v>-0.15296970139322721</v>
      </c>
      <c r="K25" s="2">
        <v>-0.15303875603532358</v>
      </c>
      <c r="L25" s="2">
        <v>-0.1694009705796386</v>
      </c>
      <c r="M25" s="2">
        <v>0.99999999999996869</v>
      </c>
      <c r="N25" s="57"/>
      <c r="O25" s="67"/>
      <c r="Q25" s="51" t="str">
        <f t="shared" si="9"/>
        <v>Emerging market debt</v>
      </c>
      <c r="R25" s="72">
        <f t="shared" ref="R25:R30" si="11">D25</f>
        <v>4.4217877453302239E-2</v>
      </c>
      <c r="S25" s="52">
        <f t="shared" ref="S25:S30" si="12">B25-D25</f>
        <v>0.10227575114096402</v>
      </c>
      <c r="T25" s="52">
        <f t="shared" ref="T25:T30" si="13">F25-B25</f>
        <v>0.10321963193701364</v>
      </c>
      <c r="U25" s="52"/>
      <c r="X25" s="51"/>
    </row>
    <row r="26" spans="1:24">
      <c r="A26" s="59" t="str">
        <f t="shared" si="10"/>
        <v>Aandelen ontwikkeld</v>
      </c>
      <c r="B26" s="117">
        <v>1.0730174825819474E-3</v>
      </c>
      <c r="C26" s="118">
        <v>1.6976949562329956E-3</v>
      </c>
      <c r="D26" s="119">
        <v>1.4257318433065632E-5</v>
      </c>
      <c r="E26" s="117">
        <v>3.580949444686193E-4</v>
      </c>
      <c r="F26" s="120">
        <v>2.0150224021000863E-3</v>
      </c>
      <c r="G26" s="2">
        <v>-2.0056960586059209E-3</v>
      </c>
      <c r="H26" s="2">
        <v>7.9291739925866356E-3</v>
      </c>
      <c r="I26" s="2">
        <v>3.7808089303625427E-3</v>
      </c>
      <c r="J26" s="2">
        <v>3.1999650641425441E-4</v>
      </c>
      <c r="K26" s="2">
        <v>-1.0925367372924466E-2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1.4257318433065632E-5</v>
      </c>
      <c r="S26" s="52">
        <f t="shared" si="12"/>
        <v>1.0587601641488817E-3</v>
      </c>
      <c r="T26" s="52">
        <f t="shared" si="13"/>
        <v>9.4200491951813891E-4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1.4232711458106383E-2</v>
      </c>
      <c r="C27" s="118">
        <v>1.4461231097675747E-2</v>
      </c>
      <c r="D27" s="119">
        <v>1.3146456088787863E-3</v>
      </c>
      <c r="E27" s="117">
        <v>9.3257185097153951E-3</v>
      </c>
      <c r="F27" s="120">
        <v>2.7920193775300688E-2</v>
      </c>
      <c r="G27" s="2">
        <v>-1.9612577433184845E-2</v>
      </c>
      <c r="H27" s="2">
        <v>-0.60215317265399382</v>
      </c>
      <c r="I27" s="2">
        <v>1</v>
      </c>
      <c r="J27" s="2">
        <v>-0.3255133726630553</v>
      </c>
      <c r="K27" s="2">
        <v>-0.25048169579181329</v>
      </c>
      <c r="L27" s="2">
        <v>-0.17008019757080731</v>
      </c>
      <c r="M27" s="2">
        <v>0.99999999999996703</v>
      </c>
      <c r="N27" s="57"/>
      <c r="O27" s="67"/>
      <c r="P27" s="72"/>
      <c r="Q27" s="51" t="str">
        <f t="shared" si="9"/>
        <v>Aandelen opkomend</v>
      </c>
      <c r="R27" s="72">
        <f t="shared" si="11"/>
        <v>1.3146456088787863E-3</v>
      </c>
      <c r="S27" s="52">
        <f t="shared" si="12"/>
        <v>1.2918065849227597E-2</v>
      </c>
      <c r="T27" s="52">
        <f t="shared" si="13"/>
        <v>1.3687482317194305E-2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0.8036126162601076</v>
      </c>
      <c r="C28" s="118">
        <v>9.4057257073509495E-2</v>
      </c>
      <c r="D28" s="119">
        <v>0.71017013099172288</v>
      </c>
      <c r="E28" s="117">
        <v>0.81779869743702172</v>
      </c>
      <c r="F28" s="120">
        <v>0.89688011379932486</v>
      </c>
      <c r="G28" s="2">
        <v>-0.93059632036443796</v>
      </c>
      <c r="H28" s="2">
        <v>1</v>
      </c>
      <c r="I28" s="2">
        <v>-0.10583695676503162</v>
      </c>
      <c r="J28" s="2">
        <v>-0.1668801231686998</v>
      </c>
      <c r="K28" s="2">
        <v>-0.16294238256643412</v>
      </c>
      <c r="L28" s="2">
        <v>-0.17220672970088277</v>
      </c>
      <c r="M28" s="2">
        <v>0.99999999999996869</v>
      </c>
      <c r="N28" s="57"/>
      <c r="O28" s="67"/>
      <c r="P28" s="72"/>
      <c r="Q28" s="51" t="str">
        <f t="shared" si="9"/>
        <v>Commodities</v>
      </c>
      <c r="R28" s="72">
        <f t="shared" si="11"/>
        <v>0.71017013099172288</v>
      </c>
      <c r="S28" s="52">
        <f t="shared" si="12"/>
        <v>9.3442485268384723E-2</v>
      </c>
      <c r="T28" s="52">
        <f t="shared" si="13"/>
        <v>9.3267497539217259E-2</v>
      </c>
      <c r="U28" s="52"/>
      <c r="V28" s="52"/>
      <c r="W28" s="52"/>
    </row>
    <row r="29" spans="1:24">
      <c r="A29" s="59" t="str">
        <f t="shared" si="10"/>
        <v>Hedge funds</v>
      </c>
      <c r="B29" s="117">
        <v>1.5008973338531288E-2</v>
      </c>
      <c r="C29" s="118">
        <v>1.5583455108298038E-2</v>
      </c>
      <c r="D29" s="119">
        <v>2.3206513745747197E-3</v>
      </c>
      <c r="E29" s="117">
        <v>1.0403671612537125E-2</v>
      </c>
      <c r="F29" s="120">
        <v>2.6924658187935553E-2</v>
      </c>
      <c r="G29" s="2">
        <v>-2.0391341051918595E-2</v>
      </c>
      <c r="H29" s="2">
        <v>-0.9531728602556554</v>
      </c>
      <c r="I29" s="2">
        <v>-0.83027909327593252</v>
      </c>
      <c r="J29" s="2">
        <v>-0.38462440172443979</v>
      </c>
      <c r="K29" s="2">
        <v>-0.18836184908565454</v>
      </c>
      <c r="L29" s="2">
        <v>-0.16366134029519241</v>
      </c>
      <c r="M29" s="2">
        <v>0.99999999999996803</v>
      </c>
      <c r="N29" s="57"/>
      <c r="O29" s="67"/>
      <c r="P29" s="72"/>
      <c r="Q29" s="51" t="str">
        <f t="shared" si="9"/>
        <v>Hedge funds</v>
      </c>
      <c r="R29" s="72">
        <f t="shared" si="11"/>
        <v>2.3206513745747197E-3</v>
      </c>
      <c r="S29" s="52">
        <f t="shared" si="12"/>
        <v>1.2688321963956568E-2</v>
      </c>
      <c r="T29" s="52">
        <f t="shared" si="13"/>
        <v>1.1915684849404265E-2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8.152666540186369E-3</v>
      </c>
      <c r="C30" s="122">
        <v>8.6208001158450762E-3</v>
      </c>
      <c r="D30" s="123">
        <v>6.7908709846579865E-4</v>
      </c>
      <c r="E30" s="121">
        <v>5.2695618535097966E-3</v>
      </c>
      <c r="F30" s="124">
        <v>1.5556194089707076E-2</v>
      </c>
      <c r="G30" s="65">
        <v>-1.117062172303078E-2</v>
      </c>
      <c r="H30" s="65">
        <v>-9.0526124899184365E-2</v>
      </c>
      <c r="I30" s="65">
        <v>5.5742773039630968E-2</v>
      </c>
      <c r="J30" s="65">
        <v>2.9667602443006261E-2</v>
      </c>
      <c r="K30" s="65">
        <v>1</v>
      </c>
      <c r="L30" s="65">
        <v>-0.1559961779582045</v>
      </c>
      <c r="M30" s="65">
        <v>0.99999999999997069</v>
      </c>
      <c r="N30" s="66"/>
      <c r="O30" s="67"/>
      <c r="P30" s="72"/>
      <c r="Q30" s="51" t="str">
        <f t="shared" si="9"/>
        <v>Onroerend goed</v>
      </c>
      <c r="R30" s="72">
        <f t="shared" si="11"/>
        <v>6.7908709846579865E-4</v>
      </c>
      <c r="S30" s="52">
        <f t="shared" si="12"/>
        <v>7.47357944172057E-3</v>
      </c>
      <c r="T30" s="52">
        <f t="shared" si="13"/>
        <v>7.4035275495207067E-3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4" t="s">
        <v>64</v>
      </c>
      <c r="E32" s="395"/>
      <c r="F32" s="396"/>
      <c r="G32" s="394" t="s">
        <v>65</v>
      </c>
      <c r="H32" s="395"/>
      <c r="I32" s="395"/>
      <c r="J32" s="395"/>
      <c r="K32" s="395"/>
      <c r="L32" s="395"/>
      <c r="M32" s="395"/>
      <c r="N32" s="396"/>
      <c r="O32" s="67"/>
    </row>
    <row r="33" spans="1:24">
      <c r="A33" s="265" t="str">
        <f>'Samenvatting mixen'!A36</f>
        <v>Base - muddle up</v>
      </c>
      <c r="B33" s="266" t="s">
        <v>67</v>
      </c>
      <c r="C33" s="267" t="s">
        <v>2</v>
      </c>
      <c r="D33" s="268">
        <v>0.25</v>
      </c>
      <c r="E33" s="269">
        <v>0.5</v>
      </c>
      <c r="F33" s="270">
        <v>0.75</v>
      </c>
      <c r="G33" s="271">
        <v>0.49200243552634448</v>
      </c>
      <c r="H33" s="271">
        <v>0.38587999400452933</v>
      </c>
      <c r="I33" s="271">
        <v>5.832509490267912E-2</v>
      </c>
      <c r="J33" s="271">
        <v>4.1763670540257314E-2</v>
      </c>
      <c r="K33" s="271">
        <v>1.9416505126603867E-2</v>
      </c>
      <c r="L33" s="271">
        <v>2.6122998995908864E-3</v>
      </c>
      <c r="M33" s="271">
        <v>0</v>
      </c>
      <c r="N33" s="271"/>
      <c r="O33" s="272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5.7114335377471973E-2</v>
      </c>
      <c r="C34" s="118">
        <v>4.5183766360311434E-2</v>
      </c>
      <c r="D34" s="119">
        <v>1.4351160602642372E-2</v>
      </c>
      <c r="E34" s="117">
        <v>4.5843624940281852E-2</v>
      </c>
      <c r="F34" s="120">
        <v>0.10323257609348091</v>
      </c>
      <c r="G34" s="2">
        <v>2.9319768418596452E-2</v>
      </c>
      <c r="H34" s="2">
        <v>8.9842962817557312E-2</v>
      </c>
      <c r="I34" s="2">
        <v>1</v>
      </c>
      <c r="J34" s="2">
        <v>-0.1153202309848137</v>
      </c>
      <c r="K34" s="2">
        <v>-0.12941948964645564</v>
      </c>
      <c r="L34" s="2">
        <v>-0.15223622387741886</v>
      </c>
      <c r="M34" s="2">
        <v>0.99999999999999967</v>
      </c>
      <c r="N34" s="57"/>
      <c r="O34" s="67"/>
      <c r="Q34" s="51" t="str">
        <f t="shared" ref="Q34:Q40" si="15">A34</f>
        <v>High Yield</v>
      </c>
      <c r="R34" s="72">
        <f>D34</f>
        <v>1.4351160602642372E-2</v>
      </c>
      <c r="S34" s="52">
        <f>B34-D34</f>
        <v>4.2763174774829604E-2</v>
      </c>
      <c r="T34" s="52">
        <f>F34-B34</f>
        <v>4.6118240716008937E-2</v>
      </c>
      <c r="U34" s="52"/>
    </row>
    <row r="35" spans="1:24">
      <c r="A35" s="59" t="str">
        <f t="shared" si="14"/>
        <v>Emerging market debt</v>
      </c>
      <c r="B35" s="117">
        <v>3.3417503801806414E-2</v>
      </c>
      <c r="C35" s="118">
        <v>2.651022551156703E-2</v>
      </c>
      <c r="D35" s="119">
        <v>6.9316744385283114E-3</v>
      </c>
      <c r="E35" s="117">
        <v>2.7287600074096731E-2</v>
      </c>
      <c r="F35" s="120">
        <v>6.1494517578756895E-2</v>
      </c>
      <c r="G35" s="2">
        <v>2.0804105368989061E-2</v>
      </c>
      <c r="H35" s="2">
        <v>4.5360892770133616E-2</v>
      </c>
      <c r="I35" s="2">
        <v>-7.8378910640520452E-2</v>
      </c>
      <c r="J35" s="2">
        <v>-6.8608490219187829E-2</v>
      </c>
      <c r="K35" s="2">
        <v>1</v>
      </c>
      <c r="L35" s="2">
        <v>-0.14637683714567984</v>
      </c>
      <c r="M35" s="2">
        <v>0.99999999999999689</v>
      </c>
      <c r="N35" s="57"/>
      <c r="O35" s="67"/>
      <c r="Q35" s="51" t="str">
        <f t="shared" si="15"/>
        <v>Emerging market debt</v>
      </c>
      <c r="R35" s="72">
        <f t="shared" ref="R35:R40" si="16">D35</f>
        <v>6.9316744385283114E-3</v>
      </c>
      <c r="S35" s="52">
        <f t="shared" ref="S35:S40" si="17">B35-D35</f>
        <v>2.6485829363278104E-2</v>
      </c>
      <c r="T35" s="52">
        <f t="shared" ref="T35:T40" si="18">F35-B35</f>
        <v>2.8077013776950481E-2</v>
      </c>
      <c r="U35" s="52"/>
    </row>
    <row r="36" spans="1:24">
      <c r="A36" s="59" t="str">
        <f t="shared" si="14"/>
        <v>Aandelen ontwikkeld</v>
      </c>
      <c r="B36" s="117">
        <v>9.336949250454276E-3</v>
      </c>
      <c r="C36" s="118">
        <v>9.7828159715610645E-3</v>
      </c>
      <c r="D36" s="119">
        <v>7.7834241840004357E-4</v>
      </c>
      <c r="E36" s="117">
        <v>6.6088445303553707E-3</v>
      </c>
      <c r="F36" s="120">
        <v>1.8159498173175241E-2</v>
      </c>
      <c r="G36" s="2">
        <v>6.4092456652562425E-3</v>
      </c>
      <c r="H36" s="2">
        <v>1.6917102845771168E-2</v>
      </c>
      <c r="I36" s="2">
        <v>-1.9313661465686565E-2</v>
      </c>
      <c r="J36" s="2">
        <v>2.3794623421064223E-3</v>
      </c>
      <c r="K36" s="2">
        <v>-2.3012766052913379E-2</v>
      </c>
      <c r="L36" s="2">
        <v>1</v>
      </c>
      <c r="M36" s="2">
        <v>0.99999999999999301</v>
      </c>
      <c r="N36" s="57"/>
      <c r="O36" s="67"/>
      <c r="Q36" s="51" t="str">
        <f t="shared" si="15"/>
        <v>Aandelen ontwikkeld</v>
      </c>
      <c r="R36" s="72">
        <f t="shared" si="16"/>
        <v>7.7834241840004357E-4</v>
      </c>
      <c r="S36" s="52">
        <f t="shared" si="17"/>
        <v>8.5586068320542327E-3</v>
      </c>
      <c r="T36" s="52">
        <f t="shared" si="18"/>
        <v>8.8225489227209651E-3</v>
      </c>
      <c r="U36" s="52"/>
    </row>
    <row r="37" spans="1:24">
      <c r="A37" s="59" t="str">
        <f t="shared" si="14"/>
        <v>Aandelen opkomend</v>
      </c>
      <c r="B37" s="117">
        <v>0.27079951655339096</v>
      </c>
      <c r="C37" s="118">
        <v>0.11475770436270309</v>
      </c>
      <c r="D37" s="119">
        <v>0.15088378734912558</v>
      </c>
      <c r="E37" s="117">
        <v>0.27411741701959891</v>
      </c>
      <c r="F37" s="120">
        <v>0.38478421876487151</v>
      </c>
      <c r="G37" s="2">
        <v>1</v>
      </c>
      <c r="H37" s="2">
        <v>-0.23821938725925743</v>
      </c>
      <c r="I37" s="2">
        <v>-0.28238106105899913</v>
      </c>
      <c r="J37" s="2">
        <v>-0.30002787916570811</v>
      </c>
      <c r="K37" s="2">
        <v>-0.24996087926707269</v>
      </c>
      <c r="L37" s="2">
        <v>-0.17919743098009583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0.15088378734912558</v>
      </c>
      <c r="S37" s="52">
        <f t="shared" si="17"/>
        <v>0.11991572920426538</v>
      </c>
      <c r="T37" s="52">
        <f t="shared" si="18"/>
        <v>0.11398470221148055</v>
      </c>
      <c r="U37" s="52"/>
      <c r="X37" s="51"/>
    </row>
    <row r="38" spans="1:24">
      <c r="A38" s="59" t="str">
        <f t="shared" si="14"/>
        <v>Commodities</v>
      </c>
      <c r="B38" s="117">
        <v>0.40757616832780413</v>
      </c>
      <c r="C38" s="118">
        <v>0.10192591591531681</v>
      </c>
      <c r="D38" s="119">
        <v>0.3051481096655016</v>
      </c>
      <c r="E38" s="117">
        <v>0.3992978569078427</v>
      </c>
      <c r="F38" s="120">
        <v>0.50915973727753527</v>
      </c>
      <c r="G38" s="2">
        <v>-0.4278096530089836</v>
      </c>
      <c r="H38" s="2">
        <v>1</v>
      </c>
      <c r="I38" s="2">
        <v>-0.32377449202034914</v>
      </c>
      <c r="J38" s="2">
        <v>-0.32558846885941323</v>
      </c>
      <c r="K38" s="2">
        <v>-0.26678047506774172</v>
      </c>
      <c r="L38" s="2">
        <v>-0.18561990165940512</v>
      </c>
      <c r="M38" s="2">
        <v>0.99999999999999944</v>
      </c>
      <c r="N38" s="57"/>
      <c r="O38" s="67"/>
      <c r="P38" s="72"/>
      <c r="Q38" s="51" t="str">
        <f t="shared" si="15"/>
        <v>Commodities</v>
      </c>
      <c r="R38" s="72">
        <f t="shared" si="16"/>
        <v>0.3051481096655016</v>
      </c>
      <c r="S38" s="52">
        <f t="shared" si="17"/>
        <v>0.10242805866230253</v>
      </c>
      <c r="T38" s="52">
        <f t="shared" si="18"/>
        <v>0.10158356894973114</v>
      </c>
      <c r="U38" s="52"/>
      <c r="V38" s="52"/>
      <c r="W38" s="52"/>
    </row>
    <row r="39" spans="1:24">
      <c r="A39" s="59" t="str">
        <f t="shared" si="14"/>
        <v>Hedge funds</v>
      </c>
      <c r="B39" s="117">
        <v>4.709785867330997E-2</v>
      </c>
      <c r="C39" s="118">
        <v>3.8418986207855998E-2</v>
      </c>
      <c r="D39" s="119">
        <v>1.0675149708938311E-2</v>
      </c>
      <c r="E39" s="117">
        <v>3.8296144761500145E-2</v>
      </c>
      <c r="F39" s="120">
        <v>8.169738140448593E-2</v>
      </c>
      <c r="G39" s="2">
        <v>3.713150091483667E-2</v>
      </c>
      <c r="H39" s="2">
        <v>7.655459717794226E-2</v>
      </c>
      <c r="I39" s="2">
        <v>-0.11506959510007982</v>
      </c>
      <c r="J39" s="2">
        <v>1</v>
      </c>
      <c r="K39" s="2">
        <v>-0.14412061155993966</v>
      </c>
      <c r="L39" s="2">
        <v>-0.17528015151898524</v>
      </c>
      <c r="M39" s="2">
        <v>0.99999999999999811</v>
      </c>
      <c r="N39" s="57"/>
      <c r="O39" s="67"/>
      <c r="P39" s="72"/>
      <c r="Q39" s="51" t="str">
        <f t="shared" si="15"/>
        <v>Hedge funds</v>
      </c>
      <c r="R39" s="72">
        <f t="shared" si="16"/>
        <v>1.0675149708938311E-2</v>
      </c>
      <c r="S39" s="52">
        <f t="shared" si="17"/>
        <v>3.6422708964371657E-2</v>
      </c>
      <c r="T39" s="52">
        <f t="shared" si="18"/>
        <v>3.4599522731175961E-2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0.17465766801576268</v>
      </c>
      <c r="C40" s="122">
        <v>0.11495276214193909</v>
      </c>
      <c r="D40" s="123">
        <v>5.7779924252374923E-2</v>
      </c>
      <c r="E40" s="121">
        <v>0.15135865660456016</v>
      </c>
      <c r="F40" s="124">
        <v>0.29944260131483447</v>
      </c>
      <c r="G40" s="65">
        <v>-0.66585496735869554</v>
      </c>
      <c r="H40" s="65">
        <v>-0.99045616835214645</v>
      </c>
      <c r="I40" s="65">
        <v>-0.18108227971436519</v>
      </c>
      <c r="J40" s="65">
        <v>-0.19283439311298275</v>
      </c>
      <c r="K40" s="65">
        <v>-0.18670577840587457</v>
      </c>
      <c r="L40" s="65">
        <v>-0.16128945481840889</v>
      </c>
      <c r="M40" s="65">
        <v>0.99999999999999944</v>
      </c>
      <c r="N40" s="66"/>
      <c r="O40" s="67"/>
      <c r="P40" s="72"/>
      <c r="Q40" s="51" t="str">
        <f t="shared" si="15"/>
        <v>Onroerend goed</v>
      </c>
      <c r="R40" s="72">
        <f t="shared" si="16"/>
        <v>5.7779924252374923E-2</v>
      </c>
      <c r="S40" s="52">
        <f t="shared" si="17"/>
        <v>0.11687774376338776</v>
      </c>
      <c r="T40" s="52">
        <f t="shared" si="18"/>
        <v>0.12478493329907178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4" t="s">
        <v>64</v>
      </c>
      <c r="E42" s="395"/>
      <c r="F42" s="396"/>
      <c r="G42" s="394" t="s">
        <v>65</v>
      </c>
      <c r="H42" s="395"/>
      <c r="I42" s="395"/>
      <c r="J42" s="395"/>
      <c r="K42" s="395"/>
      <c r="L42" s="395"/>
      <c r="M42" s="395"/>
      <c r="N42" s="396"/>
      <c r="O42" s="67"/>
      <c r="P42" s="72"/>
      <c r="Q42" s="72"/>
      <c r="R42" s="72"/>
      <c r="T42" s="52"/>
      <c r="U42" s="52"/>
      <c r="V42" s="52"/>
      <c r="W42" s="52"/>
    </row>
    <row r="43" spans="1:24">
      <c r="A43" s="265" t="str">
        <f>'Samenvatting mixen'!A47</f>
        <v>Bear case</v>
      </c>
      <c r="B43" s="266" t="s">
        <v>67</v>
      </c>
      <c r="C43" s="267" t="s">
        <v>2</v>
      </c>
      <c r="D43" s="268">
        <v>0.25</v>
      </c>
      <c r="E43" s="269">
        <v>0.5</v>
      </c>
      <c r="F43" s="270">
        <v>0.75</v>
      </c>
      <c r="G43" s="271">
        <v>0.33124516971352169</v>
      </c>
      <c r="H43" s="271">
        <v>0.19779566502054546</v>
      </c>
      <c r="I43" s="271">
        <v>0.14924602896340511</v>
      </c>
      <c r="J43" s="271">
        <v>0.12918243441108579</v>
      </c>
      <c r="K43" s="271">
        <v>0.11658621443540229</v>
      </c>
      <c r="L43" s="271">
        <v>7.5944487456041765E-2</v>
      </c>
      <c r="M43" s="271">
        <v>0</v>
      </c>
      <c r="N43" s="271"/>
      <c r="O43" s="272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0.12365537738083227</v>
      </c>
      <c r="C44" s="118">
        <v>0.18730778276984658</v>
      </c>
      <c r="D44" s="119">
        <v>2.2846957142900711E-4</v>
      </c>
      <c r="E44" s="117">
        <v>2.9854976225999426E-2</v>
      </c>
      <c r="F44" s="120">
        <v>0.27289083752199117</v>
      </c>
      <c r="G44" s="2">
        <v>-0.12452682171675437</v>
      </c>
      <c r="H44" s="2">
        <v>-0.34679837380877604</v>
      </c>
      <c r="I44" s="2">
        <v>-0.74644395791854934</v>
      </c>
      <c r="J44" s="2">
        <v>1</v>
      </c>
      <c r="K44" s="2">
        <v>-9.9712403709442371E-2</v>
      </c>
      <c r="L44" s="2">
        <v>-0.21927801305726785</v>
      </c>
      <c r="M44" s="2">
        <v>0.99999999999963396</v>
      </c>
      <c r="N44" s="57"/>
      <c r="O44" s="67"/>
      <c r="Q44" s="51" t="str">
        <f t="shared" ref="Q44:Q50" si="19">A44</f>
        <v>High Yield</v>
      </c>
      <c r="R44" s="72">
        <f>D44</f>
        <v>2.2846957142900711E-4</v>
      </c>
      <c r="S44" s="52">
        <f>B44-D44</f>
        <v>0.12342690780940326</v>
      </c>
      <c r="T44" s="52">
        <f>F44-B44</f>
        <v>0.1492354601411589</v>
      </c>
      <c r="U44" s="52"/>
    </row>
    <row r="45" spans="1:24">
      <c r="A45" s="59" t="str">
        <f t="shared" ref="A45:A50" si="20">A5</f>
        <v>Emerging market debt</v>
      </c>
      <c r="B45" s="117">
        <v>0.11007252721569132</v>
      </c>
      <c r="C45" s="118">
        <v>0.17763219151214624</v>
      </c>
      <c r="D45" s="119">
        <v>2.9766511254505554E-4</v>
      </c>
      <c r="E45" s="117">
        <v>2.8404576996609011E-2</v>
      </c>
      <c r="F45" s="120">
        <v>0.24361424146069072</v>
      </c>
      <c r="G45" s="2">
        <v>-0.13906658560031462</v>
      </c>
      <c r="H45" s="2">
        <v>-0.28623574790218309</v>
      </c>
      <c r="I45" s="2">
        <v>-8.5043163904395813E-2</v>
      </c>
      <c r="J45" s="2">
        <v>-0.97347515661833595</v>
      </c>
      <c r="K45" s="2">
        <v>-0.84844803117833234</v>
      </c>
      <c r="L45" s="2">
        <v>-0.16701142391746865</v>
      </c>
      <c r="M45" s="2">
        <v>0.99999999999962008</v>
      </c>
      <c r="N45" s="57"/>
      <c r="O45" s="67"/>
      <c r="Q45" s="51" t="str">
        <f t="shared" si="19"/>
        <v>Emerging market debt</v>
      </c>
      <c r="R45" s="72">
        <f t="shared" ref="R45:R50" si="21">D45</f>
        <v>2.9766511254505554E-4</v>
      </c>
      <c r="S45" s="52">
        <f t="shared" ref="S45:S50" si="22">B45-D45</f>
        <v>0.10977486210314626</v>
      </c>
      <c r="T45" s="52">
        <f t="shared" ref="T45:T50" si="23">F45-B45</f>
        <v>0.13354171424499939</v>
      </c>
      <c r="U45" s="52"/>
    </row>
    <row r="46" spans="1:24">
      <c r="A46" s="59" t="str">
        <f t="shared" si="20"/>
        <v>Aandelen ontwikkeld</v>
      </c>
      <c r="B46" s="117">
        <v>7.2371303063265349E-2</v>
      </c>
      <c r="C46" s="118">
        <v>0.13745812663533033</v>
      </c>
      <c r="D46" s="119">
        <v>1.7641177379754151E-5</v>
      </c>
      <c r="E46" s="117">
        <v>1.2588230905471934E-2</v>
      </c>
      <c r="F46" s="120">
        <v>0.12709377568857919</v>
      </c>
      <c r="G46" s="2">
        <v>-6.6070238325150854E-2</v>
      </c>
      <c r="H46" s="2">
        <v>-9.0271205782945549E-2</v>
      </c>
      <c r="I46" s="2">
        <v>-2.977162955190343E-2</v>
      </c>
      <c r="J46" s="2">
        <v>6.151424242564321E-3</v>
      </c>
      <c r="K46" s="2">
        <v>5.6163146239320956E-2</v>
      </c>
      <c r="L46" s="2">
        <v>1</v>
      </c>
      <c r="M46" s="2">
        <v>0.99999999999957168</v>
      </c>
      <c r="N46" s="57"/>
      <c r="O46" s="67"/>
      <c r="Q46" s="51" t="str">
        <f t="shared" si="19"/>
        <v>Aandelen ontwikkeld</v>
      </c>
      <c r="R46" s="72">
        <f t="shared" si="21"/>
        <v>1.7641177379754151E-5</v>
      </c>
      <c r="S46" s="52">
        <f t="shared" si="22"/>
        <v>7.2353661885885601E-2</v>
      </c>
      <c r="T46" s="52">
        <f t="shared" si="23"/>
        <v>5.4722472625313837E-2</v>
      </c>
      <c r="U46" s="52"/>
    </row>
    <row r="47" spans="1:24">
      <c r="A47" s="59" t="str">
        <f t="shared" si="20"/>
        <v>Aandelen opkomend</v>
      </c>
      <c r="B47" s="117">
        <v>0.12099883716825244</v>
      </c>
      <c r="C47" s="118">
        <v>0.19148239296486724</v>
      </c>
      <c r="D47" s="119">
        <v>2.2513688932031771E-4</v>
      </c>
      <c r="E47" s="117">
        <v>2.711359234834837E-2</v>
      </c>
      <c r="F47" s="120">
        <v>0.25498548041830321</v>
      </c>
      <c r="G47" s="2">
        <v>-0.15314294117647656</v>
      </c>
      <c r="H47" s="2">
        <v>-0.27824669449944611</v>
      </c>
      <c r="I47" s="2">
        <v>1</v>
      </c>
      <c r="J47" s="2">
        <v>0.5830451991346014</v>
      </c>
      <c r="K47" s="2">
        <v>-2.8487239024503831E-2</v>
      </c>
      <c r="L47" s="2">
        <v>-0.17851793390739326</v>
      </c>
      <c r="M47" s="2">
        <v>0.99999999999952094</v>
      </c>
      <c r="N47" s="57"/>
      <c r="O47" s="67"/>
      <c r="Q47" s="51" t="str">
        <f t="shared" si="19"/>
        <v>Aandelen opkomend</v>
      </c>
      <c r="R47" s="72">
        <f t="shared" si="21"/>
        <v>2.2513688932031771E-4</v>
      </c>
      <c r="S47" s="52">
        <f t="shared" si="22"/>
        <v>0.12077370027893213</v>
      </c>
      <c r="T47" s="52">
        <f t="shared" si="23"/>
        <v>0.13398664325005077</v>
      </c>
      <c r="U47" s="52"/>
    </row>
    <row r="48" spans="1:24">
      <c r="A48" s="59" t="str">
        <f t="shared" si="20"/>
        <v>Commodities</v>
      </c>
      <c r="B48" s="117">
        <v>0.10407710747448845</v>
      </c>
      <c r="C48" s="118">
        <v>0.17374835761937099</v>
      </c>
      <c r="D48" s="119">
        <v>1.2381149111968958E-4</v>
      </c>
      <c r="E48" s="117">
        <v>2.1359742558012054E-2</v>
      </c>
      <c r="F48" s="120">
        <v>0.20815223715044223</v>
      </c>
      <c r="G48" s="2">
        <v>-0.1428427220489952</v>
      </c>
      <c r="H48" s="2">
        <v>-0.21108012487754607</v>
      </c>
      <c r="I48" s="2">
        <v>-0.11861302635342109</v>
      </c>
      <c r="J48" s="2">
        <v>-0.7045127708346175</v>
      </c>
      <c r="K48" s="2">
        <v>1</v>
      </c>
      <c r="L48" s="2">
        <v>-0.23352749954614457</v>
      </c>
      <c r="M48" s="2">
        <v>1</v>
      </c>
      <c r="N48" s="57"/>
      <c r="O48" s="67"/>
      <c r="Q48" s="51" t="str">
        <f t="shared" si="19"/>
        <v>Commodities</v>
      </c>
      <c r="R48" s="72">
        <f t="shared" si="21"/>
        <v>1.2381149111968958E-4</v>
      </c>
      <c r="S48" s="52">
        <f t="shared" si="22"/>
        <v>0.10395329598336876</v>
      </c>
      <c r="T48" s="52">
        <f t="shared" si="23"/>
        <v>0.10407512967595378</v>
      </c>
      <c r="U48" s="52"/>
    </row>
    <row r="49" spans="1:27">
      <c r="A49" s="59" t="str">
        <f t="shared" si="20"/>
        <v>Hedge funds</v>
      </c>
      <c r="B49" s="117">
        <v>0.28513947503740072</v>
      </c>
      <c r="C49" s="118">
        <v>0.2802396859810885</v>
      </c>
      <c r="D49" s="119">
        <v>5.4908732932846451E-3</v>
      </c>
      <c r="E49" s="117">
        <v>0.19656840043111581</v>
      </c>
      <c r="F49" s="120">
        <v>0.59968904026408265</v>
      </c>
      <c r="G49" s="2">
        <v>1</v>
      </c>
      <c r="H49" s="2">
        <v>0.21263214687135648</v>
      </c>
      <c r="I49" s="2">
        <v>1.5948582179617046E-2</v>
      </c>
      <c r="J49" s="2">
        <v>8.3306265541573561E-3</v>
      </c>
      <c r="K49" s="2">
        <v>-1.3085085689231016E-2</v>
      </c>
      <c r="L49" s="2">
        <v>-8.7787935615242008E-2</v>
      </c>
      <c r="M49" s="2">
        <v>0.9999999999992456</v>
      </c>
      <c r="N49" s="57"/>
      <c r="O49" s="67"/>
      <c r="Q49" s="51" t="str">
        <f t="shared" si="19"/>
        <v>Hedge funds</v>
      </c>
      <c r="R49" s="72">
        <f t="shared" si="21"/>
        <v>5.4908732932846451E-3</v>
      </c>
      <c r="S49" s="52">
        <f t="shared" si="22"/>
        <v>0.2796486017441161</v>
      </c>
      <c r="T49" s="52">
        <f t="shared" si="23"/>
        <v>0.31454956522668193</v>
      </c>
      <c r="U49" s="52"/>
      <c r="X49" s="51"/>
    </row>
    <row r="50" spans="1:27">
      <c r="A50" s="60" t="str">
        <f t="shared" si="20"/>
        <v>Onroerend goed</v>
      </c>
      <c r="B50" s="121">
        <v>0.18368537265965393</v>
      </c>
      <c r="C50" s="122">
        <v>0.22749508151494285</v>
      </c>
      <c r="D50" s="123">
        <v>1.9267403697389375E-3</v>
      </c>
      <c r="E50" s="121">
        <v>7.5208601691340304E-2</v>
      </c>
      <c r="F50" s="124">
        <v>0.4352963813326447</v>
      </c>
      <c r="G50" s="65">
        <v>-0.37435069113201785</v>
      </c>
      <c r="H50" s="65">
        <v>1</v>
      </c>
      <c r="I50" s="65">
        <v>-3.6076804451199748E-2</v>
      </c>
      <c r="J50" s="65">
        <v>8.0460677521973029E-2</v>
      </c>
      <c r="K50" s="65">
        <v>-6.6430386638217043E-2</v>
      </c>
      <c r="L50" s="65">
        <v>-0.11387719395643048</v>
      </c>
      <c r="M50" s="65">
        <v>0.99999999999929312</v>
      </c>
      <c r="N50" s="66"/>
      <c r="O50" s="67"/>
      <c r="P50" s="72"/>
      <c r="Q50" s="51" t="str">
        <f t="shared" si="19"/>
        <v>Onroerend goed</v>
      </c>
      <c r="R50" s="72">
        <f t="shared" si="21"/>
        <v>1.9267403697389375E-3</v>
      </c>
      <c r="S50" s="52">
        <f t="shared" si="22"/>
        <v>0.18175863228991498</v>
      </c>
      <c r="T50" s="52">
        <f t="shared" si="23"/>
        <v>0.2516110086729908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4" t="s">
        <v>64</v>
      </c>
      <c r="E52" s="395"/>
      <c r="F52" s="396"/>
      <c r="G52" s="394" t="s">
        <v>65</v>
      </c>
      <c r="H52" s="395"/>
      <c r="I52" s="395"/>
      <c r="J52" s="395"/>
      <c r="K52" s="395"/>
      <c r="L52" s="395"/>
      <c r="M52" s="395"/>
      <c r="N52" s="396"/>
      <c r="O52" s="67"/>
      <c r="P52" s="72"/>
      <c r="Q52" s="72"/>
      <c r="R52" s="72"/>
      <c r="T52" s="52"/>
      <c r="U52" s="52"/>
      <c r="V52" s="52"/>
      <c r="W52" s="52"/>
    </row>
    <row r="53" spans="1:27">
      <c r="A53" s="265" t="str">
        <f>'Samenvatting mixen'!A58</f>
        <v>Tail risk</v>
      </c>
      <c r="B53" s="266" t="s">
        <v>67</v>
      </c>
      <c r="C53" s="267" t="s">
        <v>2</v>
      </c>
      <c r="D53" s="268">
        <v>0.25</v>
      </c>
      <c r="E53" s="269">
        <v>0.5</v>
      </c>
      <c r="F53" s="270">
        <v>0.75</v>
      </c>
      <c r="G53" s="271">
        <v>0.68807641316037615</v>
      </c>
      <c r="H53" s="271">
        <v>0.12330157772204897</v>
      </c>
      <c r="I53" s="271">
        <v>6.8743727230671348E-2</v>
      </c>
      <c r="J53" s="271">
        <v>4.8581522572586633E-2</v>
      </c>
      <c r="K53" s="271">
        <v>3.868099486851273E-2</v>
      </c>
      <c r="L53" s="271">
        <v>3.2615764445802276E-2</v>
      </c>
      <c r="M53" s="271">
        <v>0</v>
      </c>
      <c r="N53" s="271"/>
      <c r="O53" s="272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3.0209938216137558E-3</v>
      </c>
      <c r="C54" s="118">
        <v>5.5583887854248224E-3</v>
      </c>
      <c r="D54" s="119">
        <v>1.4778360964780867E-6</v>
      </c>
      <c r="E54" s="117">
        <v>3.3494586926144745E-4</v>
      </c>
      <c r="F54" s="120">
        <v>6.3396626613202983E-3</v>
      </c>
      <c r="G54" s="2">
        <v>-1.8186285405868832E-2</v>
      </c>
      <c r="H54" s="2">
        <v>-0.18234733076881152</v>
      </c>
      <c r="I54" s="2">
        <v>1.6380464645526114E-3</v>
      </c>
      <c r="J54" s="2">
        <v>0.41008328395731714</v>
      </c>
      <c r="K54" s="2">
        <v>1</v>
      </c>
      <c r="L54" s="2">
        <v>-0.52494717278021119</v>
      </c>
      <c r="M54" s="2">
        <v>0.99999999999999889</v>
      </c>
      <c r="N54" s="57"/>
      <c r="O54" s="67"/>
      <c r="P54" s="72"/>
      <c r="Q54" s="51" t="str">
        <f t="shared" ref="Q54:Q60" si="25">A54</f>
        <v>High Yield</v>
      </c>
      <c r="R54" s="72">
        <f>D54</f>
        <v>1.4778360964780867E-6</v>
      </c>
      <c r="S54" s="52">
        <f>B54-D54</f>
        <v>3.0195159855172776E-3</v>
      </c>
      <c r="T54" s="52">
        <f>F54-B54</f>
        <v>3.3186688397065425E-3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4.2692577081274077E-3</v>
      </c>
      <c r="C55" s="118">
        <v>7.8092069719914864E-3</v>
      </c>
      <c r="D55" s="119">
        <v>1.6157780663921289E-6</v>
      </c>
      <c r="E55" s="117">
        <v>5.7799084575116161E-4</v>
      </c>
      <c r="F55" s="120">
        <v>8.8831507319096538E-3</v>
      </c>
      <c r="G55" s="2">
        <v>-6.6005144625002912E-2</v>
      </c>
      <c r="H55" s="2">
        <v>-0.67406020034522895</v>
      </c>
      <c r="I55" s="2">
        <v>1</v>
      </c>
      <c r="J55" s="2">
        <v>-0.64786559565095991</v>
      </c>
      <c r="K55" s="2">
        <v>-0.13889674352186968</v>
      </c>
      <c r="L55" s="2">
        <v>3.199048122270845E-2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1.6157780663921289E-6</v>
      </c>
      <c r="S55" s="52">
        <f t="shared" ref="S55:S60" si="27">B55-D55</f>
        <v>4.2676419300610152E-3</v>
      </c>
      <c r="T55" s="52">
        <f t="shared" ref="T55:T60" si="28">F55-B55</f>
        <v>4.6138930237822461E-3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2.9826889521158066E-3</v>
      </c>
      <c r="C56" s="118">
        <v>5.9459882558483513E-3</v>
      </c>
      <c r="D56" s="119">
        <v>7.9051427479657942E-7</v>
      </c>
      <c r="E56" s="117">
        <v>2.9768799393653457E-4</v>
      </c>
      <c r="F56" s="120">
        <v>6.295371611951363E-3</v>
      </c>
      <c r="G56" s="2">
        <v>-9.585776766748863E-3</v>
      </c>
      <c r="H56" s="2">
        <v>-0.26447903547063856</v>
      </c>
      <c r="I56" s="2">
        <v>-4.9146395367639775E-2</v>
      </c>
      <c r="J56" s="2">
        <v>1</v>
      </c>
      <c r="K56" s="2">
        <v>-0.77553233576301439</v>
      </c>
      <c r="L56" s="2">
        <v>-0.37235628224292211</v>
      </c>
      <c r="M56" s="2">
        <v>0.99999999999999667</v>
      </c>
      <c r="N56" s="57"/>
      <c r="O56" s="67"/>
      <c r="Q56" s="51" t="str">
        <f t="shared" si="25"/>
        <v>Aandelen ontwikkeld</v>
      </c>
      <c r="R56" s="72">
        <f t="shared" si="26"/>
        <v>7.9051427479657942E-7</v>
      </c>
      <c r="S56" s="52">
        <f t="shared" si="27"/>
        <v>2.9818984378410102E-3</v>
      </c>
      <c r="T56" s="52">
        <f t="shared" si="28"/>
        <v>3.3126826598355564E-3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4.0980747467872771E-3</v>
      </c>
      <c r="C57" s="118">
        <v>7.4376429186461882E-3</v>
      </c>
      <c r="D57" s="119">
        <v>1.0705976297408037E-6</v>
      </c>
      <c r="E57" s="117">
        <v>6.0666708512391147E-4</v>
      </c>
      <c r="F57" s="120">
        <v>8.6040716119454679E-3</v>
      </c>
      <c r="G57" s="2">
        <v>-3.5067346301956154E-2</v>
      </c>
      <c r="H57" s="2">
        <v>-0.54333455722902113</v>
      </c>
      <c r="I57" s="2">
        <v>-0.98554199841772272</v>
      </c>
      <c r="J57" s="2">
        <v>-0.79374813652081855</v>
      </c>
      <c r="K57" s="2">
        <v>-0.13422888343461239</v>
      </c>
      <c r="L57" s="2">
        <v>-5.2928186498406408E-2</v>
      </c>
      <c r="M57" s="2">
        <v>0.99999999999999956</v>
      </c>
      <c r="N57" s="57"/>
      <c r="O57" s="67"/>
      <c r="Q57" s="51" t="str">
        <f t="shared" si="25"/>
        <v>Aandelen opkomend</v>
      </c>
      <c r="R57" s="72">
        <f t="shared" si="26"/>
        <v>1.0705976297408037E-6</v>
      </c>
      <c r="S57" s="52">
        <f t="shared" si="27"/>
        <v>4.0970041491575366E-3</v>
      </c>
      <c r="T57" s="52">
        <f t="shared" si="28"/>
        <v>4.5059968651581907E-3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2.6001985084110179E-3</v>
      </c>
      <c r="C58" s="118">
        <v>5.2947384366836088E-3</v>
      </c>
      <c r="D58" s="119">
        <v>4.3924224536310185E-7</v>
      </c>
      <c r="E58" s="117">
        <v>2.7808475279281067E-4</v>
      </c>
      <c r="F58" s="120">
        <v>5.231408112638428E-3</v>
      </c>
      <c r="G58" s="2">
        <v>-8.4580219260754676E-3</v>
      </c>
      <c r="H58" s="2">
        <v>-0.12799749585444697</v>
      </c>
      <c r="I58" s="2">
        <v>-9.6319800354125462E-2</v>
      </c>
      <c r="J58" s="2">
        <v>0.54534722743355335</v>
      </c>
      <c r="K58" s="2">
        <v>0.22624442501993625</v>
      </c>
      <c r="L58" s="2">
        <v>1</v>
      </c>
      <c r="M58" s="2">
        <v>0.99999999999999734</v>
      </c>
      <c r="N58" s="57"/>
      <c r="O58" s="67"/>
      <c r="Q58" s="51" t="str">
        <f t="shared" si="25"/>
        <v>Commodities</v>
      </c>
      <c r="R58" s="72">
        <f t="shared" si="26"/>
        <v>4.3924224536310185E-7</v>
      </c>
      <c r="S58" s="52">
        <f t="shared" si="27"/>
        <v>2.5997592661656547E-3</v>
      </c>
      <c r="T58" s="52">
        <f t="shared" si="28"/>
        <v>2.6312096042274101E-3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0.97161696542488196</v>
      </c>
      <c r="C59" s="118">
        <v>1.9711189703022328E-2</v>
      </c>
      <c r="D59" s="119">
        <v>0.95455137245515642</v>
      </c>
      <c r="E59" s="117">
        <v>0.97425928384292437</v>
      </c>
      <c r="F59" s="120">
        <v>0.99130855644443716</v>
      </c>
      <c r="G59" s="2">
        <v>1</v>
      </c>
      <c r="H59" s="2">
        <v>0.79221861966814688</v>
      </c>
      <c r="I59" s="2">
        <v>7.6124067205039267E-2</v>
      </c>
      <c r="J59" s="2">
        <v>-0.26424543333986839</v>
      </c>
      <c r="K59" s="2">
        <v>-8.2897279065562754E-2</v>
      </c>
      <c r="L59" s="2">
        <v>-4.0229720382983038E-2</v>
      </c>
      <c r="M59" s="2">
        <v>0.999999999999999</v>
      </c>
      <c r="N59" s="57"/>
      <c r="O59" s="67"/>
      <c r="Q59" s="51" t="str">
        <f t="shared" si="25"/>
        <v>Hedge funds</v>
      </c>
      <c r="R59" s="72">
        <f t="shared" si="26"/>
        <v>0.95455137245515642</v>
      </c>
      <c r="S59" s="52">
        <f t="shared" si="27"/>
        <v>1.706559296972554E-2</v>
      </c>
      <c r="T59" s="52">
        <f t="shared" si="28"/>
        <v>1.9691591019555199E-2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1.1411820838057925E-2</v>
      </c>
      <c r="C60" s="122">
        <v>1.770295349181597E-2</v>
      </c>
      <c r="D60" s="123">
        <v>1.5337167890518998E-5</v>
      </c>
      <c r="E60" s="121">
        <v>3.0809130701452956E-3</v>
      </c>
      <c r="F60" s="124">
        <v>2.5256049919475526E-2</v>
      </c>
      <c r="G60" s="65">
        <v>-0.86269742497434831</v>
      </c>
      <c r="H60" s="65">
        <v>1</v>
      </c>
      <c r="I60" s="65">
        <v>5.3246080469895221E-2</v>
      </c>
      <c r="J60" s="65">
        <v>-0.24957134587922009</v>
      </c>
      <c r="K60" s="65">
        <v>-9.4689183234877933E-2</v>
      </c>
      <c r="L60" s="65">
        <v>-4.1529119318184933E-2</v>
      </c>
      <c r="M60" s="65">
        <v>0.999999999999999</v>
      </c>
      <c r="N60" s="66"/>
      <c r="O60" s="67"/>
      <c r="Q60" s="51" t="str">
        <f t="shared" si="25"/>
        <v>Onroerend goed</v>
      </c>
      <c r="R60" s="72">
        <f t="shared" si="26"/>
        <v>1.5337167890518998E-5</v>
      </c>
      <c r="S60" s="52">
        <f t="shared" si="27"/>
        <v>1.1396483670167407E-2</v>
      </c>
      <c r="T60" s="52">
        <f t="shared" si="28"/>
        <v>1.3844229081417601E-2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4" t="s">
        <v>64</v>
      </c>
      <c r="E62" s="395"/>
      <c r="F62" s="396"/>
      <c r="G62" s="394" t="s">
        <v>65</v>
      </c>
      <c r="H62" s="395"/>
      <c r="I62" s="395"/>
      <c r="J62" s="395"/>
      <c r="K62" s="395"/>
      <c r="L62" s="395"/>
      <c r="M62" s="395"/>
      <c r="N62" s="396"/>
      <c r="O62" s="67"/>
      <c r="P62" s="72"/>
      <c r="Q62" s="72"/>
      <c r="R62" s="72"/>
      <c r="T62" s="52"/>
      <c r="U62" s="52"/>
      <c r="V62" s="52"/>
      <c r="W62" s="52"/>
    </row>
    <row r="63" spans="1:27">
      <c r="A63" s="265" t="str">
        <f>'Samenvatting mixen'!A69</f>
        <v>Bull case</v>
      </c>
      <c r="B63" s="266" t="s">
        <v>67</v>
      </c>
      <c r="C63" s="267" t="s">
        <v>2</v>
      </c>
      <c r="D63" s="268">
        <v>0.25</v>
      </c>
      <c r="E63" s="269">
        <v>0.5</v>
      </c>
      <c r="F63" s="270">
        <v>0.75</v>
      </c>
      <c r="G63" s="271">
        <v>0.53678828579559723</v>
      </c>
      <c r="H63" s="271">
        <v>0.29108597228972266</v>
      </c>
      <c r="I63" s="271">
        <v>0.14126031893697488</v>
      </c>
      <c r="J63" s="271">
        <v>2.3224466702523761E-2</v>
      </c>
      <c r="K63" s="271">
        <v>6.2630237770111563E-3</v>
      </c>
      <c r="L63" s="271">
        <v>1.3779324981620933E-3</v>
      </c>
      <c r="M63" s="271">
        <v>0</v>
      </c>
      <c r="N63" s="271"/>
      <c r="O63" s="272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0.13161092268695188</v>
      </c>
      <c r="C64" s="118">
        <v>0.11531073411348136</v>
      </c>
      <c r="D64" s="119">
        <v>1.7096823492285768E-2</v>
      </c>
      <c r="E64" s="117">
        <v>9.9780727426617838E-2</v>
      </c>
      <c r="F64" s="120">
        <v>0.25627789724064221</v>
      </c>
      <c r="G64" s="2">
        <v>-0.57845181244862232</v>
      </c>
      <c r="H64" s="2">
        <v>-0.90961878199744739</v>
      </c>
      <c r="I64" s="2">
        <v>-0.41883313234840286</v>
      </c>
      <c r="J64" s="2">
        <v>-0.16842968150776225</v>
      </c>
      <c r="K64" s="2">
        <v>-0.18644333441645317</v>
      </c>
      <c r="L64" s="2">
        <v>-0.16403329246658388</v>
      </c>
      <c r="M64" s="2">
        <v>0.99999999999998601</v>
      </c>
      <c r="N64" s="57"/>
      <c r="O64" s="67"/>
      <c r="Q64" s="51" t="str">
        <f t="shared" ref="Q64:Q70" si="32">A64</f>
        <v>High Yield</v>
      </c>
      <c r="R64" s="72">
        <f>D64</f>
        <v>1.7096823492285768E-2</v>
      </c>
      <c r="S64" s="52">
        <f>B64-D64</f>
        <v>0.11451409919466611</v>
      </c>
      <c r="T64" s="52">
        <f>F64-B64</f>
        <v>0.12466697455369033</v>
      </c>
      <c r="U64" s="52"/>
    </row>
    <row r="65" spans="1:24">
      <c r="A65" s="59" t="str">
        <f t="shared" si="31"/>
        <v>Emerging market debt</v>
      </c>
      <c r="B65" s="117">
        <v>2.8800992202423811E-2</v>
      </c>
      <c r="C65" s="118">
        <v>3.1881528519815641E-2</v>
      </c>
      <c r="D65" s="119">
        <v>2.261130683623705E-3</v>
      </c>
      <c r="E65" s="117">
        <v>1.8084040452702031E-2</v>
      </c>
      <c r="F65" s="120">
        <v>5.3703771232649668E-2</v>
      </c>
      <c r="G65" s="2">
        <v>3.6106568545855325E-2</v>
      </c>
      <c r="H65" s="2">
        <v>2.4037278670610056E-2</v>
      </c>
      <c r="I65" s="2">
        <v>0.1076697037166286</v>
      </c>
      <c r="J65" s="2">
        <v>1</v>
      </c>
      <c r="K65" s="2">
        <v>-0.16801165014710664</v>
      </c>
      <c r="L65" s="2">
        <v>-0.15709593871463659</v>
      </c>
      <c r="M65" s="2">
        <v>0.99999999999998601</v>
      </c>
      <c r="N65" s="57"/>
      <c r="O65" s="67"/>
      <c r="Q65" s="51" t="str">
        <f t="shared" si="32"/>
        <v>Emerging market debt</v>
      </c>
      <c r="R65" s="72">
        <f t="shared" ref="R65:R70" si="33">D65</f>
        <v>2.261130683623705E-3</v>
      </c>
      <c r="S65" s="52">
        <f t="shared" ref="S65:S70" si="34">B65-D65</f>
        <v>2.6539861518800105E-2</v>
      </c>
      <c r="T65" s="52">
        <f t="shared" ref="T65:T70" si="35">F65-B65</f>
        <v>2.4902779030225856E-2</v>
      </c>
      <c r="U65" s="52"/>
    </row>
    <row r="66" spans="1:24">
      <c r="A66" s="59" t="str">
        <f t="shared" si="31"/>
        <v>Aandelen ontwikkeld</v>
      </c>
      <c r="B66" s="117">
        <v>5.552768912614468E-3</v>
      </c>
      <c r="C66" s="118">
        <v>7.7042054166715484E-3</v>
      </c>
      <c r="D66" s="119">
        <v>1.076106841651515E-4</v>
      </c>
      <c r="E66" s="117">
        <v>2.1366994981889794E-3</v>
      </c>
      <c r="F66" s="120">
        <v>1.0996606717047976E-2</v>
      </c>
      <c r="G66" s="2">
        <v>2.1115216795970413E-3</v>
      </c>
      <c r="H66" s="2">
        <v>-8.5435463626888381E-4</v>
      </c>
      <c r="I66" s="2">
        <v>1.1219396418319982E-2</v>
      </c>
      <c r="J66" s="2">
        <v>-1.0999446450389543E-2</v>
      </c>
      <c r="K66" s="2">
        <v>1.6338039820565017E-3</v>
      </c>
      <c r="L66" s="2">
        <v>1</v>
      </c>
      <c r="M66" s="2">
        <v>1</v>
      </c>
      <c r="N66" s="57"/>
      <c r="O66" s="67"/>
      <c r="Q66" s="51" t="str">
        <f t="shared" si="32"/>
        <v>Aandelen ontwikkeld</v>
      </c>
      <c r="R66" s="72">
        <f t="shared" si="33"/>
        <v>1.076106841651515E-4</v>
      </c>
      <c r="S66" s="52">
        <f t="shared" si="34"/>
        <v>5.4451582284493162E-3</v>
      </c>
      <c r="T66" s="52">
        <f t="shared" si="35"/>
        <v>5.4438378044335076E-3</v>
      </c>
      <c r="U66" s="52"/>
    </row>
    <row r="67" spans="1:24">
      <c r="A67" s="59" t="str">
        <f t="shared" si="31"/>
        <v>Aandelen opkomend</v>
      </c>
      <c r="B67" s="117">
        <v>1.2792483929367498E-2</v>
      </c>
      <c r="C67" s="118">
        <v>1.636723136460087E-2</v>
      </c>
      <c r="D67" s="119">
        <v>3.1586752859679411E-4</v>
      </c>
      <c r="E67" s="117">
        <v>6.4868154615725293E-3</v>
      </c>
      <c r="F67" s="120">
        <v>2.7284914655661838E-2</v>
      </c>
      <c r="G67" s="2">
        <v>6.1619892549912699E-3</v>
      </c>
      <c r="H67" s="2">
        <v>9.4813910983526858E-3</v>
      </c>
      <c r="I67" s="2">
        <v>3.4688104468188645E-2</v>
      </c>
      <c r="J67" s="2">
        <v>-3.5771436549180656E-2</v>
      </c>
      <c r="K67" s="2">
        <v>1</v>
      </c>
      <c r="L67" s="2">
        <v>-0.16895970971045998</v>
      </c>
      <c r="M67" s="2">
        <v>0.99999999999998979</v>
      </c>
      <c r="N67" s="57"/>
      <c r="O67" s="67"/>
      <c r="Q67" s="51" t="str">
        <f t="shared" si="32"/>
        <v>Aandelen opkomend</v>
      </c>
      <c r="R67" s="72">
        <f t="shared" si="33"/>
        <v>3.1586752859679411E-4</v>
      </c>
      <c r="S67" s="52">
        <f t="shared" si="34"/>
        <v>1.2476616400770704E-2</v>
      </c>
      <c r="T67" s="52">
        <f t="shared" si="35"/>
        <v>1.4492430726294339E-2</v>
      </c>
      <c r="U67" s="52"/>
    </row>
    <row r="68" spans="1:24">
      <c r="A68" s="59" t="str">
        <f t="shared" si="31"/>
        <v>Commodities</v>
      </c>
      <c r="B68" s="117">
        <v>0.22696843527402633</v>
      </c>
      <c r="C68" s="118">
        <v>7.4647154755205586E-2</v>
      </c>
      <c r="D68" s="119">
        <v>0.14982448989663011</v>
      </c>
      <c r="E68" s="117">
        <v>0.22648144699198697</v>
      </c>
      <c r="F68" s="120">
        <v>0.30259248982280529</v>
      </c>
      <c r="G68" s="2">
        <v>-0.20114319862844793</v>
      </c>
      <c r="H68" s="2">
        <v>0.11594334097370139</v>
      </c>
      <c r="I68" s="2">
        <v>1</v>
      </c>
      <c r="J68" s="2">
        <v>-0.3331424767036984</v>
      </c>
      <c r="K68" s="2">
        <v>-0.24160614637829991</v>
      </c>
      <c r="L68" s="2">
        <v>-0.17795822806549466</v>
      </c>
      <c r="M68" s="2">
        <v>0.99999999999998579</v>
      </c>
      <c r="N68" s="57"/>
      <c r="O68" s="67"/>
      <c r="Q68" s="51" t="str">
        <f t="shared" si="32"/>
        <v>Commodities</v>
      </c>
      <c r="R68" s="72">
        <f t="shared" si="33"/>
        <v>0.14982448989663011</v>
      </c>
      <c r="S68" s="52">
        <f t="shared" si="34"/>
        <v>7.7143945377396217E-2</v>
      </c>
      <c r="T68" s="52">
        <f t="shared" si="35"/>
        <v>7.5624054548778963E-2</v>
      </c>
      <c r="U68" s="52"/>
    </row>
    <row r="69" spans="1:24">
      <c r="A69" s="59" t="str">
        <f t="shared" si="31"/>
        <v>Hedge funds</v>
      </c>
      <c r="B69" s="117">
        <v>0.12032843158243632</v>
      </c>
      <c r="C69" s="118">
        <v>0.10155027917998087</v>
      </c>
      <c r="D69" s="119">
        <v>1.6848291264834579E-2</v>
      </c>
      <c r="E69" s="117">
        <v>9.7169110581558749E-2</v>
      </c>
      <c r="F69" s="120">
        <v>0.24095688295448445</v>
      </c>
      <c r="G69" s="2">
        <v>-0.26478506840337313</v>
      </c>
      <c r="H69" s="2">
        <v>1</v>
      </c>
      <c r="I69" s="2">
        <v>-0.54514200264062929</v>
      </c>
      <c r="J69" s="2">
        <v>-0.19873435210317586</v>
      </c>
      <c r="K69" s="2">
        <v>-0.1968932481521132</v>
      </c>
      <c r="L69" s="2">
        <v>-0.16277405162112957</v>
      </c>
      <c r="M69" s="2">
        <v>0.99999999999998601</v>
      </c>
      <c r="N69" s="57"/>
      <c r="O69" s="67"/>
      <c r="Q69" s="51" t="str">
        <f t="shared" si="32"/>
        <v>Hedge funds</v>
      </c>
      <c r="R69" s="72">
        <f t="shared" si="33"/>
        <v>1.6848291264834579E-2</v>
      </c>
      <c r="S69" s="52">
        <f t="shared" si="34"/>
        <v>0.10348014031760175</v>
      </c>
      <c r="T69" s="52">
        <f t="shared" si="35"/>
        <v>0.12062845137204813</v>
      </c>
      <c r="U69" s="52"/>
      <c r="X69" s="51"/>
    </row>
    <row r="70" spans="1:24">
      <c r="A70" s="60" t="str">
        <f t="shared" si="31"/>
        <v>Onroerend goed</v>
      </c>
      <c r="B70" s="121">
        <v>0.47394596541217909</v>
      </c>
      <c r="C70" s="122">
        <v>0.13812981240509428</v>
      </c>
      <c r="D70" s="123">
        <v>0.33207906816314359</v>
      </c>
      <c r="E70" s="121">
        <v>0.46874525749192808</v>
      </c>
      <c r="F70" s="124">
        <v>0.62227471814760926</v>
      </c>
      <c r="G70" s="65">
        <v>1</v>
      </c>
      <c r="H70" s="65">
        <v>-0.2389888741089489</v>
      </c>
      <c r="I70" s="65">
        <v>-0.18960206961410472</v>
      </c>
      <c r="J70" s="65">
        <v>-0.25292260668579353</v>
      </c>
      <c r="K70" s="65">
        <v>-0.20867942488808663</v>
      </c>
      <c r="L70" s="65">
        <v>-0.16917877942170906</v>
      </c>
      <c r="M70" s="65">
        <v>0.99999999999998601</v>
      </c>
      <c r="N70" s="66"/>
      <c r="O70" s="67"/>
      <c r="P70" s="72"/>
      <c r="Q70" s="51" t="str">
        <f t="shared" si="32"/>
        <v>Onroerend goed</v>
      </c>
      <c r="R70" s="72">
        <f t="shared" si="33"/>
        <v>0.33207906816314359</v>
      </c>
      <c r="S70" s="52">
        <f t="shared" si="34"/>
        <v>0.14186689724903551</v>
      </c>
      <c r="T70" s="52">
        <f t="shared" si="35"/>
        <v>0.14832875273543017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4" t="s">
        <v>64</v>
      </c>
      <c r="E72" s="395"/>
      <c r="F72" s="396"/>
      <c r="G72" s="394" t="s">
        <v>65</v>
      </c>
      <c r="H72" s="395"/>
      <c r="I72" s="395"/>
      <c r="J72" s="395"/>
      <c r="K72" s="395"/>
      <c r="L72" s="395"/>
      <c r="M72" s="395"/>
      <c r="N72" s="396"/>
      <c r="O72" s="67"/>
      <c r="P72" s="72"/>
      <c r="Q72" s="72"/>
      <c r="R72" s="72"/>
      <c r="T72" s="52"/>
      <c r="U72" s="52"/>
      <c r="V72" s="52"/>
      <c r="W72" s="52"/>
    </row>
    <row r="73" spans="1:24">
      <c r="A73" s="265" t="str">
        <f>'Samenvatting mixen'!A80</f>
        <v>Kansgewogen</v>
      </c>
      <c r="B73" s="266" t="s">
        <v>67</v>
      </c>
      <c r="C73" s="267" t="s">
        <v>2</v>
      </c>
      <c r="D73" s="268">
        <v>0.25</v>
      </c>
      <c r="E73" s="269">
        <v>0.5</v>
      </c>
      <c r="F73" s="270">
        <v>0.75</v>
      </c>
      <c r="G73" s="271">
        <v>0.55435487872119016</v>
      </c>
      <c r="H73" s="271">
        <v>0.2556403920414001</v>
      </c>
      <c r="I73" s="271">
        <v>9.1579107704287899E-2</v>
      </c>
      <c r="J73" s="271">
        <v>7.7783545844687274E-2</v>
      </c>
      <c r="K73" s="271">
        <v>2.0013487501554073E-2</v>
      </c>
      <c r="L73" s="271">
        <v>6.2858818688016349E-4</v>
      </c>
      <c r="M73" s="271">
        <v>-2.2204460492503131E-16</v>
      </c>
      <c r="N73" s="271"/>
      <c r="O73" s="272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6.1313073328965635E-2</v>
      </c>
      <c r="C74" s="118">
        <v>4.7756532082960372E-2</v>
      </c>
      <c r="D74" s="119">
        <v>1.5051131453038423E-2</v>
      </c>
      <c r="E74" s="117">
        <v>5.2278485756749829E-2</v>
      </c>
      <c r="F74" s="120">
        <v>0.10846972387704792</v>
      </c>
      <c r="G74" s="2">
        <v>-6.3147469285018004E-4</v>
      </c>
      <c r="H74" s="2">
        <v>-0.10460357884133448</v>
      </c>
      <c r="I74" s="2">
        <v>0.16416821248784708</v>
      </c>
      <c r="J74" s="2">
        <v>1</v>
      </c>
      <c r="K74" s="2">
        <v>-0.14177775324120315</v>
      </c>
      <c r="L74" s="2">
        <v>-0.15930737195419986</v>
      </c>
      <c r="M74" s="2">
        <v>0.99999999999985467</v>
      </c>
      <c r="N74" s="57"/>
      <c r="O74" s="67"/>
      <c r="P74" s="72"/>
      <c r="Q74" s="51" t="str">
        <f t="shared" ref="Q74:Q80" si="37">A74</f>
        <v>High Yield</v>
      </c>
      <c r="R74" s="72">
        <f>D74</f>
        <v>1.5051131453038423E-2</v>
      </c>
      <c r="S74" s="52">
        <f>B74-D74</f>
        <v>4.6261941875927214E-2</v>
      </c>
      <c r="T74" s="52">
        <f>F74-B74</f>
        <v>4.7156650548082289E-2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0.11402530977482059</v>
      </c>
      <c r="C75" s="118">
        <v>8.3732268845640209E-2</v>
      </c>
      <c r="D75" s="119">
        <v>3.1183097502944408E-2</v>
      </c>
      <c r="E75" s="117">
        <v>9.5868691949466844E-2</v>
      </c>
      <c r="F75" s="120">
        <v>0.19035479418924958</v>
      </c>
      <c r="G75" s="2">
        <v>-0.15403198986457023</v>
      </c>
      <c r="H75" s="2">
        <v>1</v>
      </c>
      <c r="I75" s="2">
        <v>-0.21143098078328348</v>
      </c>
      <c r="J75" s="2">
        <v>-0.10955596695568445</v>
      </c>
      <c r="K75" s="2">
        <v>-0.20522529974076845</v>
      </c>
      <c r="L75" s="2">
        <v>-0.16548125950714729</v>
      </c>
      <c r="M75" s="2">
        <v>0.9999999999998529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3.1183097502944408E-2</v>
      </c>
      <c r="S75" s="52">
        <f t="shared" ref="S75:S80" si="39">B75-D75</f>
        <v>8.2842212271876187E-2</v>
      </c>
      <c r="T75" s="52">
        <f t="shared" ref="T75:T80" si="40">F75-B75</f>
        <v>7.6329484414428994E-2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3.5505452283988029E-3</v>
      </c>
      <c r="C76" s="118">
        <v>4.4039410212814911E-3</v>
      </c>
      <c r="D76" s="119">
        <v>1.8752707025431216E-4</v>
      </c>
      <c r="E76" s="117">
        <v>1.9528012231027493E-3</v>
      </c>
      <c r="F76" s="120">
        <v>7.0043544726929984E-3</v>
      </c>
      <c r="G76" s="2">
        <v>2.1353726085351172E-3</v>
      </c>
      <c r="H76" s="2">
        <v>-4.1639364786629036E-3</v>
      </c>
      <c r="I76" s="2">
        <v>-1.4452785438403837E-2</v>
      </c>
      <c r="J76" s="2">
        <v>-5.9086309041982213E-3</v>
      </c>
      <c r="K76" s="2">
        <v>2.6256033396141773E-3</v>
      </c>
      <c r="L76" s="2">
        <v>1</v>
      </c>
      <c r="M76" s="2">
        <v>1</v>
      </c>
      <c r="N76" s="57"/>
      <c r="O76" s="67"/>
      <c r="Q76" s="51" t="str">
        <f t="shared" si="37"/>
        <v>Aandelen ontwikkeld</v>
      </c>
      <c r="R76" s="72">
        <f t="shared" si="38"/>
        <v>1.8752707025431216E-4</v>
      </c>
      <c r="S76" s="52">
        <f t="shared" si="39"/>
        <v>3.3630181581444907E-3</v>
      </c>
      <c r="T76" s="52">
        <f t="shared" si="40"/>
        <v>3.4538092442941955E-3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0.33174023281608628</v>
      </c>
      <c r="C77" s="118">
        <v>0.1088843189738385</v>
      </c>
      <c r="D77" s="119">
        <v>0.22668857932684336</v>
      </c>
      <c r="E77" s="117">
        <v>0.3283940617713591</v>
      </c>
      <c r="F77" s="120">
        <v>0.43851062509254735</v>
      </c>
      <c r="G77" s="2">
        <v>1</v>
      </c>
      <c r="H77" s="2">
        <v>-0.27451514867723781</v>
      </c>
      <c r="I77" s="2">
        <v>-0.40827013504851756</v>
      </c>
      <c r="J77" s="2">
        <v>-0.21539139568210083</v>
      </c>
      <c r="K77" s="2">
        <v>-0.26211767155809218</v>
      </c>
      <c r="L77" s="2">
        <v>-0.17450321156701998</v>
      </c>
      <c r="M77" s="2">
        <v>0.99999999999985079</v>
      </c>
      <c r="N77" s="57"/>
      <c r="O77" s="67"/>
      <c r="Q77" s="51" t="str">
        <f t="shared" si="37"/>
        <v>Aandelen opkomend</v>
      </c>
      <c r="R77" s="72">
        <f t="shared" si="38"/>
        <v>0.22668857932684336</v>
      </c>
      <c r="S77" s="52">
        <f t="shared" si="39"/>
        <v>0.10505165348924292</v>
      </c>
      <c r="T77" s="52">
        <f t="shared" si="40"/>
        <v>0.10677039227646107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0.392310372891013</v>
      </c>
      <c r="C78" s="118">
        <v>0.10133791659082994</v>
      </c>
      <c r="D78" s="119">
        <v>0.29503502891400174</v>
      </c>
      <c r="E78" s="117">
        <v>0.38132975268154762</v>
      </c>
      <c r="F78" s="120">
        <v>0.48986522170883695</v>
      </c>
      <c r="G78" s="2">
        <v>-0.86470219515547764</v>
      </c>
      <c r="H78" s="2">
        <v>-0.4981692700058894</v>
      </c>
      <c r="I78" s="2">
        <v>-0.39225601453918157</v>
      </c>
      <c r="J78" s="2">
        <v>-0.2443758119910599</v>
      </c>
      <c r="K78" s="2">
        <v>-0.29029913700340354</v>
      </c>
      <c r="L78" s="2">
        <v>-0.17258815019163529</v>
      </c>
      <c r="M78" s="2">
        <v>0.99999999999985112</v>
      </c>
      <c r="N78" s="57"/>
      <c r="O78" s="67"/>
      <c r="Q78" s="51" t="str">
        <f t="shared" si="37"/>
        <v>Commodities</v>
      </c>
      <c r="R78" s="72">
        <f t="shared" si="38"/>
        <v>0.29503502891400174</v>
      </c>
      <c r="S78" s="52">
        <f t="shared" si="39"/>
        <v>9.7275343977011264E-2</v>
      </c>
      <c r="T78" s="52">
        <f t="shared" si="40"/>
        <v>9.7554848817823947E-2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6.7413297245188269E-2</v>
      </c>
      <c r="C79" s="118">
        <v>5.1192238253162325E-2</v>
      </c>
      <c r="D79" s="119">
        <v>1.8349271072378381E-2</v>
      </c>
      <c r="E79" s="117">
        <v>5.5226360347460986E-2</v>
      </c>
      <c r="F79" s="120">
        <v>0.12352095515494146</v>
      </c>
      <c r="G79" s="2">
        <v>3.43012297030846E-2</v>
      </c>
      <c r="H79" s="2">
        <v>-8.3738194926925205E-2</v>
      </c>
      <c r="I79" s="2">
        <v>1</v>
      </c>
      <c r="J79" s="2">
        <v>-0.37769729711393057</v>
      </c>
      <c r="K79" s="2">
        <v>-0.10320574179615156</v>
      </c>
      <c r="L79" s="2">
        <v>-0.15691058156697965</v>
      </c>
      <c r="M79" s="2">
        <v>0.99999999999985489</v>
      </c>
      <c r="N79" s="57"/>
      <c r="O79" s="67"/>
      <c r="Q79" s="51" t="str">
        <f t="shared" si="37"/>
        <v>Hedge funds</v>
      </c>
      <c r="R79" s="72">
        <f t="shared" si="38"/>
        <v>1.8349271072378381E-2</v>
      </c>
      <c r="S79" s="52">
        <f t="shared" si="39"/>
        <v>4.9064026172809888E-2</v>
      </c>
      <c r="T79" s="52">
        <f t="shared" si="40"/>
        <v>5.6107657909753195E-2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2.9647168715527007E-2</v>
      </c>
      <c r="C80" s="122">
        <v>2.5007540054351254E-2</v>
      </c>
      <c r="D80" s="123">
        <v>6.5821530269531909E-3</v>
      </c>
      <c r="E80" s="121">
        <v>2.4324796364107976E-2</v>
      </c>
      <c r="F80" s="124">
        <v>5.1733436438790595E-2</v>
      </c>
      <c r="G80" s="65">
        <v>-1.7070942598721155E-2</v>
      </c>
      <c r="H80" s="65">
        <v>-3.4809871069951009E-2</v>
      </c>
      <c r="I80" s="65">
        <v>-0.1377582966784619</v>
      </c>
      <c r="J80" s="65">
        <v>-4.7070897353027372E-2</v>
      </c>
      <c r="K80" s="65">
        <v>1</v>
      </c>
      <c r="L80" s="65">
        <v>-0.17120942521316332</v>
      </c>
      <c r="M80" s="65">
        <v>0.99999999999985612</v>
      </c>
      <c r="N80" s="66"/>
      <c r="O80" s="67"/>
      <c r="Q80" s="51" t="str">
        <f t="shared" si="37"/>
        <v>Onroerend goed</v>
      </c>
      <c r="R80" s="72">
        <f t="shared" si="38"/>
        <v>6.5821530269531909E-3</v>
      </c>
      <c r="S80" s="52">
        <f t="shared" si="39"/>
        <v>2.3065015688573817E-2</v>
      </c>
      <c r="T80" s="52">
        <f t="shared" si="40"/>
        <v>2.2086267723263588E-2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6"/>
  <sheetViews>
    <sheetView zoomScale="85" zoomScaleNormal="85" workbookViewId="0">
      <selection activeCell="I34" sqref="I34"/>
    </sheetView>
  </sheetViews>
  <sheetFormatPr defaultRowHeight="15" outlineLevelCol="1"/>
  <cols>
    <col min="1" max="1" width="9.140625" style="331"/>
    <col min="2" max="2" width="22.28515625" style="331" bestFit="1" customWidth="1"/>
    <col min="3" max="4" width="12.7109375" style="331" customWidth="1"/>
    <col min="5" max="6" width="12.7109375" style="331" customWidth="1" outlineLevel="1"/>
    <col min="7" max="10" width="12.7109375" style="331" customWidth="1"/>
    <col min="11" max="11" width="21" style="209" customWidth="1"/>
    <col min="12" max="12" width="18.140625" style="331" bestFit="1" customWidth="1"/>
    <col min="13" max="13" width="12" style="331" customWidth="1"/>
    <col min="14" max="14" width="9.42578125" style="331" customWidth="1"/>
    <col min="15" max="17" width="9.140625" style="331"/>
    <col min="18" max="18" width="10.85546875" style="331" customWidth="1"/>
    <col min="19" max="21" width="9.140625" style="209"/>
    <col min="22" max="22" width="18.85546875" style="209" bestFit="1" customWidth="1"/>
    <col min="23" max="37" width="9.140625" style="209"/>
    <col min="38" max="16384" width="9.140625" style="331"/>
  </cols>
  <sheetData>
    <row r="1" spans="1:19">
      <c r="A1" s="209"/>
      <c r="B1" s="209"/>
      <c r="C1" s="209"/>
      <c r="D1" s="209"/>
      <c r="E1" s="209"/>
      <c r="F1" s="209"/>
      <c r="G1" s="209"/>
      <c r="H1" s="209"/>
      <c r="I1" s="209"/>
      <c r="J1" s="209"/>
      <c r="L1" s="209"/>
      <c r="M1" s="209"/>
      <c r="N1" s="209"/>
      <c r="O1" s="209"/>
      <c r="P1" s="209"/>
      <c r="Q1" s="209"/>
      <c r="R1" s="209"/>
    </row>
    <row r="2" spans="1:19" ht="25.5">
      <c r="A2" s="209"/>
      <c r="B2" s="342" t="s">
        <v>115</v>
      </c>
      <c r="C2" s="316" t="s">
        <v>70</v>
      </c>
      <c r="D2" s="305" t="s">
        <v>112</v>
      </c>
      <c r="E2" s="305" t="s">
        <v>144</v>
      </c>
      <c r="F2" s="305" t="s">
        <v>145</v>
      </c>
      <c r="G2" s="305" t="s">
        <v>113</v>
      </c>
      <c r="H2" s="305" t="s">
        <v>114</v>
      </c>
      <c r="I2" s="305" t="s">
        <v>128</v>
      </c>
      <c r="J2" s="316" t="s">
        <v>130</v>
      </c>
      <c r="L2" s="369" t="s">
        <v>153</v>
      </c>
      <c r="M2" s="370" t="s">
        <v>70</v>
      </c>
      <c r="N2" s="371" t="s">
        <v>112</v>
      </c>
      <c r="O2" s="371" t="s">
        <v>144</v>
      </c>
      <c r="P2" s="371" t="s">
        <v>145</v>
      </c>
      <c r="Q2" s="371" t="s">
        <v>113</v>
      </c>
      <c r="R2" s="371" t="s">
        <v>114</v>
      </c>
      <c r="S2" s="372" t="s">
        <v>128</v>
      </c>
    </row>
    <row r="3" spans="1:19">
      <c r="A3" s="209"/>
      <c r="B3" s="343" t="s">
        <v>4</v>
      </c>
      <c r="C3" s="317">
        <f>Scenarios!C4</f>
        <v>0</v>
      </c>
      <c r="D3" s="85">
        <f>+Scenarios!C24</f>
        <v>-3.2445168309994665E-3</v>
      </c>
      <c r="E3" s="409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7">
        <f>Scenarios!D4</f>
        <v>3.8327320576542839E-2</v>
      </c>
      <c r="L3" s="343" t="s">
        <v>4</v>
      </c>
      <c r="M3" s="363">
        <f>C3/$J3</f>
        <v>0</v>
      </c>
      <c r="N3" s="364">
        <f t="shared" ref="N3:N10" si="0">D3/$J3</f>
        <v>-8.4652847686545088E-2</v>
      </c>
      <c r="O3" s="364">
        <f t="shared" ref="O3:O10" si="1">E3/$J3</f>
        <v>-2.8077524301188938E-2</v>
      </c>
      <c r="P3" s="364">
        <f t="shared" ref="P3:P10" si="2">F3/$J3</f>
        <v>-8.9178873557373903E-2</v>
      </c>
      <c r="Q3" s="364">
        <f t="shared" ref="Q3:Q10" si="3">G3/$J3</f>
        <v>-0.67107112998577145</v>
      </c>
      <c r="R3" s="364">
        <f t="shared" ref="R3:R10" si="4">H3/$J3</f>
        <v>-6.8587038946676824</v>
      </c>
      <c r="S3" s="367">
        <f t="shared" ref="S3:S10" si="5">I3/$J3</f>
        <v>-8.4642869564566098E-2</v>
      </c>
    </row>
    <row r="4" spans="1:19">
      <c r="A4" s="209"/>
      <c r="B4" s="343" t="s">
        <v>5</v>
      </c>
      <c r="C4" s="317">
        <f>Scenarios!C5</f>
        <v>0.03</v>
      </c>
      <c r="D4" s="85">
        <f>+Scenarios!C25</f>
        <v>1.7080984570854354E-2</v>
      </c>
      <c r="E4" s="409">
        <f>+Scenarios!D25</f>
        <v>-5.3634034495987179E-2</v>
      </c>
      <c r="F4" s="85">
        <f>+Scenarios!E25</f>
        <v>1.9126088571386521E-2</v>
      </c>
      <c r="G4" s="85">
        <f>+Scenarios!F25</f>
        <v>-0.44320953513141953</v>
      </c>
      <c r="H4" s="85">
        <f>+Scenarios!G25</f>
        <v>-0.45286655377141971</v>
      </c>
      <c r="I4" s="85">
        <f>+Scenarios!H25</f>
        <v>0.29576434041524707</v>
      </c>
      <c r="J4" s="317">
        <f>Scenarios!D5</f>
        <v>0.15740402046445473</v>
      </c>
      <c r="L4" s="343" t="s">
        <v>5</v>
      </c>
      <c r="M4" s="363">
        <f t="shared" ref="M4:M10" si="6">C4/$J4</f>
        <v>0.19059233627882241</v>
      </c>
      <c r="N4" s="364">
        <f t="shared" si="0"/>
        <v>0.10851682517672166</v>
      </c>
      <c r="O4" s="364">
        <f t="shared" si="1"/>
        <v>-0.34074119795497165</v>
      </c>
      <c r="P4" s="364">
        <f t="shared" si="2"/>
        <v>0.1215095301565414</v>
      </c>
      <c r="Q4" s="364">
        <f t="shared" si="3"/>
        <v>-2.8157446920582689</v>
      </c>
      <c r="R4" s="364">
        <f t="shared" si="4"/>
        <v>-2.8770964835277946</v>
      </c>
      <c r="S4" s="367">
        <f t="shared" si="5"/>
        <v>1.8790138875902291</v>
      </c>
    </row>
    <row r="5" spans="1:19">
      <c r="A5" s="209"/>
      <c r="B5" s="343" t="s">
        <v>6</v>
      </c>
      <c r="C5" s="317">
        <f>Scenarios!C6</f>
        <v>3.1390664572732138E-2</v>
      </c>
      <c r="D5" s="85">
        <f>+Scenarios!C26</f>
        <v>2.8210029350712571E-2</v>
      </c>
      <c r="E5" s="409">
        <f>+Scenarios!D26</f>
        <v>-2.95466166646563E-3</v>
      </c>
      <c r="F5" s="85">
        <f>+Scenarios!E26</f>
        <v>1.2307163627323543E-2</v>
      </c>
      <c r="G5" s="85">
        <f>+Scenarios!F26</f>
        <v>-0.50520055078596937</v>
      </c>
      <c r="H5" s="85">
        <f>+Scenarios!G26</f>
        <v>-0.35244265167679129</v>
      </c>
      <c r="I5" s="85">
        <f>+Scenarios!H26</f>
        <v>0.24637536735679014</v>
      </c>
      <c r="J5" s="317">
        <f>Scenarios!D6</f>
        <v>0.16055565886911449</v>
      </c>
      <c r="L5" s="343" t="s">
        <v>6</v>
      </c>
      <c r="M5" s="363">
        <f t="shared" si="6"/>
        <v>0.19551266391875924</v>
      </c>
      <c r="N5" s="364">
        <f t="shared" si="0"/>
        <v>0.17570249189229437</v>
      </c>
      <c r="O5" s="364">
        <f t="shared" si="1"/>
        <v>-1.8402725181267388E-2</v>
      </c>
      <c r="P5" s="364">
        <f t="shared" si="2"/>
        <v>7.6653564963140811E-2</v>
      </c>
      <c r="Q5" s="364">
        <f t="shared" si="3"/>
        <v>-3.1465758002202247</v>
      </c>
      <c r="R5" s="364">
        <f t="shared" si="4"/>
        <v>-2.1951431307949334</v>
      </c>
      <c r="S5" s="367">
        <f t="shared" si="5"/>
        <v>1.5345168715456872</v>
      </c>
    </row>
    <row r="6" spans="1:19">
      <c r="A6" s="209"/>
      <c r="B6" s="343" t="s">
        <v>7</v>
      </c>
      <c r="C6" s="317">
        <f>Scenarios!C7</f>
        <v>5.5291722300972554E-2</v>
      </c>
      <c r="D6" s="85">
        <f>+Scenarios!C27</f>
        <v>-3.3982895609806815E-2</v>
      </c>
      <c r="E6" s="409">
        <f>+Scenarios!D27</f>
        <v>-0.20034010635526645</v>
      </c>
      <c r="F6" s="85">
        <f>+Scenarios!E27</f>
        <v>2.0569527320858455E-2</v>
      </c>
      <c r="G6" s="85">
        <f>+Scenarios!F27</f>
        <v>-0.64117999007188409</v>
      </c>
      <c r="H6" s="85">
        <f>+Scenarios!G27</f>
        <v>-0.50739956473317127</v>
      </c>
      <c r="I6" s="85">
        <f>+Scenarios!H27</f>
        <v>0.32892743718810752</v>
      </c>
      <c r="J6" s="317">
        <f>Scenarios!D7</f>
        <v>0.28482723462884557</v>
      </c>
      <c r="L6" s="343" t="s">
        <v>7</v>
      </c>
      <c r="M6" s="363">
        <f t="shared" si="6"/>
        <v>0.19412371985081564</v>
      </c>
      <c r="N6" s="364">
        <f t="shared" si="0"/>
        <v>-0.1193105555867558</v>
      </c>
      <c r="O6" s="364">
        <f t="shared" si="1"/>
        <v>-0.7033741229708137</v>
      </c>
      <c r="P6" s="364">
        <f t="shared" si="2"/>
        <v>7.2217557944072031E-2</v>
      </c>
      <c r="Q6" s="364">
        <f t="shared" si="3"/>
        <v>-2.2511189665812572</v>
      </c>
      <c r="R6" s="364">
        <f t="shared" si="4"/>
        <v>-1.7814292421662439</v>
      </c>
      <c r="S6" s="367">
        <f t="shared" si="5"/>
        <v>1.154831410755816</v>
      </c>
    </row>
    <row r="7" spans="1:19">
      <c r="A7" s="209"/>
      <c r="B7" s="343" t="s">
        <v>8</v>
      </c>
      <c r="C7" s="317">
        <f>Scenarios!C8</f>
        <v>5.3998164657843073E-2</v>
      </c>
      <c r="D7" s="85">
        <f>+Scenarios!C28</f>
        <v>7.2231587254445423E-2</v>
      </c>
      <c r="E7" s="409">
        <f>+Scenarios!D28</f>
        <v>-2.9945024082715634E-2</v>
      </c>
      <c r="F7" s="85">
        <f>+Scenarios!E28</f>
        <v>7.5326235596053476E-2</v>
      </c>
      <c r="G7" s="85">
        <f>+Scenarios!F28</f>
        <v>-0.39383408868167263</v>
      </c>
      <c r="H7" s="85">
        <f>+Scenarios!G28</f>
        <v>-0.23709668904730849</v>
      </c>
      <c r="I7" s="85">
        <f>+Scenarios!H28</f>
        <v>0.4212127714691607</v>
      </c>
      <c r="J7" s="317">
        <f>Scenarios!D8</f>
        <v>0.29086830436352928</v>
      </c>
      <c r="L7" s="343" t="s">
        <v>8</v>
      </c>
      <c r="M7" s="363">
        <f t="shared" si="6"/>
        <v>0.18564471909718902</v>
      </c>
      <c r="N7" s="364">
        <f t="shared" si="0"/>
        <v>0.24833089811040349</v>
      </c>
      <c r="O7" s="364">
        <f t="shared" si="1"/>
        <v>-0.10295045432413333</v>
      </c>
      <c r="P7" s="364">
        <f t="shared" si="2"/>
        <v>0.25897024346080078</v>
      </c>
      <c r="Q7" s="364">
        <f t="shared" si="3"/>
        <v>-1.3539945149522239</v>
      </c>
      <c r="R7" s="364">
        <f t="shared" si="4"/>
        <v>-0.8151341534654919</v>
      </c>
      <c r="S7" s="367">
        <f t="shared" si="5"/>
        <v>1.4481219340513842</v>
      </c>
    </row>
    <row r="8" spans="1:19">
      <c r="A8" s="209"/>
      <c r="B8" s="343" t="s">
        <v>9</v>
      </c>
      <c r="C8" s="317">
        <f>Scenarios!C9</f>
        <v>5.1554959718268165E-2</v>
      </c>
      <c r="D8" s="85">
        <f>+Scenarios!C29</f>
        <v>8.3002461795964225E-2</v>
      </c>
      <c r="E8" s="409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-0.53890194796403579</v>
      </c>
      <c r="I8" s="85">
        <f>+Scenarios!H29</f>
        <v>0.62225820003596433</v>
      </c>
      <c r="J8" s="317">
        <f>Scenarios!D9</f>
        <v>0.32762989319180058</v>
      </c>
      <c r="L8" s="343" t="s">
        <v>9</v>
      </c>
      <c r="M8" s="363">
        <f t="shared" si="6"/>
        <v>0.1573573132048941</v>
      </c>
      <c r="N8" s="364">
        <f t="shared" si="0"/>
        <v>0.25334215076453065</v>
      </c>
      <c r="O8" s="364">
        <f t="shared" si="1"/>
        <v>4.4742968617689026E-2</v>
      </c>
      <c r="P8" s="364">
        <f t="shared" si="2"/>
        <v>0.27476469400366199</v>
      </c>
      <c r="Q8" s="364">
        <f t="shared" si="3"/>
        <v>-1.5882170923663186</v>
      </c>
      <c r="R8" s="364">
        <f t="shared" si="4"/>
        <v>-1.6448497501677988</v>
      </c>
      <c r="S8" s="367">
        <f t="shared" si="5"/>
        <v>1.8992717482946004</v>
      </c>
    </row>
    <row r="9" spans="1:19">
      <c r="A9" s="209"/>
      <c r="B9" s="343" t="s">
        <v>10</v>
      </c>
      <c r="C9" s="317">
        <f>Scenarios!C10</f>
        <v>2.8536326743371695E-2</v>
      </c>
      <c r="D9" s="85">
        <f>+Scenarios!C30</f>
        <v>1.695057316664925E-2</v>
      </c>
      <c r="E9" s="409">
        <f>+Scenarios!D30</f>
        <v>-4.2653387188440507E-2</v>
      </c>
      <c r="F9" s="85">
        <f>+Scenarios!E30</f>
        <v>1.4434999267229312E-2</v>
      </c>
      <c r="G9" s="85">
        <f>+Scenarios!F30</f>
        <v>-0.25857548795346308</v>
      </c>
      <c r="H9" s="85">
        <f>+Scenarios!G30</f>
        <v>-1.0981482728457838E-2</v>
      </c>
      <c r="I9" s="85">
        <f>+Scenarios!H30</f>
        <v>0.27934742068923668</v>
      </c>
      <c r="J9" s="317">
        <f>Scenarios!D10</f>
        <v>0.15798659221184908</v>
      </c>
      <c r="L9" s="343" t="s">
        <v>10</v>
      </c>
      <c r="M9" s="363">
        <f t="shared" si="6"/>
        <v>0.18062499066443852</v>
      </c>
      <c r="N9" s="364">
        <f t="shared" si="0"/>
        <v>0.10729121331967023</v>
      </c>
      <c r="O9" s="364">
        <f t="shared" si="1"/>
        <v>-0.26998105719784921</v>
      </c>
      <c r="P9" s="364">
        <f t="shared" si="2"/>
        <v>9.1368508334384341E-2</v>
      </c>
      <c r="Q9" s="364">
        <f t="shared" si="3"/>
        <v>-1.6366926100078876</v>
      </c>
      <c r="R9" s="364">
        <f t="shared" si="4"/>
        <v>-6.950895373281063E-2</v>
      </c>
      <c r="S9" s="367">
        <f t="shared" si="5"/>
        <v>1.7681716959541172</v>
      </c>
    </row>
    <row r="10" spans="1:19">
      <c r="A10" s="209"/>
      <c r="B10" s="344" t="s">
        <v>11</v>
      </c>
      <c r="C10" s="318">
        <f>Scenarios!C11</f>
        <v>3.8644858050511752E-2</v>
      </c>
      <c r="D10" s="308">
        <f>+Scenarios!C31</f>
        <v>1.5703249352120311E-2</v>
      </c>
      <c r="E10" s="410">
        <f>+Scenarios!D31</f>
        <v>-5.8162269749716361E-2</v>
      </c>
      <c r="F10" s="308">
        <f>+Scenarios!E31</f>
        <v>4.4496035250283651E-2</v>
      </c>
      <c r="G10" s="308">
        <f>+Scenarios!F31</f>
        <v>-0.33152986308090188</v>
      </c>
      <c r="H10" s="308">
        <f>+Scenarios!G31</f>
        <v>-0.17474285130040365</v>
      </c>
      <c r="I10" s="308">
        <f>+Scenarios!H31</f>
        <v>0.39881762458018055</v>
      </c>
      <c r="J10" s="318">
        <f>Scenarios!D11</f>
        <v>0.19621796279766246</v>
      </c>
      <c r="L10" s="344" t="s">
        <v>11</v>
      </c>
      <c r="M10" s="365">
        <f t="shared" si="6"/>
        <v>0.19694862539349597</v>
      </c>
      <c r="N10" s="366">
        <f t="shared" si="0"/>
        <v>8.0029621795193684E-2</v>
      </c>
      <c r="O10" s="366">
        <f t="shared" si="1"/>
        <v>-0.29641664259705203</v>
      </c>
      <c r="P10" s="366">
        <f t="shared" si="2"/>
        <v>0.22676840904809217</v>
      </c>
      <c r="Q10" s="366">
        <f t="shared" si="3"/>
        <v>-1.68959996502854</v>
      </c>
      <c r="R10" s="366">
        <f t="shared" si="4"/>
        <v>-0.89055481368235545</v>
      </c>
      <c r="S10" s="368">
        <f t="shared" si="5"/>
        <v>2.0325235207514427</v>
      </c>
    </row>
    <row r="11" spans="1:19" ht="15.75">
      <c r="A11" s="209"/>
      <c r="B11" s="84"/>
      <c r="C11" s="84"/>
      <c r="D11" s="84"/>
      <c r="E11" s="84"/>
      <c r="F11" s="84"/>
      <c r="G11" s="84"/>
      <c r="H11" s="84"/>
      <c r="I11" s="84"/>
      <c r="J11" s="84"/>
      <c r="L11" s="209"/>
      <c r="M11" s="348"/>
      <c r="N11" s="337"/>
      <c r="O11" s="337"/>
      <c r="P11" s="337"/>
      <c r="Q11" s="337"/>
      <c r="R11" s="349"/>
    </row>
    <row r="12" spans="1:19" ht="15.75">
      <c r="A12" s="209"/>
      <c r="B12" s="319" t="s">
        <v>123</v>
      </c>
      <c r="C12" s="324">
        <f>+Scenarios!B33</f>
        <v>0</v>
      </c>
      <c r="D12" s="310">
        <f>+Scenarios!C33</f>
        <v>1</v>
      </c>
      <c r="E12" s="310">
        <f>+Scenarios!D33</f>
        <v>0</v>
      </c>
      <c r="F12" s="310">
        <f>+Scenarios!E33</f>
        <v>0</v>
      </c>
      <c r="G12" s="310">
        <f>+Scenarios!F33</f>
        <v>0</v>
      </c>
      <c r="H12" s="310">
        <f>+Scenarios!G33</f>
        <v>0</v>
      </c>
      <c r="I12" s="325">
        <f>+Scenarios!H33</f>
        <v>0</v>
      </c>
      <c r="J12" s="326">
        <f>+Scenarios!I33</f>
        <v>1</v>
      </c>
      <c r="L12" s="209"/>
      <c r="M12" s="348"/>
      <c r="N12" s="337"/>
      <c r="O12" s="337"/>
      <c r="P12" s="337"/>
      <c r="Q12" s="337"/>
      <c r="R12" s="337"/>
    </row>
    <row r="13" spans="1:19" ht="15.75">
      <c r="A13" s="209"/>
      <c r="B13" s="84"/>
      <c r="C13" s="84"/>
      <c r="D13" s="84"/>
      <c r="E13" s="84"/>
      <c r="F13" s="84"/>
      <c r="G13" s="84"/>
      <c r="H13" s="84"/>
      <c r="I13" s="84"/>
      <c r="J13" s="84"/>
      <c r="L13" s="209"/>
      <c r="M13" s="348"/>
      <c r="N13" s="337"/>
      <c r="O13" s="337"/>
      <c r="P13" s="337"/>
      <c r="Q13" s="337"/>
      <c r="R13" s="337"/>
    </row>
    <row r="14" spans="1:19" ht="15.75">
      <c r="A14" s="209"/>
      <c r="B14" s="319" t="s">
        <v>129</v>
      </c>
      <c r="C14" s="324">
        <f>+Scenarios!B35</f>
        <v>0</v>
      </c>
      <c r="D14" s="311">
        <f>+Scenarios!C35</f>
        <v>1.9649588741421451E-2</v>
      </c>
      <c r="E14" s="311">
        <f>+Scenarios!D35</f>
        <v>-5.3217406087582826E-3</v>
      </c>
      <c r="F14" s="311">
        <f>+Scenarios!E35</f>
        <v>2.0551457409427494E-2</v>
      </c>
      <c r="G14" s="311">
        <f>+Scenarios!F35</f>
        <v>-0.17408810286670279</v>
      </c>
      <c r="H14" s="311">
        <f>+Scenarios!G35</f>
        <v>-0.29871538206100001</v>
      </c>
      <c r="I14" s="312">
        <f>+Scenarios!H35</f>
        <v>0.15937697734927275</v>
      </c>
      <c r="J14" s="320">
        <f>+Scenarios!I35</f>
        <v>1.9649588741421451E-2</v>
      </c>
      <c r="L14" s="209"/>
      <c r="M14" s="348"/>
      <c r="N14" s="337"/>
      <c r="O14" s="337"/>
      <c r="P14" s="337"/>
      <c r="Q14" s="337"/>
      <c r="R14" s="337"/>
    </row>
    <row r="15" spans="1:19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L15" s="209"/>
      <c r="M15" s="209"/>
      <c r="N15" s="209"/>
      <c r="O15" s="209"/>
      <c r="P15" s="209"/>
      <c r="Q15" s="209"/>
      <c r="R15" s="209"/>
    </row>
    <row r="16" spans="1:19" ht="6.75" customHeight="1">
      <c r="A16" s="209"/>
      <c r="B16" s="209"/>
      <c r="C16" s="209"/>
      <c r="D16" s="209"/>
      <c r="E16" s="209"/>
      <c r="F16" s="209"/>
      <c r="G16" s="209"/>
      <c r="H16" s="209"/>
      <c r="I16" s="209"/>
      <c r="J16" s="209"/>
      <c r="L16" s="209"/>
      <c r="M16" s="209"/>
      <c r="N16" s="209"/>
      <c r="O16" s="209"/>
      <c r="P16" s="209"/>
      <c r="Q16" s="209"/>
      <c r="R16" s="209"/>
    </row>
    <row r="17" spans="1:18">
      <c r="A17" s="209"/>
      <c r="B17" s="209"/>
      <c r="C17" s="209"/>
      <c r="D17" s="209"/>
      <c r="E17" s="209"/>
      <c r="F17" s="209"/>
      <c r="G17" s="209"/>
      <c r="H17" s="209"/>
      <c r="I17" s="209"/>
      <c r="J17" s="209"/>
    </row>
    <row r="18" spans="1:18" ht="4.5" customHeight="1">
      <c r="A18" s="209"/>
      <c r="B18" s="209"/>
      <c r="C18" s="209"/>
      <c r="D18" s="209"/>
      <c r="E18" s="209"/>
      <c r="F18" s="209"/>
      <c r="G18" s="209"/>
      <c r="H18" s="209"/>
      <c r="I18" s="209"/>
      <c r="J18" s="209"/>
    </row>
    <row r="19" spans="1:18">
      <c r="A19" s="209"/>
      <c r="B19" s="342" t="s">
        <v>101</v>
      </c>
      <c r="C19" s="316" t="s">
        <v>70</v>
      </c>
      <c r="D19" s="321" t="s">
        <v>112</v>
      </c>
      <c r="E19" s="305" t="s">
        <v>144</v>
      </c>
      <c r="F19" s="305" t="s">
        <v>145</v>
      </c>
      <c r="G19" s="305" t="s">
        <v>113</v>
      </c>
      <c r="H19" s="305" t="s">
        <v>114</v>
      </c>
      <c r="I19" s="306" t="s">
        <v>128</v>
      </c>
      <c r="J19" s="306" t="s">
        <v>143</v>
      </c>
    </row>
    <row r="20" spans="1:18">
      <c r="A20" s="209"/>
      <c r="B20" s="343" t="s">
        <v>4</v>
      </c>
      <c r="C20" s="317">
        <f>'Control panel'!B3</f>
        <v>0.56180875203091096</v>
      </c>
      <c r="D20" s="322">
        <f>'Samenvatting mixen'!B15</f>
        <v>0.64944893325636843</v>
      </c>
      <c r="E20" s="85">
        <f>'Samenvatting mixen'!B26</f>
        <v>0.72885510102225626</v>
      </c>
      <c r="F20" s="85">
        <f>'Samenvatting mixen'!B37</f>
        <v>0.65011963868863909</v>
      </c>
      <c r="G20" s="85">
        <f>'Samenvatting mixen'!B48</f>
        <v>0.9995855091205047</v>
      </c>
      <c r="H20" s="85">
        <f>'Samenvatting mixen'!B59</f>
        <v>0.97126484937417978</v>
      </c>
      <c r="I20" s="307">
        <f>'Samenvatting mixen'!B70</f>
        <v>0.77499855475977697</v>
      </c>
      <c r="J20" s="307">
        <f>'[4]Control panel'!F3</f>
        <v>0.99933044801477622</v>
      </c>
    </row>
    <row r="21" spans="1:18">
      <c r="A21" s="209"/>
      <c r="B21" s="343" t="s">
        <v>5</v>
      </c>
      <c r="C21" s="317">
        <f>'Control panel'!B4</f>
        <v>9.6622266302898649E-2</v>
      </c>
      <c r="D21" s="322">
        <f>'Samenvatting mixen'!B16</f>
        <v>2.1676691195087878E-2</v>
      </c>
      <c r="E21" s="85">
        <f>'Samenvatting mixen'!B27</f>
        <v>3.0757474246619087E-3</v>
      </c>
      <c r="F21" s="85">
        <f>'Samenvatting mixen'!B38</f>
        <v>2.0122071463068335E-2</v>
      </c>
      <c r="G21" s="85">
        <f>'Samenvatting mixen'!B49</f>
        <v>4.9022559865304879E-5</v>
      </c>
      <c r="H21" s="85">
        <f>'Samenvatting mixen'!B60</f>
        <v>8.7092826904194774E-5</v>
      </c>
      <c r="I21" s="307">
        <f>'Samenvatting mixen'!B71</f>
        <v>3.0086328638379851E-2</v>
      </c>
      <c r="J21" s="307">
        <f>'[4]Control panel'!F4</f>
        <v>5.9498856944343162E-5</v>
      </c>
    </row>
    <row r="22" spans="1:18">
      <c r="A22" s="209"/>
      <c r="B22" s="343" t="s">
        <v>6</v>
      </c>
      <c r="C22" s="317">
        <f>'Control panel'!B5</f>
        <v>9.4882090946714417E-2</v>
      </c>
      <c r="D22" s="322">
        <f>'Samenvatting mixen'!B17</f>
        <v>4.0938352073271157E-2</v>
      </c>
      <c r="E22" s="85">
        <f>'Samenvatting mixen'!B28</f>
        <v>4.1870558673314753E-2</v>
      </c>
      <c r="F22" s="85">
        <f>'Samenvatting mixen'!B39</f>
        <v>1.1676759873708515E-2</v>
      </c>
      <c r="G22" s="85">
        <f>'Samenvatting mixen'!B50</f>
        <v>4.0346990170727023E-5</v>
      </c>
      <c r="H22" s="85">
        <f>'Samenvatting mixen'!B61</f>
        <v>1.2296545282093044E-4</v>
      </c>
      <c r="I22" s="307">
        <f>'Samenvatting mixen'!B72</f>
        <v>6.4510765165019558E-3</v>
      </c>
      <c r="J22" s="307">
        <f>'[4]Control panel'!F5</f>
        <v>8.6775571303158883E-5</v>
      </c>
    </row>
    <row r="23" spans="1:18">
      <c r="A23" s="209"/>
      <c r="B23" s="343" t="s">
        <v>7</v>
      </c>
      <c r="C23" s="317">
        <f>'Control panel'!B6</f>
        <v>0.10456356326955371</v>
      </c>
      <c r="D23" s="322">
        <f>'Samenvatting mixen'!B18</f>
        <v>1.23325046265014E-3</v>
      </c>
      <c r="E23" s="85">
        <f>'Samenvatting mixen'!B29</f>
        <v>2.884216315482935E-4</v>
      </c>
      <c r="F23" s="85">
        <f>'Samenvatting mixen'!B40</f>
        <v>3.2334217893657752E-3</v>
      </c>
      <c r="G23" s="85">
        <f>'Samenvatting mixen'!B51</f>
        <v>2.5435585217645827E-5</v>
      </c>
      <c r="H23" s="85">
        <f>'Samenvatting mixen'!B62</f>
        <v>8.6440582135674618E-5</v>
      </c>
      <c r="I23" s="307">
        <f>'Samenvatting mixen'!B73</f>
        <v>1.237617808086143E-3</v>
      </c>
      <c r="J23" s="307">
        <f>'[4]Control panel'!F6</f>
        <v>3.3196657987390124E-5</v>
      </c>
    </row>
    <row r="24" spans="1:18">
      <c r="A24" s="209"/>
      <c r="B24" s="343" t="s">
        <v>8</v>
      </c>
      <c r="C24" s="317">
        <f>'Control panel'!B7</f>
        <v>4.8672187041583666E-2</v>
      </c>
      <c r="D24" s="322">
        <f>'Samenvatting mixen'!B19</f>
        <v>0.11596613074290399</v>
      </c>
      <c r="E24" s="85">
        <f>'Samenvatting mixen'!B30</f>
        <v>3.8369167229621321E-3</v>
      </c>
      <c r="F24" s="85">
        <f>'Samenvatting mixen'!B41</f>
        <v>9.4376229418329308E-2</v>
      </c>
      <c r="G24" s="85">
        <f>'Samenvatting mixen'!B52</f>
        <v>4.7942830494579915E-5</v>
      </c>
      <c r="H24" s="85">
        <f>'Samenvatting mixen'!B63</f>
        <v>1.1775119069293206E-4</v>
      </c>
      <c r="I24" s="307">
        <f>'Samenvatting mixen'!B74</f>
        <v>2.8352007145263122E-3</v>
      </c>
      <c r="J24" s="307">
        <f>'[4]Control panel'!F7</f>
        <v>4.8644439396432552E-5</v>
      </c>
    </row>
    <row r="25" spans="1:18">
      <c r="A25" s="209"/>
      <c r="B25" s="343" t="s">
        <v>9</v>
      </c>
      <c r="C25" s="317">
        <f>'Control panel'!B8</f>
        <v>1.8487177597443272E-2</v>
      </c>
      <c r="D25" s="322">
        <f>'Samenvatting mixen'!B20</f>
        <v>0.13649706597906699</v>
      </c>
      <c r="E25" s="85">
        <f>'Samenvatting mixen'!B31</f>
        <v>0.21580135325535327</v>
      </c>
      <c r="F25" s="85">
        <f>'Samenvatting mixen'!B42</f>
        <v>0.14145034811797552</v>
      </c>
      <c r="G25" s="85">
        <f>'Samenvatting mixen'!B53</f>
        <v>3.6554621152360859E-5</v>
      </c>
      <c r="H25" s="85">
        <f>'Samenvatting mixen'!B64</f>
        <v>7.5308671813012167E-5</v>
      </c>
      <c r="I25" s="307">
        <f>'Samenvatting mixen'!B75</f>
        <v>5.0375761983916946E-2</v>
      </c>
      <c r="J25" s="307">
        <f>'[4]Control panel'!F8</f>
        <v>2.3467442398853234E-4</v>
      </c>
    </row>
    <row r="26" spans="1:18">
      <c r="A26" s="209"/>
      <c r="B26" s="343" t="s">
        <v>10</v>
      </c>
      <c r="C26" s="317">
        <f>'Control panel'!B9</f>
        <v>3.0713456071724741E-2</v>
      </c>
      <c r="D26" s="322">
        <f>'Samenvatting mixen'!B21</f>
        <v>2.3916818164114236E-2</v>
      </c>
      <c r="E26" s="85">
        <f>'Samenvatting mixen'!B32</f>
        <v>4.0770060209546436E-3</v>
      </c>
      <c r="F26" s="85">
        <f>'Samenvatting mixen'!B43</f>
        <v>1.6558602905585251E-2</v>
      </c>
      <c r="G26" s="85">
        <f>'Samenvatting mixen'!B54</f>
        <v>1.3559771619691606E-4</v>
      </c>
      <c r="H26" s="85">
        <f>'Samenvatting mixen'!B65</f>
        <v>2.7916419492430906E-2</v>
      </c>
      <c r="I26" s="307">
        <f>'Samenvatting mixen'!B76</f>
        <v>2.7552558441097431E-2</v>
      </c>
      <c r="J26" s="307">
        <f>'[4]Control panel'!F9</f>
        <v>1.5994064696340217E-4</v>
      </c>
    </row>
    <row r="27" spans="1:18">
      <c r="A27" s="209"/>
      <c r="B27" s="344" t="s">
        <v>11</v>
      </c>
      <c r="C27" s="318">
        <f>'Control panel'!B10</f>
        <v>4.4250506739170546E-2</v>
      </c>
      <c r="D27" s="323">
        <f>'Samenvatting mixen'!B22</f>
        <v>1.0322758126537421E-2</v>
      </c>
      <c r="E27" s="308">
        <f>'Samenvatting mixen'!B33</f>
        <v>2.1948952489493057E-3</v>
      </c>
      <c r="F27" s="308">
        <f>'Samenvatting mixen'!B44</f>
        <v>6.2462927743328199E-2</v>
      </c>
      <c r="G27" s="308">
        <f>'Samenvatting mixen'!B55</f>
        <v>7.9590576398047146E-5</v>
      </c>
      <c r="H27" s="308">
        <f>'Samenvatting mixen'!B66</f>
        <v>3.2917240902281185E-4</v>
      </c>
      <c r="I27" s="309">
        <f>'Samenvatting mixen'!B77</f>
        <v>0.10646290113771467</v>
      </c>
      <c r="J27" s="309">
        <f>'[4]Control panel'!F10</f>
        <v>4.6821388640572115E-5</v>
      </c>
    </row>
    <row r="28" spans="1:18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L28" s="209"/>
      <c r="M28" s="209"/>
      <c r="N28" s="209"/>
      <c r="O28" s="209"/>
      <c r="P28" s="209"/>
      <c r="Q28" s="209"/>
      <c r="R28" s="209"/>
    </row>
    <row r="29" spans="1:18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L29" s="209"/>
      <c r="M29" s="209"/>
      <c r="N29" s="209"/>
      <c r="O29" s="209"/>
      <c r="P29" s="209"/>
      <c r="Q29" s="209"/>
      <c r="R29" s="209"/>
    </row>
    <row r="30" spans="1:18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L30" s="209"/>
      <c r="M30" s="209"/>
      <c r="N30" s="209"/>
      <c r="O30" s="209"/>
      <c r="P30" s="209"/>
      <c r="Q30" s="209"/>
      <c r="R30" s="209"/>
    </row>
    <row r="31" spans="1:18">
      <c r="A31" s="209"/>
      <c r="B31" s="209" t="s">
        <v>149</v>
      </c>
      <c r="C31" s="209"/>
      <c r="D31" s="209"/>
      <c r="E31" s="209"/>
      <c r="F31" s="209"/>
      <c r="G31" s="209"/>
      <c r="H31" s="209"/>
      <c r="I31" s="209"/>
      <c r="J31" s="209"/>
      <c r="L31" s="209"/>
      <c r="M31" s="209"/>
      <c r="N31" s="209"/>
      <c r="O31" s="209"/>
      <c r="P31" s="209"/>
      <c r="Q31" s="209"/>
      <c r="R31" s="209"/>
    </row>
    <row r="32" spans="1:18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L32" s="209"/>
      <c r="M32" s="209"/>
      <c r="N32" s="209"/>
      <c r="O32" s="209"/>
      <c r="P32" s="209"/>
      <c r="Q32" s="209"/>
      <c r="R32" s="209"/>
    </row>
    <row r="33" spans="1:18">
      <c r="A33" s="209"/>
      <c r="B33" s="342" t="s">
        <v>101</v>
      </c>
      <c r="C33" s="316" t="s">
        <v>70</v>
      </c>
      <c r="D33" s="321" t="s">
        <v>112</v>
      </c>
      <c r="E33" s="305" t="s">
        <v>144</v>
      </c>
      <c r="F33" s="305" t="s">
        <v>145</v>
      </c>
      <c r="G33" s="305" t="s">
        <v>113</v>
      </c>
      <c r="H33" s="305" t="s">
        <v>114</v>
      </c>
      <c r="I33" s="306" t="s">
        <v>128</v>
      </c>
      <c r="J33" s="306" t="s">
        <v>143</v>
      </c>
      <c r="L33" s="209"/>
      <c r="M33" s="209"/>
      <c r="N33" s="209"/>
      <c r="O33" s="209"/>
      <c r="P33" s="209"/>
      <c r="Q33" s="209"/>
      <c r="R33" s="209"/>
    </row>
    <row r="34" spans="1:18">
      <c r="A34" s="209"/>
      <c r="B34" s="343" t="s">
        <v>4</v>
      </c>
      <c r="C34" s="317">
        <f>C20</f>
        <v>0.56180875203091096</v>
      </c>
      <c r="D34" s="322">
        <v>0.60848087749416713</v>
      </c>
      <c r="E34" s="85">
        <v>0.63429380289218151</v>
      </c>
      <c r="F34" s="85">
        <v>0.5878273206766802</v>
      </c>
      <c r="G34" s="85">
        <v>0.64766517686265979</v>
      </c>
      <c r="H34" s="85">
        <v>0.64802733648459176</v>
      </c>
      <c r="I34" s="307">
        <v>0.64766517686265979</v>
      </c>
      <c r="J34" s="307">
        <v>0.99933044801477622</v>
      </c>
      <c r="L34" s="209"/>
      <c r="M34" s="209"/>
      <c r="N34" s="209"/>
      <c r="O34" s="209"/>
      <c r="P34" s="209"/>
      <c r="Q34" s="209"/>
      <c r="R34" s="209"/>
    </row>
    <row r="35" spans="1:18">
      <c r="A35" s="209"/>
      <c r="B35" s="343" t="s">
        <v>5</v>
      </c>
      <c r="C35" s="317">
        <f t="shared" ref="C35:C41" si="7">C21</f>
        <v>9.6622266302898649E-2</v>
      </c>
      <c r="D35" s="322">
        <v>8.9321968820360448E-2</v>
      </c>
      <c r="E35" s="85">
        <v>5.685023652253203E-2</v>
      </c>
      <c r="F35" s="85">
        <v>0.12649916600153724</v>
      </c>
      <c r="G35" s="85">
        <v>8.4241886801590157E-2</v>
      </c>
      <c r="H35" s="85">
        <v>9.0355995593255425E-2</v>
      </c>
      <c r="I35" s="307">
        <v>8.4241886801590157E-2</v>
      </c>
      <c r="J35" s="307">
        <v>5.9498856944343162E-5</v>
      </c>
      <c r="L35" s="209"/>
      <c r="M35" s="209"/>
      <c r="N35" s="209"/>
      <c r="O35" s="209"/>
      <c r="P35" s="209"/>
      <c r="Q35" s="209"/>
      <c r="R35" s="209"/>
    </row>
    <row r="36" spans="1:18">
      <c r="A36" s="209"/>
      <c r="B36" s="343" t="s">
        <v>6</v>
      </c>
      <c r="C36" s="317">
        <f t="shared" si="7"/>
        <v>9.4882090946714417E-2</v>
      </c>
      <c r="D36" s="322">
        <v>6.3441864914029672E-2</v>
      </c>
      <c r="E36" s="85">
        <v>8.9930545151678407E-2</v>
      </c>
      <c r="F36" s="85">
        <v>5.7401129472963497E-2</v>
      </c>
      <c r="G36" s="85">
        <v>7.9334547678456518E-2</v>
      </c>
      <c r="H36" s="85">
        <v>7.3788193615281938E-2</v>
      </c>
      <c r="I36" s="307">
        <v>7.9334547678456518E-2</v>
      </c>
      <c r="J36" s="307">
        <v>8.6775571303158883E-5</v>
      </c>
      <c r="L36" s="209"/>
      <c r="M36" s="209"/>
      <c r="N36" s="209"/>
      <c r="O36" s="209"/>
      <c r="P36" s="209"/>
      <c r="Q36" s="209"/>
      <c r="R36" s="209"/>
    </row>
    <row r="37" spans="1:18">
      <c r="A37" s="209"/>
      <c r="B37" s="343" t="s">
        <v>7</v>
      </c>
      <c r="C37" s="317">
        <f t="shared" si="7"/>
        <v>0.10456356326955371</v>
      </c>
      <c r="D37" s="322">
        <v>7.8609831420599921E-2</v>
      </c>
      <c r="E37" s="85">
        <v>7.7569179994081194E-2</v>
      </c>
      <c r="F37" s="85">
        <v>8.4225719434486215E-2</v>
      </c>
      <c r="G37" s="85">
        <v>7.7910827116559708E-2</v>
      </c>
      <c r="H37" s="85">
        <v>7.8006868264857004E-2</v>
      </c>
      <c r="I37" s="307">
        <v>7.7910827116559708E-2</v>
      </c>
      <c r="J37" s="307">
        <v>3.3196657987390124E-5</v>
      </c>
      <c r="L37" s="209"/>
      <c r="M37" s="209"/>
      <c r="N37" s="209"/>
      <c r="O37" s="209"/>
      <c r="P37" s="209"/>
      <c r="Q37" s="209"/>
      <c r="R37" s="209"/>
    </row>
    <row r="38" spans="1:18">
      <c r="A38" s="209"/>
      <c r="B38" s="343" t="s">
        <v>8</v>
      </c>
      <c r="C38" s="317">
        <f t="shared" si="7"/>
        <v>4.8672187041583666E-2</v>
      </c>
      <c r="D38" s="322">
        <v>4.6880183306017301E-2</v>
      </c>
      <c r="E38" s="85">
        <v>3.3325239711635021E-2</v>
      </c>
      <c r="F38" s="85">
        <v>5.394454250764967E-2</v>
      </c>
      <c r="G38" s="85">
        <v>2.8116666145894708E-2</v>
      </c>
      <c r="H38" s="85">
        <v>2.7032403552113084E-2</v>
      </c>
      <c r="I38" s="307">
        <v>2.8116666145894708E-2</v>
      </c>
      <c r="J38" s="307">
        <v>4.8644439396432552E-5</v>
      </c>
      <c r="L38" s="209"/>
      <c r="M38" s="209"/>
      <c r="N38" s="209"/>
      <c r="O38" s="209"/>
      <c r="P38" s="209"/>
      <c r="Q38" s="209"/>
      <c r="R38" s="209"/>
    </row>
    <row r="39" spans="1:18">
      <c r="A39" s="209"/>
      <c r="B39" s="343" t="s">
        <v>9</v>
      </c>
      <c r="C39" s="317">
        <f t="shared" si="7"/>
        <v>1.8487177597443272E-2</v>
      </c>
      <c r="D39" s="322">
        <v>3.2526096489757371E-2</v>
      </c>
      <c r="E39" s="85">
        <v>2.7291818172822932E-2</v>
      </c>
      <c r="F39" s="85">
        <v>9.3629443516143884E-3</v>
      </c>
      <c r="G39" s="85">
        <v>1.9917178397705921E-3</v>
      </c>
      <c r="H39" s="85">
        <v>2.0500249348322582E-3</v>
      </c>
      <c r="I39" s="307">
        <v>1.9917178397705921E-3</v>
      </c>
      <c r="J39" s="307">
        <v>2.3467442398853234E-4</v>
      </c>
      <c r="L39" s="209"/>
      <c r="M39" s="209"/>
      <c r="N39" s="209"/>
      <c r="O39" s="209"/>
      <c r="P39" s="209"/>
      <c r="Q39" s="209"/>
      <c r="R39" s="209"/>
    </row>
    <row r="40" spans="1:18">
      <c r="A40" s="209"/>
      <c r="B40" s="343" t="s">
        <v>10</v>
      </c>
      <c r="C40" s="317">
        <f t="shared" si="7"/>
        <v>3.0713456071724741E-2</v>
      </c>
      <c r="D40" s="322">
        <v>3.2197057464982567E-2</v>
      </c>
      <c r="E40" s="85">
        <v>3.2197057464982567E-2</v>
      </c>
      <c r="F40" s="85">
        <v>3.2197057464982567E-2</v>
      </c>
      <c r="G40" s="85">
        <v>3.2197057464982567E-2</v>
      </c>
      <c r="H40" s="85">
        <v>3.2197057464982567E-2</v>
      </c>
      <c r="I40" s="307">
        <v>3.2197057464982567E-2</v>
      </c>
      <c r="J40" s="307">
        <v>1.5994064696340217E-4</v>
      </c>
      <c r="L40" s="209"/>
      <c r="M40" s="209"/>
      <c r="N40" s="209"/>
      <c r="O40" s="209"/>
      <c r="P40" s="209"/>
      <c r="Q40" s="209"/>
      <c r="R40" s="209"/>
    </row>
    <row r="41" spans="1:18">
      <c r="A41" s="209"/>
      <c r="B41" s="344" t="s">
        <v>11</v>
      </c>
      <c r="C41" s="318">
        <f t="shared" si="7"/>
        <v>4.4250506739170546E-2</v>
      </c>
      <c r="D41" s="323">
        <v>4.8542120090085746E-2</v>
      </c>
      <c r="E41" s="308">
        <v>4.8542120090085746E-2</v>
      </c>
      <c r="F41" s="308">
        <v>4.8542120090085746E-2</v>
      </c>
      <c r="G41" s="308">
        <v>4.8542120090085746E-2</v>
      </c>
      <c r="H41" s="308">
        <v>4.8542120090085746E-2</v>
      </c>
      <c r="I41" s="309">
        <v>4.8542120090085746E-2</v>
      </c>
      <c r="J41" s="309">
        <v>4.6821388640572115E-5</v>
      </c>
      <c r="L41" s="209"/>
      <c r="M41" s="209"/>
      <c r="N41" s="209"/>
      <c r="O41" s="209"/>
      <c r="P41" s="209"/>
      <c r="Q41" s="209"/>
      <c r="R41" s="209"/>
    </row>
    <row r="42" spans="1:18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L42" s="209"/>
      <c r="M42" s="209"/>
      <c r="N42" s="209"/>
      <c r="O42" s="209"/>
      <c r="P42" s="209"/>
      <c r="Q42" s="209"/>
      <c r="R42" s="209"/>
    </row>
    <row r="43" spans="1:18">
      <c r="A43" s="209"/>
      <c r="B43" s="209"/>
      <c r="C43" s="209"/>
      <c r="D43" s="209"/>
      <c r="E43" s="209"/>
      <c r="F43" s="209"/>
      <c r="G43" s="209"/>
      <c r="H43" s="209"/>
      <c r="I43" s="209"/>
      <c r="J43" s="209"/>
      <c r="L43" s="209"/>
      <c r="M43" s="209"/>
      <c r="N43" s="209"/>
      <c r="O43" s="209"/>
      <c r="P43" s="209"/>
      <c r="Q43" s="209"/>
      <c r="R43" s="209"/>
    </row>
    <row r="44" spans="1:18">
      <c r="A44" s="209"/>
      <c r="B44" s="209"/>
      <c r="C44" s="209"/>
      <c r="D44" s="209"/>
      <c r="E44" s="209"/>
      <c r="F44" s="209"/>
      <c r="G44" s="209"/>
      <c r="H44" s="209"/>
      <c r="I44" s="209"/>
      <c r="J44" s="209"/>
      <c r="L44" s="209"/>
      <c r="M44" s="209"/>
      <c r="N44" s="209"/>
      <c r="O44" s="209"/>
      <c r="P44" s="209"/>
      <c r="Q44" s="209"/>
      <c r="R44" s="209"/>
    </row>
    <row r="45" spans="1:18">
      <c r="A45" s="209"/>
      <c r="B45" s="342" t="s">
        <v>101</v>
      </c>
      <c r="C45" s="316" t="s">
        <v>70</v>
      </c>
      <c r="D45" s="321" t="s">
        <v>112</v>
      </c>
      <c r="E45" s="305" t="s">
        <v>144</v>
      </c>
      <c r="F45" s="305" t="s">
        <v>145</v>
      </c>
      <c r="G45" s="305" t="s">
        <v>113</v>
      </c>
      <c r="H45" s="305" t="s">
        <v>114</v>
      </c>
      <c r="I45" s="306" t="s">
        <v>128</v>
      </c>
      <c r="J45" s="306" t="s">
        <v>143</v>
      </c>
      <c r="L45" s="209"/>
      <c r="M45" s="209"/>
      <c r="N45" s="209"/>
      <c r="O45" s="209"/>
      <c r="P45" s="209"/>
      <c r="Q45" s="209"/>
      <c r="R45" s="209"/>
    </row>
    <row r="46" spans="1:18">
      <c r="A46" s="209"/>
      <c r="B46" s="343" t="s">
        <v>4</v>
      </c>
      <c r="C46" s="317">
        <f>'Control panel'!B3</f>
        <v>0.56180875203091096</v>
      </c>
      <c r="D46" s="322">
        <f t="shared" ref="D46:J53" si="8">D20-D34</f>
        <v>4.0968055762201305E-2</v>
      </c>
      <c r="E46" s="85">
        <f t="shared" si="8"/>
        <v>9.4561298130074745E-2</v>
      </c>
      <c r="F46" s="85">
        <f t="shared" si="8"/>
        <v>6.2292318011958892E-2</v>
      </c>
      <c r="G46" s="85">
        <f t="shared" si="8"/>
        <v>0.35192033225784491</v>
      </c>
      <c r="H46" s="85">
        <f t="shared" si="8"/>
        <v>0.32323751288958802</v>
      </c>
      <c r="I46" s="307">
        <f t="shared" si="8"/>
        <v>0.12733337789711718</v>
      </c>
      <c r="J46" s="307">
        <f t="shared" si="8"/>
        <v>0</v>
      </c>
      <c r="L46" s="209"/>
      <c r="M46" s="209"/>
      <c r="N46" s="209"/>
      <c r="O46" s="209"/>
      <c r="P46" s="209"/>
      <c r="Q46" s="209"/>
      <c r="R46" s="209"/>
    </row>
    <row r="47" spans="1:18">
      <c r="A47" s="209"/>
      <c r="B47" s="343" t="s">
        <v>5</v>
      </c>
      <c r="C47" s="317">
        <f>'Control panel'!B4</f>
        <v>9.6622266302898649E-2</v>
      </c>
      <c r="D47" s="322">
        <f t="shared" si="8"/>
        <v>-6.7645277625272573E-2</v>
      </c>
      <c r="E47" s="85">
        <f t="shared" si="8"/>
        <v>-5.3774489097870123E-2</v>
      </c>
      <c r="F47" s="85">
        <f t="shared" si="8"/>
        <v>-0.1063770945384689</v>
      </c>
      <c r="G47" s="85">
        <f t="shared" si="8"/>
        <v>-8.4192864241724855E-2</v>
      </c>
      <c r="H47" s="85">
        <f t="shared" si="8"/>
        <v>-9.0268902766351231E-2</v>
      </c>
      <c r="I47" s="307">
        <f t="shared" si="8"/>
        <v>-5.4155558163210306E-2</v>
      </c>
      <c r="J47" s="307">
        <f t="shared" si="8"/>
        <v>0</v>
      </c>
      <c r="L47" s="209"/>
      <c r="M47" s="209"/>
      <c r="N47" s="209"/>
      <c r="O47" s="209"/>
      <c r="P47" s="209"/>
      <c r="Q47" s="209"/>
      <c r="R47" s="209"/>
    </row>
    <row r="48" spans="1:18">
      <c r="A48" s="209"/>
      <c r="B48" s="343" t="s">
        <v>6</v>
      </c>
      <c r="C48" s="317">
        <f>'Control panel'!B5</f>
        <v>9.4882090946714417E-2</v>
      </c>
      <c r="D48" s="322">
        <f t="shared" si="8"/>
        <v>-2.2503512840758515E-2</v>
      </c>
      <c r="E48" s="85">
        <f t="shared" si="8"/>
        <v>-4.8059986478363653E-2</v>
      </c>
      <c r="F48" s="85">
        <f t="shared" si="8"/>
        <v>-4.572436959925498E-2</v>
      </c>
      <c r="G48" s="85">
        <f t="shared" si="8"/>
        <v>-7.9294200688285785E-2</v>
      </c>
      <c r="H48" s="85">
        <f t="shared" si="8"/>
        <v>-7.3665228162461002E-2</v>
      </c>
      <c r="I48" s="307">
        <f t="shared" si="8"/>
        <v>-7.2883471161954566E-2</v>
      </c>
      <c r="J48" s="307">
        <f t="shared" si="8"/>
        <v>0</v>
      </c>
      <c r="L48" s="209"/>
      <c r="M48" s="209"/>
      <c r="N48" s="209"/>
      <c r="O48" s="209"/>
      <c r="P48" s="209"/>
      <c r="Q48" s="209"/>
      <c r="R48" s="209"/>
    </row>
    <row r="49" spans="1:18">
      <c r="A49" s="209"/>
      <c r="B49" s="343" t="s">
        <v>7</v>
      </c>
      <c r="C49" s="317">
        <f>'Control panel'!B6</f>
        <v>0.10456356326955371</v>
      </c>
      <c r="D49" s="322">
        <f t="shared" si="8"/>
        <v>-7.7376580957949775E-2</v>
      </c>
      <c r="E49" s="85">
        <f t="shared" si="8"/>
        <v>-7.7280758362532898E-2</v>
      </c>
      <c r="F49" s="85">
        <f t="shared" si="8"/>
        <v>-8.0992297645120434E-2</v>
      </c>
      <c r="G49" s="85">
        <f t="shared" si="8"/>
        <v>-7.7885391531342066E-2</v>
      </c>
      <c r="H49" s="85">
        <f t="shared" si="8"/>
        <v>-7.7920427682721324E-2</v>
      </c>
      <c r="I49" s="307">
        <f t="shared" si="8"/>
        <v>-7.6673209308473572E-2</v>
      </c>
      <c r="J49" s="307">
        <f t="shared" si="8"/>
        <v>0</v>
      </c>
      <c r="L49" s="209"/>
      <c r="M49" s="209"/>
      <c r="N49" s="209"/>
      <c r="O49" s="209"/>
      <c r="P49" s="209"/>
      <c r="Q49" s="209"/>
      <c r="R49" s="209"/>
    </row>
    <row r="50" spans="1:18">
      <c r="A50" s="209"/>
      <c r="B50" s="343" t="s">
        <v>8</v>
      </c>
      <c r="C50" s="317">
        <f>'Control panel'!B7</f>
        <v>4.8672187041583666E-2</v>
      </c>
      <c r="D50" s="322">
        <f>D24-D38</f>
        <v>6.9085947436886688E-2</v>
      </c>
      <c r="E50" s="85">
        <f t="shared" si="8"/>
        <v>-2.9488322988672891E-2</v>
      </c>
      <c r="F50" s="85">
        <f t="shared" si="8"/>
        <v>4.0431686910679637E-2</v>
      </c>
      <c r="G50" s="85">
        <f t="shared" si="8"/>
        <v>-2.8068723315400126E-2</v>
      </c>
      <c r="H50" s="85">
        <f t="shared" si="8"/>
        <v>-2.6914652361420151E-2</v>
      </c>
      <c r="I50" s="307">
        <f t="shared" si="8"/>
        <v>-2.5281465431368395E-2</v>
      </c>
      <c r="J50" s="307">
        <f t="shared" si="8"/>
        <v>0</v>
      </c>
      <c r="L50" s="209"/>
      <c r="M50" s="209"/>
      <c r="N50" s="209"/>
      <c r="O50" s="209"/>
      <c r="P50" s="209"/>
      <c r="Q50" s="209"/>
      <c r="R50" s="209"/>
    </row>
    <row r="51" spans="1:18">
      <c r="A51" s="209"/>
      <c r="B51" s="343" t="s">
        <v>9</v>
      </c>
      <c r="C51" s="317">
        <f>'Control panel'!B8</f>
        <v>1.8487177597443272E-2</v>
      </c>
      <c r="D51" s="322">
        <f t="shared" si="8"/>
        <v>0.10397096948930962</v>
      </c>
      <c r="E51" s="85">
        <f t="shared" si="8"/>
        <v>0.18850953508253032</v>
      </c>
      <c r="F51" s="85">
        <f t="shared" si="8"/>
        <v>0.13208740376636113</v>
      </c>
      <c r="G51" s="85">
        <f t="shared" si="8"/>
        <v>-1.9551632186182314E-3</v>
      </c>
      <c r="H51" s="85">
        <f t="shared" si="8"/>
        <v>-1.9747162630192462E-3</v>
      </c>
      <c r="I51" s="307">
        <f t="shared" si="8"/>
        <v>4.8384044144146356E-2</v>
      </c>
      <c r="J51" s="307">
        <f t="shared" si="8"/>
        <v>0</v>
      </c>
      <c r="L51" s="209"/>
      <c r="M51" s="209"/>
      <c r="N51" s="209"/>
      <c r="O51" s="209"/>
      <c r="P51" s="209"/>
      <c r="Q51" s="209"/>
      <c r="R51" s="209"/>
    </row>
    <row r="52" spans="1:18">
      <c r="A52" s="209"/>
      <c r="B52" s="343" t="s">
        <v>10</v>
      </c>
      <c r="C52" s="317">
        <f>'Control panel'!B9</f>
        <v>3.0713456071724741E-2</v>
      </c>
      <c r="D52" s="322">
        <f t="shared" si="8"/>
        <v>-8.280239300868332E-3</v>
      </c>
      <c r="E52" s="85">
        <f t="shared" si="8"/>
        <v>-2.8120051444027926E-2</v>
      </c>
      <c r="F52" s="85">
        <f t="shared" si="8"/>
        <v>-1.5638454559397316E-2</v>
      </c>
      <c r="G52" s="85">
        <f t="shared" si="8"/>
        <v>-3.2061459748785652E-2</v>
      </c>
      <c r="H52" s="85">
        <f t="shared" si="8"/>
        <v>-4.2806379725516611E-3</v>
      </c>
      <c r="I52" s="307">
        <f t="shared" si="8"/>
        <v>-4.6444990238851368E-3</v>
      </c>
      <c r="J52" s="307">
        <f t="shared" si="8"/>
        <v>0</v>
      </c>
      <c r="L52" s="209"/>
      <c r="M52" s="209"/>
      <c r="N52" s="209"/>
      <c r="O52" s="209"/>
      <c r="P52" s="209"/>
      <c r="Q52" s="209"/>
      <c r="R52" s="209"/>
    </row>
    <row r="53" spans="1:18">
      <c r="A53" s="209"/>
      <c r="B53" s="344" t="s">
        <v>11</v>
      </c>
      <c r="C53" s="318">
        <f>'Control panel'!B10</f>
        <v>4.4250506739170546E-2</v>
      </c>
      <c r="D53" s="323">
        <f t="shared" si="8"/>
        <v>-3.8219361963548325E-2</v>
      </c>
      <c r="E53" s="308">
        <f t="shared" si="8"/>
        <v>-4.6347224841136438E-2</v>
      </c>
      <c r="F53" s="308">
        <f t="shared" si="8"/>
        <v>1.3920807653242454E-2</v>
      </c>
      <c r="G53" s="308">
        <f t="shared" si="8"/>
        <v>-4.8462529513687701E-2</v>
      </c>
      <c r="H53" s="308">
        <f t="shared" si="8"/>
        <v>-4.8212947681062934E-2</v>
      </c>
      <c r="I53" s="309">
        <f t="shared" si="8"/>
        <v>5.7920781047628926E-2</v>
      </c>
      <c r="J53" s="309">
        <f t="shared" si="8"/>
        <v>0</v>
      </c>
      <c r="L53" s="209"/>
      <c r="M53" s="209"/>
      <c r="N53" s="209"/>
      <c r="O53" s="209"/>
      <c r="P53" s="209"/>
      <c r="Q53" s="209"/>
      <c r="R53" s="209"/>
    </row>
    <row r="54" spans="1:18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L54" s="209"/>
      <c r="M54" s="209"/>
      <c r="N54" s="209"/>
      <c r="O54" s="209"/>
      <c r="P54" s="209"/>
      <c r="Q54" s="209"/>
      <c r="R54" s="209"/>
    </row>
    <row r="55" spans="1:18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L55" s="209"/>
      <c r="M55" s="209"/>
      <c r="N55" s="209"/>
      <c r="O55" s="209"/>
      <c r="P55" s="209"/>
      <c r="Q55" s="209"/>
      <c r="R55" s="209"/>
    </row>
    <row r="56" spans="1:18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L56" s="209"/>
      <c r="M56" s="209"/>
      <c r="N56" s="209"/>
      <c r="O56" s="209"/>
      <c r="P56" s="209"/>
      <c r="Q56" s="209"/>
      <c r="R56" s="209"/>
    </row>
    <row r="57" spans="1:18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L57" s="209"/>
      <c r="M57" s="209"/>
      <c r="N57" s="209"/>
      <c r="O57" s="209"/>
      <c r="P57" s="209"/>
      <c r="Q57" s="209"/>
      <c r="R57" s="209"/>
    </row>
    <row r="58" spans="1:18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L58" s="209"/>
      <c r="M58" s="209"/>
      <c r="N58" s="209"/>
      <c r="O58" s="209"/>
      <c r="P58" s="209"/>
      <c r="Q58" s="209"/>
      <c r="R58" s="209"/>
    </row>
    <row r="59" spans="1:18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L59" s="209"/>
      <c r="M59" s="209"/>
      <c r="N59" s="209"/>
      <c r="O59" s="209"/>
      <c r="P59" s="209"/>
      <c r="Q59" s="209"/>
      <c r="R59" s="209"/>
    </row>
    <row r="60" spans="1:18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L60" s="209"/>
      <c r="M60" s="209"/>
      <c r="N60" s="209"/>
      <c r="O60" s="209"/>
      <c r="P60" s="209"/>
      <c r="Q60" s="209"/>
      <c r="R60" s="209"/>
    </row>
    <row r="61" spans="1:18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L61" s="209"/>
      <c r="M61" s="209"/>
      <c r="N61" s="209"/>
      <c r="O61" s="209"/>
      <c r="P61" s="209"/>
      <c r="Q61" s="209"/>
      <c r="R61" s="209"/>
    </row>
    <row r="62" spans="1:18">
      <c r="A62" s="209"/>
      <c r="B62" s="342" t="s">
        <v>101</v>
      </c>
      <c r="C62" s="316" t="s">
        <v>70</v>
      </c>
      <c r="D62" s="209"/>
      <c r="E62" s="321" t="s">
        <v>112</v>
      </c>
      <c r="F62" s="316" t="s">
        <v>146</v>
      </c>
      <c r="G62" s="209"/>
      <c r="H62" s="321" t="s">
        <v>145</v>
      </c>
      <c r="I62" s="316" t="s">
        <v>146</v>
      </c>
      <c r="J62" s="209"/>
      <c r="L62" s="209"/>
      <c r="M62" s="209"/>
      <c r="N62" s="209"/>
      <c r="O62" s="209"/>
      <c r="P62" s="209"/>
      <c r="Q62" s="209"/>
      <c r="R62" s="209"/>
    </row>
    <row r="63" spans="1:18">
      <c r="A63" s="209"/>
      <c r="B63" s="343" t="s">
        <v>4</v>
      </c>
      <c r="C63" s="317">
        <f>'Control panel'!B3</f>
        <v>0.56180875203091096</v>
      </c>
      <c r="D63" s="209"/>
      <c r="E63" s="322">
        <f>'Samenvatting mixen'!B15</f>
        <v>0.64944893325636843</v>
      </c>
      <c r="F63" s="317">
        <f>E63-C63</f>
        <v>8.764018122545747E-2</v>
      </c>
      <c r="G63" s="209"/>
      <c r="H63" s="322">
        <f>'Samenvatting mixen'!B37</f>
        <v>0.65011963868863909</v>
      </c>
      <c r="I63" s="317">
        <f>H63-C63</f>
        <v>8.8310886657728127E-2</v>
      </c>
      <c r="J63" s="209"/>
      <c r="L63" s="209"/>
      <c r="M63" s="209"/>
      <c r="N63" s="209"/>
      <c r="O63" s="209"/>
      <c r="P63" s="209"/>
      <c r="Q63" s="209"/>
      <c r="R63" s="209"/>
    </row>
    <row r="64" spans="1:18">
      <c r="A64" s="209"/>
      <c r="B64" s="343" t="s">
        <v>5</v>
      </c>
      <c r="C64" s="317">
        <f>'Control panel'!B4</f>
        <v>9.6622266302898649E-2</v>
      </c>
      <c r="D64" s="209"/>
      <c r="E64" s="322">
        <f>'Samenvatting mixen'!B16</f>
        <v>2.1676691195087878E-2</v>
      </c>
      <c r="F64" s="317">
        <f t="shared" ref="F64:F70" si="9">E64-C64</f>
        <v>-7.4945575107810775E-2</v>
      </c>
      <c r="G64" s="209"/>
      <c r="H64" s="322">
        <f>'Samenvatting mixen'!B38</f>
        <v>2.0122071463068335E-2</v>
      </c>
      <c r="I64" s="317">
        <f t="shared" ref="I64:I70" si="10">H64-C64</f>
        <v>-7.650019483983031E-2</v>
      </c>
      <c r="J64" s="209"/>
      <c r="L64" s="209"/>
      <c r="M64" s="209"/>
      <c r="N64" s="209"/>
      <c r="O64" s="209"/>
      <c r="P64" s="209"/>
      <c r="Q64" s="209"/>
      <c r="R64" s="209"/>
    </row>
    <row r="65" spans="1:18">
      <c r="A65" s="209"/>
      <c r="B65" s="343" t="s">
        <v>6</v>
      </c>
      <c r="C65" s="317">
        <f>'Control panel'!B5</f>
        <v>9.4882090946714417E-2</v>
      </c>
      <c r="D65" s="209"/>
      <c r="E65" s="322">
        <f>'Samenvatting mixen'!B17</f>
        <v>4.0938352073271157E-2</v>
      </c>
      <c r="F65" s="317">
        <f t="shared" si="9"/>
        <v>-5.394373887344326E-2</v>
      </c>
      <c r="G65" s="209"/>
      <c r="H65" s="322">
        <f>'Samenvatting mixen'!B39</f>
        <v>1.1676759873708515E-2</v>
      </c>
      <c r="I65" s="317">
        <f t="shared" si="10"/>
        <v>-8.32053310730059E-2</v>
      </c>
      <c r="J65" s="209"/>
      <c r="L65" s="209"/>
      <c r="M65" s="209"/>
      <c r="N65" s="209"/>
      <c r="O65" s="209"/>
      <c r="P65" s="209"/>
      <c r="Q65" s="209"/>
      <c r="R65" s="209"/>
    </row>
    <row r="66" spans="1:18">
      <c r="A66" s="209"/>
      <c r="B66" s="343" t="s">
        <v>7</v>
      </c>
      <c r="C66" s="317">
        <f>'Control panel'!B6</f>
        <v>0.10456356326955371</v>
      </c>
      <c r="D66" s="209"/>
      <c r="E66" s="322">
        <f>'Samenvatting mixen'!B18</f>
        <v>1.23325046265014E-3</v>
      </c>
      <c r="F66" s="317">
        <f t="shared" si="9"/>
        <v>-0.10333031280690357</v>
      </c>
      <c r="G66" s="209"/>
      <c r="H66" s="322">
        <f>'Samenvatting mixen'!B40</f>
        <v>3.2334217893657752E-3</v>
      </c>
      <c r="I66" s="317">
        <f t="shared" si="10"/>
        <v>-0.10133014148018793</v>
      </c>
      <c r="J66" s="209"/>
      <c r="L66" s="209"/>
      <c r="M66" s="209"/>
      <c r="N66" s="209"/>
      <c r="O66" s="209"/>
      <c r="P66" s="209"/>
      <c r="Q66" s="209"/>
      <c r="R66" s="209"/>
    </row>
    <row r="67" spans="1:18">
      <c r="A67" s="209"/>
      <c r="B67" s="343" t="s">
        <v>8</v>
      </c>
      <c r="C67" s="317">
        <f>'Control panel'!B7</f>
        <v>4.8672187041583666E-2</v>
      </c>
      <c r="D67" s="209"/>
      <c r="E67" s="322">
        <f>'Samenvatting mixen'!B19</f>
        <v>0.11596613074290399</v>
      </c>
      <c r="F67" s="317">
        <f t="shared" si="9"/>
        <v>6.729394370132033E-2</v>
      </c>
      <c r="G67" s="209"/>
      <c r="H67" s="322">
        <f>'Samenvatting mixen'!B41</f>
        <v>9.4376229418329308E-2</v>
      </c>
      <c r="I67" s="317">
        <f t="shared" si="10"/>
        <v>4.5704042376745642E-2</v>
      </c>
      <c r="J67" s="209"/>
      <c r="L67" s="209"/>
      <c r="M67" s="209"/>
      <c r="N67" s="209"/>
      <c r="O67" s="209"/>
      <c r="P67" s="209"/>
      <c r="Q67" s="209"/>
      <c r="R67" s="209"/>
    </row>
    <row r="68" spans="1:18">
      <c r="A68" s="209"/>
      <c r="B68" s="343" t="s">
        <v>9</v>
      </c>
      <c r="C68" s="317">
        <f>'Control panel'!B8</f>
        <v>1.8487177597443272E-2</v>
      </c>
      <c r="D68" s="209"/>
      <c r="E68" s="322">
        <f>'Samenvatting mixen'!B20</f>
        <v>0.13649706597906699</v>
      </c>
      <c r="F68" s="317">
        <f t="shared" si="9"/>
        <v>0.11800988838162373</v>
      </c>
      <c r="G68" s="209"/>
      <c r="H68" s="322">
        <f>'Samenvatting mixen'!B42</f>
        <v>0.14145034811797552</v>
      </c>
      <c r="I68" s="317">
        <f t="shared" si="10"/>
        <v>0.12296317052053225</v>
      </c>
      <c r="J68" s="209"/>
      <c r="L68" s="209"/>
      <c r="M68" s="209"/>
      <c r="N68" s="209"/>
      <c r="O68" s="209"/>
      <c r="P68" s="209"/>
      <c r="Q68" s="209"/>
      <c r="R68" s="209"/>
    </row>
    <row r="69" spans="1:18">
      <c r="A69" s="209"/>
      <c r="B69" s="343" t="s">
        <v>10</v>
      </c>
      <c r="C69" s="317">
        <f>'Control panel'!B9</f>
        <v>3.0713456071724741E-2</v>
      </c>
      <c r="D69" s="209"/>
      <c r="E69" s="322">
        <f>'Samenvatting mixen'!B21</f>
        <v>2.3916818164114236E-2</v>
      </c>
      <c r="F69" s="317">
        <f t="shared" si="9"/>
        <v>-6.7966379076105053E-3</v>
      </c>
      <c r="G69" s="209"/>
      <c r="H69" s="322">
        <f>'Samenvatting mixen'!B43</f>
        <v>1.6558602905585251E-2</v>
      </c>
      <c r="I69" s="317">
        <f t="shared" si="10"/>
        <v>-1.415485316613949E-2</v>
      </c>
      <c r="J69" s="209"/>
      <c r="L69" s="209"/>
      <c r="M69" s="209"/>
      <c r="N69" s="209"/>
      <c r="O69" s="209"/>
      <c r="P69" s="209"/>
      <c r="Q69" s="209"/>
      <c r="R69" s="209"/>
    </row>
    <row r="70" spans="1:18">
      <c r="A70" s="209"/>
      <c r="B70" s="344" t="s">
        <v>11</v>
      </c>
      <c r="C70" s="318">
        <f>'Control panel'!B10</f>
        <v>4.4250506739170546E-2</v>
      </c>
      <c r="D70" s="209"/>
      <c r="E70" s="323">
        <f>'Samenvatting mixen'!B22</f>
        <v>1.0322758126537421E-2</v>
      </c>
      <c r="F70" s="318">
        <f t="shared" si="9"/>
        <v>-3.3927748612633125E-2</v>
      </c>
      <c r="G70" s="209"/>
      <c r="H70" s="323">
        <f>'Samenvatting mixen'!B44</f>
        <v>6.2462927743328199E-2</v>
      </c>
      <c r="I70" s="318">
        <f t="shared" si="10"/>
        <v>1.8212421004157653E-2</v>
      </c>
      <c r="J70" s="209"/>
      <c r="L70" s="209"/>
      <c r="M70" s="209"/>
      <c r="N70" s="209"/>
      <c r="O70" s="209"/>
      <c r="P70" s="209"/>
      <c r="Q70" s="209"/>
      <c r="R70" s="209"/>
    </row>
    <row r="71" spans="1:18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L71" s="209"/>
      <c r="M71" s="209"/>
      <c r="N71" s="209"/>
      <c r="O71" s="209"/>
      <c r="P71" s="209"/>
      <c r="Q71" s="209"/>
      <c r="R71" s="209"/>
    </row>
    <row r="72" spans="1:18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L72" s="209"/>
      <c r="M72" s="209"/>
      <c r="N72" s="209"/>
      <c r="O72" s="209"/>
      <c r="P72" s="209"/>
      <c r="Q72" s="209"/>
      <c r="R72" s="209"/>
    </row>
    <row r="73" spans="1:18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L73" s="209"/>
      <c r="M73" s="209"/>
      <c r="N73" s="209"/>
      <c r="O73" s="209"/>
      <c r="P73" s="209"/>
      <c r="Q73" s="209"/>
      <c r="R73" s="209"/>
    </row>
    <row r="74" spans="1:18">
      <c r="A74" s="209"/>
      <c r="B74" s="342" t="s">
        <v>150</v>
      </c>
      <c r="C74" s="361" t="s">
        <v>70</v>
      </c>
      <c r="D74" s="361" t="s">
        <v>91</v>
      </c>
      <c r="E74" s="361" t="s">
        <v>92</v>
      </c>
      <c r="F74" s="361" t="s">
        <v>151</v>
      </c>
      <c r="G74" s="361" t="s">
        <v>152</v>
      </c>
      <c r="H74" s="209"/>
      <c r="I74" s="209"/>
      <c r="J74" s="209"/>
      <c r="L74" s="209"/>
      <c r="M74" s="209"/>
      <c r="N74" s="209"/>
      <c r="O74" s="209"/>
      <c r="P74" s="209"/>
      <c r="Q74" s="209"/>
      <c r="R74" s="209"/>
    </row>
    <row r="75" spans="1:18">
      <c r="A75" s="209"/>
      <c r="B75" s="343" t="s">
        <v>4</v>
      </c>
      <c r="C75" s="317">
        <f>'Control panel'!B3</f>
        <v>0.56180875203091096</v>
      </c>
      <c r="D75" s="317">
        <f>'Control panel'!C3</f>
        <v>0.55000000000000004</v>
      </c>
      <c r="E75" s="317">
        <f>'Control panel'!D3</f>
        <v>0.65</v>
      </c>
      <c r="F75" s="317">
        <f>'Control panel'!F3</f>
        <v>0.64944893325636843</v>
      </c>
      <c r="G75" s="317">
        <f>'Control panel'!G3</f>
        <v>8.764018122545747E-2</v>
      </c>
      <c r="H75" s="209"/>
      <c r="I75" s="209"/>
      <c r="J75" s="209"/>
      <c r="L75" s="209"/>
      <c r="M75" s="209"/>
      <c r="N75" s="209"/>
      <c r="O75" s="209"/>
      <c r="P75" s="209"/>
      <c r="Q75" s="209"/>
      <c r="R75" s="209"/>
    </row>
    <row r="76" spans="1:18">
      <c r="A76" s="209"/>
      <c r="B76" s="343" t="s">
        <v>5</v>
      </c>
      <c r="C76" s="317">
        <f>'Control panel'!B4</f>
        <v>9.6622266302898649E-2</v>
      </c>
      <c r="D76" s="317">
        <f>'Control panel'!C4</f>
        <v>0.05</v>
      </c>
      <c r="E76" s="317">
        <f>'Control panel'!D4</f>
        <v>0.15</v>
      </c>
      <c r="F76" s="317">
        <f>'Control panel'!F4</f>
        <v>2.1676691195087878E-2</v>
      </c>
      <c r="G76" s="317">
        <f>'Control panel'!G4</f>
        <v>-7.4945575107810775E-2</v>
      </c>
      <c r="H76" s="209"/>
      <c r="I76" s="209"/>
      <c r="J76" s="209"/>
      <c r="L76" s="209"/>
      <c r="M76" s="209"/>
      <c r="N76" s="209"/>
      <c r="O76" s="209"/>
      <c r="P76" s="209"/>
      <c r="Q76" s="209"/>
      <c r="R76" s="209"/>
    </row>
    <row r="77" spans="1:18">
      <c r="A77" s="209"/>
      <c r="B77" s="343" t="s">
        <v>6</v>
      </c>
      <c r="C77" s="317">
        <f>'Control panel'!B5</f>
        <v>9.4882090946714417E-2</v>
      </c>
      <c r="D77" s="317">
        <f>'Control panel'!C5</f>
        <v>0.05</v>
      </c>
      <c r="E77" s="317">
        <f>'Control panel'!D5</f>
        <v>0.15</v>
      </c>
      <c r="F77" s="317">
        <f>'Control panel'!F5</f>
        <v>4.0938352073271157E-2</v>
      </c>
      <c r="G77" s="317">
        <f>'Control panel'!G5</f>
        <v>-5.394373887344326E-2</v>
      </c>
      <c r="H77" s="209"/>
      <c r="I77" s="209"/>
      <c r="J77" s="209"/>
      <c r="L77" s="209"/>
      <c r="M77" s="209"/>
      <c r="N77" s="209"/>
      <c r="O77" s="209"/>
      <c r="P77" s="209"/>
      <c r="Q77" s="209"/>
      <c r="R77" s="209"/>
    </row>
    <row r="78" spans="1:18">
      <c r="A78" s="209"/>
      <c r="B78" s="343" t="s">
        <v>7</v>
      </c>
      <c r="C78" s="317">
        <f>'Control panel'!B6</f>
        <v>0.10456356326955371</v>
      </c>
      <c r="D78" s="317">
        <f>'Control panel'!C6</f>
        <v>7.4999999999999997E-2</v>
      </c>
      <c r="E78" s="317">
        <f>'Control panel'!D6</f>
        <v>0.3</v>
      </c>
      <c r="F78" s="317">
        <f>'Control panel'!F6</f>
        <v>1.23325046265014E-3</v>
      </c>
      <c r="G78" s="317">
        <f>'Control panel'!G6</f>
        <v>-0.10333031280690357</v>
      </c>
      <c r="H78" s="209"/>
      <c r="I78" s="209"/>
      <c r="J78" s="209"/>
      <c r="L78" s="209"/>
      <c r="M78" s="209"/>
      <c r="N78" s="209"/>
      <c r="O78" s="209"/>
      <c r="P78" s="209"/>
      <c r="Q78" s="209"/>
      <c r="R78" s="209"/>
    </row>
    <row r="79" spans="1:18">
      <c r="A79" s="209"/>
      <c r="B79" s="343" t="s">
        <v>8</v>
      </c>
      <c r="C79" s="317">
        <f>'Control panel'!B7</f>
        <v>4.8672187041583666E-2</v>
      </c>
      <c r="D79" s="317">
        <f>'Control panel'!C7</f>
        <v>2.5000000000000001E-2</v>
      </c>
      <c r="E79" s="317">
        <f>'Control panel'!D7</f>
        <v>0.1</v>
      </c>
      <c r="F79" s="317">
        <f>'Control panel'!F7</f>
        <v>0.11596613074290399</v>
      </c>
      <c r="G79" s="317">
        <f>'Control panel'!G7</f>
        <v>6.729394370132033E-2</v>
      </c>
      <c r="H79" s="209"/>
      <c r="I79" s="209"/>
      <c r="J79" s="209"/>
      <c r="L79" s="209"/>
      <c r="M79" s="209"/>
      <c r="N79" s="209"/>
      <c r="O79" s="209"/>
      <c r="P79" s="209"/>
      <c r="Q79" s="209"/>
      <c r="R79" s="209"/>
    </row>
    <row r="80" spans="1:18">
      <c r="A80" s="209"/>
      <c r="B80" s="343" t="s">
        <v>9</v>
      </c>
      <c r="C80" s="317">
        <f>'Control panel'!B8</f>
        <v>1.8487177597443272E-2</v>
      </c>
      <c r="D80" s="317">
        <f>'Control panel'!C8</f>
        <v>0.01</v>
      </c>
      <c r="E80" s="317">
        <f>'Control panel'!D8</f>
        <v>0.03</v>
      </c>
      <c r="F80" s="317">
        <f>'Control panel'!F8</f>
        <v>0.13649706597906699</v>
      </c>
      <c r="G80" s="317">
        <f>'Control panel'!G8</f>
        <v>0.11800988838162373</v>
      </c>
      <c r="H80" s="209"/>
      <c r="I80" s="209"/>
      <c r="J80" s="209"/>
      <c r="L80" s="209"/>
      <c r="M80" s="209"/>
      <c r="N80" s="209"/>
      <c r="O80" s="209"/>
      <c r="P80" s="209"/>
      <c r="Q80" s="209"/>
      <c r="R80" s="209"/>
    </row>
    <row r="81" spans="1:18">
      <c r="A81" s="209"/>
      <c r="B81" s="343" t="s">
        <v>10</v>
      </c>
      <c r="C81" s="317">
        <f>'Control panel'!B9</f>
        <v>3.0713456071724741E-2</v>
      </c>
      <c r="D81" s="317">
        <f>'Control panel'!C9</f>
        <v>0.02</v>
      </c>
      <c r="E81" s="317">
        <f>'Control panel'!D9</f>
        <v>0.04</v>
      </c>
      <c r="F81" s="317">
        <f>'Control panel'!F9</f>
        <v>2.3916818164114236E-2</v>
      </c>
      <c r="G81" s="317">
        <f>'Control panel'!G9</f>
        <v>-6.7966379076105053E-3</v>
      </c>
      <c r="H81" s="209"/>
      <c r="I81" s="209"/>
      <c r="J81" s="209"/>
      <c r="L81" s="209"/>
      <c r="M81" s="209"/>
      <c r="N81" s="209"/>
      <c r="O81" s="209"/>
      <c r="P81" s="209"/>
      <c r="Q81" s="209"/>
      <c r="R81" s="209"/>
    </row>
    <row r="82" spans="1:18">
      <c r="A82" s="209"/>
      <c r="B82" s="344" t="s">
        <v>11</v>
      </c>
      <c r="C82" s="318">
        <f>'Control panel'!B10</f>
        <v>4.4250506739170546E-2</v>
      </c>
      <c r="D82" s="318">
        <f>'Control panel'!C10</f>
        <v>3.5000000000000003E-2</v>
      </c>
      <c r="E82" s="318">
        <f>'Control panel'!D10</f>
        <v>5.5E-2</v>
      </c>
      <c r="F82" s="318">
        <f>'Control panel'!F10</f>
        <v>1.0322758126537421E-2</v>
      </c>
      <c r="G82" s="318">
        <f>'Control panel'!G10</f>
        <v>-3.3927748612633125E-2</v>
      </c>
      <c r="H82" s="209"/>
      <c r="I82" s="209"/>
      <c r="J82" s="209"/>
      <c r="L82" s="209"/>
      <c r="M82" s="209"/>
      <c r="N82" s="209"/>
      <c r="O82" s="209"/>
      <c r="P82" s="209"/>
      <c r="Q82" s="209"/>
      <c r="R82" s="209"/>
    </row>
    <row r="83" spans="1:18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L83" s="209"/>
      <c r="M83" s="209"/>
      <c r="N83" s="209"/>
      <c r="O83" s="209"/>
      <c r="P83" s="209"/>
      <c r="Q83" s="209"/>
      <c r="R83" s="209"/>
    </row>
    <row r="84" spans="1:18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L84" s="209"/>
      <c r="M84" s="209"/>
      <c r="N84" s="209"/>
      <c r="O84" s="209"/>
      <c r="P84" s="209"/>
      <c r="Q84" s="209"/>
      <c r="R84" s="209"/>
    </row>
    <row r="85" spans="1:18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L85" s="209"/>
      <c r="M85" s="209"/>
      <c r="N85" s="209"/>
      <c r="O85" s="209"/>
      <c r="P85" s="209"/>
      <c r="Q85" s="209"/>
      <c r="R85" s="209"/>
    </row>
    <row r="86" spans="1:18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L86" s="209"/>
      <c r="M86" s="209"/>
      <c r="N86" s="209"/>
      <c r="O86" s="209"/>
      <c r="P86" s="209"/>
      <c r="Q86" s="209"/>
      <c r="R86" s="209"/>
    </row>
    <row r="87" spans="1:18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L87" s="209"/>
      <c r="M87" s="209"/>
      <c r="N87" s="209"/>
      <c r="O87" s="209"/>
      <c r="P87" s="209"/>
      <c r="Q87" s="209"/>
      <c r="R87" s="209"/>
    </row>
    <row r="88" spans="1:18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L88" s="209"/>
      <c r="M88" s="209"/>
      <c r="N88" s="209"/>
      <c r="O88" s="209"/>
      <c r="P88" s="209"/>
      <c r="Q88" s="209"/>
      <c r="R88" s="209"/>
    </row>
    <row r="89" spans="1:18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L89" s="209"/>
      <c r="M89" s="209"/>
      <c r="N89" s="209"/>
      <c r="O89" s="209"/>
      <c r="P89" s="209"/>
      <c r="Q89" s="209"/>
      <c r="R89" s="209"/>
    </row>
    <row r="90" spans="1:18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L90" s="209"/>
      <c r="M90" s="209"/>
      <c r="N90" s="209"/>
      <c r="O90" s="209"/>
      <c r="P90" s="209"/>
      <c r="Q90" s="209"/>
      <c r="R90" s="209"/>
    </row>
    <row r="91" spans="1:18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L91" s="209"/>
      <c r="M91" s="209"/>
      <c r="N91" s="209"/>
      <c r="O91" s="209"/>
      <c r="P91" s="209"/>
      <c r="Q91" s="209"/>
      <c r="R91" s="209"/>
    </row>
    <row r="92" spans="1:18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L92" s="209"/>
      <c r="M92" s="209"/>
      <c r="N92" s="209"/>
      <c r="O92" s="209"/>
      <c r="P92" s="209"/>
      <c r="Q92" s="209"/>
      <c r="R92" s="209"/>
    </row>
    <row r="93" spans="1:18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L93" s="209"/>
      <c r="M93" s="209"/>
      <c r="N93" s="209"/>
      <c r="O93" s="209"/>
      <c r="P93" s="209"/>
      <c r="Q93" s="209"/>
      <c r="R93" s="209"/>
    </row>
    <row r="94" spans="1:18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L94" s="209"/>
      <c r="M94" s="209"/>
      <c r="N94" s="209"/>
      <c r="O94" s="209"/>
      <c r="P94" s="209"/>
      <c r="Q94" s="209"/>
      <c r="R94" s="209"/>
    </row>
    <row r="95" spans="1:18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L95" s="209"/>
      <c r="M95" s="209"/>
      <c r="N95" s="209"/>
      <c r="O95" s="209"/>
      <c r="P95" s="209"/>
      <c r="Q95" s="209"/>
      <c r="R95" s="209"/>
    </row>
    <row r="96" spans="1:18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L96" s="209"/>
      <c r="M96" s="209"/>
      <c r="N96" s="209"/>
      <c r="O96" s="209"/>
      <c r="P96" s="209"/>
      <c r="Q96" s="209"/>
      <c r="R96" s="209"/>
    </row>
    <row r="97" spans="1:18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L97" s="209"/>
      <c r="M97" s="209"/>
      <c r="N97" s="209"/>
      <c r="O97" s="209"/>
      <c r="P97" s="209"/>
      <c r="Q97" s="209"/>
      <c r="R97" s="209"/>
    </row>
    <row r="98" spans="1:18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L98" s="209"/>
      <c r="M98" s="209"/>
      <c r="N98" s="209"/>
      <c r="O98" s="209"/>
      <c r="P98" s="209"/>
      <c r="Q98" s="209"/>
      <c r="R98" s="209"/>
    </row>
    <row r="99" spans="1:18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L99" s="209"/>
      <c r="M99" s="209"/>
      <c r="N99" s="209"/>
      <c r="O99" s="209"/>
      <c r="P99" s="209"/>
      <c r="Q99" s="209"/>
      <c r="R99" s="209"/>
    </row>
    <row r="100" spans="1:18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L100" s="209"/>
      <c r="M100" s="209"/>
      <c r="N100" s="209"/>
      <c r="O100" s="209"/>
      <c r="P100" s="209"/>
      <c r="Q100" s="209"/>
      <c r="R100" s="209"/>
    </row>
    <row r="101" spans="1:18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L101" s="209"/>
      <c r="M101" s="209"/>
      <c r="N101" s="209"/>
      <c r="O101" s="209"/>
      <c r="P101" s="209"/>
      <c r="Q101" s="209"/>
      <c r="R101" s="209"/>
    </row>
    <row r="102" spans="1:18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L102" s="209"/>
      <c r="M102" s="209"/>
      <c r="N102" s="209"/>
      <c r="O102" s="209"/>
      <c r="P102" s="209"/>
      <c r="Q102" s="209"/>
      <c r="R102" s="209"/>
    </row>
    <row r="103" spans="1:18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L103" s="209"/>
      <c r="M103" s="209"/>
      <c r="N103" s="209"/>
      <c r="O103" s="209"/>
      <c r="P103" s="209"/>
      <c r="Q103" s="209"/>
      <c r="R103" s="209"/>
    </row>
    <row r="104" spans="1:18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L104" s="209"/>
      <c r="M104" s="209"/>
      <c r="N104" s="209"/>
      <c r="O104" s="209"/>
      <c r="P104" s="209"/>
      <c r="Q104" s="209"/>
      <c r="R104" s="209"/>
    </row>
    <row r="105" spans="1:18">
      <c r="O105" s="209"/>
      <c r="P105" s="209"/>
      <c r="Q105" s="209"/>
      <c r="R105" s="209"/>
    </row>
    <row r="106" spans="1:18">
      <c r="O106" s="209"/>
      <c r="P106" s="209"/>
      <c r="Q106" s="209"/>
      <c r="R106" s="209"/>
    </row>
    <row r="107" spans="1:18">
      <c r="O107" s="209"/>
      <c r="P107" s="209"/>
      <c r="Q107" s="209"/>
      <c r="R107" s="209"/>
    </row>
    <row r="108" spans="1:18">
      <c r="O108" s="209"/>
      <c r="P108" s="209"/>
      <c r="Q108" s="209"/>
      <c r="R108" s="209"/>
    </row>
    <row r="109" spans="1:18">
      <c r="O109" s="209"/>
      <c r="P109" s="209"/>
      <c r="Q109" s="209"/>
      <c r="R109" s="209"/>
    </row>
    <row r="110" spans="1:18">
      <c r="O110" s="209"/>
      <c r="P110" s="209"/>
      <c r="Q110" s="209"/>
      <c r="R110" s="209"/>
    </row>
    <row r="111" spans="1:18">
      <c r="O111" s="209"/>
      <c r="P111" s="209"/>
      <c r="Q111" s="209"/>
      <c r="R111" s="209"/>
    </row>
    <row r="112" spans="1:18">
      <c r="O112" s="209"/>
      <c r="P112" s="209"/>
      <c r="Q112" s="209"/>
      <c r="R112" s="209"/>
    </row>
    <row r="113" spans="15:18">
      <c r="O113" s="209"/>
      <c r="P113" s="209"/>
      <c r="Q113" s="209"/>
      <c r="R113" s="209"/>
    </row>
    <row r="114" spans="15:18">
      <c r="O114" s="209"/>
      <c r="P114" s="209"/>
      <c r="Q114" s="209"/>
      <c r="R114" s="209"/>
    </row>
    <row r="115" spans="15:18">
      <c r="O115" s="209"/>
      <c r="P115" s="209"/>
      <c r="Q115" s="209"/>
      <c r="R115" s="209"/>
    </row>
    <row r="116" spans="15:18">
      <c r="O116" s="209"/>
      <c r="P116" s="209"/>
      <c r="Q116" s="209"/>
      <c r="R116" s="209"/>
    </row>
    <row r="117" spans="15:18">
      <c r="O117" s="209"/>
      <c r="P117" s="209"/>
      <c r="Q117" s="209"/>
      <c r="R117" s="209"/>
    </row>
    <row r="118" spans="15:18">
      <c r="O118" s="209"/>
      <c r="P118" s="209"/>
      <c r="Q118" s="209"/>
      <c r="R118" s="209"/>
    </row>
    <row r="119" spans="15:18">
      <c r="O119" s="209"/>
      <c r="P119" s="209"/>
      <c r="Q119" s="209"/>
      <c r="R119" s="209"/>
    </row>
    <row r="120" spans="15:18">
      <c r="O120" s="209"/>
      <c r="P120" s="209"/>
      <c r="Q120" s="209"/>
      <c r="R120" s="209"/>
    </row>
    <row r="121" spans="15:18">
      <c r="O121" s="209"/>
      <c r="P121" s="209"/>
      <c r="Q121" s="209"/>
      <c r="R121" s="209"/>
    </row>
    <row r="122" spans="15:18">
      <c r="O122" s="209"/>
      <c r="P122" s="209"/>
      <c r="Q122" s="209"/>
      <c r="R122" s="209"/>
    </row>
    <row r="123" spans="15:18">
      <c r="O123" s="209"/>
      <c r="P123" s="209"/>
      <c r="Q123" s="209"/>
      <c r="R123" s="209"/>
    </row>
    <row r="124" spans="15:18">
      <c r="O124" s="209"/>
      <c r="P124" s="209"/>
      <c r="Q124" s="209"/>
      <c r="R124" s="209"/>
    </row>
    <row r="125" spans="15:18">
      <c r="O125" s="209"/>
      <c r="P125" s="209"/>
      <c r="Q125" s="209"/>
      <c r="R125" s="209"/>
    </row>
    <row r="190" spans="2:15">
      <c r="B190" s="209"/>
      <c r="C190" s="209"/>
      <c r="D190" s="209"/>
      <c r="E190" s="209"/>
      <c r="F190" s="209"/>
      <c r="G190" s="209"/>
      <c r="H190" s="209"/>
      <c r="I190" s="209"/>
      <c r="J190" s="209"/>
      <c r="L190" s="209"/>
      <c r="M190" s="209"/>
      <c r="N190" s="209"/>
      <c r="O190" s="209"/>
    </row>
    <row r="191" spans="2:15">
      <c r="B191" s="209"/>
      <c r="C191" s="209"/>
      <c r="D191" s="209"/>
      <c r="E191" s="209"/>
      <c r="F191" s="209"/>
      <c r="G191" s="209"/>
      <c r="H191" s="209"/>
      <c r="I191" s="209"/>
      <c r="J191" s="209"/>
      <c r="L191" s="209"/>
      <c r="M191" s="209"/>
      <c r="N191" s="209"/>
      <c r="O191" s="209"/>
    </row>
    <row r="192" spans="2:15">
      <c r="B192" s="209"/>
      <c r="C192" s="209"/>
      <c r="D192" s="209"/>
      <c r="E192" s="209"/>
      <c r="F192" s="209"/>
      <c r="G192" s="209"/>
      <c r="H192" s="209"/>
      <c r="I192" s="209"/>
      <c r="J192" s="209"/>
      <c r="L192" s="209"/>
      <c r="M192" s="209"/>
      <c r="N192" s="209"/>
      <c r="O192" s="209"/>
    </row>
    <row r="193" spans="2:15">
      <c r="B193" s="209"/>
      <c r="C193" s="209"/>
      <c r="D193" s="209"/>
      <c r="E193" s="209"/>
      <c r="F193" s="209"/>
      <c r="G193" s="209"/>
      <c r="H193" s="209"/>
      <c r="I193" s="209"/>
      <c r="J193" s="209"/>
      <c r="L193" s="209"/>
      <c r="M193" s="209"/>
      <c r="N193" s="209"/>
      <c r="O193" s="209"/>
    </row>
    <row r="194" spans="2:15">
      <c r="B194" s="209"/>
      <c r="C194" s="209"/>
      <c r="D194" s="397" t="s">
        <v>133</v>
      </c>
      <c r="E194" s="398"/>
      <c r="F194" s="397" t="s">
        <v>132</v>
      </c>
      <c r="G194" s="398"/>
      <c r="H194" s="398"/>
      <c r="I194" s="399"/>
      <c r="J194" s="209"/>
      <c r="L194" s="209"/>
      <c r="M194" s="209"/>
      <c r="N194" s="209"/>
      <c r="O194" s="209"/>
    </row>
    <row r="195" spans="2:15" ht="51.75">
      <c r="B195" s="209"/>
      <c r="C195" s="313"/>
      <c r="D195" s="327" t="s">
        <v>134</v>
      </c>
      <c r="E195" s="328" t="s">
        <v>135</v>
      </c>
      <c r="F195" s="328"/>
      <c r="G195" s="328"/>
      <c r="H195" s="327" t="s">
        <v>137</v>
      </c>
      <c r="I195" s="328" t="s">
        <v>136</v>
      </c>
      <c r="J195" s="306" t="s">
        <v>138</v>
      </c>
      <c r="K195" s="335" t="s">
        <v>139</v>
      </c>
      <c r="L195" s="335" t="s">
        <v>140</v>
      </c>
      <c r="M195" s="209"/>
      <c r="N195" s="209"/>
      <c r="O195" s="209"/>
    </row>
    <row r="196" spans="2:15">
      <c r="B196" s="209"/>
      <c r="C196" s="314" t="s">
        <v>4</v>
      </c>
      <c r="D196" s="336">
        <v>4.4499999999999998E-2</v>
      </c>
      <c r="E196" s="336">
        <v>9.3000000000000096E-3</v>
      </c>
      <c r="F196" s="85"/>
      <c r="G196" s="85"/>
      <c r="H196" s="336">
        <v>-8.7300000000000003E-2</v>
      </c>
      <c r="I196" s="336">
        <f>+Scenarios!C24</f>
        <v>-3.2445168309994665E-3</v>
      </c>
      <c r="J196" s="338">
        <v>0.1023</v>
      </c>
      <c r="K196" s="339">
        <f t="shared" ref="K196:K203" si="11">+H196/J196</f>
        <v>-0.85337243401759533</v>
      </c>
      <c r="L196" s="330">
        <f t="shared" ref="L196:L203" si="12">+I196/J196</f>
        <v>-3.1715707047893123E-2</v>
      </c>
      <c r="M196" s="209"/>
      <c r="N196" s="209"/>
      <c r="O196" s="209"/>
    </row>
    <row r="197" spans="2:15">
      <c r="B197" s="209"/>
      <c r="C197" s="314" t="s">
        <v>5</v>
      </c>
      <c r="D197" s="317">
        <v>8.5371817899603325E-2</v>
      </c>
      <c r="E197" s="317">
        <v>5.6265360838678849E-2</v>
      </c>
      <c r="F197" s="85"/>
      <c r="G197" s="85"/>
      <c r="H197" s="317">
        <v>-4.6468851830414513E-2</v>
      </c>
      <c r="I197" s="317">
        <f>+Scenarios!C25</f>
        <v>1.7080984570854354E-2</v>
      </c>
      <c r="J197" s="317">
        <f t="shared" ref="J197:J203" si="13">+J4</f>
        <v>0.15740402046445473</v>
      </c>
      <c r="K197" s="340">
        <f t="shared" si="11"/>
        <v>-0.29522023448510448</v>
      </c>
      <c r="L197" s="330">
        <f t="shared" si="12"/>
        <v>0.10851682517672166</v>
      </c>
      <c r="M197" s="209"/>
      <c r="N197" s="209"/>
      <c r="O197" s="209"/>
    </row>
    <row r="198" spans="2:15">
      <c r="B198" s="209"/>
      <c r="C198" s="314" t="s">
        <v>6</v>
      </c>
      <c r="D198" s="317">
        <v>0.14294511515742836</v>
      </c>
      <c r="E198" s="317">
        <v>4.8236186870114238E-2</v>
      </c>
      <c r="F198" s="85"/>
      <c r="G198" s="85"/>
      <c r="H198" s="317">
        <v>1.1104445427410514E-2</v>
      </c>
      <c r="I198" s="317">
        <f>+Scenarios!C26</f>
        <v>2.8210029350712571E-2</v>
      </c>
      <c r="J198" s="317">
        <f t="shared" si="13"/>
        <v>0.16055565886911449</v>
      </c>
      <c r="K198" s="340">
        <f t="shared" si="11"/>
        <v>6.9162591375635629E-2</v>
      </c>
      <c r="L198" s="330">
        <f>+I198/J198</f>
        <v>0.17570249189229437</v>
      </c>
      <c r="M198" s="209"/>
      <c r="N198" s="209"/>
      <c r="O198" s="209"/>
    </row>
    <row r="199" spans="2:15">
      <c r="B199" s="209"/>
      <c r="C199" s="314" t="s">
        <v>7</v>
      </c>
      <c r="D199" s="317">
        <v>7.3688794074914882E-2</v>
      </c>
      <c r="E199" s="317">
        <v>4.4755655663184818E-2</v>
      </c>
      <c r="F199" s="85"/>
      <c r="G199" s="85"/>
      <c r="H199" s="317">
        <v>-5.8151875655102964E-2</v>
      </c>
      <c r="I199" s="317">
        <f>+Scenarios!C27</f>
        <v>-3.3982895609806815E-2</v>
      </c>
      <c r="J199" s="317">
        <f t="shared" si="13"/>
        <v>0.28482723462884557</v>
      </c>
      <c r="K199" s="340">
        <f t="shared" si="11"/>
        <v>-0.20416543288383174</v>
      </c>
      <c r="L199" s="330">
        <f>+I199/J199</f>
        <v>-0.1193105555867558</v>
      </c>
      <c r="M199" s="209"/>
      <c r="N199" s="209"/>
      <c r="O199" s="209"/>
    </row>
    <row r="200" spans="2:15">
      <c r="B200" s="209"/>
      <c r="C200" s="314" t="s">
        <v>8</v>
      </c>
      <c r="D200" s="317">
        <v>8.8200075364801303E-2</v>
      </c>
      <c r="E200" s="317">
        <v>0.11547766137672615</v>
      </c>
      <c r="F200" s="85"/>
      <c r="G200" s="85"/>
      <c r="H200" s="317">
        <v>-4.3640594365216501E-2</v>
      </c>
      <c r="I200" s="317">
        <f>+Scenarios!C28</f>
        <v>7.2231587254445423E-2</v>
      </c>
      <c r="J200" s="317">
        <f t="shared" si="13"/>
        <v>0.29086830436352928</v>
      </c>
      <c r="K200" s="340">
        <f t="shared" si="11"/>
        <v>-0.15003557868125147</v>
      </c>
      <c r="L200" s="330">
        <f t="shared" si="12"/>
        <v>0.24833089811040349</v>
      </c>
      <c r="M200" s="209"/>
      <c r="N200" s="209"/>
      <c r="O200" s="209"/>
    </row>
    <row r="201" spans="2:15">
      <c r="C201" s="314" t="s">
        <v>9</v>
      </c>
      <c r="D201" s="317">
        <v>9.6125190679341666E-2</v>
      </c>
      <c r="E201" s="317">
        <v>8.8245130245983364E-2</v>
      </c>
      <c r="F201" s="85"/>
      <c r="G201" s="85"/>
      <c r="H201" s="317">
        <v>-3.571547905067618E-2</v>
      </c>
      <c r="I201" s="317">
        <f>+Scenarios!C29</f>
        <v>8.3002461795964225E-2</v>
      </c>
      <c r="J201" s="317">
        <f t="shared" si="13"/>
        <v>0.32762989319180058</v>
      </c>
      <c r="K201" s="340">
        <f t="shared" si="11"/>
        <v>-0.10901166161223171</v>
      </c>
      <c r="L201" s="330">
        <f t="shared" si="12"/>
        <v>0.25334215076453065</v>
      </c>
      <c r="M201" s="209"/>
      <c r="N201" s="209"/>
      <c r="O201" s="209"/>
    </row>
    <row r="202" spans="2:15">
      <c r="C202" s="314" t="s">
        <v>10</v>
      </c>
      <c r="D202" s="317">
        <v>6.2658557549145399E-2</v>
      </c>
      <c r="E202" s="317">
        <v>3.2952299000522406E-2</v>
      </c>
      <c r="F202" s="85"/>
      <c r="G202" s="85"/>
      <c r="H202" s="317">
        <v>-6.9182112180872446E-2</v>
      </c>
      <c r="I202" s="317">
        <f>+Scenarios!C30</f>
        <v>1.695057316664925E-2</v>
      </c>
      <c r="J202" s="317">
        <f t="shared" si="13"/>
        <v>0.15798659221184908</v>
      </c>
      <c r="K202" s="340">
        <f t="shared" si="11"/>
        <v>-0.43789862932231632</v>
      </c>
      <c r="L202" s="330">
        <f t="shared" si="12"/>
        <v>0.10729121331967023</v>
      </c>
      <c r="M202" s="209"/>
      <c r="N202" s="209"/>
      <c r="O202" s="209"/>
    </row>
    <row r="203" spans="2:15">
      <c r="C203" s="315" t="s">
        <v>11</v>
      </c>
      <c r="D203" s="318">
        <v>7.3464510927495008E-2</v>
      </c>
      <c r="E203" s="318">
        <v>3.9406691481015818E-2</v>
      </c>
      <c r="F203" s="308"/>
      <c r="G203" s="308"/>
      <c r="H203" s="318">
        <v>-5.8376158802522837E-2</v>
      </c>
      <c r="I203" s="318">
        <f>+Scenarios!C31</f>
        <v>1.5703249352120311E-2</v>
      </c>
      <c r="J203" s="318">
        <f t="shared" si="13"/>
        <v>0.19621796279766246</v>
      </c>
      <c r="K203" s="341">
        <f t="shared" si="11"/>
        <v>-0.29750670106956317</v>
      </c>
      <c r="L203" s="333">
        <f t="shared" si="12"/>
        <v>8.0029621795193684E-2</v>
      </c>
      <c r="M203" s="209"/>
      <c r="N203" s="209"/>
      <c r="O203" s="209"/>
    </row>
    <row r="204" spans="2:15">
      <c r="C204" s="84"/>
      <c r="D204" s="84"/>
      <c r="E204" s="84"/>
      <c r="F204" s="98"/>
      <c r="G204" s="98"/>
      <c r="H204" s="84"/>
      <c r="I204" s="84"/>
      <c r="J204" s="84"/>
      <c r="K204" s="84"/>
      <c r="L204" s="209"/>
      <c r="M204" s="209"/>
      <c r="N204" s="209"/>
      <c r="O204" s="209"/>
    </row>
    <row r="205" spans="2:15">
      <c r="C205" s="209"/>
      <c r="D205" s="209"/>
      <c r="E205" s="209"/>
      <c r="F205" s="209"/>
      <c r="G205" s="209"/>
      <c r="H205" s="209"/>
      <c r="I205" s="209"/>
      <c r="J205" s="209"/>
      <c r="L205" s="209"/>
      <c r="M205" s="209"/>
      <c r="N205" s="209"/>
      <c r="O205" s="209"/>
    </row>
    <row r="206" spans="2:15">
      <c r="C206" s="209"/>
      <c r="D206" s="209"/>
      <c r="E206" s="209"/>
      <c r="F206" s="209"/>
      <c r="G206" s="209"/>
      <c r="H206" s="209"/>
      <c r="I206" s="209"/>
      <c r="J206" s="209"/>
      <c r="L206" s="209"/>
      <c r="M206" s="209"/>
      <c r="N206" s="209"/>
      <c r="O206" s="209"/>
    </row>
    <row r="207" spans="2:15">
      <c r="C207" s="209"/>
      <c r="D207" s="209"/>
      <c r="E207" s="209"/>
      <c r="F207" s="209"/>
      <c r="G207" s="209"/>
      <c r="H207" s="209"/>
      <c r="I207" s="209"/>
      <c r="J207" s="209"/>
      <c r="L207" s="209"/>
      <c r="M207" s="209"/>
      <c r="N207" s="209"/>
      <c r="O207" s="209"/>
    </row>
    <row r="208" spans="2:15">
      <c r="C208" s="209"/>
      <c r="D208" s="209"/>
      <c r="E208" s="209"/>
      <c r="F208" s="209"/>
      <c r="G208" s="209"/>
      <c r="H208" s="209"/>
      <c r="I208" s="209"/>
      <c r="J208" s="209"/>
      <c r="L208" s="209"/>
      <c r="M208" s="209"/>
      <c r="N208" s="209"/>
      <c r="O208" s="209"/>
    </row>
    <row r="209" spans="3:15">
      <c r="C209" s="209"/>
      <c r="D209" s="209"/>
      <c r="E209" s="209"/>
      <c r="F209" s="209"/>
      <c r="G209" s="209"/>
      <c r="H209" s="209"/>
      <c r="I209" s="209"/>
      <c r="J209" s="209"/>
      <c r="L209" s="209"/>
      <c r="M209" s="209"/>
      <c r="N209" s="209"/>
      <c r="O209" s="209"/>
    </row>
    <row r="210" spans="3:15">
      <c r="C210" s="209"/>
      <c r="D210" s="209"/>
      <c r="E210" s="209"/>
      <c r="F210" s="209"/>
      <c r="G210" s="209"/>
      <c r="H210" s="209"/>
      <c r="I210" s="209"/>
      <c r="J210" s="209"/>
      <c r="L210" s="209"/>
      <c r="M210" s="209"/>
      <c r="N210" s="209"/>
      <c r="O210" s="209"/>
    </row>
    <row r="211" spans="3:15">
      <c r="C211" s="209"/>
      <c r="D211" s="209"/>
      <c r="E211" s="209"/>
      <c r="F211" s="209"/>
      <c r="G211" s="209"/>
      <c r="H211" s="209"/>
      <c r="I211" s="209"/>
      <c r="J211" s="209"/>
      <c r="L211" s="209"/>
      <c r="M211" s="209"/>
      <c r="N211" s="209"/>
    </row>
    <row r="212" spans="3:15">
      <c r="C212" s="209"/>
      <c r="D212" s="209"/>
      <c r="E212" s="209"/>
      <c r="F212" s="209"/>
      <c r="G212" s="209"/>
      <c r="H212" s="209"/>
      <c r="I212" s="209"/>
      <c r="J212" s="209"/>
      <c r="L212" s="209"/>
      <c r="M212" s="209"/>
      <c r="N212" s="209"/>
    </row>
    <row r="213" spans="3:15">
      <c r="C213" s="209"/>
      <c r="D213" s="209"/>
      <c r="E213" s="209"/>
      <c r="F213" s="209"/>
      <c r="G213" s="209"/>
      <c r="H213" s="209"/>
      <c r="I213" s="209"/>
      <c r="J213" s="209"/>
      <c r="L213" s="209"/>
      <c r="M213" s="209"/>
      <c r="N213" s="209"/>
    </row>
    <row r="214" spans="3:15">
      <c r="C214" s="209"/>
      <c r="D214" s="209"/>
      <c r="E214" s="209"/>
      <c r="F214" s="209"/>
      <c r="G214" s="209"/>
      <c r="H214" s="209"/>
      <c r="I214" s="209"/>
      <c r="J214" s="209"/>
      <c r="L214" s="209"/>
      <c r="M214" s="209"/>
      <c r="N214" s="209"/>
    </row>
    <row r="215" spans="3:15">
      <c r="C215" s="209"/>
      <c r="D215" s="209"/>
      <c r="E215" s="209"/>
      <c r="F215" s="209"/>
      <c r="G215" s="209"/>
      <c r="H215" s="209"/>
      <c r="I215" s="209"/>
      <c r="J215" s="209"/>
      <c r="L215" s="209"/>
      <c r="M215" s="209"/>
      <c r="N215" s="209"/>
    </row>
    <row r="216" spans="3:15">
      <c r="C216" s="209"/>
      <c r="D216" s="209"/>
      <c r="E216" s="209"/>
      <c r="F216" s="209"/>
      <c r="G216" s="209"/>
      <c r="H216" s="209"/>
      <c r="I216" s="209"/>
      <c r="J216" s="209"/>
      <c r="L216" s="209"/>
      <c r="M216" s="209"/>
      <c r="N216" s="209"/>
    </row>
    <row r="217" spans="3:15">
      <c r="C217" s="209"/>
      <c r="D217" s="209"/>
      <c r="E217" s="209"/>
      <c r="F217" s="209"/>
      <c r="G217" s="209"/>
      <c r="H217" s="209"/>
      <c r="I217" s="209"/>
      <c r="J217" s="209"/>
      <c r="L217" s="209"/>
      <c r="M217" s="209"/>
      <c r="N217" s="209"/>
    </row>
    <row r="218" spans="3:15">
      <c r="C218" s="209"/>
      <c r="D218" s="209"/>
      <c r="E218" s="209"/>
      <c r="F218" s="209"/>
      <c r="G218" s="209"/>
      <c r="H218" s="209"/>
      <c r="I218" s="209"/>
      <c r="J218" s="209"/>
      <c r="L218" s="209"/>
      <c r="M218" s="209"/>
      <c r="N218" s="209"/>
    </row>
    <row r="219" spans="3:15">
      <c r="C219" s="209"/>
      <c r="D219" s="209"/>
      <c r="E219" s="209"/>
      <c r="F219" s="209"/>
      <c r="G219" s="209"/>
      <c r="H219" s="209"/>
      <c r="I219" s="209"/>
      <c r="J219" s="209"/>
      <c r="L219" s="209"/>
      <c r="M219" s="209"/>
      <c r="N219" s="209"/>
    </row>
    <row r="220" spans="3:15">
      <c r="C220" s="209"/>
      <c r="D220" s="209"/>
      <c r="E220" s="209"/>
      <c r="F220" s="209"/>
      <c r="G220" s="209"/>
      <c r="H220" s="209"/>
      <c r="I220" s="209"/>
      <c r="J220" s="209"/>
      <c r="L220" s="209"/>
      <c r="M220" s="209"/>
      <c r="N220" s="209"/>
    </row>
    <row r="221" spans="3:15">
      <c r="C221" s="209"/>
      <c r="D221" s="209"/>
      <c r="E221" s="209"/>
      <c r="F221" s="209"/>
      <c r="G221" s="209"/>
      <c r="H221" s="209"/>
      <c r="I221" s="209"/>
      <c r="J221" s="209"/>
      <c r="L221" s="209"/>
      <c r="M221" s="209"/>
      <c r="N221" s="209"/>
    </row>
    <row r="222" spans="3:15">
      <c r="C222" s="209"/>
      <c r="D222" s="209"/>
      <c r="E222" s="209"/>
      <c r="F222" s="209"/>
      <c r="G222" s="209"/>
      <c r="H222" s="209"/>
      <c r="I222" s="209"/>
      <c r="J222" s="209"/>
      <c r="L222" s="209"/>
      <c r="M222" s="209"/>
      <c r="N222" s="209"/>
    </row>
    <row r="223" spans="3:15">
      <c r="C223" s="209"/>
      <c r="D223" s="209"/>
      <c r="E223" s="209"/>
      <c r="F223" s="209"/>
      <c r="G223" s="209"/>
      <c r="H223" s="209"/>
      <c r="I223" s="209"/>
      <c r="J223" s="209"/>
      <c r="L223" s="209"/>
      <c r="M223" s="209"/>
      <c r="N223" s="209"/>
    </row>
    <row r="224" spans="3:15">
      <c r="C224" s="209"/>
      <c r="D224" s="209"/>
      <c r="E224" s="209"/>
      <c r="F224" s="209"/>
      <c r="G224" s="209"/>
      <c r="H224" s="209"/>
      <c r="I224" s="209"/>
      <c r="J224" s="209"/>
      <c r="L224" s="209"/>
      <c r="M224" s="209"/>
      <c r="N224" s="209"/>
    </row>
    <row r="225" spans="11:14">
      <c r="K225" s="331"/>
      <c r="L225" s="209"/>
      <c r="N225" s="209"/>
    </row>
    <row r="226" spans="11:14">
      <c r="K226" s="331"/>
      <c r="L226" s="209"/>
    </row>
  </sheetData>
  <mergeCells count="2">
    <mergeCell ref="D194:E194"/>
    <mergeCell ref="F194:I19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workbookViewId="0">
      <selection activeCell="H19" sqref="H19:H20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3" t="s">
        <v>131</v>
      </c>
      <c r="B9" s="316" t="s">
        <v>70</v>
      </c>
      <c r="C9" s="316" t="s">
        <v>112</v>
      </c>
      <c r="E9" s="316" t="s">
        <v>148</v>
      </c>
      <c r="F9" s="316"/>
      <c r="H9" s="316" t="s">
        <v>112</v>
      </c>
      <c r="I9" s="316"/>
    </row>
    <row r="10" spans="1:9">
      <c r="A10" s="350" t="str">
        <f>'Control panel'!A3</f>
        <v>Nominale matching</v>
      </c>
      <c r="B10" s="352">
        <v>1.4756554714979015E-2</v>
      </c>
      <c r="C10" s="352">
        <v>1.5220718103759889E-2</v>
      </c>
      <c r="E10" s="358">
        <v>0</v>
      </c>
      <c r="F10" s="355">
        <f>B10</f>
        <v>1.4756554714979015E-2</v>
      </c>
      <c r="H10" s="358">
        <v>0</v>
      </c>
      <c r="I10" s="355">
        <f>C10</f>
        <v>1.5220718103759889E-2</v>
      </c>
    </row>
    <row r="11" spans="1:9">
      <c r="A11" s="350" t="str">
        <f>'Control panel'!A4</f>
        <v>High Yield</v>
      </c>
      <c r="B11" s="352">
        <v>1.4212854294443212E-2</v>
      </c>
      <c r="C11" s="352">
        <v>1.0530542875070045E-2</v>
      </c>
      <c r="E11" s="359">
        <f>E10+F10</f>
        <v>1.4756554714979015E-2</v>
      </c>
      <c r="F11" s="356">
        <f t="shared" ref="F11:F17" si="0">B11</f>
        <v>1.4212854294443212E-2</v>
      </c>
      <c r="H11" s="359">
        <f>H10+I10</f>
        <v>1.5220718103759889E-2</v>
      </c>
      <c r="I11" s="356">
        <f t="shared" ref="I11:I17" si="1">C11</f>
        <v>1.0530542875070045E-2</v>
      </c>
    </row>
    <row r="12" spans="1:9">
      <c r="A12" s="350" t="str">
        <f>'Control panel'!A5</f>
        <v>Emerging market debt</v>
      </c>
      <c r="B12" s="352">
        <v>1.4438415379559985E-2</v>
      </c>
      <c r="C12" s="352">
        <v>1.5173593894911512E-2</v>
      </c>
      <c r="E12" s="359">
        <f t="shared" ref="E12:E17" si="2">E11+F11</f>
        <v>2.8969409009422228E-2</v>
      </c>
      <c r="F12" s="356">
        <f t="shared" si="0"/>
        <v>1.4438415379559985E-2</v>
      </c>
      <c r="H12" s="359">
        <f t="shared" ref="H12:H17" si="3">H11+I11</f>
        <v>2.5751260978829932E-2</v>
      </c>
      <c r="I12" s="356">
        <f t="shared" si="1"/>
        <v>1.5173593894911512E-2</v>
      </c>
    </row>
    <row r="13" spans="1:9">
      <c r="A13" s="350" t="str">
        <f>'Control panel'!A6</f>
        <v>Aandelen ontwikkeld</v>
      </c>
      <c r="B13" s="352">
        <v>2.6178530363036752E-2</v>
      </c>
      <c r="C13" s="352">
        <v>1.942785291665489E-2</v>
      </c>
      <c r="E13" s="359">
        <f t="shared" si="2"/>
        <v>4.3407824388982212E-2</v>
      </c>
      <c r="F13" s="356">
        <f t="shared" si="0"/>
        <v>2.6178530363036752E-2</v>
      </c>
      <c r="H13" s="359">
        <f t="shared" si="3"/>
        <v>4.0924854873741444E-2</v>
      </c>
      <c r="I13" s="356">
        <f t="shared" si="1"/>
        <v>1.942785291665489E-2</v>
      </c>
    </row>
    <row r="14" spans="1:9">
      <c r="A14" s="350" t="str">
        <f>'Control panel'!A7</f>
        <v>Aandelen opkomend</v>
      </c>
      <c r="B14" s="352">
        <v>1.2885940533325082E-2</v>
      </c>
      <c r="C14" s="352">
        <v>2.1277542423549976E-2</v>
      </c>
      <c r="E14" s="359">
        <f t="shared" si="2"/>
        <v>6.9586354752018964E-2</v>
      </c>
      <c r="F14" s="356">
        <f t="shared" si="0"/>
        <v>1.2885940533325082E-2</v>
      </c>
      <c r="H14" s="359">
        <f t="shared" si="3"/>
        <v>6.0352707790396337E-2</v>
      </c>
      <c r="I14" s="356">
        <f t="shared" si="1"/>
        <v>2.1277542423549976E-2</v>
      </c>
    </row>
    <row r="15" spans="1:9">
      <c r="A15" s="350" t="str">
        <f>'Control panel'!A8</f>
        <v>Commodities</v>
      </c>
      <c r="B15" s="352">
        <v>4.6353992557141592E-3</v>
      </c>
      <c r="C15" s="352">
        <v>4.686099916713796E-3</v>
      </c>
      <c r="E15" s="359">
        <f t="shared" si="2"/>
        <v>8.2472295285344041E-2</v>
      </c>
      <c r="F15" s="356">
        <f t="shared" si="0"/>
        <v>4.6353992557141592E-3</v>
      </c>
      <c r="H15" s="359">
        <f t="shared" si="3"/>
        <v>8.163025021394632E-2</v>
      </c>
      <c r="I15" s="356">
        <f t="shared" si="1"/>
        <v>4.686099916713796E-3</v>
      </c>
    </row>
    <row r="16" spans="1:9">
      <c r="A16" s="350" t="str">
        <f>'Control panel'!A9</f>
        <v>Hedge funds</v>
      </c>
      <c r="B16" s="352">
        <v>4.3180826561846995E-3</v>
      </c>
      <c r="C16" s="352">
        <v>4.264603068845089E-3</v>
      </c>
      <c r="E16" s="359">
        <f t="shared" si="2"/>
        <v>8.7107694541058198E-2</v>
      </c>
      <c r="F16" s="356">
        <f t="shared" si="0"/>
        <v>4.3180826561846995E-3</v>
      </c>
      <c r="H16" s="359">
        <f t="shared" si="3"/>
        <v>8.6316350130660122E-2</v>
      </c>
      <c r="I16" s="356">
        <f t="shared" si="1"/>
        <v>4.264603068845089E-3</v>
      </c>
    </row>
    <row r="17" spans="1:9">
      <c r="A17" s="351" t="str">
        <f>'Control panel'!A10</f>
        <v>Onroerend goed</v>
      </c>
      <c r="B17" s="353">
        <v>8.4910307979983776E-3</v>
      </c>
      <c r="C17" s="353">
        <v>8.4188379833086361E-3</v>
      </c>
      <c r="E17" s="360">
        <f t="shared" si="2"/>
        <v>9.1425777197242902E-2</v>
      </c>
      <c r="F17" s="357">
        <f t="shared" si="0"/>
        <v>8.4910307979983776E-3</v>
      </c>
      <c r="H17" s="360">
        <f t="shared" si="3"/>
        <v>9.058095319950521E-2</v>
      </c>
      <c r="I17" s="357">
        <f t="shared" si="1"/>
        <v>8.4188379833086361E-3</v>
      </c>
    </row>
    <row r="19" spans="1:9">
      <c r="B19" s="354">
        <f>SUM(B10:B17)</f>
        <v>9.9916807995241275E-2</v>
      </c>
      <c r="C19" s="354">
        <f>SUM(C10:C17)</f>
        <v>9.8999791182813851E-2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B2:S27"/>
  <sheetViews>
    <sheetView workbookViewId="0">
      <selection activeCell="C8" sqref="C8"/>
    </sheetView>
  </sheetViews>
  <sheetFormatPr defaultRowHeight="15"/>
  <sheetData>
    <row r="2" spans="2:19" ht="25.5">
      <c r="B2" s="342" t="s">
        <v>115</v>
      </c>
      <c r="C2" s="316" t="s">
        <v>70</v>
      </c>
      <c r="D2" s="305" t="s">
        <v>112</v>
      </c>
      <c r="E2" s="305" t="s">
        <v>144</v>
      </c>
      <c r="F2" s="305" t="s">
        <v>145</v>
      </c>
      <c r="G2" s="305" t="s">
        <v>113</v>
      </c>
      <c r="H2" s="305" t="s">
        <v>114</v>
      </c>
      <c r="I2" s="305" t="s">
        <v>128</v>
      </c>
      <c r="J2" s="316" t="s">
        <v>130</v>
      </c>
      <c r="K2" s="209"/>
      <c r="L2" s="369" t="s">
        <v>153</v>
      </c>
      <c r="M2" s="370" t="s">
        <v>70</v>
      </c>
      <c r="N2" s="371" t="s">
        <v>112</v>
      </c>
      <c r="O2" s="371" t="s">
        <v>144</v>
      </c>
      <c r="P2" s="371" t="s">
        <v>145</v>
      </c>
      <c r="Q2" s="371" t="s">
        <v>113</v>
      </c>
      <c r="R2" s="371" t="s">
        <v>114</v>
      </c>
      <c r="S2" s="372" t="s">
        <v>128</v>
      </c>
    </row>
    <row r="3" spans="2:19">
      <c r="B3" s="343" t="s">
        <v>4</v>
      </c>
      <c r="C3" s="317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7">
        <f>Scenarios!D4</f>
        <v>3.8327320576542839E-2</v>
      </c>
      <c r="K3" s="209"/>
      <c r="L3" s="343" t="s">
        <v>4</v>
      </c>
      <c r="M3" s="363">
        <f>C3/$J3</f>
        <v>0</v>
      </c>
      <c r="N3" s="364">
        <f t="shared" ref="N3:S10" si="0">D3/$J3</f>
        <v>-8.4652847686545088E-2</v>
      </c>
      <c r="O3" s="364">
        <f t="shared" si="0"/>
        <v>-2.8077524301188938E-2</v>
      </c>
      <c r="P3" s="364">
        <f t="shared" si="0"/>
        <v>-8.9178873557373903E-2</v>
      </c>
      <c r="Q3" s="364">
        <f t="shared" si="0"/>
        <v>-0.67107112998577145</v>
      </c>
      <c r="R3" s="364">
        <f t="shared" si="0"/>
        <v>-6.8587038946676824</v>
      </c>
      <c r="S3" s="367">
        <f t="shared" si="0"/>
        <v>-8.4642869564566098E-2</v>
      </c>
    </row>
    <row r="4" spans="2:19">
      <c r="B4" s="343" t="s">
        <v>5</v>
      </c>
      <c r="C4" s="317">
        <f>+Scenarios!B25</f>
        <v>0.03</v>
      </c>
      <c r="D4" s="85">
        <f>+Scenarios!C25</f>
        <v>1.7080984570854354E-2</v>
      </c>
      <c r="E4" s="85">
        <f>+Scenarios!D25</f>
        <v>-5.3634034495987179E-2</v>
      </c>
      <c r="F4" s="85">
        <f>+Scenarios!E25</f>
        <v>1.9126088571386521E-2</v>
      </c>
      <c r="G4" s="85">
        <f>+Scenarios!F25</f>
        <v>-0.44320953513141953</v>
      </c>
      <c r="H4" s="85">
        <f>+Scenarios!G25</f>
        <v>-0.45286655377141971</v>
      </c>
      <c r="I4" s="85">
        <f>+Scenarios!H25</f>
        <v>0.29576434041524707</v>
      </c>
      <c r="J4" s="317">
        <f>Scenarios!D5</f>
        <v>0.15740402046445473</v>
      </c>
      <c r="K4" s="209"/>
      <c r="L4" s="343" t="s">
        <v>5</v>
      </c>
      <c r="M4" s="363">
        <f t="shared" ref="M4:M10" si="1">C4/$J4</f>
        <v>0.19059233627882241</v>
      </c>
      <c r="N4" s="364">
        <f t="shared" si="0"/>
        <v>0.10851682517672166</v>
      </c>
      <c r="O4" s="364">
        <f t="shared" si="0"/>
        <v>-0.34074119795497165</v>
      </c>
      <c r="P4" s="364">
        <f t="shared" si="0"/>
        <v>0.1215095301565414</v>
      </c>
      <c r="Q4" s="364">
        <f t="shared" si="0"/>
        <v>-2.8157446920582689</v>
      </c>
      <c r="R4" s="364">
        <f t="shared" si="0"/>
        <v>-2.8770964835277946</v>
      </c>
      <c r="S4" s="367">
        <f t="shared" si="0"/>
        <v>1.8790138875902291</v>
      </c>
    </row>
    <row r="5" spans="2:19">
      <c r="B5" s="343" t="s">
        <v>6</v>
      </c>
      <c r="C5" s="317">
        <f>+Scenarios!B26</f>
        <v>3.1390664572732138E-2</v>
      </c>
      <c r="D5" s="85">
        <f>+Scenarios!C26</f>
        <v>2.8210029350712571E-2</v>
      </c>
      <c r="E5" s="85">
        <f>+Scenarios!D26</f>
        <v>-2.95466166646563E-3</v>
      </c>
      <c r="F5" s="85">
        <f>+Scenarios!E26</f>
        <v>1.2307163627323543E-2</v>
      </c>
      <c r="G5" s="85">
        <f>+Scenarios!F26</f>
        <v>-0.50520055078596937</v>
      </c>
      <c r="H5" s="85">
        <f>+Scenarios!G26</f>
        <v>-0.35244265167679129</v>
      </c>
      <c r="I5" s="85">
        <f>+Scenarios!H26</f>
        <v>0.24637536735679014</v>
      </c>
      <c r="J5" s="317">
        <f>Scenarios!D6</f>
        <v>0.16055565886911449</v>
      </c>
      <c r="K5" s="209"/>
      <c r="L5" s="343" t="s">
        <v>6</v>
      </c>
      <c r="M5" s="363">
        <f t="shared" si="1"/>
        <v>0.19551266391875924</v>
      </c>
      <c r="N5" s="364">
        <f t="shared" si="0"/>
        <v>0.17570249189229437</v>
      </c>
      <c r="O5" s="364">
        <f t="shared" si="0"/>
        <v>-1.8402725181267388E-2</v>
      </c>
      <c r="P5" s="364">
        <f t="shared" si="0"/>
        <v>7.6653564963140811E-2</v>
      </c>
      <c r="Q5" s="364">
        <f t="shared" si="0"/>
        <v>-3.1465758002202247</v>
      </c>
      <c r="R5" s="364">
        <f t="shared" si="0"/>
        <v>-2.1951431307949334</v>
      </c>
      <c r="S5" s="367">
        <f t="shared" si="0"/>
        <v>1.5345168715456872</v>
      </c>
    </row>
    <row r="6" spans="2:19">
      <c r="B6" s="343" t="s">
        <v>7</v>
      </c>
      <c r="C6" s="317">
        <f>+Scenarios!B27</f>
        <v>5.5291722300972554E-2</v>
      </c>
      <c r="D6" s="85">
        <f>+Scenarios!C27</f>
        <v>-3.3982895609806815E-2</v>
      </c>
      <c r="E6" s="85">
        <f>+Scenarios!D27</f>
        <v>-0.20034010635526645</v>
      </c>
      <c r="F6" s="85">
        <f>+Scenarios!E27</f>
        <v>2.0569527320858455E-2</v>
      </c>
      <c r="G6" s="85">
        <f>+Scenarios!F27</f>
        <v>-0.64117999007188409</v>
      </c>
      <c r="H6" s="85">
        <f>+Scenarios!G27</f>
        <v>-0.50739956473317127</v>
      </c>
      <c r="I6" s="85">
        <f>+Scenarios!H27</f>
        <v>0.32892743718810752</v>
      </c>
      <c r="J6" s="317">
        <f>Scenarios!D7</f>
        <v>0.28482723462884557</v>
      </c>
      <c r="K6" s="209"/>
      <c r="L6" s="343" t="s">
        <v>7</v>
      </c>
      <c r="M6" s="363">
        <f t="shared" si="1"/>
        <v>0.19412371985081564</v>
      </c>
      <c r="N6" s="364">
        <f t="shared" si="0"/>
        <v>-0.1193105555867558</v>
      </c>
      <c r="O6" s="364">
        <f t="shared" si="0"/>
        <v>-0.7033741229708137</v>
      </c>
      <c r="P6" s="364">
        <f t="shared" si="0"/>
        <v>7.2217557944072031E-2</v>
      </c>
      <c r="Q6" s="364">
        <f t="shared" si="0"/>
        <v>-2.2511189665812572</v>
      </c>
      <c r="R6" s="364">
        <f t="shared" si="0"/>
        <v>-1.7814292421662439</v>
      </c>
      <c r="S6" s="367">
        <f t="shared" si="0"/>
        <v>1.154831410755816</v>
      </c>
    </row>
    <row r="7" spans="2:19">
      <c r="B7" s="343" t="s">
        <v>8</v>
      </c>
      <c r="C7" s="317">
        <f>+Scenarios!B28</f>
        <v>5.3998164657843073E-2</v>
      </c>
      <c r="D7" s="85">
        <f>+Scenarios!C28</f>
        <v>7.2231587254445423E-2</v>
      </c>
      <c r="E7" s="85">
        <f>+Scenarios!D28</f>
        <v>-2.9945024082715634E-2</v>
      </c>
      <c r="F7" s="85">
        <f>+Scenarios!E28</f>
        <v>7.5326235596053476E-2</v>
      </c>
      <c r="G7" s="85">
        <f>+Scenarios!F28</f>
        <v>-0.39383408868167263</v>
      </c>
      <c r="H7" s="85">
        <f>+Scenarios!G28</f>
        <v>-0.23709668904730849</v>
      </c>
      <c r="I7" s="85">
        <f>+Scenarios!H28</f>
        <v>0.4212127714691607</v>
      </c>
      <c r="J7" s="317">
        <f>Scenarios!D8</f>
        <v>0.29086830436352928</v>
      </c>
      <c r="K7" s="209"/>
      <c r="L7" s="343" t="s">
        <v>8</v>
      </c>
      <c r="M7" s="363">
        <f t="shared" si="1"/>
        <v>0.18564471909718902</v>
      </c>
      <c r="N7" s="364">
        <f t="shared" si="0"/>
        <v>0.24833089811040349</v>
      </c>
      <c r="O7" s="364">
        <f t="shared" si="0"/>
        <v>-0.10295045432413333</v>
      </c>
      <c r="P7" s="364">
        <f t="shared" si="0"/>
        <v>0.25897024346080078</v>
      </c>
      <c r="Q7" s="364">
        <f t="shared" si="0"/>
        <v>-1.3539945149522239</v>
      </c>
      <c r="R7" s="364">
        <f t="shared" si="0"/>
        <v>-0.8151341534654919</v>
      </c>
      <c r="S7" s="367">
        <f t="shared" si="0"/>
        <v>1.4481219340513842</v>
      </c>
    </row>
    <row r="8" spans="2:19">
      <c r="B8" s="343" t="s">
        <v>9</v>
      </c>
      <c r="C8" s="317">
        <f>+Scenarios!B29</f>
        <v>5.1554959718268165E-2</v>
      </c>
      <c r="D8" s="85">
        <f>+Scenarios!C29</f>
        <v>8.3002461795964225E-2</v>
      </c>
      <c r="E8" s="85">
        <f>+Scenarios!D29</f>
        <v>1.4659134029297541E-2</v>
      </c>
      <c r="F8" s="85">
        <f>+Scenarios!E29</f>
        <v>9.0021127349297542E-2</v>
      </c>
      <c r="G8" s="85">
        <f>+Scenarios!F29</f>
        <v>-0.52034739633736904</v>
      </c>
      <c r="H8" s="85">
        <f>+Scenarios!G29</f>
        <v>-0.53890194796403579</v>
      </c>
      <c r="I8" s="85">
        <f>+Scenarios!H29</f>
        <v>0.62225820003596433</v>
      </c>
      <c r="J8" s="317">
        <f>Scenarios!D9</f>
        <v>0.32762989319180058</v>
      </c>
      <c r="K8" s="209"/>
      <c r="L8" s="343" t="s">
        <v>9</v>
      </c>
      <c r="M8" s="363">
        <f t="shared" si="1"/>
        <v>0.1573573132048941</v>
      </c>
      <c r="N8" s="364">
        <f t="shared" si="0"/>
        <v>0.25334215076453065</v>
      </c>
      <c r="O8" s="364">
        <f t="shared" si="0"/>
        <v>4.4742968617689026E-2</v>
      </c>
      <c r="P8" s="364">
        <f t="shared" si="0"/>
        <v>0.27476469400366199</v>
      </c>
      <c r="Q8" s="364">
        <f t="shared" si="0"/>
        <v>-1.5882170923663186</v>
      </c>
      <c r="R8" s="364">
        <f t="shared" si="0"/>
        <v>-1.6448497501677988</v>
      </c>
      <c r="S8" s="367">
        <f t="shared" si="0"/>
        <v>1.8992717482946004</v>
      </c>
    </row>
    <row r="9" spans="2:19">
      <c r="B9" s="343" t="s">
        <v>10</v>
      </c>
      <c r="C9" s="317">
        <f>+Scenarios!B30</f>
        <v>2.8536326743371695E-2</v>
      </c>
      <c r="D9" s="85">
        <f>+Scenarios!C30</f>
        <v>1.695057316664925E-2</v>
      </c>
      <c r="E9" s="85">
        <f>+Scenarios!D30</f>
        <v>-4.2653387188440507E-2</v>
      </c>
      <c r="F9" s="85">
        <f>+Scenarios!E30</f>
        <v>1.4434999267229312E-2</v>
      </c>
      <c r="G9" s="85">
        <f>+Scenarios!F30</f>
        <v>-0.25857548795346308</v>
      </c>
      <c r="H9" s="85">
        <f>+Scenarios!G30</f>
        <v>-1.0981482728457838E-2</v>
      </c>
      <c r="I9" s="85">
        <f>+Scenarios!H30</f>
        <v>0.27934742068923668</v>
      </c>
      <c r="J9" s="317">
        <f>Scenarios!D10</f>
        <v>0.15798659221184908</v>
      </c>
      <c r="K9" s="209"/>
      <c r="L9" s="343" t="s">
        <v>10</v>
      </c>
      <c r="M9" s="363">
        <f t="shared" si="1"/>
        <v>0.18062499066443852</v>
      </c>
      <c r="N9" s="364">
        <f t="shared" si="0"/>
        <v>0.10729121331967023</v>
      </c>
      <c r="O9" s="364">
        <f t="shared" si="0"/>
        <v>-0.26998105719784921</v>
      </c>
      <c r="P9" s="364">
        <f t="shared" si="0"/>
        <v>9.1368508334384341E-2</v>
      </c>
      <c r="Q9" s="364">
        <f t="shared" si="0"/>
        <v>-1.6366926100078876</v>
      </c>
      <c r="R9" s="364">
        <f t="shared" si="0"/>
        <v>-6.950895373281063E-2</v>
      </c>
      <c r="S9" s="367">
        <f t="shared" si="0"/>
        <v>1.7681716959541172</v>
      </c>
    </row>
    <row r="10" spans="2:19">
      <c r="B10" s="344" t="s">
        <v>11</v>
      </c>
      <c r="C10" s="318">
        <f>+Scenarios!B31</f>
        <v>3.8644858050511752E-2</v>
      </c>
      <c r="D10" s="308">
        <f>+Scenarios!C31</f>
        <v>1.5703249352120311E-2</v>
      </c>
      <c r="E10" s="308">
        <f>+Scenarios!D31</f>
        <v>-5.8162269749716361E-2</v>
      </c>
      <c r="F10" s="308">
        <f>+Scenarios!E31</f>
        <v>4.4496035250283651E-2</v>
      </c>
      <c r="G10" s="308">
        <f>+Scenarios!F31</f>
        <v>-0.33152986308090188</v>
      </c>
      <c r="H10" s="308">
        <f>+Scenarios!G31</f>
        <v>-0.17474285130040365</v>
      </c>
      <c r="I10" s="308">
        <f>+Scenarios!H31</f>
        <v>0.39881762458018055</v>
      </c>
      <c r="J10" s="318">
        <f>Scenarios!D11</f>
        <v>0.19621796279766246</v>
      </c>
      <c r="K10" s="209"/>
      <c r="L10" s="344" t="s">
        <v>11</v>
      </c>
      <c r="M10" s="365">
        <f t="shared" si="1"/>
        <v>0.19694862539349597</v>
      </c>
      <c r="N10" s="366">
        <f t="shared" si="0"/>
        <v>8.0029621795193684E-2</v>
      </c>
      <c r="O10" s="366">
        <f t="shared" si="0"/>
        <v>-0.29641664259705203</v>
      </c>
      <c r="P10" s="366">
        <f t="shared" si="0"/>
        <v>0.22676840904809217</v>
      </c>
      <c r="Q10" s="366">
        <f t="shared" si="0"/>
        <v>-1.68959996502854</v>
      </c>
      <c r="R10" s="366">
        <f t="shared" si="0"/>
        <v>-0.89055481368235545</v>
      </c>
      <c r="S10" s="368">
        <f t="shared" si="0"/>
        <v>2.0325235207514427</v>
      </c>
    </row>
    <row r="11" spans="2:19" ht="15.75">
      <c r="B11" s="84"/>
      <c r="C11" s="84"/>
      <c r="D11" s="84"/>
      <c r="E11" s="84"/>
      <c r="F11" s="84"/>
      <c r="G11" s="84"/>
      <c r="H11" s="84"/>
      <c r="I11" s="84"/>
      <c r="J11" s="84"/>
      <c r="K11" s="209"/>
      <c r="L11" s="209"/>
      <c r="M11" s="348"/>
      <c r="N11" s="337"/>
      <c r="O11" s="337"/>
      <c r="P11" s="337"/>
      <c r="Q11" s="337"/>
      <c r="R11" s="349"/>
      <c r="S11" s="209"/>
    </row>
    <row r="12" spans="2:19" ht="15.75">
      <c r="B12" s="319" t="s">
        <v>123</v>
      </c>
      <c r="C12" s="324">
        <f>+Scenarios!B33</f>
        <v>0</v>
      </c>
      <c r="D12" s="310">
        <f>+Scenarios!C33</f>
        <v>1</v>
      </c>
      <c r="E12" s="310">
        <f>+Scenarios!D33</f>
        <v>0</v>
      </c>
      <c r="F12" s="310">
        <f>+Scenarios!E33</f>
        <v>0</v>
      </c>
      <c r="G12" s="310">
        <f>+Scenarios!F33</f>
        <v>0</v>
      </c>
      <c r="H12" s="310">
        <f>+Scenarios!G33</f>
        <v>0</v>
      </c>
      <c r="I12" s="325">
        <f>+Scenarios!H33</f>
        <v>0</v>
      </c>
      <c r="J12" s="326">
        <f>+Scenarios!I33</f>
        <v>1</v>
      </c>
      <c r="K12" s="209"/>
      <c r="L12" s="209"/>
      <c r="M12" s="348"/>
      <c r="N12" s="337"/>
      <c r="O12" s="337"/>
      <c r="P12" s="337"/>
      <c r="Q12" s="337"/>
      <c r="R12" s="337"/>
      <c r="S12" s="209"/>
    </row>
    <row r="13" spans="2:19" ht="15.75">
      <c r="B13" s="84"/>
      <c r="C13" s="84"/>
      <c r="D13" s="84"/>
      <c r="E13" s="84"/>
      <c r="F13" s="84"/>
      <c r="G13" s="84"/>
      <c r="H13" s="84"/>
      <c r="I13" s="84"/>
      <c r="J13" s="84"/>
      <c r="K13" s="209"/>
      <c r="L13" s="209"/>
      <c r="M13" s="348"/>
      <c r="N13" s="337"/>
      <c r="O13" s="337"/>
      <c r="P13" s="337"/>
      <c r="Q13" s="337"/>
      <c r="R13" s="337"/>
      <c r="S13" s="209"/>
    </row>
    <row r="14" spans="2:19" ht="15.75">
      <c r="B14" s="319" t="s">
        <v>129</v>
      </c>
      <c r="C14" s="324">
        <f>+Scenarios!B35</f>
        <v>0</v>
      </c>
      <c r="D14" s="311">
        <f>+Scenarios!C35</f>
        <v>1.9649588741421451E-2</v>
      </c>
      <c r="E14" s="311">
        <f>+Scenarios!D35</f>
        <v>-5.3217406087582826E-3</v>
      </c>
      <c r="F14" s="311">
        <f>+Scenarios!E35</f>
        <v>2.0551457409427494E-2</v>
      </c>
      <c r="G14" s="311">
        <f>+Scenarios!F35</f>
        <v>-0.17408810286670279</v>
      </c>
      <c r="H14" s="311">
        <f>+Scenarios!G35</f>
        <v>-0.29871538206100001</v>
      </c>
      <c r="I14" s="312">
        <f>+Scenarios!H35</f>
        <v>0.15937697734927275</v>
      </c>
      <c r="J14" s="320">
        <f>+Scenarios!I35</f>
        <v>1.9649588741421451E-2</v>
      </c>
      <c r="K14" s="209"/>
      <c r="L14" s="209"/>
      <c r="M14" s="348"/>
      <c r="N14" s="337"/>
      <c r="O14" s="337"/>
      <c r="P14" s="337"/>
      <c r="Q14" s="337"/>
      <c r="R14" s="337"/>
      <c r="S14" s="209"/>
    </row>
    <row r="15" spans="2:19"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</row>
    <row r="16" spans="2:19">
      <c r="B16" s="209"/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</row>
    <row r="17" spans="2:19"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331"/>
      <c r="M17" s="331"/>
      <c r="N17" s="331"/>
      <c r="O17" s="331"/>
      <c r="P17" s="331"/>
      <c r="Q17" s="331"/>
      <c r="R17" s="331"/>
      <c r="S17" s="209"/>
    </row>
    <row r="18" spans="2:19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331"/>
      <c r="M18" s="331"/>
      <c r="N18" s="331"/>
      <c r="O18" s="331"/>
      <c r="P18" s="331"/>
      <c r="Q18" s="331"/>
      <c r="R18" s="331"/>
      <c r="S18" s="209"/>
    </row>
    <row r="19" spans="2:19">
      <c r="B19" s="342" t="s">
        <v>101</v>
      </c>
      <c r="C19" s="316" t="s">
        <v>70</v>
      </c>
      <c r="D19" s="321" t="s">
        <v>112</v>
      </c>
      <c r="E19" s="305" t="s">
        <v>144</v>
      </c>
      <c r="F19" s="305" t="s">
        <v>145</v>
      </c>
      <c r="G19" s="305" t="s">
        <v>113</v>
      </c>
      <c r="H19" s="305" t="s">
        <v>114</v>
      </c>
      <c r="I19" s="306" t="s">
        <v>128</v>
      </c>
      <c r="J19" s="306"/>
      <c r="K19" s="209"/>
      <c r="L19" s="331"/>
      <c r="M19" s="331"/>
      <c r="N19" s="331"/>
      <c r="O19" s="331"/>
      <c r="P19" s="331"/>
      <c r="Q19" s="331"/>
      <c r="R19" s="331"/>
      <c r="S19" s="209"/>
    </row>
    <row r="20" spans="2:19">
      <c r="B20" s="343" t="s">
        <v>4</v>
      </c>
      <c r="C20" s="317">
        <f>'Samenvatting mixen'!B4</f>
        <v>0.55719900803968181</v>
      </c>
      <c r="D20" s="322">
        <f>'Samenvatting mixen'!B15</f>
        <v>0.64944893325636843</v>
      </c>
      <c r="E20" s="85">
        <f>'Samenvatting mixen'!B26</f>
        <v>0.72885510102225626</v>
      </c>
      <c r="F20" s="85">
        <f>'Samenvatting mixen'!B37</f>
        <v>0.65011963868863909</v>
      </c>
      <c r="G20" s="85">
        <f>'Samenvatting mixen'!B48</f>
        <v>0.9995855091205047</v>
      </c>
      <c r="H20" s="85">
        <f>'Samenvatting mixen'!B59</f>
        <v>0.97126484937417978</v>
      </c>
      <c r="I20" s="307">
        <f>'Samenvatting mixen'!B70</f>
        <v>0.77499855475977697</v>
      </c>
      <c r="J20" s="307"/>
      <c r="K20" s="209"/>
      <c r="L20" s="331"/>
      <c r="M20" s="331"/>
      <c r="N20" s="331"/>
      <c r="O20" s="331"/>
      <c r="P20" s="331"/>
      <c r="Q20" s="331"/>
      <c r="R20" s="331"/>
      <c r="S20" s="209"/>
    </row>
    <row r="21" spans="2:19">
      <c r="B21" s="343" t="s">
        <v>5</v>
      </c>
      <c r="C21" s="317">
        <f>'Samenvatting mixen'!B5</f>
        <v>8.3858999849900528E-2</v>
      </c>
      <c r="D21" s="322">
        <f>'Samenvatting mixen'!B16</f>
        <v>2.1676691195087878E-2</v>
      </c>
      <c r="E21" s="85">
        <f>'Samenvatting mixen'!B27</f>
        <v>3.0757474246619087E-3</v>
      </c>
      <c r="F21" s="85">
        <f>'Samenvatting mixen'!B38</f>
        <v>2.0122071463068335E-2</v>
      </c>
      <c r="G21" s="85">
        <f>'Samenvatting mixen'!B49</f>
        <v>4.9022559865304879E-5</v>
      </c>
      <c r="H21" s="85">
        <f>'Samenvatting mixen'!B60</f>
        <v>8.7092826904194774E-5</v>
      </c>
      <c r="I21" s="307">
        <f>'Samenvatting mixen'!B71</f>
        <v>3.0086328638379851E-2</v>
      </c>
      <c r="J21" s="307"/>
      <c r="K21" s="209"/>
      <c r="L21" s="331"/>
      <c r="M21" s="331"/>
      <c r="N21" s="331"/>
      <c r="O21" s="331"/>
      <c r="P21" s="331"/>
      <c r="Q21" s="331"/>
      <c r="R21" s="331"/>
      <c r="S21" s="209"/>
    </row>
    <row r="22" spans="2:19">
      <c r="B22" s="343" t="s">
        <v>6</v>
      </c>
      <c r="C22" s="317">
        <f>'Samenvatting mixen'!B6</f>
        <v>8.1097049342087946E-2</v>
      </c>
      <c r="D22" s="322">
        <f>'Samenvatting mixen'!B17</f>
        <v>4.0938352073271157E-2</v>
      </c>
      <c r="E22" s="85">
        <f>'Samenvatting mixen'!B28</f>
        <v>4.1870558673314753E-2</v>
      </c>
      <c r="F22" s="85">
        <f>'Samenvatting mixen'!B39</f>
        <v>1.1676759873708515E-2</v>
      </c>
      <c r="G22" s="85">
        <f>'Samenvatting mixen'!B50</f>
        <v>4.0346990170727023E-5</v>
      </c>
      <c r="H22" s="85">
        <f>'Samenvatting mixen'!B61</f>
        <v>1.2296545282093044E-4</v>
      </c>
      <c r="I22" s="307">
        <f>'Samenvatting mixen'!B72</f>
        <v>6.4510765165019558E-3</v>
      </c>
      <c r="J22" s="307"/>
      <c r="K22" s="209"/>
      <c r="L22" s="331"/>
      <c r="M22" s="331"/>
      <c r="N22" s="331"/>
      <c r="O22" s="331"/>
      <c r="P22" s="331"/>
      <c r="Q22" s="331"/>
      <c r="R22" s="331"/>
      <c r="S22" s="209"/>
    </row>
    <row r="23" spans="2:19">
      <c r="B23" s="343" t="s">
        <v>7</v>
      </c>
      <c r="C23" s="317">
        <f>'Samenvatting mixen'!B7</f>
        <v>8.8321561444674276E-2</v>
      </c>
      <c r="D23" s="322">
        <f>'Samenvatting mixen'!B18</f>
        <v>1.23325046265014E-3</v>
      </c>
      <c r="E23" s="85">
        <f>'Samenvatting mixen'!B29</f>
        <v>2.884216315482935E-4</v>
      </c>
      <c r="F23" s="85">
        <f>'Samenvatting mixen'!B40</f>
        <v>3.2334217893657752E-3</v>
      </c>
      <c r="G23" s="85">
        <f>'Samenvatting mixen'!B51</f>
        <v>2.5435585217645827E-5</v>
      </c>
      <c r="H23" s="85">
        <f>'Samenvatting mixen'!B62</f>
        <v>8.6440582135674618E-5</v>
      </c>
      <c r="I23" s="307">
        <f>'Samenvatting mixen'!B73</f>
        <v>1.237617808086143E-3</v>
      </c>
      <c r="J23" s="307"/>
      <c r="K23" s="209"/>
      <c r="L23" s="331"/>
      <c r="M23" s="331"/>
      <c r="N23" s="331"/>
      <c r="O23" s="331"/>
      <c r="P23" s="331"/>
      <c r="Q23" s="331"/>
      <c r="R23" s="331"/>
      <c r="S23" s="209"/>
    </row>
    <row r="24" spans="2:19">
      <c r="B24" s="343" t="s">
        <v>8</v>
      </c>
      <c r="C24" s="317">
        <f>'Samenvatting mixen'!B8</f>
        <v>5.1276371590810013E-2</v>
      </c>
      <c r="D24" s="322">
        <f>'Samenvatting mixen'!B19</f>
        <v>0.11596613074290399</v>
      </c>
      <c r="E24" s="85">
        <f>'Samenvatting mixen'!B30</f>
        <v>3.8369167229621321E-3</v>
      </c>
      <c r="F24" s="85">
        <f>'Samenvatting mixen'!B41</f>
        <v>9.4376229418329308E-2</v>
      </c>
      <c r="G24" s="85">
        <f>'Samenvatting mixen'!B52</f>
        <v>4.7942830494579915E-5</v>
      </c>
      <c r="H24" s="85">
        <f>'Samenvatting mixen'!B63</f>
        <v>1.1775119069293206E-4</v>
      </c>
      <c r="I24" s="307">
        <f>'Samenvatting mixen'!B74</f>
        <v>2.8352007145263122E-3</v>
      </c>
      <c r="J24" s="307"/>
      <c r="K24" s="209"/>
      <c r="L24" s="331"/>
      <c r="M24" s="331"/>
      <c r="N24" s="331"/>
      <c r="O24" s="331"/>
      <c r="P24" s="331"/>
      <c r="Q24" s="331"/>
      <c r="R24" s="331"/>
      <c r="S24" s="209"/>
    </row>
    <row r="25" spans="2:19">
      <c r="B25" s="343" t="s">
        <v>9</v>
      </c>
      <c r="C25" s="317">
        <f>'Samenvatting mixen'!B9</f>
        <v>2.1354459522029707E-2</v>
      </c>
      <c r="D25" s="322">
        <f>'Samenvatting mixen'!B20</f>
        <v>0.13649706597906699</v>
      </c>
      <c r="E25" s="85">
        <f>'Samenvatting mixen'!B31</f>
        <v>0.21580135325535327</v>
      </c>
      <c r="F25" s="85">
        <f>'Samenvatting mixen'!B42</f>
        <v>0.14145034811797552</v>
      </c>
      <c r="G25" s="85">
        <f>'Samenvatting mixen'!B53</f>
        <v>3.6554621152360859E-5</v>
      </c>
      <c r="H25" s="85">
        <f>'Samenvatting mixen'!B64</f>
        <v>7.5308671813012167E-5</v>
      </c>
      <c r="I25" s="307">
        <f>'Samenvatting mixen'!B75</f>
        <v>5.0375761983916946E-2</v>
      </c>
      <c r="J25" s="307"/>
      <c r="K25" s="209"/>
      <c r="L25" s="331"/>
      <c r="M25" s="331"/>
      <c r="N25" s="331"/>
      <c r="O25" s="331"/>
      <c r="P25" s="331"/>
      <c r="Q25" s="331"/>
      <c r="R25" s="331"/>
      <c r="S25" s="209"/>
    </row>
    <row r="26" spans="2:19">
      <c r="B26" s="343" t="s">
        <v>10</v>
      </c>
      <c r="C26" s="317">
        <f>'Samenvatting mixen'!B10</f>
        <v>5.7796269490217128E-2</v>
      </c>
      <c r="D26" s="322">
        <f>'Samenvatting mixen'!B21</f>
        <v>2.3916818164114236E-2</v>
      </c>
      <c r="E26" s="85">
        <f>'Samenvatting mixen'!B32</f>
        <v>4.0770060209546436E-3</v>
      </c>
      <c r="F26" s="85">
        <f>'Samenvatting mixen'!B43</f>
        <v>1.6558602905585251E-2</v>
      </c>
      <c r="G26" s="85">
        <f>'Samenvatting mixen'!B54</f>
        <v>1.3559771619691606E-4</v>
      </c>
      <c r="H26" s="85">
        <f>'Samenvatting mixen'!B65</f>
        <v>2.7916419492430906E-2</v>
      </c>
      <c r="I26" s="307">
        <f>'Samenvatting mixen'!B76</f>
        <v>2.7552558441097431E-2</v>
      </c>
      <c r="J26" s="307"/>
      <c r="K26" s="209"/>
      <c r="L26" s="331"/>
      <c r="M26" s="331"/>
      <c r="N26" s="331"/>
      <c r="O26" s="331"/>
      <c r="P26" s="331"/>
      <c r="Q26" s="331"/>
      <c r="R26" s="331"/>
      <c r="S26" s="209"/>
    </row>
    <row r="27" spans="2:19">
      <c r="B27" s="344" t="s">
        <v>11</v>
      </c>
      <c r="C27" s="318">
        <f>'Samenvatting mixen'!B11</f>
        <v>5.9096280720598179E-2</v>
      </c>
      <c r="D27" s="323">
        <f>'Samenvatting mixen'!B22</f>
        <v>1.0322758126537421E-2</v>
      </c>
      <c r="E27" s="308">
        <f>'Samenvatting mixen'!B33</f>
        <v>2.1948952489493057E-3</v>
      </c>
      <c r="F27" s="308">
        <f>'Samenvatting mixen'!B44</f>
        <v>6.2462927743328199E-2</v>
      </c>
      <c r="G27" s="308">
        <f>'Samenvatting mixen'!B55</f>
        <v>7.9590576398047146E-5</v>
      </c>
      <c r="H27" s="308">
        <f>'Samenvatting mixen'!B66</f>
        <v>3.2917240902281185E-4</v>
      </c>
      <c r="I27" s="309">
        <f>'Samenvatting mixen'!B77</f>
        <v>0.10646290113771467</v>
      </c>
      <c r="J27" s="309"/>
      <c r="K27" s="209"/>
      <c r="L27" s="331"/>
      <c r="M27" s="331"/>
      <c r="N27" s="331"/>
      <c r="O27" s="331"/>
      <c r="P27" s="331"/>
      <c r="Q27" s="331"/>
      <c r="R27" s="331"/>
      <c r="S27" s="20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single aandelen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2013-05-08T12:25:45Z</dcterms:modified>
</cp:coreProperties>
</file>