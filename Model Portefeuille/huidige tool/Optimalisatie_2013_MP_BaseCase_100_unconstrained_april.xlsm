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105" yWindow="-15" windowWidth="11940" windowHeight="9690" activeTab="7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extra analyze" sheetId="13" r:id="rId9"/>
    <sheet name="Sheet2" sheetId="14" r:id="rId10"/>
  </sheets>
  <externalReferences>
    <externalReference r:id="rId11"/>
    <externalReference r:id="rId12"/>
    <externalReference r:id="rId13"/>
    <externalReference r:id="rId14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A11" i="13"/>
  <c r="A12"/>
  <c r="A13"/>
  <c r="A14"/>
  <c r="A15"/>
  <c r="A16"/>
  <c r="A17"/>
  <c r="A10"/>
  <c r="H39" i="11"/>
  <c r="C39"/>
  <c r="I39"/>
  <c r="H38"/>
  <c r="C38"/>
  <c r="I38"/>
  <c r="H37"/>
  <c r="C37"/>
  <c r="I37"/>
  <c r="H36"/>
  <c r="C36"/>
  <c r="I36"/>
  <c r="H35"/>
  <c r="C35"/>
  <c r="I35"/>
  <c r="H34"/>
  <c r="C34"/>
  <c r="I34"/>
  <c r="H33"/>
  <c r="C33"/>
  <c r="I33"/>
  <c r="H32"/>
  <c r="C32"/>
  <c r="I32"/>
  <c r="E39"/>
  <c r="F39"/>
  <c r="E38"/>
  <c r="F38"/>
  <c r="E37"/>
  <c r="F37"/>
  <c r="E36"/>
  <c r="F36"/>
  <c r="E35"/>
  <c r="F35"/>
  <c r="E34"/>
  <c r="F34"/>
  <c r="E33"/>
  <c r="F33"/>
  <c r="E32"/>
  <c r="F32"/>
  <c r="C33" i="7"/>
  <c r="E33"/>
  <c r="B31"/>
  <c r="B33"/>
  <c r="D33"/>
  <c r="F33"/>
  <c r="G33"/>
  <c r="H33"/>
  <c r="I31"/>
  <c r="B30"/>
  <c r="I30"/>
  <c r="B29"/>
  <c r="I29"/>
  <c r="B28"/>
  <c r="I28"/>
  <c r="B27"/>
  <c r="I27"/>
  <c r="B26"/>
  <c r="I26"/>
  <c r="B25"/>
  <c r="I25"/>
  <c r="B24"/>
  <c r="I24"/>
  <c r="J21" i="11"/>
  <c r="J22"/>
  <c r="J23"/>
  <c r="J24"/>
  <c r="J25"/>
  <c r="J26"/>
  <c r="J27"/>
  <c r="J20"/>
  <c r="D21"/>
  <c r="E21"/>
  <c r="F21"/>
  <c r="G21"/>
  <c r="H21"/>
  <c r="I21"/>
  <c r="D22"/>
  <c r="E22"/>
  <c r="F22"/>
  <c r="G22"/>
  <c r="H22"/>
  <c r="I22"/>
  <c r="D23"/>
  <c r="E23"/>
  <c r="F23"/>
  <c r="G23"/>
  <c r="H23"/>
  <c r="I23"/>
  <c r="D24"/>
  <c r="E24"/>
  <c r="F24"/>
  <c r="G24"/>
  <c r="H24"/>
  <c r="I24"/>
  <c r="D25"/>
  <c r="E25"/>
  <c r="F25"/>
  <c r="G25"/>
  <c r="H25"/>
  <c r="I25"/>
  <c r="D26"/>
  <c r="E26"/>
  <c r="F26"/>
  <c r="G26"/>
  <c r="H26"/>
  <c r="I26"/>
  <c r="D27"/>
  <c r="E27"/>
  <c r="F27"/>
  <c r="G27"/>
  <c r="H27"/>
  <c r="I27"/>
  <c r="I20"/>
  <c r="H20"/>
  <c r="G20"/>
  <c r="F20"/>
  <c r="E20"/>
  <c r="D20"/>
  <c r="C20"/>
  <c r="C21"/>
  <c r="C22"/>
  <c r="C23"/>
  <c r="C24"/>
  <c r="C25"/>
  <c r="C26"/>
  <c r="C27"/>
  <c r="E3"/>
  <c r="F3"/>
  <c r="G3"/>
  <c r="E4"/>
  <c r="F4"/>
  <c r="G4"/>
  <c r="E5"/>
  <c r="F5"/>
  <c r="G5"/>
  <c r="E6"/>
  <c r="F6"/>
  <c r="G6"/>
  <c r="E7"/>
  <c r="F7"/>
  <c r="G7"/>
  <c r="E8"/>
  <c r="F8"/>
  <c r="G8"/>
  <c r="E9"/>
  <c r="F9"/>
  <c r="G9"/>
  <c r="E10"/>
  <c r="F10"/>
  <c r="G10"/>
  <c r="E12"/>
  <c r="F12"/>
  <c r="G12"/>
  <c r="K135"/>
  <c r="I135"/>
  <c r="L135"/>
  <c r="J5"/>
  <c r="J137"/>
  <c r="K137"/>
  <c r="J6"/>
  <c r="J138"/>
  <c r="J7"/>
  <c r="J139"/>
  <c r="K139"/>
  <c r="J8"/>
  <c r="J140"/>
  <c r="J9"/>
  <c r="J141"/>
  <c r="J10"/>
  <c r="J142"/>
  <c r="J4"/>
  <c r="J136"/>
  <c r="K136"/>
  <c r="I139"/>
  <c r="I136"/>
  <c r="I137"/>
  <c r="I138"/>
  <c r="I140"/>
  <c r="I141"/>
  <c r="I142"/>
  <c r="J3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F10" i="9"/>
  <c r="F9"/>
  <c r="F8"/>
  <c r="F7"/>
  <c r="F6"/>
  <c r="F5"/>
  <c r="F4"/>
  <c r="F3"/>
  <c r="H35" i="7"/>
  <c r="I14" i="11"/>
  <c r="B35" i="7"/>
  <c r="C14" i="11"/>
  <c r="I33" i="7"/>
  <c r="J12" i="11"/>
  <c r="H12"/>
  <c r="I12"/>
  <c r="D12"/>
  <c r="C12"/>
  <c r="I10"/>
  <c r="H10"/>
  <c r="D10"/>
  <c r="I9"/>
  <c r="H9"/>
  <c r="D9"/>
  <c r="I8"/>
  <c r="H8"/>
  <c r="D8"/>
  <c r="I7"/>
  <c r="H7"/>
  <c r="D7"/>
  <c r="I6"/>
  <c r="H6"/>
  <c r="D6"/>
  <c r="I5"/>
  <c r="H5"/>
  <c r="D5"/>
  <c r="I4"/>
  <c r="H4"/>
  <c r="D4"/>
  <c r="I3"/>
  <c r="H3"/>
  <c r="D3"/>
  <c r="C10"/>
  <c r="C9"/>
  <c r="C8"/>
  <c r="C7"/>
  <c r="C6"/>
  <c r="C5"/>
  <c r="C4"/>
  <c r="C3"/>
  <c r="G7" i="9"/>
  <c r="G6"/>
  <c r="G3"/>
  <c r="G4"/>
  <c r="G5"/>
  <c r="G8"/>
  <c r="G9"/>
  <c r="G10"/>
  <c r="A21" i="5"/>
  <c r="A22"/>
  <c r="A23"/>
  <c r="A24"/>
  <c r="A25"/>
  <c r="A26"/>
  <c r="G5"/>
  <c r="H5"/>
  <c r="B11" i="9"/>
  <c r="B27"/>
  <c r="D27" i="5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Q73"/>
  <c r="A69" i="6"/>
  <c r="A63" i="8"/>
  <c r="Q63"/>
  <c r="A58" i="6"/>
  <c r="U88"/>
  <c r="T88"/>
  <c r="S88"/>
  <c r="A22"/>
  <c r="A44"/>
  <c r="A55"/>
  <c r="U87"/>
  <c r="T87"/>
  <c r="S87"/>
  <c r="A21"/>
  <c r="A43"/>
  <c r="U86"/>
  <c r="T86"/>
  <c r="S86"/>
  <c r="A20"/>
  <c r="A42"/>
  <c r="A53"/>
  <c r="U85"/>
  <c r="T85"/>
  <c r="S85"/>
  <c r="A19"/>
  <c r="A41"/>
  <c r="U84"/>
  <c r="T84"/>
  <c r="S84"/>
  <c r="A18"/>
  <c r="A40"/>
  <c r="A51"/>
  <c r="U83"/>
  <c r="T83"/>
  <c r="S83"/>
  <c r="A17"/>
  <c r="A39"/>
  <c r="U82"/>
  <c r="T82"/>
  <c r="S82"/>
  <c r="A16"/>
  <c r="A38"/>
  <c r="A49"/>
  <c r="U81"/>
  <c r="T81"/>
  <c r="S81"/>
  <c r="A4"/>
  <c r="A15"/>
  <c r="R80"/>
  <c r="U77"/>
  <c r="T77"/>
  <c r="S77"/>
  <c r="U76"/>
  <c r="T76"/>
  <c r="S76"/>
  <c r="U75"/>
  <c r="T75"/>
  <c r="S75"/>
  <c r="U74"/>
  <c r="T74"/>
  <c r="S74"/>
  <c r="U73"/>
  <c r="T73"/>
  <c r="S73"/>
  <c r="U72"/>
  <c r="T72"/>
  <c r="S72"/>
  <c r="U71"/>
  <c r="T71"/>
  <c r="S71"/>
  <c r="U70"/>
  <c r="T70"/>
  <c r="S70"/>
  <c r="R69"/>
  <c r="V80" i="8"/>
  <c r="T80"/>
  <c r="S80"/>
  <c r="R80"/>
  <c r="V79"/>
  <c r="T79"/>
  <c r="S79"/>
  <c r="R79"/>
  <c r="V78"/>
  <c r="T78"/>
  <c r="S78"/>
  <c r="R78"/>
  <c r="V77"/>
  <c r="T77"/>
  <c r="S77"/>
  <c r="R77"/>
  <c r="V76"/>
  <c r="T76"/>
  <c r="S76"/>
  <c r="R76"/>
  <c r="V75"/>
  <c r="T75"/>
  <c r="S75"/>
  <c r="R75"/>
  <c r="V74"/>
  <c r="T74"/>
  <c r="S74"/>
  <c r="R74"/>
  <c r="T70"/>
  <c r="S70"/>
  <c r="R70"/>
  <c r="T69"/>
  <c r="S69"/>
  <c r="R69"/>
  <c r="T68"/>
  <c r="S68"/>
  <c r="R68"/>
  <c r="T67"/>
  <c r="S67"/>
  <c r="R67"/>
  <c r="T66"/>
  <c r="S66"/>
  <c r="R66"/>
  <c r="T65"/>
  <c r="S65"/>
  <c r="R65"/>
  <c r="T64"/>
  <c r="S64"/>
  <c r="R64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A4" i="9"/>
  <c r="W4"/>
  <c r="A5"/>
  <c r="W5"/>
  <c r="A6"/>
  <c r="W6"/>
  <c r="A7"/>
  <c r="W7"/>
  <c r="A8"/>
  <c r="W8"/>
  <c r="A9"/>
  <c r="W9"/>
  <c r="A10"/>
  <c r="W10"/>
  <c r="A3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T38"/>
  <c r="S38"/>
  <c r="R38"/>
  <c r="T37"/>
  <c r="S37"/>
  <c r="R37"/>
  <c r="T36"/>
  <c r="S36"/>
  <c r="R36"/>
  <c r="T35"/>
  <c r="S35"/>
  <c r="R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T18"/>
  <c r="S18"/>
  <c r="R18"/>
  <c r="T17"/>
  <c r="S17"/>
  <c r="R17"/>
  <c r="T16"/>
  <c r="S16"/>
  <c r="R16"/>
  <c r="T15"/>
  <c r="S15"/>
  <c r="R15"/>
  <c r="T14"/>
  <c r="S14"/>
  <c r="R14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53"/>
  <c r="Q53"/>
  <c r="A36" i="6"/>
  <c r="A33" i="8"/>
  <c r="Q33"/>
  <c r="A14" i="6"/>
  <c r="A13" i="8"/>
  <c r="Q13"/>
  <c r="A20" i="5"/>
  <c r="A3" i="8"/>
  <c r="Q3"/>
  <c r="R58" i="6"/>
  <c r="R36"/>
  <c r="R3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A28"/>
  <c r="R28"/>
  <c r="A32"/>
  <c r="R32"/>
  <c r="R17"/>
  <c r="R21"/>
  <c r="R44"/>
  <c r="R42"/>
  <c r="R19"/>
  <c r="A30"/>
  <c r="R30"/>
  <c r="R40"/>
  <c r="R38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R25"/>
  <c r="A47"/>
  <c r="R47"/>
  <c r="A23" i="8"/>
  <c r="Q23"/>
  <c r="A5" i="4"/>
  <c r="A108"/>
  <c r="A6"/>
  <c r="A109"/>
  <c r="A7"/>
  <c r="A110"/>
  <c r="A8"/>
  <c r="A111"/>
  <c r="A9"/>
  <c r="A112"/>
  <c r="A10"/>
  <c r="A113"/>
  <c r="A11"/>
  <c r="A22"/>
  <c r="A114"/>
  <c r="A4"/>
  <c r="A107"/>
  <c r="A20"/>
  <c r="A21"/>
  <c r="A17"/>
  <c r="A18"/>
  <c r="A16"/>
  <c r="A15"/>
  <c r="C35" i="7"/>
  <c r="D14" i="11"/>
  <c r="G35" i="7"/>
  <c r="H14" i="11"/>
  <c r="A54" i="6"/>
  <c r="R43"/>
  <c r="R55"/>
  <c r="A66"/>
  <c r="A49" i="8"/>
  <c r="Q9"/>
  <c r="A29"/>
  <c r="Q29"/>
  <c r="A39"/>
  <c r="Q39"/>
  <c r="A19"/>
  <c r="Q19"/>
  <c r="A45"/>
  <c r="Q5"/>
  <c r="A25"/>
  <c r="Q25"/>
  <c r="A35"/>
  <c r="Q35"/>
  <c r="A15"/>
  <c r="Q15"/>
  <c r="A52" i="6"/>
  <c r="R41"/>
  <c r="R53"/>
  <c r="A64"/>
  <c r="A50" i="8"/>
  <c r="Q50"/>
  <c r="Q10"/>
  <c r="A30"/>
  <c r="Q30"/>
  <c r="A40"/>
  <c r="Q40"/>
  <c r="A60"/>
  <c r="A20"/>
  <c r="Q20"/>
  <c r="A46"/>
  <c r="A26"/>
  <c r="Q26"/>
  <c r="Q6"/>
  <c r="A16"/>
  <c r="Q16"/>
  <c r="A36"/>
  <c r="Q36"/>
  <c r="R39" i="6"/>
  <c r="A50"/>
  <c r="R51"/>
  <c r="A62"/>
  <c r="A44" i="8"/>
  <c r="A24"/>
  <c r="Q24"/>
  <c r="A14"/>
  <c r="Q14"/>
  <c r="A34"/>
  <c r="Q34"/>
  <c r="Q4"/>
  <c r="A47"/>
  <c r="Q7"/>
  <c r="A27"/>
  <c r="Q27"/>
  <c r="A37"/>
  <c r="Q37"/>
  <c r="A17"/>
  <c r="Q17"/>
  <c r="R15" i="6"/>
  <c r="A37"/>
  <c r="A26"/>
  <c r="R26"/>
  <c r="A60"/>
  <c r="R49"/>
  <c r="D26" i="5"/>
  <c r="D22"/>
  <c r="D23"/>
  <c r="D24"/>
  <c r="D20"/>
  <c r="D25"/>
  <c r="D21"/>
  <c r="A48" i="8"/>
  <c r="A28"/>
  <c r="Q28"/>
  <c r="A38"/>
  <c r="Q38"/>
  <c r="Q8"/>
  <c r="A18"/>
  <c r="Q18"/>
  <c r="A43"/>
  <c r="Q43"/>
  <c r="A19" i="4"/>
  <c r="R14" i="6"/>
  <c r="G27" i="1"/>
  <c r="G26"/>
  <c r="E27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K140" i="11"/>
  <c r="L140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L136" i="11"/>
  <c r="H28" i="1"/>
  <c r="F30"/>
  <c r="D32"/>
  <c r="K33"/>
  <c r="K141" i="11"/>
  <c r="L141"/>
  <c r="L142"/>
  <c r="K142"/>
  <c r="L138"/>
  <c r="K138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L139" i="11"/>
  <c r="L137"/>
  <c r="A48" i="6"/>
  <c r="R37"/>
  <c r="R62"/>
  <c r="A73"/>
  <c r="Q46" i="8"/>
  <c r="A56"/>
  <c r="Q49"/>
  <c r="A59"/>
  <c r="R54" i="6"/>
  <c r="A65"/>
  <c r="A54" i="8"/>
  <c r="Q44"/>
  <c r="A75" i="6"/>
  <c r="R64"/>
  <c r="A55" i="8"/>
  <c r="Q45"/>
  <c r="I35" i="7"/>
  <c r="J14" i="11"/>
  <c r="R60" i="6"/>
  <c r="A71"/>
  <c r="Q47" i="8"/>
  <c r="A57"/>
  <c r="A61" i="6"/>
  <c r="R50"/>
  <c r="A70" i="8"/>
  <c r="Q60"/>
  <c r="A63" i="6"/>
  <c r="R52"/>
  <c r="Q48" i="8"/>
  <c r="A58"/>
  <c r="R66" i="6"/>
  <c r="A7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R75" i="6"/>
  <c r="A86"/>
  <c r="R86"/>
  <c r="A59"/>
  <c r="R48"/>
  <c r="A68" i="8"/>
  <c r="Q58"/>
  <c r="A74" i="6"/>
  <c r="R63"/>
  <c r="A72"/>
  <c r="R61"/>
  <c r="A76"/>
  <c r="R65"/>
  <c r="Q56" i="8"/>
  <c r="A66"/>
  <c r="A67"/>
  <c r="Q57"/>
  <c r="R77" i="6"/>
  <c r="A88"/>
  <c r="R88"/>
  <c r="R71"/>
  <c r="A82"/>
  <c r="R82"/>
  <c r="Q55" i="8"/>
  <c r="A65"/>
  <c r="Q54"/>
  <c r="A64"/>
  <c r="A80"/>
  <c r="Q80"/>
  <c r="Q70"/>
  <c r="Q59"/>
  <c r="A69"/>
  <c r="R73" i="6"/>
  <c r="A84"/>
  <c r="R84"/>
  <c r="B15" i="9" a="1"/>
  <c r="B15"/>
  <c r="R72" i="6"/>
  <c r="A83"/>
  <c r="R83"/>
  <c r="A78" i="8"/>
  <c r="Q78"/>
  <c r="Q68"/>
  <c r="A76"/>
  <c r="Q76"/>
  <c r="Q66"/>
  <c r="A77"/>
  <c r="Q77"/>
  <c r="Q67"/>
  <c r="R76" i="6"/>
  <c r="A87"/>
  <c r="R87"/>
  <c r="R74"/>
  <c r="A85"/>
  <c r="R85"/>
  <c r="R59"/>
  <c r="A70"/>
  <c r="A75" i="8"/>
  <c r="Q75"/>
  <c r="Q65"/>
  <c r="A79"/>
  <c r="Q79"/>
  <c r="Q69"/>
  <c r="A74"/>
  <c r="Q74"/>
  <c r="Q64"/>
  <c r="R70" i="6"/>
  <c r="A81"/>
  <c r="R81"/>
  <c r="F35" i="7"/>
  <c r="G14" i="11"/>
  <c r="E35" i="7"/>
  <c r="F14" i="11"/>
  <c r="D35" i="7"/>
  <c r="E14" i="11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<sst xmlns="http://schemas.openxmlformats.org/spreadsheetml/2006/main" count="436" uniqueCount="147">
  <si>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</si>
  <si>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</si>
  <si>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</si>
  <si>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</si>
  <si>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</si>
  <si>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</si>
  <si>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</si>
  <si>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</si>
  <si>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</si>
  <si>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</si>
  <si>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</si>
  <si>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</si>
  <si>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</si>
  <si>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</si>
  <si>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</si>
  <si>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</si>
  <si>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</si>
  <si>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</si>
  <si>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</si>
  <si>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</si>
  <si>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</si>
  <si>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</si>
  <si>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</si>
  <si>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</si>
  <si>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</si>
  <si>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</si>
  <si>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</si>
  <si>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</si>
  <si>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</si>
  <si>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</si>
  <si>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</si>
  <si>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</si>
  <si>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</si>
  <si>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</si>
  <si>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</si>
  <si>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</si>
  <si>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</si>
  <si>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</si>
  <si>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</si>
  <si>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</si>
  <si>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</si>
  <si>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</si>
  <si>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</si>
  <si>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</si>
  <si>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</si>
  <si>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</si>
  <si>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</si>
  <si>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</si>
  <si>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</si>
  <si>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</si>
  <si>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</si>
  <si>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</si>
  <si>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</si>
  <si>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</si>
  <si>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</si>
  <si>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</si>
  <si>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</si>
  <si>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</si>
  <si>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</si>
  <si>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</si>
  <si>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</si>
  <si>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</si>
  <si>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</si>
  <si>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</si>
  <si>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</si>
  <si>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</si>
  <si>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</si>
  <si>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</si>
  <si>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</si>
  <si>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</si>
  <si>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</si>
  <si>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</si>
  <si>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</si>
  <si>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</si>
  <si>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</si>
  <si>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</si>
  <si>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</si>
  <si>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</si>
  <si>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</si>
  <si>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</si>
  <si>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</si>
  <si>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</si>
  <si>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</si>
  <si>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</si>
  <si>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</si>
  <si>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</si>
  <si>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</si>
  <si>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</si>
  <si>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</si>
  <si>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</si>
  <si>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</si>
  <si>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</si>
  <si>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</si>
  <si>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</si>
  <si>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</si>
  <si>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</si>
  <si>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</si>
  <si>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</si>
  <si>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</si>
  <si>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</si>
  <si>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</si>
  <si>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</si>
  <si>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</si>
  <si>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</si>
  <si>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</si>
  <si>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</si>
  <si>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</si>
  <si>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</si>
  <si>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</si>
  <si>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</si>
  <si>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</si>
  <si>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</si>
  <si>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</si>
  <si>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</si>
  <si>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</si>
  <si>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</si>
  <si>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</si>
  <si>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</si>
  <si>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</si>
  <si>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</si>
  <si>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</si>
  <si>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</si>
  <si>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</si>
  <si>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</si>
  <si>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</si>
  <si>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</si>
  <si>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</si>
  <si>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</si>
  <si>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</si>
  <si>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</si>
  <si>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</si>
  <si>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</si>
  <si>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</si>
  <si>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</si>
  <si>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</si>
  <si>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</si>
  <si>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</si>
  <si>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</si>
  <si>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</si>
  <si>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</si>
  <si>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</si>
  <si>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</si>
  <si>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</si>
  <si>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t>Iran War</t>
  </si>
  <si>
    <t>Base - down</t>
  </si>
  <si>
    <t>Base - up</t>
  </si>
  <si>
    <t>delta</t>
  </si>
</sst>
</file>

<file path=xl/styles.xml><?xml version="1.0" encoding="utf-8"?>
<styleSheet xmlns="http://schemas.openxmlformats.org/spreadsheetml/2006/main">
  <numFmts count="45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  <numFmt numFmtId="207" formatCode="\€#,##0_);\(\€#,##0\)"/>
  </numFmts>
  <fonts count="9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9"/>
      <name val="Helvetica-Narrow"/>
    </font>
    <font>
      <sz val="9"/>
      <name val="Arial"/>
      <family val="2"/>
    </font>
    <font>
      <sz val="10"/>
      <name val="Arial Narrow"/>
      <family val="2"/>
    </font>
    <font>
      <sz val="11"/>
      <color rgb="FF000000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</fills>
  <borders count="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7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78" fillId="0" borderId="0" applyNumberFormat="0" applyFill="0" applyBorder="0" applyAlignment="0" applyProtection="0"/>
    <xf numFmtId="0" fontId="79" fillId="0" borderId="54" applyNumberFormat="0" applyFill="0" applyAlignment="0" applyProtection="0"/>
    <xf numFmtId="0" fontId="80" fillId="0" borderId="55" applyNumberFormat="0" applyFill="0" applyAlignment="0" applyProtection="0"/>
    <xf numFmtId="0" fontId="81" fillId="0" borderId="56" applyNumberFormat="0" applyFill="0" applyAlignment="0" applyProtection="0"/>
    <xf numFmtId="0" fontId="81" fillId="0" borderId="0" applyNumberFormat="0" applyFill="0" applyBorder="0" applyAlignment="0" applyProtection="0"/>
    <xf numFmtId="0" fontId="82" fillId="34" borderId="0" applyNumberFormat="0" applyBorder="0" applyAlignment="0" applyProtection="0"/>
    <xf numFmtId="0" fontId="83" fillId="35" borderId="0" applyNumberFormat="0" applyBorder="0" applyAlignment="0" applyProtection="0"/>
    <xf numFmtId="0" fontId="84" fillId="36" borderId="0" applyNumberFormat="0" applyBorder="0" applyAlignment="0" applyProtection="0"/>
    <xf numFmtId="0" fontId="85" fillId="37" borderId="57" applyNumberFormat="0" applyAlignment="0" applyProtection="0"/>
    <xf numFmtId="0" fontId="86" fillId="37" borderId="1" applyNumberFormat="0" applyAlignment="0" applyProtection="0"/>
    <xf numFmtId="0" fontId="87" fillId="0" borderId="58" applyNumberFormat="0" applyFill="0" applyAlignment="0" applyProtection="0"/>
    <xf numFmtId="0" fontId="88" fillId="38" borderId="59" applyNumberFormat="0" applyAlignment="0" applyProtection="0"/>
    <xf numFmtId="0" fontId="89" fillId="0" borderId="0" applyNumberFormat="0" applyFill="0" applyBorder="0" applyAlignment="0" applyProtection="0"/>
    <xf numFmtId="0" fontId="1" fillId="39" borderId="60" applyNumberFormat="0" applyFont="0" applyAlignment="0" applyProtection="0"/>
    <xf numFmtId="0" fontId="90" fillId="0" borderId="0" applyNumberFormat="0" applyFill="0" applyBorder="0" applyAlignment="0" applyProtection="0"/>
    <xf numFmtId="0" fontId="12" fillId="0" borderId="61" applyNumberFormat="0" applyFill="0" applyAlignment="0" applyProtection="0"/>
    <xf numFmtId="0" fontId="15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5" fillId="51" borderId="0" applyNumberFormat="0" applyBorder="0" applyAlignment="0" applyProtection="0"/>
    <xf numFmtId="0" fontId="15" fillId="52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5" fillId="55" borderId="0" applyNumberFormat="0" applyBorder="0" applyAlignment="0" applyProtection="0"/>
    <xf numFmtId="0" fontId="15" fillId="56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5" fillId="59" borderId="0" applyNumberFormat="0" applyBorder="0" applyAlignment="0" applyProtection="0"/>
    <xf numFmtId="0" fontId="15" fillId="60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0" fontId="15" fillId="63" borderId="0" applyNumberFormat="0" applyBorder="0" applyAlignment="0" applyProtection="0"/>
    <xf numFmtId="0" fontId="35" fillId="10" borderId="0" applyNumberFormat="0" applyBorder="0" applyAlignment="0" applyProtection="0"/>
    <xf numFmtId="0" fontId="35" fillId="10" borderId="0" applyNumberFormat="0" applyBorder="0" applyAlignment="0" applyProtection="0"/>
    <xf numFmtId="0" fontId="35" fillId="16" borderId="0" applyNumberFormat="0" applyBorder="0" applyAlignment="0" applyProtection="0"/>
    <xf numFmtId="0" fontId="35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17" borderId="0" applyNumberFormat="0" applyBorder="0" applyAlignment="0" applyProtection="0"/>
    <xf numFmtId="0" fontId="3" fillId="0" borderId="0"/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" fillId="0" borderId="0">
      <alignment horizontal="left" wrapText="1"/>
    </xf>
    <xf numFmtId="0" fontId="35" fillId="9" borderId="0" applyNumberFormat="0" applyBorder="0" applyAlignment="0" applyProtection="0"/>
    <xf numFmtId="0" fontId="36" fillId="19" borderId="0" applyNumberFormat="0" applyBorder="0" applyAlignment="0" applyProtection="0"/>
    <xf numFmtId="0" fontId="35" fillId="8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horizontal="left" wrapText="1"/>
    </xf>
    <xf numFmtId="0" fontId="36" fillId="15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5" fillId="13" borderId="0" applyNumberFormat="0" applyBorder="0" applyAlignment="0" applyProtection="0"/>
    <xf numFmtId="0" fontId="35" fillId="13" borderId="0" applyNumberFormat="0" applyBorder="0" applyAlignment="0" applyProtection="0"/>
    <xf numFmtId="0" fontId="36" fillId="20" borderId="0" applyNumberFormat="0" applyBorder="0" applyAlignment="0" applyProtection="0"/>
    <xf numFmtId="0" fontId="35" fillId="15" borderId="0" applyNumberFormat="0" applyBorder="0" applyAlignment="0" applyProtection="0"/>
    <xf numFmtId="0" fontId="36" fillId="14" borderId="0" applyNumberFormat="0" applyBorder="0" applyAlignment="0" applyProtection="0"/>
    <xf numFmtId="0" fontId="91" fillId="0" borderId="0">
      <alignment horizontal="center"/>
    </xf>
    <xf numFmtId="0" fontId="71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Protection="0">
      <alignment horizontal="right"/>
    </xf>
    <xf numFmtId="0" fontId="37" fillId="25" borderId="37" applyNumberFormat="0" applyAlignment="0" applyProtection="0"/>
    <xf numFmtId="0" fontId="45" fillId="0" borderId="44" applyNumberFormat="0" applyFill="0" applyAlignment="0" applyProtection="0"/>
    <xf numFmtId="0" fontId="3" fillId="30" borderId="48" applyNumberFormat="0" applyFont="0" applyAlignment="0" applyProtection="0"/>
    <xf numFmtId="0" fontId="48" fillId="12" borderId="37" applyNumberFormat="0" applyAlignment="0" applyProtection="0"/>
    <xf numFmtId="207" fontId="92" fillId="0" borderId="0"/>
    <xf numFmtId="0" fontId="48" fillId="12" borderId="37" applyNumberFormat="0" applyAlignment="0" applyProtection="0"/>
    <xf numFmtId="0" fontId="58" fillId="8" borderId="0" applyNumberFormat="0" applyBorder="0" applyAlignment="0" applyProtection="0"/>
    <xf numFmtId="0" fontId="54" fillId="6" borderId="0" applyNumberFormat="0" applyBorder="0" applyAlignment="0" applyProtection="0"/>
    <xf numFmtId="0" fontId="35" fillId="0" borderId="0"/>
    <xf numFmtId="0" fontId="3" fillId="0" borderId="0"/>
    <xf numFmtId="0" fontId="3" fillId="0" borderId="0"/>
    <xf numFmtId="0" fontId="35" fillId="30" borderId="48" applyNumberFormat="0" applyFont="0" applyAlignment="0" applyProtection="0"/>
    <xf numFmtId="37" fontId="93" fillId="64" borderId="0" applyAlignment="0"/>
    <xf numFmtId="9" fontId="3" fillId="0" borderId="0" applyFont="0" applyFill="0" applyBorder="0" applyAlignment="0" applyProtection="0"/>
    <xf numFmtId="2" fontId="3" fillId="0" borderId="0" applyFont="0" applyFill="0" applyBorder="0" applyProtection="0">
      <alignment horizontal="right"/>
    </xf>
    <xf numFmtId="0" fontId="47" fillId="9" borderId="0" applyNumberFormat="0" applyBorder="0" applyAlignment="0" applyProtection="0"/>
    <xf numFmtId="0" fontId="69" fillId="25" borderId="49" applyNumberFormat="0" applyAlignment="0" applyProtection="0"/>
    <xf numFmtId="0" fontId="3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43" fillId="27" borderId="41" applyNumberFormat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3" fillId="0" borderId="0" applyFont="0" applyFill="0" applyBorder="0" applyAlignment="0" applyProtection="0"/>
  </cellStyleXfs>
  <cellXfs count="383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6" fillId="3" borderId="0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3" borderId="13" xfId="1" applyNumberFormat="1" applyFont="1" applyFill="1" applyBorder="1" applyAlignment="1">
      <alignment horizontal="center"/>
    </xf>
    <xf numFmtId="164" fontId="7" fillId="3" borderId="53" xfId="1" applyNumberFormat="1" applyFont="1" applyFill="1" applyBorder="1" applyAlignment="1">
      <alignment horizontal="center"/>
    </xf>
    <xf numFmtId="0" fontId="76" fillId="3" borderId="0" xfId="0" applyFont="1" applyFill="1" applyBorder="1"/>
    <xf numFmtId="10" fontId="77" fillId="3" borderId="0" xfId="1" applyNumberFormat="1" applyFont="1" applyFill="1" applyBorder="1" applyAlignment="1">
      <alignment horizontal="center"/>
    </xf>
    <xf numFmtId="0" fontId="75" fillId="3" borderId="0" xfId="0" applyFont="1" applyFill="1" applyBorder="1" applyAlignment="1">
      <alignment horizontal="left"/>
    </xf>
    <xf numFmtId="0" fontId="75" fillId="3" borderId="0" xfId="0" applyFont="1" applyFill="1" applyBorder="1" applyAlignment="1">
      <alignment horizontal="center"/>
    </xf>
    <xf numFmtId="0" fontId="0" fillId="3" borderId="22" xfId="0" applyFill="1" applyBorder="1"/>
    <xf numFmtId="0" fontId="0" fillId="3" borderId="25" xfId="0" applyFill="1" applyBorder="1"/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700">
    <cellStyle name="_x000a_bidires=100_x000d_" xfId="7646"/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default forecast" xfId="7653"/>
    <cellStyle name="_defaulted issuers" xfId="7659"/>
    <cellStyle name="_defaults" xfId="7660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Liquidity" xfId="7647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paired spreads" xfId="7649"/>
    <cellStyle name="_S&amp;P Trailing-12-Month Default Rate" xfId="7658"/>
    <cellStyle name="_spread &amp; return forecast" xfId="7654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 % - Accent1" xfId="7648"/>
    <cellStyle name="20 % - Accent2" xfId="7652"/>
    <cellStyle name="20 % - Accent3" xfId="7650"/>
    <cellStyle name="20 % - Accent4" xfId="7640"/>
    <cellStyle name="20 % - Accent5" xfId="7656"/>
    <cellStyle name="20 % - Accent6" xfId="7657"/>
    <cellStyle name="20% - Accent1" xfId="7617" builtinId="30" customBuiltin="1"/>
    <cellStyle name="20% - Accent1 2" xfId="5534"/>
    <cellStyle name="20% - Accent1 3" xfId="1166"/>
    <cellStyle name="20% - Accent2" xfId="7621" builtinId="34" customBuiltin="1"/>
    <cellStyle name="20% - Accent2 2" xfId="5535"/>
    <cellStyle name="20% - Accent2 3" xfId="1167"/>
    <cellStyle name="20% - Accent3" xfId="7625" builtinId="38" customBuiltin="1"/>
    <cellStyle name="20% - Accent3 2" xfId="5536"/>
    <cellStyle name="20% - Accent3 3" xfId="1168"/>
    <cellStyle name="20% - Accent4" xfId="7629" builtinId="42" customBuiltin="1"/>
    <cellStyle name="20% - Accent4 2" xfId="5537"/>
    <cellStyle name="20% - Accent4 3" xfId="1169"/>
    <cellStyle name="20% - Accent5" xfId="7633" builtinId="46" customBuiltin="1"/>
    <cellStyle name="20% - Accent5 2" xfId="5538"/>
    <cellStyle name="20% - Accent5 3" xfId="1170"/>
    <cellStyle name="20% - Accent6" xfId="7637" builtinId="50" customBuiltin="1"/>
    <cellStyle name="20% - Accent6 2" xfId="5539"/>
    <cellStyle name="20% - Accent6 3" xfId="1171"/>
    <cellStyle name="40 % - Accent1" xfId="7661"/>
    <cellStyle name="40 % - Accent2" xfId="7643"/>
    <cellStyle name="40 % - Accent3" xfId="7664"/>
    <cellStyle name="40 % - Accent4" xfId="7641"/>
    <cellStyle name="40 % - Accent5" xfId="7662"/>
    <cellStyle name="40 % - Accent6" xfId="7642"/>
    <cellStyle name="40% - Accent1" xfId="7618" builtinId="31" customBuiltin="1"/>
    <cellStyle name="40% - Accent1 2" xfId="5540"/>
    <cellStyle name="40% - Accent1 3" xfId="1172"/>
    <cellStyle name="40% - Accent2" xfId="7622" builtinId="35" customBuiltin="1"/>
    <cellStyle name="40% - Accent2 2" xfId="5541"/>
    <cellStyle name="40% - Accent2 3" xfId="1173"/>
    <cellStyle name="40% - Accent3" xfId="7626" builtinId="39" customBuiltin="1"/>
    <cellStyle name="40% - Accent3 2" xfId="5542"/>
    <cellStyle name="40% - Accent3 3" xfId="1174"/>
    <cellStyle name="40% - Accent4" xfId="7630" builtinId="43" customBuiltin="1"/>
    <cellStyle name="40% - Accent4 2" xfId="5543"/>
    <cellStyle name="40% - Accent4 3" xfId="1175"/>
    <cellStyle name="40% - Accent5" xfId="7634" builtinId="47" customBuiltin="1"/>
    <cellStyle name="40% - Accent5 2" xfId="5544"/>
    <cellStyle name="40% - Accent5 3" xfId="1176"/>
    <cellStyle name="40% - Accent6" xfId="7638" builtinId="51" customBuiltin="1"/>
    <cellStyle name="40% - Accent6 2" xfId="5545"/>
    <cellStyle name="40% - Accent6 3" xfId="1177"/>
    <cellStyle name="60 % - Accent1" xfId="7645"/>
    <cellStyle name="60 % - Accent2" xfId="7665"/>
    <cellStyle name="60 % - Accent3" xfId="7655"/>
    <cellStyle name="60 % - Accent4" xfId="7644"/>
    <cellStyle name="60 % - Accent5" xfId="7651"/>
    <cellStyle name="60 % - Accent6" xfId="7663"/>
    <cellStyle name="60% - Accent1" xfId="7619" builtinId="32" customBuiltin="1"/>
    <cellStyle name="60% - Accent1 2" xfId="5546"/>
    <cellStyle name="60% - Accent1 3" xfId="1178"/>
    <cellStyle name="60% - Accent2" xfId="7623" builtinId="36" customBuiltin="1"/>
    <cellStyle name="60% - Accent2 2" xfId="5547"/>
    <cellStyle name="60% - Accent2 3" xfId="1179"/>
    <cellStyle name="60% - Accent3" xfId="7627" builtinId="40" customBuiltin="1"/>
    <cellStyle name="60% - Accent3 2" xfId="5548"/>
    <cellStyle name="60% - Accent3 3" xfId="1180"/>
    <cellStyle name="60% - Accent4" xfId="7631" builtinId="44" customBuiltin="1"/>
    <cellStyle name="60% - Accent4 2" xfId="5549"/>
    <cellStyle name="60% - Accent4 3" xfId="1181"/>
    <cellStyle name="60% - Accent5" xfId="7635" builtinId="48" customBuiltin="1"/>
    <cellStyle name="60% - Accent5 2" xfId="5550"/>
    <cellStyle name="60% - Accent5 3" xfId="1182"/>
    <cellStyle name="60% - Accent6" xfId="7639" builtinId="52" customBuiltin="1"/>
    <cellStyle name="60% - Accent6 2" xfId="5551"/>
    <cellStyle name="60% - Accent6 3" xfId="1183"/>
    <cellStyle name="ABC" xfId="7666"/>
    <cellStyle name="Accent1" xfId="7616" builtinId="29" customBuiltin="1"/>
    <cellStyle name="Accent1 2" xfId="5552"/>
    <cellStyle name="Accent1 3" xfId="1184"/>
    <cellStyle name="Accent2" xfId="7620" builtinId="33" customBuiltin="1"/>
    <cellStyle name="Accent2 2" xfId="5553"/>
    <cellStyle name="Accent2 3" xfId="1185"/>
    <cellStyle name="Accent3" xfId="7624" builtinId="37" customBuiltin="1"/>
    <cellStyle name="Accent3 2" xfId="5554"/>
    <cellStyle name="Accent3 3" xfId="1186"/>
    <cellStyle name="Accent4" xfId="7628" builtinId="41" customBuiltin="1"/>
    <cellStyle name="Accent4 2" xfId="5555"/>
    <cellStyle name="Accent4 3" xfId="1187"/>
    <cellStyle name="Accent5" xfId="7632" builtinId="45" customBuiltin="1"/>
    <cellStyle name="Accent5 2" xfId="5556"/>
    <cellStyle name="Accent5 3" xfId="1188"/>
    <cellStyle name="Accent6" xfId="7636" builtinId="49" customBuiltin="1"/>
    <cellStyle name="Accent6 2" xfId="5557"/>
    <cellStyle name="Accent6 3" xfId="1189"/>
    <cellStyle name="Andre's Title" xfId="1190"/>
    <cellStyle name="Andre's Title 2" xfId="3560"/>
    <cellStyle name="Andre's Title 3" xfId="2346"/>
    <cellStyle name="Avertissement" xfId="7667"/>
    <cellStyle name="Bad" xfId="7606" builtinId="27" customBuiltin="1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ld" xfId="7668"/>
    <cellStyle name="BoldRight" xfId="7669"/>
    <cellStyle name="BoxHeading" xfId="1196"/>
    <cellStyle name="BoxHeading 2" xfId="3566"/>
    <cellStyle name="BoxHeading 3" xfId="2348"/>
    <cellStyle name="Calcul" xfId="7670"/>
    <cellStyle name="Calculation" xfId="7609" builtinId="22" customBuiltin="1"/>
    <cellStyle name="Calculation 2" xfId="5559"/>
    <cellStyle name="Calculation 3" xfId="1197"/>
    <cellStyle name="Cast" xfId="1198"/>
    <cellStyle name="Cellule liée" xfId="7671"/>
    <cellStyle name="Check Cell" xfId="7611" builtinId="23" customBuiltin="1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22" xfId="7697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4 2" xfId="7699"/>
    <cellStyle name="Comma 4 3" xfId="7698"/>
    <cellStyle name="Comma 5" xfId="4"/>
    <cellStyle name="Comma 6" xfId="7574"/>
    <cellStyle name="Comma 7" xfId="7589"/>
    <cellStyle name="Comma 8" xfId="7590"/>
    <cellStyle name="Comma 9" xfId="7586"/>
    <cellStyle name="Commentaire" xfId="7672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ntrée" xfId="7673"/>
    <cellStyle name="Euro" xfId="1212"/>
    <cellStyle name="Euro 2" xfId="7535"/>
    <cellStyle name="Euro 3" xfId="7674"/>
    <cellStyle name="Explanatory Text" xfId="7614" builtinId="53" customBuiltin="1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" xfId="7605" builtinId="26" customBuiltin="1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" xfId="7601" builtinId="16" customBuiltin="1"/>
    <cellStyle name="Heading 1 2" xfId="5566"/>
    <cellStyle name="Heading 1 3" xfId="1225"/>
    <cellStyle name="Heading 2" xfId="7602" builtinId="17" customBuiltin="1"/>
    <cellStyle name="Heading 2 2" xfId="5567"/>
    <cellStyle name="Heading 2 3" xfId="1226"/>
    <cellStyle name="Heading 3" xfId="7603" builtinId="18" customBuiltin="1"/>
    <cellStyle name="Heading 3 2" xfId="5568"/>
    <cellStyle name="Heading 3 3" xfId="1227"/>
    <cellStyle name="Heading 4" xfId="7604" builtinId="19" customBuiltin="1"/>
    <cellStyle name="Heading 4 2" xfId="5569"/>
    <cellStyle name="Heading 4 3" xfId="1228"/>
    <cellStyle name="Input" xfId="2" builtinId="20" customBuiltin="1"/>
    <cellStyle name="Input 2" xfId="3592"/>
    <cellStyle name="Input 2 2" xfId="7675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satisfaisant" xfId="7676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" xfId="7610" builtinId="24" customBuiltin="1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" xfId="7607" builtinId="28" customBuiltin="1"/>
    <cellStyle name="Neutral 2" xfId="5573"/>
    <cellStyle name="Neutral 3" xfId="1252"/>
    <cellStyle name="Neutre" xfId="7677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2 2 2" xfId="7678"/>
    <cellStyle name="Normal 3" xfId="5575"/>
    <cellStyle name="Normal 3 2" xfId="7680"/>
    <cellStyle name="Normal 3 3" xfId="7679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" xfId="7613" builtinId="10" customBuiltin="1"/>
    <cellStyle name="Note 2" xfId="5578"/>
    <cellStyle name="Note 2 2" xfId="7681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" xfId="7608" builtinId="21" customBuiltin="1"/>
    <cellStyle name="Output 2" xfId="5584"/>
    <cellStyle name="Output 3" xfId="1264"/>
    <cellStyle name="OutputPlain" xfId="7682"/>
    <cellStyle name="Percent" xfId="1" builtinId="5"/>
    <cellStyle name="Percent 2" xfId="5585"/>
    <cellStyle name="Percent 2 10" xfId="7696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3 2 2" xfId="7683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ghtNumber" xfId="7684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atisfaisant" xfId="7685"/>
    <cellStyle name="Sortie" xfId="7686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1 4" xfId="7687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exte explicatif" xfId="7688"/>
    <cellStyle name="Titel" xfId="1305"/>
    <cellStyle name="Title" xfId="7600" builtinId="15" customBuiltin="1"/>
    <cellStyle name="Title - PROJECT" xfId="1307"/>
    <cellStyle name="Title - Underline" xfId="1308"/>
    <cellStyle name="Title 2" xfId="5638"/>
    <cellStyle name="Title 2 2" xfId="7689"/>
    <cellStyle name="Title 3" xfId="1306"/>
    <cellStyle name="Titles - Col. Headings" xfId="1309"/>
    <cellStyle name="Titles - Other" xfId="1310"/>
    <cellStyle name="Titre" xfId="7690"/>
    <cellStyle name="Titre 1" xfId="7691"/>
    <cellStyle name="Titre 2" xfId="7692"/>
    <cellStyle name="Titre 3" xfId="7693"/>
    <cellStyle name="Titre 4" xfId="7694"/>
    <cellStyle name="Totaal" xfId="1311"/>
    <cellStyle name="Total" xfId="7615" builtinId="25" customBuiltin="1"/>
    <cellStyle name="Total 2" xfId="5639"/>
    <cellStyle name="Total 3" xfId="1312"/>
    <cellStyle name="Uitvoer" xfId="1313"/>
    <cellStyle name="Valuta_Inputrapportages jaar" xfId="1314"/>
    <cellStyle name="Vérification" xfId="7695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" xfId="7612" builtinId="11" customBuiltin="1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81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0.55549268496933957</c:v>
                </c:pt>
                <c:pt idx="1">
                  <c:v>9.7387120358343723E-2</c:v>
                </c:pt>
                <c:pt idx="2">
                  <c:v>9.5164223805884504E-2</c:v>
                </c:pt>
                <c:pt idx="3">
                  <c:v>0.10363483668477239</c:v>
                </c:pt>
                <c:pt idx="4">
                  <c:v>5.1404597453969164E-2</c:v>
                </c:pt>
                <c:pt idx="5">
                  <c:v>1.9729061421683056E-2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93"/>
          <c:w val="0.5562682138416909"/>
          <c:h val="0.69258218413304995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-7.5654321834007958E-3"/>
                  <c:y val="-6.8632946305440728E-2"/>
                </c:manualLayout>
              </c:layout>
              <c:showVal val="1"/>
            </c:dLbl>
            <c:dLbl>
              <c:idx val="4"/>
              <c:layout>
                <c:manualLayout>
                  <c:x val="-7.8066587971661482E-4"/>
                  <c:y val="-8.3464566929134107E-2"/>
                </c:manualLayout>
              </c:layout>
              <c:showVal val="1"/>
            </c:dLbl>
            <c:dLbl>
              <c:idx val="5"/>
              <c:layout>
                <c:manualLayout>
                  <c:x val="2.639117701877338E-2"/>
                  <c:y val="0.1104023014072395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0.60925572389385541</c:v>
                </c:pt>
                <c:pt idx="1">
                  <c:v>1.9831020364249767E-2</c:v>
                </c:pt>
                <c:pt idx="2">
                  <c:v>0.12941688287519609</c:v>
                </c:pt>
                <c:pt idx="3">
                  <c:v>1.2882395510973742E-3</c:v>
                </c:pt>
                <c:pt idx="4">
                  <c:v>5.3557210315317468E-2</c:v>
                </c:pt>
                <c:pt idx="5">
                  <c:v>0.15512743980504518</c:v>
                </c:pt>
                <c:pt idx="6">
                  <c:v>2.7509212826238614E-2</c:v>
                </c:pt>
                <c:pt idx="7">
                  <c:v>4.0142703690014226E-3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42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0.58287462416262592</c:v>
                </c:pt>
                <c:pt idx="1">
                  <c:v>7.7668003660649517E-3</c:v>
                </c:pt>
                <c:pt idx="2">
                  <c:v>6.8620118541588976E-2</c:v>
                </c:pt>
                <c:pt idx="3">
                  <c:v>1.8971821281687614E-4</c:v>
                </c:pt>
                <c:pt idx="4">
                  <c:v>2.5654481798167622E-2</c:v>
                </c:pt>
                <c:pt idx="5">
                  <c:v>0.13532793143865379</c:v>
                </c:pt>
                <c:pt idx="6">
                  <c:v>1.1486666612623372E-2</c:v>
                </c:pt>
                <c:pt idx="7">
                  <c:v>9.4344345334960414E-4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2.6381099731229485E-2</c:v>
                </c:pt>
                <c:pt idx="1">
                  <c:v>1.2064219998184815E-2</c:v>
                </c:pt>
                <c:pt idx="2">
                  <c:v>6.0796764333607117E-2</c:v>
                </c:pt>
                <c:pt idx="3">
                  <c:v>1.0985213382804981E-3</c:v>
                </c:pt>
                <c:pt idx="4">
                  <c:v>2.7902728517149845E-2</c:v>
                </c:pt>
                <c:pt idx="5">
                  <c:v>1.9799508366391383E-2</c:v>
                </c:pt>
                <c:pt idx="6">
                  <c:v>1.6022546213615242E-2</c:v>
                </c:pt>
                <c:pt idx="7">
                  <c:v>3.0708269156518187E-3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2.6464176405468942E-2</c:v>
                </c:pt>
                <c:pt idx="1">
                  <c:v>9.9625418055199651E-3</c:v>
                </c:pt>
                <c:pt idx="2">
                  <c:v>4.9104025564606385E-2</c:v>
                </c:pt>
                <c:pt idx="3">
                  <c:v>5.2266906098912794E-4</c:v>
                </c:pt>
                <c:pt idx="4">
                  <c:v>2.194479077692759E-2</c:v>
                </c:pt>
                <c:pt idx="5">
                  <c:v>1.9601854264001128E-2</c:v>
                </c:pt>
                <c:pt idx="6">
                  <c:v>1.114896075996746E-2</c:v>
                </c:pt>
                <c:pt idx="7">
                  <c:v>2.0108693898289653E-3</c:v>
                </c:pt>
              </c:numCache>
            </c:numRef>
          </c:val>
        </c:ser>
        <c:overlap val="100"/>
        <c:axId val="255119744"/>
        <c:axId val="255121664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0.55549268496933957</c:v>
                </c:pt>
                <c:pt idx="1">
                  <c:v>9.7387120358343723E-2</c:v>
                </c:pt>
                <c:pt idx="2">
                  <c:v>9.5164223805884504E-2</c:v>
                </c:pt>
                <c:pt idx="3">
                  <c:v>0.10363483668477239</c:v>
                </c:pt>
                <c:pt idx="4">
                  <c:v>5.1404597453969164E-2</c:v>
                </c:pt>
                <c:pt idx="5">
                  <c:v>1.9729061421683056E-2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marker val="1"/>
        <c:axId val="255119744"/>
        <c:axId val="255121664"/>
      </c:lineChart>
      <c:catAx>
        <c:axId val="255119744"/>
        <c:scaling>
          <c:orientation val="minMax"/>
        </c:scaling>
        <c:axPos val="b"/>
        <c:tickLblPos val="nextTo"/>
        <c:crossAx val="255121664"/>
        <c:crosses val="autoZero"/>
        <c:auto val="1"/>
        <c:lblAlgn val="ctr"/>
        <c:lblOffset val="100"/>
      </c:catAx>
      <c:valAx>
        <c:axId val="255121664"/>
        <c:scaling>
          <c:orientation val="minMax"/>
        </c:scaling>
        <c:axPos val="l"/>
        <c:majorGridlines/>
        <c:numFmt formatCode="0%" sourceLinked="0"/>
        <c:tickLblPos val="nextTo"/>
        <c:crossAx val="25511974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3.1452343984147556E-2</c:v>
                </c:pt>
                <c:pt idx="3">
                  <c:v>5.6804592721954011E-2</c:v>
                </c:pt>
                <c:pt idx="4">
                  <c:v>5.6320387554596889E-2</c:v>
                </c:pt>
                <c:pt idx="5">
                  <c:v>5.236888388126059E-2</c:v>
                </c:pt>
                <c:pt idx="6">
                  <c:v>2.8306574622560098E-2</c:v>
                </c:pt>
                <c:pt idx="7">
                  <c:v>3.9543569652327068E-2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1.4996171000904845E-2</c:v>
                </c:pt>
                <c:pt idx="2">
                  <c:v>3.3632152529915554E-2</c:v>
                </c:pt>
                <c:pt idx="3">
                  <c:v>-1.8275706628265609E-2</c:v>
                </c:pt>
                <c:pt idx="4">
                  <c:v>6.1274623073284545E-2</c:v>
                </c:pt>
                <c:pt idx="5">
                  <c:v>7.9522702632630907E-2</c:v>
                </c:pt>
                <c:pt idx="6">
                  <c:v>1.7325408361865E-2</c:v>
                </c:pt>
                <c:pt idx="7">
                  <c:v>-3.3454365202922019E-3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-0.10270478546112452</c:v>
                </c:pt>
                <c:pt idx="2">
                  <c:v>-5.1463733534465664E-2</c:v>
                </c:pt>
                <c:pt idx="3">
                  <c:v>-0.20763301199738962</c:v>
                </c:pt>
                <c:pt idx="4">
                  <c:v>-6.0480183929069335E-2</c:v>
                </c:pt>
                <c:pt idx="5">
                  <c:v>1.2962263249297473E-2</c:v>
                </c:pt>
                <c:pt idx="6">
                  <c:v>-4.6787554334441012E-2</c:v>
                </c:pt>
                <c:pt idx="7">
                  <c:v>-8.4519819517757569E-2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3.7295220378336866E-2</c:v>
                </c:pt>
                <c:pt idx="2">
                  <c:v>3.7955967038468326E-2</c:v>
                </c:pt>
                <c:pt idx="3">
                  <c:v>4.4157772609314798E-2</c:v>
                </c:pt>
                <c:pt idx="4">
                  <c:v>7.5058724753415462E-2</c:v>
                </c:pt>
                <c:pt idx="5">
                  <c:v>8.6184790509297532E-2</c:v>
                </c:pt>
                <c:pt idx="6">
                  <c:v>1.6536412714843449E-2</c:v>
                </c:pt>
                <c:pt idx="7">
                  <c:v>3.2797465910270177E-2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-0.43424993966436087</c:v>
                </c:pt>
                <c:pt idx="2">
                  <c:v>-0.52495132978596959</c:v>
                </c:pt>
                <c:pt idx="3">
                  <c:v>-0.60718802956862361</c:v>
                </c:pt>
                <c:pt idx="4">
                  <c:v>-0.41926220845987938</c:v>
                </c:pt>
                <c:pt idx="5">
                  <c:v>-0.52034739633736904</c:v>
                </c:pt>
                <c:pt idx="6">
                  <c:v>-0.25573516705477994</c:v>
                </c:pt>
                <c:pt idx="7">
                  <c:v>-0.33580172019430399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-0.41153220498436088</c:v>
                </c:pt>
                <c:pt idx="2">
                  <c:v>-0.34991079217679127</c:v>
                </c:pt>
                <c:pt idx="3">
                  <c:v>-0.47851488198333225</c:v>
                </c:pt>
                <c:pt idx="4">
                  <c:v>-0.25917386489837912</c:v>
                </c:pt>
                <c:pt idx="5">
                  <c:v>-0.53983753129736911</c:v>
                </c:pt>
                <c:pt idx="6">
                  <c:v>-6.3153361120378204E-3</c:v>
                </c:pt>
                <c:pt idx="7">
                  <c:v>-0.18031161563030054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0.29819819149830579</c:v>
                </c:pt>
                <c:pt idx="2">
                  <c:v>0.24979690735679014</c:v>
                </c:pt>
                <c:pt idx="3">
                  <c:v>0.39131495295955132</c:v>
                </c:pt>
                <c:pt idx="4">
                  <c:v>0.38663466689136228</c:v>
                </c:pt>
                <c:pt idx="5">
                  <c:v>0.62225820003596433</c:v>
                </c:pt>
                <c:pt idx="6">
                  <c:v>0.28237563833203505</c:v>
                </c:pt>
                <c:pt idx="7">
                  <c:v>0.35335277777605689</c:v>
                </c:pt>
              </c:numCache>
            </c:numRef>
          </c:val>
        </c:ser>
        <c:axId val="255162624"/>
        <c:axId val="255180800"/>
      </c:barChart>
      <c:catAx>
        <c:axId val="255162624"/>
        <c:scaling>
          <c:orientation val="minMax"/>
        </c:scaling>
        <c:axPos val="b"/>
        <c:tickLblPos val="nextTo"/>
        <c:crossAx val="255180800"/>
        <c:crosses val="autoZero"/>
        <c:auto val="1"/>
        <c:lblAlgn val="ctr"/>
        <c:lblOffset val="100"/>
      </c:catAx>
      <c:valAx>
        <c:axId val="255180800"/>
        <c:scaling>
          <c:orientation val="minMax"/>
        </c:scaling>
        <c:axPos val="l"/>
        <c:majorGridlines/>
        <c:numFmt formatCode="0.0%" sourceLinked="1"/>
        <c:tickLblPos val="nextTo"/>
        <c:crossAx val="2551626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949"/>
          <c:y val="0.30999086720262148"/>
          <c:w val="0.27290015295627634"/>
          <c:h val="0.50313982945017699"/>
        </c:manualLayout>
      </c:layout>
    </c:legend>
    <c:plotVisOnly val="1"/>
  </c:chart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18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1.2573961376480767E-2</c:v>
                </c:pt>
                <c:pt idx="1">
                  <c:v>0.13660879055936273</c:v>
                </c:pt>
                <c:pt idx="2">
                  <c:v>1.6640034962185025E-4</c:v>
                </c:pt>
                <c:pt idx="3">
                  <c:v>4.4842749717384528E-2</c:v>
                </c:pt>
                <c:pt idx="4">
                  <c:v>0.30083666470690862</c:v>
                </c:pt>
                <c:pt idx="5">
                  <c:v>1.6739397406762616E-2</c:v>
                </c:pt>
                <c:pt idx="6">
                  <c:v>1.3987517471286876E-3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3.850382694891534E-2</c:v>
                </c:pt>
                <c:pt idx="1">
                  <c:v>0.18085662188599591</c:v>
                </c:pt>
                <c:pt idx="2">
                  <c:v>3.1343229538932944E-3</c:v>
                </c:pt>
                <c:pt idx="3">
                  <c:v>9.698013482149942E-2</c:v>
                </c:pt>
                <c:pt idx="4">
                  <c:v>0.10494585573213328</c:v>
                </c:pt>
                <c:pt idx="5">
                  <c:v>5.3501459301612445E-2</c:v>
                </c:pt>
                <c:pt idx="6">
                  <c:v>8.9110624923004096E-3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3.6783772743224856E-2</c:v>
                </c:pt>
                <c:pt idx="1">
                  <c:v>0.16899789573697255</c:v>
                </c:pt>
                <c:pt idx="2">
                  <c:v>3.3955529736744974E-3</c:v>
                </c:pt>
                <c:pt idx="3">
                  <c:v>9.2917807080824893E-2</c:v>
                </c:pt>
                <c:pt idx="4">
                  <c:v>0.10385676516960279</c:v>
                </c:pt>
                <c:pt idx="5">
                  <c:v>5.6559720522614834E-2</c:v>
                </c:pt>
                <c:pt idx="6">
                  <c:v>9.6106215621906046E-3</c:v>
                </c:pt>
              </c:numCache>
            </c:numRef>
          </c:val>
        </c:ser>
        <c:overlap val="100"/>
        <c:axId val="255276928"/>
        <c:axId val="255287296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0.21909002858957732</c:v>
                </c:pt>
                <c:pt idx="1">
                  <c:v>0.21408921875519724</c:v>
                </c:pt>
                <c:pt idx="2">
                  <c:v>0.23314540206750922</c:v>
                </c:pt>
                <c:pt idx="3">
                  <c:v>0.11564398540983163</c:v>
                </c:pt>
                <c:pt idx="4">
                  <c:v>4.4384109675050465E-2</c:v>
                </c:pt>
                <c:pt idx="5">
                  <c:v>6.978507270586419E-2</c:v>
                </c:pt>
                <c:pt idx="6">
                  <c:v>0.10386218279696992</c:v>
                </c:pt>
              </c:numCache>
            </c:numRef>
          </c:val>
        </c:ser>
        <c:marker val="1"/>
        <c:axId val="255276928"/>
        <c:axId val="255287296"/>
      </c:lineChart>
      <c:catAx>
        <c:axId val="255276928"/>
        <c:scaling>
          <c:orientation val="minMax"/>
        </c:scaling>
        <c:axPos val="b"/>
        <c:numFmt formatCode="General" sourceLinked="1"/>
        <c:tickLblPos val="nextTo"/>
        <c:crossAx val="255287296"/>
        <c:crosses val="autoZero"/>
        <c:auto val="1"/>
        <c:lblAlgn val="ctr"/>
        <c:lblOffset val="100"/>
      </c:catAx>
      <c:valAx>
        <c:axId val="255287296"/>
        <c:scaling>
          <c:orientation val="minMax"/>
        </c:scaling>
        <c:axPos val="l"/>
        <c:majorGridlines/>
        <c:numFmt formatCode="0%" sourceLinked="0"/>
        <c:tickLblPos val="nextTo"/>
        <c:crossAx val="25527692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3.1452343984147556E-2</c:v>
                </c:pt>
                <c:pt idx="3">
                  <c:v>5.6804592721954011E-2</c:v>
                </c:pt>
                <c:pt idx="4">
                  <c:v>5.6320387554596889E-2</c:v>
                </c:pt>
                <c:pt idx="5">
                  <c:v>5.236888388126059E-2</c:v>
                </c:pt>
                <c:pt idx="6">
                  <c:v>2.8306574622560098E-2</c:v>
                </c:pt>
                <c:pt idx="7">
                  <c:v>3.9543569652327068E-2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1.4996171000904845E-2</c:v>
                </c:pt>
                <c:pt idx="2">
                  <c:v>3.3632152529915554E-2</c:v>
                </c:pt>
                <c:pt idx="3">
                  <c:v>-1.8275706628265609E-2</c:v>
                </c:pt>
                <c:pt idx="4">
                  <c:v>6.1274623073284545E-2</c:v>
                </c:pt>
                <c:pt idx="5">
                  <c:v>7.9522702632630907E-2</c:v>
                </c:pt>
                <c:pt idx="6">
                  <c:v>1.7325408361865E-2</c:v>
                </c:pt>
                <c:pt idx="7">
                  <c:v>-3.3454365202922019E-3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-0.10270478546112452</c:v>
                </c:pt>
                <c:pt idx="2">
                  <c:v>-5.1463733534465664E-2</c:v>
                </c:pt>
                <c:pt idx="3">
                  <c:v>-0.20763301199738962</c:v>
                </c:pt>
                <c:pt idx="4">
                  <c:v>-6.0480183929069335E-2</c:v>
                </c:pt>
                <c:pt idx="5">
                  <c:v>1.2962263249297473E-2</c:v>
                </c:pt>
                <c:pt idx="6">
                  <c:v>-4.6787554334441012E-2</c:v>
                </c:pt>
                <c:pt idx="7">
                  <c:v>-8.4519819517757569E-2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3.7295220378336866E-2</c:v>
                </c:pt>
                <c:pt idx="2">
                  <c:v>3.7955967038468326E-2</c:v>
                </c:pt>
                <c:pt idx="3">
                  <c:v>4.4157772609314798E-2</c:v>
                </c:pt>
                <c:pt idx="4">
                  <c:v>7.5058724753415462E-2</c:v>
                </c:pt>
                <c:pt idx="5">
                  <c:v>8.6184790509297532E-2</c:v>
                </c:pt>
                <c:pt idx="6">
                  <c:v>1.6536412714843449E-2</c:v>
                </c:pt>
                <c:pt idx="7">
                  <c:v>3.2797465910270177E-2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-0.43424993966436087</c:v>
                </c:pt>
                <c:pt idx="2">
                  <c:v>-0.52495132978596959</c:v>
                </c:pt>
                <c:pt idx="3">
                  <c:v>-0.60718802956862361</c:v>
                </c:pt>
                <c:pt idx="4">
                  <c:v>-0.41926220845987938</c:v>
                </c:pt>
                <c:pt idx="5">
                  <c:v>-0.52034739633736904</c:v>
                </c:pt>
                <c:pt idx="6">
                  <c:v>-0.25573516705477994</c:v>
                </c:pt>
                <c:pt idx="7">
                  <c:v>-0.33580172019430399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-0.41153220498436088</c:v>
                </c:pt>
                <c:pt idx="2">
                  <c:v>-0.34991079217679127</c:v>
                </c:pt>
                <c:pt idx="3">
                  <c:v>-0.47851488198333225</c:v>
                </c:pt>
                <c:pt idx="4">
                  <c:v>-0.25917386489837912</c:v>
                </c:pt>
                <c:pt idx="5">
                  <c:v>-0.53983753129736911</c:v>
                </c:pt>
                <c:pt idx="6">
                  <c:v>-6.3153361120378204E-3</c:v>
                </c:pt>
                <c:pt idx="7">
                  <c:v>-0.18031161563030054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0.29819819149830579</c:v>
                </c:pt>
                <c:pt idx="2">
                  <c:v>0.24979690735679014</c:v>
                </c:pt>
                <c:pt idx="3">
                  <c:v>0.39131495295955132</c:v>
                </c:pt>
                <c:pt idx="4">
                  <c:v>0.38663466689136228</c:v>
                </c:pt>
                <c:pt idx="5">
                  <c:v>0.62225820003596433</c:v>
                </c:pt>
                <c:pt idx="6">
                  <c:v>0.28237563833203505</c:v>
                </c:pt>
                <c:pt idx="7">
                  <c:v>0.35335277777605689</c:v>
                </c:pt>
              </c:numCache>
            </c:numRef>
          </c:val>
        </c:ser>
        <c:axId val="255533440"/>
        <c:axId val="255534976"/>
      </c:barChart>
      <c:catAx>
        <c:axId val="255533440"/>
        <c:scaling>
          <c:orientation val="minMax"/>
        </c:scaling>
        <c:axPos val="b"/>
        <c:tickLblPos val="nextTo"/>
        <c:crossAx val="255534976"/>
        <c:crosses val="autoZero"/>
        <c:auto val="1"/>
        <c:lblAlgn val="ctr"/>
        <c:lblOffset val="100"/>
      </c:catAx>
      <c:valAx>
        <c:axId val="255534976"/>
        <c:scaling>
          <c:orientation val="minMax"/>
        </c:scaling>
        <c:axPos val="l"/>
        <c:majorGridlines/>
        <c:numFmt formatCode="0.0%" sourceLinked="1"/>
        <c:tickLblPos val="nextTo"/>
        <c:crossAx val="255533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474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0.54046409884126789</c:v>
                </c:pt>
                <c:pt idx="1">
                  <c:v>5.0169652145646712E-2</c:v>
                </c:pt>
                <c:pt idx="2">
                  <c:v>4.4491571362147694E-2</c:v>
                </c:pt>
                <c:pt idx="3">
                  <c:v>6.8416393120094759E-2</c:v>
                </c:pt>
                <c:pt idx="4">
                  <c:v>3.944036673306632E-2</c:v>
                </c:pt>
                <c:pt idx="5">
                  <c:v>1.254326044746556E-2</c:v>
                </c:pt>
                <c:pt idx="6">
                  <c:v>3.0509628428140506E-2</c:v>
                </c:pt>
                <c:pt idx="7">
                  <c:v>3.5728552913028414E-2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1.0805127774380807E-2</c:v>
                </c:pt>
                <c:pt idx="1">
                  <c:v>3.506279289132519E-2</c:v>
                </c:pt>
                <c:pt idx="2">
                  <c:v>3.5776795664954314E-2</c:v>
                </c:pt>
                <c:pt idx="3">
                  <c:v>1.9154032822434275E-2</c:v>
                </c:pt>
                <c:pt idx="4">
                  <c:v>1.4726523415553097E-2</c:v>
                </c:pt>
                <c:pt idx="5">
                  <c:v>9.2602103199970875E-3</c:v>
                </c:pt>
                <c:pt idx="6">
                  <c:v>2.5275890026323883E-2</c:v>
                </c:pt>
                <c:pt idx="7">
                  <c:v>2.8175103094173135E-2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1.0205822914643337E-2</c:v>
                </c:pt>
                <c:pt idx="1">
                  <c:v>3.0868455081950838E-2</c:v>
                </c:pt>
                <c:pt idx="2">
                  <c:v>3.1077387321972696E-2</c:v>
                </c:pt>
                <c:pt idx="3">
                  <c:v>1.8059665337658778E-2</c:v>
                </c:pt>
                <c:pt idx="4">
                  <c:v>1.5434073654686076E-2</c:v>
                </c:pt>
                <c:pt idx="5">
                  <c:v>7.7873979073438682E-3</c:v>
                </c:pt>
                <c:pt idx="6">
                  <c:v>2.1689718443503717E-2</c:v>
                </c:pt>
                <c:pt idx="7">
                  <c:v>2.6414860609286689E-2</c:v>
                </c:pt>
              </c:numCache>
            </c:numRef>
          </c:val>
        </c:ser>
        <c:gapWidth val="100"/>
        <c:overlap val="100"/>
        <c:axId val="255610880"/>
        <c:axId val="255612416"/>
      </c:barChart>
      <c:catAx>
        <c:axId val="255610880"/>
        <c:scaling>
          <c:orientation val="minMax"/>
        </c:scaling>
        <c:axPos val="l"/>
        <c:numFmt formatCode="0%" sourceLinked="1"/>
        <c:tickLblPos val="nextTo"/>
        <c:crossAx val="255612416"/>
        <c:crosses val="autoZero"/>
        <c:auto val="1"/>
        <c:lblAlgn val="ctr"/>
        <c:lblOffset val="100"/>
      </c:catAx>
      <c:valAx>
        <c:axId val="255612416"/>
        <c:scaling>
          <c:orientation val="minMax"/>
        </c:scaling>
        <c:axPos val="b"/>
        <c:majorGridlines/>
        <c:numFmt formatCode="0%" sourceLinked="0"/>
        <c:tickLblPos val="nextTo"/>
        <c:crossAx val="255610880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0.58287462416262592</c:v>
                </c:pt>
                <c:pt idx="1">
                  <c:v>7.7668003660649517E-3</c:v>
                </c:pt>
                <c:pt idx="2">
                  <c:v>6.8620118541588976E-2</c:v>
                </c:pt>
                <c:pt idx="3">
                  <c:v>1.8971821281687614E-4</c:v>
                </c:pt>
                <c:pt idx="4">
                  <c:v>2.5654481798167622E-2</c:v>
                </c:pt>
                <c:pt idx="5">
                  <c:v>0.13532793143865379</c:v>
                </c:pt>
                <c:pt idx="6">
                  <c:v>1.1486666612623372E-2</c:v>
                </c:pt>
                <c:pt idx="7">
                  <c:v>9.4344345334960414E-4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2.6381099731229485E-2</c:v>
                </c:pt>
                <c:pt idx="1">
                  <c:v>1.2064219998184815E-2</c:v>
                </c:pt>
                <c:pt idx="2">
                  <c:v>6.0796764333607117E-2</c:v>
                </c:pt>
                <c:pt idx="3">
                  <c:v>1.0985213382804981E-3</c:v>
                </c:pt>
                <c:pt idx="4">
                  <c:v>2.7902728517149845E-2</c:v>
                </c:pt>
                <c:pt idx="5">
                  <c:v>1.9799508366391383E-2</c:v>
                </c:pt>
                <c:pt idx="6">
                  <c:v>1.6022546213615242E-2</c:v>
                </c:pt>
                <c:pt idx="7">
                  <c:v>3.0708269156518187E-3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2.6464176405468942E-2</c:v>
                </c:pt>
                <c:pt idx="1">
                  <c:v>9.9625418055199651E-3</c:v>
                </c:pt>
                <c:pt idx="2">
                  <c:v>4.9104025564606385E-2</c:v>
                </c:pt>
                <c:pt idx="3">
                  <c:v>5.2266906098912794E-4</c:v>
                </c:pt>
                <c:pt idx="4">
                  <c:v>2.194479077692759E-2</c:v>
                </c:pt>
                <c:pt idx="5">
                  <c:v>1.9601854264001128E-2</c:v>
                </c:pt>
                <c:pt idx="6">
                  <c:v>1.114896075996746E-2</c:v>
                </c:pt>
                <c:pt idx="7">
                  <c:v>2.0108693898289653E-3</c:v>
                </c:pt>
              </c:numCache>
            </c:numRef>
          </c:val>
        </c:ser>
        <c:gapWidth val="100"/>
        <c:overlap val="100"/>
        <c:axId val="255650048"/>
        <c:axId val="255918080"/>
      </c:barChart>
      <c:catAx>
        <c:axId val="255650048"/>
        <c:scaling>
          <c:orientation val="minMax"/>
        </c:scaling>
        <c:axPos val="l"/>
        <c:numFmt formatCode="0%" sourceLinked="1"/>
        <c:tickLblPos val="nextTo"/>
        <c:crossAx val="255918080"/>
        <c:crosses val="autoZero"/>
        <c:auto val="1"/>
        <c:lblAlgn val="ctr"/>
        <c:lblOffset val="100"/>
      </c:catAx>
      <c:valAx>
        <c:axId val="255918080"/>
        <c:scaling>
          <c:orientation val="minMax"/>
        </c:scaling>
        <c:axPos val="b"/>
        <c:majorGridlines/>
        <c:numFmt formatCode="0%" sourceLinked="0"/>
        <c:tickLblPos val="nextTo"/>
        <c:crossAx val="25565004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0.58287462416262592</c:v>
                </c:pt>
                <c:pt idx="1">
                  <c:v>7.7668003660649517E-3</c:v>
                </c:pt>
                <c:pt idx="2">
                  <c:v>6.8620118541588976E-2</c:v>
                </c:pt>
                <c:pt idx="3">
                  <c:v>1.8971821281687614E-4</c:v>
                </c:pt>
                <c:pt idx="4">
                  <c:v>2.5654481798167622E-2</c:v>
                </c:pt>
                <c:pt idx="5">
                  <c:v>0.13532793143865379</c:v>
                </c:pt>
                <c:pt idx="6">
                  <c:v>1.1486666612623372E-2</c:v>
                </c:pt>
                <c:pt idx="7">
                  <c:v>9.4344345334960414E-4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2.6381099731229485E-2</c:v>
                </c:pt>
                <c:pt idx="1">
                  <c:v>1.2064219998184815E-2</c:v>
                </c:pt>
                <c:pt idx="2">
                  <c:v>6.0796764333607117E-2</c:v>
                </c:pt>
                <c:pt idx="3">
                  <c:v>1.0985213382804981E-3</c:v>
                </c:pt>
                <c:pt idx="4">
                  <c:v>2.7902728517149845E-2</c:v>
                </c:pt>
                <c:pt idx="5">
                  <c:v>1.9799508366391383E-2</c:v>
                </c:pt>
                <c:pt idx="6">
                  <c:v>1.6022546213615242E-2</c:v>
                </c:pt>
                <c:pt idx="7">
                  <c:v>3.0708269156518187E-3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2.6464176405468942E-2</c:v>
                </c:pt>
                <c:pt idx="1">
                  <c:v>9.9625418055199651E-3</c:v>
                </c:pt>
                <c:pt idx="2">
                  <c:v>4.9104025564606385E-2</c:v>
                </c:pt>
                <c:pt idx="3">
                  <c:v>5.2266906098912794E-4</c:v>
                </c:pt>
                <c:pt idx="4">
                  <c:v>2.194479077692759E-2</c:v>
                </c:pt>
                <c:pt idx="5">
                  <c:v>1.9601854264001128E-2</c:v>
                </c:pt>
                <c:pt idx="6">
                  <c:v>1.114896075996746E-2</c:v>
                </c:pt>
                <c:pt idx="7">
                  <c:v>2.0108693898289653E-3</c:v>
                </c:pt>
              </c:numCache>
            </c:numRef>
          </c:val>
        </c:ser>
        <c:gapWidth val="100"/>
        <c:overlap val="100"/>
        <c:axId val="255951616"/>
        <c:axId val="255953152"/>
      </c:barChart>
      <c:catAx>
        <c:axId val="255951616"/>
        <c:scaling>
          <c:orientation val="minMax"/>
        </c:scaling>
        <c:axPos val="l"/>
        <c:numFmt formatCode="0%" sourceLinked="1"/>
        <c:tickLblPos val="nextTo"/>
        <c:crossAx val="255953152"/>
        <c:crosses val="autoZero"/>
        <c:auto val="1"/>
        <c:lblAlgn val="ctr"/>
        <c:lblOffset val="100"/>
      </c:catAx>
      <c:valAx>
        <c:axId val="255953152"/>
        <c:scaling>
          <c:orientation val="minMax"/>
        </c:scaling>
        <c:axPos val="b"/>
        <c:majorGridlines/>
        <c:numFmt formatCode="0%" sourceLinked="0"/>
        <c:tickLblPos val="nextTo"/>
        <c:crossAx val="25595161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0.56120903050930782</c:v>
                </c:pt>
                <c:pt idx="1">
                  <c:v>6.2448590710749013E-2</c:v>
                </c:pt>
                <c:pt idx="2">
                  <c:v>3.7677342876710616E-2</c:v>
                </c:pt>
                <c:pt idx="3">
                  <c:v>1.4218075708754406E-3</c:v>
                </c:pt>
                <c:pt idx="4">
                  <c:v>4.637821717383607E-2</c:v>
                </c:pt>
                <c:pt idx="5">
                  <c:v>0.10331556514373805</c:v>
                </c:pt>
                <c:pt idx="6">
                  <c:v>4.0994257054868515E-3</c:v>
                </c:pt>
                <c:pt idx="7">
                  <c:v>3.5851280025402605E-3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2.2577014687656716E-2</c:v>
                </c:pt>
                <c:pt idx="1">
                  <c:v>5.008458453018251E-2</c:v>
                </c:pt>
                <c:pt idx="2">
                  <c:v>4.6134306223816153E-2</c:v>
                </c:pt>
                <c:pt idx="3">
                  <c:v>3.6822104059499013E-3</c:v>
                </c:pt>
                <c:pt idx="4">
                  <c:v>2.4795593861991552E-2</c:v>
                </c:pt>
                <c:pt idx="5">
                  <c:v>1.8030553236695765E-2</c:v>
                </c:pt>
                <c:pt idx="6">
                  <c:v>7.0277860185317953E-3</c:v>
                </c:pt>
                <c:pt idx="7">
                  <c:v>7.5328433419316132E-3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2.2552452240021337E-2</c:v>
                </c:pt>
                <c:pt idx="1">
                  <c:v>3.8297675512888554E-2</c:v>
                </c:pt>
                <c:pt idx="2">
                  <c:v>3.9328068931929958E-2</c:v>
                </c:pt>
                <c:pt idx="3">
                  <c:v>2.4560375409986724E-3</c:v>
                </c:pt>
                <c:pt idx="4">
                  <c:v>2.4163603447041437E-2</c:v>
                </c:pt>
                <c:pt idx="5">
                  <c:v>1.7548944050114798E-2</c:v>
                </c:pt>
                <c:pt idx="6">
                  <c:v>4.984147983147726E-3</c:v>
                </c:pt>
                <c:pt idx="7">
                  <c:v>5.2887939701751537E-3</c:v>
                </c:pt>
              </c:numCache>
            </c:numRef>
          </c:val>
        </c:ser>
        <c:gapWidth val="100"/>
        <c:overlap val="100"/>
        <c:axId val="255724544"/>
        <c:axId val="255730432"/>
      </c:barChart>
      <c:catAx>
        <c:axId val="255724544"/>
        <c:scaling>
          <c:orientation val="minMax"/>
        </c:scaling>
        <c:axPos val="l"/>
        <c:tickLblPos val="nextTo"/>
        <c:crossAx val="255730432"/>
        <c:crosses val="autoZero"/>
        <c:auto val="1"/>
        <c:lblAlgn val="ctr"/>
        <c:lblOffset val="100"/>
      </c:catAx>
      <c:valAx>
        <c:axId val="255730432"/>
        <c:scaling>
          <c:orientation val="minMax"/>
        </c:scaling>
        <c:axPos val="b"/>
        <c:majorGridlines/>
        <c:numFmt formatCode="0%" sourceLinked="0"/>
        <c:tickLblPos val="nextTo"/>
        <c:crossAx val="2557245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0.99924828532718957</c:v>
                </c:pt>
                <c:pt idx="1">
                  <c:v>1.2651367182479883E-6</c:v>
                </c:pt>
                <c:pt idx="2">
                  <c:v>7.5031229047495546E-7</c:v>
                </c:pt>
                <c:pt idx="3">
                  <c:v>2.1374139330750976E-7</c:v>
                </c:pt>
                <c:pt idx="4">
                  <c:v>6.8423821355905961E-7</c:v>
                </c:pt>
                <c:pt idx="5">
                  <c:v>4.3932204879561991E-7</c:v>
                </c:pt>
                <c:pt idx="6">
                  <c:v>9.4053622002993032E-6</c:v>
                </c:pt>
                <c:pt idx="7">
                  <c:v>1.9503727261395423E-6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2.2331631490102311E-4</c:v>
                </c:pt>
                <c:pt idx="1">
                  <c:v>7.0177858590952867E-5</c:v>
                </c:pt>
                <c:pt idx="2">
                  <c:v>4.8876243467817654E-5</c:v>
                </c:pt>
                <c:pt idx="3">
                  <c:v>3.4856563813093367E-5</c:v>
                </c:pt>
                <c:pt idx="4">
                  <c:v>6.2090655802636246E-5</c:v>
                </c:pt>
                <c:pt idx="5">
                  <c:v>5.105964097249289E-5</c:v>
                </c:pt>
                <c:pt idx="6">
                  <c:v>1.4236943793435812E-4</c:v>
                </c:pt>
                <c:pt idx="7">
                  <c:v>1.0425947173695408E-4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2.138339630742836E-4</c:v>
                </c:pt>
                <c:pt idx="1">
                  <c:v>5.6406773516644971E-6</c:v>
                </c:pt>
                <c:pt idx="2">
                  <c:v>1.4458156689085111E-5</c:v>
                </c:pt>
                <c:pt idx="3">
                  <c:v>5.9329301868597719E-6</c:v>
                </c:pt>
                <c:pt idx="4">
                  <c:v>7.8354217444709796E-6</c:v>
                </c:pt>
                <c:pt idx="5">
                  <c:v>5.5889721699426599E-6</c:v>
                </c:pt>
                <c:pt idx="6">
                  <c:v>9.3313310630961226E-5</c:v>
                </c:pt>
                <c:pt idx="7">
                  <c:v>3.4005658063437737E-5</c:v>
                </c:pt>
              </c:numCache>
            </c:numRef>
          </c:val>
        </c:ser>
        <c:gapWidth val="100"/>
        <c:overlap val="100"/>
        <c:axId val="255755776"/>
        <c:axId val="255757312"/>
      </c:barChart>
      <c:catAx>
        <c:axId val="255755776"/>
        <c:scaling>
          <c:orientation val="minMax"/>
        </c:scaling>
        <c:axPos val="l"/>
        <c:tickLblPos val="nextTo"/>
        <c:crossAx val="255757312"/>
        <c:crosses val="autoZero"/>
        <c:auto val="1"/>
        <c:lblAlgn val="ctr"/>
        <c:lblOffset val="100"/>
      </c:catAx>
      <c:valAx>
        <c:axId val="255757312"/>
        <c:scaling>
          <c:orientation val="minMax"/>
        </c:scaling>
        <c:axPos val="b"/>
        <c:majorGridlines/>
        <c:numFmt formatCode="0%" sourceLinked="0"/>
        <c:tickLblPos val="nextTo"/>
        <c:crossAx val="2557557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0.90878898365554384</c:v>
                </c:pt>
                <c:pt idx="1">
                  <c:v>3.0746065188637067E-6</c:v>
                </c:pt>
                <c:pt idx="2">
                  <c:v>6.5010607693397921E-6</c:v>
                </c:pt>
                <c:pt idx="3">
                  <c:v>5.9048162095753997E-7</c:v>
                </c:pt>
                <c:pt idx="4">
                  <c:v>1.9079491217135539E-6</c:v>
                </c:pt>
                <c:pt idx="5">
                  <c:v>1.5007928255024883E-6</c:v>
                </c:pt>
                <c:pt idx="6">
                  <c:v>8.7411375060777258E-2</c:v>
                </c:pt>
                <c:pt idx="7">
                  <c:v>2.6613117326062928E-5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7.6302955851781373E-4</c:v>
                </c:pt>
                <c:pt idx="1">
                  <c:v>2.7080255936147034E-4</c:v>
                </c:pt>
                <c:pt idx="2">
                  <c:v>3.0012084153920368E-4</c:v>
                </c:pt>
                <c:pt idx="3">
                  <c:v>1.6688891329247983E-4</c:v>
                </c:pt>
                <c:pt idx="4">
                  <c:v>2.7194947289387945E-4</c:v>
                </c:pt>
                <c:pt idx="5">
                  <c:v>1.5695073188519052E-4</c:v>
                </c:pt>
                <c:pt idx="6">
                  <c:v>1.0570311492766604E-3</c:v>
                </c:pt>
                <c:pt idx="7">
                  <c:v>7.7268004873003073E-4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5.6566474229369224E-4</c:v>
                </c:pt>
                <c:pt idx="1">
                  <c:v>6.5263965514142787E-5</c:v>
                </c:pt>
                <c:pt idx="2">
                  <c:v>6.7539702433308763E-5</c:v>
                </c:pt>
                <c:pt idx="3">
                  <c:v>2.659909874176526E-5</c:v>
                </c:pt>
                <c:pt idx="4">
                  <c:v>3.807282563957526E-5</c:v>
                </c:pt>
                <c:pt idx="5">
                  <c:v>2.4195419227705903E-5</c:v>
                </c:pt>
                <c:pt idx="6">
                  <c:v>1.0196441309192616E-3</c:v>
                </c:pt>
                <c:pt idx="7">
                  <c:v>3.507172974205995E-4</c:v>
                </c:pt>
              </c:numCache>
            </c:numRef>
          </c:val>
        </c:ser>
        <c:gapWidth val="100"/>
        <c:overlap val="100"/>
        <c:axId val="255787008"/>
        <c:axId val="255788544"/>
      </c:barChart>
      <c:catAx>
        <c:axId val="255787008"/>
        <c:scaling>
          <c:orientation val="minMax"/>
        </c:scaling>
        <c:axPos val="l"/>
        <c:tickLblPos val="nextTo"/>
        <c:crossAx val="255788544"/>
        <c:crosses val="autoZero"/>
        <c:auto val="1"/>
        <c:lblAlgn val="ctr"/>
        <c:lblOffset val="100"/>
      </c:catAx>
      <c:valAx>
        <c:axId val="255788544"/>
        <c:scaling>
          <c:orientation val="minMax"/>
        </c:scaling>
        <c:axPos val="b"/>
        <c:majorGridlines/>
        <c:numFmt formatCode="0%" sourceLinked="0"/>
        <c:tickLblPos val="nextTo"/>
        <c:crossAx val="2557870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0.75547744998377997</c:v>
                </c:pt>
                <c:pt idx="1">
                  <c:v>2.7582536295189835E-4</c:v>
                </c:pt>
                <c:pt idx="2">
                  <c:v>1.1059534359405473E-3</c:v>
                </c:pt>
                <c:pt idx="3">
                  <c:v>1.1975218922759666E-5</c:v>
                </c:pt>
                <c:pt idx="4">
                  <c:v>4.8160178260529287E-4</c:v>
                </c:pt>
                <c:pt idx="5">
                  <c:v>0.15724552590524715</c:v>
                </c:pt>
                <c:pt idx="6">
                  <c:v>1.6262089296399653E-3</c:v>
                </c:pt>
                <c:pt idx="7">
                  <c:v>2.9502260887497099E-4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3.8999286366053099E-2</c:v>
                </c:pt>
                <c:pt idx="1">
                  <c:v>1.1250891281328263E-3</c:v>
                </c:pt>
                <c:pt idx="2">
                  <c:v>3.13194080495188E-3</c:v>
                </c:pt>
                <c:pt idx="3">
                  <c:v>3.2302030355888076E-4</c:v>
                </c:pt>
                <c:pt idx="4">
                  <c:v>1.9038493098768434E-3</c:v>
                </c:pt>
                <c:pt idx="5">
                  <c:v>3.2640797037814084E-2</c:v>
                </c:pt>
                <c:pt idx="6">
                  <c:v>4.0805725681950563E-3</c:v>
                </c:pt>
                <c:pt idx="7">
                  <c:v>1.275881253454274E-3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3.5885122802906566E-2</c:v>
                </c:pt>
                <c:pt idx="1">
                  <c:v>4.9984526034506632E-4</c:v>
                </c:pt>
                <c:pt idx="2">
                  <c:v>1.8163042987825676E-3</c:v>
                </c:pt>
                <c:pt idx="3">
                  <c:v>8.9188092608887492E-5</c:v>
                </c:pt>
                <c:pt idx="4">
                  <c:v>1.1478616713574102E-3</c:v>
                </c:pt>
                <c:pt idx="5">
                  <c:v>3.635170180785971E-2</c:v>
                </c:pt>
                <c:pt idx="6">
                  <c:v>2.5941805247164549E-3</c:v>
                </c:pt>
                <c:pt idx="7">
                  <c:v>5.138007543517883E-4</c:v>
                </c:pt>
              </c:numCache>
            </c:numRef>
          </c:val>
        </c:ser>
        <c:gapWidth val="100"/>
        <c:overlap val="100"/>
        <c:axId val="255822080"/>
        <c:axId val="255832064"/>
      </c:barChart>
      <c:catAx>
        <c:axId val="255822080"/>
        <c:scaling>
          <c:orientation val="minMax"/>
        </c:scaling>
        <c:axPos val="l"/>
        <c:numFmt formatCode="0%" sourceLinked="1"/>
        <c:tickLblPos val="nextTo"/>
        <c:crossAx val="255832064"/>
        <c:crosses val="autoZero"/>
        <c:auto val="1"/>
        <c:lblAlgn val="ctr"/>
        <c:lblOffset val="100"/>
      </c:catAx>
      <c:valAx>
        <c:axId val="255832064"/>
        <c:scaling>
          <c:orientation val="minMax"/>
        </c:scaling>
        <c:axPos val="b"/>
        <c:majorGridlines/>
        <c:numFmt formatCode="0%" sourceLinked="0"/>
        <c:tickLblPos val="nextTo"/>
        <c:crossAx val="2558220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0.72259154451434204</c:v>
                </c:pt>
                <c:pt idx="1">
                  <c:v>4.6081083960950023E-2</c:v>
                </c:pt>
                <c:pt idx="2">
                  <c:v>1.2603155282419356E-3</c:v>
                </c:pt>
                <c:pt idx="3">
                  <c:v>1.5677159102069839E-4</c:v>
                </c:pt>
                <c:pt idx="4">
                  <c:v>1.4861077305670012E-4</c:v>
                </c:pt>
                <c:pt idx="5">
                  <c:v>6.2552405386227555E-2</c:v>
                </c:pt>
                <c:pt idx="6">
                  <c:v>2.8412144211564311E-2</c:v>
                </c:pt>
                <c:pt idx="7">
                  <c:v>1.1493107668224605E-2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1.1286029080958104E-2</c:v>
                </c:pt>
                <c:pt idx="1">
                  <c:v>3.5799247986398913E-2</c:v>
                </c:pt>
                <c:pt idx="2">
                  <c:v>5.5540618719922673E-3</c:v>
                </c:pt>
                <c:pt idx="3">
                  <c:v>1.9614837930771846E-3</c:v>
                </c:pt>
                <c:pt idx="4">
                  <c:v>2.0716583200024443E-3</c:v>
                </c:pt>
                <c:pt idx="5">
                  <c:v>9.2036908284543195E-3</c:v>
                </c:pt>
                <c:pt idx="6">
                  <c:v>3.7817171829813118E-2</c:v>
                </c:pt>
                <c:pt idx="7">
                  <c:v>2.3610672655675562E-2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1.0732680344724965E-2</c:v>
                </c:pt>
                <c:pt idx="1">
                  <c:v>3.4726844936124227E-2</c:v>
                </c:pt>
                <c:pt idx="2">
                  <c:v>3.1695859467247263E-3</c:v>
                </c:pt>
                <c:pt idx="3">
                  <c:v>8.1416856947596258E-4</c:v>
                </c:pt>
                <c:pt idx="4">
                  <c:v>1.0407746004306292E-3</c:v>
                </c:pt>
                <c:pt idx="5">
                  <c:v>1.0233944931557715E-2</c:v>
                </c:pt>
                <c:pt idx="6">
                  <c:v>3.4245455640051367E-2</c:v>
                </c:pt>
                <c:pt idx="7">
                  <c:v>1.6527823868844362E-2</c:v>
                </c:pt>
              </c:numCache>
            </c:numRef>
          </c:val>
        </c:ser>
        <c:gapWidth val="100"/>
        <c:overlap val="100"/>
        <c:axId val="255873792"/>
        <c:axId val="255875328"/>
      </c:barChart>
      <c:catAx>
        <c:axId val="255873792"/>
        <c:scaling>
          <c:orientation val="minMax"/>
        </c:scaling>
        <c:axPos val="l"/>
        <c:tickLblPos val="nextTo"/>
        <c:crossAx val="255875328"/>
        <c:crosses val="autoZero"/>
        <c:auto val="1"/>
        <c:lblAlgn val="ctr"/>
        <c:lblOffset val="100"/>
      </c:catAx>
      <c:valAx>
        <c:axId val="255875328"/>
        <c:scaling>
          <c:orientation val="minMax"/>
        </c:scaling>
        <c:axPos val="b"/>
        <c:majorGridlines/>
        <c:numFmt formatCode="0%" sourceLinked="0"/>
        <c:tickLblPos val="nextTo"/>
        <c:crossAx val="2558737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8.5671706871234571E-2</c:v>
                </c:pt>
                <c:pt idx="1">
                  <c:v>7.6162685560232854E-2</c:v>
                </c:pt>
                <c:pt idx="2">
                  <c:v>0.12932366217763835</c:v>
                </c:pt>
                <c:pt idx="3">
                  <c:v>7.1976721379474778E-2</c:v>
                </c:pt>
                <c:pt idx="4">
                  <c:v>2.2295861534444593E-2</c:v>
                </c:pt>
                <c:pt idx="5">
                  <c:v>5.0809172727776825E-2</c:v>
                </c:pt>
                <c:pt idx="6">
                  <c:v>5.3262039238667784E-2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0.10363150463835671</c:v>
                </c:pt>
                <c:pt idx="1">
                  <c:v>0.10207540371206102</c:v>
                </c:pt>
                <c:pt idx="2">
                  <c:v>6.6848671622598804E-2</c:v>
                </c:pt>
                <c:pt idx="3">
                  <c:v>4.9421012342745749E-2</c:v>
                </c:pt>
                <c:pt idx="4">
                  <c:v>2.6449600086948216E-2</c:v>
                </c:pt>
                <c:pt idx="5">
                  <c:v>7.2872923738352982E-2</c:v>
                </c:pt>
                <c:pt idx="6">
                  <c:v>8.9199034369466579E-2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9.9912501867285952E-2</c:v>
                </c:pt>
                <c:pt idx="1">
                  <c:v>0.11955947029363137</c:v>
                </c:pt>
                <c:pt idx="2">
                  <c:v>6.4708641647149928E-2</c:v>
                </c:pt>
                <c:pt idx="3">
                  <c:v>4.9922558761446287E-2</c:v>
                </c:pt>
                <c:pt idx="4">
                  <c:v>2.6564291304583966E-2</c:v>
                </c:pt>
                <c:pt idx="5">
                  <c:v>7.1379836126546706E-2</c:v>
                </c:pt>
                <c:pt idx="6">
                  <c:v>7.7931504564421245E-2</c:v>
                </c:pt>
              </c:numCache>
            </c:numRef>
          </c:val>
        </c:ser>
        <c:gapWidth val="101"/>
        <c:overlap val="100"/>
        <c:axId val="256146816"/>
        <c:axId val="256148608"/>
      </c:barChart>
      <c:catAx>
        <c:axId val="256146816"/>
        <c:scaling>
          <c:orientation val="minMax"/>
        </c:scaling>
        <c:axPos val="l"/>
        <c:tickLblPos val="nextTo"/>
        <c:crossAx val="256148608"/>
        <c:crosses val="autoZero"/>
        <c:auto val="1"/>
        <c:lblAlgn val="ctr"/>
        <c:lblOffset val="100"/>
      </c:catAx>
      <c:valAx>
        <c:axId val="256148608"/>
        <c:scaling>
          <c:orientation val="minMax"/>
        </c:scaling>
        <c:axPos val="b"/>
        <c:majorGridlines/>
        <c:numFmt formatCode="0%" sourceLinked="0"/>
        <c:tickLblPos val="nextTo"/>
        <c:crossAx val="25614681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1.2573961376480767E-2</c:v>
                </c:pt>
                <c:pt idx="1">
                  <c:v>0.13660879055936273</c:v>
                </c:pt>
                <c:pt idx="2">
                  <c:v>1.6640034962185025E-4</c:v>
                </c:pt>
                <c:pt idx="3">
                  <c:v>4.4842749717384528E-2</c:v>
                </c:pt>
                <c:pt idx="4">
                  <c:v>0.30083666470690862</c:v>
                </c:pt>
                <c:pt idx="5">
                  <c:v>1.6739397406762616E-2</c:v>
                </c:pt>
                <c:pt idx="6">
                  <c:v>1.3987517471286876E-3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3.850382694891534E-2</c:v>
                </c:pt>
                <c:pt idx="1">
                  <c:v>0.18085662188599591</c:v>
                </c:pt>
                <c:pt idx="2">
                  <c:v>3.1343229538932944E-3</c:v>
                </c:pt>
                <c:pt idx="3">
                  <c:v>9.698013482149942E-2</c:v>
                </c:pt>
                <c:pt idx="4">
                  <c:v>0.10494585573213328</c:v>
                </c:pt>
                <c:pt idx="5">
                  <c:v>5.3501459301612445E-2</c:v>
                </c:pt>
                <c:pt idx="6">
                  <c:v>8.9110624923004096E-3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3.6783772743224856E-2</c:v>
                </c:pt>
                <c:pt idx="1">
                  <c:v>0.16899789573697255</c:v>
                </c:pt>
                <c:pt idx="2">
                  <c:v>3.3955529736744974E-3</c:v>
                </c:pt>
                <c:pt idx="3">
                  <c:v>9.2917807080824893E-2</c:v>
                </c:pt>
                <c:pt idx="4">
                  <c:v>0.10385676516960279</c:v>
                </c:pt>
                <c:pt idx="5">
                  <c:v>5.6559720522614834E-2</c:v>
                </c:pt>
                <c:pt idx="6">
                  <c:v>9.6106215621906046E-3</c:v>
                </c:pt>
              </c:numCache>
            </c:numRef>
          </c:val>
        </c:ser>
        <c:gapWidth val="101"/>
        <c:overlap val="100"/>
        <c:axId val="256051072"/>
        <c:axId val="256052608"/>
      </c:barChart>
      <c:catAx>
        <c:axId val="256051072"/>
        <c:scaling>
          <c:orientation val="minMax"/>
        </c:scaling>
        <c:axPos val="l"/>
        <c:tickLblPos val="nextTo"/>
        <c:crossAx val="256052608"/>
        <c:crosses val="autoZero"/>
        <c:auto val="1"/>
        <c:lblAlgn val="ctr"/>
        <c:lblOffset val="100"/>
      </c:catAx>
      <c:valAx>
        <c:axId val="256052608"/>
        <c:scaling>
          <c:orientation val="minMax"/>
        </c:scaling>
        <c:axPos val="b"/>
        <c:majorGridlines/>
        <c:numFmt formatCode="0%" sourceLinked="0"/>
        <c:tickLblPos val="nextTo"/>
        <c:crossAx val="25605107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6.6418400211821853E-4</c:v>
                </c:pt>
                <c:pt idx="1">
                  <c:v>2.7901548395816442E-3</c:v>
                </c:pt>
                <c:pt idx="2">
                  <c:v>1.2397953303347971E-5</c:v>
                </c:pt>
                <c:pt idx="3">
                  <c:v>1.1806896770789486E-3</c:v>
                </c:pt>
                <c:pt idx="4">
                  <c:v>0.89462315795149583</c:v>
                </c:pt>
                <c:pt idx="5">
                  <c:v>5.2206152797245912E-3</c:v>
                </c:pt>
                <c:pt idx="6">
                  <c:v>5.1194189955893442E-4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6.151909901190588E-3</c:v>
                </c:pt>
                <c:pt idx="1">
                  <c:v>1.7548976768897037E-2</c:v>
                </c:pt>
                <c:pt idx="2">
                  <c:v>1.6175874445632768E-3</c:v>
                </c:pt>
                <c:pt idx="3">
                  <c:v>1.0539376003094014E-2</c:v>
                </c:pt>
                <c:pt idx="4">
                  <c:v>2.9850782198849402E-2</c:v>
                </c:pt>
                <c:pt idx="5">
                  <c:v>2.2091951689294252E-2</c:v>
                </c:pt>
                <c:pt idx="6">
                  <c:v>7.1962743912503688E-3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6.0062656582501907E-3</c:v>
                </c:pt>
                <c:pt idx="1">
                  <c:v>1.677298657576734E-2</c:v>
                </c:pt>
                <c:pt idx="2">
                  <c:v>1.8361182049102865E-3</c:v>
                </c:pt>
                <c:pt idx="3">
                  <c:v>1.0622203630975892E-2</c:v>
                </c:pt>
                <c:pt idx="4">
                  <c:v>3.2472855379323429E-2</c:v>
                </c:pt>
                <c:pt idx="5">
                  <c:v>2.4959905714394739E-2</c:v>
                </c:pt>
                <c:pt idx="6">
                  <c:v>7.0926977964821782E-3</c:v>
                </c:pt>
              </c:numCache>
            </c:numRef>
          </c:val>
        </c:ser>
        <c:gapWidth val="101"/>
        <c:overlap val="100"/>
        <c:axId val="256102784"/>
        <c:axId val="256104320"/>
      </c:barChart>
      <c:catAx>
        <c:axId val="256102784"/>
        <c:scaling>
          <c:orientation val="minMax"/>
        </c:scaling>
        <c:axPos val="l"/>
        <c:tickLblPos val="nextTo"/>
        <c:crossAx val="256104320"/>
        <c:crosses val="autoZero"/>
        <c:auto val="1"/>
        <c:lblAlgn val="ctr"/>
        <c:lblOffset val="100"/>
      </c:catAx>
      <c:valAx>
        <c:axId val="256104320"/>
        <c:scaling>
          <c:orientation val="minMax"/>
        </c:scaling>
        <c:axPos val="b"/>
        <c:majorGridlines/>
        <c:numFmt formatCode="0%" sourceLinked="0"/>
        <c:tickLblPos val="nextTo"/>
        <c:crossAx val="2561027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0.11643222526673254</c:v>
                </c:pt>
                <c:pt idx="1">
                  <c:v>6.671447875502938E-2</c:v>
                </c:pt>
                <c:pt idx="2">
                  <c:v>1.7533890614041534E-3</c:v>
                </c:pt>
                <c:pt idx="3">
                  <c:v>8.0253561183558711E-2</c:v>
                </c:pt>
                <c:pt idx="4">
                  <c:v>0.22472189579278434</c:v>
                </c:pt>
                <c:pt idx="5">
                  <c:v>6.4612258958662945E-3</c:v>
                </c:pt>
                <c:pt idx="6">
                  <c:v>4.6371981100309465E-3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0.14825246257090818</c:v>
                </c:pt>
                <c:pt idx="1">
                  <c:v>0.13179824013165636</c:v>
                </c:pt>
                <c:pt idx="2">
                  <c:v>1.0644108033665117E-2</c:v>
                </c:pt>
                <c:pt idx="3">
                  <c:v>9.5341056433380214E-2</c:v>
                </c:pt>
                <c:pt idx="4">
                  <c:v>7.0240454730253532E-2</c:v>
                </c:pt>
                <c:pt idx="5">
                  <c:v>2.044165587506816E-2</c:v>
                </c:pt>
                <c:pt idx="6">
                  <c:v>2.2308048159661718E-2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0.14341058180475375</c:v>
                </c:pt>
                <c:pt idx="1">
                  <c:v>0.14168281752966247</c:v>
                </c:pt>
                <c:pt idx="2">
                  <c:v>1.1077616966959277E-2</c:v>
                </c:pt>
                <c:pt idx="3">
                  <c:v>9.4314215400053608E-2</c:v>
                </c:pt>
                <c:pt idx="4">
                  <c:v>7.6958811164482555E-2</c:v>
                </c:pt>
                <c:pt idx="5">
                  <c:v>2.1513159231302859E-2</c:v>
                </c:pt>
                <c:pt idx="6">
                  <c:v>2.0547692149008034E-2</c:v>
                </c:pt>
              </c:numCache>
            </c:numRef>
          </c:val>
        </c:ser>
        <c:gapWidth val="100"/>
        <c:overlap val="100"/>
        <c:axId val="256199296"/>
        <c:axId val="256213376"/>
      </c:barChart>
      <c:catAx>
        <c:axId val="256199296"/>
        <c:scaling>
          <c:orientation val="minMax"/>
        </c:scaling>
        <c:axPos val="l"/>
        <c:tickLblPos val="nextTo"/>
        <c:crossAx val="256213376"/>
        <c:crosses val="autoZero"/>
        <c:auto val="1"/>
        <c:lblAlgn val="ctr"/>
        <c:lblOffset val="100"/>
      </c:catAx>
      <c:valAx>
        <c:axId val="256213376"/>
        <c:scaling>
          <c:orientation val="minMax"/>
        </c:scaling>
        <c:axPos val="b"/>
        <c:majorGridlines/>
        <c:numFmt formatCode="0%" sourceLinked="0"/>
        <c:tickLblPos val="nextTo"/>
        <c:crossAx val="25619929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8.9836699414156903E-4</c:v>
                </c:pt>
                <c:pt idx="1">
                  <c:v>1.6150109128118699E-4</c:v>
                </c:pt>
                <c:pt idx="2">
                  <c:v>7.4248746914305766E-5</c:v>
                </c:pt>
                <c:pt idx="3">
                  <c:v>1.9179681347217741E-4</c:v>
                </c:pt>
                <c:pt idx="4">
                  <c:v>1.6015750005189501E-4</c:v>
                </c:pt>
                <c:pt idx="5">
                  <c:v>7.1899703076068553E-3</c:v>
                </c:pt>
                <c:pt idx="6">
                  <c:v>1.0673409565476054E-3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0.13487905779681036</c:v>
                </c:pt>
                <c:pt idx="1">
                  <c:v>0.10890249328901465</c:v>
                </c:pt>
                <c:pt idx="2">
                  <c:v>8.7268232463375534E-2</c:v>
                </c:pt>
                <c:pt idx="3">
                  <c:v>0.12136770696176105</c:v>
                </c:pt>
                <c:pt idx="4">
                  <c:v>0.10363828975012948</c:v>
                </c:pt>
                <c:pt idx="5">
                  <c:v>0.2504549056167919</c:v>
                </c:pt>
                <c:pt idx="6">
                  <c:v>0.18374593171174219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0.16674097558248577</c:v>
                </c:pt>
                <c:pt idx="1">
                  <c:v>0.11227960672210159</c:v>
                </c:pt>
                <c:pt idx="2">
                  <c:v>8.023809789500122E-2</c:v>
                </c:pt>
                <c:pt idx="3">
                  <c:v>0.15515524993091961</c:v>
                </c:pt>
                <c:pt idx="4">
                  <c:v>0.10316194200207636</c:v>
                </c:pt>
                <c:pt idx="5">
                  <c:v>0.3006631588959241</c:v>
                </c:pt>
                <c:pt idx="6">
                  <c:v>0.2455792081790579</c:v>
                </c:pt>
              </c:numCache>
            </c:numRef>
          </c:val>
        </c:ser>
        <c:gapWidth val="100"/>
        <c:overlap val="100"/>
        <c:axId val="256242816"/>
        <c:axId val="256244352"/>
      </c:barChart>
      <c:catAx>
        <c:axId val="256242816"/>
        <c:scaling>
          <c:orientation val="minMax"/>
        </c:scaling>
        <c:axPos val="l"/>
        <c:tickLblPos val="nextTo"/>
        <c:crossAx val="256244352"/>
        <c:crosses val="autoZero"/>
        <c:auto val="1"/>
        <c:lblAlgn val="ctr"/>
        <c:lblOffset val="100"/>
      </c:catAx>
      <c:valAx>
        <c:axId val="256244352"/>
        <c:scaling>
          <c:orientation val="minMax"/>
        </c:scaling>
        <c:axPos val="b"/>
        <c:majorGridlines/>
        <c:numFmt formatCode="0%" sourceLinked="0"/>
        <c:tickLblPos val="nextTo"/>
        <c:crossAx val="25624281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1.2573961376480767E-2</c:v>
                </c:pt>
                <c:pt idx="1">
                  <c:v>0.13660879055936273</c:v>
                </c:pt>
                <c:pt idx="2">
                  <c:v>1.6640034962185025E-4</c:v>
                </c:pt>
                <c:pt idx="3">
                  <c:v>4.4842749717384528E-2</c:v>
                </c:pt>
                <c:pt idx="4">
                  <c:v>0.30083666470690862</c:v>
                </c:pt>
                <c:pt idx="5">
                  <c:v>1.6739397406762616E-2</c:v>
                </c:pt>
                <c:pt idx="6">
                  <c:v>1.3987517471286876E-3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3.850382694891534E-2</c:v>
                </c:pt>
                <c:pt idx="1">
                  <c:v>0.18085662188599591</c:v>
                </c:pt>
                <c:pt idx="2">
                  <c:v>3.1343229538932944E-3</c:v>
                </c:pt>
                <c:pt idx="3">
                  <c:v>9.698013482149942E-2</c:v>
                </c:pt>
                <c:pt idx="4">
                  <c:v>0.10494585573213328</c:v>
                </c:pt>
                <c:pt idx="5">
                  <c:v>5.3501459301612445E-2</c:v>
                </c:pt>
                <c:pt idx="6">
                  <c:v>8.9110624923004096E-3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3.6783772743224856E-2</c:v>
                </c:pt>
                <c:pt idx="1">
                  <c:v>0.16899789573697255</c:v>
                </c:pt>
                <c:pt idx="2">
                  <c:v>3.3955529736744974E-3</c:v>
                </c:pt>
                <c:pt idx="3">
                  <c:v>9.2917807080824893E-2</c:v>
                </c:pt>
                <c:pt idx="4">
                  <c:v>0.10385676516960279</c:v>
                </c:pt>
                <c:pt idx="5">
                  <c:v>5.6559720522614834E-2</c:v>
                </c:pt>
                <c:pt idx="6">
                  <c:v>9.6106215621906046E-3</c:v>
                </c:pt>
              </c:numCache>
            </c:numRef>
          </c:val>
        </c:ser>
        <c:gapWidth val="100"/>
        <c:overlap val="100"/>
        <c:axId val="256269696"/>
        <c:axId val="256279680"/>
      </c:barChart>
      <c:catAx>
        <c:axId val="256269696"/>
        <c:scaling>
          <c:orientation val="minMax"/>
        </c:scaling>
        <c:axPos val="l"/>
        <c:tickLblPos val="nextTo"/>
        <c:crossAx val="256279680"/>
        <c:crosses val="autoZero"/>
        <c:auto val="1"/>
        <c:lblAlgn val="ctr"/>
        <c:lblOffset val="100"/>
      </c:catAx>
      <c:valAx>
        <c:axId val="256279680"/>
        <c:scaling>
          <c:orientation val="minMax"/>
        </c:scaling>
        <c:axPos val="b"/>
        <c:majorGridlines/>
        <c:numFmt formatCode="0%" sourceLinked="0"/>
        <c:tickLblPos val="nextTo"/>
        <c:crossAx val="25626969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5.1077788325396105E-2</c:v>
                </c:pt>
                <c:pt idx="1">
                  <c:v>0.31746541244535864</c:v>
                </c:pt>
                <c:pt idx="2">
                  <c:v>3.3007233035151446E-3</c:v>
                </c:pt>
                <c:pt idx="3">
                  <c:v>0.14182288453888395</c:v>
                </c:pt>
                <c:pt idx="4">
                  <c:v>0.40578252043904189</c:v>
                </c:pt>
                <c:pt idx="5">
                  <c:v>7.0240856708375057E-2</c:v>
                </c:pt>
                <c:pt idx="6">
                  <c:v>1.0309814239429097E-2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0.1225455467100848</c:v>
                </c:pt>
                <c:pt idx="1">
                  <c:v>1.9445183382492031E-3</c:v>
                </c:pt>
                <c:pt idx="2">
                  <c:v>1.2890939429859957E-4</c:v>
                </c:pt>
                <c:pt idx="3">
                  <c:v>1.2304599952894498E-4</c:v>
                </c:pt>
                <c:pt idx="4">
                  <c:v>0.20826364447483306</c:v>
                </c:pt>
                <c:pt idx="5">
                  <c:v>6.7345219086325486E-2</c:v>
                </c:pt>
                <c:pt idx="6">
                  <c:v>1.6952162150857465E-2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0.183128587047273</c:v>
                </c:pt>
                <c:pt idx="1">
                  <c:v>2.3579348619074163E-2</c:v>
                </c:pt>
                <c:pt idx="2">
                  <c:v>7.8717256559361799E-3</c:v>
                </c:pt>
                <c:pt idx="3">
                  <c:v>8.2995690755062277E-3</c:v>
                </c:pt>
                <c:pt idx="4">
                  <c:v>6.4707682517962134E-2</c:v>
                </c:pt>
                <c:pt idx="5">
                  <c:v>0.17856441841725951</c:v>
                </c:pt>
                <c:pt idx="6">
                  <c:v>0.11654562251281078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0.18469184235048097</c:v>
                </c:pt>
                <c:pt idx="1">
                  <c:v>2.5523271257021002E-2</c:v>
                </c:pt>
                <c:pt idx="2">
                  <c:v>8.4321473035767463E-3</c:v>
                </c:pt>
                <c:pt idx="3">
                  <c:v>1.1284425001841016E-2</c:v>
                </c:pt>
                <c:pt idx="4">
                  <c:v>6.892885922866171E-2</c:v>
                </c:pt>
                <c:pt idx="5">
                  <c:v>0.18141560166024565</c:v>
                </c:pt>
                <c:pt idx="6">
                  <c:v>0.11089373512975215</c:v>
                </c:pt>
              </c:numCache>
            </c:numRef>
          </c:val>
        </c:ser>
        <c:gapWidth val="100"/>
        <c:overlap val="100"/>
        <c:axId val="256464768"/>
        <c:axId val="256466304"/>
      </c:barChart>
      <c:catAx>
        <c:axId val="256464768"/>
        <c:scaling>
          <c:orientation val="minMax"/>
        </c:scaling>
        <c:axPos val="l"/>
        <c:tickLblPos val="nextTo"/>
        <c:crossAx val="256466304"/>
        <c:crosses val="autoZero"/>
        <c:auto val="1"/>
        <c:lblAlgn val="ctr"/>
        <c:lblOffset val="100"/>
      </c:catAx>
      <c:valAx>
        <c:axId val="256466304"/>
        <c:scaling>
          <c:orientation val="minMax"/>
        </c:scaling>
        <c:axPos val="b"/>
        <c:majorGridlines/>
        <c:numFmt formatCode="0%" sourceLinked="0"/>
        <c:tickLblPos val="nextTo"/>
        <c:crossAx val="25646476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1983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5.7439279264025499E-6</c:v>
                </c:pt>
                <c:pt idx="1">
                  <c:v>1.5240418401508748E-5</c:v>
                </c:pt>
                <c:pt idx="2">
                  <c:v>6.8941694706965489E-7</c:v>
                </c:pt>
                <c:pt idx="3">
                  <c:v>3.5184256554061384E-6</c:v>
                </c:pt>
                <c:pt idx="4">
                  <c:v>2.3946750210794983E-6</c:v>
                </c:pt>
                <c:pt idx="5">
                  <c:v>0.9653174945430556</c:v>
                </c:pt>
                <c:pt idx="6">
                  <c:v>8.8363134643122776E-5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3.0129857250572462E-3</c:v>
                </c:pt>
                <c:pt idx="1">
                  <c:v>3.368613185978806E-3</c:v>
                </c:pt>
                <c:pt idx="2">
                  <c:v>1.8460781822364507E-3</c:v>
                </c:pt>
                <c:pt idx="3">
                  <c:v>3.0319982768281625E-3</c:v>
                </c:pt>
                <c:pt idx="4">
                  <c:v>1.7443082653688115E-3</c:v>
                </c:pt>
                <c:pt idx="5">
                  <c:v>1.2825064598150915E-2</c:v>
                </c:pt>
                <c:pt idx="6">
                  <c:v>8.7375072247287827E-3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3.8509933054538801E-3</c:v>
                </c:pt>
                <c:pt idx="1">
                  <c:v>4.0107095670472792E-3</c:v>
                </c:pt>
                <c:pt idx="2">
                  <c:v>2.23329014451756E-3</c:v>
                </c:pt>
                <c:pt idx="3">
                  <c:v>3.4521990942767626E-3</c:v>
                </c:pt>
                <c:pt idx="4">
                  <c:v>1.4698456022258742E-3</c:v>
                </c:pt>
                <c:pt idx="5">
                  <c:v>1.3549241898216713E-2</c:v>
                </c:pt>
                <c:pt idx="6">
                  <c:v>1.1786066872430964E-2</c:v>
                </c:pt>
              </c:numCache>
            </c:numRef>
          </c:val>
        </c:ser>
        <c:gapWidth val="100"/>
        <c:overlap val="100"/>
        <c:axId val="256496000"/>
        <c:axId val="256497536"/>
      </c:barChart>
      <c:catAx>
        <c:axId val="256496000"/>
        <c:scaling>
          <c:orientation val="minMax"/>
        </c:scaling>
        <c:axPos val="l"/>
        <c:tickLblPos val="nextTo"/>
        <c:crossAx val="256497536"/>
        <c:crosses val="autoZero"/>
        <c:auto val="1"/>
        <c:lblAlgn val="ctr"/>
        <c:lblOffset val="100"/>
      </c:catAx>
      <c:valAx>
        <c:axId val="256497536"/>
        <c:scaling>
          <c:orientation val="minMax"/>
        </c:scaling>
        <c:axPos val="b"/>
        <c:majorGridlines/>
        <c:numFmt formatCode="0%" sourceLinked="0"/>
        <c:tickLblPos val="nextTo"/>
        <c:crossAx val="2564960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625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13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0.58287462416262592</c:v>
                </c:pt>
                <c:pt idx="1">
                  <c:v>7.7668003660649517E-3</c:v>
                </c:pt>
                <c:pt idx="2">
                  <c:v>6.8620118541588976E-2</c:v>
                </c:pt>
                <c:pt idx="3">
                  <c:v>1.8971821281687614E-4</c:v>
                </c:pt>
                <c:pt idx="4">
                  <c:v>2.5654481798167622E-2</c:v>
                </c:pt>
                <c:pt idx="5">
                  <c:v>0.13532793143865379</c:v>
                </c:pt>
                <c:pt idx="6">
                  <c:v>1.1486666612623372E-2</c:v>
                </c:pt>
                <c:pt idx="7">
                  <c:v>9.4344345334960414E-4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2.6381099731229485E-2</c:v>
                </c:pt>
                <c:pt idx="1">
                  <c:v>1.2064219998184815E-2</c:v>
                </c:pt>
                <c:pt idx="2">
                  <c:v>6.0796764333607117E-2</c:v>
                </c:pt>
                <c:pt idx="3">
                  <c:v>1.0985213382804981E-3</c:v>
                </c:pt>
                <c:pt idx="4">
                  <c:v>2.7902728517149845E-2</c:v>
                </c:pt>
                <c:pt idx="5">
                  <c:v>1.9799508366391383E-2</c:v>
                </c:pt>
                <c:pt idx="6">
                  <c:v>1.6022546213615242E-2</c:v>
                </c:pt>
                <c:pt idx="7">
                  <c:v>3.0708269156518187E-3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2.6464176405468942E-2</c:v>
                </c:pt>
                <c:pt idx="1">
                  <c:v>9.9625418055199651E-3</c:v>
                </c:pt>
                <c:pt idx="2">
                  <c:v>4.9104025564606385E-2</c:v>
                </c:pt>
                <c:pt idx="3">
                  <c:v>5.2266906098912794E-4</c:v>
                </c:pt>
                <c:pt idx="4">
                  <c:v>2.194479077692759E-2</c:v>
                </c:pt>
                <c:pt idx="5">
                  <c:v>1.9601854264001128E-2</c:v>
                </c:pt>
                <c:pt idx="6">
                  <c:v>1.114896075996746E-2</c:v>
                </c:pt>
                <c:pt idx="7">
                  <c:v>2.0108693898289653E-3</c:v>
                </c:pt>
              </c:numCache>
            </c:numRef>
          </c:val>
        </c:ser>
        <c:overlap val="100"/>
        <c:axId val="256737280"/>
        <c:axId val="256739200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0.55549268496933957</c:v>
                </c:pt>
                <c:pt idx="1">
                  <c:v>9.7387120358343723E-2</c:v>
                </c:pt>
                <c:pt idx="2">
                  <c:v>9.5164223805884504E-2</c:v>
                </c:pt>
                <c:pt idx="3">
                  <c:v>0.10363483668477239</c:v>
                </c:pt>
                <c:pt idx="4">
                  <c:v>5.1404597453969164E-2</c:v>
                </c:pt>
                <c:pt idx="5">
                  <c:v>1.9729061421683056E-2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marker val="1"/>
        <c:axId val="256737280"/>
        <c:axId val="256739200"/>
      </c:lineChart>
      <c:catAx>
        <c:axId val="256737280"/>
        <c:scaling>
          <c:orientation val="minMax"/>
        </c:scaling>
        <c:axPos val="b"/>
        <c:tickLblPos val="nextTo"/>
        <c:crossAx val="256739200"/>
        <c:crosses val="autoZero"/>
        <c:auto val="1"/>
        <c:lblAlgn val="ctr"/>
        <c:lblOffset val="100"/>
      </c:catAx>
      <c:valAx>
        <c:axId val="256739200"/>
        <c:scaling>
          <c:orientation val="minMax"/>
        </c:scaling>
        <c:axPos val="l"/>
        <c:majorGridlines/>
        <c:numFmt formatCode="0%" sourceLinked="0"/>
        <c:tickLblPos val="nextTo"/>
        <c:crossAx val="25673728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98"/>
          <c:w val="0.5562682138416909"/>
          <c:h val="0.69258218413304951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0.60925572389385541</c:v>
                </c:pt>
                <c:pt idx="1">
                  <c:v>1.9831020364249767E-2</c:v>
                </c:pt>
                <c:pt idx="2">
                  <c:v>0.12941688287519609</c:v>
                </c:pt>
                <c:pt idx="3">
                  <c:v>1.2882395510973742E-3</c:v>
                </c:pt>
                <c:pt idx="4">
                  <c:v>5.3557210315317468E-2</c:v>
                </c:pt>
                <c:pt idx="5">
                  <c:v>0.15512743980504518</c:v>
                </c:pt>
                <c:pt idx="6">
                  <c:v>2.7509212826238614E-2</c:v>
                </c:pt>
                <c:pt idx="7">
                  <c:v>4.0142703690014226E-3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IC'!$D$134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IC'!$C$135:$C$142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IC'!$D$135:$D$142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IC'!$E$134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IC'!$C$135:$C$142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IC'!$E$135:$E$142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256676224"/>
        <c:axId val="256677760"/>
      </c:barChart>
      <c:catAx>
        <c:axId val="256676224"/>
        <c:scaling>
          <c:orientation val="minMax"/>
        </c:scaling>
        <c:axPos val="l"/>
        <c:tickLblPos val="nextTo"/>
        <c:crossAx val="256677760"/>
        <c:crosses val="autoZero"/>
        <c:auto val="1"/>
        <c:lblAlgn val="ctr"/>
        <c:lblOffset val="100"/>
      </c:catAx>
      <c:valAx>
        <c:axId val="256677760"/>
        <c:scaling>
          <c:orientation val="minMax"/>
        </c:scaling>
        <c:axPos val="b"/>
        <c:majorGridlines/>
        <c:numFmt formatCode="0.0%" sourceLinked="1"/>
        <c:tickLblPos val="nextTo"/>
        <c:crossAx val="256676224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Base Case</a:t>
            </a:r>
          </a:p>
        </c:rich>
      </c:tx>
      <c:layout>
        <c:manualLayout>
          <c:xMode val="edge"/>
          <c:yMode val="edge"/>
          <c:x val="0.46539267229392084"/>
          <c:y val="2.2888685473957095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8"/>
          <c:y val="5.1400554097404488E-2"/>
          <c:w val="0.82164348206474658"/>
          <c:h val="0.8213732137649461"/>
        </c:manualLayout>
      </c:layout>
      <c:scatterChart>
        <c:scatterStyle val="lineMarker"/>
        <c:ser>
          <c:idx val="0"/>
          <c:order val="0"/>
          <c:tx>
            <c:v>evenwicht</c:v>
          </c:tx>
          <c:spPr>
            <a:ln w="28575">
              <a:noFill/>
            </a:ln>
          </c:spPr>
          <c:dLbls>
            <c:dLbl>
              <c:idx val="0"/>
              <c:layout>
                <c:manualLayout>
                  <c:x val="2.2925923573656188E-3"/>
                  <c:y val="-2.0934752710929047E-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N</a:t>
                    </a:r>
                    <a:r>
                      <a:rPr lang="en-US"/>
                      <a:t>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2.9267566437338688E-2"/>
                  <c:y val="-5.7823089876890589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H</a:t>
                    </a:r>
                    <a:r>
                      <a:rPr lang="en-US"/>
                      <a:t>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7.4067765714299863E-2"/>
                  <c:y val="1.8910961589052824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E</a:t>
                    </a:r>
                    <a:r>
                      <a:rPr lang="en-US"/>
                      <a:t>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963300376201249"/>
                  <c:y val="2.179729266866005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A</a:t>
                    </a:r>
                    <a:r>
                      <a:rPr lang="en-US"/>
                      <a:t>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1.1987411018905198E-3"/>
                  <c:y val="-6.8002196299113433E-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A</a:t>
                    </a:r>
                    <a:r>
                      <a:rPr lang="en-US"/>
                      <a:t>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1.3705789892028075E-3"/>
                  <c:y val="4.8181936007252596E-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G</a:t>
                    </a:r>
                    <a:r>
                      <a:rPr lang="en-US"/>
                      <a:t>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1.8733079123236364E-3"/>
                  <c:y val="1.1191455951559758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H</a:t>
                    </a:r>
                    <a:r>
                      <a:rPr lang="en-US"/>
                      <a:t>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4.8749721278946792E-3"/>
                  <c:y val="2.8709188524677666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V</a:t>
                    </a:r>
                    <a:r>
                      <a:rPr lang="en-US"/>
                      <a:t>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txPr>
              <a:bodyPr/>
              <a:lstStyle/>
              <a:p>
                <a:pPr>
                  <a:defRPr baseline="0">
                    <a:solidFill>
                      <a:schemeClr val="accent1"/>
                    </a:solidFill>
                  </a:defRPr>
                </a:pPr>
                <a:endParaRPr lang="nl-NL"/>
              </a:p>
            </c:tx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IC'!$J$3:$J$10</c:f>
              <c:numCache>
                <c:formatCode>0.0%</c:formatCode>
                <c:ptCount val="8"/>
                <c:pt idx="0">
                  <c:v>4.3571419993869868E-2</c:v>
                </c:pt>
                <c:pt idx="1">
                  <c:v>0.15810707611932825</c:v>
                </c:pt>
                <c:pt idx="2">
                  <c:v>0.16193319430872868</c:v>
                </c:pt>
                <c:pt idx="3">
                  <c:v>0.28684488662827246</c:v>
                </c:pt>
                <c:pt idx="4">
                  <c:v>0.29497711980114533</c:v>
                </c:pt>
                <c:pt idx="5">
                  <c:v>0.32949402218690865</c:v>
                </c:pt>
                <c:pt idx="6">
                  <c:v>0.1608611248297202</c:v>
                </c:pt>
                <c:pt idx="7">
                  <c:v>0.19933384935580506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3.1452343984147556E-2</c:v>
                </c:pt>
                <c:pt idx="3">
                  <c:v>5.6804592721954011E-2</c:v>
                </c:pt>
                <c:pt idx="4">
                  <c:v>5.6320387554596889E-2</c:v>
                </c:pt>
                <c:pt idx="5">
                  <c:v>5.236888388126059E-2</c:v>
                </c:pt>
                <c:pt idx="6">
                  <c:v>2.8306574622560098E-2</c:v>
                </c:pt>
                <c:pt idx="7">
                  <c:v>3.9543569652327068E-2</c:v>
                </c:pt>
              </c:numCache>
            </c:numRef>
          </c:yVal>
        </c:ser>
        <c:ser>
          <c:idx val="1"/>
          <c:order val="1"/>
          <c:tx>
            <c:v>base case</c:v>
          </c:tx>
          <c:spPr>
            <a:ln w="28575">
              <a:noFill/>
            </a:ln>
          </c:spPr>
          <c:marker>
            <c:symbol val="diamond"/>
            <c:size val="12"/>
          </c:marker>
          <c:dLbls>
            <c:dLbl>
              <c:idx val="0"/>
              <c:layout>
                <c:manualLayout>
                  <c:x val="-2.6188094026392678E-2"/>
                  <c:y val="4.612318931866833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N</a:t>
                    </a:r>
                    <a:r>
                      <a:rPr lang="en-US"/>
                      <a:t>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1.7458729350929075E-3"/>
                  <c:y val="1.1530797329667088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H</a:t>
                    </a:r>
                    <a:r>
                      <a:rPr lang="en-US"/>
                      <a:t>igh Yield</a:t>
                    </a:r>
                  </a:p>
                </c:rich>
              </c:tx>
              <c:showVal val="1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 sz="1200" baseline="0"/>
                      <a:t>E</a:t>
                    </a:r>
                    <a:r>
                      <a:rPr lang="en-US"/>
                      <a:t>MD</a:t>
                    </a:r>
                  </a:p>
                </c:rich>
              </c:tx>
              <c:showVal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 sz="1200" baseline="0"/>
                      <a:t>A</a:t>
                    </a:r>
                    <a:r>
                      <a:rPr lang="en-US"/>
                      <a:t>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0"/>
                  <c:y val="-3.1709692656584486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A</a:t>
                    </a:r>
                    <a:r>
                      <a:rPr lang="en-US"/>
                      <a:t>andelen Opkomend</a:t>
                    </a:r>
                  </a:p>
                </c:rich>
              </c:tx>
              <c:showVal val="1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 sz="1200" baseline="0"/>
                      <a:t>G</a:t>
                    </a:r>
                    <a:r>
                      <a:rPr lang="en-US"/>
                      <a:t>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6.983491740371375E-3"/>
                  <c:y val="-1.1530797329667088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H</a:t>
                    </a:r>
                    <a:r>
                      <a:rPr lang="en-US"/>
                      <a:t>edge Funds</a:t>
                    </a:r>
                  </a:p>
                </c:rich>
              </c:tx>
              <c:showVal val="1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 sz="1200" baseline="0"/>
                      <a:t>V</a:t>
                    </a:r>
                    <a:r>
                      <a:rPr lang="en-US"/>
                      <a:t>astgoed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1200" baseline="0"/>
                </a:pPr>
                <a:endParaRPr lang="nl-NL"/>
              </a:p>
            </c:txPr>
            <c:showVal val="1"/>
          </c:dLbls>
          <c:xVal>
            <c:numRef>
              <c:f>'output IC'!$J$3:$J$10</c:f>
              <c:numCache>
                <c:formatCode>0.0%</c:formatCode>
                <c:ptCount val="8"/>
                <c:pt idx="0">
                  <c:v>4.3571419993869868E-2</c:v>
                </c:pt>
                <c:pt idx="1">
                  <c:v>0.15810707611932825</c:v>
                </c:pt>
                <c:pt idx="2">
                  <c:v>0.16193319430872868</c:v>
                </c:pt>
                <c:pt idx="3">
                  <c:v>0.28684488662827246</c:v>
                </c:pt>
                <c:pt idx="4">
                  <c:v>0.29497711980114533</c:v>
                </c:pt>
                <c:pt idx="5">
                  <c:v>0.32949402218690865</c:v>
                </c:pt>
                <c:pt idx="6">
                  <c:v>0.1608611248297202</c:v>
                </c:pt>
                <c:pt idx="7">
                  <c:v>0.19933384935580506</c:v>
                </c:pt>
              </c:numCache>
            </c:numRef>
          </c:xVal>
          <c:yVal>
            <c:numRef>
              <c:f>'output IC'!$D$3:$D$10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1.4996171000904845E-2</c:v>
                </c:pt>
                <c:pt idx="2">
                  <c:v>3.3632152529915554E-2</c:v>
                </c:pt>
                <c:pt idx="3">
                  <c:v>-1.8275706628265609E-2</c:v>
                </c:pt>
                <c:pt idx="4">
                  <c:v>6.1274623073284545E-2</c:v>
                </c:pt>
                <c:pt idx="5">
                  <c:v>7.9522702632630907E-2</c:v>
                </c:pt>
                <c:pt idx="6">
                  <c:v>1.7325408361865E-2</c:v>
                </c:pt>
                <c:pt idx="7">
                  <c:v>-3.3454365202922019E-3</c:v>
                </c:pt>
              </c:numCache>
            </c:numRef>
          </c:yVal>
        </c:ser>
        <c:axId val="256898176"/>
        <c:axId val="256900096"/>
      </c:scatterChart>
      <c:valAx>
        <c:axId val="256898176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 sz="1300" baseline="0"/>
                </a:pPr>
                <a:r>
                  <a:rPr lang="en-US" sz="1300" baseline="0"/>
                  <a:t>Volatility</a:t>
                </a:r>
              </a:p>
            </c:rich>
          </c:tx>
          <c:layout>
            <c:manualLayout>
              <c:xMode val="edge"/>
              <c:yMode val="edge"/>
              <c:x val="0.65615582551779073"/>
              <c:y val="0.9143162960411767"/>
            </c:manualLayout>
          </c:layout>
        </c:title>
        <c:numFmt formatCode="0%" sourceLinked="0"/>
        <c:tickLblPos val="nextTo"/>
        <c:crossAx val="256900096"/>
        <c:crossesAt val="-4.0000000000000015E-2"/>
        <c:crossBetween val="midCat"/>
      </c:valAx>
      <c:valAx>
        <c:axId val="256900096"/>
        <c:scaling>
          <c:orientation val="minMax"/>
          <c:min val="-4.0000000000000015E-2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300" b="1" i="0" baseline="0"/>
                </a:pPr>
                <a:r>
                  <a:rPr lang="en-US" sz="1300" b="1" i="0" baseline="0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256898176"/>
        <c:crosses val="autoZero"/>
        <c:crossBetween val="midCat"/>
      </c:valAx>
    </c:plotArea>
    <c:legend>
      <c:legendPos val="tr"/>
      <c:legendEntry>
        <c:idx val="2"/>
        <c:delete val="1"/>
      </c:legendEntry>
      <c:layout>
        <c:manualLayout>
          <c:xMode val="edge"/>
          <c:yMode val="edge"/>
          <c:x val="0.8568781601100266"/>
          <c:y val="0.53330637154320026"/>
          <c:w val="8.8877338137349188E-2"/>
          <c:h val="8.2778823388199529E-2"/>
        </c:manualLayout>
      </c:layout>
      <c:spPr>
        <a:solidFill>
          <a:sysClr val="window" lastClr="FFFFFF"/>
        </a:solidFill>
        <a:ln>
          <a:solidFill>
            <a:sysClr val="windowText" lastClr="000000">
              <a:shade val="95000"/>
              <a:satMod val="105000"/>
            </a:sysClr>
          </a:solidFill>
        </a:ln>
      </c:spPr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IC'!$H$134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IC'!$C$135:$C$142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IC'!$H$135:$H$142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IC'!$I$134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IC'!$C$135:$C$142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IC'!$I$135:$I$142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1.4996171000904845E-2</c:v>
                </c:pt>
                <c:pt idx="2">
                  <c:v>3.3632152529915554E-2</c:v>
                </c:pt>
                <c:pt idx="3">
                  <c:v>-1.8275706628265609E-2</c:v>
                </c:pt>
                <c:pt idx="4">
                  <c:v>6.1274623073284545E-2</c:v>
                </c:pt>
                <c:pt idx="5">
                  <c:v>7.9522702632630907E-2</c:v>
                </c:pt>
                <c:pt idx="6">
                  <c:v>1.7325408361865E-2</c:v>
                </c:pt>
                <c:pt idx="7">
                  <c:v>-3.3454365202922019E-3</c:v>
                </c:pt>
              </c:numCache>
            </c:numRef>
          </c:val>
        </c:ser>
        <c:axId val="256826368"/>
        <c:axId val="256975616"/>
      </c:barChart>
      <c:catAx>
        <c:axId val="256826368"/>
        <c:scaling>
          <c:orientation val="minMax"/>
        </c:scaling>
        <c:axPos val="l"/>
        <c:tickLblPos val="none"/>
        <c:crossAx val="256975616"/>
        <c:crosses val="autoZero"/>
        <c:auto val="1"/>
        <c:lblAlgn val="ctr"/>
        <c:lblOffset val="100"/>
      </c:catAx>
      <c:valAx>
        <c:axId val="256975616"/>
        <c:scaling>
          <c:orientation val="minMax"/>
        </c:scaling>
        <c:axPos val="b"/>
        <c:majorGridlines/>
        <c:numFmt formatCode="0.0%" sourceLinked="1"/>
        <c:tickLblPos val="nextTo"/>
        <c:crossAx val="256826368"/>
        <c:crosses val="autoZero"/>
        <c:crossBetween val="between"/>
      </c:valAx>
    </c:plotArea>
    <c:legend>
      <c:legendPos val="b"/>
      <c:layout/>
    </c:legend>
    <c:plotVisOnly val="1"/>
  </c:chart>
  <c:spPr>
    <a:noFill/>
    <a:ln>
      <a:noFill/>
    </a:ln>
  </c:spPr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IC'!$K$134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IC'!$C$135:$C$142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IC'!$K$135:$K$142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-0.29390747695152525</c:v>
                </c:pt>
                <c:pt idx="2">
                  <c:v>6.857423812834619E-2</c:v>
                </c:pt>
                <c:pt idx="3">
                  <c:v>-0.20272934385775906</c:v>
                </c:pt>
                <c:pt idx="4">
                  <c:v>-0.14794569285453799</c:v>
                </c:pt>
                <c:pt idx="5">
                  <c:v>-0.10839492265633952</c:v>
                </c:pt>
                <c:pt idx="6">
                  <c:v>-0.43007353239699947</c:v>
                </c:pt>
                <c:pt idx="7">
                  <c:v>-0.2928562258300802</c:v>
                </c:pt>
              </c:numCache>
            </c:numRef>
          </c:val>
        </c:ser>
        <c:ser>
          <c:idx val="1"/>
          <c:order val="1"/>
          <c:tx>
            <c:strRef>
              <c:f>'output IC'!$L$134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IC'!$C$135:$C$142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IC'!$L$135:$L$142</c:f>
              <c:numCache>
                <c:formatCode>#,##0.00_ ;[Red]\-#,##0.00\ </c:formatCode>
                <c:ptCount val="8"/>
                <c:pt idx="0">
                  <c:v>-3.1715707047893123E-2</c:v>
                </c:pt>
                <c:pt idx="1">
                  <c:v>9.484819635515096E-2</c:v>
                </c:pt>
                <c:pt idx="2">
                  <c:v>0.20769152781482975</c:v>
                </c:pt>
                <c:pt idx="3">
                  <c:v>-6.3712854857159898E-2</c:v>
                </c:pt>
                <c:pt idx="4">
                  <c:v>0.20772669797098831</c:v>
                </c:pt>
                <c:pt idx="5">
                  <c:v>0.241347937376299</c:v>
                </c:pt>
                <c:pt idx="6">
                  <c:v>0.10770413535405052</c:v>
                </c:pt>
                <c:pt idx="7">
                  <c:v>-1.6783082908917772E-2</c:v>
                </c:pt>
              </c:numCache>
            </c:numRef>
          </c:val>
        </c:ser>
        <c:axId val="256992768"/>
        <c:axId val="256994304"/>
      </c:barChart>
      <c:catAx>
        <c:axId val="256992768"/>
        <c:scaling>
          <c:orientation val="minMax"/>
        </c:scaling>
        <c:axPos val="l"/>
        <c:tickLblPos val="high"/>
        <c:crossAx val="256994304"/>
        <c:crosses val="autoZero"/>
        <c:auto val="1"/>
        <c:lblAlgn val="ctr"/>
        <c:lblOffset val="100"/>
      </c:catAx>
      <c:valAx>
        <c:axId val="256994304"/>
        <c:scaling>
          <c:orientation val="minMax"/>
        </c:scaling>
        <c:axPos val="b"/>
        <c:majorGridlines/>
        <c:numFmt formatCode="#,##0.00_ ;\-#,##0.00\ " sourceLinked="1"/>
        <c:tickLblPos val="nextTo"/>
        <c:crossAx val="256992768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21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1.2573961376480767E-2</c:v>
                </c:pt>
                <c:pt idx="1">
                  <c:v>0.13660879055936273</c:v>
                </c:pt>
                <c:pt idx="2">
                  <c:v>1.6640034962185025E-4</c:v>
                </c:pt>
                <c:pt idx="3">
                  <c:v>4.4842749717384528E-2</c:v>
                </c:pt>
                <c:pt idx="4">
                  <c:v>0.30083666470690862</c:v>
                </c:pt>
                <c:pt idx="5">
                  <c:v>1.6739397406762616E-2</c:v>
                </c:pt>
                <c:pt idx="6">
                  <c:v>1.3987517471286876E-3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3.850382694891534E-2</c:v>
                </c:pt>
                <c:pt idx="1">
                  <c:v>0.18085662188599591</c:v>
                </c:pt>
                <c:pt idx="2">
                  <c:v>3.1343229538932944E-3</c:v>
                </c:pt>
                <c:pt idx="3">
                  <c:v>9.698013482149942E-2</c:v>
                </c:pt>
                <c:pt idx="4">
                  <c:v>0.10494585573213328</c:v>
                </c:pt>
                <c:pt idx="5">
                  <c:v>5.3501459301612445E-2</c:v>
                </c:pt>
                <c:pt idx="6">
                  <c:v>8.9110624923004096E-3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3.6783772743224856E-2</c:v>
                </c:pt>
                <c:pt idx="1">
                  <c:v>0.16899789573697255</c:v>
                </c:pt>
                <c:pt idx="2">
                  <c:v>3.3955529736744974E-3</c:v>
                </c:pt>
                <c:pt idx="3">
                  <c:v>9.2917807080824893E-2</c:v>
                </c:pt>
                <c:pt idx="4">
                  <c:v>0.10385676516960279</c:v>
                </c:pt>
                <c:pt idx="5">
                  <c:v>5.6559720522614834E-2</c:v>
                </c:pt>
                <c:pt idx="6">
                  <c:v>9.6106215621906046E-3</c:v>
                </c:pt>
              </c:numCache>
            </c:numRef>
          </c:val>
        </c:ser>
        <c:overlap val="100"/>
        <c:axId val="256902272"/>
        <c:axId val="256904192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0.21909002858957732</c:v>
                </c:pt>
                <c:pt idx="1">
                  <c:v>0.21408921875519724</c:v>
                </c:pt>
                <c:pt idx="2">
                  <c:v>0.23314540206750922</c:v>
                </c:pt>
                <c:pt idx="3">
                  <c:v>0.11564398540983163</c:v>
                </c:pt>
                <c:pt idx="4">
                  <c:v>4.4384109675050465E-2</c:v>
                </c:pt>
                <c:pt idx="5">
                  <c:v>6.978507270586419E-2</c:v>
                </c:pt>
                <c:pt idx="6">
                  <c:v>0.10386218279696992</c:v>
                </c:pt>
              </c:numCache>
            </c:numRef>
          </c:val>
        </c:ser>
        <c:marker val="1"/>
        <c:axId val="256902272"/>
        <c:axId val="256904192"/>
      </c:lineChart>
      <c:catAx>
        <c:axId val="256902272"/>
        <c:scaling>
          <c:orientation val="minMax"/>
        </c:scaling>
        <c:axPos val="b"/>
        <c:numFmt formatCode="General" sourceLinked="1"/>
        <c:tickLblPos val="nextTo"/>
        <c:crossAx val="256904192"/>
        <c:crosses val="autoZero"/>
        <c:auto val="1"/>
        <c:lblAlgn val="ctr"/>
        <c:lblOffset val="100"/>
      </c:catAx>
      <c:valAx>
        <c:axId val="256904192"/>
        <c:scaling>
          <c:orientation val="minMax"/>
        </c:scaling>
        <c:axPos val="l"/>
        <c:majorGridlines/>
        <c:numFmt formatCode="0%" sourceLinked="0"/>
        <c:tickLblPos val="nextTo"/>
        <c:crossAx val="25690227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45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8"/>
          <c:y val="5.1400554097404488E-2"/>
          <c:w val="0.82164348206474658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4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IC'!$J$135:$J$142</c:f>
              <c:numCache>
                <c:formatCode>0.0%</c:formatCode>
                <c:ptCount val="8"/>
                <c:pt idx="0">
                  <c:v>0.1023</c:v>
                </c:pt>
                <c:pt idx="1">
                  <c:v>0.15810707611932825</c:v>
                </c:pt>
                <c:pt idx="2">
                  <c:v>0.16193319430872868</c:v>
                </c:pt>
                <c:pt idx="3">
                  <c:v>0.28684488662827246</c:v>
                </c:pt>
                <c:pt idx="4">
                  <c:v>0.29497711980114533</c:v>
                </c:pt>
                <c:pt idx="5">
                  <c:v>0.32949402218690865</c:v>
                </c:pt>
                <c:pt idx="6">
                  <c:v>0.1608611248297202</c:v>
                </c:pt>
                <c:pt idx="7">
                  <c:v>0.19933384935580506</c:v>
                </c:pt>
              </c:numCache>
            </c:numRef>
          </c:xVal>
          <c:yVal>
            <c:numRef>
              <c:f>'output IC'!$I$135:$I$142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1.4996171000904845E-2</c:v>
                </c:pt>
                <c:pt idx="2">
                  <c:v>3.3632152529915554E-2</c:v>
                </c:pt>
                <c:pt idx="3">
                  <c:v>-1.8275706628265609E-2</c:v>
                </c:pt>
                <c:pt idx="4">
                  <c:v>6.1274623073284545E-2</c:v>
                </c:pt>
                <c:pt idx="5">
                  <c:v>7.9522702632630907E-2</c:v>
                </c:pt>
                <c:pt idx="6">
                  <c:v>1.7325408361865E-2</c:v>
                </c:pt>
                <c:pt idx="7">
                  <c:v>-3.3454365202922019E-3</c:v>
                </c:pt>
              </c:numCache>
            </c:numRef>
          </c:yVal>
        </c:ser>
        <c:axId val="256925056"/>
        <c:axId val="257062400"/>
      </c:scatterChart>
      <c:valAx>
        <c:axId val="256925056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9"/>
            </c:manualLayout>
          </c:layout>
        </c:title>
        <c:numFmt formatCode="0%" sourceLinked="0"/>
        <c:tickLblPos val="nextTo"/>
        <c:crossAx val="257062400"/>
        <c:crosses val="autoZero"/>
        <c:crossBetween val="midCat"/>
      </c:valAx>
      <c:valAx>
        <c:axId val="2570624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256925056"/>
        <c:crosses val="autoZero"/>
        <c:crossBetween val="midCat"/>
      </c:valAx>
    </c:plotArea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7.xml"/><Relationship Id="rId7" Type="http://schemas.openxmlformats.org/officeDocument/2006/relationships/chart" Target="../charts/chart30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image" Target="../media/image1.png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27</xdr:row>
      <xdr:rowOff>136152</xdr:rowOff>
    </xdr:from>
    <xdr:to>
      <xdr:col>37</xdr:col>
      <xdr:colOff>372035</xdr:colOff>
      <xdr:row>47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44824</xdr:colOff>
      <xdr:row>19</xdr:row>
      <xdr:rowOff>14008</xdr:rowOff>
    </xdr:from>
    <xdr:to>
      <xdr:col>36</xdr:col>
      <xdr:colOff>445433</xdr:colOff>
      <xdr:row>26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321609</xdr:colOff>
      <xdr:row>145</xdr:row>
      <xdr:rowOff>73958</xdr:rowOff>
    </xdr:from>
    <xdr:to>
      <xdr:col>5</xdr:col>
      <xdr:colOff>35859</xdr:colOff>
      <xdr:row>162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31937</xdr:colOff>
      <xdr:row>43</xdr:row>
      <xdr:rowOff>65553</xdr:rowOff>
    </xdr:from>
    <xdr:to>
      <xdr:col>10</xdr:col>
      <xdr:colOff>156883</xdr:colOff>
      <xdr:row>72</xdr:row>
      <xdr:rowOff>89646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1210234</xdr:colOff>
      <xdr:row>145</xdr:row>
      <xdr:rowOff>22412</xdr:rowOff>
    </xdr:from>
    <xdr:to>
      <xdr:col>10</xdr:col>
      <xdr:colOff>930087</xdr:colOff>
      <xdr:row>160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10</xdr:col>
      <xdr:colOff>1019735</xdr:colOff>
      <xdr:row>145</xdr:row>
      <xdr:rowOff>56031</xdr:rowOff>
    </xdr:from>
    <xdr:to>
      <xdr:col>13</xdr:col>
      <xdr:colOff>705971</xdr:colOff>
      <xdr:row>161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75</xdr:row>
      <xdr:rowOff>0</xdr:rowOff>
    </xdr:from>
    <xdr:to>
      <xdr:col>5</xdr:col>
      <xdr:colOff>471769</xdr:colOff>
      <xdr:row>93</xdr:row>
      <xdr:rowOff>14567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96</xdr:row>
      <xdr:rowOff>0</xdr:rowOff>
    </xdr:from>
    <xdr:to>
      <xdr:col>5</xdr:col>
      <xdr:colOff>395567</xdr:colOff>
      <xdr:row>108</xdr:row>
      <xdr:rowOff>165847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IC_modelportfolio\Cluster%20Portfolio%20Construction\Modelportefeuille\Optimalisatie_2013_MP_BaseCase_100_unconstrained_IRAN_december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Control panel"/>
      <sheetName val="Scenarios"/>
      <sheetName val="Absolute visies"/>
      <sheetName val="Restricties"/>
      <sheetName val="Optimalisatie"/>
      <sheetName val="Samenvatting mixen"/>
      <sheetName val="Samenvatting mixen - return"/>
      <sheetName val="output IC"/>
      <sheetName val="Sheet1"/>
    </sheetNames>
    <sheetDataSet>
      <sheetData sheetId="0">
        <row r="3">
          <cell r="F3">
            <v>0.99933044801477622</v>
          </cell>
        </row>
        <row r="4">
          <cell r="F4">
            <v>5.9498856944343162E-5</v>
          </cell>
        </row>
        <row r="5">
          <cell r="F5">
            <v>8.6775571303158883E-5</v>
          </cell>
        </row>
        <row r="6">
          <cell r="F6">
            <v>3.3196657987390124E-5</v>
          </cell>
        </row>
        <row r="7">
          <cell r="F7">
            <v>4.8644439396432552E-5</v>
          </cell>
        </row>
        <row r="8">
          <cell r="F8">
            <v>2.3467442398853234E-4</v>
          </cell>
        </row>
        <row r="9">
          <cell r="F9">
            <v>1.5994064696340217E-4</v>
          </cell>
        </row>
        <row r="10">
          <cell r="F10">
            <v>4.6821388640572115E-5</v>
          </cell>
        </row>
      </sheetData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zoomScale="85" zoomScaleNormal="85" workbookViewId="0">
      <selection activeCell="F42" sqref="F42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59" t="s">
        <v>93</v>
      </c>
      <c r="D1" s="359"/>
      <c r="E1" s="360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0.55549268496933957</v>
      </c>
      <c r="C3" s="299">
        <v>0</v>
      </c>
      <c r="D3" s="218">
        <v>1</v>
      </c>
      <c r="E3" s="145">
        <v>0.99</v>
      </c>
      <c r="F3" s="144">
        <f>'Samenvatting mixen'!B81</f>
        <v>0.60925572389385541</v>
      </c>
      <c r="G3" s="144">
        <f>+F3-B3</f>
        <v>5.3763038924515838E-2</v>
      </c>
      <c r="H3" s="301"/>
    </row>
    <row r="4" spans="1:24">
      <c r="A4" s="143" t="str">
        <f>Scenarios!A5</f>
        <v>High Yield</v>
      </c>
      <c r="B4" s="218">
        <v>9.7387120358343723E-2</v>
      </c>
      <c r="C4" s="299">
        <v>0</v>
      </c>
      <c r="D4" s="346">
        <v>1</v>
      </c>
      <c r="E4" s="145">
        <v>0.99</v>
      </c>
      <c r="F4" s="144">
        <f>'Samenvatting mixen'!B82</f>
        <v>1.9831020364249767E-2</v>
      </c>
      <c r="G4" s="144">
        <f t="shared" ref="G4:G10" si="0">+F4-B4</f>
        <v>-7.7556099994093963E-2</v>
      </c>
      <c r="H4" s="302"/>
      <c r="W4" s="133" t="str">
        <f>A4</f>
        <v>High Yield</v>
      </c>
      <c r="X4" s="134">
        <f>B4/SUM($B$4:$B$10)</f>
        <v>0.21909002858957732</v>
      </c>
    </row>
    <row r="5" spans="1:24">
      <c r="A5" s="143" t="str">
        <f>Scenarios!A6</f>
        <v>Emerging market debt</v>
      </c>
      <c r="B5" s="218">
        <v>9.5164223805884504E-2</v>
      </c>
      <c r="C5" s="299">
        <v>0</v>
      </c>
      <c r="D5" s="218">
        <v>1</v>
      </c>
      <c r="E5" s="145">
        <v>0.99</v>
      </c>
      <c r="F5" s="144">
        <f>'Samenvatting mixen'!B83</f>
        <v>0.12941688287519609</v>
      </c>
      <c r="G5" s="144">
        <f t="shared" si="0"/>
        <v>3.4252659069311589E-2</v>
      </c>
      <c r="W5" s="133" t="str">
        <f t="shared" ref="W5:W10" si="1">A5</f>
        <v>Emerging market debt</v>
      </c>
      <c r="X5" s="134">
        <f t="shared" ref="X5:X10" si="2">B5/SUM($B$4:$B$10)</f>
        <v>0.21408921875519724</v>
      </c>
    </row>
    <row r="6" spans="1:24">
      <c r="A6" s="143" t="str">
        <f>Scenarios!A7</f>
        <v>Aandelen ontwikkeld</v>
      </c>
      <c r="B6" s="346">
        <v>0.10363483668477239</v>
      </c>
      <c r="C6" s="299">
        <v>0</v>
      </c>
      <c r="D6" s="346">
        <v>1</v>
      </c>
      <c r="E6" s="145">
        <v>0.99</v>
      </c>
      <c r="F6" s="144">
        <f>'Samenvatting mixen'!B84</f>
        <v>1.2882395510973742E-3</v>
      </c>
      <c r="G6" s="144">
        <f t="shared" si="0"/>
        <v>-0.10234659713367501</v>
      </c>
      <c r="H6" s="301"/>
      <c r="W6" s="133" t="str">
        <f t="shared" si="1"/>
        <v>Aandelen ontwikkeld</v>
      </c>
      <c r="X6" s="134">
        <f t="shared" si="2"/>
        <v>0.23314540206750922</v>
      </c>
    </row>
    <row r="7" spans="1:24">
      <c r="A7" s="143" t="str">
        <f>Scenarios!A8</f>
        <v>Aandelen opkomend</v>
      </c>
      <c r="B7" s="346">
        <v>5.1404597453969164E-2</v>
      </c>
      <c r="C7" s="299">
        <v>0</v>
      </c>
      <c r="D7" s="346">
        <v>1</v>
      </c>
      <c r="E7" s="145">
        <v>0.99</v>
      </c>
      <c r="F7" s="144">
        <f>'Samenvatting mixen'!B85</f>
        <v>5.3557210315317468E-2</v>
      </c>
      <c r="G7" s="144">
        <f t="shared" si="0"/>
        <v>2.1526128613483034E-3</v>
      </c>
      <c r="H7" s="301"/>
      <c r="W7" s="133" t="str">
        <f t="shared" si="1"/>
        <v>Aandelen opkomend</v>
      </c>
      <c r="X7" s="134">
        <f t="shared" si="2"/>
        <v>0.11564398540983163</v>
      </c>
    </row>
    <row r="8" spans="1:24">
      <c r="A8" s="143" t="str">
        <f>Scenarios!A9</f>
        <v>Commodities</v>
      </c>
      <c r="B8" s="346">
        <v>1.9729061421683056E-2</v>
      </c>
      <c r="C8" s="299">
        <v>0</v>
      </c>
      <c r="D8" s="346">
        <v>1</v>
      </c>
      <c r="E8" s="145">
        <v>0.99</v>
      </c>
      <c r="F8" s="144">
        <f>'Samenvatting mixen'!B86</f>
        <v>0.15512743980504518</v>
      </c>
      <c r="G8" s="144">
        <f t="shared" si="0"/>
        <v>0.13539837838336211</v>
      </c>
      <c r="H8" s="301"/>
      <c r="W8" s="133" t="str">
        <f t="shared" si="1"/>
        <v>Commodities</v>
      </c>
      <c r="X8" s="134">
        <f t="shared" si="2"/>
        <v>4.4384109675050465E-2</v>
      </c>
    </row>
    <row r="9" spans="1:24">
      <c r="A9" s="143" t="str">
        <f>Scenarios!A10</f>
        <v>Hedge funds</v>
      </c>
      <c r="B9" s="218">
        <v>3.1019975297703138E-2</v>
      </c>
      <c r="C9" s="299">
        <v>0</v>
      </c>
      <c r="D9" s="346">
        <v>1</v>
      </c>
      <c r="E9" s="145">
        <v>0.99</v>
      </c>
      <c r="F9" s="144">
        <f>'Samenvatting mixen'!B87</f>
        <v>2.7509212826238614E-2</v>
      </c>
      <c r="G9" s="144">
        <f t="shared" si="0"/>
        <v>-3.5107624714645243E-3</v>
      </c>
      <c r="W9" s="133" t="str">
        <f t="shared" si="1"/>
        <v>Hedge funds</v>
      </c>
      <c r="X9" s="134">
        <f t="shared" si="2"/>
        <v>6.978507270586419E-2</v>
      </c>
    </row>
    <row r="10" spans="1:24" ht="15.75" thickBot="1">
      <c r="A10" s="139" t="str">
        <f>Scenarios!A11</f>
        <v>Onroerend goed</v>
      </c>
      <c r="B10" s="219">
        <v>4.6167500008304781E-2</v>
      </c>
      <c r="C10" s="300">
        <v>0</v>
      </c>
      <c r="D10" s="219">
        <v>1</v>
      </c>
      <c r="E10" s="147">
        <v>0.99</v>
      </c>
      <c r="F10" s="146">
        <f>'Samenvatting mixen'!B88</f>
        <v>4.0142703690014226E-3</v>
      </c>
      <c r="G10" s="146">
        <f t="shared" si="0"/>
        <v>-4.2153229639303361E-2</v>
      </c>
      <c r="W10" s="133" t="str">
        <f t="shared" si="1"/>
        <v>Onroerend goed</v>
      </c>
      <c r="X10" s="134">
        <f t="shared" si="2"/>
        <v>0.10386218279696992</v>
      </c>
    </row>
    <row r="11" spans="1:24" ht="15.75" thickBot="1">
      <c r="A11" s="148" t="s">
        <v>89</v>
      </c>
      <c r="B11" s="149">
        <f>Scenarios!C12</f>
        <v>9.9916807995241289E-2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35" t="s">
        <v>141</v>
      </c>
      <c r="B15" s="330">
        <f t="array" ref="B15">+MMULT(TRANSPOSE(F3:F10),MMULT(k,F3:F10))^(0.5)</f>
        <v>9.8953081451490066E-2</v>
      </c>
      <c r="C15" s="333"/>
      <c r="D15" s="333"/>
      <c r="E15" s="333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163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144">
        <f>B11</f>
        <v>9.9916807995241289E-2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61" t="s">
        <v>98</v>
      </c>
      <c r="C200" s="359"/>
      <c r="D200" s="359"/>
      <c r="E200" s="360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disablePrompts="1"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L4" sqref="L4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297" t="s">
        <v>79</v>
      </c>
      <c r="C2" s="13" t="s">
        <v>79</v>
      </c>
      <c r="D2" s="298" t="s">
        <v>116</v>
      </c>
      <c r="E2" s="363" t="s">
        <v>117</v>
      </c>
      <c r="F2" s="363"/>
      <c r="G2" s="363"/>
      <c r="H2" s="363"/>
      <c r="I2" s="363"/>
      <c r="J2" s="363"/>
      <c r="K2" s="363"/>
      <c r="L2" s="364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0.55549268496933957</v>
      </c>
      <c r="C4" s="178">
        <v>0</v>
      </c>
      <c r="D4" s="223">
        <v>4.3571419993869868E-2</v>
      </c>
      <c r="E4" s="220">
        <v>0.99999999999999989</v>
      </c>
      <c r="F4" s="221">
        <v>0.53809608757973648</v>
      </c>
      <c r="G4" s="221">
        <v>0.51691057431478837</v>
      </c>
      <c r="H4" s="221">
        <v>0.26512268753745427</v>
      </c>
      <c r="I4" s="221">
        <v>0.30633091260285272</v>
      </c>
      <c r="J4" s="221">
        <v>0.25776542912961581</v>
      </c>
      <c r="K4" s="221">
        <v>0.49880026622502738</v>
      </c>
      <c r="L4" s="222">
        <v>0.40988870730079396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9.7387120358343723E-2</v>
      </c>
      <c r="C5" s="178">
        <v>3.0000000000000002E-2</v>
      </c>
      <c r="D5" s="223">
        <v>0.15810707611932825</v>
      </c>
      <c r="E5" s="223">
        <v>0.53809608757973648</v>
      </c>
      <c r="F5" s="224">
        <v>1.0000000000000002</v>
      </c>
      <c r="G5" s="224">
        <v>0.94177115286639357</v>
      </c>
      <c r="H5" s="224">
        <v>0.73614790661359208</v>
      </c>
      <c r="I5" s="224">
        <v>0.74216818464687206</v>
      </c>
      <c r="J5" s="224">
        <v>0.6048417122454024</v>
      </c>
      <c r="K5" s="224">
        <v>0.86164575178315306</v>
      </c>
      <c r="L5" s="225">
        <v>0.86125970507824035</v>
      </c>
      <c r="S5" s="84"/>
      <c r="T5" s="6"/>
      <c r="U5" s="85"/>
    </row>
    <row r="6" spans="1:21">
      <c r="A6" s="102" t="s">
        <v>6</v>
      </c>
      <c r="B6" s="106">
        <f>'Control panel'!B5</f>
        <v>9.5164223805884504E-2</v>
      </c>
      <c r="C6" s="178">
        <v>3.1452343984147556E-2</v>
      </c>
      <c r="D6" s="223">
        <v>0.16193319430872868</v>
      </c>
      <c r="E6" s="223">
        <v>0.51691057431478837</v>
      </c>
      <c r="F6" s="224">
        <v>0.94177115286639357</v>
      </c>
      <c r="G6" s="224">
        <v>1</v>
      </c>
      <c r="H6" s="224">
        <v>0.7682232653061406</v>
      </c>
      <c r="I6" s="224">
        <v>0.79170142390806597</v>
      </c>
      <c r="J6" s="224">
        <v>0.62860572473116894</v>
      </c>
      <c r="K6" s="224">
        <v>0.86583564760808152</v>
      </c>
      <c r="L6" s="225">
        <v>0.86330366967843342</v>
      </c>
      <c r="S6" s="84"/>
      <c r="T6" s="6"/>
      <c r="U6" s="85"/>
    </row>
    <row r="7" spans="1:21">
      <c r="A7" s="102" t="s">
        <v>7</v>
      </c>
      <c r="B7" s="106">
        <f>'Control panel'!B6</f>
        <v>0.10363483668477239</v>
      </c>
      <c r="C7" s="178">
        <v>5.6804592721954011E-2</v>
      </c>
      <c r="D7" s="223">
        <v>0.28684488662827246</v>
      </c>
      <c r="E7" s="223">
        <v>0.26512268753745388</v>
      </c>
      <c r="F7" s="224">
        <v>0.7361479066135922</v>
      </c>
      <c r="G7" s="224">
        <v>0.7682232653061406</v>
      </c>
      <c r="H7" s="224">
        <v>1.0000000000000002</v>
      </c>
      <c r="I7" s="224">
        <v>0.810869651798099</v>
      </c>
      <c r="J7" s="224">
        <v>0.698944093128679</v>
      </c>
      <c r="K7" s="224">
        <v>0.74165364419402413</v>
      </c>
      <c r="L7" s="225">
        <v>0.88368691913192909</v>
      </c>
      <c r="S7" s="84"/>
      <c r="T7" s="6"/>
      <c r="U7" s="85"/>
    </row>
    <row r="8" spans="1:21">
      <c r="A8" s="102" t="s">
        <v>8</v>
      </c>
      <c r="B8" s="106">
        <f>'Control panel'!B7</f>
        <v>5.1404597453969164E-2</v>
      </c>
      <c r="C8" s="178">
        <v>5.6320387554596889E-2</v>
      </c>
      <c r="D8" s="223">
        <v>0.29497711980114533</v>
      </c>
      <c r="E8" s="223">
        <v>0.30633091260285283</v>
      </c>
      <c r="F8" s="224">
        <v>0.74216818464687206</v>
      </c>
      <c r="G8" s="224">
        <v>0.79170142390806608</v>
      </c>
      <c r="H8" s="224">
        <v>0.81086965179809911</v>
      </c>
      <c r="I8" s="224">
        <v>0.99999999999999978</v>
      </c>
      <c r="J8" s="224">
        <v>0.64038553303047341</v>
      </c>
      <c r="K8" s="224">
        <v>0.64285674252709391</v>
      </c>
      <c r="L8" s="225">
        <v>0.78565246061343619</v>
      </c>
      <c r="S8" s="84"/>
      <c r="T8" s="6"/>
      <c r="U8" s="85"/>
    </row>
    <row r="9" spans="1:21">
      <c r="A9" s="102" t="s">
        <v>9</v>
      </c>
      <c r="B9" s="106">
        <f>'Control panel'!B8</f>
        <v>1.9729061421683056E-2</v>
      </c>
      <c r="C9" s="178">
        <v>5.236888388126059E-2</v>
      </c>
      <c r="D9" s="223">
        <v>0.32949402218690865</v>
      </c>
      <c r="E9" s="223">
        <v>0.25776542912961575</v>
      </c>
      <c r="F9" s="224">
        <v>0.60484171224540262</v>
      </c>
      <c r="G9" s="224">
        <v>0.62860572473116916</v>
      </c>
      <c r="H9" s="224">
        <v>0.698944093128679</v>
      </c>
      <c r="I9" s="224">
        <v>0.64038553303047341</v>
      </c>
      <c r="J9" s="224">
        <v>1.0000000000000002</v>
      </c>
      <c r="K9" s="224">
        <v>0.56967702853737867</v>
      </c>
      <c r="L9" s="225">
        <v>0.67129908624723933</v>
      </c>
      <c r="S9" s="84"/>
      <c r="T9" s="6"/>
      <c r="U9" s="85"/>
    </row>
    <row r="10" spans="1:21">
      <c r="A10" s="102" t="s">
        <v>10</v>
      </c>
      <c r="B10" s="106">
        <f>'Control panel'!B9</f>
        <v>3.1019975297703138E-2</v>
      </c>
      <c r="C10" s="178">
        <v>2.8306574622560098E-2</v>
      </c>
      <c r="D10" s="223">
        <v>0.1608611248297202</v>
      </c>
      <c r="E10" s="223">
        <v>0.49880026622502749</v>
      </c>
      <c r="F10" s="224">
        <v>0.86164575178315295</v>
      </c>
      <c r="G10" s="224">
        <v>0.86583564760808163</v>
      </c>
      <c r="H10" s="224">
        <v>0.74165364419402413</v>
      </c>
      <c r="I10" s="224">
        <v>0.64285674252709391</v>
      </c>
      <c r="J10" s="224">
        <v>0.56967702853737878</v>
      </c>
      <c r="K10" s="224">
        <v>0.99999999999999978</v>
      </c>
      <c r="L10" s="225">
        <v>0.79252565178528167</v>
      </c>
      <c r="S10" s="84"/>
      <c r="T10" s="6"/>
      <c r="U10" s="85"/>
    </row>
    <row r="11" spans="1:21" ht="13.5" thickBot="1">
      <c r="A11" s="103" t="s">
        <v>11</v>
      </c>
      <c r="B11" s="107">
        <f>'Control panel'!B10</f>
        <v>4.6167500008304781E-2</v>
      </c>
      <c r="C11" s="179">
        <v>3.9543569652327068E-2</v>
      </c>
      <c r="D11" s="226">
        <v>0.19933384935580506</v>
      </c>
      <c r="E11" s="226">
        <v>0.40988870730079396</v>
      </c>
      <c r="F11" s="227">
        <v>0.86125970507824035</v>
      </c>
      <c r="G11" s="227">
        <v>0.86330366967843342</v>
      </c>
      <c r="H11" s="227">
        <v>0.88368691913192909</v>
      </c>
      <c r="I11" s="227">
        <v>0.78565246061343608</v>
      </c>
      <c r="J11" s="227">
        <v>0.67129908624723922</v>
      </c>
      <c r="K11" s="227">
        <v>0.79252565178528178</v>
      </c>
      <c r="L11" s="228">
        <v>1</v>
      </c>
    </row>
    <row r="12" spans="1:21">
      <c r="A12" s="84"/>
      <c r="B12" s="110" t="s">
        <v>89</v>
      </c>
      <c r="C12" s="85">
        <v>9.9916807995241289E-2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62"/>
      <c r="H17" s="362"/>
      <c r="I17" s="362"/>
      <c r="J17" s="362"/>
    </row>
    <row r="18" spans="1:24">
      <c r="D18" s="98"/>
      <c r="E18" s="98"/>
      <c r="S18" s="84"/>
      <c r="T18" s="362"/>
      <c r="U18" s="362"/>
      <c r="V18" s="362"/>
      <c r="W18" s="362"/>
      <c r="X18" s="362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347">
        <v>-3.2445168309994665E-3</v>
      </c>
      <c r="D24" s="347">
        <v>-1.0761362748873404E-3</v>
      </c>
      <c r="E24" s="347">
        <v>-3.4179872754884488E-3</v>
      </c>
      <c r="F24" s="347">
        <v>-2.5720358328627513E-2</v>
      </c>
      <c r="G24" s="347">
        <v>-0.26287574291051119</v>
      </c>
      <c r="H24" s="348">
        <v>-3.2441343963196256E-3</v>
      </c>
      <c r="I24" s="351">
        <f>+SUMPRODUCT(B24:H24,$B$33:$H$33)</f>
        <v>-3.2445168309994665E-3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3.0000000000000002E-2</v>
      </c>
      <c r="C25" s="347">
        <v>1.4996171000904845E-2</v>
      </c>
      <c r="D25" s="347">
        <v>-0.10270478546112452</v>
      </c>
      <c r="E25" s="347">
        <v>3.7295220378336866E-2</v>
      </c>
      <c r="F25" s="347">
        <v>-0.43424993966436087</v>
      </c>
      <c r="G25" s="347">
        <v>-0.41153220498436088</v>
      </c>
      <c r="H25" s="348">
        <v>0.29819819149830579</v>
      </c>
      <c r="I25" s="178">
        <f t="shared" ref="I25:I31" si="1">+SUMPRODUCT(B25:H25,$B$33:$H$33)</f>
        <v>1.4996171000904845E-2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3.1452343984147556E-2</v>
      </c>
      <c r="C26" s="347">
        <v>3.3632152529915554E-2</v>
      </c>
      <c r="D26" s="347">
        <v>-5.1463733534465664E-2</v>
      </c>
      <c r="E26" s="347">
        <v>3.7955967038468326E-2</v>
      </c>
      <c r="F26" s="347">
        <v>-0.52495132978596959</v>
      </c>
      <c r="G26" s="347">
        <v>-0.34991079217679127</v>
      </c>
      <c r="H26" s="348">
        <v>0.24979690735679014</v>
      </c>
      <c r="I26" s="178">
        <f t="shared" si="1"/>
        <v>3.3632152529915554E-2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5.6804592721954011E-2</v>
      </c>
      <c r="C27" s="347">
        <v>-1.8275706628265609E-2</v>
      </c>
      <c r="D27" s="347">
        <v>-0.20763301199738962</v>
      </c>
      <c r="E27" s="347">
        <v>4.4157772609314798E-2</v>
      </c>
      <c r="F27" s="347">
        <v>-0.60718802956862361</v>
      </c>
      <c r="G27" s="347">
        <v>-0.47851488198333225</v>
      </c>
      <c r="H27" s="348">
        <v>0.39131495295955132</v>
      </c>
      <c r="I27" s="178">
        <f t="shared" si="1"/>
        <v>-1.8275706628265609E-2</v>
      </c>
      <c r="J27" s="76"/>
    </row>
    <row r="28" spans="1:24">
      <c r="A28" s="18" t="s">
        <v>8</v>
      </c>
      <c r="B28" s="21">
        <f t="shared" si="0"/>
        <v>5.6320387554596889E-2</v>
      </c>
      <c r="C28" s="347">
        <v>6.1274623073284545E-2</v>
      </c>
      <c r="D28" s="347">
        <v>-6.0480183929069335E-2</v>
      </c>
      <c r="E28" s="347">
        <v>7.5058724753415462E-2</v>
      </c>
      <c r="F28" s="347">
        <v>-0.41926220845987938</v>
      </c>
      <c r="G28" s="347">
        <v>-0.25917386489837912</v>
      </c>
      <c r="H28" s="348">
        <v>0.38663466689136228</v>
      </c>
      <c r="I28" s="178">
        <f t="shared" si="1"/>
        <v>6.1274623073284545E-2</v>
      </c>
      <c r="J28" s="94"/>
      <c r="U28" s="95"/>
    </row>
    <row r="29" spans="1:24">
      <c r="A29" s="18" t="s">
        <v>9</v>
      </c>
      <c r="B29" s="21">
        <f t="shared" si="0"/>
        <v>5.236888388126059E-2</v>
      </c>
      <c r="C29" s="347">
        <v>7.9522702632630907E-2</v>
      </c>
      <c r="D29" s="347">
        <v>1.2962263249297473E-2</v>
      </c>
      <c r="E29" s="347">
        <v>8.6184790509297532E-2</v>
      </c>
      <c r="F29" s="347">
        <v>-0.52034739633736904</v>
      </c>
      <c r="G29" s="347">
        <v>-0.53983753129736911</v>
      </c>
      <c r="H29" s="348">
        <v>0.62225820003596433</v>
      </c>
      <c r="I29" s="178">
        <f t="shared" si="1"/>
        <v>7.9522702632630907E-2</v>
      </c>
      <c r="J29" s="96"/>
      <c r="U29" s="95"/>
    </row>
    <row r="30" spans="1:24">
      <c r="A30" s="18" t="s">
        <v>10</v>
      </c>
      <c r="B30" s="21">
        <f t="shared" si="0"/>
        <v>2.8306574622560098E-2</v>
      </c>
      <c r="C30" s="347">
        <v>1.7325408361865E-2</v>
      </c>
      <c r="D30" s="347">
        <v>-4.6787554334441012E-2</v>
      </c>
      <c r="E30" s="347">
        <v>1.6536412714843449E-2</v>
      </c>
      <c r="F30" s="347">
        <v>-0.25573516705477994</v>
      </c>
      <c r="G30" s="347">
        <v>-6.3153361120378204E-3</v>
      </c>
      <c r="H30" s="348">
        <v>0.28237563833203505</v>
      </c>
      <c r="I30" s="178">
        <f t="shared" si="1"/>
        <v>1.7325408361865E-2</v>
      </c>
      <c r="J30" s="96"/>
      <c r="U30" s="95"/>
    </row>
    <row r="31" spans="1:24" ht="13.5" thickBot="1">
      <c r="A31" s="22" t="s">
        <v>11</v>
      </c>
      <c r="B31" s="25">
        <f t="shared" si="0"/>
        <v>3.9543569652327068E-2</v>
      </c>
      <c r="C31" s="349">
        <v>-3.3454365202922019E-3</v>
      </c>
      <c r="D31" s="349">
        <v>-8.4519819517757569E-2</v>
      </c>
      <c r="E31" s="349">
        <v>3.2797465910270177E-2</v>
      </c>
      <c r="F31" s="349">
        <v>-0.33580172019430399</v>
      </c>
      <c r="G31" s="349">
        <v>-0.18031161563030054</v>
      </c>
      <c r="H31" s="350">
        <v>0.35335277777605689</v>
      </c>
      <c r="I31" s="352">
        <f t="shared" si="1"/>
        <v>-3.3454365202922019E-3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3" t="s">
        <v>123</v>
      </c>
      <c r="B33" s="290">
        <f>Optimalisatie!B13</f>
        <v>0</v>
      </c>
      <c r="C33" s="290">
        <f>Optimalisatie!C13</f>
        <v>1</v>
      </c>
      <c r="D33" s="290">
        <f>Optimalisatie!D13</f>
        <v>0</v>
      </c>
      <c r="E33" s="290">
        <f>Optimalisatie!E13</f>
        <v>0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296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3" t="s">
        <v>129</v>
      </c>
      <c r="B35" s="304">
        <f>Optimalisatie!B15</f>
        <v>0</v>
      </c>
      <c r="C35" s="303">
        <f>SUMPRODUCT(C24:C31,'Control panel'!$F$3:$F$10)</f>
        <v>1.8730703778589285E-2</v>
      </c>
      <c r="D35" s="303">
        <f>SUMPRODUCT(D24:D31,'Control panel'!$F$3:$F$10)</f>
        <v>-1.2474861326013678E-2</v>
      </c>
      <c r="E35" s="303">
        <f>SUMPRODUCT(E24:E31,'Control panel'!$F$3:$F$10)</f>
        <v>2.1602326094616979E-2</v>
      </c>
      <c r="F35" s="303">
        <f>SUMPRODUCT(F24:F31,'Control panel'!$F$3:$F$10)</f>
        <v>-0.2045594090373947</v>
      </c>
      <c r="G35" s="303">
        <f>SUMPRODUCT(G24:G31,'Control panel'!$F$3:$F$10)</f>
        <v>-0.31274225321575821</v>
      </c>
      <c r="H35" s="303">
        <f>SUMPRODUCT(H24:H31,'Control panel'!$F$3:$F$10)</f>
        <v>0.16319189221608482</v>
      </c>
      <c r="I35" s="305">
        <f>SUMPRODUCT(I24:I31,'Control panel'!$F$3:$F$10)</f>
        <v>1.8730703778589285E-2</v>
      </c>
    </row>
    <row r="38" spans="1:21" ht="13.5" thickBot="1"/>
    <row r="39" spans="1:21" ht="13.5" thickBot="1">
      <c r="A39" s="294" t="s">
        <v>119</v>
      </c>
      <c r="B39" s="295">
        <v>8</v>
      </c>
    </row>
    <row r="40" spans="1:21" ht="13.5" thickBot="1">
      <c r="A40" s="294" t="s">
        <v>142</v>
      </c>
      <c r="B40" s="295">
        <v>8</v>
      </c>
    </row>
    <row r="45" spans="1:21">
      <c r="A45" s="292"/>
      <c r="B45" s="292"/>
      <c r="C45" s="292"/>
      <c r="D45" s="292"/>
      <c r="E45" s="292"/>
      <c r="F45" s="292"/>
      <c r="G45" s="292"/>
      <c r="H45" s="292"/>
      <c r="I45" s="292"/>
    </row>
    <row r="46" spans="1:21">
      <c r="A46" s="292"/>
      <c r="B46" s="292"/>
      <c r="C46" s="292"/>
      <c r="D46" s="292"/>
      <c r="E46" s="292"/>
      <c r="F46" s="292"/>
      <c r="G46" s="292"/>
      <c r="H46" s="292"/>
      <c r="I46" s="292"/>
    </row>
    <row r="47" spans="1:21">
      <c r="A47" s="292"/>
      <c r="B47" s="292"/>
      <c r="C47" s="292"/>
      <c r="D47" s="292"/>
      <c r="E47" s="292"/>
      <c r="F47" s="292"/>
      <c r="G47" s="292"/>
      <c r="H47" s="292"/>
      <c r="I47" s="292"/>
    </row>
    <row r="48" spans="1:21">
      <c r="A48" s="292"/>
      <c r="B48" s="292"/>
      <c r="C48" s="292"/>
      <c r="D48" s="292"/>
      <c r="E48" s="292"/>
      <c r="F48" s="292"/>
      <c r="G48" s="292"/>
      <c r="H48" s="292"/>
      <c r="I48" s="292"/>
    </row>
    <row r="49" spans="1:9">
      <c r="A49" s="292"/>
      <c r="B49" s="292"/>
      <c r="C49" s="292"/>
      <c r="D49" s="292"/>
      <c r="E49" s="292"/>
      <c r="F49" s="292"/>
      <c r="G49" s="292"/>
      <c r="H49" s="292"/>
      <c r="I49" s="292"/>
    </row>
    <row r="50" spans="1:9">
      <c r="A50" s="292"/>
      <c r="B50" s="292"/>
      <c r="C50" s="292"/>
      <c r="D50" s="292"/>
      <c r="E50" s="292"/>
      <c r="F50" s="292"/>
      <c r="G50" s="292"/>
      <c r="H50" s="292"/>
      <c r="I50" s="292"/>
    </row>
    <row r="51" spans="1:9">
      <c r="A51" s="292"/>
      <c r="B51" s="292"/>
      <c r="C51" s="292"/>
      <c r="D51" s="292"/>
      <c r="E51" s="292"/>
      <c r="F51" s="292"/>
      <c r="G51" s="292"/>
      <c r="H51" s="292"/>
      <c r="I51" s="292"/>
    </row>
    <row r="52" spans="1:9">
      <c r="A52" s="292"/>
      <c r="B52" s="292"/>
      <c r="C52" s="292"/>
      <c r="D52" s="292"/>
      <c r="E52" s="292"/>
      <c r="F52" s="292"/>
      <c r="G52" s="292"/>
      <c r="H52" s="292"/>
      <c r="I52" s="292"/>
    </row>
    <row r="53" spans="1:9">
      <c r="A53" s="292"/>
      <c r="B53" s="292"/>
      <c r="C53" s="292"/>
      <c r="D53" s="292"/>
      <c r="E53" s="292"/>
      <c r="F53" s="292"/>
      <c r="G53" s="292"/>
      <c r="H53" s="292"/>
      <c r="I53" s="292"/>
    </row>
    <row r="54" spans="1:9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9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9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9">
      <c r="I57" s="292"/>
    </row>
    <row r="58" spans="1:9">
      <c r="I58" s="292"/>
    </row>
    <row r="59" spans="1:9">
      <c r="I59" s="292"/>
    </row>
    <row r="60" spans="1:9">
      <c r="I60" s="292"/>
    </row>
    <row r="61" spans="1:9">
      <c r="I61" s="292"/>
    </row>
    <row r="62" spans="1:9">
      <c r="I62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workbookViewId="0">
      <selection activeCell="D4" sqref="D4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66" t="s">
        <v>3</v>
      </c>
      <c r="E3" s="366"/>
      <c r="F3" s="366"/>
      <c r="G3" s="366"/>
      <c r="H3" s="366"/>
      <c r="I3" s="366"/>
      <c r="J3" s="366"/>
      <c r="K3" s="367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4.3571419993869868E-2</v>
      </c>
      <c r="D4" s="111">
        <f>Scenarios!E4</f>
        <v>0.99999999999999989</v>
      </c>
      <c r="E4" s="112">
        <f>Scenarios!F4</f>
        <v>0.53809608757973648</v>
      </c>
      <c r="F4" s="112">
        <f>Scenarios!G4</f>
        <v>0.51691057431478837</v>
      </c>
      <c r="G4" s="112">
        <f>Scenarios!H4</f>
        <v>0.26512268753745427</v>
      </c>
      <c r="H4" s="112">
        <f>Scenarios!I4</f>
        <v>0.30633091260285272</v>
      </c>
      <c r="I4" s="112">
        <f>Scenarios!J4</f>
        <v>0.25776542912961581</v>
      </c>
      <c r="J4" s="112">
        <f>Scenarios!K4</f>
        <v>0.49880026622502738</v>
      </c>
      <c r="K4" s="113">
        <f>Scenarios!L4</f>
        <v>0.40988870730079396</v>
      </c>
      <c r="L4" s="239" t="s">
        <v>120</v>
      </c>
      <c r="N4" s="36">
        <f t="array" ref="N4:U11">+D4:K11*TRANSPOSE(C4:C11)*C4:C11</f>
        <v>1.8984686402822026E-3</v>
      </c>
      <c r="O4" s="36">
        <v>3.7069169443826253E-3</v>
      </c>
      <c r="P4" s="36">
        <v>3.6471448596698615E-3</v>
      </c>
      <c r="Q4" s="36">
        <v>3.3135667206881342E-3</v>
      </c>
      <c r="R4" s="36">
        <v>3.9371401025297022E-3</v>
      </c>
      <c r="S4" s="36">
        <v>3.7006151639920222E-3</v>
      </c>
      <c r="T4" s="36">
        <v>3.496064944121538E-3</v>
      </c>
      <c r="U4" s="36">
        <v>3.5599895305005284E-3</v>
      </c>
    </row>
    <row r="5" spans="1:21">
      <c r="A5" s="41" t="s">
        <v>5</v>
      </c>
      <c r="B5" s="42">
        <f>Scenarios!B25</f>
        <v>3.0000000000000002E-2</v>
      </c>
      <c r="C5" s="42">
        <f>Scenarios!D5</f>
        <v>0.15810707611932825</v>
      </c>
      <c r="D5" s="111">
        <f>Scenarios!E5</f>
        <v>0.53809608757973648</v>
      </c>
      <c r="E5" s="112">
        <f>Scenarios!F5</f>
        <v>1.0000000000000002</v>
      </c>
      <c r="F5" s="112">
        <f>Scenarios!G5</f>
        <v>0.94177115286639357</v>
      </c>
      <c r="G5" s="112">
        <f>Scenarios!H5</f>
        <v>0.73614790661359208</v>
      </c>
      <c r="H5" s="112">
        <f>Scenarios!I5</f>
        <v>0.74216818464687206</v>
      </c>
      <c r="I5" s="112">
        <f>Scenarios!J5</f>
        <v>0.6048417122454024</v>
      </c>
      <c r="J5" s="112">
        <f>Scenarios!K5</f>
        <v>0.86164575178315306</v>
      </c>
      <c r="K5" s="113">
        <f>Scenarios!L5</f>
        <v>0.86125970507824035</v>
      </c>
      <c r="N5" s="36">
        <v>3.7069169443826257E-3</v>
      </c>
      <c r="O5" s="36">
        <v>2.4997847519003063E-2</v>
      </c>
      <c r="P5" s="36">
        <v>2.4111963290141789E-2</v>
      </c>
      <c r="Q5" s="36">
        <v>3.3385931746144598E-2</v>
      </c>
      <c r="R5" s="36">
        <v>3.4613217481428198E-2</v>
      </c>
      <c r="S5" s="36">
        <v>3.15094324964642E-2</v>
      </c>
      <c r="T5" s="36">
        <v>2.1914479482341098E-2</v>
      </c>
      <c r="U5" s="36">
        <v>2.7143540181457169E-2</v>
      </c>
    </row>
    <row r="6" spans="1:21">
      <c r="A6" s="41" t="s">
        <v>6</v>
      </c>
      <c r="B6" s="42">
        <f>Scenarios!B26</f>
        <v>3.1452343984147556E-2</v>
      </c>
      <c r="C6" s="42">
        <f>Scenarios!D6</f>
        <v>0.16193319430872868</v>
      </c>
      <c r="D6" s="111">
        <f>Scenarios!E6</f>
        <v>0.51691057431478837</v>
      </c>
      <c r="E6" s="112">
        <f>Scenarios!F6</f>
        <v>0.94177115286639357</v>
      </c>
      <c r="F6" s="112">
        <f>Scenarios!G6</f>
        <v>1</v>
      </c>
      <c r="G6" s="112">
        <f>Scenarios!H6</f>
        <v>0.7682232653061406</v>
      </c>
      <c r="H6" s="112">
        <f>Scenarios!I6</f>
        <v>0.79170142390806597</v>
      </c>
      <c r="I6" s="112">
        <f>Scenarios!J6</f>
        <v>0.62860572473116894</v>
      </c>
      <c r="J6" s="112">
        <f>Scenarios!K6</f>
        <v>0.86583564760808152</v>
      </c>
      <c r="K6" s="113">
        <f>Scenarios!L6</f>
        <v>0.86330366967843342</v>
      </c>
      <c r="N6" s="36">
        <v>3.6471448596698615E-3</v>
      </c>
      <c r="O6" s="36">
        <v>2.4111963290141793E-2</v>
      </c>
      <c r="P6" s="36">
        <v>2.6222359419028479E-2</v>
      </c>
      <c r="Q6" s="36">
        <v>3.568374693830919E-2</v>
      </c>
      <c r="R6" s="36">
        <v>3.7816875146902962E-2</v>
      </c>
      <c r="S6" s="36">
        <v>3.3539899318107344E-2</v>
      </c>
      <c r="T6" s="36">
        <v>2.2553941333426766E-2</v>
      </c>
      <c r="U6" s="36">
        <v>2.7866377969297876E-2</v>
      </c>
    </row>
    <row r="7" spans="1:21">
      <c r="A7" s="41" t="s">
        <v>7</v>
      </c>
      <c r="B7" s="42">
        <f>Scenarios!B27</f>
        <v>5.6804592721954011E-2</v>
      </c>
      <c r="C7" s="42">
        <f>Scenarios!D7</f>
        <v>0.28684488662827246</v>
      </c>
      <c r="D7" s="111">
        <f>Scenarios!E7</f>
        <v>0.26512268753745388</v>
      </c>
      <c r="E7" s="112">
        <f>Scenarios!F7</f>
        <v>0.7361479066135922</v>
      </c>
      <c r="F7" s="112">
        <f>Scenarios!G7</f>
        <v>0.7682232653061406</v>
      </c>
      <c r="G7" s="112">
        <f>Scenarios!H7</f>
        <v>1.0000000000000002</v>
      </c>
      <c r="H7" s="112">
        <f>Scenarios!I7</f>
        <v>0.810869651798099</v>
      </c>
      <c r="I7" s="112">
        <f>Scenarios!J7</f>
        <v>0.698944093128679</v>
      </c>
      <c r="J7" s="112">
        <f>Scenarios!K7</f>
        <v>0.74165364419402413</v>
      </c>
      <c r="K7" s="113">
        <f>Scenarios!L7</f>
        <v>0.88368691913192909</v>
      </c>
      <c r="N7" s="36">
        <v>3.3135667206881294E-3</v>
      </c>
      <c r="O7" s="36">
        <v>3.3385931746144605E-2</v>
      </c>
      <c r="P7" s="36">
        <v>3.568374693830919E-2</v>
      </c>
      <c r="Q7" s="36">
        <v>8.2279988984786501E-2</v>
      </c>
      <c r="R7" s="36">
        <v>6.8609853142696492E-2</v>
      </c>
      <c r="S7" s="36">
        <v>6.6059775167898377E-2</v>
      </c>
      <c r="T7" s="36">
        <v>3.4221524191297668E-2</v>
      </c>
      <c r="U7" s="36">
        <v>5.0527358245832002E-2</v>
      </c>
    </row>
    <row r="8" spans="1:21">
      <c r="A8" s="41" t="s">
        <v>8</v>
      </c>
      <c r="B8" s="42">
        <f>Scenarios!B28</f>
        <v>5.6320387554596889E-2</v>
      </c>
      <c r="C8" s="42">
        <f>Scenarios!D8</f>
        <v>0.29497711980114533</v>
      </c>
      <c r="D8" s="111">
        <f>Scenarios!E8</f>
        <v>0.30633091260285283</v>
      </c>
      <c r="E8" s="112">
        <f>Scenarios!F8</f>
        <v>0.74216818464687206</v>
      </c>
      <c r="F8" s="112">
        <f>Scenarios!G8</f>
        <v>0.79170142390806608</v>
      </c>
      <c r="G8" s="112">
        <f>Scenarios!H8</f>
        <v>0.81086965179809911</v>
      </c>
      <c r="H8" s="112">
        <f>Scenarios!I8</f>
        <v>0.99999999999999978</v>
      </c>
      <c r="I8" s="112">
        <f>Scenarios!J8</f>
        <v>0.64038553303047341</v>
      </c>
      <c r="J8" s="112">
        <f>Scenarios!K8</f>
        <v>0.64285674252709391</v>
      </c>
      <c r="K8" s="113">
        <f>Scenarios!L8</f>
        <v>0.78565246061343619</v>
      </c>
      <c r="N8" s="36">
        <v>3.937140102529703E-3</v>
      </c>
      <c r="O8" s="36">
        <v>3.4613217481428198E-2</v>
      </c>
      <c r="P8" s="36">
        <v>3.7816875146902969E-2</v>
      </c>
      <c r="Q8" s="36">
        <v>6.8609853142696492E-2</v>
      </c>
      <c r="R8" s="36">
        <v>8.7011501206179231E-2</v>
      </c>
      <c r="S8" s="36">
        <v>6.2241117688122821E-2</v>
      </c>
      <c r="T8" s="36">
        <v>3.050377826221214E-2</v>
      </c>
      <c r="U8" s="36">
        <v>4.6195519920572352E-2</v>
      </c>
    </row>
    <row r="9" spans="1:21">
      <c r="A9" s="41" t="s">
        <v>9</v>
      </c>
      <c r="B9" s="42">
        <f>Scenarios!B29</f>
        <v>5.236888388126059E-2</v>
      </c>
      <c r="C9" s="42">
        <f>Scenarios!D9</f>
        <v>0.32949402218690865</v>
      </c>
      <c r="D9" s="111">
        <f>Scenarios!E9</f>
        <v>0.25776542912961575</v>
      </c>
      <c r="E9" s="112">
        <f>Scenarios!F9</f>
        <v>0.60484171224540262</v>
      </c>
      <c r="F9" s="112">
        <f>Scenarios!G9</f>
        <v>0.62860572473116916</v>
      </c>
      <c r="G9" s="112">
        <f>Scenarios!H9</f>
        <v>0.698944093128679</v>
      </c>
      <c r="H9" s="112">
        <f>Scenarios!I9</f>
        <v>0.64038553303047341</v>
      </c>
      <c r="I9" s="112">
        <f>Scenarios!J9</f>
        <v>1.0000000000000002</v>
      </c>
      <c r="J9" s="112">
        <f>Scenarios!K9</f>
        <v>0.56967702853737867</v>
      </c>
      <c r="K9" s="113">
        <f>Scenarios!L9</f>
        <v>0.67129908624723933</v>
      </c>
      <c r="N9" s="36">
        <v>3.7006151639920213E-3</v>
      </c>
      <c r="O9" s="36">
        <v>3.1509432496464214E-2</v>
      </c>
      <c r="P9" s="36">
        <v>3.3539899318107358E-2</v>
      </c>
      <c r="Q9" s="36">
        <v>6.6059775167898377E-2</v>
      </c>
      <c r="R9" s="36">
        <v>6.2241117688122821E-2</v>
      </c>
      <c r="S9" s="36">
        <v>0.10856631065690707</v>
      </c>
      <c r="T9" s="36">
        <v>3.0194465664115801E-2</v>
      </c>
      <c r="U9" s="36">
        <v>4.4090461984767626E-2</v>
      </c>
    </row>
    <row r="10" spans="1:21">
      <c r="A10" s="41" t="s">
        <v>10</v>
      </c>
      <c r="B10" s="42">
        <f>Scenarios!B30</f>
        <v>2.8306574622560098E-2</v>
      </c>
      <c r="C10" s="42">
        <f>Scenarios!D10</f>
        <v>0.1608611248297202</v>
      </c>
      <c r="D10" s="111">
        <f>Scenarios!E10</f>
        <v>0.49880026622502749</v>
      </c>
      <c r="E10" s="112">
        <f>Scenarios!F10</f>
        <v>0.86164575178315295</v>
      </c>
      <c r="F10" s="112">
        <f>Scenarios!G10</f>
        <v>0.86583564760808163</v>
      </c>
      <c r="G10" s="112">
        <f>Scenarios!H10</f>
        <v>0.74165364419402413</v>
      </c>
      <c r="H10" s="112">
        <f>Scenarios!I10</f>
        <v>0.64285674252709391</v>
      </c>
      <c r="I10" s="112">
        <f>Scenarios!J10</f>
        <v>0.56967702853737878</v>
      </c>
      <c r="J10" s="112">
        <f>Scenarios!K10</f>
        <v>0.99999999999999978</v>
      </c>
      <c r="K10" s="113">
        <f>Scenarios!L10</f>
        <v>0.79252565178528167</v>
      </c>
      <c r="N10" s="36">
        <v>3.4960649441215389E-3</v>
      </c>
      <c r="O10" s="36">
        <v>2.1914479482341098E-2</v>
      </c>
      <c r="P10" s="36">
        <v>2.255394133342677E-2</v>
      </c>
      <c r="Q10" s="36">
        <v>3.4221524191297668E-2</v>
      </c>
      <c r="R10" s="36">
        <v>3.050377826221214E-2</v>
      </c>
      <c r="S10" s="36">
        <v>3.0194465664115811E-2</v>
      </c>
      <c r="T10" s="36">
        <v>2.587630148148282E-2</v>
      </c>
      <c r="U10" s="36">
        <v>2.5412388301249617E-2</v>
      </c>
    </row>
    <row r="11" spans="1:21" ht="13.5" thickBot="1">
      <c r="A11" s="43" t="s">
        <v>11</v>
      </c>
      <c r="B11" s="44">
        <f>Scenarios!B31</f>
        <v>3.9543569652327068E-2</v>
      </c>
      <c r="C11" s="44">
        <f>Scenarios!D11</f>
        <v>0.19933384935580506</v>
      </c>
      <c r="D11" s="114">
        <f>Scenarios!E11</f>
        <v>0.40988870730079396</v>
      </c>
      <c r="E11" s="115">
        <f>Scenarios!F11</f>
        <v>0.86125970507824035</v>
      </c>
      <c r="F11" s="115">
        <f>Scenarios!G11</f>
        <v>0.86330366967843342</v>
      </c>
      <c r="G11" s="115">
        <f>Scenarios!H11</f>
        <v>0.88368691913192909</v>
      </c>
      <c r="H11" s="115">
        <f>Scenarios!I11</f>
        <v>0.78565246061343608</v>
      </c>
      <c r="I11" s="115">
        <f>Scenarios!J11</f>
        <v>0.67129908624723922</v>
      </c>
      <c r="J11" s="115">
        <f>Scenarios!K11</f>
        <v>0.79252565178528178</v>
      </c>
      <c r="K11" s="116">
        <f>Scenarios!L11</f>
        <v>1</v>
      </c>
      <c r="N11" s="36">
        <v>3.5599895305005284E-3</v>
      </c>
      <c r="O11" s="36">
        <v>2.7143540181457169E-2</v>
      </c>
      <c r="P11" s="36">
        <v>2.7866377969297876E-2</v>
      </c>
      <c r="Q11" s="36">
        <v>5.0527358245832002E-2</v>
      </c>
      <c r="R11" s="36">
        <v>4.6195519920572352E-2</v>
      </c>
      <c r="S11" s="36">
        <v>4.4090461984767626E-2</v>
      </c>
      <c r="T11" s="36">
        <v>2.541238830124962E-2</v>
      </c>
      <c r="U11" s="36">
        <v>3.9733983499002784E-2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65" t="s">
        <v>3</v>
      </c>
      <c r="E14" s="366"/>
      <c r="F14" s="366"/>
      <c r="G14" s="366"/>
      <c r="H14" s="366"/>
      <c r="I14" s="366"/>
      <c r="J14" s="366"/>
      <c r="K14" s="367"/>
    </row>
    <row r="15" spans="1:21">
      <c r="A15" s="41" t="s">
        <v>4</v>
      </c>
      <c r="B15" s="46">
        <f>Scenarios!C24</f>
        <v>-3.2445168309994665E-3</v>
      </c>
      <c r="C15" s="42">
        <f>C4</f>
        <v>4.3571419993869868E-2</v>
      </c>
      <c r="D15" s="111">
        <f t="shared" ref="D15:K15" si="0">D4</f>
        <v>0.99999999999999989</v>
      </c>
      <c r="E15" s="112">
        <f t="shared" si="0"/>
        <v>0.53809608757973648</v>
      </c>
      <c r="F15" s="112">
        <f t="shared" si="0"/>
        <v>0.51691057431478837</v>
      </c>
      <c r="G15" s="112">
        <f t="shared" si="0"/>
        <v>0.26512268753745427</v>
      </c>
      <c r="H15" s="112">
        <f t="shared" si="0"/>
        <v>0.30633091260285272</v>
      </c>
      <c r="I15" s="112">
        <f t="shared" si="0"/>
        <v>0.25776542912961581</v>
      </c>
      <c r="J15" s="112">
        <f t="shared" si="0"/>
        <v>0.49880026622502738</v>
      </c>
      <c r="K15" s="113">
        <f t="shared" si="0"/>
        <v>0.40988870730079396</v>
      </c>
      <c r="L15" s="239" t="s">
        <v>120</v>
      </c>
    </row>
    <row r="16" spans="1:21">
      <c r="A16" s="41" t="s">
        <v>5</v>
      </c>
      <c r="B16" s="46">
        <f>Scenarios!C25</f>
        <v>1.4996171000904845E-2</v>
      </c>
      <c r="C16" s="42">
        <f t="shared" ref="C16:K16" si="1">C5</f>
        <v>0.15810707611932825</v>
      </c>
      <c r="D16" s="111">
        <f t="shared" si="1"/>
        <v>0.53809608757973648</v>
      </c>
      <c r="E16" s="112">
        <f t="shared" si="1"/>
        <v>1.0000000000000002</v>
      </c>
      <c r="F16" s="112">
        <f t="shared" si="1"/>
        <v>0.94177115286639357</v>
      </c>
      <c r="G16" s="112">
        <f t="shared" si="1"/>
        <v>0.73614790661359208</v>
      </c>
      <c r="H16" s="112">
        <f t="shared" si="1"/>
        <v>0.74216818464687206</v>
      </c>
      <c r="I16" s="112">
        <f t="shared" si="1"/>
        <v>0.6048417122454024</v>
      </c>
      <c r="J16" s="112">
        <f t="shared" si="1"/>
        <v>0.86164575178315306</v>
      </c>
      <c r="K16" s="113">
        <f t="shared" si="1"/>
        <v>0.86125970507824035</v>
      </c>
    </row>
    <row r="17" spans="1:12">
      <c r="A17" s="41" t="s">
        <v>6</v>
      </c>
      <c r="B17" s="46">
        <f>Scenarios!C26</f>
        <v>3.3632152529915554E-2</v>
      </c>
      <c r="C17" s="42">
        <f t="shared" ref="C17:K17" si="2">C6</f>
        <v>0.16193319430872868</v>
      </c>
      <c r="D17" s="111">
        <f t="shared" si="2"/>
        <v>0.51691057431478837</v>
      </c>
      <c r="E17" s="112">
        <f t="shared" si="2"/>
        <v>0.94177115286639357</v>
      </c>
      <c r="F17" s="112">
        <f t="shared" si="2"/>
        <v>1</v>
      </c>
      <c r="G17" s="112">
        <f t="shared" si="2"/>
        <v>0.7682232653061406</v>
      </c>
      <c r="H17" s="112">
        <f t="shared" si="2"/>
        <v>0.79170142390806597</v>
      </c>
      <c r="I17" s="112">
        <f t="shared" si="2"/>
        <v>0.62860572473116894</v>
      </c>
      <c r="J17" s="112">
        <f t="shared" si="2"/>
        <v>0.86583564760808152</v>
      </c>
      <c r="K17" s="113">
        <f t="shared" si="2"/>
        <v>0.86330366967843342</v>
      </c>
    </row>
    <row r="18" spans="1:12">
      <c r="A18" s="41" t="s">
        <v>7</v>
      </c>
      <c r="B18" s="46">
        <f>Scenarios!C27</f>
        <v>-1.8275706628265609E-2</v>
      </c>
      <c r="C18" s="42">
        <f t="shared" ref="C18:K18" si="3">C7</f>
        <v>0.28684488662827246</v>
      </c>
      <c r="D18" s="111">
        <f t="shared" si="3"/>
        <v>0.26512268753745388</v>
      </c>
      <c r="E18" s="112">
        <f t="shared" si="3"/>
        <v>0.7361479066135922</v>
      </c>
      <c r="F18" s="112">
        <f t="shared" si="3"/>
        <v>0.7682232653061406</v>
      </c>
      <c r="G18" s="112">
        <f t="shared" si="3"/>
        <v>1.0000000000000002</v>
      </c>
      <c r="H18" s="112">
        <f t="shared" si="3"/>
        <v>0.810869651798099</v>
      </c>
      <c r="I18" s="112">
        <f t="shared" si="3"/>
        <v>0.698944093128679</v>
      </c>
      <c r="J18" s="112">
        <f t="shared" si="3"/>
        <v>0.74165364419402413</v>
      </c>
      <c r="K18" s="113">
        <f t="shared" si="3"/>
        <v>0.88368691913192909</v>
      </c>
    </row>
    <row r="19" spans="1:12">
      <c r="A19" s="41" t="s">
        <v>8</v>
      </c>
      <c r="B19" s="46">
        <f>Scenarios!C28</f>
        <v>6.1274623073284545E-2</v>
      </c>
      <c r="C19" s="42">
        <f t="shared" ref="C19:K19" si="4">C8</f>
        <v>0.29497711980114533</v>
      </c>
      <c r="D19" s="111">
        <f t="shared" si="4"/>
        <v>0.30633091260285283</v>
      </c>
      <c r="E19" s="112">
        <f t="shared" si="4"/>
        <v>0.74216818464687206</v>
      </c>
      <c r="F19" s="112">
        <f t="shared" si="4"/>
        <v>0.79170142390806608</v>
      </c>
      <c r="G19" s="112">
        <f t="shared" si="4"/>
        <v>0.81086965179809911</v>
      </c>
      <c r="H19" s="112">
        <f t="shared" si="4"/>
        <v>0.99999999999999978</v>
      </c>
      <c r="I19" s="112">
        <f t="shared" si="4"/>
        <v>0.64038553303047341</v>
      </c>
      <c r="J19" s="112">
        <f t="shared" si="4"/>
        <v>0.64285674252709391</v>
      </c>
      <c r="K19" s="113">
        <f t="shared" si="4"/>
        <v>0.78565246061343619</v>
      </c>
    </row>
    <row r="20" spans="1:12">
      <c r="A20" s="41" t="s">
        <v>9</v>
      </c>
      <c r="B20" s="46">
        <f>Scenarios!C29</f>
        <v>7.9522702632630907E-2</v>
      </c>
      <c r="C20" s="42">
        <f t="shared" ref="C20:K20" si="5">C9</f>
        <v>0.32949402218690865</v>
      </c>
      <c r="D20" s="111">
        <f t="shared" si="5"/>
        <v>0.25776542912961575</v>
      </c>
      <c r="E20" s="112">
        <f t="shared" si="5"/>
        <v>0.60484171224540262</v>
      </c>
      <c r="F20" s="112">
        <f t="shared" si="5"/>
        <v>0.62860572473116916</v>
      </c>
      <c r="G20" s="112">
        <f t="shared" si="5"/>
        <v>0.698944093128679</v>
      </c>
      <c r="H20" s="112">
        <f t="shared" si="5"/>
        <v>0.64038553303047341</v>
      </c>
      <c r="I20" s="112">
        <f t="shared" si="5"/>
        <v>1.0000000000000002</v>
      </c>
      <c r="J20" s="112">
        <f t="shared" si="5"/>
        <v>0.56967702853737867</v>
      </c>
      <c r="K20" s="113">
        <f t="shared" si="5"/>
        <v>0.67129908624723933</v>
      </c>
    </row>
    <row r="21" spans="1:12">
      <c r="A21" s="41" t="s">
        <v>10</v>
      </c>
      <c r="B21" s="46">
        <f>Scenarios!C30</f>
        <v>1.7325408361865E-2</v>
      </c>
      <c r="C21" s="42">
        <f t="shared" ref="C21:K21" si="6">C10</f>
        <v>0.1608611248297202</v>
      </c>
      <c r="D21" s="111">
        <f t="shared" si="6"/>
        <v>0.49880026622502749</v>
      </c>
      <c r="E21" s="112">
        <f t="shared" si="6"/>
        <v>0.86164575178315295</v>
      </c>
      <c r="F21" s="112">
        <f t="shared" si="6"/>
        <v>0.86583564760808163</v>
      </c>
      <c r="G21" s="112">
        <f t="shared" si="6"/>
        <v>0.74165364419402413</v>
      </c>
      <c r="H21" s="112">
        <f t="shared" si="6"/>
        <v>0.64285674252709391</v>
      </c>
      <c r="I21" s="112">
        <f t="shared" si="6"/>
        <v>0.56967702853737878</v>
      </c>
      <c r="J21" s="112">
        <f t="shared" si="6"/>
        <v>0.99999999999999978</v>
      </c>
      <c r="K21" s="113">
        <f t="shared" si="6"/>
        <v>0.79252565178528167</v>
      </c>
    </row>
    <row r="22" spans="1:12" ht="13.5" thickBot="1">
      <c r="A22" s="43" t="s">
        <v>11</v>
      </c>
      <c r="B22" s="47">
        <f>Scenarios!C31</f>
        <v>-3.3454365202922019E-3</v>
      </c>
      <c r="C22" s="44">
        <f t="shared" ref="C22:K22" si="7">C11</f>
        <v>0.19933384935580506</v>
      </c>
      <c r="D22" s="114">
        <f t="shared" si="7"/>
        <v>0.40988870730079396</v>
      </c>
      <c r="E22" s="115">
        <f t="shared" si="7"/>
        <v>0.86125970507824035</v>
      </c>
      <c r="F22" s="115">
        <f t="shared" si="7"/>
        <v>0.86330366967843342</v>
      </c>
      <c r="G22" s="115">
        <f t="shared" si="7"/>
        <v>0.88368691913192909</v>
      </c>
      <c r="H22" s="115">
        <f t="shared" si="7"/>
        <v>0.78565246061343608</v>
      </c>
      <c r="I22" s="115">
        <f t="shared" si="7"/>
        <v>0.67129908624723922</v>
      </c>
      <c r="J22" s="115">
        <f t="shared" si="7"/>
        <v>0.79252565178528178</v>
      </c>
      <c r="K22" s="116">
        <f t="shared" si="7"/>
        <v>1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65" t="s">
        <v>3</v>
      </c>
      <c r="E25" s="366"/>
      <c r="F25" s="366"/>
      <c r="G25" s="366"/>
      <c r="H25" s="366"/>
      <c r="I25" s="366"/>
      <c r="J25" s="366"/>
      <c r="K25" s="367"/>
    </row>
    <row r="26" spans="1:12">
      <c r="A26" s="41" t="s">
        <v>4</v>
      </c>
      <c r="B26" s="46">
        <f>Scenarios!D24</f>
        <v>-1.0761362748873404E-3</v>
      </c>
      <c r="C26" s="243">
        <f>C4</f>
        <v>4.3571419993869868E-2</v>
      </c>
      <c r="D26" s="249">
        <f t="shared" ref="D26:K26" si="8">D4</f>
        <v>0.99999999999999989</v>
      </c>
      <c r="E26" s="250">
        <f t="shared" si="8"/>
        <v>0.53809608757973648</v>
      </c>
      <c r="F26" s="250">
        <f t="shared" si="8"/>
        <v>0.51691057431478837</v>
      </c>
      <c r="G26" s="250">
        <f t="shared" si="8"/>
        <v>0.26512268753745427</v>
      </c>
      <c r="H26" s="250">
        <f t="shared" si="8"/>
        <v>0.30633091260285272</v>
      </c>
      <c r="I26" s="250">
        <f t="shared" si="8"/>
        <v>0.25776542912961581</v>
      </c>
      <c r="J26" s="250">
        <f t="shared" si="8"/>
        <v>0.49880026622502738</v>
      </c>
      <c r="K26" s="251">
        <f t="shared" si="8"/>
        <v>0.40988870730079396</v>
      </c>
      <c r="L26" s="239" t="s">
        <v>120</v>
      </c>
    </row>
    <row r="27" spans="1:12">
      <c r="A27" s="41" t="s">
        <v>5</v>
      </c>
      <c r="B27" s="46">
        <f>Scenarios!D25</f>
        <v>-0.10270478546112452</v>
      </c>
      <c r="C27" s="243">
        <f t="shared" ref="C27:K27" si="9">C5</f>
        <v>0.15810707611932825</v>
      </c>
      <c r="D27" s="249">
        <f t="shared" si="9"/>
        <v>0.53809608757973648</v>
      </c>
      <c r="E27" s="250">
        <f t="shared" si="9"/>
        <v>1.0000000000000002</v>
      </c>
      <c r="F27" s="250">
        <f t="shared" si="9"/>
        <v>0.94177115286639357</v>
      </c>
      <c r="G27" s="250">
        <f t="shared" si="9"/>
        <v>0.73614790661359208</v>
      </c>
      <c r="H27" s="250">
        <f t="shared" si="9"/>
        <v>0.74216818464687206</v>
      </c>
      <c r="I27" s="250">
        <f t="shared" si="9"/>
        <v>0.6048417122454024</v>
      </c>
      <c r="J27" s="250">
        <f t="shared" si="9"/>
        <v>0.86164575178315306</v>
      </c>
      <c r="K27" s="251">
        <f t="shared" si="9"/>
        <v>0.86125970507824035</v>
      </c>
    </row>
    <row r="28" spans="1:12">
      <c r="A28" s="41" t="s">
        <v>6</v>
      </c>
      <c r="B28" s="46">
        <f>Scenarios!D26</f>
        <v>-5.1463733534465664E-2</v>
      </c>
      <c r="C28" s="243">
        <f t="shared" ref="C28:K28" si="10">C6</f>
        <v>0.16193319430872868</v>
      </c>
      <c r="D28" s="249">
        <f t="shared" si="10"/>
        <v>0.51691057431478837</v>
      </c>
      <c r="E28" s="250">
        <f t="shared" si="10"/>
        <v>0.94177115286639357</v>
      </c>
      <c r="F28" s="250">
        <f t="shared" si="10"/>
        <v>1</v>
      </c>
      <c r="G28" s="250">
        <f t="shared" si="10"/>
        <v>0.7682232653061406</v>
      </c>
      <c r="H28" s="250">
        <f t="shared" si="10"/>
        <v>0.79170142390806597</v>
      </c>
      <c r="I28" s="250">
        <f t="shared" si="10"/>
        <v>0.62860572473116894</v>
      </c>
      <c r="J28" s="250">
        <f t="shared" si="10"/>
        <v>0.86583564760808152</v>
      </c>
      <c r="K28" s="251">
        <f t="shared" si="10"/>
        <v>0.86330366967843342</v>
      </c>
    </row>
    <row r="29" spans="1:12">
      <c r="A29" s="41" t="s">
        <v>7</v>
      </c>
      <c r="B29" s="46">
        <f>Scenarios!D27</f>
        <v>-0.20763301199738962</v>
      </c>
      <c r="C29" s="243">
        <f t="shared" ref="C29:K29" si="11">C7</f>
        <v>0.28684488662827246</v>
      </c>
      <c r="D29" s="249">
        <f t="shared" si="11"/>
        <v>0.26512268753745388</v>
      </c>
      <c r="E29" s="250">
        <f t="shared" si="11"/>
        <v>0.7361479066135922</v>
      </c>
      <c r="F29" s="250">
        <f t="shared" si="11"/>
        <v>0.7682232653061406</v>
      </c>
      <c r="G29" s="250">
        <f t="shared" si="11"/>
        <v>1.0000000000000002</v>
      </c>
      <c r="H29" s="250">
        <f t="shared" si="11"/>
        <v>0.810869651798099</v>
      </c>
      <c r="I29" s="250">
        <f t="shared" si="11"/>
        <v>0.698944093128679</v>
      </c>
      <c r="J29" s="250">
        <f t="shared" si="11"/>
        <v>0.74165364419402413</v>
      </c>
      <c r="K29" s="251">
        <f t="shared" si="11"/>
        <v>0.88368691913192909</v>
      </c>
    </row>
    <row r="30" spans="1:12">
      <c r="A30" s="41" t="s">
        <v>8</v>
      </c>
      <c r="B30" s="46">
        <f>Scenarios!D28</f>
        <v>-6.0480183929069335E-2</v>
      </c>
      <c r="C30" s="243">
        <f t="shared" ref="C30:K30" si="12">C8</f>
        <v>0.29497711980114533</v>
      </c>
      <c r="D30" s="249">
        <f t="shared" si="12"/>
        <v>0.30633091260285283</v>
      </c>
      <c r="E30" s="250">
        <f t="shared" si="12"/>
        <v>0.74216818464687206</v>
      </c>
      <c r="F30" s="250">
        <f t="shared" si="12"/>
        <v>0.79170142390806608</v>
      </c>
      <c r="G30" s="250">
        <f t="shared" si="12"/>
        <v>0.81086965179809911</v>
      </c>
      <c r="H30" s="250">
        <f t="shared" si="12"/>
        <v>0.99999999999999978</v>
      </c>
      <c r="I30" s="250">
        <f t="shared" si="12"/>
        <v>0.64038553303047341</v>
      </c>
      <c r="J30" s="250">
        <f t="shared" si="12"/>
        <v>0.64285674252709391</v>
      </c>
      <c r="K30" s="251">
        <f t="shared" si="12"/>
        <v>0.78565246061343619</v>
      </c>
    </row>
    <row r="31" spans="1:12">
      <c r="A31" s="41" t="s">
        <v>9</v>
      </c>
      <c r="B31" s="46">
        <f>Scenarios!D29</f>
        <v>1.2962263249297473E-2</v>
      </c>
      <c r="C31" s="243">
        <f t="shared" ref="C31:K31" si="13">C9</f>
        <v>0.32949402218690865</v>
      </c>
      <c r="D31" s="249">
        <f t="shared" si="13"/>
        <v>0.25776542912961575</v>
      </c>
      <c r="E31" s="250">
        <f t="shared" si="13"/>
        <v>0.60484171224540262</v>
      </c>
      <c r="F31" s="250">
        <f t="shared" si="13"/>
        <v>0.62860572473116916</v>
      </c>
      <c r="G31" s="250">
        <f t="shared" si="13"/>
        <v>0.698944093128679</v>
      </c>
      <c r="H31" s="250">
        <f t="shared" si="13"/>
        <v>0.64038553303047341</v>
      </c>
      <c r="I31" s="250">
        <f t="shared" si="13"/>
        <v>1.0000000000000002</v>
      </c>
      <c r="J31" s="250">
        <f t="shared" si="13"/>
        <v>0.56967702853737867</v>
      </c>
      <c r="K31" s="251">
        <f t="shared" si="13"/>
        <v>0.67129908624723933</v>
      </c>
    </row>
    <row r="32" spans="1:12">
      <c r="A32" s="41" t="s">
        <v>10</v>
      </c>
      <c r="B32" s="46">
        <f>Scenarios!D30</f>
        <v>-4.6787554334441012E-2</v>
      </c>
      <c r="C32" s="243">
        <f t="shared" ref="C32:K32" si="14">C10</f>
        <v>0.1608611248297202</v>
      </c>
      <c r="D32" s="249">
        <f t="shared" si="14"/>
        <v>0.49880026622502749</v>
      </c>
      <c r="E32" s="250">
        <f t="shared" si="14"/>
        <v>0.86164575178315295</v>
      </c>
      <c r="F32" s="250">
        <f t="shared" si="14"/>
        <v>0.86583564760808163</v>
      </c>
      <c r="G32" s="250">
        <f t="shared" si="14"/>
        <v>0.74165364419402413</v>
      </c>
      <c r="H32" s="250">
        <f t="shared" si="14"/>
        <v>0.64285674252709391</v>
      </c>
      <c r="I32" s="250">
        <f t="shared" si="14"/>
        <v>0.56967702853737878</v>
      </c>
      <c r="J32" s="250">
        <f t="shared" si="14"/>
        <v>0.99999999999999978</v>
      </c>
      <c r="K32" s="251">
        <f t="shared" si="14"/>
        <v>0.79252565178528167</v>
      </c>
    </row>
    <row r="33" spans="1:12" ht="13.5" thickBot="1">
      <c r="A33" s="43" t="s">
        <v>11</v>
      </c>
      <c r="B33" s="47">
        <f>Scenarios!D31</f>
        <v>-8.4519819517757569E-2</v>
      </c>
      <c r="C33" s="246">
        <f t="shared" ref="C33:K33" si="15">C11</f>
        <v>0.19933384935580506</v>
      </c>
      <c r="D33" s="252">
        <f t="shared" si="15"/>
        <v>0.40988870730079396</v>
      </c>
      <c r="E33" s="253">
        <f t="shared" si="15"/>
        <v>0.86125970507824035</v>
      </c>
      <c r="F33" s="253">
        <f t="shared" si="15"/>
        <v>0.86330366967843342</v>
      </c>
      <c r="G33" s="253">
        <f t="shared" si="15"/>
        <v>0.88368691913192909</v>
      </c>
      <c r="H33" s="253">
        <f t="shared" si="15"/>
        <v>0.78565246061343608</v>
      </c>
      <c r="I33" s="253">
        <f t="shared" si="15"/>
        <v>0.67129908624723922</v>
      </c>
      <c r="J33" s="253">
        <f t="shared" si="15"/>
        <v>0.79252565178528178</v>
      </c>
      <c r="K33" s="254">
        <f t="shared" si="15"/>
        <v>1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65" t="s">
        <v>3</v>
      </c>
      <c r="E36" s="366"/>
      <c r="F36" s="366"/>
      <c r="G36" s="366"/>
      <c r="H36" s="366"/>
      <c r="I36" s="366"/>
      <c r="J36" s="366"/>
      <c r="K36" s="367"/>
    </row>
    <row r="37" spans="1:12">
      <c r="A37" s="41" t="s">
        <v>4</v>
      </c>
      <c r="B37" s="46">
        <f>Scenarios!E24</f>
        <v>-3.4179872754884488E-3</v>
      </c>
      <c r="C37" s="243">
        <f t="shared" ref="C37:K37" si="16">C15</f>
        <v>4.3571419993869868E-2</v>
      </c>
      <c r="D37" s="249">
        <f t="shared" si="16"/>
        <v>0.99999999999999989</v>
      </c>
      <c r="E37" s="250">
        <f t="shared" si="16"/>
        <v>0.53809608757973648</v>
      </c>
      <c r="F37" s="250">
        <f t="shared" si="16"/>
        <v>0.51691057431478837</v>
      </c>
      <c r="G37" s="250">
        <f t="shared" si="16"/>
        <v>0.26512268753745427</v>
      </c>
      <c r="H37" s="250">
        <f t="shared" si="16"/>
        <v>0.30633091260285272</v>
      </c>
      <c r="I37" s="250">
        <f t="shared" si="16"/>
        <v>0.25776542912961581</v>
      </c>
      <c r="J37" s="250">
        <f t="shared" si="16"/>
        <v>0.49880026622502738</v>
      </c>
      <c r="K37" s="251">
        <f t="shared" si="16"/>
        <v>0.40988870730079396</v>
      </c>
      <c r="L37" s="239" t="s">
        <v>120</v>
      </c>
    </row>
    <row r="38" spans="1:12">
      <c r="A38" s="41" t="s">
        <v>5</v>
      </c>
      <c r="B38" s="46">
        <f>Scenarios!E25</f>
        <v>3.7295220378336866E-2</v>
      </c>
      <c r="C38" s="243">
        <f t="shared" ref="C38:K38" si="17">C16</f>
        <v>0.15810707611932825</v>
      </c>
      <c r="D38" s="249">
        <f t="shared" si="17"/>
        <v>0.53809608757973648</v>
      </c>
      <c r="E38" s="250">
        <f t="shared" si="17"/>
        <v>1.0000000000000002</v>
      </c>
      <c r="F38" s="250">
        <f t="shared" si="17"/>
        <v>0.94177115286639357</v>
      </c>
      <c r="G38" s="250">
        <f t="shared" si="17"/>
        <v>0.73614790661359208</v>
      </c>
      <c r="H38" s="250">
        <f t="shared" si="17"/>
        <v>0.74216818464687206</v>
      </c>
      <c r="I38" s="250">
        <f t="shared" si="17"/>
        <v>0.6048417122454024</v>
      </c>
      <c r="J38" s="250">
        <f t="shared" si="17"/>
        <v>0.86164575178315306</v>
      </c>
      <c r="K38" s="251">
        <f t="shared" si="17"/>
        <v>0.86125970507824035</v>
      </c>
    </row>
    <row r="39" spans="1:12">
      <c r="A39" s="41" t="s">
        <v>6</v>
      </c>
      <c r="B39" s="46">
        <f>Scenarios!E26</f>
        <v>3.7955967038468326E-2</v>
      </c>
      <c r="C39" s="243">
        <f t="shared" ref="C39:K39" si="18">C17</f>
        <v>0.16193319430872868</v>
      </c>
      <c r="D39" s="249">
        <f t="shared" si="18"/>
        <v>0.51691057431478837</v>
      </c>
      <c r="E39" s="250">
        <f t="shared" si="18"/>
        <v>0.94177115286639357</v>
      </c>
      <c r="F39" s="250">
        <f t="shared" si="18"/>
        <v>1</v>
      </c>
      <c r="G39" s="250">
        <f t="shared" si="18"/>
        <v>0.7682232653061406</v>
      </c>
      <c r="H39" s="250">
        <f t="shared" si="18"/>
        <v>0.79170142390806597</v>
      </c>
      <c r="I39" s="250">
        <f t="shared" si="18"/>
        <v>0.62860572473116894</v>
      </c>
      <c r="J39" s="250">
        <f t="shared" si="18"/>
        <v>0.86583564760808152</v>
      </c>
      <c r="K39" s="251">
        <f t="shared" si="18"/>
        <v>0.86330366967843342</v>
      </c>
    </row>
    <row r="40" spans="1:12">
      <c r="A40" s="41" t="s">
        <v>7</v>
      </c>
      <c r="B40" s="46">
        <f>Scenarios!E27</f>
        <v>4.4157772609314798E-2</v>
      </c>
      <c r="C40" s="243">
        <f t="shared" ref="C40:K40" si="19">C18</f>
        <v>0.28684488662827246</v>
      </c>
      <c r="D40" s="249">
        <f t="shared" si="19"/>
        <v>0.26512268753745388</v>
      </c>
      <c r="E40" s="250">
        <f t="shared" si="19"/>
        <v>0.7361479066135922</v>
      </c>
      <c r="F40" s="250">
        <f t="shared" si="19"/>
        <v>0.7682232653061406</v>
      </c>
      <c r="G40" s="250">
        <f t="shared" si="19"/>
        <v>1.0000000000000002</v>
      </c>
      <c r="H40" s="250">
        <f t="shared" si="19"/>
        <v>0.810869651798099</v>
      </c>
      <c r="I40" s="250">
        <f t="shared" si="19"/>
        <v>0.698944093128679</v>
      </c>
      <c r="J40" s="250">
        <f t="shared" si="19"/>
        <v>0.74165364419402413</v>
      </c>
      <c r="K40" s="251">
        <f t="shared" si="19"/>
        <v>0.88368691913192909</v>
      </c>
    </row>
    <row r="41" spans="1:12">
      <c r="A41" s="41" t="s">
        <v>8</v>
      </c>
      <c r="B41" s="46">
        <f>Scenarios!E28</f>
        <v>7.5058724753415462E-2</v>
      </c>
      <c r="C41" s="243">
        <f t="shared" ref="C41:K41" si="20">C19</f>
        <v>0.29497711980114533</v>
      </c>
      <c r="D41" s="249">
        <f t="shared" si="20"/>
        <v>0.30633091260285283</v>
      </c>
      <c r="E41" s="250">
        <f t="shared" si="20"/>
        <v>0.74216818464687206</v>
      </c>
      <c r="F41" s="250">
        <f t="shared" si="20"/>
        <v>0.79170142390806608</v>
      </c>
      <c r="G41" s="250">
        <f t="shared" si="20"/>
        <v>0.81086965179809911</v>
      </c>
      <c r="H41" s="250">
        <f t="shared" si="20"/>
        <v>0.99999999999999978</v>
      </c>
      <c r="I41" s="250">
        <f t="shared" si="20"/>
        <v>0.64038553303047341</v>
      </c>
      <c r="J41" s="250">
        <f t="shared" si="20"/>
        <v>0.64285674252709391</v>
      </c>
      <c r="K41" s="251">
        <f t="shared" si="20"/>
        <v>0.78565246061343619</v>
      </c>
    </row>
    <row r="42" spans="1:12">
      <c r="A42" s="41" t="s">
        <v>9</v>
      </c>
      <c r="B42" s="46">
        <f>Scenarios!E29</f>
        <v>8.6184790509297532E-2</v>
      </c>
      <c r="C42" s="243">
        <f t="shared" ref="C42:K42" si="21">C20</f>
        <v>0.32949402218690865</v>
      </c>
      <c r="D42" s="249">
        <f t="shared" si="21"/>
        <v>0.25776542912961575</v>
      </c>
      <c r="E42" s="250">
        <f t="shared" si="21"/>
        <v>0.60484171224540262</v>
      </c>
      <c r="F42" s="250">
        <f t="shared" si="21"/>
        <v>0.62860572473116916</v>
      </c>
      <c r="G42" s="250">
        <f t="shared" si="21"/>
        <v>0.698944093128679</v>
      </c>
      <c r="H42" s="250">
        <f t="shared" si="21"/>
        <v>0.64038553303047341</v>
      </c>
      <c r="I42" s="250">
        <f t="shared" si="21"/>
        <v>1.0000000000000002</v>
      </c>
      <c r="J42" s="250">
        <f t="shared" si="21"/>
        <v>0.56967702853737867</v>
      </c>
      <c r="K42" s="251">
        <f t="shared" si="21"/>
        <v>0.67129908624723933</v>
      </c>
    </row>
    <row r="43" spans="1:12">
      <c r="A43" s="41" t="s">
        <v>10</v>
      </c>
      <c r="B43" s="46">
        <f>Scenarios!E30</f>
        <v>1.6536412714843449E-2</v>
      </c>
      <c r="C43" s="243">
        <f t="shared" ref="C43:K43" si="22">C21</f>
        <v>0.1608611248297202</v>
      </c>
      <c r="D43" s="249">
        <f t="shared" si="22"/>
        <v>0.49880026622502749</v>
      </c>
      <c r="E43" s="250">
        <f t="shared" si="22"/>
        <v>0.86164575178315295</v>
      </c>
      <c r="F43" s="250">
        <f t="shared" si="22"/>
        <v>0.86583564760808163</v>
      </c>
      <c r="G43" s="250">
        <f t="shared" si="22"/>
        <v>0.74165364419402413</v>
      </c>
      <c r="H43" s="250">
        <f t="shared" si="22"/>
        <v>0.64285674252709391</v>
      </c>
      <c r="I43" s="250">
        <f t="shared" si="22"/>
        <v>0.56967702853737878</v>
      </c>
      <c r="J43" s="250">
        <f t="shared" si="22"/>
        <v>0.99999999999999978</v>
      </c>
      <c r="K43" s="251">
        <f t="shared" si="22"/>
        <v>0.79252565178528167</v>
      </c>
    </row>
    <row r="44" spans="1:12" ht="13.5" thickBot="1">
      <c r="A44" s="43" t="s">
        <v>11</v>
      </c>
      <c r="B44" s="47">
        <f>Scenarios!E31</f>
        <v>3.2797465910270177E-2</v>
      </c>
      <c r="C44" s="246">
        <f t="shared" ref="C44:K44" si="23">C22</f>
        <v>0.19933384935580506</v>
      </c>
      <c r="D44" s="252">
        <f t="shared" si="23"/>
        <v>0.40988870730079396</v>
      </c>
      <c r="E44" s="253">
        <f t="shared" si="23"/>
        <v>0.86125970507824035</v>
      </c>
      <c r="F44" s="253">
        <f t="shared" si="23"/>
        <v>0.86330366967843342</v>
      </c>
      <c r="G44" s="253">
        <f t="shared" si="23"/>
        <v>0.88368691913192909</v>
      </c>
      <c r="H44" s="253">
        <f t="shared" si="23"/>
        <v>0.78565246061343608</v>
      </c>
      <c r="I44" s="253">
        <f t="shared" si="23"/>
        <v>0.67129908624723922</v>
      </c>
      <c r="J44" s="253">
        <f t="shared" si="23"/>
        <v>0.79252565178528178</v>
      </c>
      <c r="K44" s="254">
        <f t="shared" si="23"/>
        <v>1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68" t="s">
        <v>3</v>
      </c>
      <c r="E47" s="369"/>
      <c r="F47" s="369"/>
      <c r="G47" s="369"/>
      <c r="H47" s="369"/>
      <c r="I47" s="369"/>
      <c r="J47" s="369"/>
      <c r="K47" s="370"/>
    </row>
    <row r="48" spans="1:12">
      <c r="A48" s="41" t="s">
        <v>4</v>
      </c>
      <c r="B48" s="230">
        <f>Scenarios!F24</f>
        <v>-2.5720358328627513E-2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-0.43424993966436087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-0.52495132978596959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-0.60718802956862361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-0.41926220845987938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-0.52034739633736904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-0.25573516705477994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-0.33580172019430399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65" t="s">
        <v>3</v>
      </c>
      <c r="E58" s="366"/>
      <c r="F58" s="366"/>
      <c r="G58" s="366"/>
      <c r="H58" s="366"/>
      <c r="I58" s="366"/>
      <c r="J58" s="366"/>
      <c r="K58" s="367"/>
      <c r="M58" s="78"/>
    </row>
    <row r="59" spans="1:13">
      <c r="A59" s="41" t="s">
        <v>4</v>
      </c>
      <c r="B59" s="46">
        <f>Scenarios!G24</f>
        <v>-0.26287574291051119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-0.41153220498436088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-0.34991079217679127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-0.47851488198333225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-0.25917386489837912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-0.53983753129736911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-6.3153361120378204E-3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-0.18031161563030054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65" t="s">
        <v>3</v>
      </c>
      <c r="E69" s="366"/>
      <c r="F69" s="366"/>
      <c r="G69" s="366"/>
      <c r="H69" s="366"/>
      <c r="I69" s="366"/>
      <c r="J69" s="366"/>
      <c r="K69" s="367"/>
      <c r="M69" s="78"/>
    </row>
    <row r="70" spans="1:13">
      <c r="A70" s="41" t="s">
        <v>4</v>
      </c>
      <c r="B70" s="46">
        <f>+Scenarios!H24</f>
        <v>-3.2441343963196256E-3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0.29819819149830579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0.24979690735679014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0.39131495295955132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0.38663466689136228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0.62225820003596433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0.28237563833203505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0.35335277777605689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D10" sqref="D10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71" t="s">
        <v>16</v>
      </c>
      <c r="D2" s="372"/>
      <c r="E2" s="373" t="s">
        <v>17</v>
      </c>
      <c r="F2" s="374"/>
      <c r="G2" s="375" t="s">
        <v>33</v>
      </c>
      <c r="H2" s="376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</v>
      </c>
      <c r="D4" s="16">
        <f>'Control panel'!D3</f>
        <v>1</v>
      </c>
      <c r="E4" s="16">
        <v>0</v>
      </c>
      <c r="F4" s="16">
        <v>1</v>
      </c>
      <c r="G4" s="17">
        <f>'Control panel'!B3</f>
        <v>0.55549268496933957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</v>
      </c>
      <c r="D5" s="20">
        <f>'Control panel'!D4</f>
        <v>1</v>
      </c>
      <c r="E5" s="20">
        <v>0</v>
      </c>
      <c r="F5" s="20">
        <v>1</v>
      </c>
      <c r="G5" s="21">
        <f>'Control panel'!B4</f>
        <v>9.7387120358343723E-2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</v>
      </c>
      <c r="D6" s="20">
        <f>'Control panel'!D5</f>
        <v>1</v>
      </c>
      <c r="E6" s="20">
        <v>0</v>
      </c>
      <c r="F6" s="20">
        <v>1</v>
      </c>
      <c r="G6" s="21">
        <f>'Control panel'!B5</f>
        <v>9.5164223805884504E-2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0</v>
      </c>
      <c r="D7" s="20">
        <f>'Control panel'!D6</f>
        <v>1</v>
      </c>
      <c r="E7" s="20">
        <v>0</v>
      </c>
      <c r="F7" s="20">
        <v>1</v>
      </c>
      <c r="G7" s="21">
        <f>'Control panel'!B6</f>
        <v>0.10363483668477239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0</v>
      </c>
      <c r="D8" s="20">
        <f>'Control panel'!D7</f>
        <v>1</v>
      </c>
      <c r="E8" s="20">
        <v>0</v>
      </c>
      <c r="F8" s="20">
        <v>1</v>
      </c>
      <c r="G8" s="21">
        <f>'Control panel'!B7</f>
        <v>5.1404597453969164E-2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1</v>
      </c>
      <c r="E9" s="20">
        <v>0</v>
      </c>
      <c r="F9" s="20">
        <v>1</v>
      </c>
      <c r="G9" s="21">
        <f>'Control panel'!B8</f>
        <v>1.9729061421683056E-2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0</v>
      </c>
      <c r="D10" s="20">
        <f>'Control panel'!D9</f>
        <v>1</v>
      </c>
      <c r="E10" s="20">
        <v>0</v>
      </c>
      <c r="F10" s="20">
        <v>1</v>
      </c>
      <c r="G10" s="21">
        <f>'Control panel'!B9</f>
        <v>3.1019975297703138E-2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0</v>
      </c>
      <c r="D11" s="24">
        <f>'Control panel'!D10</f>
        <v>1</v>
      </c>
      <c r="E11" s="24">
        <v>0</v>
      </c>
      <c r="F11" s="24">
        <v>1</v>
      </c>
      <c r="G11" s="25">
        <f>'Control panel'!B10</f>
        <v>4.6167500008304781E-2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C42" sqref="C42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0</v>
      </c>
      <c r="C13" s="261">
        <v>1</v>
      </c>
      <c r="D13" s="262">
        <v>0</v>
      </c>
      <c r="E13" s="262">
        <v>0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9.9916807995241289E-2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60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9.9916807995241289E-2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60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9.9916807995241289E-2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60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9.9916807995241289E-2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60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9.9916807995241289E-2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60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9.9916807995241289E-2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60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9.9916807995241289E-2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60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9.9916807995241289E-2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topLeftCell="A58" workbookViewId="0">
      <selection activeCell="A28" sqref="A28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377" t="s">
        <v>64</v>
      </c>
      <c r="E2" s="378"/>
      <c r="F2" s="379"/>
      <c r="G2" s="377" t="s">
        <v>65</v>
      </c>
      <c r="H2" s="378"/>
      <c r="I2" s="378"/>
      <c r="J2" s="378"/>
      <c r="K2" s="378"/>
      <c r="L2" s="378"/>
      <c r="M2" s="378"/>
      <c r="N2" s="378"/>
      <c r="O2" s="379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0.41173013764091237</v>
      </c>
      <c r="H3" s="272">
        <v>0.25502061810996013</v>
      </c>
      <c r="I3" s="272">
        <v>0.15323514255374771</v>
      </c>
      <c r="J3" s="272">
        <v>9.7849667726501055E-2</v>
      </c>
      <c r="K3" s="272">
        <v>6.0841349678311119E-2</v>
      </c>
      <c r="L3" s="272">
        <v>2.12988879861995E-2</v>
      </c>
      <c r="M3" s="272">
        <v>2.4196304374224376E-5</v>
      </c>
      <c r="N3" s="272">
        <v>0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0.5512692266156487</v>
      </c>
      <c r="C4" s="54">
        <v>1.5497697416938457E-2</v>
      </c>
      <c r="D4" s="55">
        <v>0.54046409884126789</v>
      </c>
      <c r="E4" s="1">
        <v>0.54977876180698637</v>
      </c>
      <c r="F4" s="56">
        <v>0.56147504953029204</v>
      </c>
      <c r="G4" s="2">
        <v>-5.7591682762592553E-3</v>
      </c>
      <c r="H4" s="2">
        <v>3.461784331342567E-2</v>
      </c>
      <c r="I4" s="2">
        <v>3.8325538925162404E-2</v>
      </c>
      <c r="J4" s="2">
        <v>1</v>
      </c>
      <c r="K4" s="2">
        <v>0.24446832490880954</v>
      </c>
      <c r="L4" s="2">
        <v>0.12408459500330302</v>
      </c>
      <c r="M4" s="2">
        <v>1</v>
      </c>
      <c r="N4" s="2">
        <v>0.9999999999995719</v>
      </c>
      <c r="O4" s="57"/>
      <c r="R4" s="51" t="str">
        <f>A4</f>
        <v>Nominale matching</v>
      </c>
      <c r="S4" s="52">
        <f>D4</f>
        <v>0.54046409884126789</v>
      </c>
      <c r="T4" s="52">
        <f>B4-D4</f>
        <v>1.0805127774380807E-2</v>
      </c>
      <c r="U4" s="52">
        <f>F4-B4</f>
        <v>1.0205822914643337E-2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8.5232445036971902E-2</v>
      </c>
      <c r="C5" s="54">
        <v>4.4430967753182928E-2</v>
      </c>
      <c r="D5" s="55">
        <v>5.0169652145646712E-2</v>
      </c>
      <c r="E5" s="1">
        <v>8.2844534969455236E-2</v>
      </c>
      <c r="F5" s="56">
        <v>0.11610090011892274</v>
      </c>
      <c r="G5" s="2">
        <v>-0.89321897212402479</v>
      </c>
      <c r="H5" s="2">
        <v>-0.64938329954406016</v>
      </c>
      <c r="I5" s="2">
        <v>-0.40611729495946053</v>
      </c>
      <c r="J5" s="2">
        <v>-0.70928327032071614</v>
      </c>
      <c r="K5" s="2">
        <v>3.1967581113171349E-2</v>
      </c>
      <c r="L5" s="2">
        <v>-0.10181276637990722</v>
      </c>
      <c r="M5" s="2">
        <v>0.18615822719204861</v>
      </c>
      <c r="N5" s="2">
        <v>0.99999999999979994</v>
      </c>
      <c r="O5" s="57"/>
      <c r="R5" s="51" t="str">
        <f t="shared" ref="R5:R11" si="0">A5</f>
        <v>High Yield</v>
      </c>
      <c r="S5" s="52">
        <f t="shared" ref="S5:S11" si="1">D5</f>
        <v>5.0169652145646712E-2</v>
      </c>
      <c r="T5" s="52">
        <f t="shared" ref="T5:T11" si="2">B5-D5</f>
        <v>3.506279289132519E-2</v>
      </c>
      <c r="U5" s="52">
        <f t="shared" ref="U5:U11" si="3">F5-B5</f>
        <v>3.0868455081950838E-2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8.0268367027102008E-2</v>
      </c>
      <c r="C6" s="54">
        <v>4.6720656840345945E-2</v>
      </c>
      <c r="D6" s="55">
        <v>4.4491571362147694E-2</v>
      </c>
      <c r="E6" s="1">
        <v>7.3050138931587433E-2</v>
      </c>
      <c r="F6" s="56">
        <v>0.1113457543490747</v>
      </c>
      <c r="G6" s="2">
        <v>1</v>
      </c>
      <c r="H6" s="2">
        <v>-0.57319533446395543</v>
      </c>
      <c r="I6" s="2">
        <v>-0.27225068026788046</v>
      </c>
      <c r="J6" s="2">
        <v>-0.64689409991345892</v>
      </c>
      <c r="K6" s="2">
        <v>8.758651069681192E-2</v>
      </c>
      <c r="L6" s="2">
        <v>-0.11698114299689816</v>
      </c>
      <c r="M6" s="2">
        <v>0.1453268191739519</v>
      </c>
      <c r="N6" s="2">
        <v>0.99999999999981082</v>
      </c>
      <c r="O6" s="57"/>
      <c r="R6" s="51" t="str">
        <f t="shared" si="0"/>
        <v>Emerging market debt</v>
      </c>
      <c r="S6" s="52">
        <f t="shared" si="1"/>
        <v>4.4491571362147694E-2</v>
      </c>
      <c r="T6" s="52">
        <f t="shared" si="2"/>
        <v>3.5776795664954314E-2</v>
      </c>
      <c r="U6" s="52">
        <f t="shared" si="3"/>
        <v>3.1077387321972696E-2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8.7570425942529034E-2</v>
      </c>
      <c r="C7" s="54">
        <v>2.5765552796329087E-2</v>
      </c>
      <c r="D7" s="55">
        <v>6.8416393120094759E-2</v>
      </c>
      <c r="E7" s="1">
        <v>8.6742972759761588E-2</v>
      </c>
      <c r="F7" s="56">
        <v>0.10563009128018781</v>
      </c>
      <c r="G7" s="2">
        <v>-1.2790389372350922E-2</v>
      </c>
      <c r="H7" s="2">
        <v>-0.61992464151010629</v>
      </c>
      <c r="I7" s="2">
        <v>0.26920038421230463</v>
      </c>
      <c r="J7" s="2">
        <v>0.95340239502870794</v>
      </c>
      <c r="K7" s="2">
        <v>-0.59819193179557828</v>
      </c>
      <c r="L7" s="2">
        <v>-0.27883218946970428</v>
      </c>
      <c r="M7" s="2">
        <v>-0.53584661736126926</v>
      </c>
      <c r="N7" s="2">
        <v>1</v>
      </c>
      <c r="O7" s="57"/>
      <c r="R7" s="51" t="str">
        <f t="shared" si="0"/>
        <v>Aandelen ontwikkeld</v>
      </c>
      <c r="S7" s="52">
        <f t="shared" si="1"/>
        <v>6.8416393120094759E-2</v>
      </c>
      <c r="T7" s="52">
        <f t="shared" si="2"/>
        <v>1.9154032822434275E-2</v>
      </c>
      <c r="U7" s="52">
        <f t="shared" si="3"/>
        <v>1.8059665337658778E-2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5.4166890148619418E-2</v>
      </c>
      <c r="C8" s="54">
        <v>1.9932297229456317E-2</v>
      </c>
      <c r="D8" s="55">
        <v>3.944036673306632E-2</v>
      </c>
      <c r="E8" s="1">
        <v>5.4242083527083665E-2</v>
      </c>
      <c r="F8" s="56">
        <v>6.9600963803305493E-2</v>
      </c>
      <c r="G8" s="2">
        <v>-6.7030895031052057E-2</v>
      </c>
      <c r="H8" s="2">
        <v>0.33036522520625433</v>
      </c>
      <c r="I8" s="2">
        <v>0.14054925728979953</v>
      </c>
      <c r="J8" s="2">
        <v>0.16333392698958032</v>
      </c>
      <c r="K8" s="2">
        <v>1</v>
      </c>
      <c r="L8" s="2">
        <v>-0.35886876577987903</v>
      </c>
      <c r="M8" s="2">
        <v>-0.52474955487462882</v>
      </c>
      <c r="N8" s="2">
        <v>0.99999999999999656</v>
      </c>
      <c r="O8" s="57"/>
      <c r="R8" s="51" t="str">
        <f t="shared" si="0"/>
        <v>Aandelen opkomend</v>
      </c>
      <c r="S8" s="52">
        <f t="shared" si="1"/>
        <v>3.944036673306632E-2</v>
      </c>
      <c r="T8" s="52">
        <f t="shared" si="2"/>
        <v>1.4726523415553097E-2</v>
      </c>
      <c r="U8" s="52">
        <f t="shared" si="3"/>
        <v>1.5434073654686076E-2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2.1803470767462647E-2</v>
      </c>
      <c r="C9" s="54">
        <v>1.1440349081368453E-2</v>
      </c>
      <c r="D9" s="55">
        <v>1.254326044746556E-2</v>
      </c>
      <c r="E9" s="1">
        <v>2.1484120472800721E-2</v>
      </c>
      <c r="F9" s="56">
        <v>2.9590868674806516E-2</v>
      </c>
      <c r="G9" s="2">
        <v>1.5838960307808544E-3</v>
      </c>
      <c r="H9" s="2">
        <v>3.695301806753766E-2</v>
      </c>
      <c r="I9" s="2">
        <v>-2.9579060217450544E-2</v>
      </c>
      <c r="J9" s="2">
        <v>1.0670520109201554E-3</v>
      </c>
      <c r="K9" s="2">
        <v>5.4013991543189685E-2</v>
      </c>
      <c r="L9" s="2">
        <v>1</v>
      </c>
      <c r="M9" s="2">
        <v>-0.42466933165954796</v>
      </c>
      <c r="N9" s="2">
        <v>0.99999999999996791</v>
      </c>
      <c r="O9" s="57"/>
      <c r="R9" s="51" t="str">
        <f t="shared" si="0"/>
        <v>Commodities</v>
      </c>
      <c r="S9" s="52">
        <f t="shared" si="1"/>
        <v>1.254326044746556E-2</v>
      </c>
      <c r="T9" s="52">
        <f t="shared" si="2"/>
        <v>9.2602103199970875E-3</v>
      </c>
      <c r="U9" s="52">
        <f t="shared" si="3"/>
        <v>7.7873979073438682E-3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5.5785518454464389E-2</v>
      </c>
      <c r="C10" s="54">
        <v>3.0920756827771387E-2</v>
      </c>
      <c r="D10" s="55">
        <v>3.0509628428140506E-2</v>
      </c>
      <c r="E10" s="1">
        <v>5.2804315289259288E-2</v>
      </c>
      <c r="F10" s="56">
        <v>7.7475236897968106E-2</v>
      </c>
      <c r="G10" s="2">
        <v>-5.4152636726012525E-2</v>
      </c>
      <c r="H10" s="2">
        <v>0.44056718893090574</v>
      </c>
      <c r="I10" s="2">
        <v>1</v>
      </c>
      <c r="J10" s="2">
        <v>-0.77337817724159652</v>
      </c>
      <c r="K10" s="2">
        <v>-0.32023466494233077</v>
      </c>
      <c r="L10" s="2">
        <v>-6.949079576142371E-2</v>
      </c>
      <c r="M10" s="2">
        <v>0.22762752488416876</v>
      </c>
      <c r="N10" s="2">
        <v>0.99999999999978739</v>
      </c>
      <c r="O10" s="57"/>
      <c r="R10" s="51" t="str">
        <f t="shared" si="0"/>
        <v>Hedge funds</v>
      </c>
      <c r="S10" s="52">
        <f t="shared" si="1"/>
        <v>3.0509628428140506E-2</v>
      </c>
      <c r="T10" s="52">
        <f t="shared" si="2"/>
        <v>2.5275890026323883E-2</v>
      </c>
      <c r="U10" s="52">
        <f t="shared" si="3"/>
        <v>2.1689718443503717E-2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6.3903656007201548E-2</v>
      </c>
      <c r="C11" s="62">
        <v>3.5114008225689039E-2</v>
      </c>
      <c r="D11" s="63">
        <v>3.5728552913028414E-2</v>
      </c>
      <c r="E11" s="61">
        <v>6.230058558968074E-2</v>
      </c>
      <c r="F11" s="64">
        <v>9.0318516616488237E-2</v>
      </c>
      <c r="G11" s="65">
        <v>3.1368165498919236E-2</v>
      </c>
      <c r="H11" s="65">
        <v>1</v>
      </c>
      <c r="I11" s="65">
        <v>-0.74012814498247437</v>
      </c>
      <c r="J11" s="65">
        <v>1.1752173446564108E-2</v>
      </c>
      <c r="K11" s="65">
        <v>-0.49960981152407324</v>
      </c>
      <c r="L11" s="65">
        <v>-0.19809893461548952</v>
      </c>
      <c r="M11" s="65">
        <v>-7.3847067354207291E-2</v>
      </c>
      <c r="N11" s="65">
        <v>0.99999999999987133</v>
      </c>
      <c r="O11" s="66"/>
      <c r="R11" s="51" t="str">
        <f t="shared" si="0"/>
        <v>Onroerend goed</v>
      </c>
      <c r="S11" s="52">
        <f t="shared" si="1"/>
        <v>3.5728552913028414E-2</v>
      </c>
      <c r="T11" s="52">
        <f t="shared" si="2"/>
        <v>2.8175103094173135E-2</v>
      </c>
      <c r="U11" s="52">
        <f t="shared" si="3"/>
        <v>2.6414860609286689E-2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377" t="s">
        <v>64</v>
      </c>
      <c r="E13" s="378"/>
      <c r="F13" s="379"/>
      <c r="G13" s="377" t="s">
        <v>65</v>
      </c>
      <c r="H13" s="378"/>
      <c r="I13" s="378"/>
      <c r="J13" s="378"/>
      <c r="K13" s="378"/>
      <c r="L13" s="378"/>
      <c r="M13" s="378"/>
      <c r="N13" s="378"/>
      <c r="O13" s="379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0.76829415391143119</v>
      </c>
      <c r="H14" s="272">
        <v>0.14314802059333676</v>
      </c>
      <c r="I14" s="272">
        <v>5.9543376159969519E-2</v>
      </c>
      <c r="J14" s="272">
        <v>2.6262020258829399E-2</v>
      </c>
      <c r="K14" s="272">
        <v>1.757161918654937E-3</v>
      </c>
      <c r="L14" s="272">
        <v>6.864480755218727E-4</v>
      </c>
      <c r="M14" s="272">
        <v>3.0881908225877108E-4</v>
      </c>
      <c r="N14" s="272">
        <v>0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0.60925572389385541</v>
      </c>
      <c r="C15" s="54">
        <v>3.7526751871973879E-2</v>
      </c>
      <c r="D15" s="55">
        <v>0.58287462416262592</v>
      </c>
      <c r="E15" s="1">
        <v>0.60848736425405736</v>
      </c>
      <c r="F15" s="56">
        <v>0.63571990029932435</v>
      </c>
      <c r="G15" s="2">
        <v>-0.49096596506874873</v>
      </c>
      <c r="H15" s="2">
        <v>-0.1201688820160257</v>
      </c>
      <c r="I15" s="2">
        <v>-0.41752501869669145</v>
      </c>
      <c r="J15" s="2">
        <v>-0.37245535963296772</v>
      </c>
      <c r="K15" s="2">
        <v>-0.27229347796600661</v>
      </c>
      <c r="L15" s="2">
        <v>-0.89854543892005234</v>
      </c>
      <c r="M15" s="2">
        <v>-0.18506337483773183</v>
      </c>
      <c r="N15" s="2">
        <v>0.99999999999964451</v>
      </c>
      <c r="O15" s="57"/>
      <c r="R15" s="51" t="str">
        <f>A15</f>
        <v>Nominale matching</v>
      </c>
      <c r="S15" s="52">
        <f>D15</f>
        <v>0.58287462416262592</v>
      </c>
      <c r="T15" s="52">
        <f>B15-D15</f>
        <v>2.6381099731229485E-2</v>
      </c>
      <c r="U15" s="52">
        <f>F15-B15</f>
        <v>2.6464176405468942E-2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1.9831020364249767E-2</v>
      </c>
      <c r="C16" s="54">
        <v>1.4469384363218233E-2</v>
      </c>
      <c r="D16" s="55">
        <v>7.7668003660649517E-3</v>
      </c>
      <c r="E16" s="1">
        <v>1.725156658175795E-2</v>
      </c>
      <c r="F16" s="56">
        <v>2.9793562169769732E-2</v>
      </c>
      <c r="G16" s="2">
        <v>-1.0692363272779219E-2</v>
      </c>
      <c r="H16" s="2">
        <v>-6.2039833981884826E-2</v>
      </c>
      <c r="I16" s="2">
        <v>-0.10265978317508269</v>
      </c>
      <c r="J16" s="2">
        <v>1</v>
      </c>
      <c r="K16" s="2">
        <v>-0.16683382967424257</v>
      </c>
      <c r="L16" s="2">
        <v>-0.18896063052573836</v>
      </c>
      <c r="M16" s="2">
        <v>-0.13969790782733155</v>
      </c>
      <c r="N16" s="2">
        <v>0.9999999999997139</v>
      </c>
      <c r="O16" s="57"/>
      <c r="R16" s="51" t="str">
        <f t="shared" ref="R16:R22" si="5">A16</f>
        <v>High Yield</v>
      </c>
      <c r="S16" s="52">
        <f t="shared" ref="S16:S22" si="6">D16</f>
        <v>7.7668003660649517E-3</v>
      </c>
      <c r="T16" s="52">
        <f t="shared" ref="T16:T22" si="7">B16-D16</f>
        <v>1.2064219998184815E-2</v>
      </c>
      <c r="U16" s="52">
        <f t="shared" ref="U16:U22" si="8">F16-B16</f>
        <v>9.9625418055199651E-3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0.12941688287519609</v>
      </c>
      <c r="C17" s="54">
        <v>7.3315630422453509E-2</v>
      </c>
      <c r="D17" s="55">
        <v>6.8620118541588976E-2</v>
      </c>
      <c r="E17" s="1">
        <v>0.12492421845308796</v>
      </c>
      <c r="F17" s="56">
        <v>0.17852090843980248</v>
      </c>
      <c r="G17" s="2">
        <v>1</v>
      </c>
      <c r="H17" s="2">
        <v>-1.8481029597712452E-2</v>
      </c>
      <c r="I17" s="2">
        <v>-0.2297262475901368</v>
      </c>
      <c r="J17" s="2">
        <v>-0.23095138032259566</v>
      </c>
      <c r="K17" s="2">
        <v>-0.1922741386234805</v>
      </c>
      <c r="L17" s="2">
        <v>-5.3997746537597667E-2</v>
      </c>
      <c r="M17" s="2">
        <v>-0.15351342365830722</v>
      </c>
      <c r="N17" s="2">
        <v>0.99999999999971323</v>
      </c>
      <c r="O17" s="57"/>
      <c r="R17" s="51" t="str">
        <f t="shared" si="5"/>
        <v>Emerging market debt</v>
      </c>
      <c r="S17" s="52">
        <f t="shared" si="6"/>
        <v>6.8620118541588976E-2</v>
      </c>
      <c r="T17" s="52">
        <f t="shared" si="7"/>
        <v>6.0796764333607117E-2</v>
      </c>
      <c r="U17" s="52">
        <f t="shared" si="8"/>
        <v>4.9104025564606385E-2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1.2882395510973742E-3</v>
      </c>
      <c r="C18" s="54">
        <v>1.6297610507087859E-3</v>
      </c>
      <c r="D18" s="55">
        <v>1.8971821281687614E-4</v>
      </c>
      <c r="E18" s="1">
        <v>7.2372293470535152E-4</v>
      </c>
      <c r="F18" s="56">
        <v>1.8109086120865021E-3</v>
      </c>
      <c r="G18" s="2">
        <v>2.4078671464365054E-3</v>
      </c>
      <c r="H18" s="2">
        <v>-1.8478843747677688E-3</v>
      </c>
      <c r="I18" s="2">
        <v>-7.7987058861609592E-3</v>
      </c>
      <c r="J18" s="2">
        <v>-1.3670649459562449E-2</v>
      </c>
      <c r="K18" s="2">
        <v>-8.9095191825232702E-3</v>
      </c>
      <c r="L18" s="2">
        <v>-7.395091394642421E-2</v>
      </c>
      <c r="M18" s="2">
        <v>1</v>
      </c>
      <c r="N18" s="2">
        <v>1</v>
      </c>
      <c r="O18" s="57"/>
      <c r="R18" s="51" t="str">
        <f t="shared" si="5"/>
        <v>Aandelen ontwikkeld</v>
      </c>
      <c r="S18" s="52">
        <f t="shared" si="6"/>
        <v>1.8971821281687614E-4</v>
      </c>
      <c r="T18" s="52">
        <f t="shared" si="7"/>
        <v>1.0985213382804981E-3</v>
      </c>
      <c r="U18" s="52">
        <f t="shared" si="8"/>
        <v>5.2266906098912794E-4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5.3557210315317468E-2</v>
      </c>
      <c r="C19" s="54">
        <v>3.3742759854075967E-2</v>
      </c>
      <c r="D19" s="55">
        <v>2.5654481798167622E-2</v>
      </c>
      <c r="E19" s="1">
        <v>4.9693474970483174E-2</v>
      </c>
      <c r="F19" s="56">
        <v>7.5502001092245058E-2</v>
      </c>
      <c r="G19" s="2">
        <v>-0.23121829950470918</v>
      </c>
      <c r="H19" s="2">
        <v>1</v>
      </c>
      <c r="I19" s="2">
        <v>-0.10280094373849213</v>
      </c>
      <c r="J19" s="2">
        <v>-9.4689517518552813E-2</v>
      </c>
      <c r="K19" s="2">
        <v>-0.11582822196006853</v>
      </c>
      <c r="L19" s="2">
        <v>0.63000397768732985</v>
      </c>
      <c r="M19" s="2">
        <v>-0.12156425103844642</v>
      </c>
      <c r="N19" s="2">
        <v>0.99999999999977218</v>
      </c>
      <c r="O19" s="57"/>
      <c r="R19" s="51" t="str">
        <f t="shared" si="5"/>
        <v>Aandelen opkomend</v>
      </c>
      <c r="S19" s="52">
        <f t="shared" si="6"/>
        <v>2.5654481798167622E-2</v>
      </c>
      <c r="T19" s="52">
        <f t="shared" si="7"/>
        <v>2.7902728517149845E-2</v>
      </c>
      <c r="U19" s="52">
        <f t="shared" si="8"/>
        <v>2.194479077692759E-2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0.15512743980504518</v>
      </c>
      <c r="C20" s="54">
        <v>2.881220937471056E-2</v>
      </c>
      <c r="D20" s="55">
        <v>0.13532793143865379</v>
      </c>
      <c r="E20" s="1">
        <v>0.15517110688910779</v>
      </c>
      <c r="F20" s="56">
        <v>0.1747292940690463</v>
      </c>
      <c r="G20" s="2">
        <v>-0.24878199957329331</v>
      </c>
      <c r="H20" s="2">
        <v>-0.75998782628902184</v>
      </c>
      <c r="I20" s="2">
        <v>-0.10450785246364784</v>
      </c>
      <c r="J20" s="2">
        <v>-0.13524809275785457</v>
      </c>
      <c r="K20" s="2">
        <v>-8.3185146176990202E-2</v>
      </c>
      <c r="L20" s="2">
        <v>1</v>
      </c>
      <c r="M20" s="2">
        <v>-0.1106861784620323</v>
      </c>
      <c r="N20" s="2">
        <v>0.99999999999980094</v>
      </c>
      <c r="O20" s="57"/>
      <c r="R20" s="51" t="str">
        <f t="shared" si="5"/>
        <v>Commodities</v>
      </c>
      <c r="S20" s="52">
        <f t="shared" si="6"/>
        <v>0.13532793143865379</v>
      </c>
      <c r="T20" s="52">
        <f t="shared" si="7"/>
        <v>1.9799508366391383E-2</v>
      </c>
      <c r="U20" s="52">
        <f t="shared" si="8"/>
        <v>1.9601854264001128E-2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2.7509212826238614E-2</v>
      </c>
      <c r="C21" s="54">
        <v>2.1317250000215993E-2</v>
      </c>
      <c r="D21" s="55">
        <v>1.1486666612623372E-2</v>
      </c>
      <c r="E21" s="1">
        <v>2.3390757584057918E-2</v>
      </c>
      <c r="F21" s="56">
        <v>3.8658173586206074E-2</v>
      </c>
      <c r="G21" s="2">
        <v>-2.5931086985128662E-2</v>
      </c>
      <c r="H21" s="2">
        <v>-3.7427883433743356E-2</v>
      </c>
      <c r="I21" s="2">
        <v>1</v>
      </c>
      <c r="J21" s="2">
        <v>-0.130661425634679</v>
      </c>
      <c r="K21" s="2">
        <v>-0.16067566641674816</v>
      </c>
      <c r="L21" s="2">
        <v>-0.24423042292365815</v>
      </c>
      <c r="M21" s="2">
        <v>-0.14808772433621423</v>
      </c>
      <c r="N21" s="2">
        <v>0.99999999999970601</v>
      </c>
      <c r="O21" s="57"/>
      <c r="R21" s="51" t="str">
        <f t="shared" si="5"/>
        <v>Hedge funds</v>
      </c>
      <c r="S21" s="52">
        <f t="shared" si="6"/>
        <v>1.1486666612623372E-2</v>
      </c>
      <c r="T21" s="52">
        <f t="shared" si="7"/>
        <v>1.6022546213615242E-2</v>
      </c>
      <c r="U21" s="52">
        <f t="shared" si="8"/>
        <v>1.114896075996746E-2</v>
      </c>
    </row>
    <row r="22" spans="1:30">
      <c r="A22" s="60" t="str">
        <f t="shared" si="4"/>
        <v>Onroerend goed</v>
      </c>
      <c r="B22" s="286">
        <v>4.0142703690014226E-3</v>
      </c>
      <c r="C22" s="62">
        <v>3.860824055309017E-3</v>
      </c>
      <c r="D22" s="63">
        <v>9.4344345334960414E-4</v>
      </c>
      <c r="E22" s="61">
        <v>2.9276708196078506E-3</v>
      </c>
      <c r="F22" s="64">
        <v>6.025139758830388E-3</v>
      </c>
      <c r="G22" s="65">
        <v>5.181847258222589E-3</v>
      </c>
      <c r="H22" s="65">
        <v>-4.6660306843562105E-5</v>
      </c>
      <c r="I22" s="65">
        <v>-3.498144844979037E-2</v>
      </c>
      <c r="J22" s="65">
        <v>-2.232357467379284E-2</v>
      </c>
      <c r="K22" s="65">
        <v>1</v>
      </c>
      <c r="L22" s="65">
        <v>-0.17031882483401661</v>
      </c>
      <c r="M22" s="65">
        <v>-0.14138713984021303</v>
      </c>
      <c r="N22" s="65">
        <v>0.99999999999976985</v>
      </c>
      <c r="O22" s="66"/>
      <c r="R22" s="51" t="str">
        <f t="shared" si="5"/>
        <v>Onroerend goed</v>
      </c>
      <c r="S22" s="52">
        <f t="shared" si="6"/>
        <v>9.4344345334960414E-4</v>
      </c>
      <c r="T22" s="52">
        <f t="shared" si="7"/>
        <v>3.0708269156518187E-3</v>
      </c>
      <c r="U22" s="52">
        <f t="shared" si="8"/>
        <v>2.0108693898289653E-3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377" t="s">
        <v>64</v>
      </c>
      <c r="E24" s="378"/>
      <c r="F24" s="379"/>
      <c r="G24" s="377" t="s">
        <v>65</v>
      </c>
      <c r="H24" s="378"/>
      <c r="I24" s="378"/>
      <c r="J24" s="378"/>
      <c r="K24" s="378"/>
      <c r="L24" s="378"/>
      <c r="M24" s="378"/>
      <c r="N24" s="378"/>
      <c r="O24" s="379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0.98051685491722207</v>
      </c>
      <c r="H25" s="272">
        <v>1.0890421753653734E-2</v>
      </c>
      <c r="I25" s="272">
        <v>4.7131222740212086E-3</v>
      </c>
      <c r="J25" s="272">
        <v>2.1207093851658421E-3</v>
      </c>
      <c r="K25" s="272">
        <v>9.9093272000283505E-4</v>
      </c>
      <c r="L25" s="272">
        <v>6.8530542510181203E-4</v>
      </c>
      <c r="M25" s="272">
        <v>8.2653524829612302E-5</v>
      </c>
      <c r="N25" s="272">
        <v>0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0.79447673634983307</v>
      </c>
      <c r="C26" s="54">
        <v>4.6137337610328094E-2</v>
      </c>
      <c r="D26" s="55">
        <v>0.75547744998377997</v>
      </c>
      <c r="E26" s="1">
        <v>0.786402203411667</v>
      </c>
      <c r="F26" s="56">
        <v>0.83036185915273963</v>
      </c>
      <c r="G26" s="68">
        <v>1</v>
      </c>
      <c r="H26" s="68">
        <v>-0.70352183894467246</v>
      </c>
      <c r="I26" s="68">
        <v>-0.23203492240196708</v>
      </c>
      <c r="J26" s="68">
        <v>-0.2678009904346309</v>
      </c>
      <c r="K26" s="68">
        <v>-0.15536969125685177</v>
      </c>
      <c r="L26" s="68">
        <v>-9.750886960994079E-2</v>
      </c>
      <c r="M26" s="2">
        <v>-0.14155905280335848</v>
      </c>
      <c r="N26" s="2">
        <v>0.9999999999987963</v>
      </c>
      <c r="O26" s="69"/>
      <c r="R26" s="51" t="str">
        <f>A26</f>
        <v>Nominale matching</v>
      </c>
      <c r="S26" s="52">
        <f>D26</f>
        <v>0.75547744998377997</v>
      </c>
      <c r="T26" s="52">
        <f>B26-D26</f>
        <v>3.8999286366053099E-2</v>
      </c>
      <c r="U26" s="52">
        <f>F26-B26</f>
        <v>3.5885122802906566E-2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1.4009144910847246E-3</v>
      </c>
      <c r="C27" s="54">
        <v>1.61212939674979E-3</v>
      </c>
      <c r="D27" s="55">
        <v>2.7582536295189835E-4</v>
      </c>
      <c r="E27" s="1">
        <v>8.8742791934361977E-4</v>
      </c>
      <c r="F27" s="56">
        <v>1.9007597514297909E-3</v>
      </c>
      <c r="G27" s="68">
        <v>-6.4633918141764803E-3</v>
      </c>
      <c r="H27" s="68">
        <v>3.4300087763745796E-2</v>
      </c>
      <c r="I27" s="68">
        <v>3.04184544882177E-2</v>
      </c>
      <c r="J27" s="68">
        <v>0.15597148655814669</v>
      </c>
      <c r="K27" s="68">
        <v>0.15376021512995644</v>
      </c>
      <c r="L27" s="68">
        <v>1</v>
      </c>
      <c r="M27" s="2">
        <v>-0.13977969012755032</v>
      </c>
      <c r="N27" s="2">
        <v>0.99999999999896072</v>
      </c>
      <c r="O27" s="69"/>
      <c r="R27" s="51" t="str">
        <f t="shared" ref="R27:R33" si="10">A27</f>
        <v>High Yield</v>
      </c>
      <c r="S27" s="52">
        <f t="shared" ref="S27:S33" si="11">D27</f>
        <v>2.7582536295189835E-4</v>
      </c>
      <c r="T27" s="52">
        <f t="shared" ref="T27:T33" si="12">B27-D27</f>
        <v>1.1250891281328263E-3</v>
      </c>
      <c r="U27" s="52">
        <f t="shared" ref="U27:U33" si="13">F27-B27</f>
        <v>4.9984526034506632E-4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4.2378942408924274E-3</v>
      </c>
      <c r="C28" s="54">
        <v>4.0377324378985556E-3</v>
      </c>
      <c r="D28" s="55">
        <v>1.1059534359405473E-3</v>
      </c>
      <c r="E28" s="1">
        <v>3.2499108425310197E-3</v>
      </c>
      <c r="F28" s="56">
        <v>6.054198539674995E-3</v>
      </c>
      <c r="G28" s="68">
        <v>-2.1346294897514585E-2</v>
      </c>
      <c r="H28" s="68">
        <v>0.35733391810525184</v>
      </c>
      <c r="I28" s="68">
        <v>1</v>
      </c>
      <c r="J28" s="68">
        <v>-0.52236628482999792</v>
      </c>
      <c r="K28" s="68">
        <v>-0.19751681409471619</v>
      </c>
      <c r="L28" s="68">
        <v>-0.11027473093182477</v>
      </c>
      <c r="M28" s="2">
        <v>-0.12826832675350441</v>
      </c>
      <c r="N28" s="2">
        <v>0.9999999999988366</v>
      </c>
      <c r="O28" s="69"/>
      <c r="R28" s="51" t="str">
        <f t="shared" si="10"/>
        <v>Emerging market debt</v>
      </c>
      <c r="S28" s="52">
        <f t="shared" si="11"/>
        <v>1.1059534359405473E-3</v>
      </c>
      <c r="T28" s="52">
        <f t="shared" si="12"/>
        <v>3.13194080495188E-3</v>
      </c>
      <c r="U28" s="52">
        <f t="shared" si="13"/>
        <v>1.8163042987825676E-3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3.349955224816404E-4</v>
      </c>
      <c r="C29" s="54">
        <v>5.4628324924040799E-4</v>
      </c>
      <c r="D29" s="55">
        <v>1.1975218922759666E-5</v>
      </c>
      <c r="E29" s="1">
        <v>8.6770619385703572E-5</v>
      </c>
      <c r="F29" s="56">
        <v>4.241836150905279E-4</v>
      </c>
      <c r="G29" s="68">
        <v>-1.3946154268402267E-3</v>
      </c>
      <c r="H29" s="68">
        <v>-1.3545712114461008E-3</v>
      </c>
      <c r="I29" s="68">
        <v>-1.3790000290229996E-2</v>
      </c>
      <c r="J29" s="68">
        <v>7.3425088553480192E-3</v>
      </c>
      <c r="K29" s="68">
        <v>1.8074878383113668E-2</v>
      </c>
      <c r="L29" s="68">
        <v>-6.3386240996391764E-3</v>
      </c>
      <c r="M29" s="2">
        <v>1</v>
      </c>
      <c r="N29" s="2">
        <v>1</v>
      </c>
      <c r="O29" s="69"/>
      <c r="R29" s="51" t="str">
        <f t="shared" si="10"/>
        <v>Aandelen ontwikkeld</v>
      </c>
      <c r="S29" s="52">
        <f t="shared" si="11"/>
        <v>1.1975218922759666E-5</v>
      </c>
      <c r="T29" s="52">
        <f t="shared" si="12"/>
        <v>3.2302030355888076E-4</v>
      </c>
      <c r="U29" s="52">
        <f t="shared" si="13"/>
        <v>8.9188092608887492E-5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2.3854510924821363E-3</v>
      </c>
      <c r="C30" s="54">
        <v>2.5747197968602493E-3</v>
      </c>
      <c r="D30" s="55">
        <v>4.8160178260529287E-4</v>
      </c>
      <c r="E30" s="1">
        <v>1.5102434220369328E-3</v>
      </c>
      <c r="F30" s="56">
        <v>3.5333127638395466E-3</v>
      </c>
      <c r="G30" s="68">
        <v>-7.3853131079497734E-3</v>
      </c>
      <c r="H30" s="68">
        <v>7.4692331011998722E-2</v>
      </c>
      <c r="I30" s="68">
        <v>0.14434115077920356</v>
      </c>
      <c r="J30" s="68">
        <v>1</v>
      </c>
      <c r="K30" s="68">
        <v>-0.48335702093079591</v>
      </c>
      <c r="L30" s="68">
        <v>-0.23069070471280986</v>
      </c>
      <c r="M30" s="2">
        <v>-0.14093630229469134</v>
      </c>
      <c r="N30" s="2">
        <v>0.99999999999885325</v>
      </c>
      <c r="O30" s="69"/>
      <c r="R30" s="51" t="str">
        <f t="shared" si="10"/>
        <v>Aandelen opkomend</v>
      </c>
      <c r="S30" s="52">
        <f t="shared" si="11"/>
        <v>4.8160178260529287E-4</v>
      </c>
      <c r="T30" s="52">
        <f t="shared" si="12"/>
        <v>1.9038493098768434E-3</v>
      </c>
      <c r="U30" s="52">
        <f t="shared" si="13"/>
        <v>1.1478616713574102E-3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0.18988632294306124</v>
      </c>
      <c r="C31" s="54">
        <v>4.2859534755156477E-2</v>
      </c>
      <c r="D31" s="55">
        <v>0.15724552590524715</v>
      </c>
      <c r="E31" s="1">
        <v>0.19529017462335369</v>
      </c>
      <c r="F31" s="56">
        <v>0.22623802475092095</v>
      </c>
      <c r="G31" s="68">
        <v>-0.92784168793688915</v>
      </c>
      <c r="H31" s="68">
        <v>-0.79944797379931198</v>
      </c>
      <c r="I31" s="68">
        <v>-0.25132239086498032</v>
      </c>
      <c r="J31" s="68">
        <v>-0.2771080983184141</v>
      </c>
      <c r="K31" s="68">
        <v>-0.1610052460412498</v>
      </c>
      <c r="L31" s="68">
        <v>-0.10183796752903905</v>
      </c>
      <c r="M31" s="2">
        <v>-0.14334797359214868</v>
      </c>
      <c r="N31" s="2">
        <v>0.99999999999879097</v>
      </c>
      <c r="O31" s="69"/>
      <c r="R31" s="51" t="str">
        <f t="shared" si="10"/>
        <v>Commodities</v>
      </c>
      <c r="S31" s="52">
        <f t="shared" si="11"/>
        <v>0.15724552590524715</v>
      </c>
      <c r="T31" s="52">
        <f t="shared" si="12"/>
        <v>3.2640797037814084E-2</v>
      </c>
      <c r="U31" s="52">
        <f t="shared" si="13"/>
        <v>3.635170180785971E-2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5.7067814978350217E-3</v>
      </c>
      <c r="C32" s="54">
        <v>5.2817462118996458E-3</v>
      </c>
      <c r="D32" s="55">
        <v>1.6262089296399653E-3</v>
      </c>
      <c r="E32" s="1">
        <v>4.0235254926277329E-3</v>
      </c>
      <c r="F32" s="56">
        <v>8.3009620225514766E-3</v>
      </c>
      <c r="G32" s="68">
        <v>-2.9613859031928726E-2</v>
      </c>
      <c r="H32" s="68">
        <v>1</v>
      </c>
      <c r="I32" s="68">
        <v>-0.73553904527783698</v>
      </c>
      <c r="J32" s="68">
        <v>-0.31149739508875091</v>
      </c>
      <c r="K32" s="68">
        <v>-0.17458632118956488</v>
      </c>
      <c r="L32" s="68">
        <v>-0.11482340643159547</v>
      </c>
      <c r="M32" s="2">
        <v>-0.14557879964433179</v>
      </c>
      <c r="N32" s="2">
        <v>0.9999999999988114</v>
      </c>
      <c r="O32" s="69"/>
      <c r="R32" s="51" t="str">
        <f t="shared" si="10"/>
        <v>Hedge funds</v>
      </c>
      <c r="S32" s="52">
        <f t="shared" si="11"/>
        <v>1.6262089296399653E-3</v>
      </c>
      <c r="T32" s="52">
        <f t="shared" si="12"/>
        <v>4.0805725681950563E-3</v>
      </c>
      <c r="U32" s="52">
        <f t="shared" si="13"/>
        <v>2.5941805247164549E-3</v>
      </c>
    </row>
    <row r="33" spans="1:30">
      <c r="A33" s="60" t="str">
        <f t="shared" si="9"/>
        <v>Onroerend goed</v>
      </c>
      <c r="B33" s="61">
        <v>1.5709038623292449E-3</v>
      </c>
      <c r="C33" s="62">
        <v>1.8848255374710127E-3</v>
      </c>
      <c r="D33" s="63">
        <v>2.9502260887497099E-4</v>
      </c>
      <c r="E33" s="61">
        <v>8.8626065688373083E-4</v>
      </c>
      <c r="F33" s="64">
        <v>2.0847046166810332E-3</v>
      </c>
      <c r="G33" s="70">
        <v>-5.9548377847012243E-3</v>
      </c>
      <c r="H33" s="70">
        <v>3.7998047074388107E-2</v>
      </c>
      <c r="I33" s="70">
        <v>5.7926753567559899E-2</v>
      </c>
      <c r="J33" s="70">
        <v>0.2154587732582105</v>
      </c>
      <c r="K33" s="70">
        <v>1</v>
      </c>
      <c r="L33" s="70">
        <v>-0.33852569668525601</v>
      </c>
      <c r="M33" s="65">
        <v>-0.16052985478556464</v>
      </c>
      <c r="N33" s="65">
        <v>0.99999999999889566</v>
      </c>
      <c r="O33" s="71"/>
      <c r="R33" s="51" t="str">
        <f t="shared" si="10"/>
        <v>Onroerend goed</v>
      </c>
      <c r="S33" s="52">
        <f t="shared" si="11"/>
        <v>2.9502260887497099E-4</v>
      </c>
      <c r="T33" s="52">
        <f t="shared" si="12"/>
        <v>1.275881253454274E-3</v>
      </c>
      <c r="U33" s="52">
        <f t="shared" si="13"/>
        <v>5.138007543517883E-4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377" t="s">
        <v>64</v>
      </c>
      <c r="E35" s="378"/>
      <c r="F35" s="379"/>
      <c r="G35" s="377" t="s">
        <v>65</v>
      </c>
      <c r="H35" s="378"/>
      <c r="I35" s="378"/>
      <c r="J35" s="378"/>
      <c r="K35" s="378"/>
      <c r="L35" s="378"/>
      <c r="M35" s="378"/>
      <c r="N35" s="378"/>
      <c r="O35" s="379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0.53905893221105272</v>
      </c>
      <c r="H36" s="272">
        <v>0.3324070068530639</v>
      </c>
      <c r="I36" s="272">
        <v>0.1071429612352407</v>
      </c>
      <c r="J36" s="272">
        <v>9.4615997511644512E-3</v>
      </c>
      <c r="K36" s="272">
        <v>9.0640588450892068E-3</v>
      </c>
      <c r="L36" s="272">
        <v>2.5512659838050622E-3</v>
      </c>
      <c r="M36" s="272">
        <v>3.1417512058562469E-4</v>
      </c>
      <c r="N36" s="272">
        <v>-2.2204460492503131E-16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0.58378604519696453</v>
      </c>
      <c r="C37" s="54">
        <v>3.0471162538048168E-2</v>
      </c>
      <c r="D37" s="55">
        <v>0.56120903050930782</v>
      </c>
      <c r="E37" s="1">
        <v>0.58375162104999778</v>
      </c>
      <c r="F37" s="56">
        <v>0.60633849743698587</v>
      </c>
      <c r="G37" s="2">
        <v>-0.19358158402879264</v>
      </c>
      <c r="H37" s="2">
        <v>-0.66027638588789372</v>
      </c>
      <c r="I37" s="2">
        <v>0.28906692771641845</v>
      </c>
      <c r="J37" s="2">
        <v>-0.12446996460727187</v>
      </c>
      <c r="K37" s="2">
        <v>-0.43142571239520294</v>
      </c>
      <c r="L37" s="2">
        <v>1.8089865593209516E-2</v>
      </c>
      <c r="M37" s="2">
        <v>1</v>
      </c>
      <c r="N37" s="2">
        <v>1</v>
      </c>
      <c r="O37" s="57"/>
      <c r="R37" s="51" t="str">
        <f>A37</f>
        <v>Nominale matching</v>
      </c>
      <c r="S37" s="52">
        <f>D37</f>
        <v>0.56120903050930782</v>
      </c>
      <c r="T37" s="52">
        <f>B37-D37</f>
        <v>2.2577014687656716E-2</v>
      </c>
      <c r="U37" s="52">
        <f>F37-B37</f>
        <v>2.2552452240021337E-2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0.11253317524093152</v>
      </c>
      <c r="C38" s="54">
        <v>6.4453517396026144E-2</v>
      </c>
      <c r="D38" s="55">
        <v>6.2448590710749013E-2</v>
      </c>
      <c r="E38" s="1">
        <v>0.10781115762683365</v>
      </c>
      <c r="F38" s="56">
        <v>0.15083085075382008</v>
      </c>
      <c r="G38" s="2">
        <v>1</v>
      </c>
      <c r="H38" s="2">
        <v>0.45187846964114747</v>
      </c>
      <c r="I38" s="2">
        <v>-0.12153684713444039</v>
      </c>
      <c r="J38" s="2">
        <v>-0.12101632230595262</v>
      </c>
      <c r="K38" s="2">
        <v>-0.23928106435464849</v>
      </c>
      <c r="L38" s="2">
        <v>-0.14176497618167125</v>
      </c>
      <c r="M38" s="2">
        <v>0.18156545537387098</v>
      </c>
      <c r="N38" s="2">
        <v>0.99999999999996181</v>
      </c>
      <c r="O38" s="57"/>
      <c r="R38" s="51" t="str">
        <f t="shared" ref="R38:R44" si="15">A38</f>
        <v>High Yield</v>
      </c>
      <c r="S38" s="52">
        <f t="shared" ref="S38:S44" si="16">D38</f>
        <v>6.2448590710749013E-2</v>
      </c>
      <c r="T38" s="52">
        <f t="shared" ref="T38:T44" si="17">B38-D38</f>
        <v>5.008458453018251E-2</v>
      </c>
      <c r="U38" s="52">
        <f t="shared" ref="U38:U44" si="18">F38-B38</f>
        <v>3.8297675512888554E-2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8.3811649100526769E-2</v>
      </c>
      <c r="C39" s="54">
        <v>5.7261604691176131E-2</v>
      </c>
      <c r="D39" s="55">
        <v>3.7677342876710616E-2</v>
      </c>
      <c r="E39" s="1">
        <v>7.1584396123284197E-2</v>
      </c>
      <c r="F39" s="56">
        <v>0.12313971803245673</v>
      </c>
      <c r="G39" s="2">
        <v>-0.64214616296773608</v>
      </c>
      <c r="H39" s="2">
        <v>1</v>
      </c>
      <c r="I39" s="2">
        <v>-0.27801174132882811</v>
      </c>
      <c r="J39" s="2">
        <v>-0.12374933278062605</v>
      </c>
      <c r="K39" s="2">
        <v>-0.21304881603712081</v>
      </c>
      <c r="L39" s="2">
        <v>-0.1304724303207028</v>
      </c>
      <c r="M39" s="2">
        <v>0.15489022551851983</v>
      </c>
      <c r="N39" s="2">
        <v>0.99999999999995992</v>
      </c>
      <c r="O39" s="57"/>
      <c r="R39" s="51" t="str">
        <f t="shared" si="15"/>
        <v>Emerging market debt</v>
      </c>
      <c r="S39" s="52">
        <f t="shared" si="16"/>
        <v>3.7677342876710616E-2</v>
      </c>
      <c r="T39" s="52">
        <f t="shared" si="17"/>
        <v>4.6134306223816153E-2</v>
      </c>
      <c r="U39" s="52">
        <f t="shared" si="18"/>
        <v>3.9328068931929958E-2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5.1040179768253417E-3</v>
      </c>
      <c r="C40" s="54">
        <v>4.7328924619479858E-3</v>
      </c>
      <c r="D40" s="55">
        <v>1.4218075708754406E-3</v>
      </c>
      <c r="E40" s="1">
        <v>3.7492871951570216E-3</v>
      </c>
      <c r="F40" s="56">
        <v>7.5600555178240141E-3</v>
      </c>
      <c r="G40" s="2">
        <v>7.3749462840222019E-3</v>
      </c>
      <c r="H40" s="2">
        <v>-1.2942542677094769E-2</v>
      </c>
      <c r="I40" s="2">
        <v>2.5368744703669248E-3</v>
      </c>
      <c r="J40" s="2">
        <v>-1.4371030486038256E-2</v>
      </c>
      <c r="K40" s="2">
        <v>-9.2573952634826526E-2</v>
      </c>
      <c r="L40" s="2">
        <v>1</v>
      </c>
      <c r="M40" s="2">
        <v>-0.39132867706510227</v>
      </c>
      <c r="N40" s="2">
        <v>0.99999999999993561</v>
      </c>
      <c r="O40" s="57"/>
      <c r="R40" s="51" t="str">
        <f t="shared" si="15"/>
        <v>Aandelen ontwikkeld</v>
      </c>
      <c r="S40" s="52">
        <f t="shared" si="16"/>
        <v>1.4218075708754406E-3</v>
      </c>
      <c r="T40" s="52">
        <f t="shared" si="17"/>
        <v>3.6822104059499013E-3</v>
      </c>
      <c r="U40" s="52">
        <f t="shared" si="18"/>
        <v>2.4560375409986724E-3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7.1173811035827622E-2</v>
      </c>
      <c r="C41" s="54">
        <v>3.4679440355180197E-2</v>
      </c>
      <c r="D41" s="55">
        <v>4.637821717383607E-2</v>
      </c>
      <c r="E41" s="1">
        <v>6.9084870616359026E-2</v>
      </c>
      <c r="F41" s="56">
        <v>9.533741448286906E-2</v>
      </c>
      <c r="G41" s="2">
        <v>-8.5806697975859714E-2</v>
      </c>
      <c r="H41" s="2">
        <v>-0.64003421721369591</v>
      </c>
      <c r="I41" s="2">
        <v>-0.96384605278387248</v>
      </c>
      <c r="J41" s="2">
        <v>-0.13984704575892648</v>
      </c>
      <c r="K41" s="2">
        <v>-9.1648010707888958E-2</v>
      </c>
      <c r="L41" s="2">
        <v>-0.29129029040767085</v>
      </c>
      <c r="M41" s="2">
        <v>-0.55963621814357245</v>
      </c>
      <c r="N41" s="2">
        <v>0.9999999999999265</v>
      </c>
      <c r="O41" s="57"/>
      <c r="R41" s="51" t="str">
        <f t="shared" si="15"/>
        <v>Aandelen opkomend</v>
      </c>
      <c r="S41" s="52">
        <f t="shared" si="16"/>
        <v>4.637821717383607E-2</v>
      </c>
      <c r="T41" s="52">
        <f t="shared" si="17"/>
        <v>2.4795593861991552E-2</v>
      </c>
      <c r="U41" s="52">
        <f t="shared" si="18"/>
        <v>2.4163603447041437E-2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0.12134611838043381</v>
      </c>
      <c r="C42" s="54">
        <v>2.3914855964756204E-2</v>
      </c>
      <c r="D42" s="55">
        <v>0.10331556514373805</v>
      </c>
      <c r="E42" s="1">
        <v>0.12200400139006475</v>
      </c>
      <c r="F42" s="56">
        <v>0.13889506243054861</v>
      </c>
      <c r="G42" s="2">
        <v>-8.3576575391226079E-2</v>
      </c>
      <c r="H42" s="2">
        <v>-9.144214566933849E-2</v>
      </c>
      <c r="I42" s="2">
        <v>1</v>
      </c>
      <c r="J42" s="2">
        <v>-0.18215655842875378</v>
      </c>
      <c r="K42" s="2">
        <v>-8.7335298976653306E-2</v>
      </c>
      <c r="L42" s="2">
        <v>-0.33698168362989261</v>
      </c>
      <c r="M42" s="2">
        <v>-0.77420526780939436</v>
      </c>
      <c r="N42" s="2">
        <v>0.99999999999991651</v>
      </c>
      <c r="O42" s="57"/>
      <c r="R42" s="51" t="str">
        <f t="shared" si="15"/>
        <v>Commodities</v>
      </c>
      <c r="S42" s="52">
        <f t="shared" si="16"/>
        <v>0.10331556514373805</v>
      </c>
      <c r="T42" s="52">
        <f t="shared" si="17"/>
        <v>1.8030553236695765E-2</v>
      </c>
      <c r="U42" s="52">
        <f t="shared" si="18"/>
        <v>1.7548944050114798E-2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1.1127211724018647E-2</v>
      </c>
      <c r="C43" s="54">
        <v>8.9002581780891505E-3</v>
      </c>
      <c r="D43" s="55">
        <v>4.0994257054868515E-3</v>
      </c>
      <c r="E43" s="1">
        <v>8.873784444772756E-3</v>
      </c>
      <c r="F43" s="56">
        <v>1.6111359707166373E-2</v>
      </c>
      <c r="G43" s="2">
        <v>5.715320988195831E-3</v>
      </c>
      <c r="H43" s="2">
        <v>-2.8648963385099511E-2</v>
      </c>
      <c r="I43" s="2">
        <v>2.8986946013421205E-2</v>
      </c>
      <c r="J43" s="2">
        <v>-0.29438974563243125</v>
      </c>
      <c r="K43" s="2">
        <v>1</v>
      </c>
      <c r="L43" s="2">
        <v>9.4106284272886542E-4</v>
      </c>
      <c r="M43" s="2">
        <v>0.34612326662623938</v>
      </c>
      <c r="N43" s="2">
        <v>0.99999999999996902</v>
      </c>
      <c r="O43" s="57"/>
      <c r="R43" s="51" t="str">
        <f t="shared" si="15"/>
        <v>Hedge funds</v>
      </c>
      <c r="S43" s="52">
        <f t="shared" si="16"/>
        <v>4.0994257054868515E-3</v>
      </c>
      <c r="T43" s="52">
        <f t="shared" si="17"/>
        <v>7.0277860185317953E-3</v>
      </c>
      <c r="U43" s="52">
        <f t="shared" si="18"/>
        <v>4.984147983147726E-3</v>
      </c>
    </row>
    <row r="44" spans="1:30">
      <c r="A44" s="60" t="str">
        <f t="shared" si="14"/>
        <v>Onroerend goed</v>
      </c>
      <c r="B44" s="61">
        <v>1.1117971344471874E-2</v>
      </c>
      <c r="C44" s="62">
        <v>9.283861493792657E-3</v>
      </c>
      <c r="D44" s="63">
        <v>3.5851280025402605E-3</v>
      </c>
      <c r="E44" s="61">
        <v>9.2267074890332347E-3</v>
      </c>
      <c r="F44" s="64">
        <v>1.6406765314647027E-2</v>
      </c>
      <c r="G44" s="65">
        <v>-7.9792469086035732E-3</v>
      </c>
      <c r="H44" s="65">
        <v>-1.8534214808025237E-2</v>
      </c>
      <c r="I44" s="65">
        <v>4.2803893046934063E-2</v>
      </c>
      <c r="J44" s="65">
        <v>1</v>
      </c>
      <c r="K44" s="65">
        <v>0.15531285510634132</v>
      </c>
      <c r="L44" s="65">
        <v>-0.11852154789600122</v>
      </c>
      <c r="M44" s="65">
        <v>4.2591215499333812E-2</v>
      </c>
      <c r="N44" s="65">
        <v>0.99999999999995492</v>
      </c>
      <c r="O44" s="66"/>
      <c r="R44" s="51" t="str">
        <f t="shared" si="15"/>
        <v>Onroerend goed</v>
      </c>
      <c r="S44" s="52">
        <f t="shared" si="16"/>
        <v>3.5851280025402605E-3</v>
      </c>
      <c r="T44" s="52">
        <f t="shared" si="17"/>
        <v>7.5328433419316132E-3</v>
      </c>
      <c r="U44" s="52">
        <f t="shared" si="18"/>
        <v>5.2887939701751537E-3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377" t="s">
        <v>64</v>
      </c>
      <c r="E46" s="378"/>
      <c r="F46" s="379"/>
      <c r="G46" s="377" t="s">
        <v>65</v>
      </c>
      <c r="H46" s="378"/>
      <c r="I46" s="378"/>
      <c r="J46" s="378"/>
      <c r="K46" s="378"/>
      <c r="L46" s="378"/>
      <c r="M46" s="378"/>
      <c r="N46" s="378"/>
      <c r="O46" s="379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0.54118589824823671</v>
      </c>
      <c r="H47" s="272">
        <v>0.16075397461785046</v>
      </c>
      <c r="I47" s="272">
        <v>0.10906250755671143</v>
      </c>
      <c r="J47" s="272">
        <v>7.4821251842865477E-2</v>
      </c>
      <c r="K47" s="272">
        <v>5.2670035630316137E-2</v>
      </c>
      <c r="L47" s="272">
        <v>3.7188245385312624E-2</v>
      </c>
      <c r="M47" s="272">
        <v>2.4318086718709719E-2</v>
      </c>
      <c r="N47" s="272">
        <v>0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0.99947160164209059</v>
      </c>
      <c r="C48" s="54">
        <v>2.8205686464866412E-4</v>
      </c>
      <c r="D48" s="55">
        <v>0.99924828532718957</v>
      </c>
      <c r="E48" s="1">
        <v>0.99948802058573949</v>
      </c>
      <c r="F48" s="56">
        <v>0.99968543560516487</v>
      </c>
      <c r="G48" s="68">
        <v>1</v>
      </c>
      <c r="H48" s="68">
        <v>-0.16849563077725768</v>
      </c>
      <c r="I48" s="68">
        <v>-0.38401165266467174</v>
      </c>
      <c r="J48" s="68">
        <v>-0.12862651734212191</v>
      </c>
      <c r="K48" s="68">
        <v>-0.13721518601651714</v>
      </c>
      <c r="L48" s="68">
        <v>-0.10985849164430667</v>
      </c>
      <c r="M48" s="2">
        <v>-0.11934877226177983</v>
      </c>
      <c r="N48" s="2">
        <v>0.99999999999997624</v>
      </c>
      <c r="O48" s="69"/>
      <c r="R48" s="51" t="str">
        <f>A48</f>
        <v>Nominale matching</v>
      </c>
      <c r="S48" s="52">
        <f>D48</f>
        <v>0.99924828532718957</v>
      </c>
      <c r="T48" s="52">
        <f>B48-D48</f>
        <v>2.2331631490102311E-4</v>
      </c>
      <c r="U48" s="52">
        <f>F48-B48</f>
        <v>2.138339630742836E-4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7.1442995309200859E-5</v>
      </c>
      <c r="C49" s="54">
        <v>1.2293613372039465E-4</v>
      </c>
      <c r="D49" s="55">
        <v>1.2651367182479883E-6</v>
      </c>
      <c r="E49" s="1">
        <v>1.7786459825796677E-5</v>
      </c>
      <c r="F49" s="56">
        <v>7.7083672660865357E-5</v>
      </c>
      <c r="G49" s="68">
        <v>-8.7226368521035741E-2</v>
      </c>
      <c r="H49" s="68">
        <v>9.0687333655751351E-2</v>
      </c>
      <c r="I49" s="68">
        <v>1</v>
      </c>
      <c r="J49" s="68">
        <v>-0.73978771166232682</v>
      </c>
      <c r="K49" s="68">
        <v>-0.3251806611426839</v>
      </c>
      <c r="L49" s="68">
        <v>-0.23833126454683706</v>
      </c>
      <c r="M49" s="2">
        <v>-7.3391019685340841E-2</v>
      </c>
      <c r="N49" s="2">
        <v>0.99999999999995715</v>
      </c>
      <c r="O49" s="69"/>
      <c r="R49" s="51" t="str">
        <f t="shared" ref="R49:R55" si="20">A49</f>
        <v>High Yield</v>
      </c>
      <c r="S49" s="52">
        <f t="shared" ref="S49:S55" si="21">D49</f>
        <v>1.2651367182479883E-6</v>
      </c>
      <c r="T49" s="52">
        <f t="shared" ref="T49:T55" si="22">B49-D49</f>
        <v>7.0177858590952867E-5</v>
      </c>
      <c r="U49" s="52">
        <f t="shared" ref="U49:U55" si="23">F49-B49</f>
        <v>5.6406773516644971E-6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4.9626555758292613E-5</v>
      </c>
      <c r="C50" s="54">
        <v>7.9516025949855467E-5</v>
      </c>
      <c r="D50" s="55">
        <v>7.5031229047495546E-7</v>
      </c>
      <c r="E50" s="1">
        <v>1.2491370806841269E-5</v>
      </c>
      <c r="F50" s="56">
        <v>6.4084712447377723E-5</v>
      </c>
      <c r="G50" s="68">
        <v>-2.9938933122403005E-2</v>
      </c>
      <c r="H50" s="68">
        <v>4.0794414000621074E-2</v>
      </c>
      <c r="I50" s="68">
        <v>0.1953894067455659</v>
      </c>
      <c r="J50" s="68">
        <v>3.0729500813939631E-2</v>
      </c>
      <c r="K50" s="68">
        <v>0.22313422867630223</v>
      </c>
      <c r="L50" s="68">
        <v>1</v>
      </c>
      <c r="M50" s="2">
        <v>-0.34871925388990022</v>
      </c>
      <c r="N50" s="2">
        <v>0.99999999999995237</v>
      </c>
      <c r="O50" s="69"/>
      <c r="R50" s="51" t="str">
        <f t="shared" si="20"/>
        <v>Emerging market debt</v>
      </c>
      <c r="S50" s="52">
        <f t="shared" si="21"/>
        <v>7.5031229047495546E-7</v>
      </c>
      <c r="T50" s="52">
        <f t="shared" si="22"/>
        <v>4.8876243467817654E-5</v>
      </c>
      <c r="U50" s="52">
        <f t="shared" si="23"/>
        <v>1.4458156689085111E-5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3.5070305206400878E-5</v>
      </c>
      <c r="C51" s="54">
        <v>6.4394436667678423E-5</v>
      </c>
      <c r="D51" s="55">
        <v>2.1374139330750976E-7</v>
      </c>
      <c r="E51" s="1">
        <v>6.1371069240161015E-6</v>
      </c>
      <c r="F51" s="56">
        <v>4.100323539326065E-5</v>
      </c>
      <c r="G51" s="68">
        <v>5.8053564480286613E-3</v>
      </c>
      <c r="H51" s="68">
        <v>-5.1313863300370176E-3</v>
      </c>
      <c r="I51" s="68">
        <v>1.7949162291872007E-2</v>
      </c>
      <c r="J51" s="68">
        <v>3.9286636546686814E-2</v>
      </c>
      <c r="K51" s="68">
        <v>7.8307679906989849E-2</v>
      </c>
      <c r="L51" s="68">
        <v>0.21253361743954974</v>
      </c>
      <c r="M51" s="2">
        <v>1</v>
      </c>
      <c r="N51" s="2">
        <v>1</v>
      </c>
      <c r="O51" s="69"/>
      <c r="R51" s="51" t="str">
        <f t="shared" si="20"/>
        <v>Aandelen ontwikkeld</v>
      </c>
      <c r="S51" s="52">
        <f t="shared" si="21"/>
        <v>2.1374139330750976E-7</v>
      </c>
      <c r="T51" s="52">
        <f t="shared" si="22"/>
        <v>3.4856563813093367E-5</v>
      </c>
      <c r="U51" s="52">
        <f t="shared" si="23"/>
        <v>5.9329301868597719E-6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6.2774894016195308E-5</v>
      </c>
      <c r="C52" s="54">
        <v>1.1019881534942268E-4</v>
      </c>
      <c r="D52" s="55">
        <v>6.8423821355905961E-7</v>
      </c>
      <c r="E52" s="1">
        <v>1.3175937654205001E-5</v>
      </c>
      <c r="F52" s="56">
        <v>7.0610315760666288E-5</v>
      </c>
      <c r="G52" s="68">
        <v>-8.0624369398997961E-2</v>
      </c>
      <c r="H52" s="68">
        <v>4.3834240534011158E-2</v>
      </c>
      <c r="I52" s="68">
        <v>0.35770392724094541</v>
      </c>
      <c r="J52" s="68">
        <v>1</v>
      </c>
      <c r="K52" s="68">
        <v>-0.53462011350012517</v>
      </c>
      <c r="L52" s="68">
        <v>-0.18007732932788542</v>
      </c>
      <c r="M52" s="2">
        <v>-0.11371330936639612</v>
      </c>
      <c r="N52" s="2">
        <v>0.99999999999999056</v>
      </c>
      <c r="O52" s="69"/>
      <c r="R52" s="51" t="str">
        <f t="shared" si="20"/>
        <v>Aandelen opkomend</v>
      </c>
      <c r="S52" s="52">
        <f t="shared" si="21"/>
        <v>6.8423821355905961E-7</v>
      </c>
      <c r="T52" s="52">
        <f t="shared" si="22"/>
        <v>6.2090655802636246E-5</v>
      </c>
      <c r="U52" s="52">
        <f t="shared" si="23"/>
        <v>7.8354217444709796E-6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5.1498963021288508E-5</v>
      </c>
      <c r="C53" s="54">
        <v>9.3003331782357478E-5</v>
      </c>
      <c r="D53" s="55">
        <v>4.3932204879561991E-7</v>
      </c>
      <c r="E53" s="1">
        <v>9.0686647297216098E-6</v>
      </c>
      <c r="F53" s="56">
        <v>5.7087935191231168E-5</v>
      </c>
      <c r="G53" s="68">
        <v>-4.6114841014475841E-2</v>
      </c>
      <c r="H53" s="68">
        <v>-2.1681549018052132E-3</v>
      </c>
      <c r="I53" s="68">
        <v>0.20839862844831578</v>
      </c>
      <c r="J53" s="68">
        <v>0.20462689350599411</v>
      </c>
      <c r="K53" s="68">
        <v>1</v>
      </c>
      <c r="L53" s="68">
        <v>-0.46209608279838871</v>
      </c>
      <c r="M53" s="2">
        <v>-0.13378020994547066</v>
      </c>
      <c r="N53" s="2">
        <v>0.99999999999989808</v>
      </c>
      <c r="O53" s="69"/>
      <c r="R53" s="51" t="str">
        <f t="shared" si="20"/>
        <v>Commodities</v>
      </c>
      <c r="S53" s="52">
        <f t="shared" si="21"/>
        <v>4.3932204879561991E-7</v>
      </c>
      <c r="T53" s="52">
        <f t="shared" si="22"/>
        <v>5.105964097249289E-5</v>
      </c>
      <c r="U53" s="52">
        <f t="shared" si="23"/>
        <v>5.5889721699426599E-6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1.5177480013465742E-4</v>
      </c>
      <c r="C54" s="54">
        <v>1.8981373734335298E-4</v>
      </c>
      <c r="D54" s="55">
        <v>9.4053622002993032E-6</v>
      </c>
      <c r="E54" s="1">
        <v>7.1983019616651746E-5</v>
      </c>
      <c r="F54" s="56">
        <v>2.4508811076561865E-4</v>
      </c>
      <c r="G54" s="68">
        <v>-0.47160902200396643</v>
      </c>
      <c r="H54" s="68">
        <v>-0.99952081618129873</v>
      </c>
      <c r="I54" s="68">
        <v>-0.60861147889716838</v>
      </c>
      <c r="J54" s="68">
        <v>-0.20365009087889838</v>
      </c>
      <c r="K54" s="68">
        <v>-0.16388805331482903</v>
      </c>
      <c r="L54" s="68">
        <v>-9.6253679285253455E-2</v>
      </c>
      <c r="M54" s="2">
        <v>-0.11084905271413668</v>
      </c>
      <c r="N54" s="2">
        <v>0.99999999999995415</v>
      </c>
      <c r="O54" s="69"/>
      <c r="R54" s="51" t="str">
        <f t="shared" si="20"/>
        <v>Hedge funds</v>
      </c>
      <c r="S54" s="52">
        <f t="shared" si="21"/>
        <v>9.4053622002993032E-6</v>
      </c>
      <c r="T54" s="52">
        <f t="shared" si="22"/>
        <v>1.4236943793435812E-4</v>
      </c>
      <c r="U54" s="52">
        <f t="shared" si="23"/>
        <v>9.3313310630961226E-5</v>
      </c>
    </row>
    <row r="55" spans="1:36">
      <c r="A55" s="60" t="str">
        <f t="shared" si="19"/>
        <v>Onroerend goed</v>
      </c>
      <c r="B55" s="61">
        <v>1.0620984446309362E-4</v>
      </c>
      <c r="C55" s="62">
        <v>1.6585379316586311E-4</v>
      </c>
      <c r="D55" s="63">
        <v>1.9503727261395423E-6</v>
      </c>
      <c r="E55" s="61">
        <v>2.8083263100734865E-5</v>
      </c>
      <c r="F55" s="64">
        <v>1.4021550252653136E-4</v>
      </c>
      <c r="G55" s="70">
        <v>-0.29029182238716633</v>
      </c>
      <c r="H55" s="70">
        <v>1</v>
      </c>
      <c r="I55" s="70">
        <v>-0.78681799316484224</v>
      </c>
      <c r="J55" s="70">
        <v>-0.20257871098329122</v>
      </c>
      <c r="K55" s="70">
        <v>-0.14053789460905822</v>
      </c>
      <c r="L55" s="70">
        <v>-0.1259167698369007</v>
      </c>
      <c r="M55" s="65">
        <v>-0.10019838213702092</v>
      </c>
      <c r="N55" s="65">
        <v>0.99999999999997158</v>
      </c>
      <c r="O55" s="71"/>
      <c r="R55" s="51" t="str">
        <f t="shared" si="20"/>
        <v>Onroerend goed</v>
      </c>
      <c r="S55" s="52">
        <f t="shared" si="21"/>
        <v>1.9503727261395423E-6</v>
      </c>
      <c r="T55" s="52">
        <f t="shared" si="22"/>
        <v>1.0425947173695408E-4</v>
      </c>
      <c r="U55" s="52">
        <f t="shared" si="23"/>
        <v>3.4005658063437737E-5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377" t="s">
        <v>64</v>
      </c>
      <c r="E57" s="378"/>
      <c r="F57" s="379"/>
      <c r="G57" s="377" t="s">
        <v>65</v>
      </c>
      <c r="H57" s="378"/>
      <c r="I57" s="378"/>
      <c r="J57" s="378"/>
      <c r="K57" s="378"/>
      <c r="L57" s="378"/>
      <c r="M57" s="378"/>
      <c r="N57" s="378"/>
      <c r="O57" s="379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0.55471650734164912</v>
      </c>
      <c r="H58" s="272">
        <v>0.23843113411521399</v>
      </c>
      <c r="I58" s="272">
        <v>7.1776420471453384E-2</v>
      </c>
      <c r="J58" s="272">
        <v>5.085634233550107E-2</v>
      </c>
      <c r="K58" s="272">
        <v>4.2843395417051844E-2</v>
      </c>
      <c r="L58" s="272">
        <v>2.3654169811664683E-2</v>
      </c>
      <c r="M58" s="272">
        <v>1.7722030507469455E-2</v>
      </c>
      <c r="N58" s="272">
        <v>0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0.90955201321406165</v>
      </c>
      <c r="C59" s="54">
        <v>9.983269599436336E-4</v>
      </c>
      <c r="D59" s="55">
        <v>0.90878898365554384</v>
      </c>
      <c r="E59" s="1">
        <v>0.90928660455450405</v>
      </c>
      <c r="F59" s="56">
        <v>0.91011767795635534</v>
      </c>
      <c r="G59" s="2">
        <v>-0.36941233324961237</v>
      </c>
      <c r="H59" s="2">
        <v>1</v>
      </c>
      <c r="I59" s="2">
        <v>-0.87113621323330415</v>
      </c>
      <c r="J59" s="2">
        <v>0.18764968101203763</v>
      </c>
      <c r="K59" s="2">
        <v>6.6169569178629692E-2</v>
      </c>
      <c r="L59" s="2">
        <v>-0.18851141541609814</v>
      </c>
      <c r="M59" s="2">
        <v>-2.6328642021973745E-2</v>
      </c>
      <c r="N59" s="2">
        <v>0.99999999999998113</v>
      </c>
      <c r="O59" s="69"/>
      <c r="R59" s="51" t="str">
        <f>A59</f>
        <v>Nominale matching</v>
      </c>
      <c r="S59" s="52">
        <f>D59</f>
        <v>0.90878898365554384</v>
      </c>
      <c r="T59" s="52">
        <f>B59-D59</f>
        <v>7.6302955851781373E-4</v>
      </c>
      <c r="U59" s="52">
        <f>F59-B59</f>
        <v>5.6566474229369224E-4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2.7387716588033405E-4</v>
      </c>
      <c r="C60" s="54">
        <v>4.5092018980808613E-4</v>
      </c>
      <c r="D60" s="55">
        <v>3.0746065188637067E-6</v>
      </c>
      <c r="E60" s="1">
        <v>6.5993773360177929E-5</v>
      </c>
      <c r="F60" s="56">
        <v>3.3914113139447684E-4</v>
      </c>
      <c r="G60" s="2">
        <v>8.2849131120521623E-3</v>
      </c>
      <c r="H60" s="2">
        <v>-3.4389855648127382E-2</v>
      </c>
      <c r="I60" s="2">
        <v>0.58648995228281253</v>
      </c>
      <c r="J60" s="2">
        <v>-0.39796588323578119</v>
      </c>
      <c r="K60" s="2">
        <v>1</v>
      </c>
      <c r="L60" s="2">
        <v>-0.41647451130552182</v>
      </c>
      <c r="M60" s="2">
        <v>-1.8081807243380994E-3</v>
      </c>
      <c r="N60" s="2">
        <v>0.99999999999999556</v>
      </c>
      <c r="O60" s="69"/>
      <c r="R60" s="51" t="str">
        <f t="shared" ref="R60:R66" si="25">A60</f>
        <v>High Yield</v>
      </c>
      <c r="S60" s="52">
        <f t="shared" ref="S60:S66" si="26">D60</f>
        <v>3.0746065188637067E-6</v>
      </c>
      <c r="T60" s="52">
        <f t="shared" ref="T60:T66" si="27">B60-D60</f>
        <v>2.7080255936147034E-4</v>
      </c>
      <c r="U60" s="52">
        <f t="shared" ref="U60:U66" si="28">F60-B60</f>
        <v>6.5263965514142787E-5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3.0662190230854345E-4</v>
      </c>
      <c r="C61" s="54">
        <v>5.0392073902240126E-4</v>
      </c>
      <c r="D61" s="55">
        <v>6.5010607693397921E-6</v>
      </c>
      <c r="E61" s="1">
        <v>8.318665552243512E-5</v>
      </c>
      <c r="F61" s="56">
        <v>3.7416160474185221E-4</v>
      </c>
      <c r="G61" s="2">
        <v>-4.5893837438909001E-3</v>
      </c>
      <c r="H61" s="2">
        <v>1.2169412066343598E-2</v>
      </c>
      <c r="I61" s="2">
        <v>1</v>
      </c>
      <c r="J61" s="2">
        <v>1</v>
      </c>
      <c r="K61" s="2">
        <v>-0.22443628631473028</v>
      </c>
      <c r="L61" s="2">
        <v>-0.25814835491499472</v>
      </c>
      <c r="M61" s="2">
        <v>-3.8789043204289907E-2</v>
      </c>
      <c r="N61" s="2">
        <v>0.99999999999999845</v>
      </c>
      <c r="O61" s="69"/>
      <c r="R61" s="51" t="str">
        <f t="shared" si="25"/>
        <v>Emerging market debt</v>
      </c>
      <c r="S61" s="52">
        <f t="shared" si="26"/>
        <v>6.5010607693397921E-6</v>
      </c>
      <c r="T61" s="52">
        <f t="shared" si="27"/>
        <v>3.0012084153920368E-4</v>
      </c>
      <c r="U61" s="52">
        <f t="shared" si="28"/>
        <v>6.7539702433308763E-5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1.6747939491343737E-4</v>
      </c>
      <c r="C62" s="54">
        <v>3.1312940345163694E-4</v>
      </c>
      <c r="D62" s="55">
        <v>5.9048162095753997E-7</v>
      </c>
      <c r="E62" s="1">
        <v>1.5688705718492514E-5</v>
      </c>
      <c r="F62" s="56">
        <v>1.9407849365520263E-4</v>
      </c>
      <c r="G62" s="2">
        <v>1.8644543719626181E-2</v>
      </c>
      <c r="H62" s="2">
        <v>-9.2119492357819917E-3</v>
      </c>
      <c r="I62" s="2">
        <v>0.11999022100194778</v>
      </c>
      <c r="J62" s="2">
        <v>-7.0040996918564899E-2</v>
      </c>
      <c r="K62" s="2">
        <v>8.0062683314792243E-2</v>
      </c>
      <c r="L62" s="2">
        <v>1</v>
      </c>
      <c r="M62" s="2">
        <v>-0.75754748194617172</v>
      </c>
      <c r="N62" s="2">
        <v>1</v>
      </c>
      <c r="O62" s="69"/>
      <c r="R62" s="51" t="str">
        <f t="shared" si="25"/>
        <v>Aandelen ontwikkeld</v>
      </c>
      <c r="S62" s="52">
        <f t="shared" si="26"/>
        <v>5.9048162095753997E-7</v>
      </c>
      <c r="T62" s="52">
        <f t="shared" si="27"/>
        <v>1.6688891329247983E-4</v>
      </c>
      <c r="U62" s="52">
        <f t="shared" si="28"/>
        <v>2.659909874176526E-5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2.7385742201559301E-4</v>
      </c>
      <c r="C63" s="54">
        <v>4.8171921272740039E-4</v>
      </c>
      <c r="D63" s="55">
        <v>1.9079491217135539E-6</v>
      </c>
      <c r="E63" s="1">
        <v>5.4113548613802562E-5</v>
      </c>
      <c r="F63" s="56">
        <v>3.1193024765516827E-4</v>
      </c>
      <c r="G63" s="2">
        <v>-6.1028882168922022E-2</v>
      </c>
      <c r="H63" s="2">
        <v>0.14285675922395349</v>
      </c>
      <c r="I63" s="2">
        <v>0.55700133554535258</v>
      </c>
      <c r="J63" s="2">
        <v>-0.82632058967347111</v>
      </c>
      <c r="K63" s="2">
        <v>-0.75972746925874435</v>
      </c>
      <c r="L63" s="2">
        <v>-0.34708425545232657</v>
      </c>
      <c r="M63" s="2">
        <v>-8.0319141525056661E-2</v>
      </c>
      <c r="N63" s="2">
        <v>0.99999999999996625</v>
      </c>
      <c r="O63" s="69"/>
      <c r="R63" s="51" t="str">
        <f t="shared" si="25"/>
        <v>Aandelen opkomend</v>
      </c>
      <c r="S63" s="52">
        <f t="shared" si="26"/>
        <v>1.9079491217135539E-6</v>
      </c>
      <c r="T63" s="52">
        <f t="shared" si="27"/>
        <v>2.7194947289387945E-4</v>
      </c>
      <c r="U63" s="52">
        <f t="shared" si="28"/>
        <v>3.807282563957526E-5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1.5845152471069302E-4</v>
      </c>
      <c r="C64" s="54">
        <v>2.9818659384493929E-4</v>
      </c>
      <c r="D64" s="55">
        <v>1.5007928255024883E-6</v>
      </c>
      <c r="E64" s="1">
        <v>2.7406379817857173E-5</v>
      </c>
      <c r="F64" s="56">
        <v>1.8264694393839892E-4</v>
      </c>
      <c r="G64" s="2">
        <v>1.4814947622375386E-2</v>
      </c>
      <c r="H64" s="2">
        <v>-2.2110314112296379E-2</v>
      </c>
      <c r="I64" s="2">
        <v>8.2352589501683726E-2</v>
      </c>
      <c r="J64" s="2">
        <v>-6.8086074899245924E-2</v>
      </c>
      <c r="K64" s="2">
        <v>-1.2630590190390744E-2</v>
      </c>
      <c r="L64" s="2">
        <v>0.69110572000182691</v>
      </c>
      <c r="M64" s="2">
        <v>1</v>
      </c>
      <c r="N64" s="2">
        <v>0.99999999999996736</v>
      </c>
      <c r="O64" s="69"/>
      <c r="R64" s="51" t="str">
        <f t="shared" si="25"/>
        <v>Commodities</v>
      </c>
      <c r="S64" s="52">
        <f t="shared" si="26"/>
        <v>1.5007928255024883E-6</v>
      </c>
      <c r="T64" s="52">
        <f t="shared" si="27"/>
        <v>1.5695073188519052E-4</v>
      </c>
      <c r="U64" s="52">
        <f t="shared" si="28"/>
        <v>2.4195419227705903E-5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8.8468406210053918E-2</v>
      </c>
      <c r="C65" s="54">
        <v>1.4062978098602638E-3</v>
      </c>
      <c r="D65" s="55">
        <v>8.7411375060777258E-2</v>
      </c>
      <c r="E65" s="1">
        <v>8.8419396666040997E-2</v>
      </c>
      <c r="F65" s="56">
        <v>8.948805034097318E-2</v>
      </c>
      <c r="G65" s="2">
        <v>1</v>
      </c>
      <c r="H65" s="2">
        <v>-0.17547062116320275</v>
      </c>
      <c r="I65" s="2">
        <v>-0.73831549876764235</v>
      </c>
      <c r="J65" s="2">
        <v>8.409923628150838E-2</v>
      </c>
      <c r="K65" s="2">
        <v>-7.6683259909569451E-2</v>
      </c>
      <c r="L65" s="2">
        <v>-0.2546807170898116</v>
      </c>
      <c r="M65" s="2">
        <v>-4.5587136276739798E-2</v>
      </c>
      <c r="N65" s="2">
        <v>0.99999999999998135</v>
      </c>
      <c r="O65" s="69"/>
      <c r="R65" s="51" t="str">
        <f t="shared" si="25"/>
        <v>Hedge funds</v>
      </c>
      <c r="S65" s="52">
        <f t="shared" si="26"/>
        <v>8.7411375060777258E-2</v>
      </c>
      <c r="T65" s="52">
        <f t="shared" si="27"/>
        <v>1.0570311492766604E-3</v>
      </c>
      <c r="U65" s="52">
        <f t="shared" si="28"/>
        <v>1.0196441309192616E-3</v>
      </c>
    </row>
    <row r="66" spans="1:36">
      <c r="A66" s="60" t="str">
        <f t="shared" si="24"/>
        <v>Onroerend goed</v>
      </c>
      <c r="B66" s="61">
        <v>7.9929316605609365E-4</v>
      </c>
      <c r="C66" s="62">
        <v>1.1414476362457693E-3</v>
      </c>
      <c r="D66" s="63">
        <v>2.6613117326062928E-5</v>
      </c>
      <c r="E66" s="61">
        <v>2.5954709732751622E-4</v>
      </c>
      <c r="F66" s="64">
        <v>1.1500104634766931E-3</v>
      </c>
      <c r="G66" s="65">
        <v>-0.60671380529162755</v>
      </c>
      <c r="H66" s="65">
        <v>-0.91384343113088295</v>
      </c>
      <c r="I66" s="65">
        <v>-0.73638238633086661</v>
      </c>
      <c r="J66" s="65">
        <v>9.0664627433493572E-2</v>
      </c>
      <c r="K66" s="65">
        <v>-7.2754646820010455E-2</v>
      </c>
      <c r="L66" s="65">
        <v>-0.22620646582307746</v>
      </c>
      <c r="M66" s="65">
        <v>-4.9620374301402759E-2</v>
      </c>
      <c r="N66" s="65">
        <v>0.9999999999999839</v>
      </c>
      <c r="O66" s="71"/>
      <c r="R66" s="51" t="str">
        <f t="shared" si="25"/>
        <v>Onroerend goed</v>
      </c>
      <c r="S66" s="52">
        <f t="shared" si="26"/>
        <v>2.6613117326062928E-5</v>
      </c>
      <c r="T66" s="52">
        <f t="shared" si="27"/>
        <v>7.7268004873003073E-4</v>
      </c>
      <c r="U66" s="52">
        <f t="shared" si="28"/>
        <v>3.507172974205995E-4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0.62431984156198328</v>
      </c>
      <c r="H69" s="272">
        <v>0.26387481679646441</v>
      </c>
      <c r="I69" s="272">
        <v>9.7443956567106804E-2</v>
      </c>
      <c r="J69" s="272">
        <v>1.0479500545743425E-2</v>
      </c>
      <c r="K69" s="272">
        <v>2.2687106709116112E-3</v>
      </c>
      <c r="L69" s="272">
        <v>1.4875967306324789E-3</v>
      </c>
      <c r="M69" s="272">
        <v>1.2557712716310121E-4</v>
      </c>
      <c r="N69" s="272">
        <v>0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0.73387757359530015</v>
      </c>
      <c r="C70" s="54">
        <v>1.4852830643474427E-2</v>
      </c>
      <c r="D70" s="55">
        <v>0.72259154451434204</v>
      </c>
      <c r="E70" s="1">
        <v>0.73366928397487441</v>
      </c>
      <c r="F70" s="56">
        <v>0.74461025394002511</v>
      </c>
      <c r="G70" s="68">
        <v>6.8999185647924347E-3</v>
      </c>
      <c r="H70" s="68">
        <v>0.42747873598418862</v>
      </c>
      <c r="I70" s="68">
        <v>-0.76084011639584059</v>
      </c>
      <c r="J70" s="68">
        <v>-0.23766966017362726</v>
      </c>
      <c r="K70" s="68">
        <v>0.10087724077286127</v>
      </c>
      <c r="L70" s="68">
        <v>3.0751826098305093E-2</v>
      </c>
      <c r="M70" s="2">
        <v>1</v>
      </c>
      <c r="N70" s="2">
        <v>1</v>
      </c>
      <c r="O70" s="69"/>
      <c r="R70" s="51" t="str">
        <f>A70</f>
        <v>Nominale matching</v>
      </c>
      <c r="S70" s="52">
        <f>D70</f>
        <v>0.72259154451434204</v>
      </c>
      <c r="T70" s="52">
        <f>B70-D70</f>
        <v>1.1286029080958104E-2</v>
      </c>
      <c r="U70" s="52">
        <f>F70-B70</f>
        <v>1.0732680344724965E-2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8.1880331947348936E-2</v>
      </c>
      <c r="C71" s="54">
        <v>4.5706650489865511E-2</v>
      </c>
      <c r="D71" s="55">
        <v>4.6081083960950023E-2</v>
      </c>
      <c r="E71" s="1">
        <v>7.9571500527961442E-2</v>
      </c>
      <c r="F71" s="56">
        <v>0.11660717688347316</v>
      </c>
      <c r="G71" s="68">
        <v>1</v>
      </c>
      <c r="H71" s="68">
        <v>-0.72663682643620875</v>
      </c>
      <c r="I71" s="68">
        <v>0.34663323781895516</v>
      </c>
      <c r="J71" s="68">
        <v>-0.19592565580922164</v>
      </c>
      <c r="K71" s="68">
        <v>-0.27462104677983529</v>
      </c>
      <c r="L71" s="68">
        <v>-4.1769305445303204E-2</v>
      </c>
      <c r="M71" s="2">
        <v>0.13972232439504764</v>
      </c>
      <c r="N71" s="2">
        <v>0.99999999999963951</v>
      </c>
      <c r="O71" s="69"/>
      <c r="R71" s="51" t="str">
        <f t="shared" ref="R71:R77" si="30">A71</f>
        <v>High Yield</v>
      </c>
      <c r="S71" s="52">
        <f t="shared" ref="S71:S77" si="31">D71</f>
        <v>4.6081083960950023E-2</v>
      </c>
      <c r="T71" s="52">
        <f t="shared" ref="T71:T77" si="32">B71-D71</f>
        <v>3.5799247986398913E-2</v>
      </c>
      <c r="U71" s="52">
        <f t="shared" ref="U71:U77" si="33">F71-B71</f>
        <v>3.4726844936124227E-2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6.8143774002342025E-3</v>
      </c>
      <c r="C72" s="54">
        <v>6.8149417187645467E-3</v>
      </c>
      <c r="D72" s="55">
        <v>1.2603155282419356E-3</v>
      </c>
      <c r="E72" s="1">
        <v>4.7106672452131883E-3</v>
      </c>
      <c r="F72" s="56">
        <v>9.9839633469589288E-3</v>
      </c>
      <c r="G72" s="68">
        <v>1.1553028894065228E-3</v>
      </c>
      <c r="H72" s="68">
        <v>3.3850907310207213E-3</v>
      </c>
      <c r="I72" s="68">
        <v>3.8338469397304949E-3</v>
      </c>
      <c r="J72" s="68">
        <v>1</v>
      </c>
      <c r="K72" s="68">
        <v>-0.21962515826151166</v>
      </c>
      <c r="L72" s="68">
        <v>-2.8549777210236459E-2</v>
      </c>
      <c r="M72" s="2">
        <v>0.16359743308257993</v>
      </c>
      <c r="N72" s="2">
        <v>0.99999999999965139</v>
      </c>
      <c r="O72" s="69"/>
      <c r="R72" s="51" t="str">
        <f t="shared" si="30"/>
        <v>Emerging market debt</v>
      </c>
      <c r="S72" s="52">
        <f t="shared" si="31"/>
        <v>1.2603155282419356E-3</v>
      </c>
      <c r="T72" s="52">
        <f t="shared" si="32"/>
        <v>5.5540618719922673E-3</v>
      </c>
      <c r="U72" s="52">
        <f t="shared" si="33"/>
        <v>3.1695859467247263E-3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2.1182553840978832E-3</v>
      </c>
      <c r="C73" s="54">
        <v>2.7359471421500334E-3</v>
      </c>
      <c r="D73" s="55">
        <v>1.5677159102069839E-4</v>
      </c>
      <c r="E73" s="1">
        <v>1.1053847953549183E-3</v>
      </c>
      <c r="F73" s="56">
        <v>2.9324239535738457E-3</v>
      </c>
      <c r="G73" s="68">
        <v>9.9782927075772517E-3</v>
      </c>
      <c r="H73" s="68">
        <v>-7.640784147788517E-3</v>
      </c>
      <c r="I73" s="68">
        <v>-1.5431468956647258E-2</v>
      </c>
      <c r="J73" s="68">
        <v>-1.4645428492492635E-2</v>
      </c>
      <c r="K73" s="68">
        <v>0.6791360261013526</v>
      </c>
      <c r="L73" s="68">
        <v>1</v>
      </c>
      <c r="M73" s="2">
        <v>-0.34550191573145889</v>
      </c>
      <c r="N73" s="2">
        <v>0.99999999999946731</v>
      </c>
      <c r="O73" s="69"/>
      <c r="R73" s="51" t="str">
        <f t="shared" si="30"/>
        <v>Aandelen ontwikkeld</v>
      </c>
      <c r="S73" s="52">
        <f t="shared" si="31"/>
        <v>1.5677159102069839E-4</v>
      </c>
      <c r="T73" s="52">
        <f t="shared" si="32"/>
        <v>1.9614837930771846E-3</v>
      </c>
      <c r="U73" s="52">
        <f t="shared" si="33"/>
        <v>8.1416856947596258E-4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2.2202690930591446E-3</v>
      </c>
      <c r="C74" s="54">
        <v>2.8928095730411225E-3</v>
      </c>
      <c r="D74" s="55">
        <v>1.4861077305670012E-4</v>
      </c>
      <c r="E74" s="1">
        <v>9.7864299164136695E-4</v>
      </c>
      <c r="F74" s="56">
        <v>3.2610436934897738E-3</v>
      </c>
      <c r="G74" s="68">
        <v>-9.9356291846192731E-4</v>
      </c>
      <c r="H74" s="68">
        <v>1.9089524138821486E-3</v>
      </c>
      <c r="I74" s="68">
        <v>-2.0339102619936853E-2</v>
      </c>
      <c r="J74" s="68">
        <v>-1.7737822759181222E-2</v>
      </c>
      <c r="K74" s="68">
        <v>1</v>
      </c>
      <c r="L74" s="68">
        <v>-0.79142704642609696</v>
      </c>
      <c r="M74" s="2">
        <v>-0.31562269271845056</v>
      </c>
      <c r="N74" s="2">
        <v>0.99999999999947542</v>
      </c>
      <c r="O74" s="69"/>
      <c r="R74" s="51" t="str">
        <f t="shared" si="30"/>
        <v>Aandelen opkomend</v>
      </c>
      <c r="S74" s="52">
        <f t="shared" si="31"/>
        <v>1.4861077305670012E-4</v>
      </c>
      <c r="T74" s="52">
        <f t="shared" si="32"/>
        <v>2.0716583200024443E-3</v>
      </c>
      <c r="U74" s="52">
        <f t="shared" si="33"/>
        <v>1.0407746004306292E-3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7.1756096214681875E-2</v>
      </c>
      <c r="C75" s="54">
        <v>1.3114214476394458E-2</v>
      </c>
      <c r="D75" s="55">
        <v>6.2552405386227555E-2</v>
      </c>
      <c r="E75" s="1">
        <v>7.1380856859358632E-2</v>
      </c>
      <c r="F75" s="56">
        <v>8.1990041146239589E-2</v>
      </c>
      <c r="G75" s="68">
        <v>-2.1877351310410166E-2</v>
      </c>
      <c r="H75" s="68">
        <v>0.17707759694464331</v>
      </c>
      <c r="I75" s="68">
        <v>-0.86250308969990319</v>
      </c>
      <c r="J75" s="68">
        <v>-0.1514561803005508</v>
      </c>
      <c r="K75" s="68">
        <v>-0.70768277231022525</v>
      </c>
      <c r="L75" s="68">
        <v>-0.10047219979754096</v>
      </c>
      <c r="M75" s="2">
        <v>-0.78670845120723409</v>
      </c>
      <c r="N75" s="2">
        <v>0.9999999999992516</v>
      </c>
      <c r="O75" s="69"/>
      <c r="R75" s="51" t="str">
        <f t="shared" si="30"/>
        <v>Commodities</v>
      </c>
      <c r="S75" s="52">
        <f t="shared" si="31"/>
        <v>6.2552405386227555E-2</v>
      </c>
      <c r="T75" s="52">
        <f t="shared" si="32"/>
        <v>9.2036908284543195E-3</v>
      </c>
      <c r="U75" s="52">
        <f t="shared" si="33"/>
        <v>1.0233944931557715E-2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6.6229316041377426E-2</v>
      </c>
      <c r="C76" s="54">
        <v>4.4033374211049477E-2</v>
      </c>
      <c r="D76" s="55">
        <v>2.8412144211564311E-2</v>
      </c>
      <c r="E76" s="1">
        <v>6.0493469729263588E-2</v>
      </c>
      <c r="F76" s="56">
        <v>0.10047477168142879</v>
      </c>
      <c r="G76" s="68">
        <v>-0.91854504727270736</v>
      </c>
      <c r="H76" s="68">
        <v>-0.87557276548973784</v>
      </c>
      <c r="I76" s="68">
        <v>0.30864669291364222</v>
      </c>
      <c r="J76" s="68">
        <v>-0.19468908493586198</v>
      </c>
      <c r="K76" s="68">
        <v>-0.2477909958867334</v>
      </c>
      <c r="L76" s="68">
        <v>-2.776550762571146E-2</v>
      </c>
      <c r="M76" s="2">
        <v>0.17794425516367754</v>
      </c>
      <c r="N76" s="2">
        <v>0.99999999999965561</v>
      </c>
      <c r="O76" s="69"/>
      <c r="R76" s="51" t="str">
        <f t="shared" si="30"/>
        <v>Hedge funds</v>
      </c>
      <c r="S76" s="52">
        <f t="shared" si="31"/>
        <v>2.8412144211564311E-2</v>
      </c>
      <c r="T76" s="52">
        <f t="shared" si="32"/>
        <v>3.7817171829813118E-2</v>
      </c>
      <c r="U76" s="52">
        <f t="shared" si="33"/>
        <v>3.4245455640051367E-2</v>
      </c>
    </row>
    <row r="77" spans="1:36">
      <c r="A77" s="60" t="str">
        <f t="shared" si="29"/>
        <v>Onroerend goed</v>
      </c>
      <c r="B77" s="61">
        <v>3.5103780323900165E-2</v>
      </c>
      <c r="C77" s="62">
        <v>2.7679804721121574E-2</v>
      </c>
      <c r="D77" s="63">
        <v>1.1493107668224605E-2</v>
      </c>
      <c r="E77" s="61">
        <v>3.1163009326356995E-2</v>
      </c>
      <c r="F77" s="64">
        <v>5.1631604192744526E-2</v>
      </c>
      <c r="G77" s="70">
        <v>-7.6617552660196972E-2</v>
      </c>
      <c r="H77" s="70">
        <v>1</v>
      </c>
      <c r="I77" s="70">
        <v>1</v>
      </c>
      <c r="J77" s="70">
        <v>-0.18787616752906561</v>
      </c>
      <c r="K77" s="70">
        <v>-0.33029329363595478</v>
      </c>
      <c r="L77" s="70">
        <v>-4.0767989593426451E-2</v>
      </c>
      <c r="M77" s="65">
        <v>-3.3430952984945785E-2</v>
      </c>
      <c r="N77" s="65">
        <v>0.99999999999956757</v>
      </c>
      <c r="O77" s="71"/>
      <c r="R77" s="51" t="str">
        <f t="shared" si="30"/>
        <v>Onroerend goed</v>
      </c>
      <c r="S77" s="52">
        <f t="shared" si="31"/>
        <v>1.1493107668224605E-2</v>
      </c>
      <c r="T77" s="52">
        <f t="shared" si="32"/>
        <v>2.3610672655675562E-2</v>
      </c>
      <c r="U77" s="52">
        <f t="shared" si="33"/>
        <v>1.6527823868844362E-2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377" t="s">
        <v>64</v>
      </c>
      <c r="E79" s="378"/>
      <c r="F79" s="379"/>
      <c r="G79" s="377" t="s">
        <v>65</v>
      </c>
      <c r="H79" s="378"/>
      <c r="I79" s="378"/>
      <c r="J79" s="378"/>
      <c r="K79" s="378"/>
      <c r="L79" s="378"/>
      <c r="M79" s="378"/>
      <c r="N79" s="378"/>
      <c r="O79" s="379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0.76829415391143119</v>
      </c>
      <c r="H80" s="272">
        <v>0.14314802059333676</v>
      </c>
      <c r="I80" s="272">
        <v>5.9543376159969519E-2</v>
      </c>
      <c r="J80" s="272">
        <v>2.6262020258829399E-2</v>
      </c>
      <c r="K80" s="272">
        <v>1.757161918654937E-3</v>
      </c>
      <c r="L80" s="272">
        <v>6.864480755218727E-4</v>
      </c>
      <c r="M80" s="272">
        <v>3.0881908225877108E-4</v>
      </c>
      <c r="N80" s="272">
        <v>0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0.60925572389385541</v>
      </c>
      <c r="C81" s="54">
        <v>3.7526751871973879E-2</v>
      </c>
      <c r="D81" s="55">
        <v>0.58287462416262592</v>
      </c>
      <c r="E81" s="1">
        <v>0.60848736425405736</v>
      </c>
      <c r="F81" s="56">
        <v>0.63571990029932435</v>
      </c>
      <c r="G81" s="2">
        <v>-0.49096596506874873</v>
      </c>
      <c r="H81" s="2">
        <v>-0.1201688820160257</v>
      </c>
      <c r="I81" s="2">
        <v>-0.41752501869669145</v>
      </c>
      <c r="J81" s="2">
        <v>-0.37245535963296772</v>
      </c>
      <c r="K81" s="2">
        <v>-0.27229347796600661</v>
      </c>
      <c r="L81" s="2">
        <v>-0.89854543892005234</v>
      </c>
      <c r="M81" s="2">
        <v>-0.18506337483773183</v>
      </c>
      <c r="N81" s="2">
        <v>0.99999999999964451</v>
      </c>
      <c r="O81" s="69"/>
      <c r="R81" s="51" t="str">
        <f>A81</f>
        <v>Nominale matching</v>
      </c>
      <c r="S81" s="52">
        <f>D81</f>
        <v>0.58287462416262592</v>
      </c>
      <c r="T81" s="52">
        <f>B81-D81</f>
        <v>2.6381099731229485E-2</v>
      </c>
      <c r="U81" s="52">
        <f>F81-B81</f>
        <v>2.6464176405468942E-2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1.9831020364249767E-2</v>
      </c>
      <c r="C82" s="54">
        <v>1.4469384363218233E-2</v>
      </c>
      <c r="D82" s="55">
        <v>7.7668003660649517E-3</v>
      </c>
      <c r="E82" s="1">
        <v>1.725156658175795E-2</v>
      </c>
      <c r="F82" s="56">
        <v>2.9793562169769732E-2</v>
      </c>
      <c r="G82" s="2">
        <v>-1.0692363272779219E-2</v>
      </c>
      <c r="H82" s="2">
        <v>-6.2039833981884826E-2</v>
      </c>
      <c r="I82" s="2">
        <v>-0.10265978317508269</v>
      </c>
      <c r="J82" s="2">
        <v>1</v>
      </c>
      <c r="K82" s="2">
        <v>-0.16683382967424257</v>
      </c>
      <c r="L82" s="2">
        <v>-0.18896063052573836</v>
      </c>
      <c r="M82" s="2">
        <v>-0.13969790782733155</v>
      </c>
      <c r="N82" s="2">
        <v>0.9999999999997139</v>
      </c>
      <c r="O82" s="69"/>
      <c r="R82" s="51" t="str">
        <f t="shared" ref="R82:R88" si="35">A82</f>
        <v>High Yield</v>
      </c>
      <c r="S82" s="52">
        <f t="shared" ref="S82:S88" si="36">D82</f>
        <v>7.7668003660649517E-3</v>
      </c>
      <c r="T82" s="52">
        <f t="shared" ref="T82:T88" si="37">B82-D82</f>
        <v>1.2064219998184815E-2</v>
      </c>
      <c r="U82" s="52">
        <f t="shared" ref="U82:U88" si="38">F82-B82</f>
        <v>9.9625418055199651E-3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0.12941688287519609</v>
      </c>
      <c r="C83" s="54">
        <v>7.3315630422453509E-2</v>
      </c>
      <c r="D83" s="55">
        <v>6.8620118541588976E-2</v>
      </c>
      <c r="E83" s="1">
        <v>0.12492421845308796</v>
      </c>
      <c r="F83" s="56">
        <v>0.17852090843980248</v>
      </c>
      <c r="G83" s="2">
        <v>1</v>
      </c>
      <c r="H83" s="2">
        <v>-1.8481029597712452E-2</v>
      </c>
      <c r="I83" s="2">
        <v>-0.2297262475901368</v>
      </c>
      <c r="J83" s="2">
        <v>-0.23095138032259566</v>
      </c>
      <c r="K83" s="2">
        <v>-0.1922741386234805</v>
      </c>
      <c r="L83" s="2">
        <v>-5.3997746537597667E-2</v>
      </c>
      <c r="M83" s="2">
        <v>-0.15351342365830722</v>
      </c>
      <c r="N83" s="2">
        <v>0.99999999999971323</v>
      </c>
      <c r="O83" s="69"/>
      <c r="R83" s="51" t="str">
        <f t="shared" si="35"/>
        <v>Emerging market debt</v>
      </c>
      <c r="S83" s="52">
        <f t="shared" si="36"/>
        <v>6.8620118541588976E-2</v>
      </c>
      <c r="T83" s="52">
        <f t="shared" si="37"/>
        <v>6.0796764333607117E-2</v>
      </c>
      <c r="U83" s="52">
        <f t="shared" si="38"/>
        <v>4.9104025564606385E-2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1.2882395510973742E-3</v>
      </c>
      <c r="C84" s="54">
        <v>1.6297610507087859E-3</v>
      </c>
      <c r="D84" s="55">
        <v>1.8971821281687614E-4</v>
      </c>
      <c r="E84" s="1">
        <v>7.2372293470535152E-4</v>
      </c>
      <c r="F84" s="56">
        <v>1.8109086120865021E-3</v>
      </c>
      <c r="G84" s="2">
        <v>2.4078671464365054E-3</v>
      </c>
      <c r="H84" s="2">
        <v>-1.8478843747677688E-3</v>
      </c>
      <c r="I84" s="2">
        <v>-7.7987058861609592E-3</v>
      </c>
      <c r="J84" s="2">
        <v>-1.3670649459562449E-2</v>
      </c>
      <c r="K84" s="2">
        <v>-8.9095191825232702E-3</v>
      </c>
      <c r="L84" s="2">
        <v>-7.395091394642421E-2</v>
      </c>
      <c r="M84" s="2">
        <v>1</v>
      </c>
      <c r="N84" s="2">
        <v>1</v>
      </c>
      <c r="O84" s="69"/>
      <c r="R84" s="51" t="str">
        <f t="shared" si="35"/>
        <v>Aandelen ontwikkeld</v>
      </c>
      <c r="S84" s="52">
        <f t="shared" si="36"/>
        <v>1.8971821281687614E-4</v>
      </c>
      <c r="T84" s="52">
        <f t="shared" si="37"/>
        <v>1.0985213382804981E-3</v>
      </c>
      <c r="U84" s="52">
        <f t="shared" si="38"/>
        <v>5.2266906098912794E-4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5.3557210315317468E-2</v>
      </c>
      <c r="C85" s="54">
        <v>3.3742759854075967E-2</v>
      </c>
      <c r="D85" s="55">
        <v>2.5654481798167622E-2</v>
      </c>
      <c r="E85" s="1">
        <v>4.9693474970483174E-2</v>
      </c>
      <c r="F85" s="56">
        <v>7.5502001092245058E-2</v>
      </c>
      <c r="G85" s="2">
        <v>-0.23121829950470918</v>
      </c>
      <c r="H85" s="2">
        <v>1</v>
      </c>
      <c r="I85" s="2">
        <v>-0.10280094373849213</v>
      </c>
      <c r="J85" s="2">
        <v>-9.4689517518552813E-2</v>
      </c>
      <c r="K85" s="2">
        <v>-0.11582822196006853</v>
      </c>
      <c r="L85" s="2">
        <v>0.63000397768732985</v>
      </c>
      <c r="M85" s="2">
        <v>-0.12156425103844642</v>
      </c>
      <c r="N85" s="2">
        <v>0.99999999999977218</v>
      </c>
      <c r="O85" s="69"/>
      <c r="R85" s="51" t="str">
        <f t="shared" si="35"/>
        <v>Aandelen opkomend</v>
      </c>
      <c r="S85" s="52">
        <f t="shared" si="36"/>
        <v>2.5654481798167622E-2</v>
      </c>
      <c r="T85" s="52">
        <f t="shared" si="37"/>
        <v>2.7902728517149845E-2</v>
      </c>
      <c r="U85" s="52">
        <f t="shared" si="38"/>
        <v>2.194479077692759E-2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0.15512743980504518</v>
      </c>
      <c r="C86" s="54">
        <v>2.881220937471056E-2</v>
      </c>
      <c r="D86" s="55">
        <v>0.13532793143865379</v>
      </c>
      <c r="E86" s="1">
        <v>0.15517110688910779</v>
      </c>
      <c r="F86" s="56">
        <v>0.1747292940690463</v>
      </c>
      <c r="G86" s="2">
        <v>-0.24878199957329331</v>
      </c>
      <c r="H86" s="2">
        <v>-0.75998782628902184</v>
      </c>
      <c r="I86" s="2">
        <v>-0.10450785246364784</v>
      </c>
      <c r="J86" s="2">
        <v>-0.13524809275785457</v>
      </c>
      <c r="K86" s="2">
        <v>-8.3185146176990202E-2</v>
      </c>
      <c r="L86" s="2">
        <v>1</v>
      </c>
      <c r="M86" s="2">
        <v>-0.1106861784620323</v>
      </c>
      <c r="N86" s="2">
        <v>0.99999999999980094</v>
      </c>
      <c r="O86" s="69"/>
      <c r="R86" s="51" t="str">
        <f t="shared" si="35"/>
        <v>Commodities</v>
      </c>
      <c r="S86" s="52">
        <f t="shared" si="36"/>
        <v>0.13532793143865379</v>
      </c>
      <c r="T86" s="52">
        <f t="shared" si="37"/>
        <v>1.9799508366391383E-2</v>
      </c>
      <c r="U86" s="52">
        <f t="shared" si="38"/>
        <v>1.9601854264001128E-2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2.7509212826238614E-2</v>
      </c>
      <c r="C87" s="54">
        <v>2.1317250000215993E-2</v>
      </c>
      <c r="D87" s="55">
        <v>1.1486666612623372E-2</v>
      </c>
      <c r="E87" s="1">
        <v>2.3390757584057918E-2</v>
      </c>
      <c r="F87" s="56">
        <v>3.8658173586206074E-2</v>
      </c>
      <c r="G87" s="2">
        <v>-2.5931086985128662E-2</v>
      </c>
      <c r="H87" s="2">
        <v>-3.7427883433743356E-2</v>
      </c>
      <c r="I87" s="2">
        <v>1</v>
      </c>
      <c r="J87" s="2">
        <v>-0.130661425634679</v>
      </c>
      <c r="K87" s="2">
        <v>-0.16067566641674816</v>
      </c>
      <c r="L87" s="2">
        <v>-0.24423042292365815</v>
      </c>
      <c r="M87" s="2">
        <v>-0.14808772433621423</v>
      </c>
      <c r="N87" s="2">
        <v>0.99999999999970601</v>
      </c>
      <c r="O87" s="69"/>
      <c r="R87" s="51" t="str">
        <f t="shared" si="35"/>
        <v>Hedge funds</v>
      </c>
      <c r="S87" s="52">
        <f t="shared" si="36"/>
        <v>1.1486666612623372E-2</v>
      </c>
      <c r="T87" s="52">
        <f t="shared" si="37"/>
        <v>1.6022546213615242E-2</v>
      </c>
      <c r="U87" s="52">
        <f t="shared" si="38"/>
        <v>1.114896075996746E-2</v>
      </c>
    </row>
    <row r="88" spans="1:36">
      <c r="A88" s="60" t="str">
        <f t="shared" si="34"/>
        <v>Onroerend goed</v>
      </c>
      <c r="B88" s="286">
        <v>4.0142703690014226E-3</v>
      </c>
      <c r="C88" s="62">
        <v>3.860824055309017E-3</v>
      </c>
      <c r="D88" s="63">
        <v>9.4344345334960414E-4</v>
      </c>
      <c r="E88" s="61">
        <v>2.9276708196078506E-3</v>
      </c>
      <c r="F88" s="64">
        <v>6.025139758830388E-3</v>
      </c>
      <c r="G88" s="65">
        <v>5.181847258222589E-3</v>
      </c>
      <c r="H88" s="65">
        <v>-4.6660306843562105E-5</v>
      </c>
      <c r="I88" s="65">
        <v>-3.498144844979037E-2</v>
      </c>
      <c r="J88" s="65">
        <v>-2.232357467379284E-2</v>
      </c>
      <c r="K88" s="65">
        <v>1</v>
      </c>
      <c r="L88" s="65">
        <v>-0.17031882483401661</v>
      </c>
      <c r="M88" s="65">
        <v>-0.14138713984021303</v>
      </c>
      <c r="N88" s="65">
        <v>0.99999999999976985</v>
      </c>
      <c r="O88" s="71"/>
      <c r="R88" s="51" t="str">
        <f t="shared" si="35"/>
        <v>Onroerend goed</v>
      </c>
      <c r="S88" s="52">
        <f t="shared" si="36"/>
        <v>9.4344345334960414E-4</v>
      </c>
      <c r="T88" s="52">
        <f t="shared" si="37"/>
        <v>3.0708269156518187E-3</v>
      </c>
      <c r="U88" s="52">
        <f t="shared" si="38"/>
        <v>2.0108693898289653E-3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topLeftCell="F60"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377" t="s">
        <v>64</v>
      </c>
      <c r="E2" s="378"/>
      <c r="F2" s="379"/>
      <c r="G2" s="377" t="s">
        <v>65</v>
      </c>
      <c r="H2" s="378"/>
      <c r="I2" s="378"/>
      <c r="J2" s="378"/>
      <c r="K2" s="378"/>
      <c r="L2" s="378"/>
      <c r="M2" s="378"/>
      <c r="N2" s="379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0.42475613503083698</v>
      </c>
      <c r="H3" s="272">
        <v>0.26445533500908669</v>
      </c>
      <c r="I3" s="272">
        <v>0.15903649106255247</v>
      </c>
      <c r="J3" s="272">
        <v>7.6830798009739465E-2</v>
      </c>
      <c r="K3" s="272">
        <v>5.4240799702690023E-2</v>
      </c>
      <c r="L3" s="272">
        <v>2.0680441185088494E-2</v>
      </c>
      <c r="M3" s="272">
        <v>-2.2204460492503131E-16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0.18930321150959128</v>
      </c>
      <c r="C4" s="118">
        <v>9.7069939861805746E-2</v>
      </c>
      <c r="D4" s="119">
        <v>8.5671706871234571E-2</v>
      </c>
      <c r="E4" s="117">
        <v>0.18302311166575624</v>
      </c>
      <c r="F4" s="120">
        <v>0.28921571337687724</v>
      </c>
      <c r="G4" s="2">
        <v>-0.89459961021423884</v>
      </c>
      <c r="H4" s="2">
        <v>-0.61700353787819828</v>
      </c>
      <c r="I4" s="2">
        <v>-0.37597118532928081</v>
      </c>
      <c r="J4" s="2">
        <v>-0.42612511075070475</v>
      </c>
      <c r="K4" s="2">
        <v>-0.20566477794065779</v>
      </c>
      <c r="L4" s="2">
        <v>-0.17836650796659312</v>
      </c>
      <c r="M4" s="2">
        <v>0.99999999999999967</v>
      </c>
      <c r="N4" s="57"/>
      <c r="O4" s="72"/>
      <c r="Q4" s="72" t="str">
        <f>A4</f>
        <v>High Yield</v>
      </c>
      <c r="R4" s="72">
        <f>D4</f>
        <v>8.5671706871234571E-2</v>
      </c>
      <c r="S4" s="52">
        <f>B4-D4</f>
        <v>0.10363150463835671</v>
      </c>
      <c r="T4" s="52">
        <f>F4-B4</f>
        <v>9.9912501867285952E-2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0.17823808927229387</v>
      </c>
      <c r="C5" s="118">
        <v>0.10235236499415784</v>
      </c>
      <c r="D5" s="119">
        <v>7.6162685560232854E-2</v>
      </c>
      <c r="E5" s="117">
        <v>0.16215796108324271</v>
      </c>
      <c r="F5" s="120">
        <v>0.29779755956592524</v>
      </c>
      <c r="G5" s="2">
        <v>1</v>
      </c>
      <c r="H5" s="2">
        <v>-0.5421617183209837</v>
      </c>
      <c r="I5" s="2">
        <v>-0.2526698207667416</v>
      </c>
      <c r="J5" s="2">
        <v>-0.40468556022084456</v>
      </c>
      <c r="K5" s="2">
        <v>-0.13073129858399973</v>
      </c>
      <c r="L5" s="2">
        <v>-0.17808459195455975</v>
      </c>
      <c r="M5" s="2">
        <v>0.99999999999999911</v>
      </c>
      <c r="N5" s="57"/>
      <c r="O5" s="72"/>
      <c r="Q5" s="72" t="str">
        <f t="shared" ref="Q5:Q10" si="0">A5</f>
        <v>Emerging market debt</v>
      </c>
      <c r="R5" s="72">
        <f t="shared" ref="R5:R10" si="1">D5</f>
        <v>7.6162685560232854E-2</v>
      </c>
      <c r="S5" s="52">
        <f t="shared" ref="S5:S10" si="2">B5-D5</f>
        <v>0.10207540371206102</v>
      </c>
      <c r="T5" s="52">
        <f t="shared" ref="T5:T10" si="3">F5-B5</f>
        <v>0.11955947029363137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0.19617233380023716</v>
      </c>
      <c r="C6" s="118">
        <v>6.0759614568429286E-2</v>
      </c>
      <c r="D6" s="119">
        <v>0.12932366217763835</v>
      </c>
      <c r="E6" s="117">
        <v>0.19266315549208596</v>
      </c>
      <c r="F6" s="120">
        <v>0.26088097544738709</v>
      </c>
      <c r="G6" s="2">
        <v>-1.3069683277605099E-2</v>
      </c>
      <c r="H6" s="2">
        <v>-0.63686977499859687</v>
      </c>
      <c r="I6" s="2">
        <v>0.23088180208763814</v>
      </c>
      <c r="J6" s="2">
        <v>1</v>
      </c>
      <c r="K6" s="2">
        <v>7.1407331947984279E-2</v>
      </c>
      <c r="L6" s="2">
        <v>-0.11979147921548172</v>
      </c>
      <c r="M6" s="2">
        <v>1</v>
      </c>
      <c r="N6" s="57"/>
      <c r="O6" s="72"/>
      <c r="Q6" s="72" t="str">
        <f t="shared" si="0"/>
        <v>Aandelen ontwikkeld</v>
      </c>
      <c r="R6" s="72">
        <f t="shared" si="1"/>
        <v>0.12932366217763835</v>
      </c>
      <c r="S6" s="52">
        <f t="shared" si="2"/>
        <v>6.6848671622598804E-2</v>
      </c>
      <c r="T6" s="52">
        <f t="shared" si="3"/>
        <v>6.4708641647149928E-2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0.12139773372222053</v>
      </c>
      <c r="C7" s="118">
        <v>4.6147316840002013E-2</v>
      </c>
      <c r="D7" s="119">
        <v>7.1976721379474778E-2</v>
      </c>
      <c r="E7" s="117">
        <v>0.12142496775890256</v>
      </c>
      <c r="F7" s="120">
        <v>0.17132029248366681</v>
      </c>
      <c r="G7" s="2">
        <v>-6.8681170703817684E-2</v>
      </c>
      <c r="H7" s="2">
        <v>0.31876896930384346</v>
      </c>
      <c r="I7" s="2">
        <v>0.13277360425154153</v>
      </c>
      <c r="J7" s="2">
        <v>-0.22714774768442855</v>
      </c>
      <c r="K7" s="2">
        <v>1</v>
      </c>
      <c r="L7" s="2">
        <v>-0.1656883255367857</v>
      </c>
      <c r="M7" s="2">
        <v>0.99999999999999856</v>
      </c>
      <c r="N7" s="57"/>
      <c r="O7" s="72"/>
      <c r="Q7" s="72" t="str">
        <f t="shared" si="0"/>
        <v>Aandelen opkomend</v>
      </c>
      <c r="R7" s="72">
        <f t="shared" si="1"/>
        <v>7.1976721379474778E-2</v>
      </c>
      <c r="S7" s="52">
        <f t="shared" si="2"/>
        <v>4.9421012342745749E-2</v>
      </c>
      <c r="T7" s="52">
        <f t="shared" si="3"/>
        <v>4.9922558761446287E-2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4.8745461621392809E-2</v>
      </c>
      <c r="C8" s="118">
        <v>2.5820489364754819E-2</v>
      </c>
      <c r="D8" s="119">
        <v>2.2295861534444593E-2</v>
      </c>
      <c r="E8" s="117">
        <v>4.839505799455323E-2</v>
      </c>
      <c r="F8" s="120">
        <v>7.5309752925976775E-2</v>
      </c>
      <c r="G8" s="2">
        <v>1.8952993383539775E-3</v>
      </c>
      <c r="H8" s="2">
        <v>3.4512633178637737E-2</v>
      </c>
      <c r="I8" s="2">
        <v>-2.9016487606375589E-2</v>
      </c>
      <c r="J8" s="2">
        <v>-4.1732932577815608E-2</v>
      </c>
      <c r="K8" s="2">
        <v>-1.2959417186634001E-2</v>
      </c>
      <c r="L8" s="2">
        <v>1</v>
      </c>
      <c r="M8" s="2">
        <v>0.99999999999999911</v>
      </c>
      <c r="N8" s="57"/>
      <c r="O8" s="72"/>
      <c r="Q8" s="72" t="str">
        <f t="shared" si="0"/>
        <v>Commodities</v>
      </c>
      <c r="R8" s="72">
        <f t="shared" si="1"/>
        <v>2.2295861534444593E-2</v>
      </c>
      <c r="S8" s="52">
        <f t="shared" si="2"/>
        <v>2.6449600086948216E-2</v>
      </c>
      <c r="T8" s="52">
        <f t="shared" si="3"/>
        <v>2.6564291304583966E-2</v>
      </c>
      <c r="U8" s="52"/>
      <c r="V8" s="52"/>
      <c r="W8" s="52"/>
    </row>
    <row r="9" spans="1:23">
      <c r="A9" s="59" t="str">
        <f>+'Samenvatting mixen'!A10</f>
        <v>Hedge funds</v>
      </c>
      <c r="B9" s="117">
        <v>0.12368209646612981</v>
      </c>
      <c r="C9" s="118">
        <v>6.7632304730393153E-2</v>
      </c>
      <c r="D9" s="119">
        <v>5.0809172727776825E-2</v>
      </c>
      <c r="E9" s="117">
        <v>0.1176132660808831</v>
      </c>
      <c r="F9" s="120">
        <v>0.19506193259267651</v>
      </c>
      <c r="G9" s="2">
        <v>-5.2471847222533639E-2</v>
      </c>
      <c r="H9" s="2">
        <v>0.44275342871529794</v>
      </c>
      <c r="I9" s="2">
        <v>1</v>
      </c>
      <c r="J9" s="2">
        <v>-0.23095821056328078</v>
      </c>
      <c r="K9" s="2">
        <v>-0.4512076266539613</v>
      </c>
      <c r="L9" s="2">
        <v>-0.16774938864104288</v>
      </c>
      <c r="M9" s="2">
        <v>0.99999999999999944</v>
      </c>
      <c r="N9" s="57"/>
      <c r="O9" s="72"/>
      <c r="Q9" s="72" t="str">
        <f t="shared" si="0"/>
        <v>Hedge funds</v>
      </c>
      <c r="R9" s="72">
        <f t="shared" si="1"/>
        <v>5.0809172727776825E-2</v>
      </c>
      <c r="S9" s="52">
        <f t="shared" si="2"/>
        <v>7.2872923738352982E-2</v>
      </c>
      <c r="T9" s="52">
        <f t="shared" si="3"/>
        <v>7.1379836126546706E-2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0.14246107360813437</v>
      </c>
      <c r="C10" s="122">
        <v>7.820726153440237E-2</v>
      </c>
      <c r="D10" s="123">
        <v>5.3262039238667784E-2</v>
      </c>
      <c r="E10" s="121">
        <v>0.13830245113177217</v>
      </c>
      <c r="F10" s="124">
        <v>0.22039257817255561</v>
      </c>
      <c r="G10" s="65">
        <v>2.6927012079841411E-2</v>
      </c>
      <c r="H10" s="65">
        <v>1</v>
      </c>
      <c r="I10" s="65">
        <v>-0.70599791263678047</v>
      </c>
      <c r="J10" s="65">
        <v>0.33064956179707367</v>
      </c>
      <c r="K10" s="65">
        <v>-0.27084421158273075</v>
      </c>
      <c r="L10" s="65">
        <v>-0.19031970668553619</v>
      </c>
      <c r="M10" s="65">
        <v>0.99999999999999978</v>
      </c>
      <c r="N10" s="66"/>
      <c r="O10" s="72"/>
      <c r="Q10" s="72" t="str">
        <f t="shared" si="0"/>
        <v>Onroerend goed</v>
      </c>
      <c r="R10" s="72">
        <f t="shared" si="1"/>
        <v>5.3262039238667784E-2</v>
      </c>
      <c r="S10" s="52">
        <f t="shared" si="2"/>
        <v>8.9199034369466579E-2</v>
      </c>
      <c r="T10" s="52">
        <f t="shared" si="3"/>
        <v>7.7931504564421245E-2</v>
      </c>
      <c r="U10" s="52"/>
      <c r="V10" s="52"/>
      <c r="W10" s="52"/>
    </row>
    <row r="12" spans="1:23">
      <c r="A12" s="48" t="s">
        <v>68</v>
      </c>
      <c r="D12" s="377" t="s">
        <v>64</v>
      </c>
      <c r="E12" s="378"/>
      <c r="F12" s="379"/>
      <c r="G12" s="377" t="s">
        <v>65</v>
      </c>
      <c r="H12" s="378"/>
      <c r="I12" s="378"/>
      <c r="J12" s="378"/>
      <c r="K12" s="378"/>
      <c r="L12" s="378"/>
      <c r="M12" s="378"/>
      <c r="N12" s="379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0.6973707763150907</v>
      </c>
      <c r="H13" s="272">
        <v>0.19986202744186254</v>
      </c>
      <c r="I13" s="272">
        <v>6.8945857022085777E-2</v>
      </c>
      <c r="J13" s="272">
        <v>3.1207041648281586E-2</v>
      </c>
      <c r="K13" s="272">
        <v>2.2290546284903234E-3</v>
      </c>
      <c r="L13" s="272">
        <v>3.8524294418484928E-4</v>
      </c>
      <c r="M13" s="272">
        <v>0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5.1077788325396105E-2</v>
      </c>
      <c r="C14" s="118">
        <v>3.7074609147004452E-2</v>
      </c>
      <c r="D14" s="119">
        <v>1.2573961376480767E-2</v>
      </c>
      <c r="E14" s="117">
        <v>4.4876768400957751E-2</v>
      </c>
      <c r="F14" s="120">
        <v>8.7861561068620961E-2</v>
      </c>
      <c r="G14" s="2">
        <v>-4.5110555189018964E-2</v>
      </c>
      <c r="H14" s="2">
        <v>-6.4004569596480029E-2</v>
      </c>
      <c r="I14" s="2">
        <v>-0.15813951046055066</v>
      </c>
      <c r="J14" s="2">
        <v>1</v>
      </c>
      <c r="K14" s="2">
        <v>-0.17577194923394157</v>
      </c>
      <c r="L14" s="2">
        <v>-0.15455683257028982</v>
      </c>
      <c r="M14" s="2">
        <v>0.99999999999999489</v>
      </c>
      <c r="N14" s="57"/>
      <c r="Q14" s="51" t="str">
        <f t="shared" ref="Q14:Q20" si="4">A14</f>
        <v>High Yield</v>
      </c>
      <c r="R14" s="72">
        <f>D14</f>
        <v>1.2573961376480767E-2</v>
      </c>
      <c r="S14" s="52">
        <f>B14-D14</f>
        <v>3.850382694891534E-2</v>
      </c>
      <c r="T14" s="52">
        <f>F14-B14</f>
        <v>3.6783772743224856E-2</v>
      </c>
      <c r="U14" s="52"/>
    </row>
    <row r="15" spans="1:23">
      <c r="A15" s="59" t="str">
        <f t="shared" ref="A15:A20" si="5">A5</f>
        <v>Emerging market debt</v>
      </c>
      <c r="B15" s="117">
        <v>0.31746541244535864</v>
      </c>
      <c r="C15" s="118">
        <v>0.15771986267138358</v>
      </c>
      <c r="D15" s="119">
        <v>0.13660879055936273</v>
      </c>
      <c r="E15" s="117">
        <v>0.3193020318326738</v>
      </c>
      <c r="F15" s="120">
        <v>0.48646330818233119</v>
      </c>
      <c r="G15" s="2">
        <v>1</v>
      </c>
      <c r="H15" s="2">
        <v>-9.3545947145660696E-2</v>
      </c>
      <c r="I15" s="2">
        <v>-0.20098218893276046</v>
      </c>
      <c r="J15" s="2">
        <v>-0.24736296463504384</v>
      </c>
      <c r="K15" s="2">
        <v>-0.21657350425112568</v>
      </c>
      <c r="L15" s="2">
        <v>-0.17333191779522733</v>
      </c>
      <c r="M15" s="2">
        <v>0.99999999999999911</v>
      </c>
      <c r="N15" s="57"/>
      <c r="Q15" s="51" t="str">
        <f t="shared" si="4"/>
        <v>Emerging market debt</v>
      </c>
      <c r="R15" s="72">
        <f t="shared" ref="R15:R20" si="6">D15</f>
        <v>0.13660879055936273</v>
      </c>
      <c r="S15" s="52">
        <f t="shared" ref="S15:S20" si="7">B15-D15</f>
        <v>0.18085662188599591</v>
      </c>
      <c r="T15" s="52">
        <f t="shared" ref="T15:T20" si="8">F15-B15</f>
        <v>0.16899789573697255</v>
      </c>
      <c r="U15" s="52"/>
    </row>
    <row r="16" spans="1:23">
      <c r="A16" s="59" t="str">
        <f t="shared" si="5"/>
        <v>Aandelen ontwikkeld</v>
      </c>
      <c r="B16" s="117">
        <v>3.3007233035151446E-3</v>
      </c>
      <c r="C16" s="118">
        <v>4.1264397748054984E-3</v>
      </c>
      <c r="D16" s="119">
        <v>1.6640034962185025E-4</v>
      </c>
      <c r="E16" s="117">
        <v>1.8220329183107702E-3</v>
      </c>
      <c r="F16" s="120">
        <v>6.696276277189642E-3</v>
      </c>
      <c r="G16" s="2">
        <v>1.3086430324746586E-3</v>
      </c>
      <c r="H16" s="2">
        <v>-2.078450341242741E-3</v>
      </c>
      <c r="I16" s="2">
        <v>-8.086007381920229E-3</v>
      </c>
      <c r="J16" s="2">
        <v>-1.5005724419235292E-2</v>
      </c>
      <c r="K16" s="2">
        <v>-2.2487781992743842E-3</v>
      </c>
      <c r="L16" s="2">
        <v>1</v>
      </c>
      <c r="M16" s="2">
        <v>0.99999999999989664</v>
      </c>
      <c r="N16" s="57"/>
      <c r="Q16" s="51" t="str">
        <f t="shared" si="4"/>
        <v>Aandelen ontwikkeld</v>
      </c>
      <c r="R16" s="72">
        <f t="shared" si="6"/>
        <v>1.6640034962185025E-4</v>
      </c>
      <c r="S16" s="52">
        <f t="shared" si="7"/>
        <v>3.1343229538932944E-3</v>
      </c>
      <c r="T16" s="52">
        <f t="shared" si="8"/>
        <v>3.3955529736744974E-3</v>
      </c>
      <c r="U16" s="52"/>
    </row>
    <row r="17" spans="1:24">
      <c r="A17" s="59" t="str">
        <f t="shared" si="5"/>
        <v>Aandelen opkomend</v>
      </c>
      <c r="B17" s="117">
        <v>0.14182288453888395</v>
      </c>
      <c r="C17" s="118">
        <v>9.6074816694869128E-2</v>
      </c>
      <c r="D17" s="119">
        <v>4.4842749717384528E-2</v>
      </c>
      <c r="E17" s="117">
        <v>0.12796197783851129</v>
      </c>
      <c r="F17" s="120">
        <v>0.23474069161970884</v>
      </c>
      <c r="G17" s="2">
        <v>-0.35098590040329175</v>
      </c>
      <c r="H17" s="2">
        <v>1</v>
      </c>
      <c r="I17" s="2">
        <v>-0.277111806148301</v>
      </c>
      <c r="J17" s="2">
        <v>-0.2617308932625465</v>
      </c>
      <c r="K17" s="2">
        <v>-0.21767273425858014</v>
      </c>
      <c r="L17" s="2">
        <v>-0.1710869407744344</v>
      </c>
      <c r="M17" s="2">
        <v>1</v>
      </c>
      <c r="N17" s="57"/>
      <c r="Q17" s="51" t="str">
        <f t="shared" si="4"/>
        <v>Aandelen opkomend</v>
      </c>
      <c r="R17" s="72">
        <f t="shared" si="6"/>
        <v>4.4842749717384528E-2</v>
      </c>
      <c r="S17" s="52">
        <f t="shared" si="7"/>
        <v>9.698013482149942E-2</v>
      </c>
      <c r="T17" s="52">
        <f t="shared" si="8"/>
        <v>9.2917807080824893E-2</v>
      </c>
      <c r="U17" s="52"/>
    </row>
    <row r="18" spans="1:24">
      <c r="A18" s="59" t="str">
        <f t="shared" si="5"/>
        <v>Commodities</v>
      </c>
      <c r="B18" s="117">
        <v>0.40578252043904189</v>
      </c>
      <c r="C18" s="118">
        <v>0.10714656267952513</v>
      </c>
      <c r="D18" s="119">
        <v>0.30083666470690862</v>
      </c>
      <c r="E18" s="117">
        <v>0.39481991042009423</v>
      </c>
      <c r="F18" s="120">
        <v>0.50963928560864469</v>
      </c>
      <c r="G18" s="2">
        <v>-0.53359958500974403</v>
      </c>
      <c r="H18" s="2">
        <v>-0.82580145511680569</v>
      </c>
      <c r="I18" s="2">
        <v>-0.31717624549336482</v>
      </c>
      <c r="J18" s="2">
        <v>-0.36500625384491264</v>
      </c>
      <c r="K18" s="2">
        <v>-0.22364167401096827</v>
      </c>
      <c r="L18" s="2">
        <v>-0.17524279197049419</v>
      </c>
      <c r="M18" s="2">
        <v>0.99999999999999978</v>
      </c>
      <c r="N18" s="57"/>
      <c r="Q18" s="51" t="str">
        <f t="shared" si="4"/>
        <v>Commodities</v>
      </c>
      <c r="R18" s="72">
        <f t="shared" si="6"/>
        <v>0.30083666470690862</v>
      </c>
      <c r="S18" s="52">
        <f t="shared" si="7"/>
        <v>0.10494585573213328</v>
      </c>
      <c r="T18" s="52">
        <f t="shared" si="8"/>
        <v>0.10385676516960279</v>
      </c>
      <c r="U18" s="52"/>
    </row>
    <row r="19" spans="1:24">
      <c r="A19" s="59" t="str">
        <f t="shared" si="5"/>
        <v>Hedge funds</v>
      </c>
      <c r="B19" s="117">
        <v>7.0240856708375057E-2</v>
      </c>
      <c r="C19" s="118">
        <v>5.3960134974453546E-2</v>
      </c>
      <c r="D19" s="119">
        <v>1.6739397406762616E-2</v>
      </c>
      <c r="E19" s="117">
        <v>5.9393367087532692E-2</v>
      </c>
      <c r="F19" s="120">
        <v>0.12680057723098989</v>
      </c>
      <c r="G19" s="2">
        <v>-7.2610034868217724E-2</v>
      </c>
      <c r="H19" s="2">
        <v>-1.3782626752977218E-2</v>
      </c>
      <c r="I19" s="2">
        <v>1</v>
      </c>
      <c r="J19" s="2">
        <v>-8.1142957403976576E-2</v>
      </c>
      <c r="K19" s="2">
        <v>-0.16409136004608507</v>
      </c>
      <c r="L19" s="2">
        <v>-0.1605474375899533</v>
      </c>
      <c r="M19" s="2">
        <v>0.99999999999999467</v>
      </c>
      <c r="N19" s="57"/>
      <c r="Q19" s="51" t="str">
        <f t="shared" si="4"/>
        <v>Hedge funds</v>
      </c>
      <c r="R19" s="72">
        <f t="shared" si="6"/>
        <v>1.6739397406762616E-2</v>
      </c>
      <c r="S19" s="52">
        <f t="shared" si="7"/>
        <v>5.3501459301612445E-2</v>
      </c>
      <c r="T19" s="52">
        <f t="shared" si="8"/>
        <v>5.6559720522614834E-2</v>
      </c>
      <c r="U19" s="52"/>
    </row>
    <row r="20" spans="1:24">
      <c r="A20" s="60" t="str">
        <f t="shared" si="5"/>
        <v>Onroerend goed</v>
      </c>
      <c r="B20" s="121">
        <v>1.0309814239429097E-2</v>
      </c>
      <c r="C20" s="122">
        <v>9.917771079729347E-3</v>
      </c>
      <c r="D20" s="123">
        <v>1.3987517471286876E-3</v>
      </c>
      <c r="E20" s="121">
        <v>7.4241918992990121E-3</v>
      </c>
      <c r="F20" s="124">
        <v>1.9920435801619701E-2</v>
      </c>
      <c r="G20" s="65">
        <v>9.9743243779779403E-4</v>
      </c>
      <c r="H20" s="65">
        <v>-7.8695104683411854E-4</v>
      </c>
      <c r="I20" s="65">
        <v>-3.8504241583100833E-2</v>
      </c>
      <c r="J20" s="65">
        <v>-2.9751206434283223E-2</v>
      </c>
      <c r="K20" s="65">
        <v>1</v>
      </c>
      <c r="L20" s="65">
        <v>-0.16523407929950354</v>
      </c>
      <c r="M20" s="65">
        <v>0.99999999999997269</v>
      </c>
      <c r="N20" s="66"/>
      <c r="Q20" s="51" t="str">
        <f t="shared" si="4"/>
        <v>Onroerend goed</v>
      </c>
      <c r="R20" s="72">
        <f t="shared" si="6"/>
        <v>1.3987517471286876E-3</v>
      </c>
      <c r="S20" s="52">
        <f t="shared" si="7"/>
        <v>8.9110624923004096E-3</v>
      </c>
      <c r="T20" s="52">
        <f t="shared" si="8"/>
        <v>9.6106215621906046E-3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377" t="s">
        <v>64</v>
      </c>
      <c r="E22" s="378"/>
      <c r="F22" s="379"/>
      <c r="G22" s="377" t="s">
        <v>65</v>
      </c>
      <c r="H22" s="378"/>
      <c r="I22" s="378"/>
      <c r="J22" s="378"/>
      <c r="K22" s="378"/>
      <c r="L22" s="378"/>
      <c r="M22" s="378"/>
      <c r="N22" s="379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0.61335138838391101</v>
      </c>
      <c r="H23" s="272">
        <v>0.21039676807430219</v>
      </c>
      <c r="I23" s="272">
        <v>9.9991783954988422E-2</v>
      </c>
      <c r="J23" s="272">
        <v>4.4077082663103062E-2</v>
      </c>
      <c r="K23" s="272">
        <v>2.8595847004981079E-2</v>
      </c>
      <c r="L23" s="272">
        <v>3.5871299187132388E-3</v>
      </c>
      <c r="M23" s="272">
        <v>0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6.8160939033088067E-3</v>
      </c>
      <c r="C24" s="118">
        <v>7.3251754629932919E-3</v>
      </c>
      <c r="D24" s="119">
        <v>6.6418400211821853E-4</v>
      </c>
      <c r="E24" s="117">
        <v>4.5467081709300011E-3</v>
      </c>
      <c r="F24" s="120">
        <v>1.2822359561558997E-2</v>
      </c>
      <c r="G24" s="2">
        <v>-1.8699624060690315E-2</v>
      </c>
      <c r="H24" s="2">
        <v>3.4429372116010354E-2</v>
      </c>
      <c r="I24" s="2">
        <v>0.14926726109353022</v>
      </c>
      <c r="J24" s="2">
        <v>0.14175236331088656</v>
      </c>
      <c r="K24" s="2">
        <v>1</v>
      </c>
      <c r="L24" s="2">
        <v>-0.16091233157976195</v>
      </c>
      <c r="M24" s="2">
        <v>0.99999999999998734</v>
      </c>
      <c r="N24" s="57"/>
      <c r="O24" s="67"/>
      <c r="Q24" s="51" t="str">
        <f t="shared" ref="Q24:Q30" si="9">A24</f>
        <v>High Yield</v>
      </c>
      <c r="R24" s="72">
        <f>D24</f>
        <v>6.6418400211821853E-4</v>
      </c>
      <c r="S24" s="52">
        <f>B24-D24</f>
        <v>6.151909901190588E-3</v>
      </c>
      <c r="T24" s="52">
        <f>F24-B24</f>
        <v>6.0062656582501907E-3</v>
      </c>
      <c r="U24" s="52"/>
    </row>
    <row r="25" spans="1:24">
      <c r="A25" s="59" t="str">
        <f t="shared" ref="A25:A30" si="10">A5</f>
        <v>Emerging market debt</v>
      </c>
      <c r="B25" s="117">
        <v>2.0339131608478681E-2</v>
      </c>
      <c r="C25" s="118">
        <v>1.8570633502030517E-2</v>
      </c>
      <c r="D25" s="119">
        <v>2.7901548395816442E-3</v>
      </c>
      <c r="E25" s="117">
        <v>1.5526114843646119E-2</v>
      </c>
      <c r="F25" s="120">
        <v>3.7112118184246021E-2</v>
      </c>
      <c r="G25" s="2">
        <v>-0.28662356013746387</v>
      </c>
      <c r="H25" s="2">
        <v>1</v>
      </c>
      <c r="I25" s="2">
        <v>-0.6380145869718572</v>
      </c>
      <c r="J25" s="2">
        <v>-0.25086785379301196</v>
      </c>
      <c r="K25" s="2">
        <v>-0.12797775220282764</v>
      </c>
      <c r="L25" s="2">
        <v>-0.15223429852815465</v>
      </c>
      <c r="M25" s="2">
        <v>0.99999999999998512</v>
      </c>
      <c r="N25" s="57"/>
      <c r="O25" s="67"/>
      <c r="Q25" s="51" t="str">
        <f t="shared" si="9"/>
        <v>Emerging market debt</v>
      </c>
      <c r="R25" s="72">
        <f t="shared" ref="R25:R30" si="11">D25</f>
        <v>2.7901548395816442E-3</v>
      </c>
      <c r="S25" s="52">
        <f t="shared" ref="S25:S30" si="12">B25-D25</f>
        <v>1.7548976768897037E-2</v>
      </c>
      <c r="T25" s="52">
        <f t="shared" ref="T25:T30" si="13">F25-B25</f>
        <v>1.677298657576734E-2</v>
      </c>
      <c r="U25" s="52"/>
      <c r="X25" s="51"/>
    </row>
    <row r="26" spans="1:24">
      <c r="A26" s="59" t="str">
        <f t="shared" si="10"/>
        <v>Aandelen ontwikkeld</v>
      </c>
      <c r="B26" s="117">
        <v>1.6299853978666247E-3</v>
      </c>
      <c r="C26" s="118">
        <v>2.5646149683918869E-3</v>
      </c>
      <c r="D26" s="119">
        <v>1.2397953303347971E-5</v>
      </c>
      <c r="E26" s="117">
        <v>4.4941109236971267E-4</v>
      </c>
      <c r="F26" s="120">
        <v>3.4661036027769112E-3</v>
      </c>
      <c r="G26" s="2">
        <v>1.3711416227142057E-3</v>
      </c>
      <c r="H26" s="2">
        <v>-1.364059585120285E-2</v>
      </c>
      <c r="I26" s="2">
        <v>1.0407461382280074E-2</v>
      </c>
      <c r="J26" s="2">
        <v>1.4479398153573001E-2</v>
      </c>
      <c r="K26" s="2">
        <v>-8.8078329411099814E-3</v>
      </c>
      <c r="L26" s="2">
        <v>1</v>
      </c>
      <c r="M26" s="2">
        <v>1</v>
      </c>
      <c r="N26" s="57"/>
      <c r="O26" s="67"/>
      <c r="P26" s="72"/>
      <c r="Q26" s="51" t="str">
        <f t="shared" si="9"/>
        <v>Aandelen ontwikkeld</v>
      </c>
      <c r="R26" s="72">
        <f t="shared" si="11"/>
        <v>1.2397953303347971E-5</v>
      </c>
      <c r="S26" s="52">
        <f t="shared" si="12"/>
        <v>1.6175874445632768E-3</v>
      </c>
      <c r="T26" s="52">
        <f t="shared" si="13"/>
        <v>1.8361182049102865E-3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1.1720065680172963E-2</v>
      </c>
      <c r="C27" s="118">
        <v>1.243161347414176E-2</v>
      </c>
      <c r="D27" s="119">
        <v>1.1806896770789486E-3</v>
      </c>
      <c r="E27" s="117">
        <v>7.7328444104850791E-3</v>
      </c>
      <c r="F27" s="120">
        <v>2.2342269311148855E-2</v>
      </c>
      <c r="G27" s="2">
        <v>-7.3087457434015166E-2</v>
      </c>
      <c r="H27" s="2">
        <v>0.16433227891446645</v>
      </c>
      <c r="I27" s="2">
        <v>1</v>
      </c>
      <c r="J27" s="2">
        <v>-0.49986643630946559</v>
      </c>
      <c r="K27" s="2">
        <v>-0.2568346035731266</v>
      </c>
      <c r="L27" s="2">
        <v>-0.16867288426558469</v>
      </c>
      <c r="M27" s="2">
        <v>0.99999999999998612</v>
      </c>
      <c r="N27" s="57"/>
      <c r="O27" s="67"/>
      <c r="P27" s="72"/>
      <c r="Q27" s="51" t="str">
        <f t="shared" si="9"/>
        <v>Aandelen opkomend</v>
      </c>
      <c r="R27" s="72">
        <f t="shared" si="11"/>
        <v>1.1806896770789486E-3</v>
      </c>
      <c r="S27" s="52">
        <f t="shared" si="12"/>
        <v>1.0539376003094014E-2</v>
      </c>
      <c r="T27" s="52">
        <f t="shared" si="13"/>
        <v>1.0622203630975892E-2</v>
      </c>
      <c r="U27" s="52"/>
      <c r="V27" s="52"/>
      <c r="W27" s="52"/>
    </row>
    <row r="28" spans="1:24">
      <c r="A28" s="59" t="str">
        <f t="shared" si="10"/>
        <v>Commodities</v>
      </c>
      <c r="B28" s="117">
        <v>0.92447394015034523</v>
      </c>
      <c r="C28" s="118">
        <v>3.050770937622059E-2</v>
      </c>
      <c r="D28" s="119">
        <v>0.89462315795149583</v>
      </c>
      <c r="E28" s="117">
        <v>0.92443636078895597</v>
      </c>
      <c r="F28" s="120">
        <v>0.95694679552966866</v>
      </c>
      <c r="G28" s="2">
        <v>1</v>
      </c>
      <c r="H28" s="2">
        <v>-0.28365555865753761</v>
      </c>
      <c r="I28" s="2">
        <v>-0.32616040688550896</v>
      </c>
      <c r="J28" s="2">
        <v>-0.20353339224701161</v>
      </c>
      <c r="K28" s="2">
        <v>-0.12295947631341102</v>
      </c>
      <c r="L28" s="2">
        <v>-0.16629688803868267</v>
      </c>
      <c r="M28" s="2">
        <v>0.99999999999998535</v>
      </c>
      <c r="N28" s="57"/>
      <c r="O28" s="67"/>
      <c r="P28" s="72"/>
      <c r="Q28" s="51" t="str">
        <f t="shared" si="9"/>
        <v>Commodities</v>
      </c>
      <c r="R28" s="72">
        <f t="shared" si="11"/>
        <v>0.89462315795149583</v>
      </c>
      <c r="S28" s="52">
        <f t="shared" si="12"/>
        <v>2.9850782198849402E-2</v>
      </c>
      <c r="T28" s="52">
        <f t="shared" si="13"/>
        <v>3.2472855379323429E-2</v>
      </c>
      <c r="U28" s="52"/>
      <c r="V28" s="52"/>
      <c r="W28" s="52"/>
    </row>
    <row r="29" spans="1:24">
      <c r="A29" s="59" t="str">
        <f t="shared" si="10"/>
        <v>Hedge funds</v>
      </c>
      <c r="B29" s="117">
        <v>2.7312566969018844E-2</v>
      </c>
      <c r="C29" s="118">
        <v>2.3414477741098092E-2</v>
      </c>
      <c r="D29" s="119">
        <v>5.2206152797245912E-3</v>
      </c>
      <c r="E29" s="117">
        <v>2.1430968886586833E-2</v>
      </c>
      <c r="F29" s="120">
        <v>5.2272472683413583E-2</v>
      </c>
      <c r="G29" s="2">
        <v>-0.59959042295315557</v>
      </c>
      <c r="H29" s="2">
        <v>-0.97512167458422117</v>
      </c>
      <c r="I29" s="2">
        <v>-0.37240264309985643</v>
      </c>
      <c r="J29" s="2">
        <v>-0.20196407911497236</v>
      </c>
      <c r="K29" s="2">
        <v>-0.13002105897650607</v>
      </c>
      <c r="L29" s="2">
        <v>-0.16960767065826657</v>
      </c>
      <c r="M29" s="2">
        <v>0.99999999999998379</v>
      </c>
      <c r="N29" s="57"/>
      <c r="O29" s="67"/>
      <c r="P29" s="72"/>
      <c r="Q29" s="51" t="str">
        <f t="shared" si="9"/>
        <v>Hedge funds</v>
      </c>
      <c r="R29" s="72">
        <f t="shared" si="11"/>
        <v>5.2206152797245912E-3</v>
      </c>
      <c r="S29" s="52">
        <f t="shared" si="12"/>
        <v>2.2091951689294252E-2</v>
      </c>
      <c r="T29" s="52">
        <f t="shared" si="13"/>
        <v>2.4959905714394739E-2</v>
      </c>
      <c r="U29" s="52"/>
      <c r="V29" s="52"/>
      <c r="W29" s="52"/>
    </row>
    <row r="30" spans="1:24">
      <c r="A30" s="60" t="str">
        <f t="shared" si="10"/>
        <v>Onroerend goed</v>
      </c>
      <c r="B30" s="121">
        <v>7.7082162908093032E-3</v>
      </c>
      <c r="C30" s="122">
        <v>8.8185305686759915E-3</v>
      </c>
      <c r="D30" s="123">
        <v>5.1194189955893442E-4</v>
      </c>
      <c r="E30" s="121">
        <v>4.9389444839753015E-3</v>
      </c>
      <c r="F30" s="124">
        <v>1.4800914087291481E-2</v>
      </c>
      <c r="G30" s="65">
        <v>-2.3370077037390174E-2</v>
      </c>
      <c r="H30" s="65">
        <v>7.3656178062484687E-2</v>
      </c>
      <c r="I30" s="65">
        <v>0.17690291448141027</v>
      </c>
      <c r="J30" s="65">
        <v>1</v>
      </c>
      <c r="K30" s="65">
        <v>-0.35339927599302051</v>
      </c>
      <c r="L30" s="65">
        <v>-0.18227592692956346</v>
      </c>
      <c r="M30" s="65">
        <v>0.9999999999999869</v>
      </c>
      <c r="N30" s="66"/>
      <c r="O30" s="67"/>
      <c r="P30" s="72"/>
      <c r="Q30" s="51" t="str">
        <f t="shared" si="9"/>
        <v>Onroerend goed</v>
      </c>
      <c r="R30" s="72">
        <f t="shared" si="11"/>
        <v>5.1194189955893442E-4</v>
      </c>
      <c r="S30" s="52">
        <f t="shared" si="12"/>
        <v>7.1962743912503688E-3</v>
      </c>
      <c r="T30" s="52">
        <f t="shared" si="13"/>
        <v>7.0926977964821782E-3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377" t="s">
        <v>64</v>
      </c>
      <c r="E32" s="378"/>
      <c r="F32" s="379"/>
      <c r="G32" s="377" t="s">
        <v>65</v>
      </c>
      <c r="H32" s="378"/>
      <c r="I32" s="378"/>
      <c r="J32" s="378"/>
      <c r="K32" s="378"/>
      <c r="L32" s="378"/>
      <c r="M32" s="378"/>
      <c r="N32" s="379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0.57109587837794429</v>
      </c>
      <c r="H33" s="272">
        <v>0.28014675141391354</v>
      </c>
      <c r="I33" s="272">
        <v>0.12399845627847583</v>
      </c>
      <c r="J33" s="272">
        <v>1.1607708137223338E-2</v>
      </c>
      <c r="K33" s="272">
        <v>1.0196391099186353E-2</v>
      </c>
      <c r="L33" s="272">
        <v>2.9548146932558694E-3</v>
      </c>
      <c r="M33" s="272">
        <v>0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0.26468468783764071</v>
      </c>
      <c r="C34" s="118">
        <v>0.13939866562111483</v>
      </c>
      <c r="D34" s="119">
        <v>0.11643222526673254</v>
      </c>
      <c r="E34" s="117">
        <v>0.2575080733841596</v>
      </c>
      <c r="F34" s="120">
        <v>0.40809526964239445</v>
      </c>
      <c r="G34" s="2">
        <v>1</v>
      </c>
      <c r="H34" s="2">
        <v>-0.59451846927665264</v>
      </c>
      <c r="I34" s="2">
        <v>-0.1800494850965117</v>
      </c>
      <c r="J34" s="2">
        <v>-0.20180520389698936</v>
      </c>
      <c r="K34" s="2">
        <v>-0.18058139791656763</v>
      </c>
      <c r="L34" s="2">
        <v>-0.17903956374583252</v>
      </c>
      <c r="M34" s="2">
        <v>0.99999999999999978</v>
      </c>
      <c r="N34" s="57"/>
      <c r="O34" s="67"/>
      <c r="Q34" s="51" t="str">
        <f t="shared" ref="Q34:Q40" si="15">A34</f>
        <v>High Yield</v>
      </c>
      <c r="R34" s="72">
        <f>D34</f>
        <v>0.11643222526673254</v>
      </c>
      <c r="S34" s="52">
        <f>B34-D34</f>
        <v>0.14825246257090818</v>
      </c>
      <c r="T34" s="52">
        <f>F34-B34</f>
        <v>0.14341058180475375</v>
      </c>
      <c r="U34" s="52"/>
    </row>
    <row r="35" spans="1:24">
      <c r="A35" s="59" t="str">
        <f t="shared" si="14"/>
        <v>Emerging market debt</v>
      </c>
      <c r="B35" s="117">
        <v>0.19851271888668573</v>
      </c>
      <c r="C35" s="118">
        <v>0.13004809258196806</v>
      </c>
      <c r="D35" s="119">
        <v>6.671447875502938E-2</v>
      </c>
      <c r="E35" s="117">
        <v>0.17440898538835048</v>
      </c>
      <c r="F35" s="120">
        <v>0.3401955364163482</v>
      </c>
      <c r="G35" s="2">
        <v>-0.85110804254979677</v>
      </c>
      <c r="H35" s="2">
        <v>-0.78668458693039278</v>
      </c>
      <c r="I35" s="2">
        <v>-0.30653578939218279</v>
      </c>
      <c r="J35" s="2">
        <v>-0.19821123168992166</v>
      </c>
      <c r="K35" s="2">
        <v>-0.15912608464066497</v>
      </c>
      <c r="L35" s="2">
        <v>-0.16432567398969888</v>
      </c>
      <c r="M35" s="2">
        <v>0.99999999999999944</v>
      </c>
      <c r="N35" s="57"/>
      <c r="O35" s="67"/>
      <c r="Q35" s="51" t="str">
        <f t="shared" si="15"/>
        <v>Emerging market debt</v>
      </c>
      <c r="R35" s="72">
        <f t="shared" ref="R35:R40" si="16">D35</f>
        <v>6.671447875502938E-2</v>
      </c>
      <c r="S35" s="52">
        <f t="shared" ref="S35:S40" si="17">B35-D35</f>
        <v>0.13179824013165636</v>
      </c>
      <c r="T35" s="52">
        <f t="shared" ref="T35:T40" si="18">F35-B35</f>
        <v>0.14168281752966247</v>
      </c>
      <c r="U35" s="52"/>
    </row>
    <row r="36" spans="1:24">
      <c r="A36" s="59" t="str">
        <f t="shared" si="14"/>
        <v>Aandelen ontwikkeld</v>
      </c>
      <c r="B36" s="117">
        <v>1.2397497095069271E-2</v>
      </c>
      <c r="C36" s="118">
        <v>1.159902611278193E-2</v>
      </c>
      <c r="D36" s="119">
        <v>1.7533890614041534E-3</v>
      </c>
      <c r="E36" s="117">
        <v>9.1918351152382033E-3</v>
      </c>
      <c r="F36" s="120">
        <v>2.3475114062028547E-2</v>
      </c>
      <c r="G36" s="2">
        <v>8.5233408244413753E-3</v>
      </c>
      <c r="H36" s="2">
        <v>1.9249308735247328E-2</v>
      </c>
      <c r="I36" s="2">
        <v>7.8154650787694204E-3</v>
      </c>
      <c r="J36" s="2">
        <v>-2.1077556233124774E-2</v>
      </c>
      <c r="K36" s="2">
        <v>-5.3966920227145568E-2</v>
      </c>
      <c r="L36" s="2">
        <v>1</v>
      </c>
      <c r="M36" s="2">
        <v>0.99999999999998013</v>
      </c>
      <c r="N36" s="57"/>
      <c r="O36" s="67"/>
      <c r="Q36" s="51" t="str">
        <f t="shared" si="15"/>
        <v>Aandelen ontwikkeld</v>
      </c>
      <c r="R36" s="72">
        <f t="shared" si="16"/>
        <v>1.7533890614041534E-3</v>
      </c>
      <c r="S36" s="52">
        <f t="shared" si="17"/>
        <v>1.0644108033665117E-2</v>
      </c>
      <c r="T36" s="52">
        <f t="shared" si="18"/>
        <v>1.1077616966959277E-2</v>
      </c>
      <c r="U36" s="52"/>
    </row>
    <row r="37" spans="1:24">
      <c r="A37" s="59" t="str">
        <f t="shared" si="14"/>
        <v>Aandelen opkomend</v>
      </c>
      <c r="B37" s="117">
        <v>0.17559461761693893</v>
      </c>
      <c r="C37" s="118">
        <v>9.3189068860275587E-2</v>
      </c>
      <c r="D37" s="119">
        <v>8.0253561183558711E-2</v>
      </c>
      <c r="E37" s="117">
        <v>0.16577135200118109</v>
      </c>
      <c r="F37" s="120">
        <v>0.26990883301699253</v>
      </c>
      <c r="G37" s="2">
        <v>-4.5990227225805515E-2</v>
      </c>
      <c r="H37" s="2">
        <v>1</v>
      </c>
      <c r="I37" s="2">
        <v>-0.62045494560089243</v>
      </c>
      <c r="J37" s="2">
        <v>-0.23382561721167389</v>
      </c>
      <c r="K37" s="2">
        <v>-0.21352146297073649</v>
      </c>
      <c r="L37" s="2">
        <v>-0.19031356083238338</v>
      </c>
      <c r="M37" s="2">
        <v>0.99999999999999944</v>
      </c>
      <c r="N37" s="57"/>
      <c r="O37" s="67"/>
      <c r="Q37" s="51" t="str">
        <f t="shared" si="15"/>
        <v>Aandelen opkomend</v>
      </c>
      <c r="R37" s="72">
        <f t="shared" si="16"/>
        <v>8.0253561183558711E-2</v>
      </c>
      <c r="S37" s="52">
        <f t="shared" si="17"/>
        <v>9.5341056433380214E-2</v>
      </c>
      <c r="T37" s="52">
        <f t="shared" si="18"/>
        <v>9.4314215400053608E-2</v>
      </c>
      <c r="U37" s="52"/>
      <c r="X37" s="51"/>
    </row>
    <row r="38" spans="1:24">
      <c r="A38" s="59" t="str">
        <f t="shared" si="14"/>
        <v>Commodities</v>
      </c>
      <c r="B38" s="117">
        <v>0.29496235052303788</v>
      </c>
      <c r="C38" s="118">
        <v>7.0386338331977494E-2</v>
      </c>
      <c r="D38" s="119">
        <v>0.22472189579278434</v>
      </c>
      <c r="E38" s="117">
        <v>0.29080079282531679</v>
      </c>
      <c r="F38" s="120">
        <v>0.37192116168752043</v>
      </c>
      <c r="G38" s="2">
        <v>-0.10932539440016072</v>
      </c>
      <c r="H38" s="2">
        <v>0.2674446614707599</v>
      </c>
      <c r="I38" s="2">
        <v>1</v>
      </c>
      <c r="J38" s="2">
        <v>-0.29008052933489664</v>
      </c>
      <c r="K38" s="2">
        <v>-0.25483438179451617</v>
      </c>
      <c r="L38" s="2">
        <v>-0.19499941885596664</v>
      </c>
      <c r="M38" s="2">
        <v>1</v>
      </c>
      <c r="N38" s="57"/>
      <c r="O38" s="67"/>
      <c r="P38" s="72"/>
      <c r="Q38" s="51" t="str">
        <f t="shared" si="15"/>
        <v>Commodities</v>
      </c>
      <c r="R38" s="72">
        <f t="shared" si="16"/>
        <v>0.22472189579278434</v>
      </c>
      <c r="S38" s="52">
        <f t="shared" si="17"/>
        <v>7.0240454730253532E-2</v>
      </c>
      <c r="T38" s="52">
        <f t="shared" si="18"/>
        <v>7.6958811164482555E-2</v>
      </c>
      <c r="U38" s="52"/>
      <c r="V38" s="52"/>
      <c r="W38" s="52"/>
    </row>
    <row r="39" spans="1:24">
      <c r="A39" s="59" t="str">
        <f t="shared" si="14"/>
        <v>Hedge funds</v>
      </c>
      <c r="B39" s="117">
        <v>2.6902881770934455E-2</v>
      </c>
      <c r="C39" s="118">
        <v>2.1751716490162686E-2</v>
      </c>
      <c r="D39" s="119">
        <v>6.4612258958662945E-3</v>
      </c>
      <c r="E39" s="117">
        <v>2.1027029534601394E-2</v>
      </c>
      <c r="F39" s="120">
        <v>4.8416041002237314E-2</v>
      </c>
      <c r="G39" s="2">
        <v>6.7123262053939104E-3</v>
      </c>
      <c r="H39" s="2">
        <v>5.5548721289818859E-2</v>
      </c>
      <c r="I39" s="2">
        <v>4.8484854512797153E-2</v>
      </c>
      <c r="J39" s="2">
        <v>-5.4999861633386667E-2</v>
      </c>
      <c r="K39" s="2">
        <v>1</v>
      </c>
      <c r="L39" s="2">
        <v>-0.11623822229238473</v>
      </c>
      <c r="M39" s="2">
        <v>0.99999999999999212</v>
      </c>
      <c r="N39" s="57"/>
      <c r="O39" s="67"/>
      <c r="P39" s="72"/>
      <c r="Q39" s="51" t="str">
        <f t="shared" si="15"/>
        <v>Hedge funds</v>
      </c>
      <c r="R39" s="72">
        <f t="shared" si="16"/>
        <v>6.4612258958662945E-3</v>
      </c>
      <c r="S39" s="52">
        <f t="shared" si="17"/>
        <v>2.044165587506816E-2</v>
      </c>
      <c r="T39" s="52">
        <f t="shared" si="18"/>
        <v>2.1513159231302859E-2</v>
      </c>
      <c r="U39" s="52"/>
      <c r="V39" s="52"/>
      <c r="W39" s="52"/>
    </row>
    <row r="40" spans="1:24">
      <c r="A40" s="60" t="str">
        <f t="shared" si="14"/>
        <v>Onroerend goed</v>
      </c>
      <c r="B40" s="121">
        <v>2.6945246269692663E-2</v>
      </c>
      <c r="C40" s="122">
        <v>2.2792078840661836E-2</v>
      </c>
      <c r="D40" s="123">
        <v>4.6371981100309465E-3</v>
      </c>
      <c r="E40" s="121">
        <v>2.2385521797258022E-2</v>
      </c>
      <c r="F40" s="124">
        <v>4.7492938418700698E-2</v>
      </c>
      <c r="G40" s="65">
        <v>-8.8120028540720936E-3</v>
      </c>
      <c r="H40" s="65">
        <v>3.8960364711220385E-2</v>
      </c>
      <c r="I40" s="65">
        <v>5.0739900498020615E-2</v>
      </c>
      <c r="J40" s="65">
        <v>1</v>
      </c>
      <c r="K40" s="65">
        <v>-0.13796975245036333</v>
      </c>
      <c r="L40" s="65">
        <v>-0.15508356028371675</v>
      </c>
      <c r="M40" s="65">
        <v>0.99999999999999201</v>
      </c>
      <c r="N40" s="66"/>
      <c r="O40" s="67"/>
      <c r="P40" s="72"/>
      <c r="Q40" s="51" t="str">
        <f t="shared" si="15"/>
        <v>Onroerend goed</v>
      </c>
      <c r="R40" s="72">
        <f t="shared" si="16"/>
        <v>4.6371981100309465E-3</v>
      </c>
      <c r="S40" s="52">
        <f t="shared" si="17"/>
        <v>2.2308048159661718E-2</v>
      </c>
      <c r="T40" s="52">
        <f t="shared" si="18"/>
        <v>2.0547692149008034E-2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377" t="s">
        <v>64</v>
      </c>
      <c r="E42" s="378"/>
      <c r="F42" s="379"/>
      <c r="G42" s="377" t="s">
        <v>65</v>
      </c>
      <c r="H42" s="378"/>
      <c r="I42" s="378"/>
      <c r="J42" s="378"/>
      <c r="K42" s="378"/>
      <c r="L42" s="378"/>
      <c r="M42" s="378"/>
      <c r="N42" s="379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0.28044867045950606</v>
      </c>
      <c r="H43" s="272">
        <v>0.21610223384772254</v>
      </c>
      <c r="I43" s="272">
        <v>0.15654015300417967</v>
      </c>
      <c r="J43" s="272">
        <v>0.13096397721966557</v>
      </c>
      <c r="K43" s="272">
        <v>0.1125920438282576</v>
      </c>
      <c r="L43" s="272">
        <v>0.10335292164066634</v>
      </c>
      <c r="M43" s="272">
        <v>-2.2204460492503131E-16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0.13577742479095192</v>
      </c>
      <c r="C44" s="118">
        <v>0.20528415585835463</v>
      </c>
      <c r="D44" s="119">
        <v>8.9836699414156903E-4</v>
      </c>
      <c r="E44" s="117">
        <v>4.1451007263300518E-2</v>
      </c>
      <c r="F44" s="120">
        <v>0.30251840037343769</v>
      </c>
      <c r="G44" s="2">
        <v>-0.17779409501741705</v>
      </c>
      <c r="H44" s="2">
        <v>-0.54956098343794513</v>
      </c>
      <c r="I44" s="2">
        <v>1</v>
      </c>
      <c r="J44" s="2">
        <v>0.28866787875811684</v>
      </c>
      <c r="K44" s="2">
        <v>9.4050851598964771E-2</v>
      </c>
      <c r="L44" s="2">
        <v>-5.2191673122770288E-2</v>
      </c>
      <c r="M44" s="2">
        <v>0.9999999999990693</v>
      </c>
      <c r="N44" s="57"/>
      <c r="O44" s="67"/>
      <c r="Q44" s="51" t="str">
        <f t="shared" ref="Q44:Q50" si="19">A44</f>
        <v>High Yield</v>
      </c>
      <c r="R44" s="72">
        <f>D44</f>
        <v>8.9836699414156903E-4</v>
      </c>
      <c r="S44" s="52">
        <f>B44-D44</f>
        <v>0.13487905779681036</v>
      </c>
      <c r="T44" s="52">
        <f>F44-B44</f>
        <v>0.16674097558248577</v>
      </c>
      <c r="U44" s="52"/>
    </row>
    <row r="45" spans="1:24">
      <c r="A45" s="59" t="str">
        <f t="shared" ref="A45:A50" si="20">A5</f>
        <v>Emerging market debt</v>
      </c>
      <c r="B45" s="117">
        <v>0.10906399438029583</v>
      </c>
      <c r="C45" s="118">
        <v>0.16791024940911684</v>
      </c>
      <c r="D45" s="119">
        <v>1.6150109128118699E-4</v>
      </c>
      <c r="E45" s="117">
        <v>2.7061503117951372E-2</v>
      </c>
      <c r="F45" s="120">
        <v>0.22134360110239742</v>
      </c>
      <c r="G45" s="2">
        <v>-0.10956060468928384</v>
      </c>
      <c r="H45" s="2">
        <v>-0.19153728078271068</v>
      </c>
      <c r="I45" s="2">
        <v>-0.16554109510397791</v>
      </c>
      <c r="J45" s="2">
        <v>-0.45909005023593263</v>
      </c>
      <c r="K45" s="2">
        <v>-0.54702687116775572</v>
      </c>
      <c r="L45" s="2">
        <v>1</v>
      </c>
      <c r="M45" s="2">
        <v>0.99999999999931244</v>
      </c>
      <c r="N45" s="57"/>
      <c r="O45" s="67"/>
      <c r="Q45" s="51" t="str">
        <f t="shared" si="19"/>
        <v>Emerging market debt</v>
      </c>
      <c r="R45" s="72">
        <f t="shared" ref="R45:R50" si="21">D45</f>
        <v>1.6150109128118699E-4</v>
      </c>
      <c r="S45" s="52">
        <f t="shared" ref="S45:S50" si="22">B45-D45</f>
        <v>0.10890249328901465</v>
      </c>
      <c r="T45" s="52">
        <f t="shared" ref="T45:T50" si="23">F45-B45</f>
        <v>0.11227960672210159</v>
      </c>
      <c r="U45" s="52"/>
    </row>
    <row r="46" spans="1:24">
      <c r="A46" s="59" t="str">
        <f t="shared" si="20"/>
        <v>Aandelen ontwikkeld</v>
      </c>
      <c r="B46" s="117">
        <v>8.7342481210289841E-2</v>
      </c>
      <c r="C46" s="118">
        <v>0.16737747559968064</v>
      </c>
      <c r="D46" s="119">
        <v>7.4248746914305766E-5</v>
      </c>
      <c r="E46" s="117">
        <v>1.3564306846253722E-2</v>
      </c>
      <c r="F46" s="120">
        <v>0.16758057910529106</v>
      </c>
      <c r="G46" s="2">
        <v>-9.6329767816820858E-2</v>
      </c>
      <c r="H46" s="2">
        <v>-0.15749029732902514</v>
      </c>
      <c r="I46" s="2">
        <v>-0.23878721897952351</v>
      </c>
      <c r="J46" s="2">
        <v>-0.41769089758427824</v>
      </c>
      <c r="K46" s="2">
        <v>-0.59509313902597061</v>
      </c>
      <c r="L46" s="2">
        <v>-0.9806836047064732</v>
      </c>
      <c r="M46" s="2">
        <v>1</v>
      </c>
      <c r="N46" s="57"/>
      <c r="O46" s="67"/>
      <c r="Q46" s="51" t="str">
        <f t="shared" si="19"/>
        <v>Aandelen ontwikkeld</v>
      </c>
      <c r="R46" s="72">
        <f t="shared" si="21"/>
        <v>7.4248746914305766E-5</v>
      </c>
      <c r="S46" s="52">
        <f t="shared" si="22"/>
        <v>8.7268232463375534E-2</v>
      </c>
      <c r="T46" s="52">
        <f t="shared" si="23"/>
        <v>8.023809789500122E-2</v>
      </c>
      <c r="U46" s="52"/>
    </row>
    <row r="47" spans="1:24">
      <c r="A47" s="59" t="str">
        <f t="shared" si="20"/>
        <v>Aandelen opkomend</v>
      </c>
      <c r="B47" s="117">
        <v>0.12155950377523322</v>
      </c>
      <c r="C47" s="118">
        <v>0.18661174373747683</v>
      </c>
      <c r="D47" s="119">
        <v>1.9179681347217741E-4</v>
      </c>
      <c r="E47" s="117">
        <v>3.8013011688573073E-2</v>
      </c>
      <c r="F47" s="120">
        <v>0.27671475370615284</v>
      </c>
      <c r="G47" s="2">
        <v>-0.1103055766334088</v>
      </c>
      <c r="H47" s="2">
        <v>-0.17799238478254392</v>
      </c>
      <c r="I47" s="2">
        <v>-0.6686486793742763</v>
      </c>
      <c r="J47" s="2">
        <v>1</v>
      </c>
      <c r="K47" s="2">
        <v>6.3223156087769666E-3</v>
      </c>
      <c r="L47" s="2">
        <v>4.6101103402715379E-2</v>
      </c>
      <c r="M47" s="2">
        <v>0.99999999999903944</v>
      </c>
      <c r="N47" s="57"/>
      <c r="O47" s="67"/>
      <c r="Q47" s="51" t="str">
        <f t="shared" si="19"/>
        <v>Aandelen opkomend</v>
      </c>
      <c r="R47" s="72">
        <f t="shared" si="21"/>
        <v>1.9179681347217741E-4</v>
      </c>
      <c r="S47" s="52">
        <f t="shared" si="22"/>
        <v>0.12136770696176105</v>
      </c>
      <c r="T47" s="52">
        <f t="shared" si="23"/>
        <v>0.15515524993091961</v>
      </c>
      <c r="U47" s="52"/>
    </row>
    <row r="48" spans="1:24">
      <c r="A48" s="59" t="str">
        <f t="shared" si="20"/>
        <v>Commodities</v>
      </c>
      <c r="B48" s="117">
        <v>0.10379844725018138</v>
      </c>
      <c r="C48" s="118">
        <v>0.17352285938283663</v>
      </c>
      <c r="D48" s="119">
        <v>1.6015750005189501E-4</v>
      </c>
      <c r="E48" s="117">
        <v>2.4127461873596559E-2</v>
      </c>
      <c r="F48" s="120">
        <v>0.20696038925225774</v>
      </c>
      <c r="G48" s="2">
        <v>-6.8604712744687449E-2</v>
      </c>
      <c r="H48" s="2">
        <v>-0.19401571026940978</v>
      </c>
      <c r="I48" s="2">
        <v>-0.33407637939852453</v>
      </c>
      <c r="J48" s="2">
        <v>-0.53577872782794622</v>
      </c>
      <c r="K48" s="2">
        <v>1</v>
      </c>
      <c r="L48" s="2">
        <v>-3.2211049961216515E-2</v>
      </c>
      <c r="M48" s="2">
        <v>0.99999999999920208</v>
      </c>
      <c r="N48" s="57"/>
      <c r="O48" s="67"/>
      <c r="Q48" s="51" t="str">
        <f t="shared" si="19"/>
        <v>Commodities</v>
      </c>
      <c r="R48" s="72">
        <f t="shared" si="21"/>
        <v>1.6015750005189501E-4</v>
      </c>
      <c r="S48" s="52">
        <f t="shared" si="22"/>
        <v>0.10363828975012948</v>
      </c>
      <c r="T48" s="52">
        <f t="shared" si="23"/>
        <v>0.10316194200207636</v>
      </c>
      <c r="U48" s="52"/>
    </row>
    <row r="49" spans="1:27">
      <c r="A49" s="59" t="str">
        <f t="shared" si="20"/>
        <v>Hedge funds</v>
      </c>
      <c r="B49" s="117">
        <v>0.25764487592439878</v>
      </c>
      <c r="C49" s="118">
        <v>0.2590768655168158</v>
      </c>
      <c r="D49" s="119">
        <v>7.1899703076068553E-3</v>
      </c>
      <c r="E49" s="117">
        <v>0.17333809042975348</v>
      </c>
      <c r="F49" s="120">
        <v>0.55830803482032287</v>
      </c>
      <c r="G49" s="2">
        <v>1</v>
      </c>
      <c r="H49" s="2">
        <v>0.27059665660193027</v>
      </c>
      <c r="I49" s="2">
        <v>0.15168122110529508</v>
      </c>
      <c r="J49" s="2">
        <v>6.1589274456999819E-2</v>
      </c>
      <c r="K49" s="2">
        <v>-9.0257812096765002E-3</v>
      </c>
      <c r="L49" s="2">
        <v>1.1821179302633248E-2</v>
      </c>
      <c r="M49" s="2">
        <v>0.99999999999893541</v>
      </c>
      <c r="N49" s="57"/>
      <c r="O49" s="67"/>
      <c r="Q49" s="51" t="str">
        <f t="shared" si="19"/>
        <v>Hedge funds</v>
      </c>
      <c r="R49" s="72">
        <f t="shared" si="21"/>
        <v>7.1899703076068553E-3</v>
      </c>
      <c r="S49" s="52">
        <f t="shared" si="22"/>
        <v>0.2504549056167919</v>
      </c>
      <c r="T49" s="52">
        <f t="shared" si="23"/>
        <v>0.3006631588959241</v>
      </c>
      <c r="U49" s="52"/>
      <c r="X49" s="51"/>
    </row>
    <row r="50" spans="1:27">
      <c r="A50" s="60" t="str">
        <f t="shared" si="20"/>
        <v>Onroerend goed</v>
      </c>
      <c r="B50" s="121">
        <v>0.18481327266828981</v>
      </c>
      <c r="C50" s="122">
        <v>0.23428731538607059</v>
      </c>
      <c r="D50" s="123">
        <v>1.0673409565476054E-3</v>
      </c>
      <c r="E50" s="121">
        <v>6.7155963540188601E-2</v>
      </c>
      <c r="F50" s="124">
        <v>0.43039248084734771</v>
      </c>
      <c r="G50" s="65">
        <v>-0.4374052430981461</v>
      </c>
      <c r="H50" s="65">
        <v>1</v>
      </c>
      <c r="I50" s="65">
        <v>0.25537215175132649</v>
      </c>
      <c r="J50" s="65">
        <v>6.2302522433653362E-2</v>
      </c>
      <c r="K50" s="65">
        <v>5.0772624196216691E-2</v>
      </c>
      <c r="L50" s="65">
        <v>7.1640450857889029E-3</v>
      </c>
      <c r="M50" s="65">
        <v>0.99999999999902367</v>
      </c>
      <c r="N50" s="66"/>
      <c r="O50" s="67"/>
      <c r="P50" s="72"/>
      <c r="Q50" s="51" t="str">
        <f t="shared" si="19"/>
        <v>Onroerend goed</v>
      </c>
      <c r="R50" s="72">
        <f t="shared" si="21"/>
        <v>1.0673409565476054E-3</v>
      </c>
      <c r="S50" s="52">
        <f t="shared" si="22"/>
        <v>0.18374593171174219</v>
      </c>
      <c r="T50" s="52">
        <f t="shared" si="23"/>
        <v>0.2455792081790579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377" t="s">
        <v>64</v>
      </c>
      <c r="E52" s="378"/>
      <c r="F52" s="379"/>
      <c r="G52" s="377" t="s">
        <v>65</v>
      </c>
      <c r="H52" s="378"/>
      <c r="I52" s="378"/>
      <c r="J52" s="378"/>
      <c r="K52" s="378"/>
      <c r="L52" s="378"/>
      <c r="M52" s="378"/>
      <c r="N52" s="379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0.67615306564308575</v>
      </c>
      <c r="H53" s="272">
        <v>0.12749030003541206</v>
      </c>
      <c r="I53" s="272">
        <v>7.3837612818870246E-2</v>
      </c>
      <c r="J53" s="272">
        <v>6.2890893066079645E-2</v>
      </c>
      <c r="K53" s="272">
        <v>3.4665226755613232E-2</v>
      </c>
      <c r="L53" s="272">
        <v>2.4962901680941507E-2</v>
      </c>
      <c r="M53" s="272">
        <v>0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3.0187296529836489E-3</v>
      </c>
      <c r="C54" s="118">
        <v>4.9550169159430059E-3</v>
      </c>
      <c r="D54" s="119">
        <v>5.7439279264025499E-6</v>
      </c>
      <c r="E54" s="117">
        <v>7.4264755546037586E-4</v>
      </c>
      <c r="F54" s="120">
        <v>6.869722958437529E-3</v>
      </c>
      <c r="G54" s="2">
        <v>-3.035693622651587E-2</v>
      </c>
      <c r="H54" s="2">
        <v>-0.44311259524258212</v>
      </c>
      <c r="I54" s="2">
        <v>-0.13819962406630454</v>
      </c>
      <c r="J54" s="2">
        <v>1</v>
      </c>
      <c r="K54" s="2">
        <v>-0.54174049537307423</v>
      </c>
      <c r="L54" s="2">
        <v>-5.243291148908414E-3</v>
      </c>
      <c r="M54" s="2">
        <v>0.999999999999999</v>
      </c>
      <c r="N54" s="57"/>
      <c r="O54" s="67"/>
      <c r="P54" s="72"/>
      <c r="Q54" s="51" t="str">
        <f t="shared" ref="Q54:Q60" si="25">A54</f>
        <v>High Yield</v>
      </c>
      <c r="R54" s="72">
        <f>D54</f>
        <v>5.7439279264025499E-6</v>
      </c>
      <c r="S54" s="52">
        <f>B54-D54</f>
        <v>3.0129857250572462E-3</v>
      </c>
      <c r="T54" s="52">
        <f>F54-B54</f>
        <v>3.8509933054538801E-3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3.3838536043803149E-3</v>
      </c>
      <c r="C55" s="118">
        <v>5.5469337155586032E-3</v>
      </c>
      <c r="D55" s="119">
        <v>1.5240418401508748E-5</v>
      </c>
      <c r="E55" s="117">
        <v>9.2344385248170201E-4</v>
      </c>
      <c r="F55" s="120">
        <v>7.3945631714275942E-3</v>
      </c>
      <c r="G55" s="2">
        <v>-2.8558164269619629E-2</v>
      </c>
      <c r="H55" s="2">
        <v>-0.6649277158960003</v>
      </c>
      <c r="I55" s="2">
        <v>1</v>
      </c>
      <c r="J55" s="2">
        <v>-0.40026842796715389</v>
      </c>
      <c r="K55" s="2">
        <v>-0.32556686783412514</v>
      </c>
      <c r="L55" s="2">
        <v>-3.9801774407932887E-2</v>
      </c>
      <c r="M55" s="2">
        <v>0.99999999999999889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1.5240418401508748E-5</v>
      </c>
      <c r="S55" s="52">
        <f t="shared" ref="S55:S60" si="27">B55-D55</f>
        <v>3.368613185978806E-3</v>
      </c>
      <c r="T55" s="52">
        <f t="shared" ref="T55:T60" si="28">F55-B55</f>
        <v>4.0107095670472792E-3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1.8467675991835203E-3</v>
      </c>
      <c r="C56" s="118">
        <v>3.4454171184336692E-3</v>
      </c>
      <c r="D56" s="119">
        <v>6.8941694706965489E-7</v>
      </c>
      <c r="E56" s="117">
        <v>1.7233114901320755E-4</v>
      </c>
      <c r="F56" s="120">
        <v>4.0800577437010805E-3</v>
      </c>
      <c r="G56" s="2">
        <v>3.2474069028287826E-3</v>
      </c>
      <c r="H56" s="2">
        <v>-0.12197520969949206</v>
      </c>
      <c r="I56" s="2">
        <v>-2.5723559624225401E-2</v>
      </c>
      <c r="J56" s="2">
        <v>0.12081781335604326</v>
      </c>
      <c r="K56" s="2">
        <v>1</v>
      </c>
      <c r="L56" s="2">
        <v>-0.8039493131598977</v>
      </c>
      <c r="M56" s="2">
        <v>1</v>
      </c>
      <c r="N56" s="57"/>
      <c r="O56" s="67"/>
      <c r="Q56" s="51" t="str">
        <f t="shared" si="25"/>
        <v>Aandelen ontwikkeld</v>
      </c>
      <c r="R56" s="72">
        <f t="shared" si="26"/>
        <v>6.8941694706965489E-7</v>
      </c>
      <c r="S56" s="52">
        <f t="shared" si="27"/>
        <v>1.8460781822364507E-3</v>
      </c>
      <c r="T56" s="52">
        <f t="shared" si="28"/>
        <v>2.23329014451756E-3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3.0355167024835685E-3</v>
      </c>
      <c r="C57" s="118">
        <v>5.3472519717770069E-3</v>
      </c>
      <c r="D57" s="119">
        <v>3.5184256554061384E-6</v>
      </c>
      <c r="E57" s="117">
        <v>5.9521468237340165E-4</v>
      </c>
      <c r="F57" s="120">
        <v>6.4877157967603311E-3</v>
      </c>
      <c r="G57" s="2">
        <v>-2.6567465675901382E-2</v>
      </c>
      <c r="H57" s="2">
        <v>-0.5497452328246949</v>
      </c>
      <c r="I57" s="2">
        <v>-0.90399943318964227</v>
      </c>
      <c r="J57" s="2">
        <v>-0.60962016005466702</v>
      </c>
      <c r="K57" s="2">
        <v>-0.36783184327788926</v>
      </c>
      <c r="L57" s="2">
        <v>-6.8490334306392758E-2</v>
      </c>
      <c r="M57" s="2">
        <v>0.99999999999999944</v>
      </c>
      <c r="N57" s="57"/>
      <c r="O57" s="67"/>
      <c r="Q57" s="51" t="str">
        <f t="shared" si="25"/>
        <v>Aandelen opkomend</v>
      </c>
      <c r="R57" s="72">
        <f t="shared" si="26"/>
        <v>3.5184256554061384E-6</v>
      </c>
      <c r="S57" s="52">
        <f t="shared" si="27"/>
        <v>3.0319982768281625E-3</v>
      </c>
      <c r="T57" s="52">
        <f t="shared" si="28"/>
        <v>3.4521990942767626E-3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1.7467029403898911E-3</v>
      </c>
      <c r="C58" s="118">
        <v>3.2776117565305272E-3</v>
      </c>
      <c r="D58" s="119">
        <v>2.3946750210794983E-6</v>
      </c>
      <c r="E58" s="117">
        <v>3.0377602523495081E-4</v>
      </c>
      <c r="F58" s="120">
        <v>3.2165485426157653E-3</v>
      </c>
      <c r="G58" s="2">
        <v>-4.0121964348105062E-3</v>
      </c>
      <c r="H58" s="2">
        <v>-8.6992967560379067E-2</v>
      </c>
      <c r="I58" s="2">
        <v>-3.9086797658454943E-2</v>
      </c>
      <c r="J58" s="2">
        <v>3.8491002178864996E-2</v>
      </c>
      <c r="K58" s="2">
        <v>0.74209564230393721</v>
      </c>
      <c r="L58" s="2">
        <v>1</v>
      </c>
      <c r="M58" s="2">
        <v>0.99999999999999989</v>
      </c>
      <c r="N58" s="57"/>
      <c r="O58" s="67"/>
      <c r="Q58" s="51" t="str">
        <f t="shared" si="25"/>
        <v>Commodities</v>
      </c>
      <c r="R58" s="72">
        <f t="shared" si="26"/>
        <v>2.3946750210794983E-6</v>
      </c>
      <c r="S58" s="52">
        <f t="shared" si="27"/>
        <v>1.7443082653688115E-3</v>
      </c>
      <c r="T58" s="52">
        <f t="shared" si="28"/>
        <v>1.4698456022258742E-3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0.97814255914120651</v>
      </c>
      <c r="C59" s="118">
        <v>1.3408950717690311E-2</v>
      </c>
      <c r="D59" s="119">
        <v>0.9653174945430556</v>
      </c>
      <c r="E59" s="117">
        <v>0.97933454992043556</v>
      </c>
      <c r="F59" s="120">
        <v>0.99169180103942323</v>
      </c>
      <c r="G59" s="2">
        <v>1</v>
      </c>
      <c r="H59" s="2">
        <v>0.86675372122314764</v>
      </c>
      <c r="I59" s="2">
        <v>5.1235837572516395E-2</v>
      </c>
      <c r="J59" s="2">
        <v>-7.004097290690664E-2</v>
      </c>
      <c r="K59" s="2">
        <v>-0.26075380865164383</v>
      </c>
      <c r="L59" s="2">
        <v>-3.7565494878840949E-2</v>
      </c>
      <c r="M59" s="2">
        <v>0.99999999999999978</v>
      </c>
      <c r="N59" s="57"/>
      <c r="O59" s="67"/>
      <c r="Q59" s="51" t="str">
        <f t="shared" si="25"/>
        <v>Hedge funds</v>
      </c>
      <c r="R59" s="72">
        <f t="shared" si="26"/>
        <v>0.9653174945430556</v>
      </c>
      <c r="S59" s="52">
        <f t="shared" si="27"/>
        <v>1.2825064598150915E-2</v>
      </c>
      <c r="T59" s="52">
        <f t="shared" si="28"/>
        <v>1.3549241898216713E-2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8.825870359371905E-3</v>
      </c>
      <c r="C60" s="122">
        <v>1.256939555004463E-2</v>
      </c>
      <c r="D60" s="123">
        <v>8.8363134643122776E-5</v>
      </c>
      <c r="E60" s="121">
        <v>2.8670797910873109E-3</v>
      </c>
      <c r="F60" s="124">
        <v>2.0611937231802869E-2</v>
      </c>
      <c r="G60" s="65">
        <v>-0.91375264429598146</v>
      </c>
      <c r="H60" s="65">
        <v>1</v>
      </c>
      <c r="I60" s="65">
        <v>5.5773576966111772E-2</v>
      </c>
      <c r="J60" s="65">
        <v>-7.9379254606180297E-2</v>
      </c>
      <c r="K60" s="65">
        <v>-0.24620262716720609</v>
      </c>
      <c r="L60" s="65">
        <v>-4.4949792098026908E-2</v>
      </c>
      <c r="M60" s="65">
        <v>0.99999999999999944</v>
      </c>
      <c r="N60" s="66"/>
      <c r="O60" s="67"/>
      <c r="Q60" s="51" t="str">
        <f t="shared" si="25"/>
        <v>Onroerend goed</v>
      </c>
      <c r="R60" s="72">
        <f t="shared" si="26"/>
        <v>8.8363134643122776E-5</v>
      </c>
      <c r="S60" s="52">
        <f t="shared" si="27"/>
        <v>8.7375072247287827E-3</v>
      </c>
      <c r="T60" s="52">
        <f t="shared" si="28"/>
        <v>1.1786066872430964E-2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377" t="s">
        <v>64</v>
      </c>
      <c r="E62" s="378"/>
      <c r="F62" s="379"/>
      <c r="G62" s="377" t="s">
        <v>65</v>
      </c>
      <c r="H62" s="378"/>
      <c r="I62" s="378"/>
      <c r="J62" s="378"/>
      <c r="K62" s="378"/>
      <c r="L62" s="378"/>
      <c r="M62" s="378"/>
      <c r="N62" s="379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0.65725145872250668</v>
      </c>
      <c r="H63" s="272">
        <v>0.25144969549992335</v>
      </c>
      <c r="I63" s="272">
        <v>7.6118412838309779E-2</v>
      </c>
      <c r="J63" s="272">
        <v>1.1285567097163329E-2</v>
      </c>
      <c r="K63" s="272">
        <v>2.290543780882448E-3</v>
      </c>
      <c r="L63" s="272">
        <v>1.6043220612129705E-3</v>
      </c>
      <c r="M63" s="272">
        <v>0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0.3056741337573578</v>
      </c>
      <c r="C64" s="118">
        <v>0.16666768489681683</v>
      </c>
      <c r="D64" s="119">
        <v>0.1225455467100848</v>
      </c>
      <c r="E64" s="117">
        <v>0.29408802716301113</v>
      </c>
      <c r="F64" s="120">
        <v>0.49036597610783877</v>
      </c>
      <c r="G64" s="2">
        <v>1</v>
      </c>
      <c r="H64" s="2">
        <v>-0.50716703263523033</v>
      </c>
      <c r="I64" s="2">
        <v>-0.29039271754214158</v>
      </c>
      <c r="J64" s="2">
        <v>-0.2383733623033028</v>
      </c>
      <c r="K64" s="2">
        <v>-0.31978792683282609</v>
      </c>
      <c r="L64" s="2">
        <v>-7.15096779685679E-2</v>
      </c>
      <c r="M64" s="2">
        <v>1</v>
      </c>
      <c r="N64" s="57"/>
      <c r="O64" s="67"/>
      <c r="Q64" s="51" t="str">
        <f t="shared" ref="Q64:Q70" si="32">A64</f>
        <v>High Yield</v>
      </c>
      <c r="R64" s="72">
        <f>D64</f>
        <v>0.1225455467100848</v>
      </c>
      <c r="S64" s="52">
        <f>B64-D64</f>
        <v>0.183128587047273</v>
      </c>
      <c r="T64" s="52">
        <f>F64-B64</f>
        <v>0.18469184235048097</v>
      </c>
      <c r="U64" s="52"/>
    </row>
    <row r="65" spans="1:24">
      <c r="A65" s="59" t="str">
        <f t="shared" si="31"/>
        <v>Emerging market debt</v>
      </c>
      <c r="B65" s="117">
        <v>2.5523866957323366E-2</v>
      </c>
      <c r="C65" s="118">
        <v>2.5392515864819543E-2</v>
      </c>
      <c r="D65" s="119">
        <v>1.9445183382492031E-3</v>
      </c>
      <c r="E65" s="117">
        <v>1.761747249390673E-2</v>
      </c>
      <c r="F65" s="120">
        <v>5.1047138214344367E-2</v>
      </c>
      <c r="G65" s="2">
        <v>1.3111631754380868E-3</v>
      </c>
      <c r="H65" s="2">
        <v>1.1145297290740515E-2</v>
      </c>
      <c r="I65" s="2">
        <v>1.9879410391479821E-2</v>
      </c>
      <c r="J65" s="2">
        <v>1</v>
      </c>
      <c r="K65" s="2">
        <v>-0.30420081459943216</v>
      </c>
      <c r="L65" s="2">
        <v>-6.1357600634215179E-2</v>
      </c>
      <c r="M65" s="2">
        <v>0.99999999999998823</v>
      </c>
      <c r="N65" s="57"/>
      <c r="O65" s="67"/>
      <c r="Q65" s="51" t="str">
        <f t="shared" si="32"/>
        <v>Emerging market debt</v>
      </c>
      <c r="R65" s="72">
        <f t="shared" ref="R65:R70" si="33">D65</f>
        <v>1.9445183382492031E-3</v>
      </c>
      <c r="S65" s="52">
        <f t="shared" ref="S65:S70" si="34">B65-D65</f>
        <v>2.3579348619074163E-2</v>
      </c>
      <c r="T65" s="52">
        <f t="shared" ref="T65:T70" si="35">F65-B65</f>
        <v>2.5523271257021002E-2</v>
      </c>
      <c r="U65" s="52"/>
    </row>
    <row r="66" spans="1:24">
      <c r="A66" s="59" t="str">
        <f t="shared" si="31"/>
        <v>Aandelen ontwikkeld</v>
      </c>
      <c r="B66" s="117">
        <v>8.0006350502347789E-3</v>
      </c>
      <c r="C66" s="118">
        <v>1.0421899715479261E-2</v>
      </c>
      <c r="D66" s="119">
        <v>1.2890939429859957E-4</v>
      </c>
      <c r="E66" s="117">
        <v>4.1599365999552187E-3</v>
      </c>
      <c r="F66" s="120">
        <v>1.6432782353811525E-2</v>
      </c>
      <c r="G66" s="2">
        <v>1.0312990924734153E-2</v>
      </c>
      <c r="H66" s="2">
        <v>-7.1998317615454078E-3</v>
      </c>
      <c r="I66" s="2">
        <v>1.190720601478666E-2</v>
      </c>
      <c r="J66" s="2">
        <v>-6.6732866641672477E-3</v>
      </c>
      <c r="K66" s="2">
        <v>0.58514287710318358</v>
      </c>
      <c r="L66" s="2">
        <v>1</v>
      </c>
      <c r="M66" s="2">
        <v>0.99999999999997036</v>
      </c>
      <c r="N66" s="57"/>
      <c r="O66" s="67"/>
      <c r="Q66" s="51" t="str">
        <f t="shared" si="32"/>
        <v>Aandelen ontwikkeld</v>
      </c>
      <c r="R66" s="72">
        <f t="shared" si="33"/>
        <v>1.2890939429859957E-4</v>
      </c>
      <c r="S66" s="52">
        <f t="shared" si="34"/>
        <v>7.8717256559361799E-3</v>
      </c>
      <c r="T66" s="52">
        <f t="shared" si="35"/>
        <v>8.4321473035767463E-3</v>
      </c>
      <c r="U66" s="52"/>
    </row>
    <row r="67" spans="1:24">
      <c r="A67" s="59" t="str">
        <f t="shared" si="31"/>
        <v>Aandelen opkomend</v>
      </c>
      <c r="B67" s="117">
        <v>8.4226150750351721E-3</v>
      </c>
      <c r="C67" s="118">
        <v>1.1098710665755981E-2</v>
      </c>
      <c r="D67" s="119">
        <v>1.2304599952894498E-4</v>
      </c>
      <c r="E67" s="117">
        <v>3.7137259118943224E-3</v>
      </c>
      <c r="F67" s="120">
        <v>1.9707040076876188E-2</v>
      </c>
      <c r="G67" s="2">
        <v>-5.3686124187170791E-4</v>
      </c>
      <c r="H67" s="2">
        <v>3.3964706733175356E-4</v>
      </c>
      <c r="I67" s="2">
        <v>1.7675267116672874E-2</v>
      </c>
      <c r="J67" s="2">
        <v>-8.1489131158316453E-3</v>
      </c>
      <c r="K67" s="2">
        <v>1</v>
      </c>
      <c r="L67" s="2">
        <v>-0.68511811552474544</v>
      </c>
      <c r="M67" s="2">
        <v>0.99999999999997213</v>
      </c>
      <c r="N67" s="57"/>
      <c r="O67" s="67"/>
      <c r="Q67" s="51" t="str">
        <f t="shared" si="32"/>
        <v>Aandelen opkomend</v>
      </c>
      <c r="R67" s="72">
        <f t="shared" si="33"/>
        <v>1.2304599952894498E-4</v>
      </c>
      <c r="S67" s="52">
        <f t="shared" si="34"/>
        <v>8.2995690755062277E-3</v>
      </c>
      <c r="T67" s="52">
        <f t="shared" si="35"/>
        <v>1.1284425001841016E-2</v>
      </c>
      <c r="U67" s="52"/>
    </row>
    <row r="68" spans="1:24">
      <c r="A68" s="59" t="str">
        <f t="shared" si="31"/>
        <v>Commodities</v>
      </c>
      <c r="B68" s="117">
        <v>0.27297132699279519</v>
      </c>
      <c r="C68" s="118">
        <v>6.3904162244955612E-2</v>
      </c>
      <c r="D68" s="119">
        <v>0.20826364447483306</v>
      </c>
      <c r="E68" s="117">
        <v>0.27020829614288872</v>
      </c>
      <c r="F68" s="120">
        <v>0.3419001862214569</v>
      </c>
      <c r="G68" s="2">
        <v>-1.303768792068806E-2</v>
      </c>
      <c r="H68" s="2">
        <v>0.13719040143916178</v>
      </c>
      <c r="I68" s="2">
        <v>1</v>
      </c>
      <c r="J68" s="2">
        <v>-0.27050931051605098</v>
      </c>
      <c r="K68" s="2">
        <v>-0.3448237230013948</v>
      </c>
      <c r="L68" s="2">
        <v>-6.3922353484898539E-2</v>
      </c>
      <c r="M68" s="2">
        <v>0.99999999999999911</v>
      </c>
      <c r="N68" s="57"/>
      <c r="O68" s="67"/>
      <c r="Q68" s="51" t="str">
        <f t="shared" si="32"/>
        <v>Commodities</v>
      </c>
      <c r="R68" s="72">
        <f t="shared" si="33"/>
        <v>0.20826364447483306</v>
      </c>
      <c r="S68" s="52">
        <f t="shared" si="34"/>
        <v>6.4707682517962134E-2</v>
      </c>
      <c r="T68" s="52">
        <f t="shared" si="35"/>
        <v>6.892885922866171E-2</v>
      </c>
      <c r="U68" s="52"/>
    </row>
    <row r="69" spans="1:24">
      <c r="A69" s="59" t="str">
        <f t="shared" si="31"/>
        <v>Hedge funds</v>
      </c>
      <c r="B69" s="117">
        <v>0.24590963750358499</v>
      </c>
      <c r="C69" s="118">
        <v>0.15998236143729838</v>
      </c>
      <c r="D69" s="119">
        <v>6.7345219086325486E-2</v>
      </c>
      <c r="E69" s="117">
        <v>0.22850609389276422</v>
      </c>
      <c r="F69" s="120">
        <v>0.42732523916383064</v>
      </c>
      <c r="G69" s="2">
        <v>-0.92214237471292715</v>
      </c>
      <c r="H69" s="2">
        <v>-0.63430848140045792</v>
      </c>
      <c r="I69" s="2">
        <v>-0.290311970888736</v>
      </c>
      <c r="J69" s="2">
        <v>-0.23332236584881477</v>
      </c>
      <c r="K69" s="2">
        <v>-0.3112721504159186</v>
      </c>
      <c r="L69" s="2">
        <v>-6.0399131796012182E-2</v>
      </c>
      <c r="M69" s="2">
        <v>0.99999999999999989</v>
      </c>
      <c r="N69" s="57"/>
      <c r="O69" s="67"/>
      <c r="Q69" s="51" t="str">
        <f t="shared" si="32"/>
        <v>Hedge funds</v>
      </c>
      <c r="R69" s="72">
        <f t="shared" si="33"/>
        <v>6.7345219086325486E-2</v>
      </c>
      <c r="S69" s="52">
        <f t="shared" si="34"/>
        <v>0.17856441841725951</v>
      </c>
      <c r="T69" s="52">
        <f t="shared" si="35"/>
        <v>0.18141560166024565</v>
      </c>
      <c r="U69" s="52"/>
      <c r="X69" s="51"/>
    </row>
    <row r="70" spans="1:24">
      <c r="A70" s="60" t="str">
        <f t="shared" si="31"/>
        <v>Onroerend goed</v>
      </c>
      <c r="B70" s="121">
        <v>0.13349778466366824</v>
      </c>
      <c r="C70" s="122">
        <v>0.10718199884295165</v>
      </c>
      <c r="D70" s="123">
        <v>1.6952162150857465E-2</v>
      </c>
      <c r="E70" s="121">
        <v>0.11712095107330271</v>
      </c>
      <c r="F70" s="124">
        <v>0.24439151979342039</v>
      </c>
      <c r="G70" s="65">
        <v>-7.5907230224685374E-2</v>
      </c>
      <c r="H70" s="65">
        <v>1</v>
      </c>
      <c r="I70" s="65">
        <v>-0.46875719509206032</v>
      </c>
      <c r="J70" s="65">
        <v>-0.24297276155182246</v>
      </c>
      <c r="K70" s="65">
        <v>-0.30505826225357102</v>
      </c>
      <c r="L70" s="65">
        <v>-5.769312059155083E-2</v>
      </c>
      <c r="M70" s="65">
        <v>0.99999999999999811</v>
      </c>
      <c r="N70" s="66"/>
      <c r="O70" s="67"/>
      <c r="P70" s="72"/>
      <c r="Q70" s="51" t="str">
        <f t="shared" si="32"/>
        <v>Onroerend goed</v>
      </c>
      <c r="R70" s="72">
        <f t="shared" si="33"/>
        <v>1.6952162150857465E-2</v>
      </c>
      <c r="S70" s="52">
        <f t="shared" si="34"/>
        <v>0.11654562251281078</v>
      </c>
      <c r="T70" s="52">
        <f t="shared" si="35"/>
        <v>0.11089373512975215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377" t="s">
        <v>64</v>
      </c>
      <c r="E72" s="378"/>
      <c r="F72" s="379"/>
      <c r="G72" s="377" t="s">
        <v>65</v>
      </c>
      <c r="H72" s="378"/>
      <c r="I72" s="378"/>
      <c r="J72" s="378"/>
      <c r="K72" s="378"/>
      <c r="L72" s="378"/>
      <c r="M72" s="378"/>
      <c r="N72" s="379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0.6973707763150907</v>
      </c>
      <c r="H73" s="272">
        <v>0.19986202744186254</v>
      </c>
      <c r="I73" s="272">
        <v>6.8945857022085777E-2</v>
      </c>
      <c r="J73" s="272">
        <v>3.1207041648281586E-2</v>
      </c>
      <c r="K73" s="272">
        <v>2.2290546284903234E-3</v>
      </c>
      <c r="L73" s="272">
        <v>3.8524294418484928E-4</v>
      </c>
      <c r="M73" s="272">
        <v>0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5.1077788325396105E-2</v>
      </c>
      <c r="C74" s="118">
        <v>3.7074609147004452E-2</v>
      </c>
      <c r="D74" s="119">
        <v>1.2573961376480767E-2</v>
      </c>
      <c r="E74" s="117">
        <v>4.4876768400957751E-2</v>
      </c>
      <c r="F74" s="120">
        <v>8.7861561068620961E-2</v>
      </c>
      <c r="G74" s="2">
        <v>-4.5110555189018964E-2</v>
      </c>
      <c r="H74" s="2">
        <v>-6.4004569596480029E-2</v>
      </c>
      <c r="I74" s="2">
        <v>-0.15813951046055066</v>
      </c>
      <c r="J74" s="2">
        <v>1</v>
      </c>
      <c r="K74" s="2">
        <v>-0.17577194923394157</v>
      </c>
      <c r="L74" s="2">
        <v>-0.15455683257028982</v>
      </c>
      <c r="M74" s="2">
        <v>0.99999999999999489</v>
      </c>
      <c r="N74" s="57"/>
      <c r="O74" s="67"/>
      <c r="P74" s="72"/>
      <c r="Q74" s="51" t="str">
        <f t="shared" ref="Q74:Q80" si="37">A74</f>
        <v>High Yield</v>
      </c>
      <c r="R74" s="72">
        <f>D74</f>
        <v>1.2573961376480767E-2</v>
      </c>
      <c r="S74" s="52">
        <f>B74-D74</f>
        <v>3.850382694891534E-2</v>
      </c>
      <c r="T74" s="52">
        <f>F74-B74</f>
        <v>3.6783772743224856E-2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0.31746541244535864</v>
      </c>
      <c r="C75" s="118">
        <v>0.15771986267138358</v>
      </c>
      <c r="D75" s="119">
        <v>0.13660879055936273</v>
      </c>
      <c r="E75" s="117">
        <v>0.3193020318326738</v>
      </c>
      <c r="F75" s="120">
        <v>0.48646330818233119</v>
      </c>
      <c r="G75" s="2">
        <v>1</v>
      </c>
      <c r="H75" s="2">
        <v>-9.3545947145660696E-2</v>
      </c>
      <c r="I75" s="2">
        <v>-0.20098218893276046</v>
      </c>
      <c r="J75" s="2">
        <v>-0.24736296463504384</v>
      </c>
      <c r="K75" s="2">
        <v>-0.21657350425112568</v>
      </c>
      <c r="L75" s="2">
        <v>-0.17333191779522733</v>
      </c>
      <c r="M75" s="2">
        <v>0.99999999999999911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0.13660879055936273</v>
      </c>
      <c r="S75" s="52">
        <f t="shared" ref="S75:S80" si="39">B75-D75</f>
        <v>0.18085662188599591</v>
      </c>
      <c r="T75" s="52">
        <f t="shared" ref="T75:T80" si="40">F75-B75</f>
        <v>0.16899789573697255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3.3007233035151446E-3</v>
      </c>
      <c r="C76" s="118">
        <v>4.1264397748054984E-3</v>
      </c>
      <c r="D76" s="119">
        <v>1.6640034962185025E-4</v>
      </c>
      <c r="E76" s="117">
        <v>1.8220329183107702E-3</v>
      </c>
      <c r="F76" s="120">
        <v>6.696276277189642E-3</v>
      </c>
      <c r="G76" s="2">
        <v>1.3086430324746586E-3</v>
      </c>
      <c r="H76" s="2">
        <v>-2.078450341242741E-3</v>
      </c>
      <c r="I76" s="2">
        <v>-8.086007381920229E-3</v>
      </c>
      <c r="J76" s="2">
        <v>-1.5005724419235292E-2</v>
      </c>
      <c r="K76" s="2">
        <v>-2.2487781992743842E-3</v>
      </c>
      <c r="L76" s="2">
        <v>1</v>
      </c>
      <c r="M76" s="2">
        <v>0.99999999999989664</v>
      </c>
      <c r="N76" s="57"/>
      <c r="O76" s="67"/>
      <c r="Q76" s="51" t="str">
        <f t="shared" si="37"/>
        <v>Aandelen ontwikkeld</v>
      </c>
      <c r="R76" s="72">
        <f t="shared" si="38"/>
        <v>1.6640034962185025E-4</v>
      </c>
      <c r="S76" s="52">
        <f t="shared" si="39"/>
        <v>3.1343229538932944E-3</v>
      </c>
      <c r="T76" s="52">
        <f t="shared" si="40"/>
        <v>3.3955529736744974E-3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0.14182288453888395</v>
      </c>
      <c r="C77" s="118">
        <v>9.6074816694869128E-2</v>
      </c>
      <c r="D77" s="119">
        <v>4.4842749717384528E-2</v>
      </c>
      <c r="E77" s="117">
        <v>0.12796197783851129</v>
      </c>
      <c r="F77" s="120">
        <v>0.23474069161970884</v>
      </c>
      <c r="G77" s="2">
        <v>-0.35098590040329175</v>
      </c>
      <c r="H77" s="2">
        <v>1</v>
      </c>
      <c r="I77" s="2">
        <v>-0.277111806148301</v>
      </c>
      <c r="J77" s="2">
        <v>-0.2617308932625465</v>
      </c>
      <c r="K77" s="2">
        <v>-0.21767273425858014</v>
      </c>
      <c r="L77" s="2">
        <v>-0.1710869407744344</v>
      </c>
      <c r="M77" s="2">
        <v>1</v>
      </c>
      <c r="N77" s="57"/>
      <c r="O77" s="67"/>
      <c r="Q77" s="51" t="str">
        <f t="shared" si="37"/>
        <v>Aandelen opkomend</v>
      </c>
      <c r="R77" s="72">
        <f t="shared" si="38"/>
        <v>4.4842749717384528E-2</v>
      </c>
      <c r="S77" s="52">
        <f t="shared" si="39"/>
        <v>9.698013482149942E-2</v>
      </c>
      <c r="T77" s="52">
        <f t="shared" si="40"/>
        <v>9.2917807080824893E-2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0.40578252043904189</v>
      </c>
      <c r="C78" s="118">
        <v>0.10714656267952513</v>
      </c>
      <c r="D78" s="119">
        <v>0.30083666470690862</v>
      </c>
      <c r="E78" s="117">
        <v>0.39481991042009423</v>
      </c>
      <c r="F78" s="120">
        <v>0.50963928560864469</v>
      </c>
      <c r="G78" s="2">
        <v>-0.53359958500974403</v>
      </c>
      <c r="H78" s="2">
        <v>-0.82580145511680569</v>
      </c>
      <c r="I78" s="2">
        <v>-0.31717624549336482</v>
      </c>
      <c r="J78" s="2">
        <v>-0.36500625384491264</v>
      </c>
      <c r="K78" s="2">
        <v>-0.22364167401096827</v>
      </c>
      <c r="L78" s="2">
        <v>-0.17524279197049419</v>
      </c>
      <c r="M78" s="2">
        <v>0.99999999999999978</v>
      </c>
      <c r="N78" s="57"/>
      <c r="O78" s="67"/>
      <c r="Q78" s="51" t="str">
        <f t="shared" si="37"/>
        <v>Commodities</v>
      </c>
      <c r="R78" s="72">
        <f t="shared" si="38"/>
        <v>0.30083666470690862</v>
      </c>
      <c r="S78" s="52">
        <f t="shared" si="39"/>
        <v>0.10494585573213328</v>
      </c>
      <c r="T78" s="52">
        <f t="shared" si="40"/>
        <v>0.10385676516960279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7.0240856708375057E-2</v>
      </c>
      <c r="C79" s="118">
        <v>5.3960134974453546E-2</v>
      </c>
      <c r="D79" s="119">
        <v>1.6739397406762616E-2</v>
      </c>
      <c r="E79" s="117">
        <v>5.9393367087532692E-2</v>
      </c>
      <c r="F79" s="120">
        <v>0.12680057723098989</v>
      </c>
      <c r="G79" s="2">
        <v>-7.2610034868217724E-2</v>
      </c>
      <c r="H79" s="2">
        <v>-1.3782626752977218E-2</v>
      </c>
      <c r="I79" s="2">
        <v>1</v>
      </c>
      <c r="J79" s="2">
        <v>-8.1142957403976576E-2</v>
      </c>
      <c r="K79" s="2">
        <v>-0.16409136004608507</v>
      </c>
      <c r="L79" s="2">
        <v>-0.1605474375899533</v>
      </c>
      <c r="M79" s="2">
        <v>0.99999999999999467</v>
      </c>
      <c r="N79" s="57"/>
      <c r="O79" s="67"/>
      <c r="Q79" s="51" t="str">
        <f t="shared" si="37"/>
        <v>Hedge funds</v>
      </c>
      <c r="R79" s="72">
        <f t="shared" si="38"/>
        <v>1.6739397406762616E-2</v>
      </c>
      <c r="S79" s="52">
        <f t="shared" si="39"/>
        <v>5.3501459301612445E-2</v>
      </c>
      <c r="T79" s="52">
        <f t="shared" si="40"/>
        <v>5.6559720522614834E-2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1.0309814239429097E-2</v>
      </c>
      <c r="C80" s="122">
        <v>9.917771079729347E-3</v>
      </c>
      <c r="D80" s="123">
        <v>1.3987517471286876E-3</v>
      </c>
      <c r="E80" s="121">
        <v>7.4241918992990121E-3</v>
      </c>
      <c r="F80" s="124">
        <v>1.9920435801619701E-2</v>
      </c>
      <c r="G80" s="65">
        <v>9.9743243779779403E-4</v>
      </c>
      <c r="H80" s="65">
        <v>-7.8695104683411854E-4</v>
      </c>
      <c r="I80" s="65">
        <v>-3.8504241583100833E-2</v>
      </c>
      <c r="J80" s="65">
        <v>-2.9751206434283223E-2</v>
      </c>
      <c r="K80" s="65">
        <v>1</v>
      </c>
      <c r="L80" s="65">
        <v>-0.16523407929950354</v>
      </c>
      <c r="M80" s="65">
        <v>0.99999999999997269</v>
      </c>
      <c r="N80" s="66"/>
      <c r="O80" s="67"/>
      <c r="Q80" s="51" t="str">
        <f t="shared" si="37"/>
        <v>Onroerend goed</v>
      </c>
      <c r="R80" s="72">
        <f t="shared" si="38"/>
        <v>1.3987517471286876E-3</v>
      </c>
      <c r="S80" s="52">
        <f t="shared" si="39"/>
        <v>8.9110624923004096E-3</v>
      </c>
      <c r="T80" s="52">
        <f t="shared" si="40"/>
        <v>9.6106215621906046E-3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2:F2"/>
    <mergeCell ref="G2:N2"/>
    <mergeCell ref="D12:F12"/>
    <mergeCell ref="G12:N12"/>
    <mergeCell ref="D22:F22"/>
    <mergeCell ref="G22:N22"/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165"/>
  <sheetViews>
    <sheetView tabSelected="1" zoomScale="85" zoomScaleNormal="85" workbookViewId="0">
      <selection activeCell="D2" sqref="D2"/>
    </sheetView>
  </sheetViews>
  <sheetFormatPr defaultRowHeight="15" outlineLevelCol="1"/>
  <cols>
    <col min="1" max="1" width="9.140625" style="332"/>
    <col min="2" max="2" width="22.28515625" style="332" bestFit="1" customWidth="1"/>
    <col min="3" max="4" width="12.7109375" style="332" customWidth="1"/>
    <col min="5" max="6" width="12.7109375" style="332" customWidth="1" outlineLevel="1"/>
    <col min="7" max="10" width="12.7109375" style="332" customWidth="1"/>
    <col min="11" max="11" width="21" style="210" customWidth="1"/>
    <col min="12" max="12" width="18.140625" style="332" bestFit="1" customWidth="1"/>
    <col min="13" max="13" width="26.85546875" style="332" customWidth="1"/>
    <col min="14" max="17" width="9.140625" style="332"/>
    <col min="18" max="18" width="10.85546875" style="332" customWidth="1"/>
    <col min="19" max="37" width="9.140625" style="210"/>
    <col min="38" max="16384" width="9.140625" style="332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>
      <c r="A2" s="210"/>
      <c r="B2" s="343" t="s">
        <v>115</v>
      </c>
      <c r="C2" s="317" t="s">
        <v>70</v>
      </c>
      <c r="D2" s="306" t="s">
        <v>112</v>
      </c>
      <c r="E2" s="306" t="s">
        <v>144</v>
      </c>
      <c r="F2" s="306" t="s">
        <v>145</v>
      </c>
      <c r="G2" s="306" t="s">
        <v>113</v>
      </c>
      <c r="H2" s="306" t="s">
        <v>114</v>
      </c>
      <c r="I2" s="306" t="s">
        <v>128</v>
      </c>
      <c r="J2" s="317" t="s">
        <v>130</v>
      </c>
      <c r="L2" s="210"/>
      <c r="M2" s="210"/>
      <c r="N2" s="210"/>
      <c r="O2" s="210"/>
      <c r="P2" s="210"/>
      <c r="Q2" s="210"/>
      <c r="R2" s="210"/>
    </row>
    <row r="3" spans="1:18">
      <c r="A3" s="210"/>
      <c r="B3" s="344" t="s">
        <v>4</v>
      </c>
      <c r="C3" s="318">
        <f>+Scenarios!B24</f>
        <v>0</v>
      </c>
      <c r="D3" s="85">
        <f>+Scenarios!C24</f>
        <v>-3.2445168309994665E-3</v>
      </c>
      <c r="E3" s="85">
        <f>+Scenarios!D24</f>
        <v>-1.0761362748873404E-3</v>
      </c>
      <c r="F3" s="85">
        <f>+Scenarios!E24</f>
        <v>-3.4179872754884488E-3</v>
      </c>
      <c r="G3" s="85">
        <f>+Scenarios!F24</f>
        <v>-2.5720358328627513E-2</v>
      </c>
      <c r="H3" s="85">
        <f>+Scenarios!G24</f>
        <v>-0.26287574291051119</v>
      </c>
      <c r="I3" s="85">
        <f>+Scenarios!H24</f>
        <v>-3.2441343963196256E-3</v>
      </c>
      <c r="J3" s="318">
        <f>Scenarios!D4</f>
        <v>4.3571419993869868E-2</v>
      </c>
      <c r="L3" s="210"/>
      <c r="M3" s="210"/>
      <c r="N3" s="210"/>
      <c r="O3" s="210"/>
      <c r="P3" s="210"/>
      <c r="Q3" s="210"/>
      <c r="R3" s="210"/>
    </row>
    <row r="4" spans="1:18" ht="15.75">
      <c r="A4" s="210"/>
      <c r="B4" s="344" t="s">
        <v>5</v>
      </c>
      <c r="C4" s="318">
        <f>+Scenarios!B25</f>
        <v>3.0000000000000002E-2</v>
      </c>
      <c r="D4" s="85">
        <f>+Scenarios!C25</f>
        <v>1.4996171000904845E-2</v>
      </c>
      <c r="E4" s="85">
        <f>+Scenarios!D25</f>
        <v>-0.10270478546112452</v>
      </c>
      <c r="F4" s="85">
        <f>+Scenarios!E25</f>
        <v>3.7295220378336866E-2</v>
      </c>
      <c r="G4" s="85">
        <f>+Scenarios!F25</f>
        <v>-0.43424993966436087</v>
      </c>
      <c r="H4" s="85">
        <f>+Scenarios!G25</f>
        <v>-0.41153220498436088</v>
      </c>
      <c r="I4" s="85">
        <f>+Scenarios!H25</f>
        <v>0.29819819149830579</v>
      </c>
      <c r="J4" s="318">
        <f>Scenarios!D5</f>
        <v>0.15810707611932825</v>
      </c>
      <c r="L4" s="210"/>
      <c r="M4" s="355"/>
      <c r="N4" s="356"/>
      <c r="O4" s="356"/>
      <c r="P4" s="356"/>
      <c r="Q4" s="356"/>
      <c r="R4" s="356"/>
    </row>
    <row r="5" spans="1:18" ht="15.75">
      <c r="A5" s="210"/>
      <c r="B5" s="344" t="s">
        <v>6</v>
      </c>
      <c r="C5" s="318">
        <f>+Scenarios!B26</f>
        <v>3.1452343984147556E-2</v>
      </c>
      <c r="D5" s="85">
        <f>+Scenarios!C26</f>
        <v>3.3632152529915554E-2</v>
      </c>
      <c r="E5" s="85">
        <f>+Scenarios!D26</f>
        <v>-5.1463733534465664E-2</v>
      </c>
      <c r="F5" s="85">
        <f>+Scenarios!E26</f>
        <v>3.7955967038468326E-2</v>
      </c>
      <c r="G5" s="85">
        <f>+Scenarios!F26</f>
        <v>-0.52495132978596959</v>
      </c>
      <c r="H5" s="85">
        <f>+Scenarios!G26</f>
        <v>-0.34991079217679127</v>
      </c>
      <c r="I5" s="85">
        <f>+Scenarios!H26</f>
        <v>0.24979690735679014</v>
      </c>
      <c r="J5" s="318">
        <f>Scenarios!D6</f>
        <v>0.16193319430872868</v>
      </c>
      <c r="L5" s="210"/>
      <c r="M5" s="353"/>
      <c r="N5" s="338"/>
      <c r="O5" s="338"/>
      <c r="P5" s="338"/>
      <c r="Q5" s="338"/>
      <c r="R5" s="338"/>
    </row>
    <row r="6" spans="1:18" ht="15.75">
      <c r="A6" s="210"/>
      <c r="B6" s="344" t="s">
        <v>7</v>
      </c>
      <c r="C6" s="318">
        <f>+Scenarios!B27</f>
        <v>5.6804592721954011E-2</v>
      </c>
      <c r="D6" s="85">
        <f>+Scenarios!C27</f>
        <v>-1.8275706628265609E-2</v>
      </c>
      <c r="E6" s="85">
        <f>+Scenarios!D27</f>
        <v>-0.20763301199738962</v>
      </c>
      <c r="F6" s="85">
        <f>+Scenarios!E27</f>
        <v>4.4157772609314798E-2</v>
      </c>
      <c r="G6" s="85">
        <f>+Scenarios!F27</f>
        <v>-0.60718802956862361</v>
      </c>
      <c r="H6" s="85">
        <f>+Scenarios!G27</f>
        <v>-0.47851488198333225</v>
      </c>
      <c r="I6" s="85">
        <f>+Scenarios!H27</f>
        <v>0.39131495295955132</v>
      </c>
      <c r="J6" s="318">
        <f>Scenarios!D7</f>
        <v>0.28684488662827246</v>
      </c>
      <c r="L6" s="210"/>
      <c r="M6" s="353"/>
      <c r="N6" s="338"/>
      <c r="O6" s="338"/>
      <c r="P6" s="338"/>
      <c r="Q6" s="338"/>
      <c r="R6" s="338"/>
    </row>
    <row r="7" spans="1:18" ht="15.75">
      <c r="A7" s="210"/>
      <c r="B7" s="344" t="s">
        <v>8</v>
      </c>
      <c r="C7" s="318">
        <f>+Scenarios!B28</f>
        <v>5.6320387554596889E-2</v>
      </c>
      <c r="D7" s="85">
        <f>+Scenarios!C28</f>
        <v>6.1274623073284545E-2</v>
      </c>
      <c r="E7" s="85">
        <f>+Scenarios!D28</f>
        <v>-6.0480183929069335E-2</v>
      </c>
      <c r="F7" s="85">
        <f>+Scenarios!E28</f>
        <v>7.5058724753415462E-2</v>
      </c>
      <c r="G7" s="85">
        <f>+Scenarios!F28</f>
        <v>-0.41926220845987938</v>
      </c>
      <c r="H7" s="85">
        <f>+Scenarios!G28</f>
        <v>-0.25917386489837912</v>
      </c>
      <c r="I7" s="85">
        <f>+Scenarios!H28</f>
        <v>0.38663466689136228</v>
      </c>
      <c r="J7" s="318">
        <f>Scenarios!D8</f>
        <v>0.29497711980114533</v>
      </c>
      <c r="L7" s="210"/>
      <c r="M7" s="353"/>
      <c r="N7" s="338"/>
      <c r="O7" s="338"/>
      <c r="P7" s="338"/>
      <c r="Q7" s="338"/>
      <c r="R7" s="338"/>
    </row>
    <row r="8" spans="1:18" ht="15.75">
      <c r="A8" s="210"/>
      <c r="B8" s="344" t="s">
        <v>9</v>
      </c>
      <c r="C8" s="318">
        <f>+Scenarios!B29</f>
        <v>5.236888388126059E-2</v>
      </c>
      <c r="D8" s="85">
        <f>+Scenarios!C29</f>
        <v>7.9522702632630907E-2</v>
      </c>
      <c r="E8" s="85">
        <f>+Scenarios!D29</f>
        <v>1.2962263249297473E-2</v>
      </c>
      <c r="F8" s="85">
        <f>+Scenarios!E29</f>
        <v>8.6184790509297532E-2</v>
      </c>
      <c r="G8" s="85">
        <f>+Scenarios!F29</f>
        <v>-0.52034739633736904</v>
      </c>
      <c r="H8" s="85">
        <f>+Scenarios!G29</f>
        <v>-0.53983753129736911</v>
      </c>
      <c r="I8" s="85">
        <f>+Scenarios!H29</f>
        <v>0.62225820003596433</v>
      </c>
      <c r="J8" s="318">
        <f>Scenarios!D9</f>
        <v>0.32949402218690865</v>
      </c>
      <c r="L8" s="210"/>
      <c r="M8" s="353"/>
      <c r="N8" s="338"/>
      <c r="O8" s="338"/>
      <c r="P8" s="338"/>
      <c r="Q8" s="338"/>
      <c r="R8" s="354"/>
    </row>
    <row r="9" spans="1:18" ht="15.75">
      <c r="A9" s="210"/>
      <c r="B9" s="344" t="s">
        <v>10</v>
      </c>
      <c r="C9" s="318">
        <f>+Scenarios!B30</f>
        <v>2.8306574622560098E-2</v>
      </c>
      <c r="D9" s="85">
        <f>+Scenarios!C30</f>
        <v>1.7325408361865E-2</v>
      </c>
      <c r="E9" s="85">
        <f>+Scenarios!D30</f>
        <v>-4.6787554334441012E-2</v>
      </c>
      <c r="F9" s="85">
        <f>+Scenarios!E30</f>
        <v>1.6536412714843449E-2</v>
      </c>
      <c r="G9" s="85">
        <f>+Scenarios!F30</f>
        <v>-0.25573516705477994</v>
      </c>
      <c r="H9" s="85">
        <f>+Scenarios!G30</f>
        <v>-6.3153361120378204E-3</v>
      </c>
      <c r="I9" s="85">
        <f>+Scenarios!H30</f>
        <v>0.28237563833203505</v>
      </c>
      <c r="J9" s="318">
        <f>Scenarios!D10</f>
        <v>0.1608611248297202</v>
      </c>
      <c r="L9" s="210"/>
      <c r="M9" s="353"/>
      <c r="N9" s="338"/>
      <c r="O9" s="338"/>
      <c r="P9" s="338"/>
      <c r="Q9" s="338"/>
      <c r="R9" s="354"/>
    </row>
    <row r="10" spans="1:18" ht="15.75">
      <c r="A10" s="210"/>
      <c r="B10" s="345" t="s">
        <v>11</v>
      </c>
      <c r="C10" s="319">
        <f>+Scenarios!B31</f>
        <v>3.9543569652327068E-2</v>
      </c>
      <c r="D10" s="309">
        <f>+Scenarios!C31</f>
        <v>-3.3454365202922019E-3</v>
      </c>
      <c r="E10" s="309">
        <f>+Scenarios!D31</f>
        <v>-8.4519819517757569E-2</v>
      </c>
      <c r="F10" s="309">
        <f>+Scenarios!E31</f>
        <v>3.2797465910270177E-2</v>
      </c>
      <c r="G10" s="309">
        <f>+Scenarios!F31</f>
        <v>-0.33580172019430399</v>
      </c>
      <c r="H10" s="309">
        <f>+Scenarios!G31</f>
        <v>-0.18031161563030054</v>
      </c>
      <c r="I10" s="309">
        <f>+Scenarios!H31</f>
        <v>0.35335277777605689</v>
      </c>
      <c r="J10" s="319">
        <f>Scenarios!D11</f>
        <v>0.19933384935580506</v>
      </c>
      <c r="L10" s="210"/>
      <c r="M10" s="353"/>
      <c r="N10" s="338"/>
      <c r="O10" s="338"/>
      <c r="P10" s="338"/>
      <c r="Q10" s="338"/>
      <c r="R10" s="338"/>
    </row>
    <row r="11" spans="1:18" ht="15.75">
      <c r="A11" s="210"/>
      <c r="B11" s="84"/>
      <c r="C11" s="84"/>
      <c r="D11" s="84"/>
      <c r="E11" s="84"/>
      <c r="F11" s="84"/>
      <c r="G11" s="84"/>
      <c r="H11" s="84"/>
      <c r="I11" s="84"/>
      <c r="J11" s="84"/>
      <c r="L11" s="210"/>
      <c r="M11" s="353"/>
      <c r="N11" s="338"/>
      <c r="O11" s="338"/>
      <c r="P11" s="338"/>
      <c r="Q11" s="338"/>
      <c r="R11" s="354"/>
    </row>
    <row r="12" spans="1:18" ht="15.75">
      <c r="A12" s="210"/>
      <c r="B12" s="320" t="s">
        <v>123</v>
      </c>
      <c r="C12" s="325">
        <f>+Scenarios!B33</f>
        <v>0</v>
      </c>
      <c r="D12" s="311">
        <f>+Scenarios!C33</f>
        <v>1</v>
      </c>
      <c r="E12" s="311">
        <f>+Scenarios!D33</f>
        <v>0</v>
      </c>
      <c r="F12" s="311">
        <f>+Scenarios!E33</f>
        <v>0</v>
      </c>
      <c r="G12" s="311">
        <f>+Scenarios!F33</f>
        <v>0</v>
      </c>
      <c r="H12" s="311">
        <f>+Scenarios!G33</f>
        <v>0</v>
      </c>
      <c r="I12" s="326">
        <f>+Scenarios!H33</f>
        <v>0</v>
      </c>
      <c r="J12" s="327">
        <f>+Scenarios!I33</f>
        <v>1</v>
      </c>
      <c r="L12" s="210"/>
      <c r="M12" s="353"/>
      <c r="N12" s="338"/>
      <c r="O12" s="338"/>
      <c r="P12" s="338"/>
      <c r="Q12" s="338"/>
      <c r="R12" s="338"/>
    </row>
    <row r="13" spans="1:18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53"/>
      <c r="N13" s="338"/>
      <c r="O13" s="338"/>
      <c r="P13" s="338"/>
      <c r="Q13" s="338"/>
      <c r="R13" s="338"/>
    </row>
    <row r="14" spans="1:18" ht="15.75">
      <c r="A14" s="210"/>
      <c r="B14" s="320" t="s">
        <v>129</v>
      </c>
      <c r="C14" s="325">
        <f>+Scenarios!B35</f>
        <v>0</v>
      </c>
      <c r="D14" s="312">
        <f>+Scenarios!C35</f>
        <v>1.8730703778589285E-2</v>
      </c>
      <c r="E14" s="312">
        <f>+Scenarios!D35</f>
        <v>-1.2474861326013678E-2</v>
      </c>
      <c r="F14" s="312">
        <f>+Scenarios!E35</f>
        <v>2.1602326094616979E-2</v>
      </c>
      <c r="G14" s="312">
        <f>+Scenarios!F35</f>
        <v>-0.2045594090373947</v>
      </c>
      <c r="H14" s="312">
        <f>+Scenarios!G35</f>
        <v>-0.31274225321575821</v>
      </c>
      <c r="I14" s="313">
        <f>+Scenarios!H35</f>
        <v>0.16319189221608482</v>
      </c>
      <c r="J14" s="321">
        <f>+Scenarios!I35</f>
        <v>1.8730703778589285E-2</v>
      </c>
      <c r="L14" s="210"/>
      <c r="M14" s="353"/>
      <c r="N14" s="338"/>
      <c r="O14" s="338"/>
      <c r="P14" s="338"/>
      <c r="Q14" s="338"/>
      <c r="R14" s="338"/>
    </row>
    <row r="15" spans="1:18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L15" s="210"/>
      <c r="M15" s="210"/>
      <c r="N15" s="210"/>
      <c r="O15" s="210"/>
      <c r="P15" s="210"/>
      <c r="Q15" s="210"/>
      <c r="R15" s="210"/>
    </row>
    <row r="16" spans="1:18" ht="6.75" customHeight="1">
      <c r="A16" s="210"/>
      <c r="B16" s="210"/>
      <c r="C16" s="210"/>
      <c r="D16" s="210"/>
      <c r="E16" s="210"/>
      <c r="F16" s="210"/>
      <c r="G16" s="210"/>
      <c r="H16" s="210"/>
      <c r="I16" s="210"/>
      <c r="J16" s="210"/>
      <c r="L16" s="210"/>
      <c r="M16" s="210"/>
      <c r="N16" s="210"/>
      <c r="O16" s="210"/>
      <c r="P16" s="210"/>
      <c r="Q16" s="210"/>
      <c r="R16" s="210"/>
    </row>
    <row r="17" spans="1:18">
      <c r="A17" s="210"/>
      <c r="B17" s="210"/>
      <c r="C17" s="210"/>
      <c r="D17" s="210"/>
      <c r="E17" s="210"/>
      <c r="F17" s="210"/>
      <c r="G17" s="210"/>
      <c r="H17" s="210"/>
      <c r="I17" s="210"/>
      <c r="J17" s="210"/>
      <c r="L17" s="210"/>
      <c r="M17" s="210"/>
      <c r="N17" s="210"/>
      <c r="O17" s="210"/>
      <c r="P17" s="210"/>
      <c r="Q17" s="210"/>
      <c r="R17" s="210"/>
    </row>
    <row r="18" spans="1:18" ht="4.5" customHeight="1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L18" s="210"/>
      <c r="M18" s="210"/>
      <c r="N18" s="210"/>
      <c r="O18" s="210"/>
      <c r="P18" s="210"/>
      <c r="Q18" s="210"/>
      <c r="R18" s="210"/>
    </row>
    <row r="19" spans="1:18">
      <c r="A19" s="210"/>
      <c r="B19" s="343" t="s">
        <v>101</v>
      </c>
      <c r="C19" s="317" t="s">
        <v>70</v>
      </c>
      <c r="D19" s="322" t="s">
        <v>112</v>
      </c>
      <c r="E19" s="306" t="s">
        <v>144</v>
      </c>
      <c r="F19" s="306" t="s">
        <v>145</v>
      </c>
      <c r="G19" s="306" t="s">
        <v>113</v>
      </c>
      <c r="H19" s="306" t="s">
        <v>114</v>
      </c>
      <c r="I19" s="306" t="s">
        <v>128</v>
      </c>
      <c r="J19" s="307" t="s">
        <v>143</v>
      </c>
      <c r="L19" s="210"/>
      <c r="M19" s="210"/>
      <c r="N19" s="210"/>
      <c r="O19" s="210"/>
      <c r="P19" s="210"/>
      <c r="Q19" s="210"/>
      <c r="R19" s="210"/>
    </row>
    <row r="20" spans="1:18">
      <c r="A20" s="210"/>
      <c r="B20" s="344" t="s">
        <v>4</v>
      </c>
      <c r="C20" s="318">
        <f>'Samenvatting mixen'!B4</f>
        <v>0.5512692266156487</v>
      </c>
      <c r="D20" s="323">
        <f>'Samenvatting mixen'!B15</f>
        <v>0.60925572389385541</v>
      </c>
      <c r="E20" s="85">
        <f>'Samenvatting mixen'!B26</f>
        <v>0.79447673634983307</v>
      </c>
      <c r="F20" s="85">
        <f>'Samenvatting mixen'!B37</f>
        <v>0.58378604519696453</v>
      </c>
      <c r="G20" s="85">
        <f>'Samenvatting mixen'!B48</f>
        <v>0.99947160164209059</v>
      </c>
      <c r="H20" s="85">
        <f>'Samenvatting mixen'!B59</f>
        <v>0.90955201321406165</v>
      </c>
      <c r="I20" s="85">
        <f>'Samenvatting mixen'!B70</f>
        <v>0.73387757359530015</v>
      </c>
      <c r="J20" s="308">
        <f>'[4]Control panel'!F3</f>
        <v>0.99933044801477622</v>
      </c>
      <c r="L20" s="210"/>
      <c r="M20" s="210"/>
      <c r="N20" s="210"/>
      <c r="O20" s="210"/>
      <c r="P20" s="210"/>
      <c r="Q20" s="210"/>
      <c r="R20" s="210"/>
    </row>
    <row r="21" spans="1:18">
      <c r="A21" s="210"/>
      <c r="B21" s="344" t="s">
        <v>5</v>
      </c>
      <c r="C21" s="318">
        <f>'Samenvatting mixen'!B5</f>
        <v>8.5232445036971902E-2</v>
      </c>
      <c r="D21" s="323">
        <f>'Samenvatting mixen'!B16</f>
        <v>1.9831020364249767E-2</v>
      </c>
      <c r="E21" s="85">
        <f>'Samenvatting mixen'!B27</f>
        <v>1.4009144910847246E-3</v>
      </c>
      <c r="F21" s="85">
        <f>'Samenvatting mixen'!B38</f>
        <v>0.11253317524093152</v>
      </c>
      <c r="G21" s="85">
        <f>'Samenvatting mixen'!B49</f>
        <v>7.1442995309200859E-5</v>
      </c>
      <c r="H21" s="85">
        <f>'Samenvatting mixen'!B60</f>
        <v>2.7387716588033405E-4</v>
      </c>
      <c r="I21" s="85">
        <f>'Samenvatting mixen'!B71</f>
        <v>8.1880331947348936E-2</v>
      </c>
      <c r="J21" s="308">
        <f>'[4]Control panel'!F4</f>
        <v>5.9498856944343162E-5</v>
      </c>
      <c r="L21" s="210"/>
      <c r="M21" s="210"/>
      <c r="N21" s="210"/>
      <c r="O21" s="210"/>
      <c r="P21" s="210"/>
      <c r="Q21" s="210"/>
      <c r="R21" s="210"/>
    </row>
    <row r="22" spans="1:18">
      <c r="A22" s="210"/>
      <c r="B22" s="344" t="s">
        <v>6</v>
      </c>
      <c r="C22" s="318">
        <f>'Samenvatting mixen'!B6</f>
        <v>8.0268367027102008E-2</v>
      </c>
      <c r="D22" s="323">
        <f>'Samenvatting mixen'!B17</f>
        <v>0.12941688287519609</v>
      </c>
      <c r="E22" s="85">
        <f>'Samenvatting mixen'!B28</f>
        <v>4.2378942408924274E-3</v>
      </c>
      <c r="F22" s="85">
        <f>'Samenvatting mixen'!B39</f>
        <v>8.3811649100526769E-2</v>
      </c>
      <c r="G22" s="85">
        <f>'Samenvatting mixen'!B50</f>
        <v>4.9626555758292613E-5</v>
      </c>
      <c r="H22" s="85">
        <f>'Samenvatting mixen'!B61</f>
        <v>3.0662190230854345E-4</v>
      </c>
      <c r="I22" s="85">
        <f>'Samenvatting mixen'!B72</f>
        <v>6.8143774002342025E-3</v>
      </c>
      <c r="J22" s="308">
        <f>'[4]Control panel'!F5</f>
        <v>8.6775571303158883E-5</v>
      </c>
      <c r="L22" s="210"/>
      <c r="M22" s="210"/>
      <c r="N22" s="210"/>
      <c r="O22" s="210"/>
      <c r="P22" s="210"/>
      <c r="Q22" s="210"/>
      <c r="R22" s="210"/>
    </row>
    <row r="23" spans="1:18">
      <c r="A23" s="210"/>
      <c r="B23" s="344" t="s">
        <v>7</v>
      </c>
      <c r="C23" s="318">
        <f>'Samenvatting mixen'!B7</f>
        <v>8.7570425942529034E-2</v>
      </c>
      <c r="D23" s="323">
        <f>'Samenvatting mixen'!B18</f>
        <v>1.2882395510973742E-3</v>
      </c>
      <c r="E23" s="85">
        <f>'Samenvatting mixen'!B29</f>
        <v>3.349955224816404E-4</v>
      </c>
      <c r="F23" s="85">
        <f>'Samenvatting mixen'!B40</f>
        <v>5.1040179768253417E-3</v>
      </c>
      <c r="G23" s="85">
        <f>'Samenvatting mixen'!B51</f>
        <v>3.5070305206400878E-5</v>
      </c>
      <c r="H23" s="85">
        <f>'Samenvatting mixen'!B62</f>
        <v>1.6747939491343737E-4</v>
      </c>
      <c r="I23" s="85">
        <f>'Samenvatting mixen'!B73</f>
        <v>2.1182553840978832E-3</v>
      </c>
      <c r="J23" s="308">
        <f>'[4]Control panel'!F6</f>
        <v>3.3196657987390124E-5</v>
      </c>
      <c r="L23" s="210"/>
      <c r="M23" s="210"/>
      <c r="N23" s="210"/>
      <c r="O23" s="210"/>
      <c r="P23" s="210"/>
      <c r="Q23" s="210"/>
      <c r="R23" s="210"/>
    </row>
    <row r="24" spans="1:18">
      <c r="A24" s="210"/>
      <c r="B24" s="344" t="s">
        <v>8</v>
      </c>
      <c r="C24" s="318">
        <f>'Samenvatting mixen'!B8</f>
        <v>5.4166890148619418E-2</v>
      </c>
      <c r="D24" s="323">
        <f>'Samenvatting mixen'!B19</f>
        <v>5.3557210315317468E-2</v>
      </c>
      <c r="E24" s="85">
        <f>'Samenvatting mixen'!B30</f>
        <v>2.3854510924821363E-3</v>
      </c>
      <c r="F24" s="85">
        <f>'Samenvatting mixen'!B41</f>
        <v>7.1173811035827622E-2</v>
      </c>
      <c r="G24" s="85">
        <f>'Samenvatting mixen'!B52</f>
        <v>6.2774894016195308E-5</v>
      </c>
      <c r="H24" s="85">
        <f>'Samenvatting mixen'!B63</f>
        <v>2.7385742201559301E-4</v>
      </c>
      <c r="I24" s="85">
        <f>'Samenvatting mixen'!B74</f>
        <v>2.2202690930591446E-3</v>
      </c>
      <c r="J24" s="308">
        <f>'[4]Control panel'!F7</f>
        <v>4.8644439396432552E-5</v>
      </c>
      <c r="L24" s="210"/>
      <c r="M24" s="210"/>
      <c r="N24" s="210"/>
      <c r="O24" s="210"/>
      <c r="P24" s="210"/>
      <c r="Q24" s="210"/>
      <c r="R24" s="210"/>
    </row>
    <row r="25" spans="1:18">
      <c r="A25" s="210"/>
      <c r="B25" s="344" t="s">
        <v>9</v>
      </c>
      <c r="C25" s="318">
        <f>'Samenvatting mixen'!B9</f>
        <v>2.1803470767462647E-2</v>
      </c>
      <c r="D25" s="323">
        <f>'Samenvatting mixen'!B20</f>
        <v>0.15512743980504518</v>
      </c>
      <c r="E25" s="85">
        <f>'Samenvatting mixen'!B31</f>
        <v>0.18988632294306124</v>
      </c>
      <c r="F25" s="85">
        <f>'Samenvatting mixen'!B42</f>
        <v>0.12134611838043381</v>
      </c>
      <c r="G25" s="85">
        <f>'Samenvatting mixen'!B53</f>
        <v>5.1498963021288508E-5</v>
      </c>
      <c r="H25" s="85">
        <f>'Samenvatting mixen'!B64</f>
        <v>1.5845152471069302E-4</v>
      </c>
      <c r="I25" s="85">
        <f>'Samenvatting mixen'!B75</f>
        <v>7.1756096214681875E-2</v>
      </c>
      <c r="J25" s="308">
        <f>'[4]Control panel'!F8</f>
        <v>2.3467442398853234E-4</v>
      </c>
      <c r="L25" s="210"/>
      <c r="M25" s="210"/>
      <c r="N25" s="210"/>
      <c r="O25" s="210"/>
      <c r="P25" s="210"/>
      <c r="Q25" s="210"/>
      <c r="R25" s="210"/>
    </row>
    <row r="26" spans="1:18">
      <c r="A26" s="210"/>
      <c r="B26" s="344" t="s">
        <v>10</v>
      </c>
      <c r="C26" s="318">
        <f>'Samenvatting mixen'!B10</f>
        <v>5.5785518454464389E-2</v>
      </c>
      <c r="D26" s="323">
        <f>'Samenvatting mixen'!B21</f>
        <v>2.7509212826238614E-2</v>
      </c>
      <c r="E26" s="85">
        <f>'Samenvatting mixen'!B32</f>
        <v>5.7067814978350217E-3</v>
      </c>
      <c r="F26" s="85">
        <f>'Samenvatting mixen'!B43</f>
        <v>1.1127211724018647E-2</v>
      </c>
      <c r="G26" s="85">
        <f>'Samenvatting mixen'!B54</f>
        <v>1.5177480013465742E-4</v>
      </c>
      <c r="H26" s="85">
        <f>'Samenvatting mixen'!B65</f>
        <v>8.8468406210053918E-2</v>
      </c>
      <c r="I26" s="85">
        <f>'Samenvatting mixen'!B76</f>
        <v>6.6229316041377426E-2</v>
      </c>
      <c r="J26" s="308">
        <f>'[4]Control panel'!F9</f>
        <v>1.5994064696340217E-4</v>
      </c>
      <c r="L26" s="210"/>
      <c r="M26" s="210"/>
      <c r="N26" s="210"/>
      <c r="O26" s="210"/>
      <c r="P26" s="210"/>
      <c r="Q26" s="210"/>
      <c r="R26" s="210"/>
    </row>
    <row r="27" spans="1:18">
      <c r="A27" s="210"/>
      <c r="B27" s="345" t="s">
        <v>11</v>
      </c>
      <c r="C27" s="319">
        <f>'Samenvatting mixen'!B11</f>
        <v>6.3903656007201548E-2</v>
      </c>
      <c r="D27" s="324">
        <f>'Samenvatting mixen'!B22</f>
        <v>4.0142703690014226E-3</v>
      </c>
      <c r="E27" s="309">
        <f>'Samenvatting mixen'!B33</f>
        <v>1.5709038623292449E-3</v>
      </c>
      <c r="F27" s="309">
        <f>'Samenvatting mixen'!B44</f>
        <v>1.1117971344471874E-2</v>
      </c>
      <c r="G27" s="309">
        <f>'Samenvatting mixen'!B55</f>
        <v>1.0620984446309362E-4</v>
      </c>
      <c r="H27" s="309">
        <f>'Samenvatting mixen'!B66</f>
        <v>7.9929316605609365E-4</v>
      </c>
      <c r="I27" s="309">
        <f>'Samenvatting mixen'!B77</f>
        <v>3.5103780323900165E-2</v>
      </c>
      <c r="J27" s="310">
        <f>'[4]Control panel'!F10</f>
        <v>4.6821388640572115E-5</v>
      </c>
      <c r="L27" s="210"/>
      <c r="M27" s="210"/>
      <c r="N27" s="210"/>
      <c r="O27" s="210"/>
      <c r="P27" s="210"/>
      <c r="Q27" s="210"/>
      <c r="R27" s="210"/>
    </row>
    <row r="28" spans="1:18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L28" s="210"/>
      <c r="M28" s="210"/>
      <c r="N28" s="210"/>
      <c r="O28" s="210"/>
      <c r="P28" s="210"/>
      <c r="Q28" s="210"/>
      <c r="R28" s="210"/>
    </row>
    <row r="29" spans="1:18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18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18">
      <c r="A31" s="210"/>
      <c r="B31" s="343" t="s">
        <v>101</v>
      </c>
      <c r="C31" s="317" t="s">
        <v>70</v>
      </c>
      <c r="D31" s="210"/>
      <c r="E31" s="322" t="s">
        <v>112</v>
      </c>
      <c r="F31" s="317" t="s">
        <v>146</v>
      </c>
      <c r="G31" s="210"/>
      <c r="H31" s="322" t="s">
        <v>145</v>
      </c>
      <c r="I31" s="317" t="s">
        <v>146</v>
      </c>
      <c r="J31" s="210"/>
      <c r="L31" s="210"/>
      <c r="M31" s="210"/>
      <c r="N31" s="210"/>
      <c r="O31" s="210"/>
      <c r="P31" s="210"/>
      <c r="Q31" s="210"/>
      <c r="R31" s="210"/>
    </row>
    <row r="32" spans="1:18">
      <c r="A32" s="210"/>
      <c r="B32" s="344" t="s">
        <v>4</v>
      </c>
      <c r="C32" s="318">
        <f>'Samenvatting mixen'!B4</f>
        <v>0.5512692266156487</v>
      </c>
      <c r="D32" s="210"/>
      <c r="E32" s="323">
        <f>'Samenvatting mixen'!B15</f>
        <v>0.60925572389385541</v>
      </c>
      <c r="F32" s="318">
        <f>E32-C32</f>
        <v>5.7986497278206706E-2</v>
      </c>
      <c r="G32" s="210"/>
      <c r="H32" s="323">
        <f>'Samenvatting mixen'!B37</f>
        <v>0.58378604519696453</v>
      </c>
      <c r="I32" s="318">
        <f>H32-C32</f>
        <v>3.2516818581315832E-2</v>
      </c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344" t="s">
        <v>5</v>
      </c>
      <c r="C33" s="318">
        <f>'Samenvatting mixen'!B5</f>
        <v>8.5232445036971902E-2</v>
      </c>
      <c r="D33" s="210"/>
      <c r="E33" s="323">
        <f>'Samenvatting mixen'!B16</f>
        <v>1.9831020364249767E-2</v>
      </c>
      <c r="F33" s="318">
        <f t="shared" ref="F33:F39" si="0">E33-C33</f>
        <v>-6.5401424672722142E-2</v>
      </c>
      <c r="G33" s="210"/>
      <c r="H33" s="323">
        <f>'Samenvatting mixen'!B38</f>
        <v>0.11253317524093152</v>
      </c>
      <c r="I33" s="318">
        <f t="shared" ref="I33:I39" si="1">H33-C33</f>
        <v>2.7300730203959622E-2</v>
      </c>
      <c r="J33" s="210"/>
      <c r="L33" s="210"/>
      <c r="M33" s="210"/>
      <c r="N33" s="210"/>
      <c r="O33" s="210"/>
      <c r="P33" s="210"/>
      <c r="Q33" s="210"/>
      <c r="R33" s="210"/>
    </row>
    <row r="34" spans="1:18">
      <c r="A34" s="210"/>
      <c r="B34" s="344" t="s">
        <v>6</v>
      </c>
      <c r="C34" s="318">
        <f>'Samenvatting mixen'!B6</f>
        <v>8.0268367027102008E-2</v>
      </c>
      <c r="D34" s="210"/>
      <c r="E34" s="323">
        <f>'Samenvatting mixen'!B17</f>
        <v>0.12941688287519609</v>
      </c>
      <c r="F34" s="318">
        <f t="shared" si="0"/>
        <v>4.9148515848094085E-2</v>
      </c>
      <c r="G34" s="210"/>
      <c r="H34" s="323">
        <f>'Samenvatting mixen'!B39</f>
        <v>8.3811649100526769E-2</v>
      </c>
      <c r="I34" s="318">
        <f t="shared" si="1"/>
        <v>3.5432820734247611E-3</v>
      </c>
      <c r="J34" s="210"/>
      <c r="L34" s="210"/>
      <c r="M34" s="210"/>
      <c r="N34" s="210"/>
      <c r="O34" s="210"/>
      <c r="P34" s="210"/>
      <c r="Q34" s="210"/>
      <c r="R34" s="210"/>
    </row>
    <row r="35" spans="1:18">
      <c r="A35" s="210"/>
      <c r="B35" s="344" t="s">
        <v>7</v>
      </c>
      <c r="C35" s="318">
        <f>'Samenvatting mixen'!B7</f>
        <v>8.7570425942529034E-2</v>
      </c>
      <c r="D35" s="210"/>
      <c r="E35" s="323">
        <f>'Samenvatting mixen'!B18</f>
        <v>1.2882395510973742E-3</v>
      </c>
      <c r="F35" s="318">
        <f t="shared" si="0"/>
        <v>-8.6282186391431662E-2</v>
      </c>
      <c r="G35" s="210"/>
      <c r="H35" s="323">
        <f>'Samenvatting mixen'!B40</f>
        <v>5.1040179768253417E-3</v>
      </c>
      <c r="I35" s="318">
        <f t="shared" si="1"/>
        <v>-8.2466407965703689E-2</v>
      </c>
      <c r="J35" s="210"/>
      <c r="L35" s="210"/>
      <c r="M35" s="210"/>
      <c r="N35" s="210"/>
      <c r="O35" s="210"/>
      <c r="P35" s="210"/>
      <c r="Q35" s="210"/>
      <c r="R35" s="210"/>
    </row>
    <row r="36" spans="1:18">
      <c r="A36" s="210"/>
      <c r="B36" s="344" t="s">
        <v>8</v>
      </c>
      <c r="C36" s="318">
        <f>'Samenvatting mixen'!B8</f>
        <v>5.4166890148619418E-2</v>
      </c>
      <c r="D36" s="210"/>
      <c r="E36" s="323">
        <f>'Samenvatting mixen'!B19</f>
        <v>5.3557210315317468E-2</v>
      </c>
      <c r="F36" s="318">
        <f t="shared" si="0"/>
        <v>-6.0967983330195014E-4</v>
      </c>
      <c r="G36" s="210"/>
      <c r="H36" s="323">
        <f>'Samenvatting mixen'!B41</f>
        <v>7.1173811035827622E-2</v>
      </c>
      <c r="I36" s="318">
        <f t="shared" si="1"/>
        <v>1.7006920887208204E-2</v>
      </c>
      <c r="J36" s="210"/>
      <c r="L36" s="210"/>
      <c r="M36" s="210"/>
      <c r="N36" s="210"/>
      <c r="O36" s="210"/>
      <c r="P36" s="210"/>
      <c r="Q36" s="210"/>
      <c r="R36" s="210"/>
    </row>
    <row r="37" spans="1:18">
      <c r="A37" s="210"/>
      <c r="B37" s="344" t="s">
        <v>9</v>
      </c>
      <c r="C37" s="318">
        <f>'Samenvatting mixen'!B9</f>
        <v>2.1803470767462647E-2</v>
      </c>
      <c r="D37" s="210"/>
      <c r="E37" s="323">
        <f>'Samenvatting mixen'!B20</f>
        <v>0.15512743980504518</v>
      </c>
      <c r="F37" s="318">
        <f t="shared" si="0"/>
        <v>0.13332396903758253</v>
      </c>
      <c r="G37" s="210"/>
      <c r="H37" s="323">
        <f>'Samenvatting mixen'!B42</f>
        <v>0.12134611838043381</v>
      </c>
      <c r="I37" s="318">
        <f t="shared" si="1"/>
        <v>9.9542647612971158E-2</v>
      </c>
      <c r="J37" s="210"/>
      <c r="L37" s="210"/>
      <c r="M37" s="210"/>
      <c r="N37" s="210"/>
      <c r="O37" s="210"/>
      <c r="P37" s="210"/>
      <c r="Q37" s="210"/>
      <c r="R37" s="210"/>
    </row>
    <row r="38" spans="1:18">
      <c r="A38" s="210"/>
      <c r="B38" s="344" t="s">
        <v>10</v>
      </c>
      <c r="C38" s="318">
        <f>'Samenvatting mixen'!B10</f>
        <v>5.5785518454464389E-2</v>
      </c>
      <c r="D38" s="210"/>
      <c r="E38" s="323">
        <f>'Samenvatting mixen'!B21</f>
        <v>2.7509212826238614E-2</v>
      </c>
      <c r="F38" s="318">
        <f t="shared" si="0"/>
        <v>-2.8276305628225775E-2</v>
      </c>
      <c r="G38" s="210"/>
      <c r="H38" s="323">
        <f>'Samenvatting mixen'!B43</f>
        <v>1.1127211724018647E-2</v>
      </c>
      <c r="I38" s="318">
        <f t="shared" si="1"/>
        <v>-4.465830673044574E-2</v>
      </c>
      <c r="J38" s="210"/>
      <c r="L38" s="210"/>
      <c r="M38" s="210"/>
      <c r="N38" s="210"/>
      <c r="O38" s="210"/>
      <c r="P38" s="210"/>
      <c r="Q38" s="210"/>
      <c r="R38" s="210"/>
    </row>
    <row r="39" spans="1:18">
      <c r="A39" s="210"/>
      <c r="B39" s="345" t="s">
        <v>11</v>
      </c>
      <c r="C39" s="319">
        <f>'Samenvatting mixen'!B11</f>
        <v>6.3903656007201548E-2</v>
      </c>
      <c r="D39" s="210"/>
      <c r="E39" s="324">
        <f>'Samenvatting mixen'!B22</f>
        <v>4.0142703690014226E-3</v>
      </c>
      <c r="F39" s="319">
        <f t="shared" si="0"/>
        <v>-5.9889385638200128E-2</v>
      </c>
      <c r="G39" s="210"/>
      <c r="H39" s="324">
        <f>'Samenvatting mixen'!B44</f>
        <v>1.1117971344471874E-2</v>
      </c>
      <c r="I39" s="319">
        <f t="shared" si="1"/>
        <v>-5.2785684662729676E-2</v>
      </c>
      <c r="J39" s="210"/>
      <c r="L39" s="210"/>
      <c r="M39" s="210"/>
      <c r="N39" s="210"/>
      <c r="O39" s="210"/>
      <c r="P39" s="210"/>
      <c r="Q39" s="210"/>
      <c r="R39" s="210"/>
    </row>
    <row r="40" spans="1:18">
      <c r="A40" s="210"/>
      <c r="B40" s="210"/>
      <c r="C40" s="210"/>
      <c r="D40" s="210"/>
      <c r="E40" s="210"/>
      <c r="F40" s="210"/>
      <c r="G40" s="210"/>
      <c r="H40" s="210"/>
      <c r="I40" s="210"/>
      <c r="J40" s="210"/>
      <c r="L40" s="210"/>
      <c r="M40" s="210"/>
      <c r="N40" s="210"/>
      <c r="O40" s="210"/>
      <c r="P40" s="210"/>
      <c r="Q40" s="210"/>
      <c r="R40" s="210"/>
    </row>
    <row r="41" spans="1:18">
      <c r="A41" s="210"/>
      <c r="B41" s="210"/>
      <c r="C41" s="210"/>
      <c r="D41" s="210"/>
      <c r="E41" s="210"/>
      <c r="F41" s="210"/>
      <c r="G41" s="210"/>
      <c r="H41" s="210"/>
      <c r="I41" s="210"/>
      <c r="J41" s="210"/>
      <c r="L41" s="210"/>
      <c r="M41" s="210"/>
      <c r="N41" s="210"/>
      <c r="O41" s="210"/>
      <c r="P41" s="210"/>
      <c r="Q41" s="210"/>
      <c r="R41" s="210"/>
    </row>
    <row r="42" spans="1:18">
      <c r="A42" s="210"/>
      <c r="B42" s="210"/>
      <c r="C42" s="210"/>
      <c r="D42" s="210"/>
      <c r="E42" s="210"/>
      <c r="F42" s="210"/>
      <c r="G42" s="210"/>
      <c r="H42" s="210"/>
      <c r="I42" s="210"/>
      <c r="J42" s="210"/>
      <c r="L42" s="210"/>
      <c r="M42" s="210"/>
      <c r="N42" s="210"/>
      <c r="O42" s="210"/>
      <c r="P42" s="210"/>
      <c r="Q42" s="210"/>
      <c r="R42" s="210"/>
    </row>
    <row r="43" spans="1:18">
      <c r="A43" s="210"/>
      <c r="B43" s="210"/>
      <c r="C43" s="210"/>
      <c r="D43" s="210"/>
      <c r="E43" s="210"/>
      <c r="F43" s="210"/>
      <c r="G43" s="210"/>
      <c r="H43" s="210"/>
      <c r="I43" s="210"/>
      <c r="J43" s="210"/>
      <c r="L43" s="210"/>
      <c r="M43" s="210"/>
      <c r="N43" s="210"/>
      <c r="O43" s="210"/>
      <c r="P43" s="210"/>
      <c r="Q43" s="210"/>
      <c r="R43" s="210"/>
    </row>
    <row r="44" spans="1:18">
      <c r="O44" s="210"/>
      <c r="P44" s="210"/>
      <c r="Q44" s="210"/>
      <c r="R44" s="210"/>
    </row>
    <row r="45" spans="1:18">
      <c r="O45" s="210"/>
      <c r="P45" s="210"/>
      <c r="Q45" s="210"/>
      <c r="R45" s="210"/>
    </row>
    <row r="46" spans="1:18">
      <c r="O46" s="210"/>
      <c r="P46" s="210"/>
      <c r="Q46" s="210"/>
      <c r="R46" s="210"/>
    </row>
    <row r="47" spans="1:18">
      <c r="O47" s="210"/>
      <c r="P47" s="210"/>
      <c r="Q47" s="210"/>
      <c r="R47" s="210"/>
    </row>
    <row r="48" spans="1:18">
      <c r="O48" s="210"/>
      <c r="P48" s="210"/>
      <c r="Q48" s="210"/>
      <c r="R48" s="210"/>
    </row>
    <row r="49" spans="15:18">
      <c r="O49" s="210"/>
      <c r="P49" s="210"/>
      <c r="Q49" s="210"/>
      <c r="R49" s="210"/>
    </row>
    <row r="50" spans="15:18">
      <c r="O50" s="210"/>
      <c r="P50" s="210"/>
      <c r="Q50" s="210"/>
      <c r="R50" s="210"/>
    </row>
    <row r="51" spans="15:18">
      <c r="O51" s="210"/>
      <c r="P51" s="210"/>
      <c r="Q51" s="210"/>
      <c r="R51" s="210"/>
    </row>
    <row r="52" spans="15:18">
      <c r="O52" s="210"/>
      <c r="P52" s="210"/>
      <c r="Q52" s="210"/>
      <c r="R52" s="210"/>
    </row>
    <row r="53" spans="15:18">
      <c r="O53" s="210"/>
      <c r="P53" s="210"/>
      <c r="Q53" s="210"/>
      <c r="R53" s="210"/>
    </row>
    <row r="54" spans="15:18">
      <c r="O54" s="210"/>
      <c r="P54" s="210"/>
      <c r="Q54" s="210"/>
      <c r="R54" s="210"/>
    </row>
    <row r="55" spans="15:18">
      <c r="O55" s="210"/>
      <c r="P55" s="210"/>
      <c r="Q55" s="210"/>
      <c r="R55" s="210"/>
    </row>
    <row r="56" spans="15:18">
      <c r="O56" s="210"/>
      <c r="P56" s="210"/>
      <c r="Q56" s="210"/>
      <c r="R56" s="210"/>
    </row>
    <row r="57" spans="15:18">
      <c r="O57" s="210"/>
      <c r="P57" s="210"/>
      <c r="Q57" s="210"/>
      <c r="R57" s="210"/>
    </row>
    <row r="58" spans="15:18">
      <c r="O58" s="210"/>
      <c r="P58" s="210"/>
      <c r="Q58" s="210"/>
      <c r="R58" s="210"/>
    </row>
    <row r="59" spans="15:18">
      <c r="O59" s="210"/>
      <c r="P59" s="210"/>
      <c r="Q59" s="210"/>
      <c r="R59" s="210"/>
    </row>
    <row r="60" spans="15:18">
      <c r="O60" s="210"/>
      <c r="P60" s="210"/>
      <c r="Q60" s="210"/>
      <c r="R60" s="210"/>
    </row>
    <row r="61" spans="15:18">
      <c r="O61" s="210"/>
      <c r="P61" s="210"/>
      <c r="Q61" s="210"/>
      <c r="R61" s="210"/>
    </row>
    <row r="62" spans="15:18">
      <c r="O62" s="210"/>
      <c r="P62" s="210"/>
      <c r="Q62" s="210"/>
      <c r="R62" s="210"/>
    </row>
    <row r="63" spans="15:18">
      <c r="O63" s="210"/>
      <c r="P63" s="210"/>
      <c r="Q63" s="210"/>
      <c r="R63" s="210"/>
    </row>
    <row r="64" spans="15:18">
      <c r="O64" s="210"/>
      <c r="P64" s="210"/>
      <c r="Q64" s="210"/>
      <c r="R64" s="210"/>
    </row>
    <row r="129" spans="2:15">
      <c r="B129" s="210"/>
      <c r="C129" s="210"/>
      <c r="D129" s="210"/>
      <c r="E129" s="210"/>
      <c r="F129" s="210"/>
      <c r="G129" s="210"/>
      <c r="H129" s="210"/>
      <c r="I129" s="210"/>
      <c r="J129" s="210"/>
      <c r="L129" s="210"/>
      <c r="M129" s="210"/>
      <c r="N129" s="210"/>
      <c r="O129" s="210"/>
    </row>
    <row r="130" spans="2:15">
      <c r="B130" s="210"/>
      <c r="C130" s="210"/>
      <c r="D130" s="210"/>
      <c r="E130" s="210"/>
      <c r="F130" s="210"/>
      <c r="G130" s="210"/>
      <c r="H130" s="210"/>
      <c r="I130" s="210"/>
      <c r="J130" s="210"/>
      <c r="L130" s="210"/>
      <c r="M130" s="210"/>
      <c r="N130" s="210"/>
      <c r="O130" s="210"/>
    </row>
    <row r="131" spans="2:15">
      <c r="B131" s="210"/>
      <c r="C131" s="210"/>
      <c r="D131" s="210"/>
      <c r="E131" s="210"/>
      <c r="F131" s="210"/>
      <c r="G131" s="210"/>
      <c r="H131" s="210"/>
      <c r="I131" s="210"/>
      <c r="J131" s="210"/>
      <c r="L131" s="210"/>
      <c r="M131" s="210"/>
      <c r="N131" s="210"/>
      <c r="O131" s="210"/>
    </row>
    <row r="132" spans="2:15">
      <c r="B132" s="210"/>
      <c r="C132" s="210"/>
      <c r="D132" s="210"/>
      <c r="E132" s="210"/>
      <c r="F132" s="210"/>
      <c r="G132" s="210"/>
      <c r="H132" s="210"/>
      <c r="I132" s="210"/>
      <c r="J132" s="210"/>
      <c r="L132" s="210"/>
      <c r="M132" s="210"/>
      <c r="N132" s="210"/>
      <c r="O132" s="210"/>
    </row>
    <row r="133" spans="2:15">
      <c r="B133" s="210"/>
      <c r="C133" s="210"/>
      <c r="D133" s="380" t="s">
        <v>133</v>
      </c>
      <c r="E133" s="381"/>
      <c r="F133" s="380" t="s">
        <v>132</v>
      </c>
      <c r="G133" s="381"/>
      <c r="H133" s="381"/>
      <c r="I133" s="382"/>
      <c r="J133" s="210"/>
      <c r="L133" s="210"/>
      <c r="M133" s="210"/>
      <c r="N133" s="210"/>
      <c r="O133" s="210"/>
    </row>
    <row r="134" spans="2:15" ht="51.75">
      <c r="B134" s="210"/>
      <c r="C134" s="314"/>
      <c r="D134" s="328" t="s">
        <v>134</v>
      </c>
      <c r="E134" s="329" t="s">
        <v>135</v>
      </c>
      <c r="F134" s="329"/>
      <c r="G134" s="329"/>
      <c r="H134" s="328" t="s">
        <v>137</v>
      </c>
      <c r="I134" s="329" t="s">
        <v>136</v>
      </c>
      <c r="J134" s="307" t="s">
        <v>138</v>
      </c>
      <c r="K134" s="336" t="s">
        <v>139</v>
      </c>
      <c r="L134" s="336" t="s">
        <v>140</v>
      </c>
      <c r="M134" s="210"/>
      <c r="N134" s="210"/>
      <c r="O134" s="210"/>
    </row>
    <row r="135" spans="2:15">
      <c r="B135" s="210"/>
      <c r="C135" s="315" t="s">
        <v>4</v>
      </c>
      <c r="D135" s="337">
        <v>4.4499999999999998E-2</v>
      </c>
      <c r="E135" s="337">
        <v>9.3000000000000096E-3</v>
      </c>
      <c r="F135" s="85"/>
      <c r="G135" s="85"/>
      <c r="H135" s="337">
        <v>-8.7300000000000003E-2</v>
      </c>
      <c r="I135" s="337">
        <f>+Scenarios!C24</f>
        <v>-3.2445168309994665E-3</v>
      </c>
      <c r="J135" s="339">
        <v>0.1023</v>
      </c>
      <c r="K135" s="340">
        <f t="shared" ref="K135:K142" si="2">+H135/J135</f>
        <v>-0.85337243401759533</v>
      </c>
      <c r="L135" s="331">
        <f t="shared" ref="L135:L142" si="3">+I135/J135</f>
        <v>-3.1715707047893123E-2</v>
      </c>
      <c r="M135" s="210"/>
      <c r="N135" s="210"/>
      <c r="O135" s="210"/>
    </row>
    <row r="136" spans="2:15">
      <c r="B136" s="210"/>
      <c r="C136" s="315" t="s">
        <v>5</v>
      </c>
      <c r="D136" s="318">
        <v>8.5371817899603325E-2</v>
      </c>
      <c r="E136" s="318">
        <v>5.6265360838678849E-2</v>
      </c>
      <c r="F136" s="85"/>
      <c r="G136" s="85"/>
      <c r="H136" s="318">
        <v>-4.6468851830414513E-2</v>
      </c>
      <c r="I136" s="318">
        <f>+Scenarios!C25</f>
        <v>1.4996171000904845E-2</v>
      </c>
      <c r="J136" s="318">
        <f t="shared" ref="J136:J142" si="4">+J4</f>
        <v>0.15810707611932825</v>
      </c>
      <c r="K136" s="341">
        <f t="shared" si="2"/>
        <v>-0.29390747695152525</v>
      </c>
      <c r="L136" s="331">
        <f t="shared" si="3"/>
        <v>9.484819635515096E-2</v>
      </c>
      <c r="M136" s="210"/>
      <c r="N136" s="210"/>
      <c r="O136" s="210"/>
    </row>
    <row r="137" spans="2:15">
      <c r="B137" s="210"/>
      <c r="C137" s="315" t="s">
        <v>6</v>
      </c>
      <c r="D137" s="318">
        <v>0.14294511515742836</v>
      </c>
      <c r="E137" s="318">
        <v>4.8236186870114238E-2</v>
      </c>
      <c r="F137" s="85"/>
      <c r="G137" s="85"/>
      <c r="H137" s="318">
        <v>1.1104445427410514E-2</v>
      </c>
      <c r="I137" s="318">
        <f>+Scenarios!C26</f>
        <v>3.3632152529915554E-2</v>
      </c>
      <c r="J137" s="318">
        <f t="shared" si="4"/>
        <v>0.16193319430872868</v>
      </c>
      <c r="K137" s="341">
        <f t="shared" si="2"/>
        <v>6.857423812834619E-2</v>
      </c>
      <c r="L137" s="331">
        <f>+I137/J137</f>
        <v>0.20769152781482975</v>
      </c>
      <c r="M137" s="210"/>
      <c r="N137" s="210"/>
      <c r="O137" s="210"/>
    </row>
    <row r="138" spans="2:15">
      <c r="B138" s="210"/>
      <c r="C138" s="315" t="s">
        <v>7</v>
      </c>
      <c r="D138" s="318">
        <v>7.3688794074914882E-2</v>
      </c>
      <c r="E138" s="318">
        <v>4.4755655663184818E-2</v>
      </c>
      <c r="F138" s="85"/>
      <c r="G138" s="85"/>
      <c r="H138" s="318">
        <v>-5.8151875655102964E-2</v>
      </c>
      <c r="I138" s="318">
        <f>+Scenarios!C27</f>
        <v>-1.8275706628265609E-2</v>
      </c>
      <c r="J138" s="318">
        <f t="shared" si="4"/>
        <v>0.28684488662827246</v>
      </c>
      <c r="K138" s="341">
        <f t="shared" si="2"/>
        <v>-0.20272934385775906</v>
      </c>
      <c r="L138" s="331">
        <f>+I138/J138</f>
        <v>-6.3712854857159898E-2</v>
      </c>
      <c r="M138" s="210"/>
      <c r="N138" s="210"/>
      <c r="O138" s="210"/>
    </row>
    <row r="139" spans="2:15">
      <c r="B139" s="210"/>
      <c r="C139" s="315" t="s">
        <v>8</v>
      </c>
      <c r="D139" s="318">
        <v>8.8200075364801303E-2</v>
      </c>
      <c r="E139" s="318">
        <v>0.11547766137672615</v>
      </c>
      <c r="F139" s="85"/>
      <c r="G139" s="85"/>
      <c r="H139" s="318">
        <v>-4.3640594365216501E-2</v>
      </c>
      <c r="I139" s="318">
        <f>+Scenarios!C28</f>
        <v>6.1274623073284545E-2</v>
      </c>
      <c r="J139" s="318">
        <f t="shared" si="4"/>
        <v>0.29497711980114533</v>
      </c>
      <c r="K139" s="341">
        <f t="shared" si="2"/>
        <v>-0.14794569285453799</v>
      </c>
      <c r="L139" s="331">
        <f t="shared" si="3"/>
        <v>0.20772669797098831</v>
      </c>
      <c r="M139" s="210"/>
      <c r="N139" s="210"/>
      <c r="O139" s="210"/>
    </row>
    <row r="140" spans="2:15">
      <c r="C140" s="315" t="s">
        <v>9</v>
      </c>
      <c r="D140" s="318">
        <v>9.6125190679341666E-2</v>
      </c>
      <c r="E140" s="318">
        <v>8.8245130245983364E-2</v>
      </c>
      <c r="F140" s="85"/>
      <c r="G140" s="85"/>
      <c r="H140" s="318">
        <v>-3.571547905067618E-2</v>
      </c>
      <c r="I140" s="318">
        <f>+Scenarios!C29</f>
        <v>7.9522702632630907E-2</v>
      </c>
      <c r="J140" s="318">
        <f t="shared" si="4"/>
        <v>0.32949402218690865</v>
      </c>
      <c r="K140" s="341">
        <f t="shared" si="2"/>
        <v>-0.10839492265633952</v>
      </c>
      <c r="L140" s="331">
        <f t="shared" si="3"/>
        <v>0.241347937376299</v>
      </c>
      <c r="M140" s="210"/>
      <c r="N140" s="210"/>
      <c r="O140" s="210"/>
    </row>
    <row r="141" spans="2:15">
      <c r="C141" s="315" t="s">
        <v>10</v>
      </c>
      <c r="D141" s="318">
        <v>6.2658557549145399E-2</v>
      </c>
      <c r="E141" s="318">
        <v>3.2952299000522406E-2</v>
      </c>
      <c r="F141" s="85"/>
      <c r="G141" s="85"/>
      <c r="H141" s="318">
        <v>-6.9182112180872446E-2</v>
      </c>
      <c r="I141" s="318">
        <f>+Scenarios!C30</f>
        <v>1.7325408361865E-2</v>
      </c>
      <c r="J141" s="318">
        <f t="shared" si="4"/>
        <v>0.1608611248297202</v>
      </c>
      <c r="K141" s="341">
        <f t="shared" si="2"/>
        <v>-0.43007353239699947</v>
      </c>
      <c r="L141" s="331">
        <f t="shared" si="3"/>
        <v>0.10770413535405052</v>
      </c>
      <c r="M141" s="210"/>
      <c r="N141" s="210"/>
      <c r="O141" s="210"/>
    </row>
    <row r="142" spans="2:15">
      <c r="C142" s="316" t="s">
        <v>11</v>
      </c>
      <c r="D142" s="319">
        <v>7.3464510927495008E-2</v>
      </c>
      <c r="E142" s="319">
        <v>3.9406691481015818E-2</v>
      </c>
      <c r="F142" s="309"/>
      <c r="G142" s="309"/>
      <c r="H142" s="319">
        <v>-5.8376158802522837E-2</v>
      </c>
      <c r="I142" s="319">
        <f>+Scenarios!C31</f>
        <v>-3.3454365202922019E-3</v>
      </c>
      <c r="J142" s="319">
        <f t="shared" si="4"/>
        <v>0.19933384935580506</v>
      </c>
      <c r="K142" s="342">
        <f t="shared" si="2"/>
        <v>-0.2928562258300802</v>
      </c>
      <c r="L142" s="334">
        <f t="shared" si="3"/>
        <v>-1.6783082908917772E-2</v>
      </c>
      <c r="M142" s="210"/>
      <c r="N142" s="210"/>
      <c r="O142" s="210"/>
    </row>
    <row r="143" spans="2:15">
      <c r="C143" s="84"/>
      <c r="D143" s="84"/>
      <c r="E143" s="84"/>
      <c r="F143" s="98"/>
      <c r="G143" s="98"/>
      <c r="H143" s="84"/>
      <c r="I143" s="84"/>
      <c r="J143" s="84"/>
      <c r="K143" s="84"/>
      <c r="L143" s="210"/>
      <c r="M143" s="210"/>
      <c r="N143" s="210"/>
      <c r="O143" s="210"/>
    </row>
    <row r="144" spans="2:15">
      <c r="C144" s="210"/>
      <c r="D144" s="210"/>
      <c r="E144" s="210"/>
      <c r="F144" s="210"/>
      <c r="G144" s="210"/>
      <c r="H144" s="210"/>
      <c r="I144" s="210"/>
      <c r="J144" s="210"/>
      <c r="L144" s="210"/>
      <c r="M144" s="210"/>
      <c r="N144" s="210"/>
      <c r="O144" s="210"/>
    </row>
    <row r="145" spans="3:15">
      <c r="C145" s="210"/>
      <c r="D145" s="210"/>
      <c r="E145" s="210"/>
      <c r="F145" s="210"/>
      <c r="G145" s="210"/>
      <c r="H145" s="210"/>
      <c r="I145" s="210"/>
      <c r="J145" s="210"/>
      <c r="L145" s="210"/>
      <c r="M145" s="210"/>
      <c r="N145" s="210"/>
      <c r="O145" s="210"/>
    </row>
    <row r="146" spans="3:15">
      <c r="C146" s="210"/>
      <c r="D146" s="210"/>
      <c r="E146" s="210"/>
      <c r="F146" s="210"/>
      <c r="G146" s="210"/>
      <c r="H146" s="210"/>
      <c r="I146" s="210"/>
      <c r="J146" s="210"/>
      <c r="L146" s="210"/>
      <c r="M146" s="210"/>
      <c r="N146" s="210"/>
      <c r="O146" s="210"/>
    </row>
    <row r="147" spans="3:15">
      <c r="C147" s="210"/>
      <c r="D147" s="210"/>
      <c r="E147" s="210"/>
      <c r="F147" s="210"/>
      <c r="G147" s="210"/>
      <c r="H147" s="210"/>
      <c r="I147" s="210"/>
      <c r="J147" s="210"/>
      <c r="L147" s="210"/>
      <c r="M147" s="210"/>
      <c r="N147" s="210"/>
      <c r="O147" s="210"/>
    </row>
    <row r="148" spans="3:15">
      <c r="C148" s="210"/>
      <c r="D148" s="210"/>
      <c r="E148" s="210"/>
      <c r="F148" s="210"/>
      <c r="G148" s="210"/>
      <c r="H148" s="210"/>
      <c r="I148" s="210"/>
      <c r="J148" s="210"/>
      <c r="L148" s="210"/>
      <c r="M148" s="210"/>
      <c r="N148" s="210"/>
      <c r="O148" s="210"/>
    </row>
    <row r="149" spans="3:15">
      <c r="C149" s="210"/>
      <c r="D149" s="210"/>
      <c r="E149" s="210"/>
      <c r="F149" s="210"/>
      <c r="G149" s="210"/>
      <c r="H149" s="210"/>
      <c r="I149" s="210"/>
      <c r="J149" s="210"/>
      <c r="L149" s="210"/>
      <c r="M149" s="210"/>
      <c r="N149" s="210"/>
      <c r="O149" s="210"/>
    </row>
    <row r="150" spans="3:15">
      <c r="C150" s="210"/>
      <c r="D150" s="210"/>
      <c r="E150" s="210"/>
      <c r="F150" s="210"/>
      <c r="G150" s="210"/>
      <c r="H150" s="210"/>
      <c r="I150" s="210"/>
      <c r="J150" s="210"/>
      <c r="L150" s="210"/>
      <c r="M150" s="210"/>
      <c r="N150" s="210"/>
    </row>
    <row r="151" spans="3:15">
      <c r="C151" s="210"/>
      <c r="D151" s="210"/>
      <c r="E151" s="210"/>
      <c r="F151" s="210"/>
      <c r="G151" s="210"/>
      <c r="H151" s="210"/>
      <c r="I151" s="210"/>
      <c r="J151" s="210"/>
      <c r="L151" s="210"/>
      <c r="M151" s="210"/>
      <c r="N151" s="210"/>
    </row>
    <row r="152" spans="3:15">
      <c r="C152" s="210"/>
      <c r="D152" s="210"/>
      <c r="E152" s="210"/>
      <c r="F152" s="210"/>
      <c r="G152" s="210"/>
      <c r="H152" s="210"/>
      <c r="I152" s="210"/>
      <c r="J152" s="210"/>
      <c r="L152" s="210"/>
      <c r="M152" s="210"/>
      <c r="N152" s="210"/>
    </row>
    <row r="153" spans="3:15">
      <c r="C153" s="210"/>
      <c r="D153" s="210"/>
      <c r="E153" s="210"/>
      <c r="F153" s="210"/>
      <c r="G153" s="210"/>
      <c r="H153" s="210"/>
      <c r="I153" s="210"/>
      <c r="J153" s="210"/>
      <c r="L153" s="210"/>
      <c r="M153" s="210"/>
      <c r="N153" s="210"/>
    </row>
    <row r="154" spans="3:15">
      <c r="C154" s="210"/>
      <c r="D154" s="210"/>
      <c r="E154" s="210"/>
      <c r="F154" s="210"/>
      <c r="G154" s="210"/>
      <c r="H154" s="210"/>
      <c r="I154" s="210"/>
      <c r="J154" s="210"/>
      <c r="L154" s="210"/>
      <c r="M154" s="210"/>
      <c r="N154" s="210"/>
    </row>
    <row r="155" spans="3:15">
      <c r="C155" s="210"/>
      <c r="D155" s="210"/>
      <c r="E155" s="210"/>
      <c r="F155" s="210"/>
      <c r="G155" s="210"/>
      <c r="H155" s="210"/>
      <c r="I155" s="210"/>
      <c r="J155" s="210"/>
      <c r="L155" s="210"/>
      <c r="M155" s="210"/>
      <c r="N155" s="210"/>
    </row>
    <row r="156" spans="3:15">
      <c r="C156" s="210"/>
      <c r="D156" s="210"/>
      <c r="E156" s="210"/>
      <c r="F156" s="210"/>
      <c r="G156" s="210"/>
      <c r="H156" s="210"/>
      <c r="I156" s="210"/>
      <c r="J156" s="210"/>
      <c r="L156" s="210"/>
      <c r="M156" s="210"/>
      <c r="N156" s="210"/>
    </row>
    <row r="157" spans="3:15">
      <c r="C157" s="210"/>
      <c r="D157" s="210"/>
      <c r="E157" s="210"/>
      <c r="F157" s="210"/>
      <c r="G157" s="210"/>
      <c r="H157" s="210"/>
      <c r="I157" s="210"/>
      <c r="J157" s="210"/>
      <c r="L157" s="210"/>
      <c r="M157" s="210"/>
      <c r="N157" s="210"/>
    </row>
    <row r="158" spans="3:15">
      <c r="C158" s="210"/>
      <c r="D158" s="210"/>
      <c r="E158" s="210"/>
      <c r="F158" s="210"/>
      <c r="G158" s="210"/>
      <c r="H158" s="210"/>
      <c r="I158" s="210"/>
      <c r="J158" s="210"/>
      <c r="L158" s="210"/>
      <c r="M158" s="210"/>
      <c r="N158" s="210"/>
    </row>
    <row r="159" spans="3:15">
      <c r="C159" s="210"/>
      <c r="D159" s="210"/>
      <c r="E159" s="210"/>
      <c r="F159" s="210"/>
      <c r="G159" s="210"/>
      <c r="H159" s="210"/>
      <c r="I159" s="210"/>
      <c r="J159" s="210"/>
      <c r="L159" s="210"/>
      <c r="M159" s="210"/>
      <c r="N159" s="210"/>
    </row>
    <row r="160" spans="3:15">
      <c r="C160" s="210"/>
      <c r="D160" s="210"/>
      <c r="E160" s="210"/>
      <c r="F160" s="210"/>
      <c r="G160" s="210"/>
      <c r="H160" s="210"/>
      <c r="I160" s="210"/>
      <c r="J160" s="210"/>
      <c r="L160" s="210"/>
      <c r="M160" s="210"/>
      <c r="N160" s="210"/>
    </row>
    <row r="161" spans="3:14">
      <c r="C161" s="210"/>
      <c r="D161" s="210"/>
      <c r="E161" s="210"/>
      <c r="F161" s="210"/>
      <c r="G161" s="210"/>
      <c r="H161" s="210"/>
      <c r="I161" s="210"/>
      <c r="J161" s="210"/>
      <c r="L161" s="210"/>
      <c r="M161" s="210"/>
      <c r="N161" s="210"/>
    </row>
    <row r="162" spans="3:14">
      <c r="C162" s="210"/>
      <c r="D162" s="210"/>
      <c r="E162" s="210"/>
      <c r="F162" s="210"/>
      <c r="G162" s="210"/>
      <c r="H162" s="210"/>
      <c r="I162" s="210"/>
      <c r="J162" s="210"/>
      <c r="L162" s="210"/>
      <c r="M162" s="210"/>
      <c r="N162" s="210"/>
    </row>
    <row r="163" spans="3:14">
      <c r="C163" s="210"/>
      <c r="D163" s="210"/>
      <c r="E163" s="210"/>
      <c r="F163" s="210"/>
      <c r="G163" s="210"/>
      <c r="H163" s="210"/>
      <c r="I163" s="210"/>
      <c r="J163" s="210"/>
      <c r="L163" s="210"/>
      <c r="M163" s="210"/>
      <c r="N163" s="210"/>
    </row>
    <row r="164" spans="3:14">
      <c r="K164" s="332"/>
      <c r="L164" s="210"/>
      <c r="N164" s="210"/>
    </row>
    <row r="165" spans="3:14">
      <c r="K165" s="332"/>
      <c r="L165" s="210"/>
    </row>
  </sheetData>
  <mergeCells count="2">
    <mergeCell ref="D133:E133"/>
    <mergeCell ref="F133:I133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9:C17"/>
  <sheetViews>
    <sheetView workbookViewId="0">
      <selection activeCell="L35" sqref="L35"/>
    </sheetView>
  </sheetViews>
  <sheetFormatPr defaultRowHeight="15"/>
  <cols>
    <col min="1" max="1" width="20.85546875" style="75" bestFit="1" customWidth="1"/>
    <col min="2" max="2" width="9.85546875" style="75" customWidth="1"/>
    <col min="3" max="3" width="12" style="75" customWidth="1"/>
    <col min="4" max="16384" width="9.140625" style="75"/>
  </cols>
  <sheetData>
    <row r="9" spans="1:3">
      <c r="A9" s="314" t="s">
        <v>131</v>
      </c>
      <c r="B9" s="317" t="s">
        <v>70</v>
      </c>
      <c r="C9" s="317" t="s">
        <v>112</v>
      </c>
    </row>
    <row r="10" spans="1:3">
      <c r="A10" s="357" t="str">
        <f>'Control panel'!A3</f>
        <v>Nominale matching</v>
      </c>
      <c r="B10" s="357"/>
      <c r="C10" s="357"/>
    </row>
    <row r="11" spans="1:3">
      <c r="A11" s="357" t="str">
        <f>'Control panel'!A4</f>
        <v>High Yield</v>
      </c>
      <c r="B11" s="357"/>
      <c r="C11" s="357"/>
    </row>
    <row r="12" spans="1:3">
      <c r="A12" s="357" t="str">
        <f>'Control panel'!A5</f>
        <v>Emerging market debt</v>
      </c>
      <c r="B12" s="357"/>
      <c r="C12" s="357"/>
    </row>
    <row r="13" spans="1:3">
      <c r="A13" s="357" t="str">
        <f>'Control panel'!A6</f>
        <v>Aandelen ontwikkeld</v>
      </c>
      <c r="B13" s="357"/>
      <c r="C13" s="357"/>
    </row>
    <row r="14" spans="1:3">
      <c r="A14" s="357" t="str">
        <f>'Control panel'!A7</f>
        <v>Aandelen opkomend</v>
      </c>
      <c r="B14" s="357"/>
      <c r="C14" s="357"/>
    </row>
    <row r="15" spans="1:3">
      <c r="A15" s="357" t="str">
        <f>'Control panel'!A8</f>
        <v>Commodities</v>
      </c>
      <c r="B15" s="357"/>
      <c r="C15" s="357"/>
    </row>
    <row r="16" spans="1:3">
      <c r="A16" s="357" t="str">
        <f>'Control panel'!A9</f>
        <v>Hedge funds</v>
      </c>
      <c r="B16" s="357"/>
      <c r="C16" s="357"/>
    </row>
    <row r="17" spans="1:3">
      <c r="A17" s="358" t="str">
        <f>'Control panel'!A10</f>
        <v>Onroerend goed</v>
      </c>
      <c r="B17" s="358"/>
      <c r="C17" s="358"/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A41" sqref="A41:XFD41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extra analyze</vt:lpstr>
      <vt:lpstr>Sheet2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2013-04-03T13:44:35Z</dcterms:modified>
</cp:coreProperties>
</file>