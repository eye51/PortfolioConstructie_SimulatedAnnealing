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0950" yWindow="570" windowWidth="14415" windowHeight="12150" activeTab="3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B11" i="9"/>
  <c r="B27"/>
  <c r="B31" i="7"/>
  <c r="C10" i="11"/>
  <c r="J10"/>
  <c r="B30" i="7"/>
  <c r="C9" i="11"/>
  <c r="J9"/>
  <c r="B29" i="7"/>
  <c r="C8" i="11"/>
  <c r="J8"/>
  <c r="B28" i="7"/>
  <c r="C7" i="11"/>
  <c r="J7"/>
  <c r="B27" i="7"/>
  <c r="C6" i="11"/>
  <c r="J6"/>
  <c r="B26" i="7"/>
  <c r="C5" i="11"/>
  <c r="J5"/>
  <c r="B25" i="7"/>
  <c r="C4" i="11"/>
  <c r="J4"/>
  <c r="B24" i="7"/>
  <c r="C3" i="11"/>
  <c r="J3"/>
  <c r="I10"/>
  <c r="H25"/>
  <c r="H10"/>
  <c r="G25"/>
  <c r="G10"/>
  <c r="F25"/>
  <c r="F10"/>
  <c r="E25"/>
  <c r="E10"/>
  <c r="D25"/>
  <c r="D10"/>
  <c r="C25"/>
  <c r="I9"/>
  <c r="H24"/>
  <c r="H9"/>
  <c r="G24"/>
  <c r="G9"/>
  <c r="F24"/>
  <c r="F9"/>
  <c r="E24"/>
  <c r="E9"/>
  <c r="D24"/>
  <c r="D9"/>
  <c r="C24"/>
  <c r="I8"/>
  <c r="H23"/>
  <c r="H8"/>
  <c r="G23"/>
  <c r="G8"/>
  <c r="F23"/>
  <c r="F8"/>
  <c r="E23"/>
  <c r="E8"/>
  <c r="D23"/>
  <c r="D8"/>
  <c r="C23"/>
  <c r="I7"/>
  <c r="H22"/>
  <c r="H7"/>
  <c r="G22"/>
  <c r="G7"/>
  <c r="F22"/>
  <c r="F7"/>
  <c r="E22"/>
  <c r="E7"/>
  <c r="D22"/>
  <c r="D7"/>
  <c r="C22"/>
  <c r="I6"/>
  <c r="H21"/>
  <c r="H6"/>
  <c r="G21"/>
  <c r="G6"/>
  <c r="F21"/>
  <c r="F6"/>
  <c r="E21"/>
  <c r="E6"/>
  <c r="D21"/>
  <c r="D6"/>
  <c r="C21"/>
  <c r="I5"/>
  <c r="H20"/>
  <c r="H5"/>
  <c r="G20"/>
  <c r="G5"/>
  <c r="F20"/>
  <c r="F5"/>
  <c r="E20"/>
  <c r="E5"/>
  <c r="D20"/>
  <c r="D5"/>
  <c r="C20"/>
  <c r="I4"/>
  <c r="H19"/>
  <c r="H4"/>
  <c r="G19"/>
  <c r="G4"/>
  <c r="F19"/>
  <c r="F4"/>
  <c r="E19"/>
  <c r="E4"/>
  <c r="D19"/>
  <c r="D4"/>
  <c r="C19"/>
  <c r="I3"/>
  <c r="H18"/>
  <c r="H3"/>
  <c r="G18"/>
  <c r="G3"/>
  <c r="F18"/>
  <c r="F3"/>
  <c r="E18"/>
  <c r="E3"/>
  <c r="D18"/>
  <c r="D3"/>
  <c r="C18"/>
  <c r="E33" i="7"/>
  <c r="C33"/>
  <c r="I31"/>
  <c r="I30"/>
  <c r="I29"/>
  <c r="I28"/>
  <c r="I27"/>
  <c r="I26"/>
  <c r="I25"/>
  <c r="I24"/>
  <c r="J35" i="11"/>
  <c r="I35"/>
  <c r="H35"/>
  <c r="K35"/>
  <c r="I38"/>
  <c r="H38"/>
  <c r="K38"/>
  <c r="I37"/>
  <c r="J37"/>
  <c r="I39"/>
  <c r="J39"/>
  <c r="I40"/>
  <c r="I41"/>
  <c r="I42"/>
  <c r="I36"/>
  <c r="J36"/>
  <c r="H39"/>
  <c r="H36"/>
  <c r="H37"/>
  <c r="H40"/>
  <c r="H41"/>
  <c r="H42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C10" i="9"/>
  <c r="D10"/>
  <c r="P13" i="11"/>
  <c r="C9" i="9"/>
  <c r="D9"/>
  <c r="P12" i="11"/>
  <c r="P11"/>
  <c r="P10"/>
  <c r="P9"/>
  <c r="P8"/>
  <c r="P7"/>
  <c r="P6"/>
  <c r="O13"/>
  <c r="O12"/>
  <c r="O11"/>
  <c r="O10"/>
  <c r="O8"/>
  <c r="O7"/>
  <c r="O6"/>
  <c r="H35" i="7"/>
  <c r="I14" i="11"/>
  <c r="D35" i="7"/>
  <c r="E14" i="11"/>
  <c r="B35" i="7"/>
  <c r="C14" i="11"/>
  <c r="D33" i="7"/>
  <c r="F33"/>
  <c r="B33"/>
  <c r="G33"/>
  <c r="H33"/>
  <c r="I33"/>
  <c r="J12" i="11"/>
  <c r="I12"/>
  <c r="H12"/>
  <c r="E12"/>
  <c r="D12"/>
  <c r="C12"/>
  <c r="E35" i="7"/>
  <c r="F35"/>
  <c r="G7" i="9"/>
  <c r="G6"/>
  <c r="G3"/>
  <c r="G4"/>
  <c r="G5"/>
  <c r="G8"/>
  <c r="G9"/>
  <c r="G10"/>
  <c r="A21" i="5"/>
  <c r="A22"/>
  <c r="A23"/>
  <c r="A24"/>
  <c r="A25"/>
  <c r="A26"/>
  <c r="G5"/>
  <c r="H5"/>
  <c r="D27"/>
  <c r="D26"/>
  <c r="D25"/>
  <c r="D24"/>
  <c r="D23"/>
  <c r="D22"/>
  <c r="D21"/>
  <c r="D20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G27"/>
  <c r="G26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A60"/>
  <c r="A70"/>
  <c r="A80"/>
  <c r="A49"/>
  <c r="A59"/>
  <c r="A69"/>
  <c r="A79"/>
  <c r="A48"/>
  <c r="A58"/>
  <c r="A68"/>
  <c r="A78"/>
  <c r="A47"/>
  <c r="A57"/>
  <c r="A67"/>
  <c r="A77"/>
  <c r="A46"/>
  <c r="A56"/>
  <c r="A66"/>
  <c r="A76"/>
  <c r="A45"/>
  <c r="A55"/>
  <c r="A65"/>
  <c r="A75"/>
  <c r="A44"/>
  <c r="A54"/>
  <c r="A64"/>
  <c r="A74"/>
  <c r="A69" i="6"/>
  <c r="A63" i="8"/>
  <c r="A58" i="6"/>
  <c r="U88"/>
  <c r="T88"/>
  <c r="S88"/>
  <c r="A22"/>
  <c r="A44"/>
  <c r="A55"/>
  <c r="A66"/>
  <c r="A77"/>
  <c r="A88"/>
  <c r="R88"/>
  <c r="U87"/>
  <c r="T87"/>
  <c r="S87"/>
  <c r="A21"/>
  <c r="A43"/>
  <c r="A54"/>
  <c r="A65"/>
  <c r="A76"/>
  <c r="A87"/>
  <c r="R87"/>
  <c r="U86"/>
  <c r="T86"/>
  <c r="S86"/>
  <c r="A20"/>
  <c r="A42"/>
  <c r="A53"/>
  <c r="A64"/>
  <c r="A75"/>
  <c r="A86"/>
  <c r="R86"/>
  <c r="U85"/>
  <c r="T85"/>
  <c r="S85"/>
  <c r="A19"/>
  <c r="A41"/>
  <c r="A52"/>
  <c r="A63"/>
  <c r="A74"/>
  <c r="A85"/>
  <c r="R85"/>
  <c r="U84"/>
  <c r="T84"/>
  <c r="S84"/>
  <c r="A18"/>
  <c r="A40"/>
  <c r="A51"/>
  <c r="A62"/>
  <c r="A73"/>
  <c r="A84"/>
  <c r="R84"/>
  <c r="U83"/>
  <c r="T83"/>
  <c r="S83"/>
  <c r="A17"/>
  <c r="A39"/>
  <c r="A50"/>
  <c r="A61"/>
  <c r="A72"/>
  <c r="A83"/>
  <c r="R83"/>
  <c r="U82"/>
  <c r="T82"/>
  <c r="S82"/>
  <c r="A16"/>
  <c r="A38"/>
  <c r="A49"/>
  <c r="A60"/>
  <c r="A71"/>
  <c r="A82"/>
  <c r="R82"/>
  <c r="U81"/>
  <c r="T81"/>
  <c r="S81"/>
  <c r="A4"/>
  <c r="A15"/>
  <c r="A37"/>
  <c r="A48"/>
  <c r="A59"/>
  <c r="A70"/>
  <c r="A81"/>
  <c r="R81"/>
  <c r="R80"/>
  <c r="U77"/>
  <c r="T77"/>
  <c r="S77"/>
  <c r="R77"/>
  <c r="U76"/>
  <c r="T76"/>
  <c r="S76"/>
  <c r="R76"/>
  <c r="U75"/>
  <c r="T75"/>
  <c r="S75"/>
  <c r="R75"/>
  <c r="U74"/>
  <c r="T74"/>
  <c r="S74"/>
  <c r="R74"/>
  <c r="U73"/>
  <c r="T73"/>
  <c r="S73"/>
  <c r="R73"/>
  <c r="U72"/>
  <c r="T72"/>
  <c r="S72"/>
  <c r="R72"/>
  <c r="U71"/>
  <c r="T71"/>
  <c r="S71"/>
  <c r="R71"/>
  <c r="U70"/>
  <c r="T70"/>
  <c r="S70"/>
  <c r="R70"/>
  <c r="R69"/>
  <c r="V80" i="8"/>
  <c r="T80"/>
  <c r="S80"/>
  <c r="R80"/>
  <c r="Q80"/>
  <c r="V79"/>
  <c r="T79"/>
  <c r="S79"/>
  <c r="R79"/>
  <c r="A30"/>
  <c r="Q79"/>
  <c r="V78"/>
  <c r="T78"/>
  <c r="S78"/>
  <c r="R78"/>
  <c r="A29"/>
  <c r="Q78"/>
  <c r="V77"/>
  <c r="T77"/>
  <c r="S77"/>
  <c r="R77"/>
  <c r="A28"/>
  <c r="Q77"/>
  <c r="V76"/>
  <c r="T76"/>
  <c r="S76"/>
  <c r="R76"/>
  <c r="A27"/>
  <c r="Q76"/>
  <c r="V75"/>
  <c r="T75"/>
  <c r="S75"/>
  <c r="R75"/>
  <c r="A26"/>
  <c r="Q75"/>
  <c r="V74"/>
  <c r="T74"/>
  <c r="S74"/>
  <c r="R74"/>
  <c r="A25"/>
  <c r="Q74"/>
  <c r="Q73"/>
  <c r="T70"/>
  <c r="S70"/>
  <c r="R70"/>
  <c r="Q70"/>
  <c r="T69"/>
  <c r="S69"/>
  <c r="R69"/>
  <c r="Q69"/>
  <c r="T68"/>
  <c r="S68"/>
  <c r="R68"/>
  <c r="Q68"/>
  <c r="T67"/>
  <c r="S67"/>
  <c r="R67"/>
  <c r="Q67"/>
  <c r="T66"/>
  <c r="S66"/>
  <c r="R66"/>
  <c r="Q66"/>
  <c r="T65"/>
  <c r="S65"/>
  <c r="R65"/>
  <c r="Q65"/>
  <c r="T64"/>
  <c r="S64"/>
  <c r="R64"/>
  <c r="Q64"/>
  <c r="Q63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A39"/>
  <c r="Q39"/>
  <c r="T38"/>
  <c r="S38"/>
  <c r="R38"/>
  <c r="T37"/>
  <c r="S37"/>
  <c r="R37"/>
  <c r="A37"/>
  <c r="Q37"/>
  <c r="T36"/>
  <c r="S36"/>
  <c r="R36"/>
  <c r="T35"/>
  <c r="S35"/>
  <c r="R35"/>
  <c r="A35"/>
  <c r="Q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A19"/>
  <c r="Q19"/>
  <c r="T18"/>
  <c r="S18"/>
  <c r="R18"/>
  <c r="T17"/>
  <c r="S17"/>
  <c r="R17"/>
  <c r="A17"/>
  <c r="Q17"/>
  <c r="T16"/>
  <c r="S16"/>
  <c r="R16"/>
  <c r="T15"/>
  <c r="S15"/>
  <c r="R15"/>
  <c r="A15"/>
  <c r="Q15"/>
  <c r="T14"/>
  <c r="S14"/>
  <c r="R14"/>
  <c r="T10"/>
  <c r="S10"/>
  <c r="R10"/>
  <c r="A20"/>
  <c r="Q20"/>
  <c r="T9"/>
  <c r="S9"/>
  <c r="R9"/>
  <c r="Q9"/>
  <c r="Q59"/>
  <c r="T8"/>
  <c r="S8"/>
  <c r="R8"/>
  <c r="A38"/>
  <c r="Q38"/>
  <c r="T7"/>
  <c r="S7"/>
  <c r="R7"/>
  <c r="Q7"/>
  <c r="Q57"/>
  <c r="T6"/>
  <c r="S6"/>
  <c r="R6"/>
  <c r="A16"/>
  <c r="Q16"/>
  <c r="T5"/>
  <c r="S5"/>
  <c r="R5"/>
  <c r="Q5"/>
  <c r="Q55"/>
  <c r="T4"/>
  <c r="S4"/>
  <c r="R4"/>
  <c r="A34"/>
  <c r="Q34"/>
  <c r="A53"/>
  <c r="Q53"/>
  <c r="A36" i="6"/>
  <c r="A33" i="8"/>
  <c r="Q33"/>
  <c r="A14" i="6"/>
  <c r="A13" i="8"/>
  <c r="Q13"/>
  <c r="A20" i="5"/>
  <c r="A3" i="8"/>
  <c r="Q3"/>
  <c r="R58" i="6"/>
  <c r="R14"/>
  <c r="R36"/>
  <c r="R3"/>
  <c r="A24" i="8"/>
  <c r="Q24"/>
  <c r="Q28"/>
  <c r="Q46"/>
  <c r="A50"/>
  <c r="Q50"/>
  <c r="Q4"/>
  <c r="Q8"/>
  <c r="A14"/>
  <c r="Q14"/>
  <c r="A18"/>
  <c r="Q18"/>
  <c r="Q27"/>
  <c r="A36"/>
  <c r="Q36"/>
  <c r="A40"/>
  <c r="Q40"/>
  <c r="Q45"/>
  <c r="Q49"/>
  <c r="Q54"/>
  <c r="Q56"/>
  <c r="Q58"/>
  <c r="Q60"/>
  <c r="Q26"/>
  <c r="Q30"/>
  <c r="Q44"/>
  <c r="Q48"/>
  <c r="Q6"/>
  <c r="Q10"/>
  <c r="Q25"/>
  <c r="Q29"/>
  <c r="Q47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R39"/>
  <c r="A28"/>
  <c r="R28"/>
  <c r="A32"/>
  <c r="R32"/>
  <c r="R17"/>
  <c r="R43"/>
  <c r="R21"/>
  <c r="R44"/>
  <c r="R15"/>
  <c r="A26"/>
  <c r="R26"/>
  <c r="R42"/>
  <c r="R54"/>
  <c r="R65"/>
  <c r="R19"/>
  <c r="A30"/>
  <c r="R30"/>
  <c r="R40"/>
  <c r="R50"/>
  <c r="R61"/>
  <c r="R38"/>
  <c r="R64"/>
  <c r="R53"/>
  <c r="R51"/>
  <c r="R62"/>
  <c r="R37"/>
  <c r="R55"/>
  <c r="R66"/>
  <c r="R60"/>
  <c r="R49"/>
  <c r="R41"/>
  <c r="R48"/>
  <c r="R59"/>
  <c r="R52"/>
  <c r="R63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A47"/>
  <c r="A43" i="8"/>
  <c r="Q43"/>
  <c r="R47" i="6"/>
  <c r="A23" i="8"/>
  <c r="Q23"/>
  <c r="R25" i="6"/>
  <c r="A5" i="4"/>
  <c r="A108"/>
  <c r="A6"/>
  <c r="A109"/>
  <c r="A7"/>
  <c r="A110"/>
  <c r="A8"/>
  <c r="A111"/>
  <c r="A9"/>
  <c r="A112"/>
  <c r="A10"/>
  <c r="A113"/>
  <c r="A11"/>
  <c r="A114"/>
  <c r="A4"/>
  <c r="A107"/>
  <c r="A20"/>
  <c r="A21"/>
  <c r="A17"/>
  <c r="A22"/>
  <c r="A18"/>
  <c r="A16"/>
  <c r="A15"/>
  <c r="A19"/>
  <c r="I35" i="7"/>
  <c r="J14" i="11"/>
  <c r="C35" i="7"/>
  <c r="D14" i="11"/>
  <c r="G35" i="7"/>
  <c r="H14" i="11"/>
  <c r="E27" i="1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40" i="11"/>
  <c r="K40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36" i="11"/>
  <c r="H28" i="1"/>
  <c r="F30"/>
  <c r="D32"/>
  <c r="K33"/>
  <c r="J41" i="11"/>
  <c r="K41"/>
  <c r="K42"/>
  <c r="J42"/>
  <c r="J38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39" i="11"/>
  <c r="K3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B15" i="9" a="1"/>
  <c r="B15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<sst xmlns="http://schemas.openxmlformats.org/spreadsheetml/2006/main" count="585" uniqueCount="150">
  <si>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</si>
  <si>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</si>
  <si>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</si>
  <si>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</si>
  <si>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</si>
  <si>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</si>
  <si>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</si>
  <si>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</si>
  <si>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</si>
  <si>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</si>
  <si>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</si>
  <si>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</si>
  <si>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</si>
  <si>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</si>
  <si>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</si>
  <si>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</si>
  <si>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</si>
  <si>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</si>
  <si>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</si>
  <si>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</si>
  <si>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</si>
  <si>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</si>
  <si>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</si>
  <si>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</si>
  <si>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</si>
  <si>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</si>
  <si>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</si>
  <si>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</si>
  <si>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</si>
  <si>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</si>
  <si>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</si>
  <si>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</si>
  <si>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</si>
  <si>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</si>
  <si>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</si>
  <si>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</si>
  <si>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</si>
  <si>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</si>
  <si>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</si>
  <si>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</si>
  <si>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</si>
  <si>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</si>
  <si>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</si>
  <si>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</si>
  <si>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</si>
  <si>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</si>
  <si>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</si>
  <si>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</si>
  <si>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</si>
  <si>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</si>
  <si>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</si>
  <si>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</si>
  <si>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</si>
  <si>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</si>
  <si>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</si>
  <si>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</si>
  <si>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</si>
  <si>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</si>
  <si>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</si>
  <si>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</si>
  <si>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</si>
  <si>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</si>
  <si>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</si>
  <si>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</si>
  <si>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</si>
  <si>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</si>
  <si>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</si>
  <si>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</si>
  <si>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</si>
  <si>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</si>
  <si>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</si>
  <si>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</si>
  <si>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</si>
  <si>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</si>
  <si>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</si>
  <si>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</si>
  <si>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</si>
  <si>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</si>
  <si>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</si>
  <si>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</si>
  <si>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</si>
  <si>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</si>
  <si>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</si>
  <si>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</si>
  <si>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</si>
  <si>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</si>
  <si>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</si>
  <si>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</si>
  <si>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</si>
  <si>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</si>
  <si>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</si>
  <si>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</si>
  <si>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</si>
  <si>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</si>
  <si>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</si>
  <si>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</si>
  <si>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</si>
  <si>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</si>
  <si>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</si>
  <si>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</si>
  <si>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</si>
  <si>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</si>
  <si>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</si>
  <si>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</si>
  <si>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</si>
  <si>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</si>
  <si>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</si>
  <si>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</si>
  <si>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</si>
  <si>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</si>
  <si>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</si>
  <si>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</si>
  <si>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</si>
  <si>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</si>
  <si>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</si>
  <si>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</si>
  <si>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</si>
  <si>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</si>
  <si>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</si>
  <si>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</si>
  <si>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</si>
  <si>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</si>
  <si>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</si>
  <si>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</si>
  <si>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</si>
  <si>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</si>
  <si>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</si>
  <si>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</si>
  <si>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</si>
  <si>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</si>
  <si>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</si>
  <si>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</si>
  <si>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</si>
  <si>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</si>
  <si>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</si>
  <si>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</si>
  <si>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Base Case verwacht rendement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</si>
  <si>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</si>
  <si>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</si>
  <si>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</si>
  <si>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</si>
  <si>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</si>
  <si>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</si>
  <si>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</si>
  <si>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</si>
  <si>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</si>
  <si>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</si>
  <si>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NaN</t>
  </si>
  <si>
    <t>Vorig IC Input</t>
  </si>
  <si>
    <t>Information Ratio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</si>
</sst>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55" applyNumberFormat="0" applyFill="0" applyAlignment="0" applyProtection="0"/>
    <xf numFmtId="0" fontId="81" fillId="0" borderId="56" applyNumberFormat="0" applyFill="0" applyAlignment="0" applyProtection="0"/>
    <xf numFmtId="0" fontId="82" fillId="0" borderId="57" applyNumberFormat="0" applyFill="0" applyAlignment="0" applyProtection="0"/>
    <xf numFmtId="0" fontId="82" fillId="0" borderId="0" applyNumberFormat="0" applyFill="0" applyBorder="0" applyAlignment="0" applyProtection="0"/>
    <xf numFmtId="0" fontId="83" fillId="35" borderId="0" applyNumberFormat="0" applyBorder="0" applyAlignment="0" applyProtection="0"/>
    <xf numFmtId="0" fontId="84" fillId="36" borderId="0" applyNumberFormat="0" applyBorder="0" applyAlignment="0" applyProtection="0"/>
    <xf numFmtId="0" fontId="85" fillId="37" borderId="0" applyNumberFormat="0" applyBorder="0" applyAlignment="0" applyProtection="0"/>
    <xf numFmtId="0" fontId="86" fillId="38" borderId="58" applyNumberFormat="0" applyAlignment="0" applyProtection="0"/>
    <xf numFmtId="0" fontId="87" fillId="38" borderId="1" applyNumberFormat="0" applyAlignment="0" applyProtection="0"/>
    <xf numFmtId="0" fontId="88" fillId="0" borderId="59" applyNumberFormat="0" applyFill="0" applyAlignment="0" applyProtection="0"/>
    <xf numFmtId="0" fontId="89" fillId="39" borderId="60" applyNumberFormat="0" applyAlignment="0" applyProtection="0"/>
    <xf numFmtId="0" fontId="90" fillId="0" borderId="0" applyNumberFormat="0" applyFill="0" applyBorder="0" applyAlignment="0" applyProtection="0"/>
    <xf numFmtId="0" fontId="1" fillId="40" borderId="61" applyNumberFormat="0" applyFont="0" applyAlignment="0" applyProtection="0"/>
    <xf numFmtId="0" fontId="91" fillId="0" borderId="0" applyNumberFormat="0" applyFill="0" applyBorder="0" applyAlignment="0" applyProtection="0"/>
    <xf numFmtId="0" fontId="12" fillId="0" borderId="62" applyNumberFormat="0" applyFill="0" applyAlignment="0" applyProtection="0"/>
    <xf numFmtId="0" fontId="1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5" fillId="44" borderId="0" applyNumberFormat="0" applyBorder="0" applyAlignment="0" applyProtection="0"/>
    <xf numFmtId="0" fontId="1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5" fillId="48" borderId="0" applyNumberFormat="0" applyBorder="0" applyAlignment="0" applyProtection="0"/>
    <xf numFmtId="0" fontId="15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5" fillId="52" borderId="0" applyNumberFormat="0" applyBorder="0" applyAlignment="0" applyProtection="0"/>
    <xf numFmtId="0" fontId="15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59" borderId="0" applyNumberFormat="0" applyBorder="0" applyAlignment="0" applyProtection="0"/>
    <xf numFmtId="0" fontId="15" fillId="60" borderId="0" applyNumberFormat="0" applyBorder="0" applyAlignment="0" applyProtection="0"/>
    <xf numFmtId="0" fontId="15" fillId="61" borderId="0" applyNumberFormat="0" applyBorder="0" applyAlignment="0" applyProtection="0"/>
    <xf numFmtId="0" fontId="1" fillId="62" borderId="0" applyNumberFormat="0" applyBorder="0" applyAlignment="0" applyProtection="0"/>
    <xf numFmtId="0" fontId="1" fillId="63" borderId="0" applyNumberFormat="0" applyBorder="0" applyAlignment="0" applyProtection="0"/>
    <xf numFmtId="0" fontId="15" fillId="64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2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3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4" fillId="65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409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164" fontId="7" fillId="3" borderId="35" xfId="1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164" fontId="7" fillId="3" borderId="36" xfId="1" applyNumberFormat="1" applyFont="1" applyFill="1" applyBorder="1" applyAlignment="1">
      <alignment horizontal="center"/>
    </xf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164" fontId="7" fillId="3" borderId="34" xfId="1" applyNumberFormat="1" applyFont="1" applyFill="1" applyBorder="1" applyAlignment="1">
      <alignment horizontal="center"/>
    </xf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0" fontId="7" fillId="33" borderId="0" xfId="0" applyFont="1" applyFill="1"/>
    <xf numFmtId="164" fontId="7" fillId="33" borderId="0" xfId="1" applyNumberFormat="1" applyFont="1" applyFill="1" applyBorder="1" applyAlignment="1">
      <alignment horizontal="center"/>
    </xf>
    <xf numFmtId="164" fontId="7" fillId="33" borderId="8" xfId="1" applyNumberFormat="1" applyFont="1" applyFill="1" applyBorder="1" applyAlignment="1">
      <alignment horizontal="center"/>
    </xf>
    <xf numFmtId="164" fontId="7" fillId="33" borderId="42" xfId="1" applyNumberFormat="1" applyFont="1" applyFill="1" applyBorder="1" applyAlignment="1">
      <alignment horizontal="center"/>
    </xf>
    <xf numFmtId="164" fontId="7" fillId="33" borderId="53" xfId="1" applyNumberFormat="1" applyFont="1" applyFill="1" applyBorder="1" applyAlignment="1">
      <alignment horizontal="center"/>
    </xf>
    <xf numFmtId="10" fontId="0" fillId="3" borderId="0" xfId="0" applyNumberFormat="1" applyFill="1" applyBorder="1"/>
    <xf numFmtId="164" fontId="7" fillId="3" borderId="13" xfId="1" applyNumberFormat="1" applyFont="1" applyFill="1" applyBorder="1" applyAlignment="1">
      <alignment horizontal="center"/>
    </xf>
    <xf numFmtId="164" fontId="7" fillId="3" borderId="54" xfId="1" applyNumberFormat="1" applyFont="1" applyFill="1" applyBorder="1" applyAlignment="1">
      <alignment horizontal="center"/>
    </xf>
    <xf numFmtId="9" fontId="10" fillId="3" borderId="0" xfId="0" applyNumberFormat="1" applyFont="1" applyFill="1" applyBorder="1" applyAlignment="1">
      <alignment horizontal="center"/>
    </xf>
    <xf numFmtId="10" fontId="10" fillId="3" borderId="0" xfId="0" applyNumberFormat="1" applyFont="1" applyFill="1" applyBorder="1" applyAlignment="1">
      <alignment horizontal="center"/>
    </xf>
    <xf numFmtId="0" fontId="77" fillId="3" borderId="0" xfId="0" applyFont="1" applyFill="1" applyBorder="1"/>
    <xf numFmtId="43" fontId="7" fillId="3" borderId="34" xfId="3" applyFont="1" applyFill="1" applyBorder="1" applyAlignment="1">
      <alignment horizontal="center"/>
    </xf>
    <xf numFmtId="43" fontId="7" fillId="3" borderId="35" xfId="3" applyFont="1" applyFill="1" applyBorder="1" applyAlignment="1">
      <alignment horizontal="center"/>
    </xf>
    <xf numFmtId="43" fontId="7" fillId="3" borderId="36" xfId="3" applyFont="1" applyFill="1" applyBorder="1" applyAlignment="1">
      <alignment horizontal="center"/>
    </xf>
    <xf numFmtId="43" fontId="7" fillId="3" borderId="23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26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164" fontId="0" fillId="66" borderId="7" xfId="0" applyNumberFormat="1" applyFont="1" applyFill="1" applyBorder="1" applyAlignment="1">
      <alignment horizontal="center"/>
    </xf>
    <xf numFmtId="164" fontId="0" fillId="33" borderId="7" xfId="0" applyNumberFormat="1" applyFont="1" applyFill="1" applyBorder="1" applyAlignment="1">
      <alignment horizontal="center"/>
    </xf>
    <xf numFmtId="164" fontId="0" fillId="67" borderId="7" xfId="0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55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76"/>
          <c:w val="0.5562682138416909"/>
          <c:h val="0.692582184133050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151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0.57679636440540838</c:v>
                </c:pt>
                <c:pt idx="1">
                  <c:v>8.7322272769675427E-2</c:v>
                </c:pt>
                <c:pt idx="2">
                  <c:v>6.9222715134591023E-2</c:v>
                </c:pt>
                <c:pt idx="3">
                  <c:v>8.0585503117667059E-2</c:v>
                </c:pt>
                <c:pt idx="4">
                  <c:v>4.8572327433171678E-2</c:v>
                </c:pt>
                <c:pt idx="5">
                  <c:v>6.0115475147098668E-2</c:v>
                </c:pt>
                <c:pt idx="6">
                  <c:v>3.0634868515694108E-2</c:v>
                </c:pt>
                <c:pt idx="7">
                  <c:v>4.6750473476693123E-2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26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0.5674012860953721</c:v>
                </c:pt>
                <c:pt idx="1">
                  <c:v>6.9127651414627969E-2</c:v>
                </c:pt>
                <c:pt idx="2">
                  <c:v>5.7779391933745462E-2</c:v>
                </c:pt>
                <c:pt idx="3">
                  <c:v>7.7037816467728781E-2</c:v>
                </c:pt>
                <c:pt idx="4">
                  <c:v>3.6508589722343679E-2</c:v>
                </c:pt>
                <c:pt idx="5">
                  <c:v>4.9282908524376542E-2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9.3950783100362756E-3</c:v>
                </c:pt>
                <c:pt idx="1">
                  <c:v>1.8194621355047458E-2</c:v>
                </c:pt>
                <c:pt idx="2">
                  <c:v>1.1443323200845561E-2</c:v>
                </c:pt>
                <c:pt idx="3">
                  <c:v>3.5476866499382781E-3</c:v>
                </c:pt>
                <c:pt idx="4">
                  <c:v>1.2063737710827999E-2</c:v>
                </c:pt>
                <c:pt idx="5">
                  <c:v>1.0832566622722126E-2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9.1490042805018046E-3</c:v>
                </c:pt>
                <c:pt idx="1">
                  <c:v>1.6665993982385816E-2</c:v>
                </c:pt>
                <c:pt idx="2">
                  <c:v>8.1777979817628937E-3</c:v>
                </c:pt>
                <c:pt idx="3">
                  <c:v>2.5774133895939549E-3</c:v>
                </c:pt>
                <c:pt idx="4">
                  <c:v>9.3813975332792954E-3</c:v>
                </c:pt>
                <c:pt idx="5">
                  <c:v>1.0565968029330158E-2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overlap val="100"/>
        <c:axId val="299504768"/>
        <c:axId val="29950668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299504768"/>
        <c:axId val="299506688"/>
      </c:lineChart>
      <c:catAx>
        <c:axId val="299504768"/>
        <c:scaling>
          <c:orientation val="minMax"/>
        </c:scaling>
        <c:axPos val="b"/>
        <c:tickLblPos val="nextTo"/>
        <c:crossAx val="299506688"/>
        <c:crosses val="autoZero"/>
        <c:auto val="1"/>
        <c:lblAlgn val="ctr"/>
        <c:lblOffset val="100"/>
      </c:catAx>
      <c:valAx>
        <c:axId val="299506688"/>
        <c:scaling>
          <c:orientation val="minMax"/>
        </c:scaling>
        <c:axPos val="l"/>
        <c:majorGridlines/>
        <c:numFmt formatCode="0%" sourceLinked="0"/>
        <c:tickLblPos val="nextTo"/>
        <c:crossAx val="29950476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299543552"/>
        <c:axId val="299561728"/>
      </c:barChart>
      <c:catAx>
        <c:axId val="299543552"/>
        <c:scaling>
          <c:orientation val="minMax"/>
        </c:scaling>
        <c:axPos val="b"/>
        <c:tickLblPos val="nextTo"/>
        <c:crossAx val="299561728"/>
        <c:crosses val="autoZero"/>
        <c:auto val="1"/>
        <c:lblAlgn val="ctr"/>
        <c:lblOffset val="100"/>
      </c:catAx>
      <c:valAx>
        <c:axId val="299561728"/>
        <c:scaling>
          <c:orientation val="minMax"/>
        </c:scaling>
        <c:axPos val="l"/>
        <c:majorGridlines/>
        <c:numFmt formatCode="0.0%" sourceLinked="1"/>
        <c:tickLblPos val="nextTo"/>
        <c:crossAx val="299543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882"/>
          <c:y val="0.30999086720262076"/>
          <c:w val="0.27290015295627634"/>
          <c:h val="0.50313982945017643"/>
        </c:manualLayout>
      </c:layout>
    </c:legend>
    <c:plotVisOnly val="1"/>
  </c:chart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2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0.15046553937146484</c:v>
                </c:pt>
                <c:pt idx="1">
                  <c:v>0.13152899151879457</c:v>
                </c:pt>
                <c:pt idx="2">
                  <c:v>0.17839809791562403</c:v>
                </c:pt>
                <c:pt idx="3">
                  <c:v>7.6316032972981701E-2</c:v>
                </c:pt>
                <c:pt idx="4">
                  <c:v>0.10370302351472584</c:v>
                </c:pt>
                <c:pt idx="5">
                  <c:v>7.0111539231941161E-2</c:v>
                </c:pt>
                <c:pt idx="6">
                  <c:v>0.10699401740842567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5.4893234197171015E-2</c:v>
                </c:pt>
                <c:pt idx="1">
                  <c:v>3.1780213588830764E-2</c:v>
                </c:pt>
                <c:pt idx="2">
                  <c:v>1.223081971646392E-2</c:v>
                </c:pt>
                <c:pt idx="3">
                  <c:v>3.8764158855208938E-2</c:v>
                </c:pt>
                <c:pt idx="4">
                  <c:v>3.8896516887368879E-2</c:v>
                </c:pt>
                <c:pt idx="5">
                  <c:v>2.3427108322317258E-3</c:v>
                </c:pt>
                <c:pt idx="6">
                  <c:v>3.5751039887669811E-3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5.2957353828436915E-2</c:v>
                </c:pt>
                <c:pt idx="1">
                  <c:v>3.2766709645841524E-2</c:v>
                </c:pt>
                <c:pt idx="2">
                  <c:v>1.3471130584501001E-2</c:v>
                </c:pt>
                <c:pt idx="3">
                  <c:v>3.8647914134888703E-2</c:v>
                </c:pt>
                <c:pt idx="4">
                  <c:v>3.6886145764476019E-2</c:v>
                </c:pt>
                <c:pt idx="5">
                  <c:v>2.2499496726202384E-3</c:v>
                </c:pt>
                <c:pt idx="6">
                  <c:v>3.4335454203057031E-3</c:v>
                </c:pt>
              </c:numCache>
            </c:numRef>
          </c:val>
        </c:ser>
        <c:overlap val="100"/>
        <c:axId val="301046400"/>
        <c:axId val="301060864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01046400"/>
        <c:axId val="301060864"/>
      </c:lineChart>
      <c:catAx>
        <c:axId val="301046400"/>
        <c:scaling>
          <c:orientation val="minMax"/>
        </c:scaling>
        <c:axPos val="b"/>
        <c:numFmt formatCode="General" sourceLinked="1"/>
        <c:tickLblPos val="nextTo"/>
        <c:crossAx val="301060864"/>
        <c:crosses val="autoZero"/>
        <c:auto val="1"/>
        <c:lblAlgn val="ctr"/>
        <c:lblOffset val="100"/>
      </c:catAx>
      <c:valAx>
        <c:axId val="301060864"/>
        <c:scaling>
          <c:orientation val="minMax"/>
        </c:scaling>
        <c:axPos val="l"/>
        <c:majorGridlines/>
        <c:numFmt formatCode="0%" sourceLinked="0"/>
        <c:tickLblPos val="nextTo"/>
        <c:crossAx val="30104640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01237376"/>
        <c:axId val="301238912"/>
      </c:barChart>
      <c:catAx>
        <c:axId val="301237376"/>
        <c:scaling>
          <c:orientation val="minMax"/>
        </c:scaling>
        <c:axPos val="b"/>
        <c:tickLblPos val="nextTo"/>
        <c:crossAx val="301238912"/>
        <c:crosses val="autoZero"/>
        <c:auto val="1"/>
        <c:lblAlgn val="ctr"/>
        <c:lblOffset val="100"/>
      </c:catAx>
      <c:valAx>
        <c:axId val="301238912"/>
        <c:scaling>
          <c:orientation val="minMax"/>
        </c:scaling>
        <c:axPos val="l"/>
        <c:majorGridlines/>
        <c:numFmt formatCode="0.0%" sourceLinked="1"/>
        <c:tickLblPos val="nextTo"/>
        <c:crossAx val="30123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47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0.58124654345623461</c:v>
                </c:pt>
                <c:pt idx="1">
                  <c:v>7.8241841099571413E-2</c:v>
                </c:pt>
                <c:pt idx="2">
                  <c:v>6.5230540723158675E-2</c:v>
                </c:pt>
                <c:pt idx="3">
                  <c:v>0.10176771845428198</c:v>
                </c:pt>
                <c:pt idx="4">
                  <c:v>3.3895417289285454E-2</c:v>
                </c:pt>
                <c:pt idx="5">
                  <c:v>7.3962316174081634E-5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7.4531385724114774E-3</c:v>
                </c:pt>
                <c:pt idx="1">
                  <c:v>1.5682960987225103E-2</c:v>
                </c:pt>
                <c:pt idx="2">
                  <c:v>1.5832812451389955E-2</c:v>
                </c:pt>
                <c:pt idx="3">
                  <c:v>9.494251889479069E-3</c:v>
                </c:pt>
                <c:pt idx="4">
                  <c:v>9.369890542756526E-3</c:v>
                </c:pt>
                <c:pt idx="5">
                  <c:v>9.7174466296295263E-4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8.4498509283492673E-3</c:v>
                </c:pt>
                <c:pt idx="1">
                  <c:v>1.3507103800199025E-2</c:v>
                </c:pt>
                <c:pt idx="2">
                  <c:v>1.2189416728764613E-2</c:v>
                </c:pt>
                <c:pt idx="3">
                  <c:v>9.8884750876806066E-3</c:v>
                </c:pt>
                <c:pt idx="4">
                  <c:v>7.5238263931674543E-3</c:v>
                </c:pt>
                <c:pt idx="5">
                  <c:v>6.3128982319550107E-4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01826816"/>
        <c:axId val="301828352"/>
      </c:barChart>
      <c:catAx>
        <c:axId val="301826816"/>
        <c:scaling>
          <c:orientation val="minMax"/>
        </c:scaling>
        <c:axPos val="l"/>
        <c:numFmt formatCode="0%" sourceLinked="1"/>
        <c:tickLblPos val="nextTo"/>
        <c:crossAx val="301828352"/>
        <c:crosses val="autoZero"/>
        <c:auto val="1"/>
        <c:lblAlgn val="ctr"/>
        <c:lblOffset val="100"/>
      </c:catAx>
      <c:valAx>
        <c:axId val="301828352"/>
        <c:scaling>
          <c:orientation val="minMax"/>
        </c:scaling>
        <c:axPos val="b"/>
        <c:majorGridlines/>
        <c:numFmt formatCode="0%" sourceLinked="0"/>
        <c:tickLblPos val="nextTo"/>
        <c:crossAx val="301826816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0.5674012860953721</c:v>
                </c:pt>
                <c:pt idx="1">
                  <c:v>6.9127651414627969E-2</c:v>
                </c:pt>
                <c:pt idx="2">
                  <c:v>5.7779391933745462E-2</c:v>
                </c:pt>
                <c:pt idx="3">
                  <c:v>7.7037816467728781E-2</c:v>
                </c:pt>
                <c:pt idx="4">
                  <c:v>3.6508589722343679E-2</c:v>
                </c:pt>
                <c:pt idx="5">
                  <c:v>4.9282908524376542E-2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9.3950783100362756E-3</c:v>
                </c:pt>
                <c:pt idx="1">
                  <c:v>1.8194621355047458E-2</c:v>
                </c:pt>
                <c:pt idx="2">
                  <c:v>1.1443323200845561E-2</c:v>
                </c:pt>
                <c:pt idx="3">
                  <c:v>3.5476866499382781E-3</c:v>
                </c:pt>
                <c:pt idx="4">
                  <c:v>1.2063737710827999E-2</c:v>
                </c:pt>
                <c:pt idx="5">
                  <c:v>1.0832566622722126E-2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9.1490042805018046E-3</c:v>
                </c:pt>
                <c:pt idx="1">
                  <c:v>1.6665993982385816E-2</c:v>
                </c:pt>
                <c:pt idx="2">
                  <c:v>8.1777979817628937E-3</c:v>
                </c:pt>
                <c:pt idx="3">
                  <c:v>2.5774133895939549E-3</c:v>
                </c:pt>
                <c:pt idx="4">
                  <c:v>9.3813975332792954E-3</c:v>
                </c:pt>
                <c:pt idx="5">
                  <c:v>1.0565968029330158E-2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gapWidth val="100"/>
        <c:overlap val="100"/>
        <c:axId val="301845504"/>
        <c:axId val="301474560"/>
      </c:barChart>
      <c:catAx>
        <c:axId val="301845504"/>
        <c:scaling>
          <c:orientation val="minMax"/>
        </c:scaling>
        <c:axPos val="l"/>
        <c:numFmt formatCode="0%" sourceLinked="1"/>
        <c:tickLblPos val="nextTo"/>
        <c:crossAx val="301474560"/>
        <c:crosses val="autoZero"/>
        <c:auto val="1"/>
        <c:lblAlgn val="ctr"/>
        <c:lblOffset val="100"/>
      </c:catAx>
      <c:valAx>
        <c:axId val="301474560"/>
        <c:scaling>
          <c:orientation val="minMax"/>
        </c:scaling>
        <c:axPos val="b"/>
        <c:majorGridlines/>
        <c:numFmt formatCode="0%" sourceLinked="0"/>
        <c:tickLblPos val="nextTo"/>
        <c:crossAx val="3018455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0.59747781542027889</c:v>
                </c:pt>
                <c:pt idx="1">
                  <c:v>6.974408278266836E-2</c:v>
                </c:pt>
                <c:pt idx="2">
                  <c:v>5.5068965266086914E-2</c:v>
                </c:pt>
                <c:pt idx="3">
                  <c:v>7.625642323090015E-2</c:v>
                </c:pt>
                <c:pt idx="4">
                  <c:v>3.4472676260430803E-2</c:v>
                </c:pt>
                <c:pt idx="5">
                  <c:v>2.3834633032890976E-2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1.1003062073888237E-2</c:v>
                </c:pt>
                <c:pt idx="1">
                  <c:v>1.9577886037692088E-2</c:v>
                </c:pt>
                <c:pt idx="2">
                  <c:v>8.3728996479427581E-3</c:v>
                </c:pt>
                <c:pt idx="3">
                  <c:v>2.3534081896997711E-3</c:v>
                </c:pt>
                <c:pt idx="4">
                  <c:v>1.2407507045586498E-2</c:v>
                </c:pt>
                <c:pt idx="5">
                  <c:v>8.6914634568663954E-3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1.0403379538456603E-2</c:v>
                </c:pt>
                <c:pt idx="1">
                  <c:v>1.84835379552864E-2</c:v>
                </c:pt>
                <c:pt idx="2">
                  <c:v>5.7527912987701546E-3</c:v>
                </c:pt>
                <c:pt idx="3">
                  <c:v>1.4973566707752323E-3</c:v>
                </c:pt>
                <c:pt idx="4">
                  <c:v>8.1668106228833248E-3</c:v>
                </c:pt>
                <c:pt idx="5">
                  <c:v>1.061381988089246E-2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01491712"/>
        <c:axId val="301493248"/>
      </c:barChart>
      <c:catAx>
        <c:axId val="301491712"/>
        <c:scaling>
          <c:orientation val="minMax"/>
        </c:scaling>
        <c:axPos val="l"/>
        <c:numFmt formatCode="0%" sourceLinked="1"/>
        <c:tickLblPos val="nextTo"/>
        <c:crossAx val="301493248"/>
        <c:crosses val="autoZero"/>
        <c:auto val="1"/>
        <c:lblAlgn val="ctr"/>
        <c:lblOffset val="100"/>
      </c:catAx>
      <c:valAx>
        <c:axId val="301493248"/>
        <c:scaling>
          <c:orientation val="minMax"/>
        </c:scaling>
        <c:axPos val="b"/>
        <c:majorGridlines/>
        <c:numFmt formatCode="0%" sourceLinked="0"/>
        <c:tickLblPos val="nextTo"/>
        <c:crossAx val="3014917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0.58118242113117968</c:v>
                </c:pt>
                <c:pt idx="1">
                  <c:v>0.11524828242074993</c:v>
                </c:pt>
                <c:pt idx="2">
                  <c:v>5.2954997309752325E-2</c:v>
                </c:pt>
                <c:pt idx="3">
                  <c:v>7.8443973225628211E-2</c:v>
                </c:pt>
                <c:pt idx="4">
                  <c:v>4.4027785107077153E-2</c:v>
                </c:pt>
                <c:pt idx="5">
                  <c:v>1.1289145740709032E-3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6.6448995455005155E-3</c:v>
                </c:pt>
                <c:pt idx="1">
                  <c:v>1.125088358078731E-2</c:v>
                </c:pt>
                <c:pt idx="2">
                  <c:v>4.4461321632111722E-3</c:v>
                </c:pt>
                <c:pt idx="3">
                  <c:v>5.7817462088580046E-3</c:v>
                </c:pt>
                <c:pt idx="4">
                  <c:v>9.9167574005725179E-3</c:v>
                </c:pt>
                <c:pt idx="5">
                  <c:v>8.2340297775434848E-3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6.4295911017366869E-3</c:v>
                </c:pt>
                <c:pt idx="1">
                  <c:v>1.3645618950355015E-2</c:v>
                </c:pt>
                <c:pt idx="2">
                  <c:v>3.528031282478597E-3</c:v>
                </c:pt>
                <c:pt idx="3">
                  <c:v>4.068808737861182E-3</c:v>
                </c:pt>
                <c:pt idx="4">
                  <c:v>8.1832953296436944E-3</c:v>
                </c:pt>
                <c:pt idx="5">
                  <c:v>5.8261859406036846E-3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01522944"/>
        <c:axId val="301524480"/>
      </c:barChart>
      <c:catAx>
        <c:axId val="301522944"/>
        <c:scaling>
          <c:orientation val="minMax"/>
        </c:scaling>
        <c:axPos val="l"/>
        <c:tickLblPos val="nextTo"/>
        <c:crossAx val="301524480"/>
        <c:crosses val="autoZero"/>
        <c:auto val="1"/>
        <c:lblAlgn val="ctr"/>
        <c:lblOffset val="100"/>
      </c:catAx>
      <c:valAx>
        <c:axId val="301524480"/>
        <c:scaling>
          <c:orientation val="minMax"/>
        </c:scaling>
        <c:axPos val="b"/>
        <c:majorGridlines/>
        <c:numFmt formatCode="0%" sourceLinked="0"/>
        <c:tickLblPos val="nextTo"/>
        <c:crossAx val="3015229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01771008"/>
        <c:axId val="301776896"/>
      </c:barChart>
      <c:catAx>
        <c:axId val="301771008"/>
        <c:scaling>
          <c:orientation val="minMax"/>
        </c:scaling>
        <c:axPos val="l"/>
        <c:tickLblPos val="nextTo"/>
        <c:crossAx val="301776896"/>
        <c:crosses val="autoZero"/>
        <c:auto val="1"/>
        <c:lblAlgn val="ctr"/>
        <c:lblOffset val="100"/>
      </c:catAx>
      <c:valAx>
        <c:axId val="301776896"/>
        <c:scaling>
          <c:orientation val="minMax"/>
        </c:scaling>
        <c:axPos val="b"/>
        <c:majorGridlines/>
        <c:numFmt formatCode="0%" sourceLinked="0"/>
        <c:tickLblPos val="nextTo"/>
        <c:crossAx val="3017710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0.64653478143230725</c:v>
                </c:pt>
                <c:pt idx="1">
                  <c:v>7.9284281816252855E-2</c:v>
                </c:pt>
                <c:pt idx="2">
                  <c:v>6.146671202516199E-2</c:v>
                </c:pt>
                <c:pt idx="3">
                  <c:v>7.5492867517471793E-2</c:v>
                </c:pt>
                <c:pt idx="4">
                  <c:v>2.50513810662947E-2</c:v>
                </c:pt>
                <c:pt idx="5">
                  <c:v>1.1461764960437912E-4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1.4925550522845166E-3</c:v>
                </c:pt>
                <c:pt idx="1">
                  <c:v>1.107171377700257E-2</c:v>
                </c:pt>
                <c:pt idx="2">
                  <c:v>1.2321481590119948E-2</c:v>
                </c:pt>
                <c:pt idx="3">
                  <c:v>2.5140007473852116E-3</c:v>
                </c:pt>
                <c:pt idx="4">
                  <c:v>1.9810224858183845E-3</c:v>
                </c:pt>
                <c:pt idx="5">
                  <c:v>1.935407285227879E-3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1.9135111599561938E-3</c:v>
                </c:pt>
                <c:pt idx="1">
                  <c:v>1.2276104226401255E-2</c:v>
                </c:pt>
                <c:pt idx="2">
                  <c:v>1.1658930931913752E-2</c:v>
                </c:pt>
                <c:pt idx="3">
                  <c:v>1.7008249089034838E-3</c:v>
                </c:pt>
                <c:pt idx="4">
                  <c:v>1.6565124309841535E-3</c:v>
                </c:pt>
                <c:pt idx="5">
                  <c:v>1.0856837702770046E-3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02146304"/>
        <c:axId val="302147840"/>
      </c:barChart>
      <c:catAx>
        <c:axId val="302146304"/>
        <c:scaling>
          <c:orientation val="minMax"/>
        </c:scaling>
        <c:axPos val="l"/>
        <c:tickLblPos val="nextTo"/>
        <c:crossAx val="302147840"/>
        <c:crosses val="autoZero"/>
        <c:auto val="1"/>
        <c:lblAlgn val="ctr"/>
        <c:lblOffset val="100"/>
      </c:catAx>
      <c:valAx>
        <c:axId val="302147840"/>
        <c:scaling>
          <c:orientation val="minMax"/>
        </c:scaling>
        <c:axPos val="b"/>
        <c:majorGridlines/>
        <c:numFmt formatCode="0%" sourceLinked="0"/>
        <c:tickLblPos val="nextTo"/>
        <c:crossAx val="3021463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0.62656725137739477</c:v>
                </c:pt>
                <c:pt idx="1">
                  <c:v>5.2525186785217226E-2</c:v>
                </c:pt>
                <c:pt idx="2">
                  <c:v>7.235063063541719E-2</c:v>
                </c:pt>
                <c:pt idx="3">
                  <c:v>7.5797867194146468E-2</c:v>
                </c:pt>
                <c:pt idx="4">
                  <c:v>2.8168215653425678E-2</c:v>
                </c:pt>
                <c:pt idx="5">
                  <c:v>1.2407929018324758E-2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7.7265515147867392E-3</c:v>
                </c:pt>
                <c:pt idx="1">
                  <c:v>4.3250497373148039E-3</c:v>
                </c:pt>
                <c:pt idx="2">
                  <c:v>1.7579914516261216E-2</c:v>
                </c:pt>
                <c:pt idx="3">
                  <c:v>1.7713127999347267E-3</c:v>
                </c:pt>
                <c:pt idx="4">
                  <c:v>5.1570240582093432E-3</c:v>
                </c:pt>
                <c:pt idx="5">
                  <c:v>1.4883889154498174E-2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9.6874147240660902E-3</c:v>
                </c:pt>
                <c:pt idx="1">
                  <c:v>3.0240220629719899E-3</c:v>
                </c:pt>
                <c:pt idx="2">
                  <c:v>1.6205580016612389E-2</c:v>
                </c:pt>
                <c:pt idx="3">
                  <c:v>1.0363519938038773E-3</c:v>
                </c:pt>
                <c:pt idx="4">
                  <c:v>2.9792996920619125E-3</c:v>
                </c:pt>
                <c:pt idx="5">
                  <c:v>1.4066176088670161E-2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02185472"/>
        <c:axId val="302195456"/>
      </c:barChart>
      <c:catAx>
        <c:axId val="302185472"/>
        <c:scaling>
          <c:orientation val="minMax"/>
        </c:scaling>
        <c:axPos val="l"/>
        <c:numFmt formatCode="0%" sourceLinked="1"/>
        <c:tickLblPos val="nextTo"/>
        <c:crossAx val="302195456"/>
        <c:crosses val="autoZero"/>
        <c:auto val="1"/>
        <c:lblAlgn val="ctr"/>
        <c:lblOffset val="100"/>
      </c:catAx>
      <c:valAx>
        <c:axId val="302195456"/>
        <c:scaling>
          <c:orientation val="minMax"/>
        </c:scaling>
        <c:axPos val="b"/>
        <c:majorGridlines/>
        <c:numFmt formatCode="0%" sourceLinked="0"/>
        <c:tickLblPos val="nextTo"/>
        <c:crossAx val="3021854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0.64595771324157536</c:v>
                </c:pt>
                <c:pt idx="1">
                  <c:v>7.1103052121758742E-2</c:v>
                </c:pt>
                <c:pt idx="2">
                  <c:v>6.5985570622912437E-2</c:v>
                </c:pt>
                <c:pt idx="3">
                  <c:v>7.5407437891429313E-2</c:v>
                </c:pt>
                <c:pt idx="4">
                  <c:v>2.5589274678429148E-2</c:v>
                </c:pt>
                <c:pt idx="5">
                  <c:v>8.9271252252749768E-5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1.7074636210844263E-3</c:v>
                </c:pt>
                <c:pt idx="1">
                  <c:v>1.3138834679831415E-2</c:v>
                </c:pt>
                <c:pt idx="2">
                  <c:v>1.3348977055544081E-2</c:v>
                </c:pt>
                <c:pt idx="3">
                  <c:v>2.5033892251303952E-3</c:v>
                </c:pt>
                <c:pt idx="4">
                  <c:v>2.5273914674655597E-3</c:v>
                </c:pt>
                <c:pt idx="5">
                  <c:v>1.9024465875178422E-3</c:v>
                </c:pt>
                <c:pt idx="6">
                  <c:v>-3.1225022567582528E-16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2.0354814290582945E-3</c:v>
                </c:pt>
                <c:pt idx="1">
                  <c:v>1.338073679609228E-2</c:v>
                </c:pt>
                <c:pt idx="2">
                  <c:v>1.2590648835305279E-2</c:v>
                </c:pt>
                <c:pt idx="3">
                  <c:v>1.7469278077963807E-3</c:v>
                </c:pt>
                <c:pt idx="4">
                  <c:v>2.1657590887208637E-3</c:v>
                </c:pt>
                <c:pt idx="5">
                  <c:v>1.0977596918004331E-3</c:v>
                </c:pt>
                <c:pt idx="6">
                  <c:v>3.1225022567582528E-16</c:v>
                </c:pt>
                <c:pt idx="7">
                  <c:v>0</c:v>
                </c:pt>
              </c:numCache>
            </c:numRef>
          </c:val>
        </c:ser>
        <c:gapWidth val="100"/>
        <c:overlap val="100"/>
        <c:axId val="302216704"/>
        <c:axId val="302218240"/>
      </c:barChart>
      <c:catAx>
        <c:axId val="302216704"/>
        <c:scaling>
          <c:orientation val="minMax"/>
        </c:scaling>
        <c:axPos val="l"/>
        <c:tickLblPos val="nextTo"/>
        <c:crossAx val="302218240"/>
        <c:crosses val="autoZero"/>
        <c:auto val="1"/>
        <c:lblAlgn val="ctr"/>
        <c:lblOffset val="100"/>
      </c:catAx>
      <c:valAx>
        <c:axId val="302218240"/>
        <c:scaling>
          <c:orientation val="minMax"/>
        </c:scaling>
        <c:axPos val="b"/>
        <c:majorGridlines/>
        <c:numFmt formatCode="0%" sourceLinked="0"/>
        <c:tickLblPos val="nextTo"/>
        <c:crossAx val="3022167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0.17931875226053665</c:v>
                </c:pt>
                <c:pt idx="1">
                  <c:v>0.14950353377783079</c:v>
                </c:pt>
                <c:pt idx="2">
                  <c:v>0.23383164932612815</c:v>
                </c:pt>
                <c:pt idx="3">
                  <c:v>7.4774577957042745E-2</c:v>
                </c:pt>
                <c:pt idx="4">
                  <c:v>5.0815875857100815E-5</c:v>
                </c:pt>
                <c:pt idx="5">
                  <c:v>7.6172302858184951E-2</c:v>
                </c:pt>
                <c:pt idx="6">
                  <c:v>0.11484170803191623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4.8196806803966957E-2</c:v>
                </c:pt>
                <c:pt idx="1">
                  <c:v>4.7094608034736946E-2</c:v>
                </c:pt>
                <c:pt idx="2">
                  <c:v>3.7500004265181353E-2</c:v>
                </c:pt>
                <c:pt idx="3">
                  <c:v>3.0781412093554103E-2</c:v>
                </c:pt>
                <c:pt idx="4">
                  <c:v>2.495021203511865E-3</c:v>
                </c:pt>
                <c:pt idx="5">
                  <c:v>2.1688801309745626E-3</c:v>
                </c:pt>
                <c:pt idx="6">
                  <c:v>3.2699273805775614E-3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5.0249767845523929E-2</c:v>
                </c:pt>
                <c:pt idx="1">
                  <c:v>5.0202955361703161E-2</c:v>
                </c:pt>
                <c:pt idx="2">
                  <c:v>4.1761640786914467E-2</c:v>
                </c:pt>
                <c:pt idx="3">
                  <c:v>3.5547725314730383E-2</c:v>
                </c:pt>
                <c:pt idx="4">
                  <c:v>2.7974332607930133E-3</c:v>
                </c:pt>
                <c:pt idx="5">
                  <c:v>2.3423570218795292E-3</c:v>
                </c:pt>
                <c:pt idx="6">
                  <c:v>3.5314710350032724E-3</c:v>
                </c:pt>
              </c:numCache>
            </c:numRef>
          </c:val>
        </c:ser>
        <c:gapWidth val="101"/>
        <c:overlap val="100"/>
        <c:axId val="302281088"/>
        <c:axId val="302282624"/>
      </c:barChart>
      <c:catAx>
        <c:axId val="302281088"/>
        <c:scaling>
          <c:orientation val="minMax"/>
        </c:scaling>
        <c:axPos val="l"/>
        <c:tickLblPos val="nextTo"/>
        <c:crossAx val="302282624"/>
        <c:crosses val="autoZero"/>
        <c:auto val="1"/>
        <c:lblAlgn val="ctr"/>
        <c:lblOffset val="100"/>
      </c:catAx>
      <c:valAx>
        <c:axId val="302282624"/>
        <c:scaling>
          <c:orientation val="minMax"/>
        </c:scaling>
        <c:axPos val="b"/>
        <c:majorGridlines/>
        <c:numFmt formatCode="0%" sourceLinked="0"/>
        <c:tickLblPos val="nextTo"/>
        <c:crossAx val="3022810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0.16841577234071184</c:v>
                </c:pt>
                <c:pt idx="1">
                  <c:v>0.13773387876542881</c:v>
                </c:pt>
                <c:pt idx="2">
                  <c:v>0.19016780472342332</c:v>
                </c:pt>
                <c:pt idx="3">
                  <c:v>8.0199352391903206E-2</c:v>
                </c:pt>
                <c:pt idx="4">
                  <c:v>4.2561985301584719E-2</c:v>
                </c:pt>
                <c:pt idx="5">
                  <c:v>7.8847971529003469E-2</c:v>
                </c:pt>
                <c:pt idx="6">
                  <c:v>0.11887569871822076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5.8016075820513519E-2</c:v>
                </c:pt>
                <c:pt idx="1">
                  <c:v>2.4267974195921194E-2</c:v>
                </c:pt>
                <c:pt idx="2">
                  <c:v>1.0931751624681935E-2</c:v>
                </c:pt>
                <c:pt idx="3">
                  <c:v>3.9576601529449251E-2</c:v>
                </c:pt>
                <c:pt idx="4">
                  <c:v>4.1611665105786809E-2</c:v>
                </c:pt>
                <c:pt idx="5">
                  <c:v>3.5066469783899129E-3</c:v>
                </c:pt>
                <c:pt idx="6">
                  <c:v>5.2868209749809547E-3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6.2081298702234666E-2</c:v>
                </c:pt>
                <c:pt idx="1">
                  <c:v>2.6846614202124391E-2</c:v>
                </c:pt>
                <c:pt idx="2">
                  <c:v>1.1616370931115449E-2</c:v>
                </c:pt>
                <c:pt idx="3">
                  <c:v>4.0133786479605055E-2</c:v>
                </c:pt>
                <c:pt idx="4">
                  <c:v>3.8837882885786948E-2</c:v>
                </c:pt>
                <c:pt idx="5">
                  <c:v>3.1095399409383634E-3</c:v>
                </c:pt>
                <c:pt idx="6">
                  <c:v>4.6881197575931732E-3</c:v>
                </c:pt>
              </c:numCache>
            </c:numRef>
          </c:val>
        </c:ser>
        <c:gapWidth val="101"/>
        <c:overlap val="100"/>
        <c:axId val="302303872"/>
        <c:axId val="302317952"/>
      </c:barChart>
      <c:catAx>
        <c:axId val="302303872"/>
        <c:scaling>
          <c:orientation val="minMax"/>
        </c:scaling>
        <c:axPos val="l"/>
        <c:tickLblPos val="nextTo"/>
        <c:crossAx val="302317952"/>
        <c:crosses val="autoZero"/>
        <c:auto val="1"/>
        <c:lblAlgn val="ctr"/>
        <c:lblOffset val="100"/>
      </c:catAx>
      <c:valAx>
        <c:axId val="302317952"/>
        <c:scaling>
          <c:orientation val="minMax"/>
        </c:scaling>
        <c:axPos val="b"/>
        <c:majorGridlines/>
        <c:numFmt formatCode="0%" sourceLinked="0"/>
        <c:tickLblPos val="nextTo"/>
        <c:crossAx val="3023038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0.14097293579353526</c:v>
                </c:pt>
                <c:pt idx="1">
                  <c:v>0.18177237365014368</c:v>
                </c:pt>
                <c:pt idx="2">
                  <c:v>0.20266485498286241</c:v>
                </c:pt>
                <c:pt idx="3">
                  <c:v>7.3612414821564803E-2</c:v>
                </c:pt>
                <c:pt idx="4">
                  <c:v>2.153251691338014E-2</c:v>
                </c:pt>
                <c:pt idx="5">
                  <c:v>8.5052782294835955E-2</c:v>
                </c:pt>
                <c:pt idx="6">
                  <c:v>0.12823042530026549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1.4631794290299233E-2</c:v>
                </c:pt>
                <c:pt idx="1">
                  <c:v>6.3687207273807001E-2</c:v>
                </c:pt>
                <c:pt idx="2">
                  <c:v>9.6784081377051523E-3</c:v>
                </c:pt>
                <c:pt idx="3">
                  <c:v>1.769012205077522E-2</c:v>
                </c:pt>
                <c:pt idx="4">
                  <c:v>5.2756736204320545E-2</c:v>
                </c:pt>
                <c:pt idx="5">
                  <c:v>3.077545369508175E-3</c:v>
                </c:pt>
                <c:pt idx="6">
                  <c:v>4.639882916997129E-3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1.4763966751856428E-2</c:v>
                </c:pt>
                <c:pt idx="1">
                  <c:v>6.2438193499397249E-2</c:v>
                </c:pt>
                <c:pt idx="2">
                  <c:v>9.3370446855208233E-3</c:v>
                </c:pt>
                <c:pt idx="3">
                  <c:v>1.8183638550214098E-2</c:v>
                </c:pt>
                <c:pt idx="4">
                  <c:v>5.1676058909877115E-2</c:v>
                </c:pt>
                <c:pt idx="5">
                  <c:v>2.829745198180536E-3</c:v>
                </c:pt>
                <c:pt idx="6">
                  <c:v>4.2662852462160561E-3</c:v>
                </c:pt>
              </c:numCache>
            </c:numRef>
          </c:val>
        </c:ser>
        <c:gapWidth val="101"/>
        <c:overlap val="100"/>
        <c:axId val="302355584"/>
        <c:axId val="302357120"/>
      </c:barChart>
      <c:catAx>
        <c:axId val="302355584"/>
        <c:scaling>
          <c:orientation val="minMax"/>
        </c:scaling>
        <c:axPos val="l"/>
        <c:tickLblPos val="nextTo"/>
        <c:crossAx val="302357120"/>
        <c:crosses val="autoZero"/>
        <c:auto val="1"/>
        <c:lblAlgn val="ctr"/>
        <c:lblOffset val="100"/>
      </c:catAx>
      <c:valAx>
        <c:axId val="302357120"/>
        <c:scaling>
          <c:orientation val="minMax"/>
        </c:scaling>
        <c:axPos val="b"/>
        <c:majorGridlines/>
        <c:numFmt formatCode="0%" sourceLinked="0"/>
        <c:tickLblPos val="nextTo"/>
        <c:crossAx val="3023555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0.26612285328127222</c:v>
                </c:pt>
                <c:pt idx="1">
                  <c:v>0.12704844353016562</c:v>
                </c:pt>
                <c:pt idx="2">
                  <c:v>0.18835027428870005</c:v>
                </c:pt>
                <c:pt idx="3">
                  <c:v>9.4716468110087562E-2</c:v>
                </c:pt>
                <c:pt idx="4">
                  <c:v>8.1175686258579648E-4</c:v>
                </c:pt>
                <c:pt idx="5">
                  <c:v>7.6356349495767598E-2</c:v>
                </c:pt>
                <c:pt idx="6">
                  <c:v>0.11511918723924534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4.0104822138429252E-2</c:v>
                </c:pt>
                <c:pt idx="1">
                  <c:v>1.2135360021790415E-2</c:v>
                </c:pt>
                <c:pt idx="2">
                  <c:v>1.5985181770990814E-2</c:v>
                </c:pt>
                <c:pt idx="3">
                  <c:v>3.655834165411205E-2</c:v>
                </c:pt>
                <c:pt idx="4">
                  <c:v>2.2175931047974787E-2</c:v>
                </c:pt>
                <c:pt idx="5">
                  <c:v>1.8004976364940084E-3</c:v>
                </c:pt>
                <c:pt idx="6">
                  <c:v>2.7145329223846604E-3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3.6880698387033728E-2</c:v>
                </c:pt>
                <c:pt idx="1">
                  <c:v>1.2656964102002954E-2</c:v>
                </c:pt>
                <c:pt idx="2">
                  <c:v>1.7960674874574062E-2</c:v>
                </c:pt>
                <c:pt idx="3">
                  <c:v>3.4187379387177502E-2</c:v>
                </c:pt>
                <c:pt idx="4">
                  <c:v>2.4983942206999822E-2</c:v>
                </c:pt>
                <c:pt idx="5">
                  <c:v>2.0391864648853231E-3</c:v>
                </c:pt>
                <c:pt idx="6">
                  <c:v>3.0743938129190185E-3</c:v>
                </c:pt>
              </c:numCache>
            </c:numRef>
          </c:val>
        </c:ser>
        <c:gapWidth val="100"/>
        <c:overlap val="100"/>
        <c:axId val="302382464"/>
        <c:axId val="302462080"/>
      </c:barChart>
      <c:catAx>
        <c:axId val="302382464"/>
        <c:scaling>
          <c:orientation val="minMax"/>
        </c:scaling>
        <c:axPos val="l"/>
        <c:tickLblPos val="nextTo"/>
        <c:crossAx val="302462080"/>
        <c:crosses val="autoZero"/>
        <c:auto val="1"/>
        <c:lblAlgn val="ctr"/>
        <c:lblOffset val="100"/>
      </c:catAx>
      <c:valAx>
        <c:axId val="302462080"/>
        <c:scaling>
          <c:orientation val="minMax"/>
        </c:scaling>
        <c:axPos val="b"/>
        <c:majorGridlines/>
        <c:numFmt formatCode="0%" sourceLinked="0"/>
        <c:tickLblPos val="nextTo"/>
        <c:crossAx val="3023824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302495616"/>
        <c:axId val="302497152"/>
      </c:barChart>
      <c:catAx>
        <c:axId val="302495616"/>
        <c:scaling>
          <c:orientation val="minMax"/>
        </c:scaling>
        <c:axPos val="l"/>
        <c:tickLblPos val="nextTo"/>
        <c:crossAx val="302497152"/>
        <c:crosses val="autoZero"/>
        <c:auto val="1"/>
        <c:lblAlgn val="ctr"/>
        <c:lblOffset val="100"/>
      </c:catAx>
      <c:valAx>
        <c:axId val="302497152"/>
        <c:scaling>
          <c:orientation val="minMax"/>
        </c:scaling>
        <c:axPos val="b"/>
        <c:majorGridlines/>
        <c:numFmt formatCode="0%" sourceLinked="0"/>
        <c:tickLblPos val="nextTo"/>
        <c:crossAx val="3024956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0.15046553937146484</c:v>
                </c:pt>
                <c:pt idx="1">
                  <c:v>0.13152899151879457</c:v>
                </c:pt>
                <c:pt idx="2">
                  <c:v>0.17839809791562403</c:v>
                </c:pt>
                <c:pt idx="3">
                  <c:v>7.6316032972981701E-2</c:v>
                </c:pt>
                <c:pt idx="4">
                  <c:v>0.10370302351472584</c:v>
                </c:pt>
                <c:pt idx="5">
                  <c:v>7.0111539231941161E-2</c:v>
                </c:pt>
                <c:pt idx="6">
                  <c:v>0.10699401740842567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5.4893234197171015E-2</c:v>
                </c:pt>
                <c:pt idx="1">
                  <c:v>3.1780213588830764E-2</c:v>
                </c:pt>
                <c:pt idx="2">
                  <c:v>1.223081971646392E-2</c:v>
                </c:pt>
                <c:pt idx="3">
                  <c:v>3.8764158855208938E-2</c:v>
                </c:pt>
                <c:pt idx="4">
                  <c:v>3.8896516887368879E-2</c:v>
                </c:pt>
                <c:pt idx="5">
                  <c:v>2.3427108322317258E-3</c:v>
                </c:pt>
                <c:pt idx="6">
                  <c:v>3.5751039887669811E-3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5.2957353828436915E-2</c:v>
                </c:pt>
                <c:pt idx="1">
                  <c:v>3.2766709645841524E-2</c:v>
                </c:pt>
                <c:pt idx="2">
                  <c:v>1.3471130584501001E-2</c:v>
                </c:pt>
                <c:pt idx="3">
                  <c:v>3.8647914134888703E-2</c:v>
                </c:pt>
                <c:pt idx="4">
                  <c:v>3.6886145764476019E-2</c:v>
                </c:pt>
                <c:pt idx="5">
                  <c:v>2.2499496726202384E-3</c:v>
                </c:pt>
                <c:pt idx="6">
                  <c:v>3.4335454203057031E-3</c:v>
                </c:pt>
              </c:numCache>
            </c:numRef>
          </c:val>
        </c:ser>
        <c:gapWidth val="100"/>
        <c:overlap val="100"/>
        <c:axId val="302535040"/>
        <c:axId val="302536576"/>
      </c:barChart>
      <c:catAx>
        <c:axId val="302535040"/>
        <c:scaling>
          <c:orientation val="minMax"/>
        </c:scaling>
        <c:axPos val="l"/>
        <c:tickLblPos val="nextTo"/>
        <c:crossAx val="302536576"/>
        <c:crosses val="autoZero"/>
        <c:auto val="1"/>
        <c:lblAlgn val="ctr"/>
        <c:lblOffset val="100"/>
      </c:catAx>
      <c:valAx>
        <c:axId val="302536576"/>
        <c:scaling>
          <c:orientation val="minMax"/>
        </c:scaling>
        <c:axPos val="b"/>
        <c:majorGridlines/>
        <c:numFmt formatCode="0%" sourceLinked="0"/>
        <c:tickLblPos val="nextTo"/>
        <c:crossAx val="3025350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0.20535877356863586</c:v>
                </c:pt>
                <c:pt idx="1">
                  <c:v>0.16330920510762534</c:v>
                </c:pt>
                <c:pt idx="2">
                  <c:v>0.19062891763208795</c:v>
                </c:pt>
                <c:pt idx="3">
                  <c:v>0.11508019182819064</c:v>
                </c:pt>
                <c:pt idx="4">
                  <c:v>0.14259954040209472</c:v>
                </c:pt>
                <c:pt idx="5">
                  <c:v>7.2454250064172887E-2</c:v>
                </c:pt>
                <c:pt idx="6">
                  <c:v>0.11056912139719265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0.18667738370713693</c:v>
                </c:pt>
                <c:pt idx="1">
                  <c:v>0.17075513077932775</c:v>
                </c:pt>
                <c:pt idx="2">
                  <c:v>0.21263980419544706</c:v>
                </c:pt>
                <c:pt idx="3">
                  <c:v>7.1281953324095648E-2</c:v>
                </c:pt>
                <c:pt idx="4">
                  <c:v>4.8630023340398279E-5</c:v>
                </c:pt>
                <c:pt idx="5">
                  <c:v>9.0720721043367702E-2</c:v>
                </c:pt>
                <c:pt idx="6">
                  <c:v>0.1367757330102545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5.2360138288052582E-2</c:v>
                </c:pt>
                <c:pt idx="1">
                  <c:v>5.4427715480654171E-2</c:v>
                </c:pt>
                <c:pt idx="2">
                  <c:v>8.504667854299236E-3</c:v>
                </c:pt>
                <c:pt idx="3">
                  <c:v>8.5302850960392307E-3</c:v>
                </c:pt>
                <c:pt idx="4">
                  <c:v>5.6076931314055249E-3</c:v>
                </c:pt>
                <c:pt idx="5">
                  <c:v>6.6601773903079975E-4</c:v>
                </c:pt>
                <c:pt idx="6">
                  <c:v>1.0041263275476497E-3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5.3633487260463852E-2</c:v>
                </c:pt>
                <c:pt idx="1">
                  <c:v>5.4556371510091684E-2</c:v>
                </c:pt>
                <c:pt idx="2">
                  <c:v>8.942737635204534E-3</c:v>
                </c:pt>
                <c:pt idx="3">
                  <c:v>9.3713153473928001E-3</c:v>
                </c:pt>
                <c:pt idx="4">
                  <c:v>7.1209219633165148E-3</c:v>
                </c:pt>
                <c:pt idx="5">
                  <c:v>6.1623407916444606E-4</c:v>
                </c:pt>
                <c:pt idx="6">
                  <c:v>9.2906964268224534E-4</c:v>
                </c:pt>
              </c:numCache>
            </c:numRef>
          </c:val>
        </c:ser>
        <c:gapWidth val="100"/>
        <c:overlap val="100"/>
        <c:axId val="302631552"/>
        <c:axId val="302645632"/>
      </c:barChart>
      <c:catAx>
        <c:axId val="302631552"/>
        <c:scaling>
          <c:orientation val="minMax"/>
        </c:scaling>
        <c:axPos val="l"/>
        <c:tickLblPos val="nextTo"/>
        <c:crossAx val="302645632"/>
        <c:crosses val="autoZero"/>
        <c:auto val="1"/>
        <c:lblAlgn val="ctr"/>
        <c:lblOffset val="100"/>
      </c:catAx>
      <c:valAx>
        <c:axId val="302645632"/>
        <c:scaling>
          <c:orientation val="minMax"/>
        </c:scaling>
        <c:axPos val="b"/>
        <c:majorGridlines/>
        <c:numFmt formatCode="0%" sourceLinked="0"/>
        <c:tickLblPos val="nextTo"/>
        <c:crossAx val="3026315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8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0.20949723281385896</c:v>
                </c:pt>
                <c:pt idx="1">
                  <c:v>0.15968935194608702</c:v>
                </c:pt>
                <c:pt idx="2">
                  <c:v>0.21276853393409331</c:v>
                </c:pt>
                <c:pt idx="3">
                  <c:v>6.9766047595129166E-2</c:v>
                </c:pt>
                <c:pt idx="4">
                  <c:v>6.3609621127734106E-5</c:v>
                </c:pt>
                <c:pt idx="5">
                  <c:v>9.0818563076099479E-2</c:v>
                </c:pt>
                <c:pt idx="6">
                  <c:v>0.13692324523890739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4.7163894269099449E-2</c:v>
                </c:pt>
                <c:pt idx="1">
                  <c:v>4.9966135333287143E-2</c:v>
                </c:pt>
                <c:pt idx="2">
                  <c:v>8.8720428126195516E-3</c:v>
                </c:pt>
                <c:pt idx="3">
                  <c:v>7.046312755084827E-3</c:v>
                </c:pt>
                <c:pt idx="4">
                  <c:v>5.7645619473709235E-3</c:v>
                </c:pt>
                <c:pt idx="5">
                  <c:v>6.6215939268547686E-4</c:v>
                </c:pt>
                <c:pt idx="6">
                  <c:v>9.9830926454932967E-4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4.699650775069919E-2</c:v>
                </c:pt>
                <c:pt idx="1">
                  <c:v>4.5479243025724869E-2</c:v>
                </c:pt>
                <c:pt idx="2">
                  <c:v>9.3385386325545994E-3</c:v>
                </c:pt>
                <c:pt idx="3">
                  <c:v>8.4885069318584166E-3</c:v>
                </c:pt>
                <c:pt idx="4">
                  <c:v>6.7650637226834408E-3</c:v>
                </c:pt>
                <c:pt idx="5">
                  <c:v>6.1750690341073888E-4</c:v>
                </c:pt>
                <c:pt idx="6">
                  <c:v>9.3098862510707092E-4</c:v>
                </c:pt>
              </c:numCache>
            </c:numRef>
          </c:val>
        </c:ser>
        <c:gapWidth val="100"/>
        <c:overlap val="100"/>
        <c:axId val="302666880"/>
        <c:axId val="302668416"/>
      </c:barChart>
      <c:catAx>
        <c:axId val="302666880"/>
        <c:scaling>
          <c:orientation val="minMax"/>
        </c:scaling>
        <c:axPos val="l"/>
        <c:tickLblPos val="nextTo"/>
        <c:crossAx val="302668416"/>
        <c:crosses val="autoZero"/>
        <c:auto val="1"/>
        <c:lblAlgn val="ctr"/>
        <c:lblOffset val="100"/>
      </c:catAx>
      <c:valAx>
        <c:axId val="302668416"/>
        <c:scaling>
          <c:orientation val="minMax"/>
        </c:scaling>
        <c:axPos val="b"/>
        <c:majorGridlines/>
        <c:numFmt formatCode="0%" sourceLinked="0"/>
        <c:tickLblPos val="nextTo"/>
        <c:crossAx val="3026668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97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99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0.5674012860953721</c:v>
                </c:pt>
                <c:pt idx="1">
                  <c:v>6.9127651414627969E-2</c:v>
                </c:pt>
                <c:pt idx="2">
                  <c:v>5.7779391933745462E-2</c:v>
                </c:pt>
                <c:pt idx="3">
                  <c:v>7.7037816467728781E-2</c:v>
                </c:pt>
                <c:pt idx="4">
                  <c:v>3.6508589722343679E-2</c:v>
                </c:pt>
                <c:pt idx="5">
                  <c:v>4.9282908524376542E-2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9.3950783100362756E-3</c:v>
                </c:pt>
                <c:pt idx="1">
                  <c:v>1.8194621355047458E-2</c:v>
                </c:pt>
                <c:pt idx="2">
                  <c:v>1.1443323200845561E-2</c:v>
                </c:pt>
                <c:pt idx="3">
                  <c:v>3.5476866499382781E-3</c:v>
                </c:pt>
                <c:pt idx="4">
                  <c:v>1.2063737710827999E-2</c:v>
                </c:pt>
                <c:pt idx="5">
                  <c:v>1.0832566622722126E-2</c:v>
                </c:pt>
                <c:pt idx="6">
                  <c:v>-1.5265566588595902E-16</c:v>
                </c:pt>
                <c:pt idx="7">
                  <c:v>-4.0245584642661925E-16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9.1490042805018046E-3</c:v>
                </c:pt>
                <c:pt idx="1">
                  <c:v>1.6665993982385816E-2</c:v>
                </c:pt>
                <c:pt idx="2">
                  <c:v>8.1777979817628937E-3</c:v>
                </c:pt>
                <c:pt idx="3">
                  <c:v>2.5774133895939549E-3</c:v>
                </c:pt>
                <c:pt idx="4">
                  <c:v>9.3813975332792954E-3</c:v>
                </c:pt>
                <c:pt idx="5">
                  <c:v>1.0565968029330158E-2</c:v>
                </c:pt>
                <c:pt idx="6">
                  <c:v>1.5265566588595902E-16</c:v>
                </c:pt>
                <c:pt idx="7">
                  <c:v>4.0245584642661925E-16</c:v>
                </c:pt>
              </c:numCache>
            </c:numRef>
          </c:val>
        </c:ser>
        <c:overlap val="100"/>
        <c:axId val="302892544"/>
        <c:axId val="30289408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02892544"/>
        <c:axId val="302894080"/>
      </c:lineChart>
      <c:catAx>
        <c:axId val="302892544"/>
        <c:scaling>
          <c:orientation val="minMax"/>
        </c:scaling>
        <c:axPos val="b"/>
        <c:tickLblPos val="nextTo"/>
        <c:crossAx val="302894080"/>
        <c:crosses val="autoZero"/>
        <c:auto val="1"/>
        <c:lblAlgn val="ctr"/>
        <c:lblOffset val="100"/>
      </c:catAx>
      <c:valAx>
        <c:axId val="302894080"/>
        <c:scaling>
          <c:orientation val="minMax"/>
        </c:scaling>
        <c:axPos val="l"/>
        <c:majorGridlines/>
        <c:numFmt formatCode="0%" sourceLinked="0"/>
        <c:tickLblPos val="nextTo"/>
        <c:crossAx val="30289254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4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0.15046553937146484</c:v>
                </c:pt>
                <c:pt idx="1">
                  <c:v>0.13152899151879457</c:v>
                </c:pt>
                <c:pt idx="2">
                  <c:v>0.17839809791562403</c:v>
                </c:pt>
                <c:pt idx="3">
                  <c:v>7.6316032972981701E-2</c:v>
                </c:pt>
                <c:pt idx="4">
                  <c:v>0.10370302351472584</c:v>
                </c:pt>
                <c:pt idx="5">
                  <c:v>7.0111539231941161E-2</c:v>
                </c:pt>
                <c:pt idx="6">
                  <c:v>0.10699401740842567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5.4893234197171015E-2</c:v>
                </c:pt>
                <c:pt idx="1">
                  <c:v>3.1780213588830764E-2</c:v>
                </c:pt>
                <c:pt idx="2">
                  <c:v>1.223081971646392E-2</c:v>
                </c:pt>
                <c:pt idx="3">
                  <c:v>3.8764158855208938E-2</c:v>
                </c:pt>
                <c:pt idx="4">
                  <c:v>3.8896516887368879E-2</c:v>
                </c:pt>
                <c:pt idx="5">
                  <c:v>2.3427108322317258E-3</c:v>
                </c:pt>
                <c:pt idx="6">
                  <c:v>3.5751039887669811E-3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5.2957353828436915E-2</c:v>
                </c:pt>
                <c:pt idx="1">
                  <c:v>3.2766709645841524E-2</c:v>
                </c:pt>
                <c:pt idx="2">
                  <c:v>1.3471130584501001E-2</c:v>
                </c:pt>
                <c:pt idx="3">
                  <c:v>3.8647914134888703E-2</c:v>
                </c:pt>
                <c:pt idx="4">
                  <c:v>3.6886145764476019E-2</c:v>
                </c:pt>
                <c:pt idx="5">
                  <c:v>2.2499496726202384E-3</c:v>
                </c:pt>
                <c:pt idx="6">
                  <c:v>3.4335454203057031E-3</c:v>
                </c:pt>
              </c:numCache>
            </c:numRef>
          </c:val>
        </c:ser>
        <c:overlap val="100"/>
        <c:axId val="302735744"/>
        <c:axId val="302737664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02735744"/>
        <c:axId val="302737664"/>
      </c:lineChart>
      <c:catAx>
        <c:axId val="302735744"/>
        <c:scaling>
          <c:orientation val="minMax"/>
        </c:scaling>
        <c:axPos val="b"/>
        <c:numFmt formatCode="General" sourceLinked="1"/>
        <c:tickLblPos val="nextTo"/>
        <c:crossAx val="302737664"/>
        <c:crosses val="autoZero"/>
        <c:auto val="1"/>
        <c:lblAlgn val="ctr"/>
        <c:lblOffset val="100"/>
      </c:catAx>
      <c:valAx>
        <c:axId val="302737664"/>
        <c:scaling>
          <c:orientation val="minMax"/>
        </c:scaling>
        <c:axPos val="l"/>
        <c:majorGridlines/>
        <c:numFmt formatCode="0%" sourceLinked="0"/>
        <c:tickLblPos val="nextTo"/>
        <c:crossAx val="30273574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81"/>
          <c:w val="0.5562682138416909"/>
          <c:h val="0.69258218413305028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2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0.57679636440540838</c:v>
                </c:pt>
                <c:pt idx="1">
                  <c:v>8.7322272769675427E-2</c:v>
                </c:pt>
                <c:pt idx="2">
                  <c:v>6.9222715134591023E-2</c:v>
                </c:pt>
                <c:pt idx="3">
                  <c:v>8.0585503117667059E-2</c:v>
                </c:pt>
                <c:pt idx="4">
                  <c:v>4.8572327433171678E-2</c:v>
                </c:pt>
                <c:pt idx="5">
                  <c:v>6.0115475147098668E-2</c:v>
                </c:pt>
                <c:pt idx="6">
                  <c:v>3.0634868515694108E-2</c:v>
                </c:pt>
                <c:pt idx="7">
                  <c:v>4.6750473476693123E-2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IC'!$C$34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IC'!$C$35:$C$42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IC'!$D$34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IC'!$D$35:$D$42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02809856"/>
        <c:axId val="302811392"/>
      </c:barChart>
      <c:catAx>
        <c:axId val="302809856"/>
        <c:scaling>
          <c:orientation val="minMax"/>
        </c:scaling>
        <c:axPos val="l"/>
        <c:tickLblPos val="nextTo"/>
        <c:crossAx val="302811392"/>
        <c:crosses val="autoZero"/>
        <c:auto val="1"/>
        <c:lblAlgn val="ctr"/>
        <c:lblOffset val="100"/>
      </c:catAx>
      <c:valAx>
        <c:axId val="302811392"/>
        <c:scaling>
          <c:orientation val="minMax"/>
        </c:scaling>
        <c:axPos val="b"/>
        <c:majorGridlines/>
        <c:numFmt formatCode="0.0%" sourceLinked="1"/>
        <c:tickLblPos val="nextTo"/>
        <c:crossAx val="302809856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33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9"/>
          <c:y val="5.1400554097404488E-2"/>
          <c:w val="0.8216434820647455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3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4.345014939985381E-2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IC'!$H$35:$H$42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302828544"/>
        <c:axId val="303092864"/>
      </c:scatterChart>
      <c:valAx>
        <c:axId val="302828544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01"/>
            </c:manualLayout>
          </c:layout>
        </c:title>
        <c:numFmt formatCode="0%" sourceLinked="0"/>
        <c:tickLblPos val="nextTo"/>
        <c:crossAx val="303092864"/>
        <c:crosses val="autoZero"/>
        <c:crossBetween val="midCat"/>
      </c:valAx>
      <c:valAx>
        <c:axId val="3030928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02828544"/>
        <c:crosses val="autoZero"/>
        <c:crossBetween val="midCat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36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1"/>
          <c:y val="5.1400554097404488E-2"/>
          <c:w val="0.82164348206474591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08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07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03E-2"/>
                  <c:y val="-6.73369912559802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4.345014939985381E-2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yVal>
        </c:ser>
        <c:axId val="303097728"/>
        <c:axId val="303022080"/>
      </c:scatterChart>
      <c:valAx>
        <c:axId val="30309772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23"/>
            </c:manualLayout>
          </c:layout>
        </c:title>
        <c:numFmt formatCode="0%" sourceLinked="0"/>
        <c:tickLblPos val="nextTo"/>
        <c:crossAx val="303022080"/>
        <c:crosses val="autoZero"/>
        <c:crossBetween val="midCat"/>
      </c:valAx>
      <c:valAx>
        <c:axId val="3030220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03097728"/>
        <c:crosses val="autoZero"/>
        <c:crossBetween val="midCat"/>
      </c:valAx>
    </c:plotArea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IC'!$E$34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IC'!$E$35:$E$42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IC'!$H$34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IC'!$H$35:$H$42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303120768"/>
        <c:axId val="303122304"/>
      </c:barChart>
      <c:catAx>
        <c:axId val="303120768"/>
        <c:scaling>
          <c:orientation val="minMax"/>
        </c:scaling>
        <c:axPos val="l"/>
        <c:tickLblPos val="none"/>
        <c:crossAx val="303122304"/>
        <c:crosses val="autoZero"/>
        <c:auto val="1"/>
        <c:lblAlgn val="ctr"/>
        <c:lblOffset val="100"/>
      </c:catAx>
      <c:valAx>
        <c:axId val="303122304"/>
        <c:scaling>
          <c:orientation val="minMax"/>
        </c:scaling>
        <c:axPos val="b"/>
        <c:majorGridlines/>
        <c:numFmt formatCode="0.0%" sourceLinked="1"/>
        <c:tickLblPos val="nextTo"/>
        <c:crossAx val="303120768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IC'!$J$34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IC'!$J$35:$J$42</c:f>
              <c:numCache>
                <c:formatCode>#,##0.00_ ;\-#,##0.00\ </c:formatCode>
                <c:ptCount val="8"/>
                <c:pt idx="0">
                  <c:v>-0.85588235294117654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IC'!$K$34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IC'!$K$35:$K$42</c:f>
              <c:numCache>
                <c:formatCode>#,##0.00_ ;[Red]\-#,##0.00\ </c:formatCode>
                <c:ptCount val="8"/>
                <c:pt idx="0">
                  <c:v>-7.4672167433568887E-2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0.29109111037387625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303164032"/>
        <c:axId val="303174016"/>
      </c:barChart>
      <c:catAx>
        <c:axId val="303164032"/>
        <c:scaling>
          <c:orientation val="minMax"/>
        </c:scaling>
        <c:axPos val="l"/>
        <c:tickLblPos val="high"/>
        <c:crossAx val="303174016"/>
        <c:crosses val="autoZero"/>
        <c:auto val="1"/>
        <c:lblAlgn val="ctr"/>
        <c:lblOffset val="100"/>
      </c:catAx>
      <c:valAx>
        <c:axId val="303174016"/>
        <c:scaling>
          <c:orientation val="minMax"/>
          <c:max val="0.30000000000000032"/>
        </c:scaling>
        <c:axPos val="b"/>
        <c:majorGridlines/>
        <c:numFmt formatCode="#,##0.00_ ;\-#,##0.00\ " sourceLinked="1"/>
        <c:tickLblPos val="nextTo"/>
        <c:crossAx val="30316403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36</xdr:row>
      <xdr:rowOff>136152</xdr:rowOff>
    </xdr:from>
    <xdr:to>
      <xdr:col>37</xdr:col>
      <xdr:colOff>372035</xdr:colOff>
      <xdr:row>56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288548</xdr:colOff>
      <xdr:row>12</xdr:row>
      <xdr:rowOff>33619</xdr:rowOff>
    </xdr:from>
    <xdr:to>
      <xdr:col>27</xdr:col>
      <xdr:colOff>538441</xdr:colOff>
      <xdr:row>38</xdr:row>
      <xdr:rowOff>44825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28</xdr:row>
      <xdr:rowOff>14008</xdr:rowOff>
    </xdr:from>
    <xdr:to>
      <xdr:col>36</xdr:col>
      <xdr:colOff>445433</xdr:colOff>
      <xdr:row>35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299197</xdr:colOff>
      <xdr:row>45</xdr:row>
      <xdr:rowOff>17929</xdr:rowOff>
    </xdr:from>
    <xdr:to>
      <xdr:col>4</xdr:col>
      <xdr:colOff>13447</xdr:colOff>
      <xdr:row>60</xdr:row>
      <xdr:rowOff>170329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424144</xdr:colOff>
      <xdr:row>45</xdr:row>
      <xdr:rowOff>148478</xdr:rowOff>
    </xdr:from>
    <xdr:to>
      <xdr:col>20</xdr:col>
      <xdr:colOff>505946</xdr:colOff>
      <xdr:row>58</xdr:row>
      <xdr:rowOff>123825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424142</xdr:colOff>
      <xdr:row>61</xdr:row>
      <xdr:rowOff>143996</xdr:rowOff>
    </xdr:from>
    <xdr:to>
      <xdr:col>20</xdr:col>
      <xdr:colOff>505945</xdr:colOff>
      <xdr:row>74</xdr:row>
      <xdr:rowOff>119343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45</xdr:row>
      <xdr:rowOff>22412</xdr:rowOff>
    </xdr:from>
    <xdr:to>
      <xdr:col>9</xdr:col>
      <xdr:colOff>930087</xdr:colOff>
      <xdr:row>60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15</xdr:row>
      <xdr:rowOff>199465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45</xdr:row>
      <xdr:rowOff>56031</xdr:rowOff>
    </xdr:from>
    <xdr:to>
      <xdr:col>12</xdr:col>
      <xdr:colOff>705971</xdr:colOff>
      <xdr:row>61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A2" sqref="A2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85" t="s">
        <v>93</v>
      </c>
      <c r="D1" s="385"/>
      <c r="E1" s="386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0.55552002657163746</v>
      </c>
      <c r="C3" s="303">
        <v>0.55000000000000004</v>
      </c>
      <c r="D3" s="218">
        <v>0.65</v>
      </c>
      <c r="E3" s="145">
        <v>0.99</v>
      </c>
      <c r="F3" s="144">
        <f>'Samenvatting mixen'!B81</f>
        <v>0.57679636440540838</v>
      </c>
      <c r="G3" s="384">
        <f>+F3-B3</f>
        <v>2.127633783377092E-2</v>
      </c>
      <c r="H3" s="305"/>
    </row>
    <row r="4" spans="1:24">
      <c r="A4" s="143" t="str">
        <f>Scenarios!A5</f>
        <v>High Yield</v>
      </c>
      <c r="B4" s="218">
        <v>9.7772401711769694E-2</v>
      </c>
      <c r="C4" s="303">
        <v>0.05</v>
      </c>
      <c r="D4" s="218">
        <v>0.15</v>
      </c>
      <c r="E4" s="145">
        <v>0.99</v>
      </c>
      <c r="F4" s="144">
        <f>'Samenvatting mixen'!B82</f>
        <v>8.7322272769675427E-2</v>
      </c>
      <c r="G4" s="383">
        <f t="shared" ref="G4:G10" si="0">+F4-B4</f>
        <v>-1.0450128942094267E-2</v>
      </c>
      <c r="H4" s="306"/>
      <c r="W4" s="133" t="str">
        <f>A4</f>
        <v>High Yield</v>
      </c>
      <c r="X4" s="134">
        <f>B4/SUM($B$4:$B$10)</f>
        <v>0.21997031937711767</v>
      </c>
    </row>
    <row r="5" spans="1:24">
      <c r="A5" s="143" t="str">
        <f>Scenarios!A6</f>
        <v>Emerging market debt</v>
      </c>
      <c r="B5" s="218">
        <v>9.4763191533410202E-2</v>
      </c>
      <c r="C5" s="303">
        <v>0.05</v>
      </c>
      <c r="D5" s="218">
        <v>0.2</v>
      </c>
      <c r="E5" s="145">
        <v>0.99</v>
      </c>
      <c r="F5" s="144">
        <f>'Samenvatting mixen'!B83</f>
        <v>6.9222715134591023E-2</v>
      </c>
      <c r="G5" s="144">
        <f t="shared" si="0"/>
        <v>-2.5540476398819179E-2</v>
      </c>
      <c r="W5" s="133" t="str">
        <f t="shared" ref="W5:W10" si="1">A5</f>
        <v>Emerging market debt</v>
      </c>
      <c r="X5" s="134">
        <f t="shared" ref="X5:X10" si="2">B5/SUM($B$4:$B$10)</f>
        <v>0.2132001376855808</v>
      </c>
    </row>
    <row r="6" spans="1:24">
      <c r="A6" s="143" t="str">
        <f>Scenarios!A7</f>
        <v>Aandelen ontwikkeld</v>
      </c>
      <c r="B6" s="303">
        <v>0.10281340879516217</v>
      </c>
      <c r="C6" s="303">
        <v>7.4999999999999997E-2</v>
      </c>
      <c r="D6" s="218">
        <v>0.3</v>
      </c>
      <c r="E6" s="145">
        <v>0.99</v>
      </c>
      <c r="F6" s="144">
        <f>'Samenvatting mixen'!B84</f>
        <v>8.0585503117667059E-2</v>
      </c>
      <c r="G6" s="144">
        <f t="shared" si="0"/>
        <v>-2.2227905677495108E-2</v>
      </c>
      <c r="H6" s="305"/>
      <c r="W6" s="133" t="str">
        <f t="shared" si="1"/>
        <v>Aandelen ontwikkeld</v>
      </c>
      <c r="X6" s="134">
        <f t="shared" si="2"/>
        <v>0.23131167868406277</v>
      </c>
    </row>
    <row r="7" spans="1:24">
      <c r="A7" s="143" t="str">
        <f>Scenarios!A8</f>
        <v>Aandelen opkomend</v>
      </c>
      <c r="B7" s="303">
        <v>5.1014363077869621E-2</v>
      </c>
      <c r="C7" s="303">
        <v>2.5000000000000001E-2</v>
      </c>
      <c r="D7" s="218">
        <v>0.15</v>
      </c>
      <c r="E7" s="145">
        <v>0.99</v>
      </c>
      <c r="F7" s="144">
        <f>'Samenvatting mixen'!B85</f>
        <v>4.8572327433171678E-2</v>
      </c>
      <c r="G7" s="144">
        <f t="shared" si="0"/>
        <v>-2.442035644697943E-3</v>
      </c>
      <c r="H7" s="305"/>
      <c r="W7" s="133" t="str">
        <f t="shared" si="1"/>
        <v>Aandelen opkomend</v>
      </c>
      <c r="X7" s="134">
        <f t="shared" si="2"/>
        <v>0.11477314193569998</v>
      </c>
    </row>
    <row r="8" spans="1:24">
      <c r="A8" s="143" t="str">
        <f>Scenarios!A9</f>
        <v>Commodities</v>
      </c>
      <c r="B8" s="218">
        <v>2.0731266317763185E-2</v>
      </c>
      <c r="C8" s="303">
        <v>0</v>
      </c>
      <c r="D8" s="218">
        <v>0.1</v>
      </c>
      <c r="E8" s="145">
        <v>0.99</v>
      </c>
      <c r="F8" s="144">
        <f>'Samenvatting mixen'!B86</f>
        <v>6.0115475147098668E-2</v>
      </c>
      <c r="G8" s="144">
        <f t="shared" si="0"/>
        <v>3.9384208829335479E-2</v>
      </c>
      <c r="H8" s="305"/>
      <c r="W8" s="133" t="str">
        <f t="shared" si="1"/>
        <v>Commodities</v>
      </c>
      <c r="X8" s="134">
        <f t="shared" si="2"/>
        <v>4.6641620673837786E-2</v>
      </c>
    </row>
    <row r="9" spans="1:24">
      <c r="A9" s="143" t="str">
        <f>Scenarios!A10</f>
        <v>Hedge funds</v>
      </c>
      <c r="B9" s="218">
        <v>3.0634868515694261E-2</v>
      </c>
      <c r="C9" s="303">
        <f>B9</f>
        <v>3.0634868515694261E-2</v>
      </c>
      <c r="D9" s="218">
        <f>C9</f>
        <v>3.0634868515694261E-2</v>
      </c>
      <c r="E9" s="145">
        <v>0.99</v>
      </c>
      <c r="F9" s="144">
        <f>'Samenvatting mixen'!B87</f>
        <v>3.0634868515694108E-2</v>
      </c>
      <c r="G9" s="144">
        <f t="shared" si="0"/>
        <v>-1.5265566588595902E-16</v>
      </c>
      <c r="W9" s="133" t="str">
        <f t="shared" si="1"/>
        <v>Hedge funds</v>
      </c>
      <c r="X9" s="134">
        <f t="shared" si="2"/>
        <v>6.8922944445396303E-2</v>
      </c>
    </row>
    <row r="10" spans="1:24" ht="15.75" thickBot="1">
      <c r="A10" s="139" t="str">
        <f>Scenarios!A11</f>
        <v>Onroerend goed</v>
      </c>
      <c r="B10" s="219">
        <v>4.6750473476693526E-2</v>
      </c>
      <c r="C10" s="304">
        <f>B10</f>
        <v>4.6750473476693526E-2</v>
      </c>
      <c r="D10" s="219">
        <f>C10</f>
        <v>4.6750473476693526E-2</v>
      </c>
      <c r="E10" s="147">
        <v>0.99</v>
      </c>
      <c r="F10" s="146">
        <f>'Samenvatting mixen'!B88</f>
        <v>4.6750473476693123E-2</v>
      </c>
      <c r="G10" s="146">
        <f t="shared" si="0"/>
        <v>-4.0245584642661925E-16</v>
      </c>
      <c r="W10" s="133" t="str">
        <f t="shared" si="1"/>
        <v>Onroerend goed</v>
      </c>
      <c r="X10" s="134">
        <f t="shared" si="2"/>
        <v>0.10518015719830481</v>
      </c>
    </row>
    <row r="11" spans="1:24" ht="15.75" thickBot="1">
      <c r="A11" s="148" t="s">
        <v>89</v>
      </c>
      <c r="B11" s="149">
        <f>Scenarios!C12</f>
        <v>9.982328688488358E-2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41" t="s">
        <v>144</v>
      </c>
      <c r="B15" s="334">
        <f t="array" ref="B15">+MMULT(TRANSPOSE(F3:F10),MMULT(k,F3:F10))^(0.5)</f>
        <v>9.8349590216636779E-2</v>
      </c>
      <c r="C15" s="338"/>
      <c r="D15" s="338"/>
      <c r="E15" s="338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382">
        <f>+B11</f>
        <v>9.982328688488358E-2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87" t="s">
        <v>98</v>
      </c>
      <c r="C200" s="385"/>
      <c r="D200" s="385"/>
      <c r="E200" s="386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C49" sqref="C49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301" t="s">
        <v>79</v>
      </c>
      <c r="C2" s="13" t="s">
        <v>79</v>
      </c>
      <c r="D2" s="302" t="s">
        <v>116</v>
      </c>
      <c r="E2" s="389" t="s">
        <v>117</v>
      </c>
      <c r="F2" s="389"/>
      <c r="G2" s="389"/>
      <c r="H2" s="389"/>
      <c r="I2" s="389"/>
      <c r="J2" s="389"/>
      <c r="K2" s="389"/>
      <c r="L2" s="390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0.55552002657163746</v>
      </c>
      <c r="C4" s="178">
        <v>0</v>
      </c>
      <c r="D4" s="223">
        <v>4.345014939985381E-2</v>
      </c>
      <c r="E4" s="220">
        <v>0.99999999999999989</v>
      </c>
      <c r="F4" s="221">
        <v>0.52433002849962862</v>
      </c>
      <c r="G4" s="221">
        <v>0.50486215833038961</v>
      </c>
      <c r="H4" s="221">
        <v>0.25487540297217309</v>
      </c>
      <c r="I4" s="221">
        <v>0.29680815083804041</v>
      </c>
      <c r="J4" s="221">
        <v>0.25154461105240933</v>
      </c>
      <c r="K4" s="221">
        <v>0.48821318968101901</v>
      </c>
      <c r="L4" s="222">
        <v>0.39542795937264941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9.7772401711769694E-2</v>
      </c>
      <c r="C5" s="178">
        <v>0.03</v>
      </c>
      <c r="D5" s="223">
        <v>0.15853561014014847</v>
      </c>
      <c r="E5" s="223">
        <v>0.5243300284996284</v>
      </c>
      <c r="F5" s="224">
        <v>1</v>
      </c>
      <c r="G5" s="224">
        <v>0.94338322745767289</v>
      </c>
      <c r="H5" s="224">
        <v>0.74070013517974964</v>
      </c>
      <c r="I5" s="224">
        <v>0.74187676376193956</v>
      </c>
      <c r="J5" s="224">
        <v>0.60846903584875156</v>
      </c>
      <c r="K5" s="224">
        <v>0.86668583493806206</v>
      </c>
      <c r="L5" s="225">
        <v>0.86259221475724557</v>
      </c>
      <c r="S5" s="84"/>
      <c r="T5" s="6"/>
      <c r="U5" s="85"/>
    </row>
    <row r="6" spans="1:21">
      <c r="A6" s="102" t="s">
        <v>6</v>
      </c>
      <c r="B6" s="106">
        <f>'Control panel'!B5</f>
        <v>9.4763191533410202E-2</v>
      </c>
      <c r="C6" s="178">
        <v>3.1398195419985959E-2</v>
      </c>
      <c r="D6" s="223">
        <v>0.16217253275473525</v>
      </c>
      <c r="E6" s="223">
        <v>0.50486215833038939</v>
      </c>
      <c r="F6" s="224">
        <v>0.943383227457673</v>
      </c>
      <c r="G6" s="224">
        <v>1</v>
      </c>
      <c r="H6" s="224">
        <v>0.77223648924957744</v>
      </c>
      <c r="I6" s="224">
        <v>0.79023745754825636</v>
      </c>
      <c r="J6" s="224">
        <v>0.63110682083437419</v>
      </c>
      <c r="K6" s="224">
        <v>0.87120901203593171</v>
      </c>
      <c r="L6" s="225">
        <v>0.86536847063850975</v>
      </c>
      <c r="S6" s="84"/>
      <c r="T6" s="6"/>
      <c r="U6" s="85"/>
    </row>
    <row r="7" spans="1:21">
      <c r="A7" s="102" t="s">
        <v>7</v>
      </c>
      <c r="B7" s="106">
        <f>'Control panel'!B6</f>
        <v>0.10281340879516217</v>
      </c>
      <c r="C7" s="178">
        <v>5.6592124614748239E-2</v>
      </c>
      <c r="D7" s="223">
        <v>0.28718972670468956</v>
      </c>
      <c r="E7" s="223">
        <v>0.2548754029721732</v>
      </c>
      <c r="F7" s="224">
        <v>0.74070013517974975</v>
      </c>
      <c r="G7" s="224">
        <v>0.77223648924957744</v>
      </c>
      <c r="H7" s="224">
        <v>1</v>
      </c>
      <c r="I7" s="224">
        <v>0.81106497730540505</v>
      </c>
      <c r="J7" s="224">
        <v>0.69909036020626758</v>
      </c>
      <c r="K7" s="224">
        <v>0.74571542163255744</v>
      </c>
      <c r="L7" s="225">
        <v>0.88603334197313832</v>
      </c>
      <c r="S7" s="84"/>
      <c r="T7" s="6"/>
      <c r="U7" s="85"/>
    </row>
    <row r="8" spans="1:21">
      <c r="A8" s="102" t="s">
        <v>8</v>
      </c>
      <c r="B8" s="106">
        <f>'Control panel'!B7</f>
        <v>5.1014363077869621E-2</v>
      </c>
      <c r="C8" s="178">
        <v>5.6149706770970371E-2</v>
      </c>
      <c r="D8" s="223">
        <v>0.29616397669669142</v>
      </c>
      <c r="E8" s="223">
        <v>0.29680815083804063</v>
      </c>
      <c r="F8" s="224">
        <v>0.74187676376193967</v>
      </c>
      <c r="G8" s="224">
        <v>0.79023745754825636</v>
      </c>
      <c r="H8" s="224">
        <v>0.81106497730540505</v>
      </c>
      <c r="I8" s="224">
        <v>0.99999999999999978</v>
      </c>
      <c r="J8" s="224">
        <v>0.63944069654526292</v>
      </c>
      <c r="K8" s="224">
        <v>0.64591301484464436</v>
      </c>
      <c r="L8" s="225">
        <v>0.78448428807756676</v>
      </c>
      <c r="S8" s="84"/>
      <c r="T8" s="6"/>
      <c r="U8" s="85"/>
    </row>
    <row r="9" spans="1:21">
      <c r="A9" s="102" t="s">
        <v>9</v>
      </c>
      <c r="B9" s="106">
        <f>'Control panel'!B8</f>
        <v>2.0731266317763185E-2</v>
      </c>
      <c r="C9" s="178">
        <v>5.16958277280853E-2</v>
      </c>
      <c r="D9" s="223">
        <v>0.32648216646211403</v>
      </c>
      <c r="E9" s="223">
        <v>0.25154461105240938</v>
      </c>
      <c r="F9" s="224">
        <v>0.60846903584875167</v>
      </c>
      <c r="G9" s="224">
        <v>0.6311068208343743</v>
      </c>
      <c r="H9" s="224">
        <v>0.69909036020626758</v>
      </c>
      <c r="I9" s="224">
        <v>0.63944069654526281</v>
      </c>
      <c r="J9" s="224">
        <v>0.99999999999999978</v>
      </c>
      <c r="K9" s="224">
        <v>0.57555638609831095</v>
      </c>
      <c r="L9" s="225">
        <v>0.6706441294402975</v>
      </c>
      <c r="S9" s="84"/>
      <c r="T9" s="6"/>
      <c r="U9" s="85"/>
    </row>
    <row r="10" spans="1:21">
      <c r="A10" s="102" t="s">
        <v>10</v>
      </c>
      <c r="B10" s="106">
        <f>'Control panel'!B9</f>
        <v>3.0634868515694261E-2</v>
      </c>
      <c r="C10" s="178">
        <v>2.8296106893951258E-2</v>
      </c>
      <c r="D10" s="223">
        <v>0.16076897495152093</v>
      </c>
      <c r="E10" s="223">
        <v>0.48821318968101907</v>
      </c>
      <c r="F10" s="224">
        <v>0.86668583493806206</v>
      </c>
      <c r="G10" s="224">
        <v>0.87120901203593182</v>
      </c>
      <c r="H10" s="224">
        <v>0.74571542163255744</v>
      </c>
      <c r="I10" s="224">
        <v>0.64591301484464425</v>
      </c>
      <c r="J10" s="224">
        <v>0.57555638609831083</v>
      </c>
      <c r="K10" s="224">
        <v>1.0000000000000002</v>
      </c>
      <c r="L10" s="225">
        <v>0.79740125449060317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4.6750473476693526E-2</v>
      </c>
      <c r="C11" s="179">
        <v>3.9623116873055711E-2</v>
      </c>
      <c r="D11" s="226">
        <v>0.20064050365322861</v>
      </c>
      <c r="E11" s="226">
        <v>0.39542795937264957</v>
      </c>
      <c r="F11" s="227">
        <v>0.86259221475724557</v>
      </c>
      <c r="G11" s="227">
        <v>0.86536847063850963</v>
      </c>
      <c r="H11" s="227">
        <v>0.88603334197313832</v>
      </c>
      <c r="I11" s="227">
        <v>0.78448428807756676</v>
      </c>
      <c r="J11" s="227">
        <v>0.67064412944029761</v>
      </c>
      <c r="K11" s="227">
        <v>0.79740125449060328</v>
      </c>
      <c r="L11" s="228">
        <v>1.0000000000000002</v>
      </c>
    </row>
    <row r="12" spans="1:21">
      <c r="A12" s="84"/>
      <c r="B12" s="110" t="s">
        <v>89</v>
      </c>
      <c r="C12" s="85">
        <v>9.982328688488358E-2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8"/>
      <c r="H17" s="388"/>
      <c r="I17" s="388"/>
      <c r="J17" s="388"/>
    </row>
    <row r="18" spans="1:24">
      <c r="D18" s="98"/>
      <c r="E18" s="98"/>
      <c r="S18" s="84"/>
      <c r="T18" s="388"/>
      <c r="U18" s="388"/>
      <c r="V18" s="388"/>
      <c r="W18" s="388"/>
      <c r="X18" s="388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293">
        <v>-3.2445168309994665E-3</v>
      </c>
      <c r="D24" s="293">
        <v>-1.0761362748873404E-3</v>
      </c>
      <c r="E24" s="293">
        <v>-3.4179872754884488E-3</v>
      </c>
      <c r="F24" s="293">
        <v>-2.5720358328627513E-2</v>
      </c>
      <c r="G24" s="293">
        <v>-0.26287574291051119</v>
      </c>
      <c r="H24" s="294">
        <v>-3.2441343963196256E-3</v>
      </c>
      <c r="I24" s="368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293">
        <v>3.2492969125133414E-2</v>
      </c>
      <c r="D25" s="293">
        <v>-8.65324500372157E-2</v>
      </c>
      <c r="E25" s="293">
        <v>5.1526244290784291E-2</v>
      </c>
      <c r="F25" s="293">
        <v>-0.43934344866388231</v>
      </c>
      <c r="G25" s="293">
        <v>-0.41627425662388229</v>
      </c>
      <c r="H25" s="294">
        <v>0.27529934429078429</v>
      </c>
      <c r="I25" s="178">
        <f t="shared" ref="I25:I31" si="1">+SUMPRODUCT(B25:H25,$B$33:$H$33)</f>
        <v>3.2492969125133414E-2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3.1398195419985959E-2</v>
      </c>
      <c r="C26" s="293">
        <v>1.45681608513176E-2</v>
      </c>
      <c r="D26" s="293">
        <v>-2.1111513867647543E-2</v>
      </c>
      <c r="E26" s="293">
        <v>3.2357333960853253E-3</v>
      </c>
      <c r="F26" s="293">
        <v>-0.41802644813429485</v>
      </c>
      <c r="G26" s="293">
        <v>-0.17149574156312622</v>
      </c>
      <c r="H26" s="294">
        <v>0.25817653707968463</v>
      </c>
      <c r="I26" s="178">
        <f t="shared" si="1"/>
        <v>1.45681608513176E-2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5.6592124614748239E-2</v>
      </c>
      <c r="C27" s="293">
        <v>-1.272492445230269E-2</v>
      </c>
      <c r="D27" s="293">
        <v>-0.19311368459773193</v>
      </c>
      <c r="E27" s="293">
        <v>4.3944352615336905E-2</v>
      </c>
      <c r="F27" s="293">
        <v>-0.5992014650452413</v>
      </c>
      <c r="G27" s="293">
        <v>-0.47126055414190038</v>
      </c>
      <c r="H27" s="294">
        <v>0.40935864013329615</v>
      </c>
      <c r="I27" s="178">
        <f t="shared" si="1"/>
        <v>-1.272492445230269E-2</v>
      </c>
      <c r="J27" s="76"/>
    </row>
    <row r="28" spans="1:24">
      <c r="A28" s="18" t="s">
        <v>8</v>
      </c>
      <c r="B28" s="21">
        <f t="shared" si="0"/>
        <v>5.6149706770970371E-2</v>
      </c>
      <c r="C28" s="293">
        <v>5.7893485302571407E-2</v>
      </c>
      <c r="D28" s="293">
        <v>-6.9261756645690273E-2</v>
      </c>
      <c r="E28" s="293">
        <v>7.474963400472559E-2</v>
      </c>
      <c r="F28" s="293">
        <v>-0.42661422498990775</v>
      </c>
      <c r="G28" s="293">
        <v>-0.26558788944909251</v>
      </c>
      <c r="H28" s="294">
        <v>0.37672139820686834</v>
      </c>
      <c r="I28" s="178">
        <f t="shared" si="1"/>
        <v>5.7893485302571407E-2</v>
      </c>
      <c r="J28" s="94"/>
      <c r="U28" s="95"/>
    </row>
    <row r="29" spans="1:24">
      <c r="A29" s="18" t="s">
        <v>9</v>
      </c>
      <c r="B29" s="21">
        <f t="shared" si="0"/>
        <v>5.16958277280853E-2</v>
      </c>
      <c r="C29" s="293">
        <v>9.5036056352725468E-2</v>
      </c>
      <c r="D29" s="293">
        <v>1.202667991596415E-2</v>
      </c>
      <c r="E29" s="293">
        <v>8.5249207175964209E-2</v>
      </c>
      <c r="F29" s="293">
        <v>-0.52128297967070236</v>
      </c>
      <c r="G29" s="293">
        <v>-0.54077311463070243</v>
      </c>
      <c r="H29" s="294">
        <v>0.621322616702631</v>
      </c>
      <c r="I29" s="178">
        <f t="shared" si="1"/>
        <v>9.5036056352725468E-2</v>
      </c>
      <c r="J29" s="96"/>
      <c r="U29" s="95"/>
    </row>
    <row r="30" spans="1:24">
      <c r="A30" s="18" t="s">
        <v>10</v>
      </c>
      <c r="B30" s="21">
        <f t="shared" si="0"/>
        <v>2.8296106893951258E-2</v>
      </c>
      <c r="C30" s="293">
        <v>1.8730269708989476E-2</v>
      </c>
      <c r="D30" s="293">
        <v>-4.6790508294452839E-2</v>
      </c>
      <c r="E30" s="293">
        <v>1.8215216611987023E-2</v>
      </c>
      <c r="F30" s="293">
        <v>-0.25630468560846492</v>
      </c>
      <c r="G30" s="293">
        <v>-6.931471876793301E-3</v>
      </c>
      <c r="H30" s="294">
        <v>0.28021842301080391</v>
      </c>
      <c r="I30" s="178">
        <f t="shared" si="1"/>
        <v>1.8730269708989476E-2</v>
      </c>
      <c r="J30" s="96"/>
      <c r="U30" s="95"/>
    </row>
    <row r="31" spans="1:24" ht="13.5" thickBot="1">
      <c r="A31" s="22" t="s">
        <v>11</v>
      </c>
      <c r="B31" s="25">
        <f t="shared" si="0"/>
        <v>3.9623116873055711E-2</v>
      </c>
      <c r="C31" s="295">
        <v>-5.9825766089863959E-3</v>
      </c>
      <c r="D31" s="295">
        <v>-0.13956067047136589</v>
      </c>
      <c r="E31" s="295">
        <v>2.7964399001126676E-2</v>
      </c>
      <c r="F31" s="295">
        <v>-0.45200242221105646</v>
      </c>
      <c r="G31" s="295">
        <v>-0.48031312669988807</v>
      </c>
      <c r="H31" s="296">
        <v>0.41038049782760322</v>
      </c>
      <c r="I31" s="369">
        <f t="shared" si="1"/>
        <v>-5.9825766089863959E-3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7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300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7" t="s">
        <v>129</v>
      </c>
      <c r="B35" s="308">
        <f>Optimalisatie!B15</f>
        <v>0</v>
      </c>
      <c r="C35" s="307">
        <f>SUMPRODUCT(C24:C31,'Control panel'!$F$3:$F$10)</f>
        <v>9.7682076790236595E-3</v>
      </c>
      <c r="D35" s="307">
        <f>SUMPRODUCT(D24:D31,'Control panel'!$F$3:$F$10)</f>
        <v>-3.579964507671772E-2</v>
      </c>
      <c r="E35" s="307">
        <f>SUMPRODUCT(E24:E31,'Control panel'!$F$3:$F$10)</f>
        <v>1.6914100093857666E-2</v>
      </c>
      <c r="F35" s="307">
        <f>SUMPRODUCT(F24:F31,'Control panel'!$F$3:$F$10)</f>
        <v>-0.21146576233380218</v>
      </c>
      <c r="G35" s="307">
        <f>SUMPRODUCT(G24:G31,'Control panel'!$F$3:$F$10)</f>
        <v>-0.30590022218637747</v>
      </c>
      <c r="H35" s="307">
        <f>SUMPRODUCT(H24:H31,'Control panel'!$F$3:$F$10)</f>
        <v>0.15644788891259703</v>
      </c>
      <c r="I35" s="309">
        <f>SUMPRODUCT(I24:I31,'Control panel'!$F$3:$F$10)</f>
        <v>9.7682076790236595E-3</v>
      </c>
    </row>
    <row r="38" spans="1:21" ht="13.5" thickBot="1"/>
    <row r="39" spans="1:21" ht="13.5" thickBot="1">
      <c r="A39" s="298" t="s">
        <v>119</v>
      </c>
      <c r="B39" s="299">
        <v>8</v>
      </c>
    </row>
    <row r="40" spans="1:21" ht="13.5" thickBot="1">
      <c r="A40" s="298" t="s">
        <v>145</v>
      </c>
      <c r="B40" s="299">
        <v>8</v>
      </c>
    </row>
    <row r="44" spans="1:21" ht="13.5" thickBot="1">
      <c r="C44" s="362" t="s">
        <v>148</v>
      </c>
      <c r="D44" s="292"/>
      <c r="E44" s="292"/>
      <c r="F44" s="292"/>
      <c r="G44" s="292"/>
      <c r="H44" s="292"/>
    </row>
    <row r="45" spans="1:21" ht="13.5" thickBot="1">
      <c r="A45" s="292"/>
      <c r="B45" s="292"/>
      <c r="C45" s="288" t="s">
        <v>112</v>
      </c>
      <c r="D45" s="288" t="s">
        <v>126</v>
      </c>
      <c r="E45" s="288" t="s">
        <v>127</v>
      </c>
      <c r="F45" s="288" t="s">
        <v>113</v>
      </c>
      <c r="G45" s="288" t="s">
        <v>114</v>
      </c>
      <c r="H45" s="289" t="s">
        <v>128</v>
      </c>
      <c r="I45" s="292"/>
    </row>
    <row r="46" spans="1:21">
      <c r="A46" s="292"/>
      <c r="B46" s="292"/>
      <c r="C46" s="363">
        <v>-1.8278501643327824E-3</v>
      </c>
      <c r="D46" s="363">
        <v>-8.3588621306752015E-3</v>
      </c>
      <c r="E46" s="363">
        <v>1.4376558188383924E-3</v>
      </c>
      <c r="F46" s="363">
        <v>-2.0604509567567153E-2</v>
      </c>
      <c r="G46" s="363">
        <v>-0.27327160808286638</v>
      </c>
      <c r="H46" s="364">
        <v>1.8717143647405954E-3</v>
      </c>
      <c r="I46" s="292"/>
    </row>
    <row r="47" spans="1:21">
      <c r="A47" s="292"/>
      <c r="B47" s="292"/>
      <c r="C47" s="363">
        <v>1.7755802056853877E-2</v>
      </c>
      <c r="D47" s="363">
        <v>-7.1450317109812783E-2</v>
      </c>
      <c r="E47" s="363">
        <v>9.9922050236853827E-2</v>
      </c>
      <c r="F47" s="363">
        <v>-0.40234371147647946</v>
      </c>
      <c r="G47" s="363">
        <v>-0.41624465647647951</v>
      </c>
      <c r="H47" s="364">
        <v>0.31144182690352051</v>
      </c>
      <c r="I47" s="292"/>
    </row>
    <row r="48" spans="1:21">
      <c r="A48" s="292"/>
      <c r="B48" s="292"/>
      <c r="C48" s="363">
        <v>2.4095859002887784E-2</v>
      </c>
      <c r="D48" s="363">
        <v>-5.2630677807847914E-2</v>
      </c>
      <c r="E48" s="363">
        <v>4.5771750914075364E-2</v>
      </c>
      <c r="F48" s="363">
        <v>-0.39719411345955147</v>
      </c>
      <c r="G48" s="363">
        <v>-0.17860398021235152</v>
      </c>
      <c r="H48" s="364">
        <v>0.2801756404130179</v>
      </c>
      <c r="I48" s="292"/>
    </row>
    <row r="49" spans="1:9">
      <c r="A49" s="292"/>
      <c r="B49" s="292"/>
      <c r="C49" s="363">
        <v>-2.6391451656497394E-3</v>
      </c>
      <c r="D49" s="363">
        <v>-0.19512687848593468</v>
      </c>
      <c r="E49" s="363">
        <v>8.918969122838788E-2</v>
      </c>
      <c r="F49" s="363">
        <v>-0.5628013453934434</v>
      </c>
      <c r="G49" s="363">
        <v>-0.46447856989823566</v>
      </c>
      <c r="H49" s="364">
        <v>0.45156602820227343</v>
      </c>
      <c r="I49" s="292"/>
    </row>
    <row r="50" spans="1:9">
      <c r="A50" s="292"/>
      <c r="B50" s="292"/>
      <c r="C50" s="363">
        <v>7.5254893945081197E-2</v>
      </c>
      <c r="D50" s="363">
        <v>-7.9881478458451574E-2</v>
      </c>
      <c r="E50" s="363">
        <v>0.15365069945175694</v>
      </c>
      <c r="F50" s="363">
        <v>-0.39124920785250294</v>
      </c>
      <c r="G50" s="363">
        <v>-0.25955043219214274</v>
      </c>
      <c r="H50" s="364">
        <v>0.41480121988631424</v>
      </c>
      <c r="I50" s="292"/>
    </row>
    <row r="51" spans="1:9">
      <c r="A51" s="292"/>
      <c r="B51" s="292"/>
      <c r="C51" s="363">
        <v>6.2036265615280854E-2</v>
      </c>
      <c r="D51" s="363">
        <v>-3.284707730570241E-2</v>
      </c>
      <c r="E51" s="363">
        <v>0.10991050604096422</v>
      </c>
      <c r="F51" s="363">
        <v>-0.527954509512369</v>
      </c>
      <c r="G51" s="363">
        <v>-0.56384711463070247</v>
      </c>
      <c r="H51" s="364">
        <v>0.65436153607763092</v>
      </c>
      <c r="I51" s="292"/>
    </row>
    <row r="52" spans="1:9">
      <c r="A52" s="292"/>
      <c r="B52" s="292"/>
      <c r="C52" s="363">
        <v>1.4591619612606042E-2</v>
      </c>
      <c r="D52" s="363">
        <v>-6.6050814940221969E-2</v>
      </c>
      <c r="E52" s="363">
        <v>5.2412836889020015E-2</v>
      </c>
      <c r="F52" s="363">
        <v>-0.23066484290463032</v>
      </c>
      <c r="G52" s="363">
        <v>-9.3346284848618948E-3</v>
      </c>
      <c r="H52" s="364">
        <v>0.30889090504194383</v>
      </c>
      <c r="I52" s="292"/>
    </row>
    <row r="53" spans="1:9" ht="13.5" thickBot="1">
      <c r="A53" s="292"/>
      <c r="B53" s="292"/>
      <c r="C53" s="365">
        <v>1.0171029512307597E-3</v>
      </c>
      <c r="D53" s="365">
        <v>-0.14420836692556077</v>
      </c>
      <c r="E53" s="365">
        <v>6.7667954145598314E-2</v>
      </c>
      <c r="F53" s="365">
        <v>-0.42122995880386094</v>
      </c>
      <c r="G53" s="365">
        <v>-0.47665217132586252</v>
      </c>
      <c r="H53" s="366">
        <v>0.43571794524441654</v>
      </c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B59" s="292"/>
      <c r="C59" s="292"/>
      <c r="D59" s="292"/>
      <c r="E59" s="292"/>
      <c r="F59" s="292"/>
      <c r="G59" s="292"/>
      <c r="H59" s="292"/>
      <c r="I59" s="292"/>
    </row>
    <row r="60" spans="1:9">
      <c r="B60" s="292"/>
      <c r="C60" s="292"/>
      <c r="D60" s="292"/>
      <c r="E60" s="292"/>
      <c r="F60" s="292"/>
      <c r="G60" s="292"/>
      <c r="H60" s="292"/>
      <c r="I60" s="292"/>
    </row>
    <row r="61" spans="1:9">
      <c r="B61" s="292"/>
      <c r="C61" s="292"/>
      <c r="D61" s="292"/>
      <c r="E61" s="292"/>
      <c r="F61" s="292"/>
      <c r="G61" s="292"/>
      <c r="H61" s="292"/>
      <c r="I61" s="292"/>
    </row>
    <row r="62" spans="1:9">
      <c r="B62" s="292"/>
      <c r="C62" s="292"/>
      <c r="D62" s="292"/>
      <c r="E62" s="292"/>
      <c r="F62" s="292"/>
      <c r="G62" s="292"/>
      <c r="H62" s="292"/>
      <c r="I62" s="292"/>
    </row>
    <row r="63" spans="1:9">
      <c r="B63" s="292"/>
      <c r="C63" s="292"/>
      <c r="D63" s="292"/>
      <c r="E63" s="292"/>
      <c r="F63" s="292"/>
      <c r="G63" s="292"/>
      <c r="H63" s="292"/>
      <c r="I63" s="292"/>
    </row>
    <row r="64" spans="1:9">
      <c r="B64" s="292"/>
      <c r="C64" s="292"/>
      <c r="D64" s="292"/>
      <c r="E64" s="292"/>
      <c r="F64" s="292"/>
      <c r="G64" s="292"/>
      <c r="H64" s="292"/>
      <c r="I64" s="292"/>
    </row>
    <row r="65" spans="2:9">
      <c r="B65" s="292"/>
      <c r="C65" s="292"/>
      <c r="D65" s="292"/>
      <c r="E65" s="292"/>
      <c r="F65" s="292"/>
      <c r="G65" s="292"/>
      <c r="H65" s="292"/>
      <c r="I65" s="292"/>
    </row>
    <row r="66" spans="2:9">
      <c r="B66" s="292"/>
      <c r="C66" s="292"/>
      <c r="D66" s="292"/>
      <c r="E66" s="292"/>
      <c r="F66" s="292"/>
      <c r="G66" s="292"/>
      <c r="H66" s="292"/>
      <c r="I66" s="292"/>
    </row>
    <row r="67" spans="2:9">
      <c r="B67" s="292"/>
      <c r="C67" s="292"/>
      <c r="D67" s="292"/>
      <c r="E67" s="292"/>
      <c r="F67" s="292"/>
      <c r="G67" s="292"/>
      <c r="H67" s="292"/>
      <c r="I67" s="292"/>
    </row>
    <row r="68" spans="2:9">
      <c r="B68" s="292"/>
      <c r="C68" s="292"/>
      <c r="D68" s="292"/>
      <c r="E68" s="292"/>
      <c r="F68" s="292"/>
      <c r="G68" s="292"/>
      <c r="H68" s="292"/>
      <c r="I68" s="292"/>
    </row>
    <row r="69" spans="2:9">
      <c r="B69" s="292"/>
      <c r="C69" s="292"/>
      <c r="D69" s="292"/>
      <c r="E69" s="292"/>
      <c r="F69" s="292"/>
      <c r="G69" s="292"/>
      <c r="H69" s="292"/>
      <c r="I69" s="292"/>
    </row>
    <row r="70" spans="2:9">
      <c r="B70" s="292"/>
      <c r="C70" s="292"/>
      <c r="D70" s="292"/>
      <c r="E70" s="292"/>
      <c r="F70" s="292"/>
      <c r="G70" s="292"/>
      <c r="H70" s="292"/>
      <c r="I70" s="292"/>
    </row>
    <row r="71" spans="2:9">
      <c r="B71" s="292"/>
      <c r="C71" s="292"/>
      <c r="D71" s="292"/>
      <c r="E71" s="292"/>
      <c r="F71" s="292"/>
      <c r="G71" s="292"/>
      <c r="H71" s="292"/>
      <c r="I71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92" t="s">
        <v>3</v>
      </c>
      <c r="E3" s="392"/>
      <c r="F3" s="392"/>
      <c r="G3" s="392"/>
      <c r="H3" s="392"/>
      <c r="I3" s="392"/>
      <c r="J3" s="392"/>
      <c r="K3" s="393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4.345014939985381E-2</v>
      </c>
      <c r="D4" s="111">
        <f>Scenarios!E4</f>
        <v>0.99999999999999989</v>
      </c>
      <c r="E4" s="112">
        <f>Scenarios!F4</f>
        <v>0.52433002849962862</v>
      </c>
      <c r="F4" s="112">
        <f>Scenarios!G4</f>
        <v>0.50486215833038961</v>
      </c>
      <c r="G4" s="112">
        <f>Scenarios!H4</f>
        <v>0.25487540297217309</v>
      </c>
      <c r="H4" s="112">
        <f>Scenarios!I4</f>
        <v>0.29680815083804041</v>
      </c>
      <c r="I4" s="112">
        <f>Scenarios!J4</f>
        <v>0.25154461105240933</v>
      </c>
      <c r="J4" s="112">
        <f>Scenarios!K4</f>
        <v>0.48821318968101901</v>
      </c>
      <c r="K4" s="113">
        <f>Scenarios!L4</f>
        <v>0.39542795937264941</v>
      </c>
      <c r="L4" s="239" t="s">
        <v>120</v>
      </c>
      <c r="N4" s="36">
        <f t="array" ref="N4:U11">+D4:K11*TRANSPOSE(C4:C11)*C4:C11</f>
        <v>1.887915482869616E-3</v>
      </c>
      <c r="O4" s="36">
        <v>3.6117928425709253E-3</v>
      </c>
      <c r="P4" s="36">
        <v>3.5574712018520516E-3</v>
      </c>
      <c r="Q4" s="36">
        <v>3.1804465394088544E-3</v>
      </c>
      <c r="R4" s="36">
        <v>3.819436817379819E-3</v>
      </c>
      <c r="S4" s="36">
        <v>3.568336114612949E-3</v>
      </c>
      <c r="T4" s="36">
        <v>3.4103819813548729E-3</v>
      </c>
      <c r="U4" s="36">
        <v>3.4472855342971773E-3</v>
      </c>
    </row>
    <row r="5" spans="1:21">
      <c r="A5" s="41" t="s">
        <v>5</v>
      </c>
      <c r="B5" s="42">
        <f>Scenarios!B25</f>
        <v>0.03</v>
      </c>
      <c r="C5" s="42">
        <f>Scenarios!D5</f>
        <v>0.15853561014014847</v>
      </c>
      <c r="D5" s="111">
        <f>Scenarios!E5</f>
        <v>0.5243300284996284</v>
      </c>
      <c r="E5" s="112">
        <f>Scenarios!F5</f>
        <v>1</v>
      </c>
      <c r="F5" s="112">
        <f>Scenarios!G5</f>
        <v>0.94338322745767289</v>
      </c>
      <c r="G5" s="112">
        <f>Scenarios!H5</f>
        <v>0.74070013517974964</v>
      </c>
      <c r="H5" s="112">
        <f>Scenarios!I5</f>
        <v>0.74187676376193956</v>
      </c>
      <c r="I5" s="112">
        <f>Scenarios!J5</f>
        <v>0.60846903584875156</v>
      </c>
      <c r="J5" s="112">
        <f>Scenarios!K5</f>
        <v>0.86668583493806206</v>
      </c>
      <c r="K5" s="113">
        <f>Scenarios!L5</f>
        <v>0.86259221475724557</v>
      </c>
      <c r="N5" s="36">
        <v>3.6117928425709236E-3</v>
      </c>
      <c r="O5" s="36">
        <v>2.5133539682509146E-2</v>
      </c>
      <c r="P5" s="36">
        <v>2.42544973313066E-2</v>
      </c>
      <c r="Q5" s="36">
        <v>3.3723927940032879E-2</v>
      </c>
      <c r="R5" s="36">
        <v>3.4832996012383759E-2</v>
      </c>
      <c r="S5" s="36">
        <v>3.149377892134287E-2</v>
      </c>
      <c r="T5" s="36">
        <v>2.2089748417517992E-2</v>
      </c>
      <c r="U5" s="36">
        <v>2.7437906502276666E-2</v>
      </c>
    </row>
    <row r="6" spans="1:21">
      <c r="A6" s="41" t="s">
        <v>6</v>
      </c>
      <c r="B6" s="42">
        <f>Scenarios!B26</f>
        <v>3.1398195419985959E-2</v>
      </c>
      <c r="C6" s="42">
        <f>Scenarios!D6</f>
        <v>0.16217253275473525</v>
      </c>
      <c r="D6" s="111">
        <f>Scenarios!E6</f>
        <v>0.50486215833038939</v>
      </c>
      <c r="E6" s="112">
        <f>Scenarios!F6</f>
        <v>0.943383227457673</v>
      </c>
      <c r="F6" s="112">
        <f>Scenarios!G6</f>
        <v>1</v>
      </c>
      <c r="G6" s="112">
        <f>Scenarios!H6</f>
        <v>0.77223648924957744</v>
      </c>
      <c r="H6" s="112">
        <f>Scenarios!I6</f>
        <v>0.79023745754825636</v>
      </c>
      <c r="I6" s="112">
        <f>Scenarios!J6</f>
        <v>0.63110682083437419</v>
      </c>
      <c r="J6" s="112">
        <f>Scenarios!K6</f>
        <v>0.87120901203593171</v>
      </c>
      <c r="K6" s="113">
        <f>Scenarios!L6</f>
        <v>0.86536847063850975</v>
      </c>
      <c r="N6" s="36">
        <v>3.5574712018520502E-3</v>
      </c>
      <c r="O6" s="36">
        <v>2.42544973313066E-2</v>
      </c>
      <c r="P6" s="36">
        <v>2.6299930380085677E-2</v>
      </c>
      <c r="Q6" s="36">
        <v>3.5966362616362865E-2</v>
      </c>
      <c r="R6" s="36">
        <v>3.7954838153009651E-2</v>
      </c>
      <c r="S6" s="36">
        <v>3.3414859318395565E-2</v>
      </c>
      <c r="T6" s="36">
        <v>2.271443305379434E-2</v>
      </c>
      <c r="U6" s="36">
        <v>2.8157686969952241E-2</v>
      </c>
    </row>
    <row r="7" spans="1:21">
      <c r="A7" s="41" t="s">
        <v>7</v>
      </c>
      <c r="B7" s="42">
        <f>Scenarios!B27</f>
        <v>5.6592124614748239E-2</v>
      </c>
      <c r="C7" s="42">
        <f>Scenarios!D7</f>
        <v>0.28718972670468956</v>
      </c>
      <c r="D7" s="111">
        <f>Scenarios!E7</f>
        <v>0.2548754029721732</v>
      </c>
      <c r="E7" s="112">
        <f>Scenarios!F7</f>
        <v>0.74070013517974975</v>
      </c>
      <c r="F7" s="112">
        <f>Scenarios!G7</f>
        <v>0.77223648924957744</v>
      </c>
      <c r="G7" s="112">
        <f>Scenarios!H7</f>
        <v>1</v>
      </c>
      <c r="H7" s="112">
        <f>Scenarios!I7</f>
        <v>0.81106497730540505</v>
      </c>
      <c r="I7" s="112">
        <f>Scenarios!J7</f>
        <v>0.69909036020626758</v>
      </c>
      <c r="J7" s="112">
        <f>Scenarios!K7</f>
        <v>0.74571542163255744</v>
      </c>
      <c r="K7" s="113">
        <f>Scenarios!L7</f>
        <v>0.88603334197313832</v>
      </c>
      <c r="N7" s="36">
        <v>3.1804465394088561E-3</v>
      </c>
      <c r="O7" s="36">
        <v>3.3723927940032886E-2</v>
      </c>
      <c r="P7" s="36">
        <v>3.5966362616362865E-2</v>
      </c>
      <c r="Q7" s="36">
        <v>8.2477939124714281E-2</v>
      </c>
      <c r="R7" s="36">
        <v>6.8985335649692545E-2</v>
      </c>
      <c r="S7" s="36">
        <v>6.5548336970937676E-2</v>
      </c>
      <c r="T7" s="36">
        <v>3.4430574368130892E-2</v>
      </c>
      <c r="U7" s="36">
        <v>5.1054917016870496E-2</v>
      </c>
    </row>
    <row r="8" spans="1:21">
      <c r="A8" s="41" t="s">
        <v>8</v>
      </c>
      <c r="B8" s="42">
        <f>Scenarios!B28</f>
        <v>5.6149706770970371E-2</v>
      </c>
      <c r="C8" s="42">
        <f>Scenarios!D8</f>
        <v>0.29616397669669142</v>
      </c>
      <c r="D8" s="111">
        <f>Scenarios!E8</f>
        <v>0.29680815083804063</v>
      </c>
      <c r="E8" s="112">
        <f>Scenarios!F8</f>
        <v>0.74187676376193967</v>
      </c>
      <c r="F8" s="112">
        <f>Scenarios!G8</f>
        <v>0.79023745754825636</v>
      </c>
      <c r="G8" s="112">
        <f>Scenarios!H8</f>
        <v>0.81106497730540505</v>
      </c>
      <c r="H8" s="112">
        <f>Scenarios!I8</f>
        <v>0.99999999999999978</v>
      </c>
      <c r="I8" s="112">
        <f>Scenarios!J8</f>
        <v>0.63944069654526292</v>
      </c>
      <c r="J8" s="112">
        <f>Scenarios!K8</f>
        <v>0.64591301484464436</v>
      </c>
      <c r="K8" s="113">
        <f>Scenarios!L8</f>
        <v>0.78448428807756676</v>
      </c>
      <c r="N8" s="36">
        <v>3.8194368173798217E-3</v>
      </c>
      <c r="O8" s="36">
        <v>3.4832996012383766E-2</v>
      </c>
      <c r="P8" s="36">
        <v>3.7954838153009651E-2</v>
      </c>
      <c r="Q8" s="36">
        <v>6.8985335649692545E-2</v>
      </c>
      <c r="R8" s="36">
        <v>8.7713101092798368E-2</v>
      </c>
      <c r="S8" s="36">
        <v>6.1828964000340367E-2</v>
      </c>
      <c r="T8" s="36">
        <v>3.0754488693050051E-2</v>
      </c>
      <c r="U8" s="36">
        <v>4.6616009330699086E-2</v>
      </c>
    </row>
    <row r="9" spans="1:21">
      <c r="A9" s="41" t="s">
        <v>9</v>
      </c>
      <c r="B9" s="42">
        <f>Scenarios!B29</f>
        <v>5.16958277280853E-2</v>
      </c>
      <c r="C9" s="42">
        <f>Scenarios!D9</f>
        <v>0.32648216646211403</v>
      </c>
      <c r="D9" s="111">
        <f>Scenarios!E9</f>
        <v>0.25154461105240938</v>
      </c>
      <c r="E9" s="112">
        <f>Scenarios!F9</f>
        <v>0.60846903584875167</v>
      </c>
      <c r="F9" s="112">
        <f>Scenarios!G9</f>
        <v>0.6311068208343743</v>
      </c>
      <c r="G9" s="112">
        <f>Scenarios!H9</f>
        <v>0.69909036020626758</v>
      </c>
      <c r="H9" s="112">
        <f>Scenarios!I9</f>
        <v>0.63944069654526281</v>
      </c>
      <c r="I9" s="112">
        <f>Scenarios!J9</f>
        <v>0.99999999999999978</v>
      </c>
      <c r="J9" s="112">
        <f>Scenarios!K9</f>
        <v>0.57555638609831095</v>
      </c>
      <c r="K9" s="113">
        <f>Scenarios!L9</f>
        <v>0.6706441294402975</v>
      </c>
      <c r="N9" s="36">
        <v>3.5683361146129494E-3</v>
      </c>
      <c r="O9" s="36">
        <v>3.1493778921342877E-2</v>
      </c>
      <c r="P9" s="36">
        <v>3.3414859318395572E-2</v>
      </c>
      <c r="Q9" s="36">
        <v>6.5548336970937676E-2</v>
      </c>
      <c r="R9" s="36">
        <v>6.182896400034036E-2</v>
      </c>
      <c r="S9" s="36">
        <v>0.10659060501779552</v>
      </c>
      <c r="T9" s="36">
        <v>3.0209920570797095E-2</v>
      </c>
      <c r="U9" s="36">
        <v>4.3930910080429195E-2</v>
      </c>
    </row>
    <row r="10" spans="1:21">
      <c r="A10" s="41" t="s">
        <v>10</v>
      </c>
      <c r="B10" s="42">
        <f>Scenarios!B30</f>
        <v>2.8296106893951258E-2</v>
      </c>
      <c r="C10" s="42">
        <f>Scenarios!D10</f>
        <v>0.16076897495152093</v>
      </c>
      <c r="D10" s="111">
        <f>Scenarios!E10</f>
        <v>0.48821318968101907</v>
      </c>
      <c r="E10" s="112">
        <f>Scenarios!F10</f>
        <v>0.86668583493806206</v>
      </c>
      <c r="F10" s="112">
        <f>Scenarios!G10</f>
        <v>0.87120901203593182</v>
      </c>
      <c r="G10" s="112">
        <f>Scenarios!H10</f>
        <v>0.74571542163255744</v>
      </c>
      <c r="H10" s="112">
        <f>Scenarios!I10</f>
        <v>0.64591301484464425</v>
      </c>
      <c r="I10" s="112">
        <f>Scenarios!J10</f>
        <v>0.57555638609831083</v>
      </c>
      <c r="J10" s="112">
        <f>Scenarios!K10</f>
        <v>1.0000000000000002</v>
      </c>
      <c r="K10" s="113">
        <f>Scenarios!L10</f>
        <v>0.79740125449060317</v>
      </c>
      <c r="N10" s="36">
        <v>3.4103819813548733E-3</v>
      </c>
      <c r="O10" s="36">
        <v>2.2089748417517995E-2</v>
      </c>
      <c r="P10" s="36">
        <v>2.2714433053794343E-2</v>
      </c>
      <c r="Q10" s="36">
        <v>3.4430574368130892E-2</v>
      </c>
      <c r="R10" s="36">
        <v>3.0754488693050048E-2</v>
      </c>
      <c r="S10" s="36">
        <v>3.0209920570797091E-2</v>
      </c>
      <c r="T10" s="36">
        <v>2.5846663306962767E-2</v>
      </c>
      <c r="U10" s="36">
        <v>2.5721587353605819E-2</v>
      </c>
    </row>
    <row r="11" spans="1:21" ht="13.5" thickBot="1">
      <c r="A11" s="43" t="s">
        <v>11</v>
      </c>
      <c r="B11" s="44">
        <f>Scenarios!B31</f>
        <v>3.9623116873055711E-2</v>
      </c>
      <c r="C11" s="44">
        <f>Scenarios!D11</f>
        <v>0.20064050365322861</v>
      </c>
      <c r="D11" s="114">
        <f>Scenarios!E11</f>
        <v>0.39542795937264957</v>
      </c>
      <c r="E11" s="115">
        <f>Scenarios!F11</f>
        <v>0.86259221475724557</v>
      </c>
      <c r="F11" s="115">
        <f>Scenarios!G11</f>
        <v>0.86536847063850963</v>
      </c>
      <c r="G11" s="115">
        <f>Scenarios!H11</f>
        <v>0.88603334197313832</v>
      </c>
      <c r="H11" s="115">
        <f>Scenarios!I11</f>
        <v>0.78448428807756676</v>
      </c>
      <c r="I11" s="115">
        <f>Scenarios!J11</f>
        <v>0.67064412944029761</v>
      </c>
      <c r="J11" s="115">
        <f>Scenarios!K11</f>
        <v>0.79740125449060328</v>
      </c>
      <c r="K11" s="116">
        <f>Scenarios!L11</f>
        <v>1.0000000000000002</v>
      </c>
      <c r="N11" s="36">
        <v>3.447285534297179E-3</v>
      </c>
      <c r="O11" s="36">
        <v>2.7437906502276666E-2</v>
      </c>
      <c r="P11" s="36">
        <v>2.8157686969952238E-2</v>
      </c>
      <c r="Q11" s="36">
        <v>5.1054917016870503E-2</v>
      </c>
      <c r="R11" s="36">
        <v>4.6616009330699093E-2</v>
      </c>
      <c r="S11" s="36">
        <v>4.3930910080429195E-2</v>
      </c>
      <c r="T11" s="36">
        <v>2.5721587353605819E-2</v>
      </c>
      <c r="U11" s="36">
        <v>4.0256611706221253E-2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91" t="s">
        <v>3</v>
      </c>
      <c r="E14" s="392"/>
      <c r="F14" s="392"/>
      <c r="G14" s="392"/>
      <c r="H14" s="392"/>
      <c r="I14" s="392"/>
      <c r="J14" s="392"/>
      <c r="K14" s="393"/>
    </row>
    <row r="15" spans="1:21">
      <c r="A15" s="41" t="s">
        <v>4</v>
      </c>
      <c r="B15" s="46">
        <f>Scenarios!C24</f>
        <v>-3.2445168309994665E-3</v>
      </c>
      <c r="C15" s="42">
        <f>C4</f>
        <v>4.345014939985381E-2</v>
      </c>
      <c r="D15" s="111">
        <f t="shared" ref="D15:K15" si="0">D4</f>
        <v>0.99999999999999989</v>
      </c>
      <c r="E15" s="112">
        <f t="shared" si="0"/>
        <v>0.52433002849962862</v>
      </c>
      <c r="F15" s="112">
        <f t="shared" si="0"/>
        <v>0.50486215833038961</v>
      </c>
      <c r="G15" s="112">
        <f t="shared" si="0"/>
        <v>0.25487540297217309</v>
      </c>
      <c r="H15" s="112">
        <f t="shared" si="0"/>
        <v>0.29680815083804041</v>
      </c>
      <c r="I15" s="112">
        <f t="shared" si="0"/>
        <v>0.25154461105240933</v>
      </c>
      <c r="J15" s="112">
        <f t="shared" si="0"/>
        <v>0.48821318968101901</v>
      </c>
      <c r="K15" s="113">
        <f t="shared" si="0"/>
        <v>0.39542795937264941</v>
      </c>
      <c r="L15" s="239" t="s">
        <v>120</v>
      </c>
    </row>
    <row r="16" spans="1:21">
      <c r="A16" s="41" t="s">
        <v>5</v>
      </c>
      <c r="B16" s="46">
        <f>Scenarios!C25</f>
        <v>3.2492969125133414E-2</v>
      </c>
      <c r="C16" s="42">
        <f t="shared" ref="C16:K16" si="1">C5</f>
        <v>0.15853561014014847</v>
      </c>
      <c r="D16" s="111">
        <f t="shared" si="1"/>
        <v>0.5243300284996284</v>
      </c>
      <c r="E16" s="112">
        <f t="shared" si="1"/>
        <v>1</v>
      </c>
      <c r="F16" s="112">
        <f t="shared" si="1"/>
        <v>0.94338322745767289</v>
      </c>
      <c r="G16" s="112">
        <f t="shared" si="1"/>
        <v>0.74070013517974964</v>
      </c>
      <c r="H16" s="112">
        <f t="shared" si="1"/>
        <v>0.74187676376193956</v>
      </c>
      <c r="I16" s="112">
        <f t="shared" si="1"/>
        <v>0.60846903584875156</v>
      </c>
      <c r="J16" s="112">
        <f t="shared" si="1"/>
        <v>0.86668583493806206</v>
      </c>
      <c r="K16" s="113">
        <f t="shared" si="1"/>
        <v>0.86259221475724557</v>
      </c>
    </row>
    <row r="17" spans="1:12">
      <c r="A17" s="41" t="s">
        <v>6</v>
      </c>
      <c r="B17" s="46">
        <f>Scenarios!C26</f>
        <v>1.45681608513176E-2</v>
      </c>
      <c r="C17" s="42">
        <f t="shared" ref="C17:K17" si="2">C6</f>
        <v>0.16217253275473525</v>
      </c>
      <c r="D17" s="111">
        <f t="shared" si="2"/>
        <v>0.50486215833038939</v>
      </c>
      <c r="E17" s="112">
        <f t="shared" si="2"/>
        <v>0.943383227457673</v>
      </c>
      <c r="F17" s="112">
        <f t="shared" si="2"/>
        <v>1</v>
      </c>
      <c r="G17" s="112">
        <f t="shared" si="2"/>
        <v>0.77223648924957744</v>
      </c>
      <c r="H17" s="112">
        <f t="shared" si="2"/>
        <v>0.79023745754825636</v>
      </c>
      <c r="I17" s="112">
        <f t="shared" si="2"/>
        <v>0.63110682083437419</v>
      </c>
      <c r="J17" s="112">
        <f t="shared" si="2"/>
        <v>0.87120901203593171</v>
      </c>
      <c r="K17" s="113">
        <f t="shared" si="2"/>
        <v>0.86536847063850975</v>
      </c>
    </row>
    <row r="18" spans="1:12">
      <c r="A18" s="41" t="s">
        <v>7</v>
      </c>
      <c r="B18" s="46">
        <f>Scenarios!C27</f>
        <v>-1.272492445230269E-2</v>
      </c>
      <c r="C18" s="42">
        <f t="shared" ref="C18:K18" si="3">C7</f>
        <v>0.28718972670468956</v>
      </c>
      <c r="D18" s="111">
        <f t="shared" si="3"/>
        <v>0.2548754029721732</v>
      </c>
      <c r="E18" s="112">
        <f t="shared" si="3"/>
        <v>0.74070013517974975</v>
      </c>
      <c r="F18" s="112">
        <f t="shared" si="3"/>
        <v>0.77223648924957744</v>
      </c>
      <c r="G18" s="112">
        <f t="shared" si="3"/>
        <v>1</v>
      </c>
      <c r="H18" s="112">
        <f t="shared" si="3"/>
        <v>0.81106497730540505</v>
      </c>
      <c r="I18" s="112">
        <f t="shared" si="3"/>
        <v>0.69909036020626758</v>
      </c>
      <c r="J18" s="112">
        <f t="shared" si="3"/>
        <v>0.74571542163255744</v>
      </c>
      <c r="K18" s="113">
        <f t="shared" si="3"/>
        <v>0.88603334197313832</v>
      </c>
    </row>
    <row r="19" spans="1:12">
      <c r="A19" s="41" t="s">
        <v>8</v>
      </c>
      <c r="B19" s="46">
        <f>Scenarios!C28</f>
        <v>5.7893485302571407E-2</v>
      </c>
      <c r="C19" s="42">
        <f t="shared" ref="C19:K19" si="4">C8</f>
        <v>0.29616397669669142</v>
      </c>
      <c r="D19" s="111">
        <f t="shared" si="4"/>
        <v>0.29680815083804063</v>
      </c>
      <c r="E19" s="112">
        <f t="shared" si="4"/>
        <v>0.74187676376193967</v>
      </c>
      <c r="F19" s="112">
        <f t="shared" si="4"/>
        <v>0.79023745754825636</v>
      </c>
      <c r="G19" s="112">
        <f t="shared" si="4"/>
        <v>0.81106497730540505</v>
      </c>
      <c r="H19" s="112">
        <f t="shared" si="4"/>
        <v>0.99999999999999978</v>
      </c>
      <c r="I19" s="112">
        <f t="shared" si="4"/>
        <v>0.63944069654526292</v>
      </c>
      <c r="J19" s="112">
        <f t="shared" si="4"/>
        <v>0.64591301484464436</v>
      </c>
      <c r="K19" s="113">
        <f t="shared" si="4"/>
        <v>0.78448428807756676</v>
      </c>
    </row>
    <row r="20" spans="1:12">
      <c r="A20" s="41" t="s">
        <v>9</v>
      </c>
      <c r="B20" s="46">
        <f>Scenarios!C29</f>
        <v>9.5036056352725468E-2</v>
      </c>
      <c r="C20" s="42">
        <f t="shared" ref="C20:K20" si="5">C9</f>
        <v>0.32648216646211403</v>
      </c>
      <c r="D20" s="111">
        <f t="shared" si="5"/>
        <v>0.25154461105240938</v>
      </c>
      <c r="E20" s="112">
        <f t="shared" si="5"/>
        <v>0.60846903584875167</v>
      </c>
      <c r="F20" s="112">
        <f t="shared" si="5"/>
        <v>0.6311068208343743</v>
      </c>
      <c r="G20" s="112">
        <f t="shared" si="5"/>
        <v>0.69909036020626758</v>
      </c>
      <c r="H20" s="112">
        <f t="shared" si="5"/>
        <v>0.63944069654526281</v>
      </c>
      <c r="I20" s="112">
        <f t="shared" si="5"/>
        <v>0.99999999999999978</v>
      </c>
      <c r="J20" s="112">
        <f t="shared" si="5"/>
        <v>0.57555638609831095</v>
      </c>
      <c r="K20" s="113">
        <f t="shared" si="5"/>
        <v>0.6706441294402975</v>
      </c>
    </row>
    <row r="21" spans="1:12">
      <c r="A21" s="41" t="s">
        <v>10</v>
      </c>
      <c r="B21" s="46">
        <f>Scenarios!C30</f>
        <v>1.8730269708989476E-2</v>
      </c>
      <c r="C21" s="42">
        <f t="shared" ref="C21:K21" si="6">C10</f>
        <v>0.16076897495152093</v>
      </c>
      <c r="D21" s="111">
        <f t="shared" si="6"/>
        <v>0.48821318968101907</v>
      </c>
      <c r="E21" s="112">
        <f t="shared" si="6"/>
        <v>0.86668583493806206</v>
      </c>
      <c r="F21" s="112">
        <f t="shared" si="6"/>
        <v>0.87120901203593182</v>
      </c>
      <c r="G21" s="112">
        <f t="shared" si="6"/>
        <v>0.74571542163255744</v>
      </c>
      <c r="H21" s="112">
        <f t="shared" si="6"/>
        <v>0.64591301484464425</v>
      </c>
      <c r="I21" s="112">
        <f t="shared" si="6"/>
        <v>0.57555638609831083</v>
      </c>
      <c r="J21" s="112">
        <f t="shared" si="6"/>
        <v>1.0000000000000002</v>
      </c>
      <c r="K21" s="113">
        <f t="shared" si="6"/>
        <v>0.79740125449060317</v>
      </c>
    </row>
    <row r="22" spans="1:12" ht="13.5" thickBot="1">
      <c r="A22" s="43" t="s">
        <v>11</v>
      </c>
      <c r="B22" s="47">
        <f>Scenarios!C31</f>
        <v>-5.9825766089863959E-3</v>
      </c>
      <c r="C22" s="44">
        <f t="shared" ref="C22:K22" si="7">C11</f>
        <v>0.20064050365322861</v>
      </c>
      <c r="D22" s="114">
        <f t="shared" si="7"/>
        <v>0.39542795937264957</v>
      </c>
      <c r="E22" s="115">
        <f t="shared" si="7"/>
        <v>0.86259221475724557</v>
      </c>
      <c r="F22" s="115">
        <f t="shared" si="7"/>
        <v>0.86536847063850963</v>
      </c>
      <c r="G22" s="115">
        <f t="shared" si="7"/>
        <v>0.88603334197313832</v>
      </c>
      <c r="H22" s="115">
        <f t="shared" si="7"/>
        <v>0.78448428807756676</v>
      </c>
      <c r="I22" s="115">
        <f t="shared" si="7"/>
        <v>0.67064412944029761</v>
      </c>
      <c r="J22" s="115">
        <f t="shared" si="7"/>
        <v>0.79740125449060328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91" t="s">
        <v>3</v>
      </c>
      <c r="E25" s="392"/>
      <c r="F25" s="392"/>
      <c r="G25" s="392"/>
      <c r="H25" s="392"/>
      <c r="I25" s="392"/>
      <c r="J25" s="392"/>
      <c r="K25" s="393"/>
    </row>
    <row r="26" spans="1:12">
      <c r="A26" s="41" t="s">
        <v>4</v>
      </c>
      <c r="B26" s="46">
        <f>Scenarios!D24</f>
        <v>-1.0761362748873404E-3</v>
      </c>
      <c r="C26" s="243">
        <f>C4</f>
        <v>4.345014939985381E-2</v>
      </c>
      <c r="D26" s="249">
        <f t="shared" ref="D26:K26" si="8">D4</f>
        <v>0.99999999999999989</v>
      </c>
      <c r="E26" s="250">
        <f t="shared" si="8"/>
        <v>0.52433002849962862</v>
      </c>
      <c r="F26" s="250">
        <f t="shared" si="8"/>
        <v>0.50486215833038961</v>
      </c>
      <c r="G26" s="250">
        <f t="shared" si="8"/>
        <v>0.25487540297217309</v>
      </c>
      <c r="H26" s="250">
        <f t="shared" si="8"/>
        <v>0.29680815083804041</v>
      </c>
      <c r="I26" s="250">
        <f t="shared" si="8"/>
        <v>0.25154461105240933</v>
      </c>
      <c r="J26" s="250">
        <f t="shared" si="8"/>
        <v>0.48821318968101901</v>
      </c>
      <c r="K26" s="251">
        <f t="shared" si="8"/>
        <v>0.39542795937264941</v>
      </c>
      <c r="L26" s="239" t="s">
        <v>120</v>
      </c>
    </row>
    <row r="27" spans="1:12">
      <c r="A27" s="41" t="s">
        <v>5</v>
      </c>
      <c r="B27" s="46">
        <f>Scenarios!D25</f>
        <v>-8.65324500372157E-2</v>
      </c>
      <c r="C27" s="243">
        <f t="shared" ref="C27:K27" si="9">C5</f>
        <v>0.15853561014014847</v>
      </c>
      <c r="D27" s="249">
        <f t="shared" si="9"/>
        <v>0.5243300284996284</v>
      </c>
      <c r="E27" s="250">
        <f t="shared" si="9"/>
        <v>1</v>
      </c>
      <c r="F27" s="250">
        <f t="shared" si="9"/>
        <v>0.94338322745767289</v>
      </c>
      <c r="G27" s="250">
        <f t="shared" si="9"/>
        <v>0.74070013517974964</v>
      </c>
      <c r="H27" s="250">
        <f t="shared" si="9"/>
        <v>0.74187676376193956</v>
      </c>
      <c r="I27" s="250">
        <f t="shared" si="9"/>
        <v>0.60846903584875156</v>
      </c>
      <c r="J27" s="250">
        <f t="shared" si="9"/>
        <v>0.86668583493806206</v>
      </c>
      <c r="K27" s="251">
        <f t="shared" si="9"/>
        <v>0.86259221475724557</v>
      </c>
    </row>
    <row r="28" spans="1:12">
      <c r="A28" s="41" t="s">
        <v>6</v>
      </c>
      <c r="B28" s="46">
        <f>Scenarios!D26</f>
        <v>-2.1111513867647543E-2</v>
      </c>
      <c r="C28" s="243">
        <f t="shared" ref="C28:K28" si="10">C6</f>
        <v>0.16217253275473525</v>
      </c>
      <c r="D28" s="249">
        <f t="shared" si="10"/>
        <v>0.50486215833038939</v>
      </c>
      <c r="E28" s="250">
        <f t="shared" si="10"/>
        <v>0.943383227457673</v>
      </c>
      <c r="F28" s="250">
        <f t="shared" si="10"/>
        <v>1</v>
      </c>
      <c r="G28" s="250">
        <f t="shared" si="10"/>
        <v>0.77223648924957744</v>
      </c>
      <c r="H28" s="250">
        <f t="shared" si="10"/>
        <v>0.79023745754825636</v>
      </c>
      <c r="I28" s="250">
        <f t="shared" si="10"/>
        <v>0.63110682083437419</v>
      </c>
      <c r="J28" s="250">
        <f t="shared" si="10"/>
        <v>0.87120901203593171</v>
      </c>
      <c r="K28" s="251">
        <f t="shared" si="10"/>
        <v>0.86536847063850975</v>
      </c>
    </row>
    <row r="29" spans="1:12">
      <c r="A29" s="41" t="s">
        <v>7</v>
      </c>
      <c r="B29" s="46">
        <f>Scenarios!D27</f>
        <v>-0.19311368459773193</v>
      </c>
      <c r="C29" s="243">
        <f t="shared" ref="C29:K29" si="11">C7</f>
        <v>0.28718972670468956</v>
      </c>
      <c r="D29" s="249">
        <f t="shared" si="11"/>
        <v>0.2548754029721732</v>
      </c>
      <c r="E29" s="250">
        <f t="shared" si="11"/>
        <v>0.74070013517974975</v>
      </c>
      <c r="F29" s="250">
        <f t="shared" si="11"/>
        <v>0.77223648924957744</v>
      </c>
      <c r="G29" s="250">
        <f t="shared" si="11"/>
        <v>1</v>
      </c>
      <c r="H29" s="250">
        <f t="shared" si="11"/>
        <v>0.81106497730540505</v>
      </c>
      <c r="I29" s="250">
        <f t="shared" si="11"/>
        <v>0.69909036020626758</v>
      </c>
      <c r="J29" s="250">
        <f t="shared" si="11"/>
        <v>0.74571542163255744</v>
      </c>
      <c r="K29" s="251">
        <f t="shared" si="11"/>
        <v>0.88603334197313832</v>
      </c>
    </row>
    <row r="30" spans="1:12">
      <c r="A30" s="41" t="s">
        <v>8</v>
      </c>
      <c r="B30" s="46">
        <f>Scenarios!D28</f>
        <v>-6.9261756645690273E-2</v>
      </c>
      <c r="C30" s="243">
        <f t="shared" ref="C30:K30" si="12">C8</f>
        <v>0.29616397669669142</v>
      </c>
      <c r="D30" s="249">
        <f t="shared" si="12"/>
        <v>0.29680815083804063</v>
      </c>
      <c r="E30" s="250">
        <f t="shared" si="12"/>
        <v>0.74187676376193967</v>
      </c>
      <c r="F30" s="250">
        <f t="shared" si="12"/>
        <v>0.79023745754825636</v>
      </c>
      <c r="G30" s="250">
        <f t="shared" si="12"/>
        <v>0.81106497730540505</v>
      </c>
      <c r="H30" s="250">
        <f t="shared" si="12"/>
        <v>0.99999999999999978</v>
      </c>
      <c r="I30" s="250">
        <f t="shared" si="12"/>
        <v>0.63944069654526292</v>
      </c>
      <c r="J30" s="250">
        <f t="shared" si="12"/>
        <v>0.64591301484464436</v>
      </c>
      <c r="K30" s="251">
        <f t="shared" si="12"/>
        <v>0.78448428807756676</v>
      </c>
    </row>
    <row r="31" spans="1:12">
      <c r="A31" s="41" t="s">
        <v>9</v>
      </c>
      <c r="B31" s="46">
        <f>Scenarios!D29</f>
        <v>1.202667991596415E-2</v>
      </c>
      <c r="C31" s="243">
        <f t="shared" ref="C31:K31" si="13">C9</f>
        <v>0.32648216646211403</v>
      </c>
      <c r="D31" s="249">
        <f t="shared" si="13"/>
        <v>0.25154461105240938</v>
      </c>
      <c r="E31" s="250">
        <f t="shared" si="13"/>
        <v>0.60846903584875167</v>
      </c>
      <c r="F31" s="250">
        <f t="shared" si="13"/>
        <v>0.6311068208343743</v>
      </c>
      <c r="G31" s="250">
        <f t="shared" si="13"/>
        <v>0.69909036020626758</v>
      </c>
      <c r="H31" s="250">
        <f t="shared" si="13"/>
        <v>0.63944069654526281</v>
      </c>
      <c r="I31" s="250">
        <f t="shared" si="13"/>
        <v>0.99999999999999978</v>
      </c>
      <c r="J31" s="250">
        <f t="shared" si="13"/>
        <v>0.57555638609831095</v>
      </c>
      <c r="K31" s="251">
        <f t="shared" si="13"/>
        <v>0.6706441294402975</v>
      </c>
    </row>
    <row r="32" spans="1:12">
      <c r="A32" s="41" t="s">
        <v>10</v>
      </c>
      <c r="B32" s="46">
        <f>Scenarios!D30</f>
        <v>-4.6790508294452839E-2</v>
      </c>
      <c r="C32" s="243">
        <f t="shared" ref="C32:K32" si="14">C10</f>
        <v>0.16076897495152093</v>
      </c>
      <c r="D32" s="249">
        <f t="shared" si="14"/>
        <v>0.48821318968101907</v>
      </c>
      <c r="E32" s="250">
        <f t="shared" si="14"/>
        <v>0.86668583493806206</v>
      </c>
      <c r="F32" s="250">
        <f t="shared" si="14"/>
        <v>0.87120901203593182</v>
      </c>
      <c r="G32" s="250">
        <f t="shared" si="14"/>
        <v>0.74571542163255744</v>
      </c>
      <c r="H32" s="250">
        <f t="shared" si="14"/>
        <v>0.64591301484464425</v>
      </c>
      <c r="I32" s="250">
        <f t="shared" si="14"/>
        <v>0.57555638609831083</v>
      </c>
      <c r="J32" s="250">
        <f t="shared" si="14"/>
        <v>1.0000000000000002</v>
      </c>
      <c r="K32" s="251">
        <f t="shared" si="14"/>
        <v>0.79740125449060317</v>
      </c>
    </row>
    <row r="33" spans="1:12" ht="13.5" thickBot="1">
      <c r="A33" s="43" t="s">
        <v>11</v>
      </c>
      <c r="B33" s="47">
        <f>Scenarios!D31</f>
        <v>-0.13956067047136589</v>
      </c>
      <c r="C33" s="246">
        <f t="shared" ref="C33:K33" si="15">C11</f>
        <v>0.20064050365322861</v>
      </c>
      <c r="D33" s="252">
        <f t="shared" si="15"/>
        <v>0.39542795937264957</v>
      </c>
      <c r="E33" s="253">
        <f t="shared" si="15"/>
        <v>0.86259221475724557</v>
      </c>
      <c r="F33" s="253">
        <f t="shared" si="15"/>
        <v>0.86536847063850963</v>
      </c>
      <c r="G33" s="253">
        <f t="shared" si="15"/>
        <v>0.88603334197313832</v>
      </c>
      <c r="H33" s="253">
        <f t="shared" si="15"/>
        <v>0.78448428807756676</v>
      </c>
      <c r="I33" s="253">
        <f t="shared" si="15"/>
        <v>0.67064412944029761</v>
      </c>
      <c r="J33" s="253">
        <f t="shared" si="15"/>
        <v>0.79740125449060328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91" t="s">
        <v>3</v>
      </c>
      <c r="E36" s="392"/>
      <c r="F36" s="392"/>
      <c r="G36" s="392"/>
      <c r="H36" s="392"/>
      <c r="I36" s="392"/>
      <c r="J36" s="392"/>
      <c r="K36" s="393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4.345014939985381E-2</v>
      </c>
      <c r="D37" s="249">
        <f t="shared" si="16"/>
        <v>0.99999999999999989</v>
      </c>
      <c r="E37" s="250">
        <f t="shared" si="16"/>
        <v>0.52433002849962862</v>
      </c>
      <c r="F37" s="250">
        <f t="shared" si="16"/>
        <v>0.50486215833038961</v>
      </c>
      <c r="G37" s="250">
        <f t="shared" si="16"/>
        <v>0.25487540297217309</v>
      </c>
      <c r="H37" s="250">
        <f t="shared" si="16"/>
        <v>0.29680815083804041</v>
      </c>
      <c r="I37" s="250">
        <f t="shared" si="16"/>
        <v>0.25154461105240933</v>
      </c>
      <c r="J37" s="250">
        <f t="shared" si="16"/>
        <v>0.48821318968101901</v>
      </c>
      <c r="K37" s="251">
        <f t="shared" si="16"/>
        <v>0.39542795937264941</v>
      </c>
      <c r="L37" s="239" t="s">
        <v>120</v>
      </c>
    </row>
    <row r="38" spans="1:12">
      <c r="A38" s="41" t="s">
        <v>5</v>
      </c>
      <c r="B38" s="46">
        <f>Scenarios!E25</f>
        <v>5.1526244290784291E-2</v>
      </c>
      <c r="C38" s="243">
        <f t="shared" ref="C38:K38" si="17">C16</f>
        <v>0.15853561014014847</v>
      </c>
      <c r="D38" s="249">
        <f t="shared" si="17"/>
        <v>0.5243300284996284</v>
      </c>
      <c r="E38" s="250">
        <f t="shared" si="17"/>
        <v>1</v>
      </c>
      <c r="F38" s="250">
        <f t="shared" si="17"/>
        <v>0.94338322745767289</v>
      </c>
      <c r="G38" s="250">
        <f t="shared" si="17"/>
        <v>0.74070013517974964</v>
      </c>
      <c r="H38" s="250">
        <f t="shared" si="17"/>
        <v>0.74187676376193956</v>
      </c>
      <c r="I38" s="250">
        <f t="shared" si="17"/>
        <v>0.60846903584875156</v>
      </c>
      <c r="J38" s="250">
        <f t="shared" si="17"/>
        <v>0.86668583493806206</v>
      </c>
      <c r="K38" s="251">
        <f t="shared" si="17"/>
        <v>0.86259221475724557</v>
      </c>
    </row>
    <row r="39" spans="1:12">
      <c r="A39" s="41" t="s">
        <v>6</v>
      </c>
      <c r="B39" s="46">
        <f>Scenarios!E26</f>
        <v>3.2357333960853253E-3</v>
      </c>
      <c r="C39" s="243">
        <f t="shared" ref="C39:K39" si="18">C17</f>
        <v>0.16217253275473525</v>
      </c>
      <c r="D39" s="249">
        <f t="shared" si="18"/>
        <v>0.50486215833038939</v>
      </c>
      <c r="E39" s="250">
        <f t="shared" si="18"/>
        <v>0.943383227457673</v>
      </c>
      <c r="F39" s="250">
        <f t="shared" si="18"/>
        <v>1</v>
      </c>
      <c r="G39" s="250">
        <f t="shared" si="18"/>
        <v>0.77223648924957744</v>
      </c>
      <c r="H39" s="250">
        <f t="shared" si="18"/>
        <v>0.79023745754825636</v>
      </c>
      <c r="I39" s="250">
        <f t="shared" si="18"/>
        <v>0.63110682083437419</v>
      </c>
      <c r="J39" s="250">
        <f t="shared" si="18"/>
        <v>0.87120901203593171</v>
      </c>
      <c r="K39" s="251">
        <f t="shared" si="18"/>
        <v>0.86536847063850975</v>
      </c>
    </row>
    <row r="40" spans="1:12">
      <c r="A40" s="41" t="s">
        <v>7</v>
      </c>
      <c r="B40" s="46">
        <f>Scenarios!E27</f>
        <v>4.3944352615336905E-2</v>
      </c>
      <c r="C40" s="243">
        <f t="shared" ref="C40:K40" si="19">C18</f>
        <v>0.28718972670468956</v>
      </c>
      <c r="D40" s="249">
        <f t="shared" si="19"/>
        <v>0.2548754029721732</v>
      </c>
      <c r="E40" s="250">
        <f t="shared" si="19"/>
        <v>0.74070013517974975</v>
      </c>
      <c r="F40" s="250">
        <f t="shared" si="19"/>
        <v>0.77223648924957744</v>
      </c>
      <c r="G40" s="250">
        <f t="shared" si="19"/>
        <v>1</v>
      </c>
      <c r="H40" s="250">
        <f t="shared" si="19"/>
        <v>0.81106497730540505</v>
      </c>
      <c r="I40" s="250">
        <f t="shared" si="19"/>
        <v>0.69909036020626758</v>
      </c>
      <c r="J40" s="250">
        <f t="shared" si="19"/>
        <v>0.74571542163255744</v>
      </c>
      <c r="K40" s="251">
        <f t="shared" si="19"/>
        <v>0.88603334197313832</v>
      </c>
    </row>
    <row r="41" spans="1:12">
      <c r="A41" s="41" t="s">
        <v>8</v>
      </c>
      <c r="B41" s="46">
        <f>Scenarios!E28</f>
        <v>7.474963400472559E-2</v>
      </c>
      <c r="C41" s="243">
        <f t="shared" ref="C41:K41" si="20">C19</f>
        <v>0.29616397669669142</v>
      </c>
      <c r="D41" s="249">
        <f t="shared" si="20"/>
        <v>0.29680815083804063</v>
      </c>
      <c r="E41" s="250">
        <f t="shared" si="20"/>
        <v>0.74187676376193967</v>
      </c>
      <c r="F41" s="250">
        <f t="shared" si="20"/>
        <v>0.79023745754825636</v>
      </c>
      <c r="G41" s="250">
        <f t="shared" si="20"/>
        <v>0.81106497730540505</v>
      </c>
      <c r="H41" s="250">
        <f t="shared" si="20"/>
        <v>0.99999999999999978</v>
      </c>
      <c r="I41" s="250">
        <f t="shared" si="20"/>
        <v>0.63944069654526292</v>
      </c>
      <c r="J41" s="250">
        <f t="shared" si="20"/>
        <v>0.64591301484464436</v>
      </c>
      <c r="K41" s="251">
        <f t="shared" si="20"/>
        <v>0.78448428807756676</v>
      </c>
    </row>
    <row r="42" spans="1:12">
      <c r="A42" s="41" t="s">
        <v>9</v>
      </c>
      <c r="B42" s="46">
        <f>Scenarios!E29</f>
        <v>8.5249207175964209E-2</v>
      </c>
      <c r="C42" s="243">
        <f t="shared" ref="C42:K42" si="21">C20</f>
        <v>0.32648216646211403</v>
      </c>
      <c r="D42" s="249">
        <f t="shared" si="21"/>
        <v>0.25154461105240938</v>
      </c>
      <c r="E42" s="250">
        <f t="shared" si="21"/>
        <v>0.60846903584875167</v>
      </c>
      <c r="F42" s="250">
        <f t="shared" si="21"/>
        <v>0.6311068208343743</v>
      </c>
      <c r="G42" s="250">
        <f t="shared" si="21"/>
        <v>0.69909036020626758</v>
      </c>
      <c r="H42" s="250">
        <f t="shared" si="21"/>
        <v>0.63944069654526281</v>
      </c>
      <c r="I42" s="250">
        <f t="shared" si="21"/>
        <v>0.99999999999999978</v>
      </c>
      <c r="J42" s="250">
        <f t="shared" si="21"/>
        <v>0.57555638609831095</v>
      </c>
      <c r="K42" s="251">
        <f t="shared" si="21"/>
        <v>0.6706441294402975</v>
      </c>
    </row>
    <row r="43" spans="1:12">
      <c r="A43" s="41" t="s">
        <v>10</v>
      </c>
      <c r="B43" s="46">
        <f>Scenarios!E30</f>
        <v>1.8215216611987023E-2</v>
      </c>
      <c r="C43" s="243">
        <f t="shared" ref="C43:K43" si="22">C21</f>
        <v>0.16076897495152093</v>
      </c>
      <c r="D43" s="249">
        <f t="shared" si="22"/>
        <v>0.48821318968101907</v>
      </c>
      <c r="E43" s="250">
        <f t="shared" si="22"/>
        <v>0.86668583493806206</v>
      </c>
      <c r="F43" s="250">
        <f t="shared" si="22"/>
        <v>0.87120901203593182</v>
      </c>
      <c r="G43" s="250">
        <f t="shared" si="22"/>
        <v>0.74571542163255744</v>
      </c>
      <c r="H43" s="250">
        <f t="shared" si="22"/>
        <v>0.64591301484464425</v>
      </c>
      <c r="I43" s="250">
        <f t="shared" si="22"/>
        <v>0.57555638609831083</v>
      </c>
      <c r="J43" s="250">
        <f t="shared" si="22"/>
        <v>1.0000000000000002</v>
      </c>
      <c r="K43" s="251">
        <f t="shared" si="22"/>
        <v>0.79740125449060317</v>
      </c>
    </row>
    <row r="44" spans="1:12" ht="13.5" thickBot="1">
      <c r="A44" s="43" t="s">
        <v>11</v>
      </c>
      <c r="B44" s="47">
        <f>Scenarios!E31</f>
        <v>2.7964399001126676E-2</v>
      </c>
      <c r="C44" s="246">
        <f t="shared" ref="C44:K44" si="23">C22</f>
        <v>0.20064050365322861</v>
      </c>
      <c r="D44" s="252">
        <f t="shared" si="23"/>
        <v>0.39542795937264957</v>
      </c>
      <c r="E44" s="253">
        <f t="shared" si="23"/>
        <v>0.86259221475724557</v>
      </c>
      <c r="F44" s="253">
        <f t="shared" si="23"/>
        <v>0.86536847063850963</v>
      </c>
      <c r="G44" s="253">
        <f t="shared" si="23"/>
        <v>0.88603334197313832</v>
      </c>
      <c r="H44" s="253">
        <f t="shared" si="23"/>
        <v>0.78448428807756676</v>
      </c>
      <c r="I44" s="253">
        <f t="shared" si="23"/>
        <v>0.67064412944029761</v>
      </c>
      <c r="J44" s="253">
        <f t="shared" si="23"/>
        <v>0.79740125449060328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94" t="s">
        <v>3</v>
      </c>
      <c r="E47" s="395"/>
      <c r="F47" s="395"/>
      <c r="G47" s="395"/>
      <c r="H47" s="395"/>
      <c r="I47" s="395"/>
      <c r="J47" s="395"/>
      <c r="K47" s="396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-0.43934344866388231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-0.41802644813429485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-0.5992014650452413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-0.42661422498990775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-0.52128297967070236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-0.25630468560846492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-0.45200242221105646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91" t="s">
        <v>3</v>
      </c>
      <c r="E58" s="392"/>
      <c r="F58" s="392"/>
      <c r="G58" s="392"/>
      <c r="H58" s="392"/>
      <c r="I58" s="392"/>
      <c r="J58" s="392"/>
      <c r="K58" s="393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-0.41627425662388229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-0.17149574156312622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-0.47126055414190038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-0.26558788944909251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-0.54077311463070243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-6.931471876793301E-3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-0.48031312669988807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91" t="s">
        <v>3</v>
      </c>
      <c r="E69" s="392"/>
      <c r="F69" s="392"/>
      <c r="G69" s="392"/>
      <c r="H69" s="392"/>
      <c r="I69" s="392"/>
      <c r="J69" s="392"/>
      <c r="K69" s="393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0.27529934429078429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0.25817653707968463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0.40935864013329615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0.37672139820686834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0.621322616702631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0.28021842301080391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0.41038049782760322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tabSelected="1" zoomScale="80" zoomScaleNormal="80" workbookViewId="0">
      <selection activeCell="Q26" sqref="Q26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97" t="s">
        <v>16</v>
      </c>
      <c r="D2" s="398"/>
      <c r="E2" s="399" t="s">
        <v>17</v>
      </c>
      <c r="F2" s="400"/>
      <c r="G2" s="401" t="s">
        <v>33</v>
      </c>
      <c r="H2" s="402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0.55000000000000004</v>
      </c>
      <c r="D4" s="16">
        <f>'Control panel'!D3</f>
        <v>0.65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0.2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0.15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0.1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3.0634868515694261E-2</v>
      </c>
      <c r="D10" s="20">
        <f>'Control panel'!D9</f>
        <v>3.0634868515694261E-2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4.6750473476693526E-2</v>
      </c>
      <c r="D11" s="24">
        <f>'Control panel'!D10</f>
        <v>4.6750473476693526E-2</v>
      </c>
      <c r="E11" s="24">
        <v>0</v>
      </c>
      <c r="F11" s="24">
        <v>1</v>
      </c>
      <c r="G11" s="25">
        <f>'Control panel'!B10</f>
        <v>4.6750473476693526E-2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D33" sqref="D33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9.982328688488358E-2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9.982328688488358E-2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61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9.982328688488358E-2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61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9.982328688488358E-2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61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9.982328688488358E-2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61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9.982328688488358E-2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61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9.982328688488358E-2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9.982328688488358E-2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workbookViewId="0">
      <selection activeCell="M80" sqref="M8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403" t="s">
        <v>64</v>
      </c>
      <c r="E2" s="404"/>
      <c r="F2" s="405"/>
      <c r="G2" s="403" t="s">
        <v>65</v>
      </c>
      <c r="H2" s="404"/>
      <c r="I2" s="404"/>
      <c r="J2" s="404"/>
      <c r="K2" s="404"/>
      <c r="L2" s="404"/>
      <c r="M2" s="404"/>
      <c r="N2" s="404"/>
      <c r="O2" s="405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0.4646985944140728</v>
      </c>
      <c r="H3" s="272">
        <v>0.35541667073986005</v>
      </c>
      <c r="I3" s="272">
        <v>0.17786872678824162</v>
      </c>
      <c r="J3" s="272">
        <v>1.9298330746966297E-3</v>
      </c>
      <c r="K3" s="272">
        <v>8.6174983130349325E-5</v>
      </c>
      <c r="L3" s="272">
        <v>0</v>
      </c>
      <c r="M3" s="272" t="s">
        <v>147</v>
      </c>
      <c r="N3" s="272" t="s">
        <v>147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0.58869968202864609</v>
      </c>
      <c r="C4" s="54">
        <v>1.1399848442167593E-2</v>
      </c>
      <c r="D4" s="55">
        <v>0.58124654345623461</v>
      </c>
      <c r="E4" s="1">
        <v>0.58826591528196392</v>
      </c>
      <c r="F4" s="56">
        <v>0.59714953295699535</v>
      </c>
      <c r="G4" s="2">
        <v>-0.41721778814478888</v>
      </c>
      <c r="H4" s="2">
        <v>-0.36473766984652711</v>
      </c>
      <c r="I4" s="2">
        <v>0.12713841896771011</v>
      </c>
      <c r="J4" s="2">
        <v>0.24069064349483679</v>
      </c>
      <c r="K4" s="2">
        <v>1</v>
      </c>
      <c r="L4" s="2">
        <v>1</v>
      </c>
      <c r="M4" s="2" t="s">
        <v>147</v>
      </c>
      <c r="N4" s="2" t="s">
        <v>147</v>
      </c>
      <c r="O4" s="57"/>
      <c r="R4" s="51" t="str">
        <f>A4</f>
        <v>Nominale matching</v>
      </c>
      <c r="S4" s="52">
        <f>D4</f>
        <v>0.58124654345623461</v>
      </c>
      <c r="T4" s="52">
        <f>B4-D4</f>
        <v>7.4531385724114774E-3</v>
      </c>
      <c r="U4" s="52">
        <f>F4-B4</f>
        <v>8.4498509283492673E-3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9.3924802086796516E-2</v>
      </c>
      <c r="C5" s="54">
        <v>2.166392103913722E-2</v>
      </c>
      <c r="D5" s="55">
        <v>7.8241841099571413E-2</v>
      </c>
      <c r="E5" s="1">
        <v>9.1667198293103158E-2</v>
      </c>
      <c r="F5" s="56">
        <v>0.10743190588699554</v>
      </c>
      <c r="G5" s="2">
        <v>1</v>
      </c>
      <c r="H5" s="2">
        <v>-0.15127512814272129</v>
      </c>
      <c r="I5" s="2">
        <v>-0.22081238694687363</v>
      </c>
      <c r="J5" s="2">
        <v>-0.13909939469886673</v>
      </c>
      <c r="K5" s="2">
        <v>0.24797224817747957</v>
      </c>
      <c r="L5" s="2">
        <v>0.99999999999920619</v>
      </c>
      <c r="M5" s="2" t="s">
        <v>147</v>
      </c>
      <c r="N5" s="2" t="s">
        <v>147</v>
      </c>
      <c r="O5" s="57"/>
      <c r="R5" s="51" t="str">
        <f t="shared" ref="R5:R11" si="0">A5</f>
        <v>High Yield</v>
      </c>
      <c r="S5" s="52">
        <f t="shared" ref="S5:S11" si="1">D5</f>
        <v>7.8241841099571413E-2</v>
      </c>
      <c r="T5" s="52">
        <f t="shared" ref="T5:T11" si="2">B5-D5</f>
        <v>1.5682960987225103E-2</v>
      </c>
      <c r="U5" s="52">
        <f t="shared" ref="U5:U11" si="3">F5-B5</f>
        <v>1.3507103800199025E-2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8.106335317454863E-2</v>
      </c>
      <c r="C6" s="54">
        <v>1.9354697377518909E-2</v>
      </c>
      <c r="D6" s="55">
        <v>6.5230540723158675E-2</v>
      </c>
      <c r="E6" s="1">
        <v>7.8402528376559671E-2</v>
      </c>
      <c r="F6" s="56">
        <v>9.3252769903313243E-2</v>
      </c>
      <c r="G6" s="2">
        <v>-0.13786615154939644</v>
      </c>
      <c r="H6" s="2">
        <v>1</v>
      </c>
      <c r="I6" s="2">
        <v>-9.6583750856826467E-2</v>
      </c>
      <c r="J6" s="2">
        <v>-0.15877253591587695</v>
      </c>
      <c r="K6" s="2">
        <v>0.19141051203322271</v>
      </c>
      <c r="L6" s="2">
        <v>0.99999999999914668</v>
      </c>
      <c r="M6" s="2" t="s">
        <v>147</v>
      </c>
      <c r="N6" s="2" t="s">
        <v>147</v>
      </c>
      <c r="O6" s="57"/>
      <c r="R6" s="51" t="str">
        <f t="shared" si="0"/>
        <v>Emerging market debt</v>
      </c>
      <c r="S6" s="52">
        <f t="shared" si="1"/>
        <v>6.5230540723158675E-2</v>
      </c>
      <c r="T6" s="52">
        <f t="shared" si="2"/>
        <v>1.5832812451389955E-2</v>
      </c>
      <c r="U6" s="52">
        <f t="shared" si="3"/>
        <v>1.2189416728764613E-2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0.11126197034376105</v>
      </c>
      <c r="C7" s="54">
        <v>1.4051189681484999E-2</v>
      </c>
      <c r="D7" s="55">
        <v>0.10176771845428198</v>
      </c>
      <c r="E7" s="1">
        <v>0.11088741312520137</v>
      </c>
      <c r="F7" s="56">
        <v>0.12115044543144166</v>
      </c>
      <c r="G7" s="2">
        <v>-0.39285620593167703</v>
      </c>
      <c r="H7" s="2">
        <v>-0.32760442068358664</v>
      </c>
      <c r="I7" s="2">
        <v>-0.80097179646372674</v>
      </c>
      <c r="J7" s="2">
        <v>-0.48581463352506543</v>
      </c>
      <c r="K7" s="2">
        <v>-0.44391235697914178</v>
      </c>
      <c r="L7" s="2">
        <v>0.99999999999847566</v>
      </c>
      <c r="M7" s="2" t="s">
        <v>147</v>
      </c>
      <c r="N7" s="2" t="s">
        <v>147</v>
      </c>
      <c r="O7" s="57"/>
      <c r="R7" s="51" t="str">
        <f t="shared" si="0"/>
        <v>Aandelen ontwikkeld</v>
      </c>
      <c r="S7" s="52">
        <f t="shared" si="1"/>
        <v>0.10176771845428198</v>
      </c>
      <c r="T7" s="52">
        <f t="shared" si="2"/>
        <v>9.494251889479069E-3</v>
      </c>
      <c r="U7" s="52">
        <f t="shared" si="3"/>
        <v>9.8884750876806066E-3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4.326530783204198E-2</v>
      </c>
      <c r="C8" s="54">
        <v>1.2126169524901042E-2</v>
      </c>
      <c r="D8" s="55">
        <v>3.3895417289285454E-2</v>
      </c>
      <c r="E8" s="1">
        <v>4.1172984777483532E-2</v>
      </c>
      <c r="F8" s="56">
        <v>5.0789134225209434E-2</v>
      </c>
      <c r="G8" s="2">
        <v>-5.410761430589698E-2</v>
      </c>
      <c r="H8" s="2">
        <v>-0.15288012197644474</v>
      </c>
      <c r="I8" s="2">
        <v>1</v>
      </c>
      <c r="J8" s="2">
        <v>-0.45700407935503834</v>
      </c>
      <c r="K8" s="2">
        <v>-0.41455214250532485</v>
      </c>
      <c r="L8" s="2">
        <v>0.99999999999850575</v>
      </c>
      <c r="M8" s="2" t="s">
        <v>147</v>
      </c>
      <c r="N8" s="2" t="s">
        <v>147</v>
      </c>
      <c r="O8" s="57"/>
      <c r="R8" s="51" t="str">
        <f t="shared" si="0"/>
        <v>Aandelen opkomend</v>
      </c>
      <c r="S8" s="52">
        <f t="shared" si="1"/>
        <v>3.3895417289285454E-2</v>
      </c>
      <c r="T8" s="52">
        <f t="shared" si="2"/>
        <v>9.369890542756526E-3</v>
      </c>
      <c r="U8" s="52">
        <f t="shared" si="3"/>
        <v>7.5238263931674543E-3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1.0457069791370342E-3</v>
      </c>
      <c r="C9" s="54">
        <v>1.2978899401344913E-3</v>
      </c>
      <c r="D9" s="55">
        <v>7.3962316174081634E-5</v>
      </c>
      <c r="E9" s="1">
        <v>5.0467940006468446E-4</v>
      </c>
      <c r="F9" s="56">
        <v>1.6769968023325353E-3</v>
      </c>
      <c r="G9" s="2">
        <v>2.0477599317589479E-3</v>
      </c>
      <c r="H9" s="2">
        <v>-3.5026593507202783E-3</v>
      </c>
      <c r="I9" s="2">
        <v>-8.7704847002822977E-3</v>
      </c>
      <c r="J9" s="2">
        <v>1</v>
      </c>
      <c r="K9" s="2">
        <v>-0.58091826072813535</v>
      </c>
      <c r="L9" s="2">
        <v>0.99999999999834133</v>
      </c>
      <c r="M9" s="2" t="s">
        <v>147</v>
      </c>
      <c r="N9" s="2" t="s">
        <v>147</v>
      </c>
      <c r="O9" s="57"/>
      <c r="R9" s="51" t="str">
        <f t="shared" si="0"/>
        <v>Commodities</v>
      </c>
      <c r="S9" s="52">
        <f t="shared" si="1"/>
        <v>7.3962316174081634E-5</v>
      </c>
      <c r="T9" s="52">
        <f t="shared" si="2"/>
        <v>9.7174466296295263E-4</v>
      </c>
      <c r="U9" s="52">
        <f t="shared" si="3"/>
        <v>6.3128982319550107E-4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3.2197057464982567E-2</v>
      </c>
      <c r="C10" s="54">
        <v>3.1256294505883375E-16</v>
      </c>
      <c r="D10" s="55">
        <v>3.219705746498288E-2</v>
      </c>
      <c r="E10" s="1">
        <v>3.219705746498288E-2</v>
      </c>
      <c r="F10" s="56">
        <v>3.219705746498288E-2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 t="s">
        <v>147</v>
      </c>
      <c r="N10" s="2" t="s">
        <v>147</v>
      </c>
      <c r="O10" s="57"/>
      <c r="R10" s="51" t="str">
        <f t="shared" si="0"/>
        <v>Hedge funds</v>
      </c>
      <c r="S10" s="52">
        <f t="shared" si="1"/>
        <v>3.219705746498288E-2</v>
      </c>
      <c r="T10" s="52">
        <f t="shared" si="2"/>
        <v>-3.1225022567582528E-16</v>
      </c>
      <c r="U10" s="52">
        <f t="shared" si="3"/>
        <v>3.1225022567582528E-16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4.8542120090085746E-2</v>
      </c>
      <c r="C11" s="62">
        <v>3.4729216117648195E-17</v>
      </c>
      <c r="D11" s="63">
        <v>4.8542120090085711E-2</v>
      </c>
      <c r="E11" s="61">
        <v>4.8542120090085711E-2</v>
      </c>
      <c r="F11" s="64">
        <v>4.8542120090085711E-2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>
        <v>0</v>
      </c>
      <c r="M11" s="65" t="s">
        <v>147</v>
      </c>
      <c r="N11" s="65" t="s">
        <v>147</v>
      </c>
      <c r="O11" s="66"/>
      <c r="R11" s="51" t="str">
        <f t="shared" si="0"/>
        <v>Onroerend goed</v>
      </c>
      <c r="S11" s="52">
        <f t="shared" si="1"/>
        <v>4.8542120090085711E-2</v>
      </c>
      <c r="T11" s="52">
        <f t="shared" si="2"/>
        <v>0</v>
      </c>
      <c r="U11" s="52">
        <f t="shared" si="3"/>
        <v>0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403" t="s">
        <v>64</v>
      </c>
      <c r="E13" s="404"/>
      <c r="F13" s="405"/>
      <c r="G13" s="403" t="s">
        <v>65</v>
      </c>
      <c r="H13" s="404"/>
      <c r="I13" s="404"/>
      <c r="J13" s="404"/>
      <c r="K13" s="404"/>
      <c r="L13" s="404"/>
      <c r="M13" s="404"/>
      <c r="N13" s="404"/>
      <c r="O13" s="405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0.62512169619116886</v>
      </c>
      <c r="H14" s="272">
        <v>0.25814997548510188</v>
      </c>
      <c r="I14" s="272">
        <v>0.10200443300958184</v>
      </c>
      <c r="J14" s="272">
        <v>8.2890513743258953E-3</v>
      </c>
      <c r="K14" s="272">
        <v>6.4348439398205226E-3</v>
      </c>
      <c r="L14" s="272">
        <v>0</v>
      </c>
      <c r="M14" s="272" t="s">
        <v>147</v>
      </c>
      <c r="N14" s="272" t="s">
        <v>147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0.60848087749416713</v>
      </c>
      <c r="C15" s="54">
        <v>1.4875316936215041E-2</v>
      </c>
      <c r="D15" s="55">
        <v>0.59747781542027889</v>
      </c>
      <c r="E15" s="1">
        <v>0.6095250096467062</v>
      </c>
      <c r="F15" s="56">
        <v>0.61888425703262373</v>
      </c>
      <c r="G15" s="2">
        <v>-0.60059367513907846</v>
      </c>
      <c r="H15" s="2">
        <v>3.4642794096680543E-2</v>
      </c>
      <c r="I15" s="2">
        <v>-0.41909602484825015</v>
      </c>
      <c r="J15" s="2">
        <v>-0.81644947768799003</v>
      </c>
      <c r="K15" s="2">
        <v>-0.57912747109993745</v>
      </c>
      <c r="L15" s="2">
        <v>1</v>
      </c>
      <c r="M15" s="2" t="s">
        <v>147</v>
      </c>
      <c r="N15" s="2" t="s">
        <v>147</v>
      </c>
      <c r="O15" s="57"/>
      <c r="R15" s="51" t="str">
        <f>A15</f>
        <v>Nominale matching</v>
      </c>
      <c r="S15" s="52">
        <f>D15</f>
        <v>0.59747781542027889</v>
      </c>
      <c r="T15" s="52">
        <f>B15-D15</f>
        <v>1.1003062073888237E-2</v>
      </c>
      <c r="U15" s="52">
        <f>F15-B15</f>
        <v>1.0403379538456603E-2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8.9321968820360448E-2</v>
      </c>
      <c r="C16" s="54">
        <v>2.4139937243486762E-2</v>
      </c>
      <c r="D16" s="55">
        <v>6.974408278266836E-2</v>
      </c>
      <c r="E16" s="1">
        <v>8.5311791953799732E-2</v>
      </c>
      <c r="F16" s="56">
        <v>0.10780550677564685</v>
      </c>
      <c r="G16" s="2">
        <v>1</v>
      </c>
      <c r="H16" s="2">
        <v>-0.32119645804080976</v>
      </c>
      <c r="I16" s="2">
        <v>-0.30798978909044422</v>
      </c>
      <c r="J16" s="2">
        <v>-0.33067316737400454</v>
      </c>
      <c r="K16" s="2">
        <v>5.3738457116708604E-2</v>
      </c>
      <c r="L16" s="2">
        <v>0.99999999999999467</v>
      </c>
      <c r="M16" s="2" t="s">
        <v>147</v>
      </c>
      <c r="N16" s="2" t="s">
        <v>147</v>
      </c>
      <c r="O16" s="57"/>
      <c r="R16" s="51" t="str">
        <f t="shared" ref="R16:R22" si="5">A16</f>
        <v>High Yield</v>
      </c>
      <c r="S16" s="52">
        <f t="shared" ref="S16:S22" si="6">D16</f>
        <v>6.974408278266836E-2</v>
      </c>
      <c r="T16" s="52">
        <f t="shared" ref="T16:T22" si="7">B16-D16</f>
        <v>1.9577886037692088E-2</v>
      </c>
      <c r="U16" s="52">
        <f t="shared" ref="U16:U22" si="8">F16-B16</f>
        <v>1.84835379552864E-2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6.3441864914029672E-2</v>
      </c>
      <c r="C17" s="54">
        <v>1.0612225469199908E-2</v>
      </c>
      <c r="D17" s="55">
        <v>5.5068965266086914E-2</v>
      </c>
      <c r="E17" s="1">
        <v>6.1222371735146566E-2</v>
      </c>
      <c r="F17" s="56">
        <v>6.9194656212799827E-2</v>
      </c>
      <c r="G17" s="2">
        <v>-1.0703260171210085E-2</v>
      </c>
      <c r="H17" s="2">
        <v>-0.12068131650959063</v>
      </c>
      <c r="I17" s="2">
        <v>1</v>
      </c>
      <c r="J17" s="2">
        <v>-0.31547628070300771</v>
      </c>
      <c r="K17" s="2">
        <v>-0.10966047908471627</v>
      </c>
      <c r="L17" s="2">
        <v>0.999999999999995</v>
      </c>
      <c r="M17" s="2" t="s">
        <v>147</v>
      </c>
      <c r="N17" s="2" t="s">
        <v>147</v>
      </c>
      <c r="O17" s="57"/>
      <c r="R17" s="51" t="str">
        <f t="shared" si="5"/>
        <v>Emerging market debt</v>
      </c>
      <c r="S17" s="52">
        <f t="shared" si="6"/>
        <v>5.5068965266086914E-2</v>
      </c>
      <c r="T17" s="52">
        <f t="shared" si="7"/>
        <v>8.3728996479427581E-3</v>
      </c>
      <c r="U17" s="52">
        <f t="shared" si="8"/>
        <v>5.7527912987701546E-3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7.8609831420599921E-2</v>
      </c>
      <c r="C18" s="54">
        <v>3.1262391966075526E-3</v>
      </c>
      <c r="D18" s="55">
        <v>7.625642323090015E-2</v>
      </c>
      <c r="E18" s="1">
        <v>7.781137339284537E-2</v>
      </c>
      <c r="F18" s="56">
        <v>8.0107188091375153E-2</v>
      </c>
      <c r="G18" s="2">
        <v>-1.4057315220504792E-2</v>
      </c>
      <c r="H18" s="2">
        <v>-4.4586812917465399E-2</v>
      </c>
      <c r="I18" s="2">
        <v>-7.0012117216770364E-2</v>
      </c>
      <c r="J18" s="2">
        <v>1</v>
      </c>
      <c r="K18" s="2">
        <v>-0.89721402454025545</v>
      </c>
      <c r="L18" s="2">
        <v>0.99999999999998679</v>
      </c>
      <c r="M18" s="2" t="s">
        <v>147</v>
      </c>
      <c r="N18" s="2" t="s">
        <v>147</v>
      </c>
      <c r="O18" s="57"/>
      <c r="R18" s="51" t="str">
        <f t="shared" si="5"/>
        <v>Aandelen ontwikkeld</v>
      </c>
      <c r="S18" s="52">
        <f t="shared" si="6"/>
        <v>7.625642323090015E-2</v>
      </c>
      <c r="T18" s="52">
        <f t="shared" si="7"/>
        <v>2.3534081896997711E-3</v>
      </c>
      <c r="U18" s="52">
        <f t="shared" si="8"/>
        <v>1.4973566707752323E-3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4.6880183306017301E-2</v>
      </c>
      <c r="C19" s="54">
        <v>1.6012538086971409E-2</v>
      </c>
      <c r="D19" s="55">
        <v>3.4472676260430803E-2</v>
      </c>
      <c r="E19" s="1">
        <v>4.3530362314266192E-2</v>
      </c>
      <c r="F19" s="56">
        <v>5.5046993928900625E-2</v>
      </c>
      <c r="G19" s="2">
        <v>8.7012987917170048E-2</v>
      </c>
      <c r="H19" s="2">
        <v>1</v>
      </c>
      <c r="I19" s="2">
        <v>-5.0429184845729613E-2</v>
      </c>
      <c r="J19" s="2">
        <v>0.11767018149794893</v>
      </c>
      <c r="K19" s="2">
        <v>0.53226351760820656</v>
      </c>
      <c r="L19" s="2">
        <v>0.99999999999998967</v>
      </c>
      <c r="M19" s="2" t="s">
        <v>147</v>
      </c>
      <c r="N19" s="2" t="s">
        <v>147</v>
      </c>
      <c r="O19" s="57"/>
      <c r="R19" s="51" t="str">
        <f t="shared" si="5"/>
        <v>Aandelen opkomend</v>
      </c>
      <c r="S19" s="52">
        <f t="shared" si="6"/>
        <v>3.4472676260430803E-2</v>
      </c>
      <c r="T19" s="52">
        <f t="shared" si="7"/>
        <v>1.2407507045586498E-2</v>
      </c>
      <c r="U19" s="52">
        <f t="shared" si="8"/>
        <v>8.1668106228833248E-3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3.2526096489757371E-2</v>
      </c>
      <c r="C20" s="54">
        <v>1.4092116563256464E-2</v>
      </c>
      <c r="D20" s="55">
        <v>2.3834633032890976E-2</v>
      </c>
      <c r="E20" s="1">
        <v>3.263558468987296E-2</v>
      </c>
      <c r="F20" s="56">
        <v>4.3139916370649831E-2</v>
      </c>
      <c r="G20" s="2">
        <v>-0.46165873738637686</v>
      </c>
      <c r="H20" s="2">
        <v>-0.54817820662881389</v>
      </c>
      <c r="I20" s="2">
        <v>-0.15247288399880629</v>
      </c>
      <c r="J20" s="2">
        <v>0.34492874426706871</v>
      </c>
      <c r="K20" s="2">
        <v>1</v>
      </c>
      <c r="L20" s="2">
        <v>0.99999999999998745</v>
      </c>
      <c r="M20" s="2" t="s">
        <v>147</v>
      </c>
      <c r="N20" s="2" t="s">
        <v>147</v>
      </c>
      <c r="O20" s="57"/>
      <c r="R20" s="51" t="str">
        <f t="shared" si="5"/>
        <v>Commodities</v>
      </c>
      <c r="S20" s="52">
        <f t="shared" si="6"/>
        <v>2.3834633032890976E-2</v>
      </c>
      <c r="T20" s="52">
        <f t="shared" si="7"/>
        <v>8.6914634568663954E-3</v>
      </c>
      <c r="U20" s="52">
        <f t="shared" si="8"/>
        <v>1.061381988089246E-2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3.2197057464982567E-2</v>
      </c>
      <c r="C21" s="54">
        <v>3.1256294505883375E-16</v>
      </c>
      <c r="D21" s="55">
        <v>3.219705746498288E-2</v>
      </c>
      <c r="E21" s="1">
        <v>3.219705746498288E-2</v>
      </c>
      <c r="F21" s="56">
        <v>3.219705746498288E-2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 t="s">
        <v>147</v>
      </c>
      <c r="N21" s="2" t="s">
        <v>147</v>
      </c>
      <c r="O21" s="57"/>
      <c r="R21" s="51" t="str">
        <f t="shared" si="5"/>
        <v>Hedge funds</v>
      </c>
      <c r="S21" s="52">
        <f t="shared" si="6"/>
        <v>3.219705746498288E-2</v>
      </c>
      <c r="T21" s="52">
        <f t="shared" si="7"/>
        <v>-3.1225022567582528E-16</v>
      </c>
      <c r="U21" s="52">
        <f t="shared" si="8"/>
        <v>3.1225022567582528E-16</v>
      </c>
    </row>
    <row r="22" spans="1:30">
      <c r="A22" s="60" t="str">
        <f t="shared" si="4"/>
        <v>Onroerend goed</v>
      </c>
      <c r="B22" s="286">
        <v>4.8542120090085746E-2</v>
      </c>
      <c r="C22" s="62">
        <v>3.4729216117648195E-17</v>
      </c>
      <c r="D22" s="63">
        <v>4.8542120090085711E-2</v>
      </c>
      <c r="E22" s="61">
        <v>4.8542120090085711E-2</v>
      </c>
      <c r="F22" s="64">
        <v>4.8542120090085711E-2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 t="s">
        <v>147</v>
      </c>
      <c r="N22" s="65" t="s">
        <v>147</v>
      </c>
      <c r="O22" s="66"/>
      <c r="R22" s="51" t="str">
        <f t="shared" si="5"/>
        <v>Onroerend goed</v>
      </c>
      <c r="S22" s="52">
        <f t="shared" si="6"/>
        <v>4.8542120090085711E-2</v>
      </c>
      <c r="T22" s="52">
        <f t="shared" si="7"/>
        <v>0</v>
      </c>
      <c r="U22" s="52">
        <f t="shared" si="8"/>
        <v>0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403" t="s">
        <v>64</v>
      </c>
      <c r="E24" s="404"/>
      <c r="F24" s="405"/>
      <c r="G24" s="403" t="s">
        <v>65</v>
      </c>
      <c r="H24" s="404"/>
      <c r="I24" s="404"/>
      <c r="J24" s="404"/>
      <c r="K24" s="404"/>
      <c r="L24" s="404"/>
      <c r="M24" s="404"/>
      <c r="N24" s="404"/>
      <c r="O24" s="405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0.69687573814838266</v>
      </c>
      <c r="H25" s="272">
        <v>0.22247958770924436</v>
      </c>
      <c r="I25" s="272">
        <v>4.7342281459347269E-2</v>
      </c>
      <c r="J25" s="272">
        <v>2.9078973034202038E-2</v>
      </c>
      <c r="K25" s="272">
        <v>4.2234196488276643E-3</v>
      </c>
      <c r="L25" s="272">
        <v>-2.2204460492503131E-16</v>
      </c>
      <c r="M25" s="272" t="s">
        <v>147</v>
      </c>
      <c r="N25" s="272" t="s">
        <v>147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0.63429380289218151</v>
      </c>
      <c r="C26" s="54">
        <v>1.1826112621391589E-2</v>
      </c>
      <c r="D26" s="55">
        <v>0.62656725137739477</v>
      </c>
      <c r="E26" s="1">
        <v>0.63707781663170482</v>
      </c>
      <c r="F26" s="56">
        <v>0.6439812176162476</v>
      </c>
      <c r="G26" s="68">
        <v>-0.11131868309338476</v>
      </c>
      <c r="H26" s="68">
        <v>1</v>
      </c>
      <c r="I26" s="68">
        <v>-0.24734710459877909</v>
      </c>
      <c r="J26" s="68">
        <v>-0.43551232378221277</v>
      </c>
      <c r="K26" s="68">
        <v>-0.32213618098774249</v>
      </c>
      <c r="L26" s="68">
        <v>0.99999999999999933</v>
      </c>
      <c r="M26" s="2" t="s">
        <v>147</v>
      </c>
      <c r="N26" s="2" t="s">
        <v>147</v>
      </c>
      <c r="O26" s="69"/>
      <c r="R26" s="51" t="str">
        <f>A26</f>
        <v>Nominale matching</v>
      </c>
      <c r="S26" s="52">
        <f>D26</f>
        <v>0.62656725137739477</v>
      </c>
      <c r="T26" s="52">
        <f>B26-D26</f>
        <v>7.7265515147867392E-3</v>
      </c>
      <c r="U26" s="52">
        <f>F26-B26</f>
        <v>9.6874147240660902E-3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5.685023652253203E-2</v>
      </c>
      <c r="C27" s="54">
        <v>5.579220943212863E-3</v>
      </c>
      <c r="D27" s="55">
        <v>5.2525186785217226E-2</v>
      </c>
      <c r="E27" s="1">
        <v>5.5337518689829182E-2</v>
      </c>
      <c r="F27" s="56">
        <v>5.987425858550402E-2</v>
      </c>
      <c r="G27" s="68">
        <v>-8.5604868003779089E-2</v>
      </c>
      <c r="H27" s="68">
        <v>-1.65825217759192E-2</v>
      </c>
      <c r="I27" s="68">
        <v>-0.54355337038981943</v>
      </c>
      <c r="J27" s="68">
        <v>1</v>
      </c>
      <c r="K27" s="68">
        <v>-2.1683071113799617E-2</v>
      </c>
      <c r="L27" s="68">
        <v>0.99999999999999301</v>
      </c>
      <c r="M27" s="2" t="s">
        <v>147</v>
      </c>
      <c r="N27" s="2" t="s">
        <v>147</v>
      </c>
      <c r="O27" s="69"/>
      <c r="R27" s="51" t="str">
        <f t="shared" ref="R27:R33" si="10">A27</f>
        <v>High Yield</v>
      </c>
      <c r="S27" s="52">
        <f t="shared" ref="S27:S33" si="11">D27</f>
        <v>5.2525186785217226E-2</v>
      </c>
      <c r="T27" s="52">
        <f t="shared" ref="T27:T33" si="12">B27-D27</f>
        <v>4.3250497373148039E-3</v>
      </c>
      <c r="U27" s="52">
        <f t="shared" ref="U27:U33" si="13">F27-B27</f>
        <v>3.0240220629719899E-3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8.9930545151678407E-2</v>
      </c>
      <c r="C28" s="54">
        <v>2.1945964513208443E-2</v>
      </c>
      <c r="D28" s="55">
        <v>7.235063063541719E-2</v>
      </c>
      <c r="E28" s="1">
        <v>8.869224444889115E-2</v>
      </c>
      <c r="F28" s="56">
        <v>0.1061361251682908</v>
      </c>
      <c r="G28" s="68">
        <v>1</v>
      </c>
      <c r="H28" s="68">
        <v>-0.38259734095393128</v>
      </c>
      <c r="I28" s="68">
        <v>-5.7183703974495285E-2</v>
      </c>
      <c r="J28" s="68">
        <v>-0.22808327152195665</v>
      </c>
      <c r="K28" s="68">
        <v>-0.23777147037630506</v>
      </c>
      <c r="L28" s="68">
        <v>0.99999999999999822</v>
      </c>
      <c r="M28" s="2" t="s">
        <v>147</v>
      </c>
      <c r="N28" s="2" t="s">
        <v>147</v>
      </c>
      <c r="O28" s="69"/>
      <c r="R28" s="51" t="str">
        <f t="shared" si="10"/>
        <v>Emerging market debt</v>
      </c>
      <c r="S28" s="52">
        <f t="shared" si="11"/>
        <v>7.235063063541719E-2</v>
      </c>
      <c r="T28" s="52">
        <f t="shared" si="12"/>
        <v>1.7579914516261216E-2</v>
      </c>
      <c r="U28" s="52">
        <f t="shared" si="13"/>
        <v>1.6205580016612389E-2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7.7569179994081194E-2</v>
      </c>
      <c r="C29" s="54">
        <v>2.3173783847541276E-3</v>
      </c>
      <c r="D29" s="55">
        <v>7.5797867194146468E-2</v>
      </c>
      <c r="E29" s="1">
        <v>7.6970772296579087E-2</v>
      </c>
      <c r="F29" s="56">
        <v>7.8605531987885072E-2</v>
      </c>
      <c r="G29" s="68">
        <v>-3.5708281565432744E-2</v>
      </c>
      <c r="H29" s="68">
        <v>-5.2025625055642883E-3</v>
      </c>
      <c r="I29" s="68">
        <v>-5.4538721318769474E-2</v>
      </c>
      <c r="J29" s="68">
        <v>-0.28309270952025201</v>
      </c>
      <c r="K29" s="68">
        <v>1</v>
      </c>
      <c r="L29" s="68">
        <v>0.99999999999997236</v>
      </c>
      <c r="M29" s="2" t="s">
        <v>147</v>
      </c>
      <c r="N29" s="2" t="s">
        <v>147</v>
      </c>
      <c r="O29" s="69"/>
      <c r="R29" s="51" t="str">
        <f t="shared" si="10"/>
        <v>Aandelen ontwikkeld</v>
      </c>
      <c r="S29" s="52">
        <f t="shared" si="11"/>
        <v>7.5797867194146468E-2</v>
      </c>
      <c r="T29" s="52">
        <f t="shared" si="12"/>
        <v>1.7713127999347267E-3</v>
      </c>
      <c r="U29" s="52">
        <f t="shared" si="13"/>
        <v>1.0363519938038773E-3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3.3325239711635021E-2</v>
      </c>
      <c r="C30" s="54">
        <v>6.5223489113642643E-3</v>
      </c>
      <c r="D30" s="55">
        <v>2.8168215653425678E-2</v>
      </c>
      <c r="E30" s="1">
        <v>3.1969734317076517E-2</v>
      </c>
      <c r="F30" s="56">
        <v>3.6304539403696934E-2</v>
      </c>
      <c r="G30" s="68">
        <v>-8.525149202955648E-2</v>
      </c>
      <c r="H30" s="68">
        <v>0.14413644395681791</v>
      </c>
      <c r="I30" s="68">
        <v>1</v>
      </c>
      <c r="J30" s="68">
        <v>0.36647125154980786</v>
      </c>
      <c r="K30" s="68">
        <v>-8.3168103342643962E-2</v>
      </c>
      <c r="L30" s="68">
        <v>0.99999999999999178</v>
      </c>
      <c r="M30" s="2" t="s">
        <v>147</v>
      </c>
      <c r="N30" s="2" t="s">
        <v>147</v>
      </c>
      <c r="O30" s="69"/>
      <c r="R30" s="51" t="str">
        <f t="shared" si="10"/>
        <v>Aandelen opkomend</v>
      </c>
      <c r="S30" s="52">
        <f t="shared" si="11"/>
        <v>2.8168215653425678E-2</v>
      </c>
      <c r="T30" s="52">
        <f t="shared" si="12"/>
        <v>5.1570240582093432E-3</v>
      </c>
      <c r="U30" s="52">
        <f t="shared" si="13"/>
        <v>2.9792996920619125E-3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2.7291818172822932E-2</v>
      </c>
      <c r="C31" s="54">
        <v>1.6994944245942771E-2</v>
      </c>
      <c r="D31" s="55">
        <v>1.2407929018324758E-2</v>
      </c>
      <c r="E31" s="1">
        <v>2.7343551981582413E-2</v>
      </c>
      <c r="F31" s="56">
        <v>4.1357994261493093E-2</v>
      </c>
      <c r="G31" s="68">
        <v>-0.68211667530784625</v>
      </c>
      <c r="H31" s="68">
        <v>-0.73975401872140234</v>
      </c>
      <c r="I31" s="68">
        <v>-9.7377099718134436E-2</v>
      </c>
      <c r="J31" s="68">
        <v>-0.41978294672538502</v>
      </c>
      <c r="K31" s="68">
        <v>-0.33524117417948351</v>
      </c>
      <c r="L31" s="68">
        <v>1</v>
      </c>
      <c r="M31" s="2" t="s">
        <v>147</v>
      </c>
      <c r="N31" s="2" t="s">
        <v>147</v>
      </c>
      <c r="O31" s="69"/>
      <c r="R31" s="51" t="str">
        <f t="shared" si="10"/>
        <v>Commodities</v>
      </c>
      <c r="S31" s="52">
        <f t="shared" si="11"/>
        <v>1.2407929018324758E-2</v>
      </c>
      <c r="T31" s="52">
        <f t="shared" si="12"/>
        <v>1.4883889154498174E-2</v>
      </c>
      <c r="U31" s="52">
        <f t="shared" si="13"/>
        <v>1.4066176088670161E-2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3.2197057464982567E-2</v>
      </c>
      <c r="C32" s="54">
        <v>3.1256294505883375E-16</v>
      </c>
      <c r="D32" s="55">
        <v>3.219705746498288E-2</v>
      </c>
      <c r="E32" s="1">
        <v>3.219705746498288E-2</v>
      </c>
      <c r="F32" s="56">
        <v>3.219705746498288E-2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68">
        <v>0</v>
      </c>
      <c r="M32" s="2" t="s">
        <v>147</v>
      </c>
      <c r="N32" s="2" t="s">
        <v>147</v>
      </c>
      <c r="O32" s="69"/>
      <c r="R32" s="51" t="str">
        <f t="shared" si="10"/>
        <v>Hedge funds</v>
      </c>
      <c r="S32" s="52">
        <f t="shared" si="11"/>
        <v>3.219705746498288E-2</v>
      </c>
      <c r="T32" s="52">
        <f t="shared" si="12"/>
        <v>-3.1225022567582528E-16</v>
      </c>
      <c r="U32" s="52">
        <f t="shared" si="13"/>
        <v>3.1225022567582528E-16</v>
      </c>
    </row>
    <row r="33" spans="1:30">
      <c r="A33" s="60" t="str">
        <f t="shared" si="9"/>
        <v>Onroerend goed</v>
      </c>
      <c r="B33" s="61">
        <v>4.8542120090085746E-2</v>
      </c>
      <c r="C33" s="62">
        <v>3.4729216117648195E-17</v>
      </c>
      <c r="D33" s="63">
        <v>4.8542120090085711E-2</v>
      </c>
      <c r="E33" s="61">
        <v>4.8542120090085711E-2</v>
      </c>
      <c r="F33" s="64">
        <v>4.8542120090085711E-2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65" t="s">
        <v>147</v>
      </c>
      <c r="N33" s="65" t="s">
        <v>147</v>
      </c>
      <c r="O33" s="71"/>
      <c r="R33" s="51" t="str">
        <f t="shared" si="10"/>
        <v>Onroerend goed</v>
      </c>
      <c r="S33" s="52">
        <f t="shared" si="11"/>
        <v>4.8542120090085711E-2</v>
      </c>
      <c r="T33" s="52">
        <f t="shared" si="12"/>
        <v>0</v>
      </c>
      <c r="U33" s="52">
        <f t="shared" si="13"/>
        <v>0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403" t="s">
        <v>64</v>
      </c>
      <c r="E35" s="404"/>
      <c r="F35" s="405"/>
      <c r="G35" s="403" t="s">
        <v>65</v>
      </c>
      <c r="H35" s="404"/>
      <c r="I35" s="404"/>
      <c r="J35" s="404"/>
      <c r="K35" s="404"/>
      <c r="L35" s="404"/>
      <c r="M35" s="404"/>
      <c r="N35" s="404"/>
      <c r="O35" s="405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0.60886635634209574</v>
      </c>
      <c r="H36" s="272">
        <v>0.26373868679681278</v>
      </c>
      <c r="I36" s="272">
        <v>7.7799529299628301E-2</v>
      </c>
      <c r="J36" s="272">
        <v>4.3021310225376364E-2</v>
      </c>
      <c r="K36" s="272">
        <v>6.5741173360877037E-3</v>
      </c>
      <c r="L36" s="272">
        <v>-2.2204460492503131E-16</v>
      </c>
      <c r="M36" s="272" t="s">
        <v>147</v>
      </c>
      <c r="N36" s="272" t="s">
        <v>147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0.5878273206766802</v>
      </c>
      <c r="C37" s="54">
        <v>9.4459602321498876E-3</v>
      </c>
      <c r="D37" s="55">
        <v>0.58118242113117968</v>
      </c>
      <c r="E37" s="1">
        <v>0.58642723485180692</v>
      </c>
      <c r="F37" s="56">
        <v>0.59425691177841689</v>
      </c>
      <c r="G37" s="2">
        <v>-0.48727411590582492</v>
      </c>
      <c r="H37" s="2">
        <v>0.39054661708782407</v>
      </c>
      <c r="I37" s="2">
        <v>0.24120774638113368</v>
      </c>
      <c r="J37" s="2">
        <v>-0.59660825000443263</v>
      </c>
      <c r="K37" s="2">
        <v>1</v>
      </c>
      <c r="L37" s="2">
        <v>0.99999999999999623</v>
      </c>
      <c r="M37" s="2" t="s">
        <v>147</v>
      </c>
      <c r="N37" s="2" t="s">
        <v>147</v>
      </c>
      <c r="O37" s="57"/>
      <c r="R37" s="51" t="str">
        <f>A37</f>
        <v>Nominale matching</v>
      </c>
      <c r="S37" s="52">
        <f>D37</f>
        <v>0.58118242113117968</v>
      </c>
      <c r="T37" s="52">
        <f>B37-D37</f>
        <v>6.6448995455005155E-3</v>
      </c>
      <c r="U37" s="52">
        <f>F37-B37</f>
        <v>6.4295911017366869E-3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0.12649916600153724</v>
      </c>
      <c r="C38" s="54">
        <v>1.7069943495330822E-2</v>
      </c>
      <c r="D38" s="55">
        <v>0.11524828242074993</v>
      </c>
      <c r="E38" s="1">
        <v>0.12936225590945108</v>
      </c>
      <c r="F38" s="56">
        <v>0.14014478495189225</v>
      </c>
      <c r="G38" s="2">
        <v>1</v>
      </c>
      <c r="H38" s="2">
        <v>-0.35511219219194745</v>
      </c>
      <c r="I38" s="2">
        <v>-0.15140150011025272</v>
      </c>
      <c r="J38" s="2">
        <v>-0.62271107439022599</v>
      </c>
      <c r="K38" s="2">
        <v>6.225591602838202E-2</v>
      </c>
      <c r="L38" s="2">
        <v>0.99999999999999778</v>
      </c>
      <c r="M38" s="2" t="s">
        <v>147</v>
      </c>
      <c r="N38" s="2" t="s">
        <v>147</v>
      </c>
      <c r="O38" s="57"/>
      <c r="R38" s="51" t="str">
        <f t="shared" ref="R38:R44" si="15">A38</f>
        <v>High Yield</v>
      </c>
      <c r="S38" s="52">
        <f t="shared" ref="S38:S44" si="16">D38</f>
        <v>0.11524828242074993</v>
      </c>
      <c r="T38" s="52">
        <f t="shared" ref="T38:T44" si="17">B38-D38</f>
        <v>1.125088358078731E-2</v>
      </c>
      <c r="U38" s="52">
        <f t="shared" ref="U38:U44" si="18">F38-B38</f>
        <v>1.3645618950355015E-2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5.7401129472963497E-2</v>
      </c>
      <c r="C39" s="54">
        <v>5.6418349874569019E-3</v>
      </c>
      <c r="D39" s="55">
        <v>5.2954997309752325E-2</v>
      </c>
      <c r="E39" s="1">
        <v>5.6230773638077172E-2</v>
      </c>
      <c r="F39" s="56">
        <v>6.0929160755442094E-2</v>
      </c>
      <c r="G39" s="2">
        <v>7.7700773571525925E-2</v>
      </c>
      <c r="H39" s="2">
        <v>-6.5912591457635006E-2</v>
      </c>
      <c r="I39" s="2">
        <v>-0.58545337612945592</v>
      </c>
      <c r="J39" s="2">
        <v>1</v>
      </c>
      <c r="K39" s="2">
        <v>0.56889630085467668</v>
      </c>
      <c r="L39" s="2">
        <v>0.99999999999999578</v>
      </c>
      <c r="M39" s="2" t="s">
        <v>147</v>
      </c>
      <c r="N39" s="2" t="s">
        <v>147</v>
      </c>
      <c r="O39" s="57"/>
      <c r="R39" s="51" t="str">
        <f t="shared" si="15"/>
        <v>Emerging market debt</v>
      </c>
      <c r="S39" s="52">
        <f t="shared" si="16"/>
        <v>5.2954997309752325E-2</v>
      </c>
      <c r="T39" s="52">
        <f t="shared" si="17"/>
        <v>4.4461321632111722E-3</v>
      </c>
      <c r="U39" s="52">
        <f t="shared" si="18"/>
        <v>3.528031282478597E-3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8.4225719434486215E-2</v>
      </c>
      <c r="C40" s="54">
        <v>7.1669983446816087E-3</v>
      </c>
      <c r="D40" s="55">
        <v>7.8443973225628211E-2</v>
      </c>
      <c r="E40" s="1">
        <v>8.2366808856240981E-2</v>
      </c>
      <c r="F40" s="56">
        <v>8.8294528172347397E-2</v>
      </c>
      <c r="G40" s="2">
        <v>0.16483540984174924</v>
      </c>
      <c r="H40" s="2">
        <v>-3.8448414712169608E-2</v>
      </c>
      <c r="I40" s="2">
        <v>1</v>
      </c>
      <c r="J40" s="2">
        <v>0.55755847215314502</v>
      </c>
      <c r="K40" s="2">
        <v>-0.26407594912721116</v>
      </c>
      <c r="L40" s="2">
        <v>0.999999999999997</v>
      </c>
      <c r="M40" s="2" t="s">
        <v>147</v>
      </c>
      <c r="N40" s="2" t="s">
        <v>147</v>
      </c>
      <c r="O40" s="57"/>
      <c r="R40" s="51" t="str">
        <f t="shared" si="15"/>
        <v>Aandelen ontwikkeld</v>
      </c>
      <c r="S40" s="52">
        <f t="shared" si="16"/>
        <v>7.8443973225628211E-2</v>
      </c>
      <c r="T40" s="52">
        <f t="shared" si="17"/>
        <v>5.7817462088580046E-3</v>
      </c>
      <c r="U40" s="52">
        <f t="shared" si="18"/>
        <v>4.068808737861182E-3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5.394454250764967E-2</v>
      </c>
      <c r="C41" s="54">
        <v>1.452930448868305E-2</v>
      </c>
      <c r="D41" s="55">
        <v>4.4027785107077153E-2</v>
      </c>
      <c r="E41" s="1">
        <v>5.2250297617670236E-2</v>
      </c>
      <c r="F41" s="56">
        <v>6.2127837837293365E-2</v>
      </c>
      <c r="G41" s="2">
        <v>-0.67948562912108301</v>
      </c>
      <c r="H41" s="2">
        <v>-0.93107341872607285</v>
      </c>
      <c r="I41" s="2">
        <v>-0.184480374609715</v>
      </c>
      <c r="J41" s="2">
        <v>-0.22653722710622812</v>
      </c>
      <c r="K41" s="2">
        <v>-0.53130119413846788</v>
      </c>
      <c r="L41" s="2">
        <v>0.99999999999999845</v>
      </c>
      <c r="M41" s="2" t="s">
        <v>147</v>
      </c>
      <c r="N41" s="2" t="s">
        <v>147</v>
      </c>
      <c r="O41" s="57"/>
      <c r="R41" s="51" t="str">
        <f t="shared" si="15"/>
        <v>Aandelen opkomend</v>
      </c>
      <c r="S41" s="52">
        <f t="shared" si="16"/>
        <v>4.4027785107077153E-2</v>
      </c>
      <c r="T41" s="52">
        <f t="shared" si="17"/>
        <v>9.9167574005725179E-3</v>
      </c>
      <c r="U41" s="52">
        <f t="shared" si="18"/>
        <v>8.1832953296436944E-3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9.3629443516143884E-3</v>
      </c>
      <c r="C42" s="54">
        <v>1.0126057687587548E-2</v>
      </c>
      <c r="D42" s="55">
        <v>1.1289145740709032E-3</v>
      </c>
      <c r="E42" s="1">
        <v>5.0776148618132365E-3</v>
      </c>
      <c r="F42" s="56">
        <v>1.5189130292218073E-2</v>
      </c>
      <c r="G42" s="2">
        <v>-7.5776438386366884E-2</v>
      </c>
      <c r="H42" s="2">
        <v>1</v>
      </c>
      <c r="I42" s="2">
        <v>-0.31987249553170916</v>
      </c>
      <c r="J42" s="2">
        <v>-0.11170192065225533</v>
      </c>
      <c r="K42" s="2">
        <v>-0.83577507361737391</v>
      </c>
      <c r="L42" s="2">
        <v>1</v>
      </c>
      <c r="M42" s="2" t="s">
        <v>147</v>
      </c>
      <c r="N42" s="2" t="s">
        <v>147</v>
      </c>
      <c r="O42" s="57"/>
      <c r="R42" s="51" t="str">
        <f t="shared" si="15"/>
        <v>Commodities</v>
      </c>
      <c r="S42" s="52">
        <f t="shared" si="16"/>
        <v>1.1289145740709032E-3</v>
      </c>
      <c r="T42" s="52">
        <f t="shared" si="17"/>
        <v>8.2340297775434848E-3</v>
      </c>
      <c r="U42" s="52">
        <f t="shared" si="18"/>
        <v>5.8261859406036846E-3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3.2197057464982567E-2</v>
      </c>
      <c r="C43" s="54">
        <v>3.1256294505883375E-16</v>
      </c>
      <c r="D43" s="55">
        <v>3.219705746498288E-2</v>
      </c>
      <c r="E43" s="1">
        <v>3.219705746498288E-2</v>
      </c>
      <c r="F43" s="56">
        <v>3.219705746498288E-2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 t="s">
        <v>147</v>
      </c>
      <c r="N43" s="2" t="s">
        <v>147</v>
      </c>
      <c r="O43" s="57"/>
      <c r="R43" s="51" t="str">
        <f t="shared" si="15"/>
        <v>Hedge funds</v>
      </c>
      <c r="S43" s="52">
        <f t="shared" si="16"/>
        <v>3.219705746498288E-2</v>
      </c>
      <c r="T43" s="52">
        <f t="shared" si="17"/>
        <v>-3.1225022567582528E-16</v>
      </c>
      <c r="U43" s="52">
        <f t="shared" si="18"/>
        <v>3.1225022567582528E-16</v>
      </c>
    </row>
    <row r="44" spans="1:30">
      <c r="A44" s="60" t="str">
        <f t="shared" si="14"/>
        <v>Onroerend goed</v>
      </c>
      <c r="B44" s="61">
        <v>4.8542120090085746E-2</v>
      </c>
      <c r="C44" s="62">
        <v>3.4729216117648195E-17</v>
      </c>
      <c r="D44" s="63">
        <v>4.8542120090085711E-2</v>
      </c>
      <c r="E44" s="61">
        <v>4.8542120090085711E-2</v>
      </c>
      <c r="F44" s="64">
        <v>4.8542120090085711E-2</v>
      </c>
      <c r="G44" s="65">
        <v>0</v>
      </c>
      <c r="H44" s="65">
        <v>0</v>
      </c>
      <c r="I44" s="65">
        <v>0</v>
      </c>
      <c r="J44" s="65">
        <v>0</v>
      </c>
      <c r="K44" s="65">
        <v>0</v>
      </c>
      <c r="L44" s="65">
        <v>0</v>
      </c>
      <c r="M44" s="65" t="s">
        <v>147</v>
      </c>
      <c r="N44" s="65" t="s">
        <v>147</v>
      </c>
      <c r="O44" s="66"/>
      <c r="R44" s="51" t="str">
        <f t="shared" si="15"/>
        <v>Onroerend goed</v>
      </c>
      <c r="S44" s="52">
        <f t="shared" si="16"/>
        <v>4.8542120090085711E-2</v>
      </c>
      <c r="T44" s="52">
        <f t="shared" si="17"/>
        <v>0</v>
      </c>
      <c r="U44" s="52">
        <f t="shared" si="18"/>
        <v>0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403" t="s">
        <v>64</v>
      </c>
      <c r="E46" s="404"/>
      <c r="F46" s="405"/>
      <c r="G46" s="403" t="s">
        <v>65</v>
      </c>
      <c r="H46" s="404"/>
      <c r="I46" s="404"/>
      <c r="J46" s="404"/>
      <c r="K46" s="404"/>
      <c r="L46" s="404"/>
      <c r="M46" s="404"/>
      <c r="N46" s="404"/>
      <c r="O46" s="405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0.92305592957443661</v>
      </c>
      <c r="H47" s="272">
        <v>3.7064077084081326E-2</v>
      </c>
      <c r="I47" s="272">
        <v>1.85566636555341E-2</v>
      </c>
      <c r="J47" s="272">
        <v>1.2844168012279944E-2</v>
      </c>
      <c r="K47" s="272">
        <v>8.4791616736694664E-3</v>
      </c>
      <c r="L47" s="272">
        <v>0</v>
      </c>
      <c r="M47" s="272" t="s">
        <v>147</v>
      </c>
      <c r="N47" s="272" t="s">
        <v>147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0.64766517686265979</v>
      </c>
      <c r="C48" s="54">
        <v>2.5495195171585518E-3</v>
      </c>
      <c r="D48" s="55">
        <v>0.64595771324157536</v>
      </c>
      <c r="E48" s="1">
        <v>0.64826144771266647</v>
      </c>
      <c r="F48" s="56">
        <v>0.64970065829171808</v>
      </c>
      <c r="G48" s="68">
        <v>-1.6483341620526955E-2</v>
      </c>
      <c r="H48" s="68">
        <v>-0.57970079247163475</v>
      </c>
      <c r="I48" s="68">
        <v>7.1517703773399305E-2</v>
      </c>
      <c r="J48" s="68">
        <v>0.26957048691200708</v>
      </c>
      <c r="K48" s="68">
        <v>1</v>
      </c>
      <c r="L48" s="68">
        <v>0.99999999999999711</v>
      </c>
      <c r="M48" s="2" t="s">
        <v>147</v>
      </c>
      <c r="N48" s="2" t="s">
        <v>147</v>
      </c>
      <c r="O48" s="69"/>
      <c r="R48" s="51" t="str">
        <f>A48</f>
        <v>Nominale matching</v>
      </c>
      <c r="S48" s="52">
        <f>D48</f>
        <v>0.64595771324157536</v>
      </c>
      <c r="T48" s="52">
        <f>B48-D48</f>
        <v>1.7074636210844263E-3</v>
      </c>
      <c r="U48" s="52">
        <f>F48-B48</f>
        <v>2.0354814290582945E-3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8.4241886801590157E-2</v>
      </c>
      <c r="C49" s="54">
        <v>1.7132271236015094E-2</v>
      </c>
      <c r="D49" s="55">
        <v>7.1103052121758742E-2</v>
      </c>
      <c r="E49" s="1">
        <v>8.4383358509610346E-2</v>
      </c>
      <c r="F49" s="56">
        <v>9.7622623597682437E-2</v>
      </c>
      <c r="G49" s="68">
        <v>1</v>
      </c>
      <c r="H49" s="68">
        <v>0.99005231363440993</v>
      </c>
      <c r="I49" s="68">
        <v>-5.5308831310676536E-2</v>
      </c>
      <c r="J49" s="68">
        <v>-0.1009529243729157</v>
      </c>
      <c r="K49" s="68">
        <v>6.9758257852044162E-2</v>
      </c>
      <c r="L49" s="68">
        <v>0.99999999999999967</v>
      </c>
      <c r="M49" s="2" t="s">
        <v>147</v>
      </c>
      <c r="N49" s="2" t="s">
        <v>147</v>
      </c>
      <c r="O49" s="69"/>
      <c r="R49" s="51" t="str">
        <f t="shared" ref="R49:R55" si="20">A49</f>
        <v>High Yield</v>
      </c>
      <c r="S49" s="52">
        <f t="shared" ref="S49:S55" si="21">D49</f>
        <v>7.1103052121758742E-2</v>
      </c>
      <c r="T49" s="52">
        <f t="shared" ref="T49:T55" si="22">B49-D49</f>
        <v>1.3138834679831415E-2</v>
      </c>
      <c r="U49" s="52">
        <f t="shared" ref="U49:U55" si="23">F49-B49</f>
        <v>1.338073679609228E-2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7.9334547678456518E-2</v>
      </c>
      <c r="C50" s="54">
        <v>1.7043974511421849E-2</v>
      </c>
      <c r="D50" s="55">
        <v>6.5985570622912437E-2</v>
      </c>
      <c r="E50" s="1">
        <v>7.8219485328115679E-2</v>
      </c>
      <c r="F50" s="56">
        <v>9.1925196513761798E-2</v>
      </c>
      <c r="G50" s="68">
        <v>-0.99445543543233261</v>
      </c>
      <c r="H50" s="68">
        <v>1</v>
      </c>
      <c r="I50" s="68">
        <v>-6.2309033791841981E-2</v>
      </c>
      <c r="J50" s="68">
        <v>-0.10355169828838409</v>
      </c>
      <c r="K50" s="68">
        <v>4.9151001833410111E-2</v>
      </c>
      <c r="L50" s="68">
        <v>1</v>
      </c>
      <c r="M50" s="2" t="s">
        <v>147</v>
      </c>
      <c r="N50" s="2" t="s">
        <v>147</v>
      </c>
      <c r="O50" s="69"/>
      <c r="R50" s="51" t="str">
        <f t="shared" si="20"/>
        <v>Emerging market debt</v>
      </c>
      <c r="S50" s="52">
        <f t="shared" si="21"/>
        <v>6.5985570622912437E-2</v>
      </c>
      <c r="T50" s="52">
        <f t="shared" si="22"/>
        <v>1.3348977055544081E-2</v>
      </c>
      <c r="U50" s="52">
        <f t="shared" si="23"/>
        <v>1.2590648835305279E-2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7.7910827116559708E-2</v>
      </c>
      <c r="C51" s="54">
        <v>3.0676907571575204E-3</v>
      </c>
      <c r="D51" s="55">
        <v>7.5407437891429313E-2</v>
      </c>
      <c r="E51" s="1">
        <v>7.7268054510879841E-2</v>
      </c>
      <c r="F51" s="56">
        <v>7.9657754924356089E-2</v>
      </c>
      <c r="G51" s="68">
        <v>-1.4059489006950935E-4</v>
      </c>
      <c r="H51" s="68">
        <v>-0.47269102793258294</v>
      </c>
      <c r="I51" s="68">
        <v>1</v>
      </c>
      <c r="J51" s="68">
        <v>-0.50524266751987734</v>
      </c>
      <c r="K51" s="68">
        <v>-0.31409637155062159</v>
      </c>
      <c r="L51" s="68">
        <v>0.99999999999999234</v>
      </c>
      <c r="M51" s="2" t="s">
        <v>147</v>
      </c>
      <c r="N51" s="2" t="s">
        <v>147</v>
      </c>
      <c r="O51" s="69"/>
      <c r="R51" s="51" t="str">
        <f t="shared" si="20"/>
        <v>Aandelen ontwikkeld</v>
      </c>
      <c r="S51" s="52">
        <f t="shared" si="21"/>
        <v>7.5407437891429313E-2</v>
      </c>
      <c r="T51" s="52">
        <f t="shared" si="22"/>
        <v>2.5033892251303952E-3</v>
      </c>
      <c r="U51" s="52">
        <f t="shared" si="23"/>
        <v>1.7469278077963807E-3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2.8116666145894708E-2</v>
      </c>
      <c r="C52" s="54">
        <v>3.2144263889301197E-3</v>
      </c>
      <c r="D52" s="55">
        <v>2.5589274678429148E-2</v>
      </c>
      <c r="E52" s="1">
        <v>2.728872820479368E-2</v>
      </c>
      <c r="F52" s="56">
        <v>3.0282425234615572E-2</v>
      </c>
      <c r="G52" s="68">
        <v>5.5978196183787618E-3</v>
      </c>
      <c r="H52" s="68">
        <v>-0.67867141552025501</v>
      </c>
      <c r="I52" s="68">
        <v>-0.91537787899420175</v>
      </c>
      <c r="J52" s="68">
        <v>-0.55982319673082592</v>
      </c>
      <c r="K52" s="68">
        <v>-0.24918175550834859</v>
      </c>
      <c r="L52" s="68">
        <v>0.99999999999999167</v>
      </c>
      <c r="M52" s="2" t="s">
        <v>147</v>
      </c>
      <c r="N52" s="2" t="s">
        <v>147</v>
      </c>
      <c r="O52" s="69"/>
      <c r="R52" s="51" t="str">
        <f t="shared" si="20"/>
        <v>Aandelen opkomend</v>
      </c>
      <c r="S52" s="52">
        <f t="shared" si="21"/>
        <v>2.5589274678429148E-2</v>
      </c>
      <c r="T52" s="52">
        <f t="shared" si="22"/>
        <v>2.5273914674655597E-3</v>
      </c>
      <c r="U52" s="52">
        <f t="shared" si="23"/>
        <v>2.1657590887208637E-3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1.9917178397705921E-3</v>
      </c>
      <c r="C53" s="54">
        <v>2.5249307810921041E-3</v>
      </c>
      <c r="D53" s="55">
        <v>8.9271252252749768E-5</v>
      </c>
      <c r="E53" s="1">
        <v>8.1666478839083746E-4</v>
      </c>
      <c r="F53" s="56">
        <v>3.0894775315710252E-3</v>
      </c>
      <c r="G53" s="68">
        <v>5.4815523245502146E-3</v>
      </c>
      <c r="H53" s="68">
        <v>-0.25898907770995144</v>
      </c>
      <c r="I53" s="68">
        <v>-3.8521959676678943E-2</v>
      </c>
      <c r="J53" s="68">
        <v>1</v>
      </c>
      <c r="K53" s="68">
        <v>-0.55563113262649189</v>
      </c>
      <c r="L53" s="68">
        <v>0.99999999999998834</v>
      </c>
      <c r="M53" s="2" t="s">
        <v>147</v>
      </c>
      <c r="N53" s="2" t="s">
        <v>147</v>
      </c>
      <c r="O53" s="69"/>
      <c r="R53" s="51" t="str">
        <f t="shared" si="20"/>
        <v>Commodities</v>
      </c>
      <c r="S53" s="52">
        <f t="shared" si="21"/>
        <v>8.9271252252749768E-5</v>
      </c>
      <c r="T53" s="52">
        <f t="shared" si="22"/>
        <v>1.9024465875178422E-3</v>
      </c>
      <c r="U53" s="52">
        <f t="shared" si="23"/>
        <v>1.0977596918004331E-3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3.2197057464982567E-2</v>
      </c>
      <c r="C54" s="54">
        <v>3.1256294505883375E-16</v>
      </c>
      <c r="D54" s="55">
        <v>3.219705746498288E-2</v>
      </c>
      <c r="E54" s="1">
        <v>3.219705746498288E-2</v>
      </c>
      <c r="F54" s="56">
        <v>3.219705746498288E-2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2" t="s">
        <v>147</v>
      </c>
      <c r="N54" s="2" t="s">
        <v>147</v>
      </c>
      <c r="O54" s="69"/>
      <c r="R54" s="51" t="str">
        <f t="shared" si="20"/>
        <v>Hedge funds</v>
      </c>
      <c r="S54" s="52">
        <f t="shared" si="21"/>
        <v>3.219705746498288E-2</v>
      </c>
      <c r="T54" s="52">
        <f t="shared" si="22"/>
        <v>-3.1225022567582528E-16</v>
      </c>
      <c r="U54" s="52">
        <f t="shared" si="23"/>
        <v>3.1225022567582528E-16</v>
      </c>
    </row>
    <row r="55" spans="1:36">
      <c r="A55" s="60" t="str">
        <f t="shared" si="19"/>
        <v>Onroerend goed</v>
      </c>
      <c r="B55" s="61">
        <v>4.8542120090085746E-2</v>
      </c>
      <c r="C55" s="62">
        <v>3.4729216117648195E-17</v>
      </c>
      <c r="D55" s="63">
        <v>4.8542120090085711E-2</v>
      </c>
      <c r="E55" s="61">
        <v>4.8542120090085711E-2</v>
      </c>
      <c r="F55" s="64">
        <v>4.8542120090085711E-2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65" t="s">
        <v>147</v>
      </c>
      <c r="N55" s="65" t="s">
        <v>147</v>
      </c>
      <c r="O55" s="71"/>
      <c r="R55" s="51" t="str">
        <f t="shared" si="20"/>
        <v>Onroerend goed</v>
      </c>
      <c r="S55" s="52">
        <f t="shared" si="21"/>
        <v>4.8542120090085711E-2</v>
      </c>
      <c r="T55" s="52">
        <f t="shared" si="22"/>
        <v>0</v>
      </c>
      <c r="U55" s="52">
        <f t="shared" si="23"/>
        <v>0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403" t="s">
        <v>64</v>
      </c>
      <c r="E57" s="404"/>
      <c r="F57" s="405"/>
      <c r="G57" s="403" t="s">
        <v>65</v>
      </c>
      <c r="H57" s="404"/>
      <c r="I57" s="404"/>
      <c r="J57" s="404"/>
      <c r="K57" s="404"/>
      <c r="L57" s="404"/>
      <c r="M57" s="404"/>
      <c r="N57" s="404"/>
      <c r="O57" s="405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0.91153916211330455</v>
      </c>
      <c r="H58" s="272">
        <v>4.3777300920336382E-2</v>
      </c>
      <c r="I58" s="272">
        <v>1.9748444003926724E-2</v>
      </c>
      <c r="J58" s="272">
        <v>1.4513039311287113E-2</v>
      </c>
      <c r="K58" s="272">
        <v>1.0422053651150232E-2</v>
      </c>
      <c r="L58" s="272">
        <v>-2.2204460492503131E-16</v>
      </c>
      <c r="M58" s="272" t="s">
        <v>147</v>
      </c>
      <c r="N58" s="272" t="s">
        <v>147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0.64802733648459176</v>
      </c>
      <c r="C59" s="54">
        <v>2.5340682429086121E-3</v>
      </c>
      <c r="D59" s="55">
        <v>0.64653478143230725</v>
      </c>
      <c r="E59" s="1">
        <v>0.648539105011534</v>
      </c>
      <c r="F59" s="56">
        <v>0.64994084764454796</v>
      </c>
      <c r="G59" s="2">
        <v>-1.7945404000881186E-2</v>
      </c>
      <c r="H59" s="2">
        <v>-0.49295176691275866</v>
      </c>
      <c r="I59" s="2">
        <v>-0.31828168589825795</v>
      </c>
      <c r="J59" s="2">
        <v>-8.5482608349261538E-2</v>
      </c>
      <c r="K59" s="2">
        <v>1</v>
      </c>
      <c r="L59" s="2">
        <v>0.99999999999999378</v>
      </c>
      <c r="M59" s="2" t="s">
        <v>147</v>
      </c>
      <c r="N59" s="2" t="s">
        <v>147</v>
      </c>
      <c r="O59" s="69"/>
      <c r="R59" s="51" t="str">
        <f>A59</f>
        <v>Nominale matching</v>
      </c>
      <c r="S59" s="52">
        <f>D59</f>
        <v>0.64653478143230725</v>
      </c>
      <c r="T59" s="52">
        <f>B59-D59</f>
        <v>1.4925550522845166E-3</v>
      </c>
      <c r="U59" s="52">
        <f>F59-B59</f>
        <v>1.9135111599561938E-3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9.0355995593255425E-2</v>
      </c>
      <c r="C60" s="54">
        <v>1.5876618885837843E-2</v>
      </c>
      <c r="D60" s="55">
        <v>7.9284281816252855E-2</v>
      </c>
      <c r="E60" s="1">
        <v>9.0210980658044754E-2</v>
      </c>
      <c r="F60" s="56">
        <v>0.10263209981965668</v>
      </c>
      <c r="G60" s="2">
        <v>1</v>
      </c>
      <c r="H60" s="2">
        <v>0.99202694654568002</v>
      </c>
      <c r="I60" s="2">
        <v>0.12193533052886898</v>
      </c>
      <c r="J60" s="2">
        <v>-1.3301338553623003E-2</v>
      </c>
      <c r="K60" s="2">
        <v>3.5826698061321875E-2</v>
      </c>
      <c r="L60" s="2">
        <v>0.99999999999999811</v>
      </c>
      <c r="M60" s="2" t="s">
        <v>147</v>
      </c>
      <c r="N60" s="2" t="s">
        <v>147</v>
      </c>
      <c r="O60" s="69"/>
      <c r="R60" s="51" t="str">
        <f t="shared" ref="R60:R66" si="25">A60</f>
        <v>High Yield</v>
      </c>
      <c r="S60" s="52">
        <f t="shared" ref="S60:S66" si="26">D60</f>
        <v>7.9284281816252855E-2</v>
      </c>
      <c r="T60" s="52">
        <f t="shared" ref="T60:T66" si="27">B60-D60</f>
        <v>1.107171377700257E-2</v>
      </c>
      <c r="U60" s="52">
        <f t="shared" ref="U60:U66" si="28">F60-B60</f>
        <v>1.2276104226401255E-2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7.3788193615281938E-2</v>
      </c>
      <c r="C61" s="54">
        <v>1.574935489918456E-2</v>
      </c>
      <c r="D61" s="55">
        <v>6.146671202516199E-2</v>
      </c>
      <c r="E61" s="1">
        <v>7.1822507512057002E-2</v>
      </c>
      <c r="F61" s="56">
        <v>8.5447124547195691E-2</v>
      </c>
      <c r="G61" s="2">
        <v>-0.99140679934939302</v>
      </c>
      <c r="H61" s="2">
        <v>1</v>
      </c>
      <c r="I61" s="2">
        <v>0.14672753016510079</v>
      </c>
      <c r="J61" s="2">
        <v>-5.6681077209310114E-3</v>
      </c>
      <c r="K61" s="2">
        <v>1.9196533619396904E-2</v>
      </c>
      <c r="L61" s="2">
        <v>0.999999999999999</v>
      </c>
      <c r="M61" s="2" t="s">
        <v>147</v>
      </c>
      <c r="N61" s="2" t="s">
        <v>147</v>
      </c>
      <c r="O61" s="69"/>
      <c r="R61" s="51" t="str">
        <f t="shared" si="25"/>
        <v>Emerging market debt</v>
      </c>
      <c r="S61" s="52">
        <f t="shared" si="26"/>
        <v>6.146671202516199E-2</v>
      </c>
      <c r="T61" s="52">
        <f t="shared" si="27"/>
        <v>1.2321481590119948E-2</v>
      </c>
      <c r="U61" s="52">
        <f t="shared" si="28"/>
        <v>1.1658930931913752E-2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7.8006868264857004E-2</v>
      </c>
      <c r="C62" s="54">
        <v>3.3488118688255251E-3</v>
      </c>
      <c r="D62" s="55">
        <v>7.5492867517471793E-2</v>
      </c>
      <c r="E62" s="1">
        <v>7.7334090001091968E-2</v>
      </c>
      <c r="F62" s="56">
        <v>7.9707693173760488E-2</v>
      </c>
      <c r="G62" s="2">
        <v>1.5036655251504929E-2</v>
      </c>
      <c r="H62" s="2">
        <v>-0.77083564179013386</v>
      </c>
      <c r="I62" s="2">
        <v>1</v>
      </c>
      <c r="J62" s="2">
        <v>1.330797365365305E-3</v>
      </c>
      <c r="K62" s="2">
        <v>-0.13011653439401993</v>
      </c>
      <c r="L62" s="2">
        <v>0.99999999999999789</v>
      </c>
      <c r="M62" s="2" t="s">
        <v>147</v>
      </c>
      <c r="N62" s="2" t="s">
        <v>147</v>
      </c>
      <c r="O62" s="69"/>
      <c r="R62" s="51" t="str">
        <f t="shared" si="25"/>
        <v>Aandelen ontwikkeld</v>
      </c>
      <c r="S62" s="52">
        <f t="shared" si="26"/>
        <v>7.5492867517471793E-2</v>
      </c>
      <c r="T62" s="52">
        <f t="shared" si="27"/>
        <v>2.5140007473852116E-3</v>
      </c>
      <c r="U62" s="52">
        <f t="shared" si="28"/>
        <v>1.7008249089034838E-3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2.7032403552113084E-2</v>
      </c>
      <c r="C63" s="54">
        <v>2.6711149546946394E-3</v>
      </c>
      <c r="D63" s="55">
        <v>2.50513810662947E-2</v>
      </c>
      <c r="E63" s="1">
        <v>2.6529147057132801E-2</v>
      </c>
      <c r="F63" s="56">
        <v>2.8688915983097238E-2</v>
      </c>
      <c r="G63" s="2">
        <v>-6.2272611167204246E-3</v>
      </c>
      <c r="H63" s="2">
        <v>-0.37218507390136202</v>
      </c>
      <c r="I63" s="2">
        <v>-0.48727226388424666</v>
      </c>
      <c r="J63" s="2">
        <v>-0.89687874274154844</v>
      </c>
      <c r="K63" s="2">
        <v>-0.53305875207199926</v>
      </c>
      <c r="L63" s="2">
        <v>1</v>
      </c>
      <c r="M63" s="2" t="s">
        <v>147</v>
      </c>
      <c r="N63" s="2" t="s">
        <v>147</v>
      </c>
      <c r="O63" s="69"/>
      <c r="R63" s="51" t="str">
        <f t="shared" si="25"/>
        <v>Aandelen opkomend</v>
      </c>
      <c r="S63" s="52">
        <f t="shared" si="26"/>
        <v>2.50513810662947E-2</v>
      </c>
      <c r="T63" s="52">
        <f t="shared" si="27"/>
        <v>1.9810224858183845E-3</v>
      </c>
      <c r="U63" s="52">
        <f t="shared" si="28"/>
        <v>1.6565124309841535E-3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2.0500249348322582E-3</v>
      </c>
      <c r="C64" s="54">
        <v>2.6872506429015978E-3</v>
      </c>
      <c r="D64" s="55">
        <v>1.1461764960437912E-4</v>
      </c>
      <c r="E64" s="1">
        <v>9.4028289256007985E-4</v>
      </c>
      <c r="F64" s="56">
        <v>3.1357087051092627E-3</v>
      </c>
      <c r="G64" s="2">
        <v>5.4280921549039007E-4</v>
      </c>
      <c r="H64" s="2">
        <v>-0.35605446394142776</v>
      </c>
      <c r="I64" s="2">
        <v>-0.46310891091146544</v>
      </c>
      <c r="J64" s="2">
        <v>1</v>
      </c>
      <c r="K64" s="2">
        <v>-0.39184794521469479</v>
      </c>
      <c r="L64" s="2">
        <v>0.99999999999999734</v>
      </c>
      <c r="M64" s="2" t="s">
        <v>147</v>
      </c>
      <c r="N64" s="2" t="s">
        <v>147</v>
      </c>
      <c r="O64" s="69"/>
      <c r="R64" s="51" t="str">
        <f t="shared" si="25"/>
        <v>Commodities</v>
      </c>
      <c r="S64" s="52">
        <f t="shared" si="26"/>
        <v>1.1461764960437912E-4</v>
      </c>
      <c r="T64" s="52">
        <f t="shared" si="27"/>
        <v>1.935407285227879E-3</v>
      </c>
      <c r="U64" s="52">
        <f t="shared" si="28"/>
        <v>1.0856837702770046E-3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3.2197057464982567E-2</v>
      </c>
      <c r="C65" s="54">
        <v>3.1256294505883375E-16</v>
      </c>
      <c r="D65" s="55">
        <v>3.219705746498288E-2</v>
      </c>
      <c r="E65" s="1">
        <v>3.219705746498288E-2</v>
      </c>
      <c r="F65" s="56">
        <v>3.219705746498288E-2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 t="s">
        <v>147</v>
      </c>
      <c r="N65" s="2" t="s">
        <v>147</v>
      </c>
      <c r="O65" s="69"/>
      <c r="R65" s="51" t="str">
        <f t="shared" si="25"/>
        <v>Hedge funds</v>
      </c>
      <c r="S65" s="52">
        <f t="shared" si="26"/>
        <v>3.219705746498288E-2</v>
      </c>
      <c r="T65" s="52">
        <f t="shared" si="27"/>
        <v>-3.1225022567582528E-16</v>
      </c>
      <c r="U65" s="52">
        <f t="shared" si="28"/>
        <v>3.1225022567582528E-16</v>
      </c>
    </row>
    <row r="66" spans="1:36">
      <c r="A66" s="60" t="str">
        <f t="shared" si="24"/>
        <v>Onroerend goed</v>
      </c>
      <c r="B66" s="61">
        <v>4.8542120090085746E-2</v>
      </c>
      <c r="C66" s="62">
        <v>3.4729216117648195E-17</v>
      </c>
      <c r="D66" s="63">
        <v>4.8542120090085711E-2</v>
      </c>
      <c r="E66" s="61">
        <v>4.8542120090085711E-2</v>
      </c>
      <c r="F66" s="64">
        <v>4.8542120090085711E-2</v>
      </c>
      <c r="G66" s="65">
        <v>0</v>
      </c>
      <c r="H66" s="65">
        <v>0</v>
      </c>
      <c r="I66" s="65">
        <v>0</v>
      </c>
      <c r="J66" s="65">
        <v>0</v>
      </c>
      <c r="K66" s="65">
        <v>0</v>
      </c>
      <c r="L66" s="65">
        <v>0</v>
      </c>
      <c r="M66" s="65" t="s">
        <v>147</v>
      </c>
      <c r="N66" s="65" t="s">
        <v>147</v>
      </c>
      <c r="O66" s="71"/>
      <c r="R66" s="51" t="str">
        <f t="shared" si="25"/>
        <v>Onroerend goed</v>
      </c>
      <c r="S66" s="52">
        <f t="shared" si="26"/>
        <v>4.8542120090085711E-2</v>
      </c>
      <c r="T66" s="52">
        <f t="shared" si="27"/>
        <v>0</v>
      </c>
      <c r="U66" s="52">
        <f t="shared" si="28"/>
        <v>0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0.92305592957443661</v>
      </c>
      <c r="H69" s="272">
        <v>3.7064077084081326E-2</v>
      </c>
      <c r="I69" s="272">
        <v>1.85566636555341E-2</v>
      </c>
      <c r="J69" s="272">
        <v>1.2844168012279944E-2</v>
      </c>
      <c r="K69" s="272">
        <v>8.4791616736694664E-3</v>
      </c>
      <c r="L69" s="272">
        <v>0</v>
      </c>
      <c r="M69" s="272" t="s">
        <v>147</v>
      </c>
      <c r="N69" s="272" t="s">
        <v>147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0.64766517686265979</v>
      </c>
      <c r="C70" s="54">
        <v>2.5495195171585518E-3</v>
      </c>
      <c r="D70" s="55">
        <v>0.64595771324157536</v>
      </c>
      <c r="E70" s="1">
        <v>0.64826144771266647</v>
      </c>
      <c r="F70" s="56">
        <v>0.64970065829171808</v>
      </c>
      <c r="G70" s="68">
        <v>-1.6483341620526955E-2</v>
      </c>
      <c r="H70" s="68">
        <v>-0.57970079247163475</v>
      </c>
      <c r="I70" s="68">
        <v>7.1517703773399305E-2</v>
      </c>
      <c r="J70" s="68">
        <v>0.26957048691200708</v>
      </c>
      <c r="K70" s="68">
        <v>1</v>
      </c>
      <c r="L70" s="68">
        <v>0.99999999999999711</v>
      </c>
      <c r="M70" s="2" t="s">
        <v>147</v>
      </c>
      <c r="N70" s="2" t="s">
        <v>147</v>
      </c>
      <c r="O70" s="69"/>
      <c r="R70" s="51" t="str">
        <f>A70</f>
        <v>Nominale matching</v>
      </c>
      <c r="S70" s="52">
        <f>D70</f>
        <v>0.64595771324157536</v>
      </c>
      <c r="T70" s="52">
        <f>B70-D70</f>
        <v>1.7074636210844263E-3</v>
      </c>
      <c r="U70" s="52">
        <f>F70-B70</f>
        <v>2.0354814290582945E-3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8.4241886801590157E-2</v>
      </c>
      <c r="C71" s="54">
        <v>1.7132271236015094E-2</v>
      </c>
      <c r="D71" s="55">
        <v>7.1103052121758742E-2</v>
      </c>
      <c r="E71" s="1">
        <v>8.4383358509610346E-2</v>
      </c>
      <c r="F71" s="56">
        <v>9.7622623597682437E-2</v>
      </c>
      <c r="G71" s="68">
        <v>1</v>
      </c>
      <c r="H71" s="68">
        <v>0.99005231363440993</v>
      </c>
      <c r="I71" s="68">
        <v>-5.5308831310676536E-2</v>
      </c>
      <c r="J71" s="68">
        <v>-0.1009529243729157</v>
      </c>
      <c r="K71" s="68">
        <v>6.9758257852044162E-2</v>
      </c>
      <c r="L71" s="68">
        <v>0.99999999999999967</v>
      </c>
      <c r="M71" s="2" t="s">
        <v>147</v>
      </c>
      <c r="N71" s="2" t="s">
        <v>147</v>
      </c>
      <c r="O71" s="69"/>
      <c r="R71" s="51" t="str">
        <f t="shared" ref="R71:R77" si="30">A71</f>
        <v>High Yield</v>
      </c>
      <c r="S71" s="52">
        <f t="shared" ref="S71:S77" si="31">D71</f>
        <v>7.1103052121758742E-2</v>
      </c>
      <c r="T71" s="52">
        <f t="shared" ref="T71:T77" si="32">B71-D71</f>
        <v>1.3138834679831415E-2</v>
      </c>
      <c r="U71" s="52">
        <f t="shared" ref="U71:U77" si="33">F71-B71</f>
        <v>1.338073679609228E-2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7.9334547678456518E-2</v>
      </c>
      <c r="C72" s="54">
        <v>1.7043974511421849E-2</v>
      </c>
      <c r="D72" s="55">
        <v>6.5985570622912437E-2</v>
      </c>
      <c r="E72" s="1">
        <v>7.8219485328115679E-2</v>
      </c>
      <c r="F72" s="56">
        <v>9.1925196513761798E-2</v>
      </c>
      <c r="G72" s="68">
        <v>-0.99445543543233261</v>
      </c>
      <c r="H72" s="68">
        <v>1</v>
      </c>
      <c r="I72" s="68">
        <v>-6.2309033791841981E-2</v>
      </c>
      <c r="J72" s="68">
        <v>-0.10355169828838409</v>
      </c>
      <c r="K72" s="68">
        <v>4.9151001833410111E-2</v>
      </c>
      <c r="L72" s="68">
        <v>1</v>
      </c>
      <c r="M72" s="2" t="s">
        <v>147</v>
      </c>
      <c r="N72" s="2" t="s">
        <v>147</v>
      </c>
      <c r="O72" s="69"/>
      <c r="R72" s="51" t="str">
        <f t="shared" si="30"/>
        <v>Emerging market debt</v>
      </c>
      <c r="S72" s="52">
        <f t="shared" si="31"/>
        <v>6.5985570622912437E-2</v>
      </c>
      <c r="T72" s="52">
        <f t="shared" si="32"/>
        <v>1.3348977055544081E-2</v>
      </c>
      <c r="U72" s="52">
        <f t="shared" si="33"/>
        <v>1.2590648835305279E-2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7.7910827116559708E-2</v>
      </c>
      <c r="C73" s="54">
        <v>3.0676907571575204E-3</v>
      </c>
      <c r="D73" s="55">
        <v>7.5407437891429313E-2</v>
      </c>
      <c r="E73" s="1">
        <v>7.7268054510879841E-2</v>
      </c>
      <c r="F73" s="56">
        <v>7.9657754924356089E-2</v>
      </c>
      <c r="G73" s="68">
        <v>-1.4059489006950935E-4</v>
      </c>
      <c r="H73" s="68">
        <v>-0.47269102793258294</v>
      </c>
      <c r="I73" s="68">
        <v>1</v>
      </c>
      <c r="J73" s="68">
        <v>-0.50524266751987734</v>
      </c>
      <c r="K73" s="68">
        <v>-0.31409637155062159</v>
      </c>
      <c r="L73" s="68">
        <v>0.99999999999999234</v>
      </c>
      <c r="M73" s="2" t="s">
        <v>147</v>
      </c>
      <c r="N73" s="2" t="s">
        <v>147</v>
      </c>
      <c r="O73" s="69"/>
      <c r="R73" s="51" t="str">
        <f t="shared" si="30"/>
        <v>Aandelen ontwikkeld</v>
      </c>
      <c r="S73" s="52">
        <f t="shared" si="31"/>
        <v>7.5407437891429313E-2</v>
      </c>
      <c r="T73" s="52">
        <f t="shared" si="32"/>
        <v>2.5033892251303952E-3</v>
      </c>
      <c r="U73" s="52">
        <f t="shared" si="33"/>
        <v>1.7469278077963807E-3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2.8116666145894708E-2</v>
      </c>
      <c r="C74" s="54">
        <v>3.2144263889301197E-3</v>
      </c>
      <c r="D74" s="55">
        <v>2.5589274678429148E-2</v>
      </c>
      <c r="E74" s="1">
        <v>2.728872820479368E-2</v>
      </c>
      <c r="F74" s="56">
        <v>3.0282425234615572E-2</v>
      </c>
      <c r="G74" s="68">
        <v>5.5978196183787618E-3</v>
      </c>
      <c r="H74" s="68">
        <v>-0.67867141552025501</v>
      </c>
      <c r="I74" s="68">
        <v>-0.91537787899420175</v>
      </c>
      <c r="J74" s="68">
        <v>-0.55982319673082592</v>
      </c>
      <c r="K74" s="68">
        <v>-0.24918175550834859</v>
      </c>
      <c r="L74" s="68">
        <v>0.99999999999999167</v>
      </c>
      <c r="M74" s="2" t="s">
        <v>147</v>
      </c>
      <c r="N74" s="2" t="s">
        <v>147</v>
      </c>
      <c r="O74" s="69"/>
      <c r="R74" s="51" t="str">
        <f t="shared" si="30"/>
        <v>Aandelen opkomend</v>
      </c>
      <c r="S74" s="52">
        <f t="shared" si="31"/>
        <v>2.5589274678429148E-2</v>
      </c>
      <c r="T74" s="52">
        <f t="shared" si="32"/>
        <v>2.5273914674655597E-3</v>
      </c>
      <c r="U74" s="52">
        <f t="shared" si="33"/>
        <v>2.1657590887208637E-3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1.9917178397705921E-3</v>
      </c>
      <c r="C75" s="54">
        <v>2.5249307810921041E-3</v>
      </c>
      <c r="D75" s="55">
        <v>8.9271252252749768E-5</v>
      </c>
      <c r="E75" s="1">
        <v>8.1666478839083746E-4</v>
      </c>
      <c r="F75" s="56">
        <v>3.0894775315710252E-3</v>
      </c>
      <c r="G75" s="68">
        <v>5.4815523245502146E-3</v>
      </c>
      <c r="H75" s="68">
        <v>-0.25898907770995144</v>
      </c>
      <c r="I75" s="68">
        <v>-3.8521959676678943E-2</v>
      </c>
      <c r="J75" s="68">
        <v>1</v>
      </c>
      <c r="K75" s="68">
        <v>-0.55563113262649189</v>
      </c>
      <c r="L75" s="68">
        <v>0.99999999999998834</v>
      </c>
      <c r="M75" s="2" t="s">
        <v>147</v>
      </c>
      <c r="N75" s="2" t="s">
        <v>147</v>
      </c>
      <c r="O75" s="69"/>
      <c r="R75" s="51" t="str">
        <f t="shared" si="30"/>
        <v>Commodities</v>
      </c>
      <c r="S75" s="52">
        <f t="shared" si="31"/>
        <v>8.9271252252749768E-5</v>
      </c>
      <c r="T75" s="52">
        <f t="shared" si="32"/>
        <v>1.9024465875178422E-3</v>
      </c>
      <c r="U75" s="52">
        <f t="shared" si="33"/>
        <v>1.0977596918004331E-3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3.2197057464982567E-2</v>
      </c>
      <c r="C76" s="54">
        <v>3.1256294505883375E-16</v>
      </c>
      <c r="D76" s="55">
        <v>3.219705746498288E-2</v>
      </c>
      <c r="E76" s="1">
        <v>3.219705746498288E-2</v>
      </c>
      <c r="F76" s="56">
        <v>3.219705746498288E-2</v>
      </c>
      <c r="G76" s="68">
        <v>0</v>
      </c>
      <c r="H76" s="68">
        <v>0</v>
      </c>
      <c r="I76" s="68">
        <v>0</v>
      </c>
      <c r="J76" s="68">
        <v>0</v>
      </c>
      <c r="K76" s="68">
        <v>0</v>
      </c>
      <c r="L76" s="68">
        <v>0</v>
      </c>
      <c r="M76" s="2" t="s">
        <v>147</v>
      </c>
      <c r="N76" s="2" t="s">
        <v>147</v>
      </c>
      <c r="O76" s="69"/>
      <c r="R76" s="51" t="str">
        <f t="shared" si="30"/>
        <v>Hedge funds</v>
      </c>
      <c r="S76" s="52">
        <f t="shared" si="31"/>
        <v>3.219705746498288E-2</v>
      </c>
      <c r="T76" s="52">
        <f t="shared" si="32"/>
        <v>-3.1225022567582528E-16</v>
      </c>
      <c r="U76" s="52">
        <f t="shared" si="33"/>
        <v>3.1225022567582528E-16</v>
      </c>
    </row>
    <row r="77" spans="1:36">
      <c r="A77" s="60" t="str">
        <f t="shared" si="29"/>
        <v>Onroerend goed</v>
      </c>
      <c r="B77" s="61">
        <v>4.8542120090085746E-2</v>
      </c>
      <c r="C77" s="62">
        <v>3.4729216117648195E-17</v>
      </c>
      <c r="D77" s="63">
        <v>4.8542120090085711E-2</v>
      </c>
      <c r="E77" s="61">
        <v>4.8542120090085711E-2</v>
      </c>
      <c r="F77" s="64">
        <v>4.8542120090085711E-2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65" t="s">
        <v>147</v>
      </c>
      <c r="N77" s="65" t="s">
        <v>147</v>
      </c>
      <c r="O77" s="71"/>
      <c r="R77" s="51" t="str">
        <f t="shared" si="30"/>
        <v>Onroerend goed</v>
      </c>
      <c r="S77" s="52">
        <f t="shared" si="31"/>
        <v>4.8542120090085711E-2</v>
      </c>
      <c r="T77" s="52">
        <f t="shared" si="32"/>
        <v>0</v>
      </c>
      <c r="U77" s="52">
        <f t="shared" si="33"/>
        <v>0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403" t="s">
        <v>64</v>
      </c>
      <c r="E79" s="404"/>
      <c r="F79" s="405"/>
      <c r="G79" s="403" t="s">
        <v>65</v>
      </c>
      <c r="H79" s="404"/>
      <c r="I79" s="404"/>
      <c r="J79" s="404"/>
      <c r="K79" s="404"/>
      <c r="L79" s="404"/>
      <c r="M79" s="404"/>
      <c r="N79" s="404"/>
      <c r="O79" s="405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0.50430825432397053</v>
      </c>
      <c r="H80" s="272">
        <v>0.28123558481976718</v>
      </c>
      <c r="I80" s="272">
        <v>0.17729119183864839</v>
      </c>
      <c r="J80" s="272">
        <v>2.0449833355598135E-2</v>
      </c>
      <c r="K80" s="272">
        <v>1.6715135662019875E-2</v>
      </c>
      <c r="L80" s="272">
        <v>0</v>
      </c>
      <c r="M80" s="272" t="s">
        <v>147</v>
      </c>
      <c r="N80" s="272" t="s">
        <v>147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0.57679636440540838</v>
      </c>
      <c r="C81" s="54">
        <v>1.2767168941046391E-2</v>
      </c>
      <c r="D81" s="55">
        <v>0.5674012860953721</v>
      </c>
      <c r="E81" s="1">
        <v>0.57688537368679493</v>
      </c>
      <c r="F81" s="56">
        <v>0.58594536868591018</v>
      </c>
      <c r="G81" s="2">
        <v>-0.45194548052209615</v>
      </c>
      <c r="H81" s="2">
        <v>0.31982263329842542</v>
      </c>
      <c r="I81" s="2">
        <v>-0.44320518372402173</v>
      </c>
      <c r="J81" s="2">
        <v>1</v>
      </c>
      <c r="K81" s="2">
        <v>-0.13664757528050667</v>
      </c>
      <c r="L81" s="2">
        <v>0.99999999999999922</v>
      </c>
      <c r="M81" s="2" t="s">
        <v>147</v>
      </c>
      <c r="N81" s="2" t="s">
        <v>147</v>
      </c>
      <c r="O81" s="69"/>
      <c r="R81" s="51" t="str">
        <f>A81</f>
        <v>Nominale matching</v>
      </c>
      <c r="S81" s="52">
        <f>D81</f>
        <v>0.5674012860953721</v>
      </c>
      <c r="T81" s="52">
        <f>B81-D81</f>
        <v>9.3950783100362756E-3</v>
      </c>
      <c r="U81" s="52">
        <f>F81-B81</f>
        <v>9.1490042805018046E-3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8.7322272769675427E-2</v>
      </c>
      <c r="C82" s="54">
        <v>2.2515901462204214E-2</v>
      </c>
      <c r="D82" s="55">
        <v>6.9127651414627969E-2</v>
      </c>
      <c r="E82" s="1">
        <v>8.5627012205453046E-2</v>
      </c>
      <c r="F82" s="56">
        <v>0.10398826675206124</v>
      </c>
      <c r="G82" s="2">
        <v>1</v>
      </c>
      <c r="H82" s="2">
        <v>-0.16396834252050344</v>
      </c>
      <c r="I82" s="2">
        <v>-0.31226651961028018</v>
      </c>
      <c r="J82" s="2">
        <v>0.17247713399261305</v>
      </c>
      <c r="K82" s="2">
        <v>-0.18119370783045799</v>
      </c>
      <c r="L82" s="2">
        <v>0.99999999999999867</v>
      </c>
      <c r="M82" s="2" t="s">
        <v>147</v>
      </c>
      <c r="N82" s="2" t="s">
        <v>147</v>
      </c>
      <c r="O82" s="69"/>
      <c r="R82" s="51" t="str">
        <f t="shared" ref="R82:R88" si="35">A82</f>
        <v>High Yield</v>
      </c>
      <c r="S82" s="52">
        <f t="shared" ref="S82:S88" si="36">D82</f>
        <v>6.9127651414627969E-2</v>
      </c>
      <c r="T82" s="52">
        <f t="shared" ref="T82:T88" si="37">B82-D82</f>
        <v>1.8194621355047458E-2</v>
      </c>
      <c r="U82" s="52">
        <f t="shared" ref="U82:U88" si="38">F82-B82</f>
        <v>1.6665993982385816E-2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6.9222715134591023E-2</v>
      </c>
      <c r="C83" s="54">
        <v>1.4635847055157393E-2</v>
      </c>
      <c r="D83" s="55">
        <v>5.7779391933745462E-2</v>
      </c>
      <c r="E83" s="1">
        <v>6.6162855930474232E-2</v>
      </c>
      <c r="F83" s="56">
        <v>7.7400513116353917E-2</v>
      </c>
      <c r="G83" s="2">
        <v>-0.10588768320344853</v>
      </c>
      <c r="H83" s="2">
        <v>-0.55473086499177282</v>
      </c>
      <c r="I83" s="2">
        <v>1</v>
      </c>
      <c r="J83" s="2">
        <v>0.30157765735305481</v>
      </c>
      <c r="K83" s="2">
        <v>-0.1186369257136448</v>
      </c>
      <c r="L83" s="2">
        <v>0.99999999999999845</v>
      </c>
      <c r="M83" s="2" t="s">
        <v>147</v>
      </c>
      <c r="N83" s="2" t="s">
        <v>147</v>
      </c>
      <c r="O83" s="69"/>
      <c r="R83" s="51" t="str">
        <f t="shared" si="35"/>
        <v>Emerging market debt</v>
      </c>
      <c r="S83" s="52">
        <f t="shared" si="36"/>
        <v>5.7779391933745462E-2</v>
      </c>
      <c r="T83" s="52">
        <f t="shared" si="37"/>
        <v>1.1443323200845561E-2</v>
      </c>
      <c r="U83" s="52">
        <f t="shared" si="38"/>
        <v>8.1777979817628937E-3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8.0585503117667059E-2</v>
      </c>
      <c r="C84" s="54">
        <v>4.5572830864013718E-3</v>
      </c>
      <c r="D84" s="55">
        <v>7.7037816467728781E-2</v>
      </c>
      <c r="E84" s="1">
        <v>7.9402863942355198E-2</v>
      </c>
      <c r="F84" s="56">
        <v>8.3162916507261014E-2</v>
      </c>
      <c r="G84" s="2">
        <v>-3.5649927176871592E-2</v>
      </c>
      <c r="H84" s="2">
        <v>-3.2601275512885178E-2</v>
      </c>
      <c r="I84" s="2">
        <v>-9.6348501961086616E-2</v>
      </c>
      <c r="J84" s="2">
        <v>-0.17488612763506833</v>
      </c>
      <c r="K84" s="2">
        <v>1</v>
      </c>
      <c r="L84" s="2">
        <v>1</v>
      </c>
      <c r="M84" s="2" t="s">
        <v>147</v>
      </c>
      <c r="N84" s="2" t="s">
        <v>147</v>
      </c>
      <c r="O84" s="69"/>
      <c r="R84" s="51" t="str">
        <f t="shared" si="35"/>
        <v>Aandelen ontwikkeld</v>
      </c>
      <c r="S84" s="52">
        <f t="shared" si="36"/>
        <v>7.7037816467728781E-2</v>
      </c>
      <c r="T84" s="52">
        <f t="shared" si="37"/>
        <v>3.5476866499382781E-3</v>
      </c>
      <c r="U84" s="52">
        <f t="shared" si="38"/>
        <v>2.5774133895939549E-3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4.8572327433171678E-2</v>
      </c>
      <c r="C85" s="54">
        <v>1.5403344129177661E-2</v>
      </c>
      <c r="D85" s="55">
        <v>3.6508589722343679E-2</v>
      </c>
      <c r="E85" s="1">
        <v>4.6796955346524408E-2</v>
      </c>
      <c r="F85" s="56">
        <v>5.7953724966450973E-2</v>
      </c>
      <c r="G85" s="2">
        <v>1.1154110720989456E-2</v>
      </c>
      <c r="H85" s="2">
        <v>1</v>
      </c>
      <c r="I85" s="2">
        <v>0.35567971458315778</v>
      </c>
      <c r="J85" s="2">
        <v>-0.55374103689183196</v>
      </c>
      <c r="K85" s="2">
        <v>-0.21650440440510835</v>
      </c>
      <c r="L85" s="2">
        <v>0.999999999999998</v>
      </c>
      <c r="M85" s="2" t="s">
        <v>147</v>
      </c>
      <c r="N85" s="2" t="s">
        <v>147</v>
      </c>
      <c r="O85" s="69"/>
      <c r="R85" s="51" t="str">
        <f t="shared" si="35"/>
        <v>Aandelen opkomend</v>
      </c>
      <c r="S85" s="52">
        <f t="shared" si="36"/>
        <v>3.6508589722343679E-2</v>
      </c>
      <c r="T85" s="52">
        <f t="shared" si="37"/>
        <v>1.2063737710827999E-2</v>
      </c>
      <c r="U85" s="52">
        <f t="shared" si="38"/>
        <v>9.3813975332792954E-3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6.0115475147098668E-2</v>
      </c>
      <c r="C86" s="54">
        <v>1.4133628608964423E-2</v>
      </c>
      <c r="D86" s="55">
        <v>4.9282908524376542E-2</v>
      </c>
      <c r="E86" s="1">
        <v>6.0384501712428873E-2</v>
      </c>
      <c r="F86" s="56">
        <v>7.0681443176428826E-2</v>
      </c>
      <c r="G86" s="2">
        <v>-0.41767101981857269</v>
      </c>
      <c r="H86" s="2">
        <v>-0.56852215027326325</v>
      </c>
      <c r="I86" s="2">
        <v>-0.50385950928776801</v>
      </c>
      <c r="J86" s="2">
        <v>-0.74542762681876895</v>
      </c>
      <c r="K86" s="2">
        <v>-0.34701738677028399</v>
      </c>
      <c r="L86" s="2">
        <v>0.999999999999998</v>
      </c>
      <c r="M86" s="2" t="s">
        <v>147</v>
      </c>
      <c r="N86" s="2" t="s">
        <v>147</v>
      </c>
      <c r="O86" s="69"/>
      <c r="R86" s="51" t="str">
        <f t="shared" si="35"/>
        <v>Commodities</v>
      </c>
      <c r="S86" s="52">
        <f t="shared" si="36"/>
        <v>4.9282908524376542E-2</v>
      </c>
      <c r="T86" s="52">
        <f t="shared" si="37"/>
        <v>1.0832566622722126E-2</v>
      </c>
      <c r="U86" s="52">
        <f t="shared" si="38"/>
        <v>1.0565968029330158E-2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3.0634868515694108E-2</v>
      </c>
      <c r="C87" s="54">
        <v>1.5280855091765204E-16</v>
      </c>
      <c r="D87" s="55">
        <v>3.0634868515694261E-2</v>
      </c>
      <c r="E87" s="1">
        <v>3.0634868515694261E-2</v>
      </c>
      <c r="F87" s="56">
        <v>3.0634868515694261E-2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 t="s">
        <v>147</v>
      </c>
      <c r="N87" s="2" t="s">
        <v>147</v>
      </c>
      <c r="O87" s="69"/>
      <c r="R87" s="51" t="str">
        <f t="shared" si="35"/>
        <v>Hedge funds</v>
      </c>
      <c r="S87" s="52">
        <f t="shared" si="36"/>
        <v>3.0634868515694261E-2</v>
      </c>
      <c r="T87" s="52">
        <f t="shared" si="37"/>
        <v>-1.5265566588595902E-16</v>
      </c>
      <c r="U87" s="52">
        <f t="shared" si="38"/>
        <v>1.5265566588595902E-16</v>
      </c>
    </row>
    <row r="88" spans="1:36">
      <c r="A88" s="60" t="str">
        <f t="shared" si="34"/>
        <v>Onroerend goed</v>
      </c>
      <c r="B88" s="286">
        <v>4.6750473476693123E-2</v>
      </c>
      <c r="C88" s="62">
        <v>4.0285890696471903E-16</v>
      </c>
      <c r="D88" s="63">
        <v>4.6750473476693526E-2</v>
      </c>
      <c r="E88" s="61">
        <v>4.6750473476693526E-2</v>
      </c>
      <c r="F88" s="64">
        <v>4.6750473476693526E-2</v>
      </c>
      <c r="G88" s="65">
        <v>0</v>
      </c>
      <c r="H88" s="65">
        <v>0</v>
      </c>
      <c r="I88" s="65">
        <v>0</v>
      </c>
      <c r="J88" s="65">
        <v>0</v>
      </c>
      <c r="K88" s="65">
        <v>0</v>
      </c>
      <c r="L88" s="65">
        <v>0</v>
      </c>
      <c r="M88" s="65" t="s">
        <v>147</v>
      </c>
      <c r="N88" s="65" t="s">
        <v>147</v>
      </c>
      <c r="O88" s="71"/>
      <c r="R88" s="51" t="str">
        <f t="shared" si="35"/>
        <v>Onroerend goed</v>
      </c>
      <c r="S88" s="52">
        <f t="shared" si="36"/>
        <v>4.6750473476693526E-2</v>
      </c>
      <c r="T88" s="52">
        <f t="shared" si="37"/>
        <v>-4.0245584642661925E-16</v>
      </c>
      <c r="U88" s="52">
        <f t="shared" si="38"/>
        <v>4.0245584642661925E-16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A49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403" t="s">
        <v>64</v>
      </c>
      <c r="E2" s="404"/>
      <c r="F2" s="405"/>
      <c r="G2" s="403" t="s">
        <v>65</v>
      </c>
      <c r="H2" s="404"/>
      <c r="I2" s="404"/>
      <c r="J2" s="404"/>
      <c r="K2" s="404"/>
      <c r="L2" s="404"/>
      <c r="M2" s="404"/>
      <c r="N2" s="405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0.4726587069824989</v>
      </c>
      <c r="H3" s="272">
        <v>0.33379983751082942</v>
      </c>
      <c r="I3" s="272">
        <v>0.19165215595900209</v>
      </c>
      <c r="J3" s="272">
        <v>1.8853867729202722E-3</v>
      </c>
      <c r="K3" s="272">
        <v>3.912774749981196E-6</v>
      </c>
      <c r="L3" s="272">
        <v>0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0.2275155590645036</v>
      </c>
      <c r="C4" s="118">
        <v>4.8057672539001686E-2</v>
      </c>
      <c r="D4" s="119">
        <v>0.17931875226053665</v>
      </c>
      <c r="E4" s="117">
        <v>0.22342976532172332</v>
      </c>
      <c r="F4" s="120">
        <v>0.27776532691002753</v>
      </c>
      <c r="G4" s="2">
        <v>1</v>
      </c>
      <c r="H4" s="2">
        <v>-0.265712297896949</v>
      </c>
      <c r="I4" s="2">
        <v>-0.34327758109423451</v>
      </c>
      <c r="J4" s="2">
        <v>-0.25382515336863665</v>
      </c>
      <c r="K4" s="2">
        <v>-0.23909487132820637</v>
      </c>
      <c r="L4" s="2">
        <v>0.94870762539872222</v>
      </c>
      <c r="M4" s="2">
        <v>-3.2480313958378838E-2</v>
      </c>
      <c r="N4" s="57"/>
      <c r="O4" s="72"/>
      <c r="Q4" s="72" t="str">
        <f>A4</f>
        <v>High Yield</v>
      </c>
      <c r="R4" s="72">
        <f>D4</f>
        <v>0.17931875226053665</v>
      </c>
      <c r="S4" s="52">
        <f>B4-D4</f>
        <v>4.8196806803966957E-2</v>
      </c>
      <c r="T4" s="52">
        <f>F4-B4</f>
        <v>5.0249767845523929E-2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0.19659814181256774</v>
      </c>
      <c r="C5" s="118">
        <v>4.4331568951806323E-2</v>
      </c>
      <c r="D5" s="119">
        <v>0.14950353377783079</v>
      </c>
      <c r="E5" s="117">
        <v>0.19067159933466493</v>
      </c>
      <c r="F5" s="120">
        <v>0.2468010971742709</v>
      </c>
      <c r="G5" s="2">
        <v>-0.62777600179618631</v>
      </c>
      <c r="H5" s="2">
        <v>-0.98264310649364606</v>
      </c>
      <c r="I5" s="2">
        <v>-0.25653476023062155</v>
      </c>
      <c r="J5" s="2">
        <v>-0.24973824969141536</v>
      </c>
      <c r="K5" s="2">
        <v>-0.25105456521673497</v>
      </c>
      <c r="L5" s="2">
        <v>0.94870762539883124</v>
      </c>
      <c r="M5" s="2">
        <v>-3.2480313958378998E-2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0.14950353377783079</v>
      </c>
      <c r="S5" s="52">
        <f t="shared" ref="S5:S10" si="2">B5-D5</f>
        <v>4.7094608034736946E-2</v>
      </c>
      <c r="T5" s="52">
        <f t="shared" ref="T5:T10" si="3">F5-B5</f>
        <v>5.0202955361703161E-2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0.27133165359130951</v>
      </c>
      <c r="C6" s="118">
        <v>3.9500843114937921E-2</v>
      </c>
      <c r="D6" s="119">
        <v>0.23383164932612815</v>
      </c>
      <c r="E6" s="117">
        <v>0.26962922941152051</v>
      </c>
      <c r="F6" s="120">
        <v>0.31309329437822397</v>
      </c>
      <c r="G6" s="2">
        <v>-0.35027556776010421</v>
      </c>
      <c r="H6" s="2">
        <v>1</v>
      </c>
      <c r="I6" s="2">
        <v>-0.45481561505118395</v>
      </c>
      <c r="J6" s="2">
        <v>-0.29295991938642096</v>
      </c>
      <c r="K6" s="2">
        <v>-0.38598606905151284</v>
      </c>
      <c r="L6" s="2">
        <v>0.94870762540006048</v>
      </c>
      <c r="M6" s="2">
        <v>-3.2480313958380698E-2</v>
      </c>
      <c r="N6" s="57"/>
      <c r="O6" s="72"/>
      <c r="Q6" s="72" t="str">
        <f t="shared" si="0"/>
        <v>Aandelen ontwikkeld</v>
      </c>
      <c r="R6" s="72">
        <f t="shared" si="1"/>
        <v>0.23383164932612815</v>
      </c>
      <c r="S6" s="52">
        <f t="shared" si="2"/>
        <v>3.7500004265181353E-2</v>
      </c>
      <c r="T6" s="52">
        <f t="shared" si="3"/>
        <v>4.1761640786914467E-2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0.10555599005059685</v>
      </c>
      <c r="C7" s="118">
        <v>3.0859881106416246E-2</v>
      </c>
      <c r="D7" s="119">
        <v>7.4774577957042745E-2</v>
      </c>
      <c r="E7" s="117">
        <v>0.10000520463110077</v>
      </c>
      <c r="F7" s="120">
        <v>0.14110371536532723</v>
      </c>
      <c r="G7" s="2">
        <v>2.4569980506773156E-2</v>
      </c>
      <c r="H7" s="2">
        <v>0.10709857324114475</v>
      </c>
      <c r="I7" s="2">
        <v>1</v>
      </c>
      <c r="J7" s="2">
        <v>-0.27883143634462615</v>
      </c>
      <c r="K7" s="2">
        <v>-0.37959987951228302</v>
      </c>
      <c r="L7" s="2">
        <v>0.94870762540000142</v>
      </c>
      <c r="M7" s="2">
        <v>-3.2480313958380594E-2</v>
      </c>
      <c r="N7" s="57"/>
      <c r="O7" s="72"/>
      <c r="Q7" s="72" t="str">
        <f t="shared" si="0"/>
        <v>Aandelen opkomend</v>
      </c>
      <c r="R7" s="72">
        <f t="shared" si="1"/>
        <v>7.4774577957042745E-2</v>
      </c>
      <c r="S7" s="52">
        <f t="shared" si="2"/>
        <v>3.0781412093554103E-2</v>
      </c>
      <c r="T7" s="52">
        <f t="shared" si="3"/>
        <v>3.5547725314730383E-2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2.5458370793689658E-3</v>
      </c>
      <c r="C8" s="118">
        <v>3.1687122926497336E-3</v>
      </c>
      <c r="D8" s="119">
        <v>5.0815875857100815E-5</v>
      </c>
      <c r="E8" s="117">
        <v>1.233015748245705E-3</v>
      </c>
      <c r="F8" s="120">
        <v>5.3432703401619791E-3</v>
      </c>
      <c r="G8" s="2">
        <v>3.2308975555057542E-3</v>
      </c>
      <c r="H8" s="2">
        <v>4.6150360276118714E-3</v>
      </c>
      <c r="I8" s="2">
        <v>-8.0694223847114117E-3</v>
      </c>
      <c r="J8" s="2">
        <v>1</v>
      </c>
      <c r="K8" s="2">
        <v>-0.40754543996268899</v>
      </c>
      <c r="L8" s="2">
        <v>0.94870762540022602</v>
      </c>
      <c r="M8" s="2">
        <v>-3.2480313958381073E-2</v>
      </c>
      <c r="N8" s="57"/>
      <c r="O8" s="72"/>
      <c r="Q8" s="72" t="str">
        <f t="shared" si="0"/>
        <v>Commodities</v>
      </c>
      <c r="R8" s="72">
        <f t="shared" si="1"/>
        <v>5.0815875857100815E-5</v>
      </c>
      <c r="S8" s="52">
        <f t="shared" si="2"/>
        <v>2.495021203511865E-3</v>
      </c>
      <c r="T8" s="52">
        <f t="shared" si="3"/>
        <v>2.7974332607930133E-3</v>
      </c>
      <c r="U8" s="52"/>
      <c r="V8" s="52"/>
      <c r="W8" s="52"/>
    </row>
    <row r="9" spans="1:23">
      <c r="A9" s="59" t="str">
        <f>+'Samenvatting mixen'!A10</f>
        <v>Hedge funds</v>
      </c>
      <c r="B9" s="117">
        <v>7.8341182989159514E-2</v>
      </c>
      <c r="C9" s="118">
        <v>2.171956952095197E-3</v>
      </c>
      <c r="D9" s="119">
        <v>7.6172302858184951E-2</v>
      </c>
      <c r="E9" s="117">
        <v>7.8198669282889044E-2</v>
      </c>
      <c r="F9" s="120">
        <v>8.0683540011039043E-2</v>
      </c>
      <c r="G9" s="2">
        <v>-1.983896038225014E-2</v>
      </c>
      <c r="H9" s="2">
        <v>5.4489825916985396E-2</v>
      </c>
      <c r="I9" s="2">
        <v>2.5002373915524158E-2</v>
      </c>
      <c r="J9" s="2">
        <v>3.0049866403497272E-2</v>
      </c>
      <c r="K9" s="2">
        <v>0.66328082509085373</v>
      </c>
      <c r="L9" s="2">
        <v>0.87137631612856359</v>
      </c>
      <c r="M9" s="2">
        <v>1</v>
      </c>
      <c r="N9" s="57"/>
      <c r="O9" s="72"/>
      <c r="Q9" s="72" t="str">
        <f t="shared" si="0"/>
        <v>Hedge funds</v>
      </c>
      <c r="R9" s="72">
        <f t="shared" si="1"/>
        <v>7.6172302858184951E-2</v>
      </c>
      <c r="S9" s="52">
        <f t="shared" si="2"/>
        <v>2.1688801309745626E-3</v>
      </c>
      <c r="T9" s="52">
        <f t="shared" si="3"/>
        <v>2.3423570218795292E-3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0.1181116354124938</v>
      </c>
      <c r="C10" s="122">
        <v>3.2745661715753833E-3</v>
      </c>
      <c r="D10" s="123">
        <v>0.11484170803191623</v>
      </c>
      <c r="E10" s="121">
        <v>0.11789677362110815</v>
      </c>
      <c r="F10" s="124">
        <v>0.12164310644749707</v>
      </c>
      <c r="G10" s="65">
        <v>-2.9910348123738103E-2</v>
      </c>
      <c r="H10" s="65">
        <v>8.2151969204853403E-2</v>
      </c>
      <c r="I10" s="65">
        <v>3.7695004845227573E-2</v>
      </c>
      <c r="J10" s="65">
        <v>4.530489238763475E-2</v>
      </c>
      <c r="K10" s="65">
        <v>1</v>
      </c>
      <c r="L10" s="65">
        <v>1</v>
      </c>
      <c r="M10" s="65">
        <v>-0.71730470849012717</v>
      </c>
      <c r="N10" s="66"/>
      <c r="O10" s="72"/>
      <c r="Q10" s="72" t="str">
        <f t="shared" si="0"/>
        <v>Onroerend goed</v>
      </c>
      <c r="R10" s="72">
        <f t="shared" si="1"/>
        <v>0.11484170803191623</v>
      </c>
      <c r="S10" s="52">
        <f t="shared" si="2"/>
        <v>3.2699273805775614E-3</v>
      </c>
      <c r="T10" s="52">
        <f t="shared" si="3"/>
        <v>3.5314710350032724E-3</v>
      </c>
      <c r="U10" s="52"/>
      <c r="V10" s="52"/>
      <c r="W10" s="52"/>
    </row>
    <row r="12" spans="1:23">
      <c r="A12" s="48" t="s">
        <v>68</v>
      </c>
      <c r="D12" s="403" t="s">
        <v>64</v>
      </c>
      <c r="E12" s="404"/>
      <c r="F12" s="405"/>
      <c r="G12" s="403" t="s">
        <v>65</v>
      </c>
      <c r="H12" s="404"/>
      <c r="I12" s="404"/>
      <c r="J12" s="404"/>
      <c r="K12" s="404"/>
      <c r="L12" s="404"/>
      <c r="M12" s="404"/>
      <c r="N12" s="405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0.54977357526995563</v>
      </c>
      <c r="H13" s="272">
        <v>0.3381594603571999</v>
      </c>
      <c r="I13" s="272">
        <v>0.10229388324698874</v>
      </c>
      <c r="J13" s="272">
        <v>9.2474107722093635E-3</v>
      </c>
      <c r="K13" s="272">
        <v>5.2567035364869952E-4</v>
      </c>
      <c r="L13" s="272">
        <v>0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0.22643184816122536</v>
      </c>
      <c r="C14" s="118">
        <v>5.3668479892724261E-2</v>
      </c>
      <c r="D14" s="119">
        <v>0.16841577234071184</v>
      </c>
      <c r="E14" s="117">
        <v>0.22019163932292973</v>
      </c>
      <c r="F14" s="120">
        <v>0.28851314686346002</v>
      </c>
      <c r="G14" s="2">
        <v>1</v>
      </c>
      <c r="H14" s="2">
        <v>-0.41829231488962981</v>
      </c>
      <c r="I14" s="2">
        <v>-7.1393544339439396E-2</v>
      </c>
      <c r="J14" s="2">
        <v>-0.14731371742593952</v>
      </c>
      <c r="K14" s="2">
        <v>-0.23376483678972104</v>
      </c>
      <c r="L14" s="2">
        <v>0.96466784760234492</v>
      </c>
      <c r="M14" s="2">
        <v>-5.8805106940723433E-2</v>
      </c>
      <c r="N14" s="57"/>
      <c r="Q14" s="51" t="str">
        <f t="shared" ref="Q14:Q20" si="4">A14</f>
        <v>High Yield</v>
      </c>
      <c r="R14" s="72">
        <f>D14</f>
        <v>0.16841577234071184</v>
      </c>
      <c r="S14" s="52">
        <f>B14-D14</f>
        <v>5.8016075820513519E-2</v>
      </c>
      <c r="T14" s="52">
        <f>F14-B14</f>
        <v>6.2081298702234666E-2</v>
      </c>
      <c r="U14" s="52"/>
    </row>
    <row r="15" spans="1:23">
      <c r="A15" s="59" t="str">
        <f t="shared" ref="A15:A20" si="5">A5</f>
        <v>Emerging market debt</v>
      </c>
      <c r="B15" s="117">
        <v>0.16200185296135</v>
      </c>
      <c r="C15" s="118">
        <v>2.595722454056076E-2</v>
      </c>
      <c r="D15" s="119">
        <v>0.13773387876542881</v>
      </c>
      <c r="E15" s="117">
        <v>0.15680059953780864</v>
      </c>
      <c r="F15" s="120">
        <v>0.18884846716347439</v>
      </c>
      <c r="G15" s="2">
        <v>-0.20120609490940211</v>
      </c>
      <c r="H15" s="2">
        <v>-7.1443576881556975E-2</v>
      </c>
      <c r="I15" s="2">
        <v>1</v>
      </c>
      <c r="J15" s="2">
        <v>-2.9872995968188331E-2</v>
      </c>
      <c r="K15" s="2">
        <v>-0.22988017208756126</v>
      </c>
      <c r="L15" s="2">
        <v>0.96466784760234692</v>
      </c>
      <c r="M15" s="2">
        <v>-5.8805106940723433E-2</v>
      </c>
      <c r="N15" s="57"/>
      <c r="Q15" s="51" t="str">
        <f t="shared" si="4"/>
        <v>Emerging market debt</v>
      </c>
      <c r="R15" s="72">
        <f t="shared" ref="R15:R20" si="6">D15</f>
        <v>0.13773387876542881</v>
      </c>
      <c r="S15" s="52">
        <f t="shared" ref="S15:S20" si="7">B15-D15</f>
        <v>2.4267974195921194E-2</v>
      </c>
      <c r="T15" s="52">
        <f t="shared" ref="T15:T20" si="8">F15-B15</f>
        <v>2.6846614202124391E-2</v>
      </c>
      <c r="U15" s="52"/>
    </row>
    <row r="16" spans="1:23">
      <c r="A16" s="59" t="str">
        <f t="shared" si="5"/>
        <v>Aandelen ontwikkeld</v>
      </c>
      <c r="B16" s="117">
        <v>0.20109955634810525</v>
      </c>
      <c r="C16" s="118">
        <v>1.1589351635861221E-2</v>
      </c>
      <c r="D16" s="119">
        <v>0.19016780472342332</v>
      </c>
      <c r="E16" s="117">
        <v>0.19948208464941597</v>
      </c>
      <c r="F16" s="120">
        <v>0.2127159272792207</v>
      </c>
      <c r="G16" s="2">
        <v>-0.14688406345511812</v>
      </c>
      <c r="H16" s="2">
        <v>-2.8133922411653463E-2</v>
      </c>
      <c r="I16" s="2">
        <v>-0.23324848747304069</v>
      </c>
      <c r="J16" s="2">
        <v>1</v>
      </c>
      <c r="K16" s="2">
        <v>-0.36837449231129393</v>
      </c>
      <c r="L16" s="2">
        <v>0.9646678476023357</v>
      </c>
      <c r="M16" s="2">
        <v>-5.8805106940723564E-2</v>
      </c>
      <c r="N16" s="57"/>
      <c r="Q16" s="51" t="str">
        <f t="shared" si="4"/>
        <v>Aandelen ontwikkeld</v>
      </c>
      <c r="R16" s="72">
        <f t="shared" si="6"/>
        <v>0.19016780472342332</v>
      </c>
      <c r="S16" s="52">
        <f t="shared" si="7"/>
        <v>1.0931751624681935E-2</v>
      </c>
      <c r="T16" s="52">
        <f t="shared" si="8"/>
        <v>1.1616370931115449E-2</v>
      </c>
      <c r="U16" s="52"/>
    </row>
    <row r="17" spans="1:24">
      <c r="A17" s="59" t="str">
        <f t="shared" si="5"/>
        <v>Aandelen opkomend</v>
      </c>
      <c r="B17" s="117">
        <v>0.11977595392135246</v>
      </c>
      <c r="C17" s="118">
        <v>4.0831610888166191E-2</v>
      </c>
      <c r="D17" s="119">
        <v>8.0199352391903206E-2</v>
      </c>
      <c r="E17" s="117">
        <v>0.11014012556614318</v>
      </c>
      <c r="F17" s="120">
        <v>0.15990974040095751</v>
      </c>
      <c r="G17" s="2">
        <v>9.4913550208787487E-2</v>
      </c>
      <c r="H17" s="2">
        <v>1</v>
      </c>
      <c r="I17" s="2">
        <v>-0.16236423512497117</v>
      </c>
      <c r="J17" s="2">
        <v>-0.29085924035240351</v>
      </c>
      <c r="K17" s="2">
        <v>-0.36917543232374833</v>
      </c>
      <c r="L17" s="2">
        <v>0.9646678476023286</v>
      </c>
      <c r="M17" s="2">
        <v>-5.8805106940723592E-2</v>
      </c>
      <c r="N17" s="57"/>
      <c r="Q17" s="51" t="str">
        <f t="shared" si="4"/>
        <v>Aandelen opkomend</v>
      </c>
      <c r="R17" s="72">
        <f t="shared" si="6"/>
        <v>8.0199352391903206E-2</v>
      </c>
      <c r="S17" s="52">
        <f t="shared" si="7"/>
        <v>3.9576601529449251E-2</v>
      </c>
      <c r="T17" s="52">
        <f t="shared" si="8"/>
        <v>4.0133786479605055E-2</v>
      </c>
      <c r="U17" s="52"/>
    </row>
    <row r="18" spans="1:24">
      <c r="A18" s="59" t="str">
        <f t="shared" si="5"/>
        <v>Commodities</v>
      </c>
      <c r="B18" s="117">
        <v>8.4173650407371528E-2</v>
      </c>
      <c r="C18" s="118">
        <v>3.8494305474664009E-2</v>
      </c>
      <c r="D18" s="119">
        <v>4.2561985301584719E-2</v>
      </c>
      <c r="E18" s="117">
        <v>8.2958823220956518E-2</v>
      </c>
      <c r="F18" s="120">
        <v>0.12301153329315848</v>
      </c>
      <c r="G18" s="2">
        <v>-0.61378201718964098</v>
      </c>
      <c r="H18" s="2">
        <v>-0.49856368771993292</v>
      </c>
      <c r="I18" s="2">
        <v>-0.39821408706643313</v>
      </c>
      <c r="J18" s="2">
        <v>-0.512285539520556</v>
      </c>
      <c r="K18" s="2">
        <v>-0.46208589157817487</v>
      </c>
      <c r="L18" s="2">
        <v>0.96466784760231539</v>
      </c>
      <c r="M18" s="2">
        <v>-5.8805106940723696E-2</v>
      </c>
      <c r="N18" s="57"/>
      <c r="Q18" s="51" t="str">
        <f t="shared" si="4"/>
        <v>Commodities</v>
      </c>
      <c r="R18" s="72">
        <f t="shared" si="6"/>
        <v>4.2561985301584719E-2</v>
      </c>
      <c r="S18" s="52">
        <f t="shared" si="7"/>
        <v>4.1611665105786809E-2</v>
      </c>
      <c r="T18" s="52">
        <f t="shared" si="8"/>
        <v>3.8837882885786948E-2</v>
      </c>
      <c r="U18" s="52"/>
    </row>
    <row r="19" spans="1:24">
      <c r="A19" s="59" t="str">
        <f t="shared" si="5"/>
        <v>Hedge funds</v>
      </c>
      <c r="B19" s="117">
        <v>8.2354618507393382E-2</v>
      </c>
      <c r="C19" s="118">
        <v>3.1255195432161758E-3</v>
      </c>
      <c r="D19" s="119">
        <v>7.8847971529003469E-2</v>
      </c>
      <c r="E19" s="117">
        <v>8.2456133546022478E-2</v>
      </c>
      <c r="F19" s="120">
        <v>8.5464158448331745E-2</v>
      </c>
      <c r="G19" s="2">
        <v>-5.3054055226828482E-2</v>
      </c>
      <c r="H19" s="2">
        <v>6.5533291412785046E-3</v>
      </c>
      <c r="I19" s="2">
        <v>-5.3747240666246102E-2</v>
      </c>
      <c r="J19" s="2">
        <v>-7.8433798895009999E-3</v>
      </c>
      <c r="K19" s="2">
        <v>0.66328082509025155</v>
      </c>
      <c r="L19" s="2">
        <v>1</v>
      </c>
      <c r="M19" s="2">
        <v>1</v>
      </c>
      <c r="N19" s="57"/>
      <c r="Q19" s="51" t="str">
        <f t="shared" si="4"/>
        <v>Hedge funds</v>
      </c>
      <c r="R19" s="72">
        <f t="shared" si="6"/>
        <v>7.8847971529003469E-2</v>
      </c>
      <c r="S19" s="52">
        <f t="shared" si="7"/>
        <v>3.5066469783899129E-3</v>
      </c>
      <c r="T19" s="52">
        <f t="shared" si="8"/>
        <v>3.1095399409383634E-3</v>
      </c>
      <c r="U19" s="52"/>
    </row>
    <row r="20" spans="1:24">
      <c r="A20" s="60" t="str">
        <f t="shared" si="5"/>
        <v>Onroerend goed</v>
      </c>
      <c r="B20" s="121">
        <v>0.12416251969320172</v>
      </c>
      <c r="C20" s="122">
        <v>4.7122115173325197E-3</v>
      </c>
      <c r="D20" s="123">
        <v>0.11887569871822076</v>
      </c>
      <c r="E20" s="121">
        <v>0.12431556955502351</v>
      </c>
      <c r="F20" s="124">
        <v>0.12885063945079489</v>
      </c>
      <c r="G20" s="65">
        <v>-7.9987319427797826E-2</v>
      </c>
      <c r="H20" s="65">
        <v>9.8801727614946325E-3</v>
      </c>
      <c r="I20" s="65">
        <v>-8.1032405329871368E-2</v>
      </c>
      <c r="J20" s="65">
        <v>-1.182512684341972E-2</v>
      </c>
      <c r="K20" s="65">
        <v>1</v>
      </c>
      <c r="L20" s="65">
        <v>0.9412327084080313</v>
      </c>
      <c r="M20" s="65">
        <v>-0.76109023188215297</v>
      </c>
      <c r="N20" s="66"/>
      <c r="Q20" s="51" t="str">
        <f t="shared" si="4"/>
        <v>Onroerend goed</v>
      </c>
      <c r="R20" s="72">
        <f t="shared" si="6"/>
        <v>0.11887569871822076</v>
      </c>
      <c r="S20" s="52">
        <f t="shared" si="7"/>
        <v>5.2868209749809547E-3</v>
      </c>
      <c r="T20" s="52">
        <f t="shared" si="8"/>
        <v>4.6881197575931732E-3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403" t="s">
        <v>64</v>
      </c>
      <c r="E22" s="404"/>
      <c r="F22" s="405"/>
      <c r="G22" s="403" t="s">
        <v>65</v>
      </c>
      <c r="H22" s="404"/>
      <c r="I22" s="404"/>
      <c r="J22" s="404"/>
      <c r="K22" s="404"/>
      <c r="L22" s="404"/>
      <c r="M22" s="404"/>
      <c r="N22" s="405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0.82524153423845736</v>
      </c>
      <c r="H23" s="272">
        <v>0.10167059356185959</v>
      </c>
      <c r="I23" s="272">
        <v>5.326963675136398E-2</v>
      </c>
      <c r="J23" s="272">
        <v>1.9031925749542822E-2</v>
      </c>
      <c r="K23" s="272">
        <v>7.8630969877524493E-4</v>
      </c>
      <c r="L23" s="272">
        <v>0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0.15560473008383449</v>
      </c>
      <c r="C24" s="118">
        <v>1.594510004750796E-2</v>
      </c>
      <c r="D24" s="119">
        <v>0.14097293579353526</v>
      </c>
      <c r="E24" s="117">
        <v>0.15258628407904437</v>
      </c>
      <c r="F24" s="120">
        <v>0.17036869683569092</v>
      </c>
      <c r="G24" s="2">
        <v>-9.5996771296272779E-2</v>
      </c>
      <c r="H24" s="2">
        <v>-0.28377479178893344</v>
      </c>
      <c r="I24" s="2">
        <v>1</v>
      </c>
      <c r="J24" s="2">
        <v>-0.62654331915798223</v>
      </c>
      <c r="K24" s="2">
        <v>-0.32556852864496849</v>
      </c>
      <c r="L24" s="2">
        <v>0.87689683294620824</v>
      </c>
      <c r="M24" s="2">
        <v>-4.6328937150643939E-3</v>
      </c>
      <c r="N24" s="57"/>
      <c r="O24" s="67"/>
      <c r="Q24" s="51" t="str">
        <f t="shared" ref="Q24:Q30" si="9">A24</f>
        <v>High Yield</v>
      </c>
      <c r="R24" s="72">
        <f>D24</f>
        <v>0.14097293579353526</v>
      </c>
      <c r="S24" s="52">
        <f>B24-D24</f>
        <v>1.4631794290299233E-2</v>
      </c>
      <c r="T24" s="52">
        <f>F24-B24</f>
        <v>1.4763966751856428E-2</v>
      </c>
      <c r="U24" s="52"/>
    </row>
    <row r="25" spans="1:24">
      <c r="A25" s="59" t="str">
        <f t="shared" ref="A25:A30" si="10">A5</f>
        <v>Emerging market debt</v>
      </c>
      <c r="B25" s="117">
        <v>0.24545958092395068</v>
      </c>
      <c r="C25" s="118">
        <v>5.7196921178084649E-2</v>
      </c>
      <c r="D25" s="119">
        <v>0.18177237365014368</v>
      </c>
      <c r="E25" s="117">
        <v>0.24593242574535729</v>
      </c>
      <c r="F25" s="120">
        <v>0.30789777442334793</v>
      </c>
      <c r="G25" s="2">
        <v>1</v>
      </c>
      <c r="H25" s="2">
        <v>0.65234594007044577</v>
      </c>
      <c r="I25" s="2">
        <v>-0.1580115865945782</v>
      </c>
      <c r="J25" s="2">
        <v>-0.16327273663141836</v>
      </c>
      <c r="K25" s="2">
        <v>-0.17547296511455832</v>
      </c>
      <c r="L25" s="2">
        <v>0.8768968329462109</v>
      </c>
      <c r="M25" s="2">
        <v>-4.6328937150643366E-3</v>
      </c>
      <c r="N25" s="57"/>
      <c r="O25" s="67"/>
      <c r="Q25" s="51" t="str">
        <f t="shared" si="9"/>
        <v>Emerging market debt</v>
      </c>
      <c r="R25" s="72">
        <f t="shared" ref="R25:R30" si="11">D25</f>
        <v>0.18177237365014368</v>
      </c>
      <c r="S25" s="52">
        <f t="shared" ref="S25:S30" si="12">B25-D25</f>
        <v>6.3687207273807001E-2</v>
      </c>
      <c r="T25" s="52">
        <f t="shared" ref="T25:T30" si="13">F25-B25</f>
        <v>6.2438193499397249E-2</v>
      </c>
      <c r="U25" s="52"/>
      <c r="X25" s="51"/>
    </row>
    <row r="26" spans="1:24">
      <c r="A26" s="59" t="str">
        <f t="shared" si="10"/>
        <v>Aandelen ontwikkeld</v>
      </c>
      <c r="B26" s="117">
        <v>0.21234326312056756</v>
      </c>
      <c r="C26" s="118">
        <v>9.6565220611457628E-3</v>
      </c>
      <c r="D26" s="119">
        <v>0.20266485498286241</v>
      </c>
      <c r="E26" s="117">
        <v>0.21245882436871183</v>
      </c>
      <c r="F26" s="120">
        <v>0.22168030780608838</v>
      </c>
      <c r="G26" s="2">
        <v>-4.5808281269612561E-2</v>
      </c>
      <c r="H26" s="2">
        <v>-0.24920090609613496</v>
      </c>
      <c r="I26" s="2">
        <v>0.12256643522994019</v>
      </c>
      <c r="J26" s="2">
        <v>1</v>
      </c>
      <c r="K26" s="2">
        <v>-0.75246069360958734</v>
      </c>
      <c r="L26" s="2">
        <v>0.87689683294620069</v>
      </c>
      <c r="M26" s="2">
        <v>-4.6328937150648536E-3</v>
      </c>
      <c r="N26" s="57"/>
      <c r="O26" s="67"/>
      <c r="P26" s="72"/>
      <c r="Q26" s="51" t="str">
        <f t="shared" si="9"/>
        <v>Aandelen ontwikkeld</v>
      </c>
      <c r="R26" s="72">
        <f t="shared" si="11"/>
        <v>0.20266485498286241</v>
      </c>
      <c r="S26" s="52">
        <f t="shared" si="12"/>
        <v>9.6784081377051523E-3</v>
      </c>
      <c r="T26" s="52">
        <f t="shared" si="13"/>
        <v>9.3370446855208233E-3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9.1302536872340023E-2</v>
      </c>
      <c r="C27" s="118">
        <v>1.8559655609698834E-2</v>
      </c>
      <c r="D27" s="119">
        <v>7.3612414821564803E-2</v>
      </c>
      <c r="E27" s="117">
        <v>8.7343409380055956E-2</v>
      </c>
      <c r="F27" s="120">
        <v>0.10948617542255412</v>
      </c>
      <c r="G27" s="2">
        <v>-8.690934322988049E-2</v>
      </c>
      <c r="H27" s="2">
        <v>-0.80161961511773039</v>
      </c>
      <c r="I27" s="2">
        <v>-0.8526645349677946</v>
      </c>
      <c r="J27" s="2">
        <v>-0.48615479626565827</v>
      </c>
      <c r="K27" s="2">
        <v>-0.28831274725107275</v>
      </c>
      <c r="L27" s="2">
        <v>0.87689683294620924</v>
      </c>
      <c r="M27" s="2">
        <v>-4.6328937150643791E-3</v>
      </c>
      <c r="N27" s="57"/>
      <c r="O27" s="67"/>
      <c r="P27" s="72"/>
      <c r="Q27" s="51" t="str">
        <f t="shared" si="9"/>
        <v>Aandelen opkomend</v>
      </c>
      <c r="R27" s="72">
        <f t="shared" si="11"/>
        <v>7.3612414821564803E-2</v>
      </c>
      <c r="S27" s="52">
        <f t="shared" si="12"/>
        <v>1.769012205077522E-2</v>
      </c>
      <c r="T27" s="52">
        <f t="shared" si="13"/>
        <v>1.8183638550214098E-2</v>
      </c>
      <c r="U27" s="52"/>
      <c r="V27" s="52"/>
      <c r="W27" s="52"/>
    </row>
    <row r="28" spans="1:24">
      <c r="A28" s="59" t="str">
        <f t="shared" si="10"/>
        <v>Commodities</v>
      </c>
      <c r="B28" s="117">
        <v>7.4289253117700682E-2</v>
      </c>
      <c r="C28" s="118">
        <v>4.5990966460410981E-2</v>
      </c>
      <c r="D28" s="119">
        <v>2.153251691338014E-2</v>
      </c>
      <c r="E28" s="117">
        <v>7.5017732731894451E-2</v>
      </c>
      <c r="F28" s="120">
        <v>0.1259653120275778</v>
      </c>
      <c r="G28" s="2">
        <v>-0.76217746646178441</v>
      </c>
      <c r="H28" s="2">
        <v>1</v>
      </c>
      <c r="I28" s="2">
        <v>-0.24422892025012796</v>
      </c>
      <c r="J28" s="2">
        <v>-0.14257531656627598</v>
      </c>
      <c r="K28" s="2">
        <v>-0.12146589047013989</v>
      </c>
      <c r="L28" s="2">
        <v>0.87689683294621168</v>
      </c>
      <c r="M28" s="2">
        <v>-4.6328937150643072E-3</v>
      </c>
      <c r="N28" s="57"/>
      <c r="O28" s="67"/>
      <c r="P28" s="72"/>
      <c r="Q28" s="51" t="str">
        <f t="shared" si="9"/>
        <v>Commodities</v>
      </c>
      <c r="R28" s="72">
        <f t="shared" si="11"/>
        <v>2.153251691338014E-2</v>
      </c>
      <c r="S28" s="52">
        <f t="shared" si="12"/>
        <v>5.2756736204320545E-2</v>
      </c>
      <c r="T28" s="52">
        <f t="shared" si="13"/>
        <v>5.1676058909877115E-2</v>
      </c>
      <c r="U28" s="52"/>
      <c r="V28" s="52"/>
      <c r="W28" s="52"/>
    </row>
    <row r="29" spans="1:24">
      <c r="A29" s="59" t="str">
        <f t="shared" si="10"/>
        <v>Hedge funds</v>
      </c>
      <c r="B29" s="117">
        <v>8.813032766434413E-2</v>
      </c>
      <c r="C29" s="118">
        <v>2.7768517799204679E-3</v>
      </c>
      <c r="D29" s="119">
        <v>8.5052782294835955E-2</v>
      </c>
      <c r="E29" s="117">
        <v>8.8716146306892688E-2</v>
      </c>
      <c r="F29" s="120">
        <v>9.0960072862524666E-2</v>
      </c>
      <c r="G29" s="2">
        <v>-3.6321305613079536E-3</v>
      </c>
      <c r="H29" s="2">
        <v>-0.12671215522666679</v>
      </c>
      <c r="I29" s="2">
        <v>5.2773806347832325E-2</v>
      </c>
      <c r="J29" s="2">
        <v>0.16690726176468754</v>
      </c>
      <c r="K29" s="2">
        <v>0.66328082509026542</v>
      </c>
      <c r="L29" s="2">
        <v>0.69129947750179499</v>
      </c>
      <c r="M29" s="2">
        <v>1</v>
      </c>
      <c r="N29" s="57"/>
      <c r="O29" s="67"/>
      <c r="P29" s="72"/>
      <c r="Q29" s="51" t="str">
        <f t="shared" si="9"/>
        <v>Hedge funds</v>
      </c>
      <c r="R29" s="72">
        <f t="shared" si="11"/>
        <v>8.5052782294835955E-2</v>
      </c>
      <c r="S29" s="52">
        <f t="shared" si="12"/>
        <v>3.077545369508175E-3</v>
      </c>
      <c r="T29" s="52">
        <f t="shared" si="13"/>
        <v>2.829745198180536E-3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0.13287030821726262</v>
      </c>
      <c r="C30" s="122">
        <v>4.1865401122406342E-3</v>
      </c>
      <c r="D30" s="123">
        <v>0.12823042530026549</v>
      </c>
      <c r="E30" s="121">
        <v>0.13375352181305583</v>
      </c>
      <c r="F30" s="124">
        <v>0.13713659346347867</v>
      </c>
      <c r="G30" s="65">
        <v>-5.4760071811417853E-3</v>
      </c>
      <c r="H30" s="65">
        <v>-0.19103847184097675</v>
      </c>
      <c r="I30" s="65">
        <v>7.9564800234727479E-2</v>
      </c>
      <c r="J30" s="65">
        <v>0.25163890685664347</v>
      </c>
      <c r="K30" s="65">
        <v>1</v>
      </c>
      <c r="L30" s="65">
        <v>1</v>
      </c>
      <c r="M30" s="65">
        <v>-0.67098662837121392</v>
      </c>
      <c r="N30" s="66"/>
      <c r="O30" s="67"/>
      <c r="P30" s="72"/>
      <c r="Q30" s="51" t="str">
        <f t="shared" si="9"/>
        <v>Onroerend goed</v>
      </c>
      <c r="R30" s="72">
        <f t="shared" si="11"/>
        <v>0.12823042530026549</v>
      </c>
      <c r="S30" s="52">
        <f t="shared" si="12"/>
        <v>4.639882916997129E-3</v>
      </c>
      <c r="T30" s="52">
        <f t="shared" si="13"/>
        <v>4.2662852462160561E-3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403" t="s">
        <v>64</v>
      </c>
      <c r="E32" s="404"/>
      <c r="F32" s="405"/>
      <c r="G32" s="403" t="s">
        <v>65</v>
      </c>
      <c r="H32" s="404"/>
      <c r="I32" s="404"/>
      <c r="J32" s="404"/>
      <c r="K32" s="404"/>
      <c r="L32" s="404"/>
      <c r="M32" s="404"/>
      <c r="N32" s="405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0.60446153409742021</v>
      </c>
      <c r="H33" s="272">
        <v>0.26544283102840738</v>
      </c>
      <c r="I33" s="272">
        <v>9.1147719755179213E-2</v>
      </c>
      <c r="J33" s="272">
        <v>3.8541756078481426E-2</v>
      </c>
      <c r="K33" s="272">
        <v>4.0615904051244378E-4</v>
      </c>
      <c r="L33" s="272">
        <v>-2.2204460492503131E-16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0.30622767541970147</v>
      </c>
      <c r="C34" s="118">
        <v>3.5994704271590405E-2</v>
      </c>
      <c r="D34" s="119">
        <v>0.26612285328127222</v>
      </c>
      <c r="E34" s="117">
        <v>0.31246654159518128</v>
      </c>
      <c r="F34" s="120">
        <v>0.3431083738067352</v>
      </c>
      <c r="G34" s="2">
        <v>-0.92090476642819175</v>
      </c>
      <c r="H34" s="2">
        <v>-0.6345755362278882</v>
      </c>
      <c r="I34" s="2">
        <v>-0.25720610354957218</v>
      </c>
      <c r="J34" s="2">
        <v>-0.3258170479986085</v>
      </c>
      <c r="K34" s="2">
        <v>-0.26870231632208125</v>
      </c>
      <c r="L34" s="2">
        <v>0.94744345796824536</v>
      </c>
      <c r="M34" s="2">
        <v>-3.2017100706419485E-2</v>
      </c>
      <c r="N34" s="57"/>
      <c r="O34" s="67"/>
      <c r="Q34" s="51" t="str">
        <f t="shared" ref="Q34:Q40" si="15">A34</f>
        <v>High Yield</v>
      </c>
      <c r="R34" s="72">
        <f>D34</f>
        <v>0.26612285328127222</v>
      </c>
      <c r="S34" s="52">
        <f>B34-D34</f>
        <v>4.0104822138429252E-2</v>
      </c>
      <c r="T34" s="52">
        <f>F34-B34</f>
        <v>3.6880698387033728E-2</v>
      </c>
      <c r="U34" s="52"/>
    </row>
    <row r="35" spans="1:24">
      <c r="A35" s="59" t="str">
        <f t="shared" si="14"/>
        <v>Emerging market debt</v>
      </c>
      <c r="B35" s="117">
        <v>0.13918380355195603</v>
      </c>
      <c r="C35" s="118">
        <v>1.2273173830389316E-2</v>
      </c>
      <c r="D35" s="119">
        <v>0.12704844353016562</v>
      </c>
      <c r="E35" s="117">
        <v>0.13732337819519783</v>
      </c>
      <c r="F35" s="120">
        <v>0.15184076765395899</v>
      </c>
      <c r="G35" s="2">
        <v>1.3164586520116737E-2</v>
      </c>
      <c r="H35" s="2">
        <v>5.989087543838427E-2</v>
      </c>
      <c r="I35" s="2">
        <v>-0.43244886504847813</v>
      </c>
      <c r="J35" s="2">
        <v>1</v>
      </c>
      <c r="K35" s="2">
        <v>-0.1977428077147057</v>
      </c>
      <c r="L35" s="2">
        <v>0.94744345796824225</v>
      </c>
      <c r="M35" s="2">
        <v>-3.2017100706419638E-2</v>
      </c>
      <c r="N35" s="57"/>
      <c r="O35" s="67"/>
      <c r="Q35" s="51" t="str">
        <f t="shared" si="15"/>
        <v>Emerging market debt</v>
      </c>
      <c r="R35" s="72">
        <f t="shared" ref="R35:R40" si="16">D35</f>
        <v>0.12704844353016562</v>
      </c>
      <c r="S35" s="52">
        <f t="shared" ref="S35:S40" si="17">B35-D35</f>
        <v>1.2135360021790415E-2</v>
      </c>
      <c r="T35" s="52">
        <f t="shared" ref="T35:T40" si="18">F35-B35</f>
        <v>1.2656964102002954E-2</v>
      </c>
      <c r="U35" s="52"/>
    </row>
    <row r="36" spans="1:24">
      <c r="A36" s="59" t="str">
        <f t="shared" si="14"/>
        <v>Aandelen ontwikkeld</v>
      </c>
      <c r="B36" s="117">
        <v>0.20433545605969086</v>
      </c>
      <c r="C36" s="118">
        <v>1.6522035901496441E-2</v>
      </c>
      <c r="D36" s="119">
        <v>0.18835027428870005</v>
      </c>
      <c r="E36" s="117">
        <v>0.2003376116747988</v>
      </c>
      <c r="F36" s="120">
        <v>0.22229613093426492</v>
      </c>
      <c r="G36" s="2">
        <v>-8.5943627211781809E-2</v>
      </c>
      <c r="H36" s="2">
        <v>-2.9502092323962413E-2</v>
      </c>
      <c r="I36" s="2">
        <v>1</v>
      </c>
      <c r="J36" s="2">
        <v>0.21827701721808593</v>
      </c>
      <c r="K36" s="2">
        <v>-0.34912626263569629</v>
      </c>
      <c r="L36" s="2">
        <v>0.94744345796824769</v>
      </c>
      <c r="M36" s="2">
        <v>-3.2017100706419353E-2</v>
      </c>
      <c r="N36" s="57"/>
      <c r="O36" s="67"/>
      <c r="Q36" s="51" t="str">
        <f t="shared" si="15"/>
        <v>Aandelen ontwikkeld</v>
      </c>
      <c r="R36" s="72">
        <f t="shared" si="16"/>
        <v>0.18835027428870005</v>
      </c>
      <c r="S36" s="52">
        <f t="shared" si="17"/>
        <v>1.5985181770990814E-2</v>
      </c>
      <c r="T36" s="52">
        <f t="shared" si="18"/>
        <v>1.7960674874574062E-2</v>
      </c>
      <c r="U36" s="52"/>
    </row>
    <row r="37" spans="1:24">
      <c r="A37" s="59" t="str">
        <f t="shared" si="14"/>
        <v>Aandelen opkomend</v>
      </c>
      <c r="B37" s="117">
        <v>0.13127480976419961</v>
      </c>
      <c r="C37" s="118">
        <v>3.710736291480965E-2</v>
      </c>
      <c r="D37" s="119">
        <v>9.4716468110087562E-2</v>
      </c>
      <c r="E37" s="117">
        <v>0.1266698577867757</v>
      </c>
      <c r="F37" s="120">
        <v>0.16546218915137711</v>
      </c>
      <c r="G37" s="2">
        <v>1</v>
      </c>
      <c r="H37" s="2">
        <v>-0.49770912774537029</v>
      </c>
      <c r="I37" s="2">
        <v>-0.16570197643385029</v>
      </c>
      <c r="J37" s="2">
        <v>-0.32679609378667207</v>
      </c>
      <c r="K37" s="2">
        <v>-0.39428676603676527</v>
      </c>
      <c r="L37" s="2">
        <v>0.94744345796825147</v>
      </c>
      <c r="M37" s="2">
        <v>-3.2017100706419312E-2</v>
      </c>
      <c r="N37" s="57"/>
      <c r="O37" s="67"/>
      <c r="Q37" s="51" t="str">
        <f t="shared" si="15"/>
        <v>Aandelen opkomend</v>
      </c>
      <c r="R37" s="72">
        <f t="shared" si="16"/>
        <v>9.4716468110087562E-2</v>
      </c>
      <c r="S37" s="52">
        <f t="shared" si="17"/>
        <v>3.655834165411205E-2</v>
      </c>
      <c r="T37" s="52">
        <f t="shared" si="18"/>
        <v>3.4187379387177502E-2</v>
      </c>
      <c r="U37" s="52"/>
      <c r="X37" s="51"/>
    </row>
    <row r="38" spans="1:24">
      <c r="A38" s="59" t="str">
        <f t="shared" si="14"/>
        <v>Commodities</v>
      </c>
      <c r="B38" s="117">
        <v>2.2987687910560585E-2</v>
      </c>
      <c r="C38" s="118">
        <v>2.5224558114412647E-2</v>
      </c>
      <c r="D38" s="119">
        <v>8.1175686258579648E-4</v>
      </c>
      <c r="E38" s="117">
        <v>1.2519939493046472E-2</v>
      </c>
      <c r="F38" s="120">
        <v>4.7971630117560407E-2</v>
      </c>
      <c r="G38" s="2">
        <v>-9.4685197196600179E-2</v>
      </c>
      <c r="H38" s="2">
        <v>1</v>
      </c>
      <c r="I38" s="2">
        <v>-0.19284256003932163</v>
      </c>
      <c r="J38" s="2">
        <v>-0.41485804387194009</v>
      </c>
      <c r="K38" s="2">
        <v>-0.45342267238092648</v>
      </c>
      <c r="L38" s="2">
        <v>0.94744345796825313</v>
      </c>
      <c r="M38" s="2">
        <v>-3.2017100706419208E-2</v>
      </c>
      <c r="N38" s="57"/>
      <c r="O38" s="67"/>
      <c r="P38" s="72"/>
      <c r="Q38" s="51" t="str">
        <f t="shared" si="15"/>
        <v>Commodities</v>
      </c>
      <c r="R38" s="72">
        <f t="shared" si="16"/>
        <v>8.1175686258579648E-4</v>
      </c>
      <c r="S38" s="52">
        <f t="shared" si="17"/>
        <v>2.2175931047974787E-2</v>
      </c>
      <c r="T38" s="52">
        <f t="shared" si="18"/>
        <v>2.4983942206999822E-2</v>
      </c>
      <c r="U38" s="52"/>
      <c r="V38" s="52"/>
      <c r="W38" s="52"/>
    </row>
    <row r="39" spans="1:24">
      <c r="A39" s="59" t="str">
        <f t="shared" si="14"/>
        <v>Hedge funds</v>
      </c>
      <c r="B39" s="117">
        <v>7.8156847132261606E-2</v>
      </c>
      <c r="C39" s="118">
        <v>1.8103416231432085E-3</v>
      </c>
      <c r="D39" s="119">
        <v>7.6356349495767598E-2</v>
      </c>
      <c r="E39" s="117">
        <v>7.7851009975922231E-2</v>
      </c>
      <c r="F39" s="120">
        <v>8.0196033597146929E-2</v>
      </c>
      <c r="G39" s="2">
        <v>3.5239669219564292E-2</v>
      </c>
      <c r="H39" s="2">
        <v>4.0633898323021694E-2</v>
      </c>
      <c r="I39" s="2">
        <v>1.9220931913796702E-2</v>
      </c>
      <c r="J39" s="2">
        <v>-6.0138140762060061E-2</v>
      </c>
      <c r="K39" s="2">
        <v>0.66328082509027264</v>
      </c>
      <c r="L39" s="2">
        <v>0.86820621780727991</v>
      </c>
      <c r="M39" s="2">
        <v>1</v>
      </c>
      <c r="N39" s="57"/>
      <c r="O39" s="67"/>
      <c r="P39" s="72"/>
      <c r="Q39" s="51" t="str">
        <f t="shared" si="15"/>
        <v>Hedge funds</v>
      </c>
      <c r="R39" s="72">
        <f t="shared" si="16"/>
        <v>7.6356349495767598E-2</v>
      </c>
      <c r="S39" s="52">
        <f t="shared" si="17"/>
        <v>1.8004976364940084E-3</v>
      </c>
      <c r="T39" s="52">
        <f t="shared" si="18"/>
        <v>2.0391864648853231E-3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0.11783372016163</v>
      </c>
      <c r="C40" s="122">
        <v>2.7293742780772168E-3</v>
      </c>
      <c r="D40" s="123">
        <v>0.11511918723924534</v>
      </c>
      <c r="E40" s="121">
        <v>0.11737262262229178</v>
      </c>
      <c r="F40" s="124">
        <v>0.12090811397454902</v>
      </c>
      <c r="G40" s="65">
        <v>5.3129335096892702E-2</v>
      </c>
      <c r="H40" s="65">
        <v>6.126198253581619E-2</v>
      </c>
      <c r="I40" s="65">
        <v>2.8978573157426774E-2</v>
      </c>
      <c r="J40" s="65">
        <v>-9.0667690798804268E-2</v>
      </c>
      <c r="K40" s="65">
        <v>1</v>
      </c>
      <c r="L40" s="65">
        <v>1</v>
      </c>
      <c r="M40" s="65">
        <v>-0.71653425477024124</v>
      </c>
      <c r="N40" s="66"/>
      <c r="O40" s="67"/>
      <c r="P40" s="72"/>
      <c r="Q40" s="51" t="str">
        <f t="shared" si="15"/>
        <v>Onroerend goed</v>
      </c>
      <c r="R40" s="72">
        <f t="shared" si="16"/>
        <v>0.11511918723924534</v>
      </c>
      <c r="S40" s="52">
        <f t="shared" si="17"/>
        <v>2.7145329223846604E-3</v>
      </c>
      <c r="T40" s="52">
        <f t="shared" si="18"/>
        <v>3.0743938129190185E-3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403" t="s">
        <v>64</v>
      </c>
      <c r="E42" s="404"/>
      <c r="F42" s="405"/>
      <c r="G42" s="403" t="s">
        <v>65</v>
      </c>
      <c r="H42" s="404"/>
      <c r="I42" s="404"/>
      <c r="J42" s="404"/>
      <c r="K42" s="404"/>
      <c r="L42" s="404"/>
      <c r="M42" s="404"/>
      <c r="N42" s="405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0.93604060378739984</v>
      </c>
      <c r="H43" s="272">
        <v>3.1935924849421427E-2</v>
      </c>
      <c r="I43" s="272">
        <v>1.9062739708928023E-2</v>
      </c>
      <c r="J43" s="272">
        <v>1.263371757573295E-2</v>
      </c>
      <c r="K43" s="272">
        <v>3.2701407851476461E-4</v>
      </c>
      <c r="L43" s="272">
        <v>-2.2204460492503131E-16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0.23903752199518952</v>
      </c>
      <c r="C44" s="118">
        <v>4.8261385816334594E-2</v>
      </c>
      <c r="D44" s="119">
        <v>0.18667738370713693</v>
      </c>
      <c r="E44" s="117">
        <v>0.23920126875990719</v>
      </c>
      <c r="F44" s="120">
        <v>0.29267100925565337</v>
      </c>
      <c r="G44" s="2">
        <v>-0.99744405517594859</v>
      </c>
      <c r="H44" s="2">
        <v>1</v>
      </c>
      <c r="I44" s="2">
        <v>-3.2714255859532283E-2</v>
      </c>
      <c r="J44" s="2">
        <v>-0.1531061648766858</v>
      </c>
      <c r="K44" s="2">
        <v>-0.29544263203855187</v>
      </c>
      <c r="L44" s="2">
        <v>0.87335655323569994</v>
      </c>
      <c r="M44" s="2">
        <v>-3.1742360277584231E-3</v>
      </c>
      <c r="N44" s="57"/>
      <c r="O44" s="67"/>
      <c r="Q44" s="51" t="str">
        <f t="shared" ref="Q44:Q50" si="19">A44</f>
        <v>High Yield</v>
      </c>
      <c r="R44" s="72">
        <f>D44</f>
        <v>0.18667738370713693</v>
      </c>
      <c r="S44" s="52">
        <f>B44-D44</f>
        <v>5.2360138288052582E-2</v>
      </c>
      <c r="T44" s="52">
        <f>F44-B44</f>
        <v>5.3633487260463852E-2</v>
      </c>
      <c r="U44" s="52"/>
    </row>
    <row r="45" spans="1:24">
      <c r="A45" s="59" t="str">
        <f t="shared" ref="A45:A50" si="20">A5</f>
        <v>Emerging market debt</v>
      </c>
      <c r="B45" s="117">
        <v>0.22518284625998192</v>
      </c>
      <c r="C45" s="118">
        <v>4.8377245592678801E-2</v>
      </c>
      <c r="D45" s="119">
        <v>0.17075513077932775</v>
      </c>
      <c r="E45" s="117">
        <v>0.22193318445574159</v>
      </c>
      <c r="F45" s="120">
        <v>0.2797392177700736</v>
      </c>
      <c r="G45" s="2">
        <v>1</v>
      </c>
      <c r="H45" s="2">
        <v>0.99484514724730044</v>
      </c>
      <c r="I45" s="2">
        <v>-4.0778783831232034E-2</v>
      </c>
      <c r="J45" s="2">
        <v>-0.147979139322202</v>
      </c>
      <c r="K45" s="2">
        <v>-0.29990882512013689</v>
      </c>
      <c r="L45" s="2">
        <v>0.87335655323569983</v>
      </c>
      <c r="M45" s="2">
        <v>-3.1742360277584244E-3</v>
      </c>
      <c r="N45" s="57"/>
      <c r="O45" s="67"/>
      <c r="Q45" s="51" t="str">
        <f t="shared" si="19"/>
        <v>Emerging market debt</v>
      </c>
      <c r="R45" s="72">
        <f t="shared" ref="R45:R50" si="21">D45</f>
        <v>0.17075513077932775</v>
      </c>
      <c r="S45" s="52">
        <f t="shared" ref="S45:S50" si="22">B45-D45</f>
        <v>5.4427715480654171E-2</v>
      </c>
      <c r="T45" s="52">
        <f t="shared" ref="T45:T50" si="23">F45-B45</f>
        <v>5.4556371510091684E-2</v>
      </c>
      <c r="U45" s="52"/>
    </row>
    <row r="46" spans="1:24">
      <c r="A46" s="59" t="str">
        <f t="shared" si="20"/>
        <v>Aandelen ontwikkeld</v>
      </c>
      <c r="B46" s="117">
        <v>0.2211444720497463</v>
      </c>
      <c r="C46" s="118">
        <v>9.0036992269772863E-3</v>
      </c>
      <c r="D46" s="119">
        <v>0.21263980419544706</v>
      </c>
      <c r="E46" s="117">
        <v>0.21960088105210507</v>
      </c>
      <c r="F46" s="120">
        <v>0.23008720968495083</v>
      </c>
      <c r="G46" s="2">
        <v>3.7454907469183034E-3</v>
      </c>
      <c r="H46" s="2">
        <v>-0.73228587702080572</v>
      </c>
      <c r="I46" s="2">
        <v>1</v>
      </c>
      <c r="J46" s="2">
        <v>-0.30534480663230384</v>
      </c>
      <c r="K46" s="2">
        <v>-0.37248465343561349</v>
      </c>
      <c r="L46" s="2">
        <v>0.87335655323569661</v>
      </c>
      <c r="M46" s="2">
        <v>-3.1742360277584635E-3</v>
      </c>
      <c r="N46" s="57"/>
      <c r="O46" s="67"/>
      <c r="Q46" s="51" t="str">
        <f t="shared" si="19"/>
        <v>Aandelen ontwikkeld</v>
      </c>
      <c r="R46" s="72">
        <f t="shared" si="21"/>
        <v>0.21263980419544706</v>
      </c>
      <c r="S46" s="52">
        <f t="shared" si="22"/>
        <v>8.504667854299236E-3</v>
      </c>
      <c r="T46" s="52">
        <f t="shared" si="23"/>
        <v>8.942737635204534E-3</v>
      </c>
      <c r="U46" s="52"/>
    </row>
    <row r="47" spans="1:24">
      <c r="A47" s="59" t="str">
        <f t="shared" si="20"/>
        <v>Aandelen opkomend</v>
      </c>
      <c r="B47" s="117">
        <v>7.9812238420134879E-2</v>
      </c>
      <c r="C47" s="118">
        <v>9.2166643901170405E-3</v>
      </c>
      <c r="D47" s="119">
        <v>7.1281953324095648E-2</v>
      </c>
      <c r="E47" s="117">
        <v>7.7503081909245847E-2</v>
      </c>
      <c r="F47" s="120">
        <v>8.9183553767527679E-2</v>
      </c>
      <c r="G47" s="2">
        <v>-4.5546438440945769E-3</v>
      </c>
      <c r="H47" s="2">
        <v>-0.88880066935557622</v>
      </c>
      <c r="I47" s="2">
        <v>-0.88978877750678964</v>
      </c>
      <c r="J47" s="2">
        <v>-0.39538783595395499</v>
      </c>
      <c r="K47" s="2">
        <v>-0.35152971081433976</v>
      </c>
      <c r="L47" s="2">
        <v>0.87335655323569816</v>
      </c>
      <c r="M47" s="2">
        <v>-3.1742360277584344E-3</v>
      </c>
      <c r="N47" s="57"/>
      <c r="O47" s="67"/>
      <c r="Q47" s="51" t="str">
        <f t="shared" si="19"/>
        <v>Aandelen opkomend</v>
      </c>
      <c r="R47" s="72">
        <f t="shared" si="21"/>
        <v>7.1281953324095648E-2</v>
      </c>
      <c r="S47" s="52">
        <f t="shared" si="22"/>
        <v>8.5302850960392307E-3</v>
      </c>
      <c r="T47" s="52">
        <f t="shared" si="23"/>
        <v>9.3713153473928001E-3</v>
      </c>
      <c r="U47" s="52"/>
    </row>
    <row r="48" spans="1:24">
      <c r="A48" s="59" t="str">
        <f t="shared" si="20"/>
        <v>Commodities</v>
      </c>
      <c r="B48" s="117">
        <v>5.6563231547459231E-3</v>
      </c>
      <c r="C48" s="118">
        <v>7.1758575129133185E-3</v>
      </c>
      <c r="D48" s="119">
        <v>4.8630023340398279E-5</v>
      </c>
      <c r="E48" s="117">
        <v>2.3242815082483289E-3</v>
      </c>
      <c r="F48" s="120">
        <v>1.2777245118062438E-2</v>
      </c>
      <c r="G48" s="2">
        <v>-5.3963325601545419E-3</v>
      </c>
      <c r="H48" s="2">
        <v>-0.27460434691934904</v>
      </c>
      <c r="I48" s="2">
        <v>-5.752970855265397E-2</v>
      </c>
      <c r="J48" s="2">
        <v>1</v>
      </c>
      <c r="K48" s="2">
        <v>-0.34391500368177291</v>
      </c>
      <c r="L48" s="2">
        <v>0.87335655323569938</v>
      </c>
      <c r="M48" s="2">
        <v>-3.1742360277584249E-3</v>
      </c>
      <c r="N48" s="57"/>
      <c r="O48" s="67"/>
      <c r="Q48" s="51" t="str">
        <f t="shared" si="19"/>
        <v>Commodities</v>
      </c>
      <c r="R48" s="72">
        <f t="shared" si="21"/>
        <v>4.8630023340398279E-5</v>
      </c>
      <c r="S48" s="52">
        <f t="shared" si="22"/>
        <v>5.6076931314055249E-3</v>
      </c>
      <c r="T48" s="52">
        <f t="shared" si="23"/>
        <v>7.1209219633165148E-3</v>
      </c>
      <c r="U48" s="52"/>
    </row>
    <row r="49" spans="1:27">
      <c r="A49" s="59" t="str">
        <f t="shared" si="20"/>
        <v>Hedge funds</v>
      </c>
      <c r="B49" s="117">
        <v>9.1386738782398502E-2</v>
      </c>
      <c r="C49" s="118">
        <v>6.5753512183363769E-4</v>
      </c>
      <c r="D49" s="119">
        <v>9.0720721043367702E-2</v>
      </c>
      <c r="E49" s="117">
        <v>9.1536902294493266E-2</v>
      </c>
      <c r="F49" s="120">
        <v>9.2002972861562948E-2</v>
      </c>
      <c r="G49" s="2">
        <v>1.4553588417438681E-3</v>
      </c>
      <c r="H49" s="2">
        <v>-3.954059613994252E-2</v>
      </c>
      <c r="I49" s="2">
        <v>8.2991914310298811E-3</v>
      </c>
      <c r="J49" s="2">
        <v>7.249583025497442E-4</v>
      </c>
      <c r="K49" s="2">
        <v>0.66328082509026676</v>
      </c>
      <c r="L49" s="2">
        <v>0.68242167019134614</v>
      </c>
      <c r="M49" s="2">
        <v>1</v>
      </c>
      <c r="N49" s="57"/>
      <c r="O49" s="67"/>
      <c r="Q49" s="51" t="str">
        <f t="shared" si="19"/>
        <v>Hedge funds</v>
      </c>
      <c r="R49" s="72">
        <f t="shared" si="21"/>
        <v>9.0720721043367702E-2</v>
      </c>
      <c r="S49" s="52">
        <f t="shared" si="22"/>
        <v>6.6601773903079975E-4</v>
      </c>
      <c r="T49" s="52">
        <f t="shared" si="23"/>
        <v>6.1623407916444606E-4</v>
      </c>
      <c r="U49" s="52"/>
      <c r="X49" s="51"/>
    </row>
    <row r="50" spans="1:27">
      <c r="A50" s="60" t="str">
        <f t="shared" si="20"/>
        <v>Onroerend goed</v>
      </c>
      <c r="B50" s="121">
        <v>0.13777985933780215</v>
      </c>
      <c r="C50" s="122">
        <v>9.9133745008255295E-4</v>
      </c>
      <c r="D50" s="123">
        <v>0.1367757330102545</v>
      </c>
      <c r="E50" s="121">
        <v>0.13800625441273059</v>
      </c>
      <c r="F50" s="124">
        <v>0.1387089289804844</v>
      </c>
      <c r="G50" s="65">
        <v>2.1941819915354912E-3</v>
      </c>
      <c r="H50" s="65">
        <v>-5.9613657811623519E-2</v>
      </c>
      <c r="I50" s="65">
        <v>1.2512334319178297E-2</v>
      </c>
      <c r="J50" s="65">
        <v>1.0929884825950059E-3</v>
      </c>
      <c r="K50" s="65">
        <v>1</v>
      </c>
      <c r="L50" s="65">
        <v>1</v>
      </c>
      <c r="M50" s="65">
        <v>-0.66856047100954841</v>
      </c>
      <c r="N50" s="66"/>
      <c r="O50" s="67"/>
      <c r="P50" s="72"/>
      <c r="Q50" s="51" t="str">
        <f t="shared" si="19"/>
        <v>Onroerend goed</v>
      </c>
      <c r="R50" s="72">
        <f t="shared" si="21"/>
        <v>0.1367757330102545</v>
      </c>
      <c r="S50" s="52">
        <f t="shared" si="22"/>
        <v>1.0041263275476497E-3</v>
      </c>
      <c r="T50" s="52">
        <f t="shared" si="23"/>
        <v>9.2906964268224534E-4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403" t="s">
        <v>64</v>
      </c>
      <c r="E52" s="404"/>
      <c r="F52" s="405"/>
      <c r="G52" s="403" t="s">
        <v>65</v>
      </c>
      <c r="H52" s="404"/>
      <c r="I52" s="404"/>
      <c r="J52" s="404"/>
      <c r="K52" s="404"/>
      <c r="L52" s="404"/>
      <c r="M52" s="404"/>
      <c r="N52" s="405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0.92616541344261671</v>
      </c>
      <c r="H53" s="272">
        <v>3.9920778291881454E-2</v>
      </c>
      <c r="I53" s="272">
        <v>1.8666728442868985E-2</v>
      </c>
      <c r="J53" s="272">
        <v>1.4846394063423696E-2</v>
      </c>
      <c r="K53" s="272">
        <v>4.0068575920892968E-4</v>
      </c>
      <c r="L53" s="272">
        <v>0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0.25666112708295841</v>
      </c>
      <c r="C54" s="118">
        <v>4.4742847891249313E-2</v>
      </c>
      <c r="D54" s="119">
        <v>0.20949723281385896</v>
      </c>
      <c r="E54" s="117">
        <v>0.25747487343506581</v>
      </c>
      <c r="F54" s="120">
        <v>0.3036576348336576</v>
      </c>
      <c r="G54" s="2">
        <v>-0.99897908300297777</v>
      </c>
      <c r="H54" s="2">
        <v>-0.90376949652280769</v>
      </c>
      <c r="I54" s="2">
        <v>0.24685635595375247</v>
      </c>
      <c r="J54" s="2">
        <v>-1.1162517732510455E-2</v>
      </c>
      <c r="K54" s="2">
        <v>-0.30150462421415231</v>
      </c>
      <c r="L54" s="2">
        <v>0.85364964397050513</v>
      </c>
      <c r="M54" s="2">
        <v>5.1044720953976703E-3</v>
      </c>
      <c r="N54" s="57"/>
      <c r="O54" s="67"/>
      <c r="P54" s="72"/>
      <c r="Q54" s="51" t="str">
        <f t="shared" ref="Q54:Q60" si="25">A54</f>
        <v>High Yield</v>
      </c>
      <c r="R54" s="72">
        <f>D54</f>
        <v>0.20949723281385896</v>
      </c>
      <c r="S54" s="52">
        <f>B54-D54</f>
        <v>4.7163894269099449E-2</v>
      </c>
      <c r="T54" s="52">
        <f>F54-B54</f>
        <v>4.699650775069919E-2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0.20965548727937416</v>
      </c>
      <c r="C55" s="118">
        <v>4.4779292449798024E-2</v>
      </c>
      <c r="D55" s="119">
        <v>0.15968935194608702</v>
      </c>
      <c r="E55" s="117">
        <v>0.20427778327444807</v>
      </c>
      <c r="F55" s="120">
        <v>0.25513473030509903</v>
      </c>
      <c r="G55" s="2">
        <v>1</v>
      </c>
      <c r="H55" s="2">
        <v>-0.89407662997378101</v>
      </c>
      <c r="I55" s="2">
        <v>0.26306356041628354</v>
      </c>
      <c r="J55" s="2">
        <v>-3.1259158540126127E-3</v>
      </c>
      <c r="K55" s="2">
        <v>-0.30608737675436587</v>
      </c>
      <c r="L55" s="2">
        <v>0.85364964397050536</v>
      </c>
      <c r="M55" s="2">
        <v>5.1044720953976729E-3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0.15968935194608702</v>
      </c>
      <c r="S55" s="52">
        <f t="shared" ref="S55:S60" si="27">B55-D55</f>
        <v>4.9966135333287143E-2</v>
      </c>
      <c r="T55" s="52">
        <f t="shared" ref="T55:T60" si="28">F55-B55</f>
        <v>4.5479243025724869E-2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0.22164057674671286</v>
      </c>
      <c r="C56" s="118">
        <v>9.6924311842609429E-3</v>
      </c>
      <c r="D56" s="119">
        <v>0.21276853393409331</v>
      </c>
      <c r="E56" s="117">
        <v>0.21973737471716789</v>
      </c>
      <c r="F56" s="120">
        <v>0.23097911537926746</v>
      </c>
      <c r="G56" s="2">
        <v>-1.1492218970859915E-2</v>
      </c>
      <c r="H56" s="2">
        <v>1</v>
      </c>
      <c r="I56" s="2">
        <v>1</v>
      </c>
      <c r="J56" s="2">
        <v>2.3913706371664747E-2</v>
      </c>
      <c r="K56" s="2">
        <v>-0.35272162687938824</v>
      </c>
      <c r="L56" s="2">
        <v>0.85364964397050591</v>
      </c>
      <c r="M56" s="2">
        <v>5.1044720953976365E-3</v>
      </c>
      <c r="N56" s="57"/>
      <c r="O56" s="67"/>
      <c r="Q56" s="51" t="str">
        <f t="shared" si="25"/>
        <v>Aandelen ontwikkeld</v>
      </c>
      <c r="R56" s="72">
        <f t="shared" si="26"/>
        <v>0.21276853393409331</v>
      </c>
      <c r="S56" s="52">
        <f t="shared" si="27"/>
        <v>8.8720428126195516E-3</v>
      </c>
      <c r="T56" s="52">
        <f t="shared" si="28"/>
        <v>9.3385386325545994E-3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7.6812360350213993E-2</v>
      </c>
      <c r="C57" s="118">
        <v>7.6790594642651092E-3</v>
      </c>
      <c r="D57" s="119">
        <v>6.9766047595129166E-2</v>
      </c>
      <c r="E57" s="117">
        <v>7.5391899999857515E-2</v>
      </c>
      <c r="F57" s="120">
        <v>8.530086728207241E-2</v>
      </c>
      <c r="G57" s="2">
        <v>7.2320050512649928E-3</v>
      </c>
      <c r="H57" s="2">
        <v>0.38282427346447334</v>
      </c>
      <c r="I57" s="2">
        <v>-0.73875153639514402</v>
      </c>
      <c r="J57" s="2">
        <v>-0.99065903385038012</v>
      </c>
      <c r="K57" s="2">
        <v>-0.36344709605404607</v>
      </c>
      <c r="L57" s="2">
        <v>0.8536496439705058</v>
      </c>
      <c r="M57" s="2">
        <v>5.1044720953976538E-3</v>
      </c>
      <c r="N57" s="57"/>
      <c r="O57" s="67"/>
      <c r="Q57" s="51" t="str">
        <f t="shared" si="25"/>
        <v>Aandelen opkomend</v>
      </c>
      <c r="R57" s="72">
        <f t="shared" si="26"/>
        <v>6.9766047595129166E-2</v>
      </c>
      <c r="S57" s="52">
        <f t="shared" si="27"/>
        <v>7.046312755084827E-3</v>
      </c>
      <c r="T57" s="52">
        <f t="shared" si="28"/>
        <v>8.4885069318584166E-3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5.8281715684986579E-3</v>
      </c>
      <c r="C58" s="118">
        <v>7.6466170169399586E-3</v>
      </c>
      <c r="D58" s="119">
        <v>6.3609621127734106E-5</v>
      </c>
      <c r="E58" s="117">
        <v>2.6647216469370648E-3</v>
      </c>
      <c r="F58" s="120">
        <v>1.2593235291182099E-2</v>
      </c>
      <c r="G58" s="2">
        <v>-5.4854053917804805E-4</v>
      </c>
      <c r="H58" s="2">
        <v>0.34316086211830055</v>
      </c>
      <c r="I58" s="2">
        <v>-0.75237228731215211</v>
      </c>
      <c r="J58" s="2">
        <v>1</v>
      </c>
      <c r="K58" s="2">
        <v>-0.33952010118824405</v>
      </c>
      <c r="L58" s="2">
        <v>0.85364964397050558</v>
      </c>
      <c r="M58" s="2">
        <v>5.1044720953976851E-3</v>
      </c>
      <c r="N58" s="57"/>
      <c r="O58" s="67"/>
      <c r="Q58" s="51" t="str">
        <f t="shared" si="25"/>
        <v>Commodities</v>
      </c>
      <c r="R58" s="72">
        <f t="shared" si="26"/>
        <v>6.3609621127734106E-5</v>
      </c>
      <c r="S58" s="52">
        <f t="shared" si="27"/>
        <v>5.7645619473709235E-3</v>
      </c>
      <c r="T58" s="52">
        <f t="shared" si="28"/>
        <v>6.7650637226834408E-3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9.1480722468784956E-2</v>
      </c>
      <c r="C59" s="118">
        <v>6.548669764148635E-4</v>
      </c>
      <c r="D59" s="119">
        <v>9.0818563076099479E-2</v>
      </c>
      <c r="E59" s="117">
        <v>9.1609217290221312E-2</v>
      </c>
      <c r="F59" s="120">
        <v>9.2098229372195695E-2</v>
      </c>
      <c r="G59" s="2">
        <v>1.5105085798132127E-3</v>
      </c>
      <c r="H59" s="2">
        <v>2.8656626485508884E-2</v>
      </c>
      <c r="I59" s="2">
        <v>-7.4954798142034072E-3</v>
      </c>
      <c r="J59" s="2">
        <v>-7.5633305090410255E-3</v>
      </c>
      <c r="K59" s="2">
        <v>0.66328082509026665</v>
      </c>
      <c r="L59" s="2">
        <v>0.63300350059731614</v>
      </c>
      <c r="M59" s="2">
        <v>1</v>
      </c>
      <c r="N59" s="57"/>
      <c r="O59" s="67"/>
      <c r="Q59" s="51" t="str">
        <f t="shared" si="25"/>
        <v>Hedge funds</v>
      </c>
      <c r="R59" s="72">
        <f t="shared" si="26"/>
        <v>9.0818563076099479E-2</v>
      </c>
      <c r="S59" s="52">
        <f t="shared" si="27"/>
        <v>6.6215939268547686E-4</v>
      </c>
      <c r="T59" s="52">
        <f t="shared" si="28"/>
        <v>6.1750690341073888E-4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0.13792155450345672</v>
      </c>
      <c r="C60" s="122">
        <v>9.8731480188009595E-4</v>
      </c>
      <c r="D60" s="123">
        <v>0.13692324523890739</v>
      </c>
      <c r="E60" s="121">
        <v>0.13811528062454401</v>
      </c>
      <c r="F60" s="124">
        <v>0.13885254312856379</v>
      </c>
      <c r="G60" s="65">
        <v>2.2773288819372172E-3</v>
      </c>
      <c r="H60" s="65">
        <v>4.3204364428308203E-2</v>
      </c>
      <c r="I60" s="65">
        <v>-1.1300612848537216E-2</v>
      </c>
      <c r="J60" s="65">
        <v>-1.1402908425721055E-2</v>
      </c>
      <c r="K60" s="65">
        <v>1</v>
      </c>
      <c r="L60" s="65">
        <v>1</v>
      </c>
      <c r="M60" s="65">
        <v>-0.65479065453178364</v>
      </c>
      <c r="N60" s="66"/>
      <c r="O60" s="67"/>
      <c r="Q60" s="51" t="str">
        <f t="shared" si="25"/>
        <v>Onroerend goed</v>
      </c>
      <c r="R60" s="72">
        <f t="shared" si="26"/>
        <v>0.13692324523890739</v>
      </c>
      <c r="S60" s="52">
        <f t="shared" si="27"/>
        <v>9.9830926454932967E-4</v>
      </c>
      <c r="T60" s="52">
        <f t="shared" si="28"/>
        <v>9.3098862510707092E-4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403" t="s">
        <v>64</v>
      </c>
      <c r="E62" s="404"/>
      <c r="F62" s="405"/>
      <c r="G62" s="403" t="s">
        <v>65</v>
      </c>
      <c r="H62" s="404"/>
      <c r="I62" s="404"/>
      <c r="J62" s="404"/>
      <c r="K62" s="404"/>
      <c r="L62" s="404"/>
      <c r="M62" s="404"/>
      <c r="N62" s="405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0.93604060378739984</v>
      </c>
      <c r="H63" s="272">
        <v>3.1935924849421427E-2</v>
      </c>
      <c r="I63" s="272">
        <v>1.9062739708928023E-2</v>
      </c>
      <c r="J63" s="272">
        <v>1.263371757573295E-2</v>
      </c>
      <c r="K63" s="272">
        <v>3.2701407851476461E-4</v>
      </c>
      <c r="L63" s="272">
        <v>-2.2204460492503131E-16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0.23903752199518952</v>
      </c>
      <c r="C64" s="118">
        <v>4.8261385816334594E-2</v>
      </c>
      <c r="D64" s="119">
        <v>0.18667738370713693</v>
      </c>
      <c r="E64" s="117">
        <v>0.23920126875990719</v>
      </c>
      <c r="F64" s="120">
        <v>0.29267100925565337</v>
      </c>
      <c r="G64" s="2">
        <v>-0.99744405517594859</v>
      </c>
      <c r="H64" s="2">
        <v>1</v>
      </c>
      <c r="I64" s="2">
        <v>-3.2714255859532283E-2</v>
      </c>
      <c r="J64" s="2">
        <v>-0.1531061648766858</v>
      </c>
      <c r="K64" s="2">
        <v>-0.29544263203855187</v>
      </c>
      <c r="L64" s="2">
        <v>0.87335655323569994</v>
      </c>
      <c r="M64" s="2">
        <v>-3.1742360277584231E-3</v>
      </c>
      <c r="N64" s="57"/>
      <c r="O64" s="67"/>
      <c r="Q64" s="51" t="str">
        <f t="shared" ref="Q64:Q70" si="32">A64</f>
        <v>High Yield</v>
      </c>
      <c r="R64" s="72">
        <f>D64</f>
        <v>0.18667738370713693</v>
      </c>
      <c r="S64" s="52">
        <f>B64-D64</f>
        <v>5.2360138288052582E-2</v>
      </c>
      <c r="T64" s="52">
        <f>F64-B64</f>
        <v>5.3633487260463852E-2</v>
      </c>
      <c r="U64" s="52"/>
    </row>
    <row r="65" spans="1:24">
      <c r="A65" s="59" t="str">
        <f t="shared" si="31"/>
        <v>Emerging market debt</v>
      </c>
      <c r="B65" s="117">
        <v>0.22518284625998192</v>
      </c>
      <c r="C65" s="118">
        <v>4.8377245592678801E-2</v>
      </c>
      <c r="D65" s="119">
        <v>0.17075513077932775</v>
      </c>
      <c r="E65" s="117">
        <v>0.22193318445574159</v>
      </c>
      <c r="F65" s="120">
        <v>0.2797392177700736</v>
      </c>
      <c r="G65" s="2">
        <v>1</v>
      </c>
      <c r="H65" s="2">
        <v>0.99484514724730044</v>
      </c>
      <c r="I65" s="2">
        <v>-4.0778783831232034E-2</v>
      </c>
      <c r="J65" s="2">
        <v>-0.147979139322202</v>
      </c>
      <c r="K65" s="2">
        <v>-0.29990882512013689</v>
      </c>
      <c r="L65" s="2">
        <v>0.87335655323569983</v>
      </c>
      <c r="M65" s="2">
        <v>-3.1742360277584244E-3</v>
      </c>
      <c r="N65" s="57"/>
      <c r="O65" s="67"/>
      <c r="Q65" s="51" t="str">
        <f t="shared" si="32"/>
        <v>Emerging market debt</v>
      </c>
      <c r="R65" s="72">
        <f t="shared" ref="R65:R70" si="33">D65</f>
        <v>0.17075513077932775</v>
      </c>
      <c r="S65" s="52">
        <f t="shared" ref="S65:S70" si="34">B65-D65</f>
        <v>5.4427715480654171E-2</v>
      </c>
      <c r="T65" s="52">
        <f t="shared" ref="T65:T70" si="35">F65-B65</f>
        <v>5.4556371510091684E-2</v>
      </c>
      <c r="U65" s="52"/>
    </row>
    <row r="66" spans="1:24">
      <c r="A66" s="59" t="str">
        <f t="shared" si="31"/>
        <v>Aandelen ontwikkeld</v>
      </c>
      <c r="B66" s="117">
        <v>0.2211444720497463</v>
      </c>
      <c r="C66" s="118">
        <v>9.0036992269772863E-3</v>
      </c>
      <c r="D66" s="119">
        <v>0.21263980419544706</v>
      </c>
      <c r="E66" s="117">
        <v>0.21960088105210507</v>
      </c>
      <c r="F66" s="120">
        <v>0.23008720968495083</v>
      </c>
      <c r="G66" s="2">
        <v>3.7454907469183034E-3</v>
      </c>
      <c r="H66" s="2">
        <v>-0.73228587702080572</v>
      </c>
      <c r="I66" s="2">
        <v>1</v>
      </c>
      <c r="J66" s="2">
        <v>-0.30534480663230384</v>
      </c>
      <c r="K66" s="2">
        <v>-0.37248465343561349</v>
      </c>
      <c r="L66" s="2">
        <v>0.87335655323569661</v>
      </c>
      <c r="M66" s="2">
        <v>-3.1742360277584635E-3</v>
      </c>
      <c r="N66" s="57"/>
      <c r="O66" s="67"/>
      <c r="Q66" s="51" t="str">
        <f t="shared" si="32"/>
        <v>Aandelen ontwikkeld</v>
      </c>
      <c r="R66" s="72">
        <f t="shared" si="33"/>
        <v>0.21263980419544706</v>
      </c>
      <c r="S66" s="52">
        <f t="shared" si="34"/>
        <v>8.504667854299236E-3</v>
      </c>
      <c r="T66" s="52">
        <f t="shared" si="35"/>
        <v>8.942737635204534E-3</v>
      </c>
      <c r="U66" s="52"/>
    </row>
    <row r="67" spans="1:24">
      <c r="A67" s="59" t="str">
        <f t="shared" si="31"/>
        <v>Aandelen opkomend</v>
      </c>
      <c r="B67" s="117">
        <v>7.9812238420134879E-2</v>
      </c>
      <c r="C67" s="118">
        <v>9.2166643901170405E-3</v>
      </c>
      <c r="D67" s="119">
        <v>7.1281953324095648E-2</v>
      </c>
      <c r="E67" s="117">
        <v>7.7503081909245847E-2</v>
      </c>
      <c r="F67" s="120">
        <v>8.9183553767527679E-2</v>
      </c>
      <c r="G67" s="2">
        <v>-4.5546438440945769E-3</v>
      </c>
      <c r="H67" s="2">
        <v>-0.88880066935557622</v>
      </c>
      <c r="I67" s="2">
        <v>-0.88978877750678964</v>
      </c>
      <c r="J67" s="2">
        <v>-0.39538783595395499</v>
      </c>
      <c r="K67" s="2">
        <v>-0.35152971081433976</v>
      </c>
      <c r="L67" s="2">
        <v>0.87335655323569816</v>
      </c>
      <c r="M67" s="2">
        <v>-3.1742360277584344E-3</v>
      </c>
      <c r="N67" s="57"/>
      <c r="O67" s="67"/>
      <c r="Q67" s="51" t="str">
        <f t="shared" si="32"/>
        <v>Aandelen opkomend</v>
      </c>
      <c r="R67" s="72">
        <f t="shared" si="33"/>
        <v>7.1281953324095648E-2</v>
      </c>
      <c r="S67" s="52">
        <f t="shared" si="34"/>
        <v>8.5302850960392307E-3</v>
      </c>
      <c r="T67" s="52">
        <f t="shared" si="35"/>
        <v>9.3713153473928001E-3</v>
      </c>
      <c r="U67" s="52"/>
    </row>
    <row r="68" spans="1:24">
      <c r="A68" s="59" t="str">
        <f t="shared" si="31"/>
        <v>Commodities</v>
      </c>
      <c r="B68" s="117">
        <v>5.6563231547459231E-3</v>
      </c>
      <c r="C68" s="118">
        <v>7.1758575129133185E-3</v>
      </c>
      <c r="D68" s="119">
        <v>4.8630023340398279E-5</v>
      </c>
      <c r="E68" s="117">
        <v>2.3242815082483289E-3</v>
      </c>
      <c r="F68" s="120">
        <v>1.2777245118062438E-2</v>
      </c>
      <c r="G68" s="2">
        <v>-5.3963325601545419E-3</v>
      </c>
      <c r="H68" s="2">
        <v>-0.27460434691934904</v>
      </c>
      <c r="I68" s="2">
        <v>-5.752970855265397E-2</v>
      </c>
      <c r="J68" s="2">
        <v>1</v>
      </c>
      <c r="K68" s="2">
        <v>-0.34391500368177291</v>
      </c>
      <c r="L68" s="2">
        <v>0.87335655323569938</v>
      </c>
      <c r="M68" s="2">
        <v>-3.1742360277584249E-3</v>
      </c>
      <c r="N68" s="57"/>
      <c r="O68" s="67"/>
      <c r="Q68" s="51" t="str">
        <f t="shared" si="32"/>
        <v>Commodities</v>
      </c>
      <c r="R68" s="72">
        <f t="shared" si="33"/>
        <v>4.8630023340398279E-5</v>
      </c>
      <c r="S68" s="52">
        <f t="shared" si="34"/>
        <v>5.6076931314055249E-3</v>
      </c>
      <c r="T68" s="52">
        <f t="shared" si="35"/>
        <v>7.1209219633165148E-3</v>
      </c>
      <c r="U68" s="52"/>
    </row>
    <row r="69" spans="1:24">
      <c r="A69" s="59" t="str">
        <f t="shared" si="31"/>
        <v>Hedge funds</v>
      </c>
      <c r="B69" s="117">
        <v>9.1386738782398502E-2</v>
      </c>
      <c r="C69" s="118">
        <v>6.5753512183363769E-4</v>
      </c>
      <c r="D69" s="119">
        <v>9.0720721043367702E-2</v>
      </c>
      <c r="E69" s="117">
        <v>9.1536902294493266E-2</v>
      </c>
      <c r="F69" s="120">
        <v>9.2002972861562948E-2</v>
      </c>
      <c r="G69" s="2">
        <v>1.4553588417438681E-3</v>
      </c>
      <c r="H69" s="2">
        <v>-3.954059613994252E-2</v>
      </c>
      <c r="I69" s="2">
        <v>8.2991914310298811E-3</v>
      </c>
      <c r="J69" s="2">
        <v>7.249583025497442E-4</v>
      </c>
      <c r="K69" s="2">
        <v>0.66328082509026676</v>
      </c>
      <c r="L69" s="2">
        <v>0.68242167019134614</v>
      </c>
      <c r="M69" s="2">
        <v>1</v>
      </c>
      <c r="N69" s="57"/>
      <c r="O69" s="67"/>
      <c r="Q69" s="51" t="str">
        <f t="shared" si="32"/>
        <v>Hedge funds</v>
      </c>
      <c r="R69" s="72">
        <f t="shared" si="33"/>
        <v>9.0720721043367702E-2</v>
      </c>
      <c r="S69" s="52">
        <f t="shared" si="34"/>
        <v>6.6601773903079975E-4</v>
      </c>
      <c r="T69" s="52">
        <f t="shared" si="35"/>
        <v>6.1623407916444606E-4</v>
      </c>
      <c r="U69" s="52"/>
      <c r="X69" s="51"/>
    </row>
    <row r="70" spans="1:24">
      <c r="A70" s="60" t="str">
        <f t="shared" si="31"/>
        <v>Onroerend goed</v>
      </c>
      <c r="B70" s="121">
        <v>0.13777985933780215</v>
      </c>
      <c r="C70" s="122">
        <v>9.9133745008255295E-4</v>
      </c>
      <c r="D70" s="123">
        <v>0.1367757330102545</v>
      </c>
      <c r="E70" s="121">
        <v>0.13800625441273059</v>
      </c>
      <c r="F70" s="124">
        <v>0.1387089289804844</v>
      </c>
      <c r="G70" s="65">
        <v>2.1941819915354912E-3</v>
      </c>
      <c r="H70" s="65">
        <v>-5.9613657811623519E-2</v>
      </c>
      <c r="I70" s="65">
        <v>1.2512334319178297E-2</v>
      </c>
      <c r="J70" s="65">
        <v>1.0929884825950059E-3</v>
      </c>
      <c r="K70" s="65">
        <v>1</v>
      </c>
      <c r="L70" s="65">
        <v>1</v>
      </c>
      <c r="M70" s="65">
        <v>-0.66856047100954841</v>
      </c>
      <c r="N70" s="66"/>
      <c r="O70" s="67"/>
      <c r="P70" s="72"/>
      <c r="Q70" s="51" t="str">
        <f t="shared" si="32"/>
        <v>Onroerend goed</v>
      </c>
      <c r="R70" s="72">
        <f t="shared" si="33"/>
        <v>0.1367757330102545</v>
      </c>
      <c r="S70" s="52">
        <f t="shared" si="34"/>
        <v>1.0041263275476497E-3</v>
      </c>
      <c r="T70" s="52">
        <f t="shared" si="35"/>
        <v>9.2906964268224534E-4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403" t="s">
        <v>64</v>
      </c>
      <c r="E72" s="404"/>
      <c r="F72" s="405"/>
      <c r="G72" s="403" t="s">
        <v>65</v>
      </c>
      <c r="H72" s="404"/>
      <c r="I72" s="404"/>
      <c r="J72" s="404"/>
      <c r="K72" s="404"/>
      <c r="L72" s="404"/>
      <c r="M72" s="404"/>
      <c r="N72" s="405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0.50119301176013642</v>
      </c>
      <c r="H73" s="272">
        <v>0.30870792882537301</v>
      </c>
      <c r="I73" s="272">
        <v>0.16887239741359827</v>
      </c>
      <c r="J73" s="272">
        <v>2.0403445357233041E-2</v>
      </c>
      <c r="K73" s="272">
        <v>8.2321664365503366E-4</v>
      </c>
      <c r="L73" s="272">
        <v>0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0.20535877356863586</v>
      </c>
      <c r="C74" s="118">
        <v>4.8606881355133517E-2</v>
      </c>
      <c r="D74" s="119">
        <v>0.15046553937146484</v>
      </c>
      <c r="E74" s="117">
        <v>0.20278635836860948</v>
      </c>
      <c r="F74" s="120">
        <v>0.25831612739707277</v>
      </c>
      <c r="G74" s="2">
        <v>1</v>
      </c>
      <c r="H74" s="2">
        <v>-0.4529897753271156</v>
      </c>
      <c r="I74" s="2">
        <v>-5.7075351503752423E-3</v>
      </c>
      <c r="J74" s="2">
        <v>-0.15143085734247344</v>
      </c>
      <c r="K74" s="2">
        <v>-0.25616451284280145</v>
      </c>
      <c r="L74" s="2">
        <v>0.8696701198872131</v>
      </c>
      <c r="M74" s="2">
        <v>-2.5809320428366255E-3</v>
      </c>
      <c r="N74" s="57"/>
      <c r="O74" s="67"/>
      <c r="P74" s="72"/>
      <c r="Q74" s="51" t="str">
        <f t="shared" ref="Q74:Q80" si="37">A74</f>
        <v>High Yield</v>
      </c>
      <c r="R74" s="72">
        <f>D74</f>
        <v>0.15046553937146484</v>
      </c>
      <c r="S74" s="52">
        <f>B74-D74</f>
        <v>5.4893234197171015E-2</v>
      </c>
      <c r="T74" s="52">
        <f>F74-B74</f>
        <v>5.2957353828436915E-2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0.16330920510762534</v>
      </c>
      <c r="C75" s="118">
        <v>3.2623009642200815E-2</v>
      </c>
      <c r="D75" s="119">
        <v>0.13152899151879457</v>
      </c>
      <c r="E75" s="117">
        <v>0.15768971906025647</v>
      </c>
      <c r="F75" s="120">
        <v>0.19607591475346686</v>
      </c>
      <c r="G75" s="2">
        <v>-0.35528142128738682</v>
      </c>
      <c r="H75" s="2">
        <v>-0.1770873402797512</v>
      </c>
      <c r="I75" s="2">
        <v>1</v>
      </c>
      <c r="J75" s="2">
        <v>-6.6325267327641602E-2</v>
      </c>
      <c r="K75" s="2">
        <v>-0.24756571355859333</v>
      </c>
      <c r="L75" s="2">
        <v>0.8696701198872141</v>
      </c>
      <c r="M75" s="2">
        <v>-2.5809320428366186E-3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0.13152899151879457</v>
      </c>
      <c r="S75" s="52">
        <f t="shared" ref="S75:S80" si="39">B75-D75</f>
        <v>3.1780213588830764E-2</v>
      </c>
      <c r="T75" s="52">
        <f t="shared" ref="T75:T80" si="40">F75-B75</f>
        <v>3.2766709645841524E-2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0.19062891763208795</v>
      </c>
      <c r="C76" s="118">
        <v>1.2827801770122023E-2</v>
      </c>
      <c r="D76" s="119">
        <v>0.17839809791562403</v>
      </c>
      <c r="E76" s="117">
        <v>0.18848058723750349</v>
      </c>
      <c r="F76" s="120">
        <v>0.20410004821658895</v>
      </c>
      <c r="G76" s="2">
        <v>-0.1158472702719392</v>
      </c>
      <c r="H76" s="2">
        <v>2.0980567100983859E-2</v>
      </c>
      <c r="I76" s="2">
        <v>-0.23454192531383733</v>
      </c>
      <c r="J76" s="2">
        <v>1</v>
      </c>
      <c r="K76" s="2">
        <v>-0.38217224012983275</v>
      </c>
      <c r="L76" s="2">
        <v>0.86967011988720677</v>
      </c>
      <c r="M76" s="2">
        <v>-2.580932042836609E-3</v>
      </c>
      <c r="N76" s="57"/>
      <c r="O76" s="67"/>
      <c r="Q76" s="51" t="str">
        <f t="shared" si="37"/>
        <v>Aandelen ontwikkeld</v>
      </c>
      <c r="R76" s="72">
        <f t="shared" si="38"/>
        <v>0.17839809791562403</v>
      </c>
      <c r="S76" s="52">
        <f t="shared" si="39"/>
        <v>1.223081971646392E-2</v>
      </c>
      <c r="T76" s="52">
        <f t="shared" si="40"/>
        <v>1.3471130584501001E-2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0.11508019182819064</v>
      </c>
      <c r="C77" s="118">
        <v>3.7405087836358826E-2</v>
      </c>
      <c r="D77" s="119">
        <v>7.6316032972981701E-2</v>
      </c>
      <c r="E77" s="117">
        <v>0.10935332348564651</v>
      </c>
      <c r="F77" s="120">
        <v>0.15372810596307934</v>
      </c>
      <c r="G77" s="2">
        <v>0.13226471813813029</v>
      </c>
      <c r="H77" s="2">
        <v>1</v>
      </c>
      <c r="I77" s="2">
        <v>-7.2227182751836969E-2</v>
      </c>
      <c r="J77" s="2">
        <v>-0.31692079678895402</v>
      </c>
      <c r="K77" s="2">
        <v>-0.37327514465507294</v>
      </c>
      <c r="L77" s="2">
        <v>0.86967011988720389</v>
      </c>
      <c r="M77" s="2">
        <v>-2.5809320428365938E-3</v>
      </c>
      <c r="N77" s="57"/>
      <c r="O77" s="67"/>
      <c r="Q77" s="51" t="str">
        <f t="shared" si="37"/>
        <v>Aandelen opkomend</v>
      </c>
      <c r="R77" s="72">
        <f t="shared" si="38"/>
        <v>7.6316032972981701E-2</v>
      </c>
      <c r="S77" s="52">
        <f t="shared" si="39"/>
        <v>3.8764158855208938E-2</v>
      </c>
      <c r="T77" s="52">
        <f t="shared" si="40"/>
        <v>3.8647914134888703E-2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0.14259954040209472</v>
      </c>
      <c r="C78" s="118">
        <v>3.5571914986783616E-2</v>
      </c>
      <c r="D78" s="119">
        <v>0.10370302351472584</v>
      </c>
      <c r="E78" s="117">
        <v>0.14109583140971296</v>
      </c>
      <c r="F78" s="120">
        <v>0.17948568616657073</v>
      </c>
      <c r="G78" s="2">
        <v>-0.59081919661969673</v>
      </c>
      <c r="H78" s="2">
        <v>-0.44375418313500498</v>
      </c>
      <c r="I78" s="2">
        <v>-0.57413788155430723</v>
      </c>
      <c r="J78" s="2">
        <v>-0.48464978647008811</v>
      </c>
      <c r="K78" s="2">
        <v>-0.39610705734171642</v>
      </c>
      <c r="L78" s="2">
        <v>0.86967011988720133</v>
      </c>
      <c r="M78" s="2">
        <v>-2.5809320428365739E-3</v>
      </c>
      <c r="N78" s="57"/>
      <c r="O78" s="67"/>
      <c r="Q78" s="51" t="str">
        <f t="shared" si="37"/>
        <v>Commodities</v>
      </c>
      <c r="R78" s="72">
        <f t="shared" si="38"/>
        <v>0.10370302351472584</v>
      </c>
      <c r="S78" s="52">
        <f t="shared" si="39"/>
        <v>3.8896516887368879E-2</v>
      </c>
      <c r="T78" s="52">
        <f t="shared" si="40"/>
        <v>3.6886145764476019E-2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7.2454250064172887E-2</v>
      </c>
      <c r="C79" s="118">
        <v>2.2017650975874E-3</v>
      </c>
      <c r="D79" s="119">
        <v>7.0111539231941161E-2</v>
      </c>
      <c r="E79" s="117">
        <v>7.2403237536671522E-2</v>
      </c>
      <c r="F79" s="120">
        <v>7.4704199736793125E-2</v>
      </c>
      <c r="G79" s="2">
        <v>-2.783662622373078E-2</v>
      </c>
      <c r="H79" s="2">
        <v>2.0922246682531724E-2</v>
      </c>
      <c r="I79" s="2">
        <v>-4.4886396258238363E-2</v>
      </c>
      <c r="J79" s="2">
        <v>7.6509470786994167E-3</v>
      </c>
      <c r="K79" s="2">
        <v>0.65528466852783052</v>
      </c>
      <c r="L79" s="2">
        <v>0.67077964316442329</v>
      </c>
      <c r="M79" s="2">
        <v>1</v>
      </c>
      <c r="N79" s="57"/>
      <c r="O79" s="67"/>
      <c r="Q79" s="51" t="str">
        <f t="shared" si="37"/>
        <v>Hedge funds</v>
      </c>
      <c r="R79" s="72">
        <f t="shared" si="38"/>
        <v>7.0111539231941161E-2</v>
      </c>
      <c r="S79" s="52">
        <f t="shared" si="39"/>
        <v>2.3427108322317258E-3</v>
      </c>
      <c r="T79" s="52">
        <f t="shared" si="40"/>
        <v>2.2499496726202384E-3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0.11056912139719265</v>
      </c>
      <c r="C80" s="122">
        <v>3.3600131413632902E-3</v>
      </c>
      <c r="D80" s="123">
        <v>0.10699401740842567</v>
      </c>
      <c r="E80" s="121">
        <v>0.11049127350916568</v>
      </c>
      <c r="F80" s="124">
        <v>0.11400266681749835</v>
      </c>
      <c r="G80" s="65">
        <v>-4.248020373537633E-2</v>
      </c>
      <c r="H80" s="65">
        <v>3.192848495835536E-2</v>
      </c>
      <c r="I80" s="65">
        <v>-6.8499078971404295E-2</v>
      </c>
      <c r="J80" s="65">
        <v>1.1675760850453134E-2</v>
      </c>
      <c r="K80" s="65">
        <v>1</v>
      </c>
      <c r="L80" s="65">
        <v>1</v>
      </c>
      <c r="M80" s="65">
        <v>-0.65955684576885076</v>
      </c>
      <c r="N80" s="66"/>
      <c r="O80" s="67"/>
      <c r="Q80" s="51" t="str">
        <f t="shared" si="37"/>
        <v>Onroerend goed</v>
      </c>
      <c r="R80" s="72">
        <f t="shared" si="38"/>
        <v>0.10699401740842567</v>
      </c>
      <c r="S80" s="52">
        <f t="shared" si="39"/>
        <v>3.5751039887669811E-3</v>
      </c>
      <c r="T80" s="52">
        <f t="shared" si="40"/>
        <v>3.4335454203057031E-3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2"/>
  <sheetViews>
    <sheetView zoomScale="85" zoomScaleNormal="85" workbookViewId="0">
      <selection activeCell="M4" sqref="M4:R14"/>
    </sheetView>
  </sheetViews>
  <sheetFormatPr defaultRowHeight="15"/>
  <cols>
    <col min="1" max="1" width="9.140625" style="336"/>
    <col min="2" max="2" width="22.28515625" style="336" bestFit="1" customWidth="1"/>
    <col min="3" max="3" width="14" style="336" customWidth="1"/>
    <col min="4" max="10" width="18.7109375" style="336" customWidth="1"/>
    <col min="11" max="11" width="21" style="210" customWidth="1"/>
    <col min="12" max="12" width="18.140625" style="336" bestFit="1" customWidth="1"/>
    <col min="13" max="13" width="26.85546875" style="336" customWidth="1"/>
    <col min="14" max="17" width="9.140625" style="336"/>
    <col min="18" max="18" width="10.85546875" style="336" customWidth="1"/>
    <col min="19" max="37" width="9.140625" style="210"/>
    <col min="38" max="16384" width="9.140625" style="336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18" t="s">
        <v>115</v>
      </c>
      <c r="C2" s="326" t="s">
        <v>70</v>
      </c>
      <c r="D2" s="310" t="s">
        <v>112</v>
      </c>
      <c r="E2" s="310" t="s">
        <v>126</v>
      </c>
      <c r="F2" s="310" t="s">
        <v>127</v>
      </c>
      <c r="G2" s="310" t="s">
        <v>113</v>
      </c>
      <c r="H2" s="310" t="s">
        <v>114</v>
      </c>
      <c r="I2" s="311" t="s">
        <v>128</v>
      </c>
      <c r="J2" s="321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19" t="s">
        <v>4</v>
      </c>
      <c r="C3" s="327">
        <f>+Scenarios!B24</f>
        <v>0</v>
      </c>
      <c r="D3" s="342">
        <f>+Scenarios!C24</f>
        <v>-3.2445168309994665E-3</v>
      </c>
      <c r="E3" s="337">
        <f>+Scenarios!D24</f>
        <v>-1.0761362748873404E-3</v>
      </c>
      <c r="F3" s="337">
        <f>+Scenarios!E24</f>
        <v>-3.4179872754884488E-3</v>
      </c>
      <c r="G3" s="337">
        <f>+Scenarios!F24</f>
        <v>-2.5720358328627513E-2</v>
      </c>
      <c r="H3" s="337">
        <f>+Scenarios!G24</f>
        <v>-0.26287574291051119</v>
      </c>
      <c r="I3" s="339">
        <f>+Scenarios!H24</f>
        <v>-3.2441343963196256E-3</v>
      </c>
      <c r="J3" s="312">
        <f>Scenarios!D4</f>
        <v>4.345014939985381E-2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19" t="s">
        <v>5</v>
      </c>
      <c r="C4" s="327">
        <f>+Scenarios!B25</f>
        <v>0.03</v>
      </c>
      <c r="D4" s="327">
        <f>+Scenarios!C25</f>
        <v>3.2492969125133414E-2</v>
      </c>
      <c r="E4" s="85">
        <f>+Scenarios!D25</f>
        <v>-8.65324500372157E-2</v>
      </c>
      <c r="F4" s="85">
        <f>+Scenarios!E25</f>
        <v>5.1526244290784291E-2</v>
      </c>
      <c r="G4" s="85">
        <f>+Scenarios!F25</f>
        <v>-0.43934344866388231</v>
      </c>
      <c r="H4" s="85">
        <f>+Scenarios!G25</f>
        <v>-0.41627425662388229</v>
      </c>
      <c r="I4" s="312">
        <f>+Scenarios!H25</f>
        <v>0.27529934429078429</v>
      </c>
      <c r="J4" s="312">
        <f>Scenarios!D5</f>
        <v>0.15853561014014847</v>
      </c>
      <c r="L4" s="210"/>
      <c r="M4" s="352" t="s">
        <v>131</v>
      </c>
      <c r="N4" s="353" t="s">
        <v>132</v>
      </c>
      <c r="O4" s="353" t="s">
        <v>91</v>
      </c>
      <c r="P4" s="353" t="s">
        <v>92</v>
      </c>
      <c r="Q4" s="353" t="s">
        <v>133</v>
      </c>
      <c r="R4" s="354" t="s">
        <v>146</v>
      </c>
    </row>
    <row r="5" spans="1:18" ht="15.75">
      <c r="A5" s="210"/>
      <c r="B5" s="319" t="s">
        <v>6</v>
      </c>
      <c r="C5" s="327">
        <f>+Scenarios!B26</f>
        <v>3.1398195419985959E-2</v>
      </c>
      <c r="D5" s="327">
        <f>+Scenarios!C26</f>
        <v>1.45681608513176E-2</v>
      </c>
      <c r="E5" s="85">
        <f>+Scenarios!D26</f>
        <v>-2.1111513867647543E-2</v>
      </c>
      <c r="F5" s="85">
        <f>+Scenarios!E26</f>
        <v>3.2357333960853253E-3</v>
      </c>
      <c r="G5" s="85">
        <f>+Scenarios!F26</f>
        <v>-0.41802644813429485</v>
      </c>
      <c r="H5" s="85">
        <f>+Scenarios!G26</f>
        <v>-0.17149574156312622</v>
      </c>
      <c r="I5" s="312">
        <f>+Scenarios!H26</f>
        <v>0.25817653707968463</v>
      </c>
      <c r="J5" s="312">
        <f>Scenarios!D6</f>
        <v>0.16217253275473525</v>
      </c>
      <c r="L5" s="210"/>
      <c r="M5" s="355"/>
      <c r="N5" s="356"/>
      <c r="O5" s="356"/>
      <c r="P5" s="356"/>
      <c r="Q5" s="356"/>
      <c r="R5" s="357"/>
    </row>
    <row r="6" spans="1:18" ht="15.75">
      <c r="A6" s="210"/>
      <c r="B6" s="319" t="s">
        <v>7</v>
      </c>
      <c r="C6" s="327">
        <f>+Scenarios!B27</f>
        <v>5.6592124614748239E-2</v>
      </c>
      <c r="D6" s="327">
        <f>+Scenarios!C27</f>
        <v>-1.272492445230269E-2</v>
      </c>
      <c r="E6" s="85">
        <f>+Scenarios!D27</f>
        <v>-0.19311368459773193</v>
      </c>
      <c r="F6" s="85">
        <f>+Scenarios!E27</f>
        <v>4.3944352615336905E-2</v>
      </c>
      <c r="G6" s="85">
        <f>+Scenarios!F27</f>
        <v>-0.5992014650452413</v>
      </c>
      <c r="H6" s="85">
        <f>+Scenarios!G27</f>
        <v>-0.47126055414190038</v>
      </c>
      <c r="I6" s="312">
        <f>+Scenarios!H27</f>
        <v>0.40935864013329615</v>
      </c>
      <c r="J6" s="312">
        <f>Scenarios!D7</f>
        <v>0.28718972670468956</v>
      </c>
      <c r="L6" s="210"/>
      <c r="M6" s="350" t="s">
        <v>4</v>
      </c>
      <c r="N6" s="345">
        <f>+'Control panel'!$B3</f>
        <v>0.55552002657163746</v>
      </c>
      <c r="O6" s="345">
        <f>+'Control panel'!$C3</f>
        <v>0.55000000000000004</v>
      </c>
      <c r="P6" s="345">
        <f>+'Control panel'!$D3</f>
        <v>0.65</v>
      </c>
      <c r="Q6" s="345">
        <f>+'Control panel'!$F3</f>
        <v>0.57679636440540838</v>
      </c>
      <c r="R6" s="347">
        <f t="shared" ref="R6:R13" si="0">+Q6-N6</f>
        <v>2.127633783377092E-2</v>
      </c>
    </row>
    <row r="7" spans="1:18" ht="15.75">
      <c r="A7" s="210"/>
      <c r="B7" s="319" t="s">
        <v>8</v>
      </c>
      <c r="C7" s="327">
        <f>+Scenarios!B28</f>
        <v>5.6149706770970371E-2</v>
      </c>
      <c r="D7" s="327">
        <f>+Scenarios!C28</f>
        <v>5.7893485302571407E-2</v>
      </c>
      <c r="E7" s="85">
        <f>+Scenarios!D28</f>
        <v>-6.9261756645690273E-2</v>
      </c>
      <c r="F7" s="85">
        <f>+Scenarios!E28</f>
        <v>7.474963400472559E-2</v>
      </c>
      <c r="G7" s="85">
        <f>+Scenarios!F28</f>
        <v>-0.42661422498990775</v>
      </c>
      <c r="H7" s="85">
        <f>+Scenarios!G28</f>
        <v>-0.26558788944909251</v>
      </c>
      <c r="I7" s="312">
        <f>+Scenarios!H28</f>
        <v>0.37672139820686834</v>
      </c>
      <c r="J7" s="312">
        <f>Scenarios!D8</f>
        <v>0.29616397669669142</v>
      </c>
      <c r="L7" s="210"/>
      <c r="M7" s="350" t="s">
        <v>5</v>
      </c>
      <c r="N7" s="345">
        <f>+'Control panel'!$B4</f>
        <v>9.7772401711769694E-2</v>
      </c>
      <c r="O7" s="345">
        <f>+'Control panel'!$C4</f>
        <v>0.05</v>
      </c>
      <c r="P7" s="345">
        <f>+'Control panel'!$D4</f>
        <v>0.15</v>
      </c>
      <c r="Q7" s="345">
        <f>+'Control panel'!$F4</f>
        <v>8.7322272769675427E-2</v>
      </c>
      <c r="R7" s="347">
        <f t="shared" si="0"/>
        <v>-1.0450128942094267E-2</v>
      </c>
    </row>
    <row r="8" spans="1:18" ht="15.75">
      <c r="A8" s="210"/>
      <c r="B8" s="319" t="s">
        <v>9</v>
      </c>
      <c r="C8" s="327">
        <f>+Scenarios!B29</f>
        <v>5.16958277280853E-2</v>
      </c>
      <c r="D8" s="327">
        <f>+Scenarios!C29</f>
        <v>9.5036056352725468E-2</v>
      </c>
      <c r="E8" s="85">
        <f>+Scenarios!D29</f>
        <v>1.202667991596415E-2</v>
      </c>
      <c r="F8" s="85">
        <f>+Scenarios!E29</f>
        <v>8.5249207175964209E-2</v>
      </c>
      <c r="G8" s="85">
        <f>+Scenarios!F29</f>
        <v>-0.52128297967070236</v>
      </c>
      <c r="H8" s="85">
        <f>+Scenarios!G29</f>
        <v>-0.54077311463070243</v>
      </c>
      <c r="I8" s="312">
        <f>+Scenarios!H29</f>
        <v>0.621322616702631</v>
      </c>
      <c r="J8" s="312">
        <f>Scenarios!D9</f>
        <v>0.32648216646211403</v>
      </c>
      <c r="L8" s="210"/>
      <c r="M8" s="350" t="s">
        <v>6</v>
      </c>
      <c r="N8" s="345">
        <f>+'Control panel'!$B5</f>
        <v>9.4763191533410202E-2</v>
      </c>
      <c r="O8" s="345">
        <f>+'Control panel'!$C5</f>
        <v>0.05</v>
      </c>
      <c r="P8" s="345">
        <f>+'Control panel'!$D5</f>
        <v>0.2</v>
      </c>
      <c r="Q8" s="345">
        <f>+'Control panel'!$F5</f>
        <v>6.9222715134591023E-2</v>
      </c>
      <c r="R8" s="348">
        <f t="shared" si="0"/>
        <v>-2.5540476398819179E-2</v>
      </c>
    </row>
    <row r="9" spans="1:18" ht="15.75">
      <c r="A9" s="210"/>
      <c r="B9" s="319" t="s">
        <v>10</v>
      </c>
      <c r="C9" s="327">
        <f>+Scenarios!B30</f>
        <v>2.8296106893951258E-2</v>
      </c>
      <c r="D9" s="327">
        <f>+Scenarios!C30</f>
        <v>1.8730269708989476E-2</v>
      </c>
      <c r="E9" s="85">
        <f>+Scenarios!D30</f>
        <v>-4.6790508294452839E-2</v>
      </c>
      <c r="F9" s="85">
        <f>+Scenarios!E30</f>
        <v>1.8215216611987023E-2</v>
      </c>
      <c r="G9" s="85">
        <f>+Scenarios!F30</f>
        <v>-0.25630468560846492</v>
      </c>
      <c r="H9" s="85">
        <f>+Scenarios!G30</f>
        <v>-6.931471876793301E-3</v>
      </c>
      <c r="I9" s="312">
        <f>+Scenarios!H30</f>
        <v>0.28021842301080391</v>
      </c>
      <c r="J9" s="312">
        <f>Scenarios!D10</f>
        <v>0.16076897495152093</v>
      </c>
      <c r="L9" s="210"/>
      <c r="M9" s="350" t="s">
        <v>7</v>
      </c>
      <c r="N9" s="345">
        <f>+'Control panel'!$B6</f>
        <v>0.10281340879516217</v>
      </c>
      <c r="O9" s="345">
        <f>+'Control panel'!$C6</f>
        <v>7.4999999999999997E-2</v>
      </c>
      <c r="P9" s="345">
        <f>+'Control panel'!$D6</f>
        <v>0.3</v>
      </c>
      <c r="Q9" s="345">
        <f>+'Control panel'!$F6</f>
        <v>8.0585503117667059E-2</v>
      </c>
      <c r="R9" s="348">
        <f t="shared" si="0"/>
        <v>-2.2227905677495108E-2</v>
      </c>
    </row>
    <row r="10" spans="1:18" ht="15.75">
      <c r="A10" s="210"/>
      <c r="B10" s="320" t="s">
        <v>11</v>
      </c>
      <c r="C10" s="328">
        <f>+Scenarios!B31</f>
        <v>3.9623116873055711E-2</v>
      </c>
      <c r="D10" s="328">
        <f>+Scenarios!C31</f>
        <v>-5.9825766089863959E-3</v>
      </c>
      <c r="E10" s="313">
        <f>+Scenarios!D31</f>
        <v>-0.13956067047136589</v>
      </c>
      <c r="F10" s="313">
        <f>+Scenarios!E31</f>
        <v>2.7964399001126676E-2</v>
      </c>
      <c r="G10" s="313">
        <f>+Scenarios!F31</f>
        <v>-0.45200242221105646</v>
      </c>
      <c r="H10" s="313">
        <f>+Scenarios!G31</f>
        <v>-0.48031312669988807</v>
      </c>
      <c r="I10" s="314">
        <f>+Scenarios!H31</f>
        <v>0.41038049782760322</v>
      </c>
      <c r="J10" s="314">
        <f>Scenarios!D11</f>
        <v>0.20064050365322861</v>
      </c>
      <c r="L10" s="210"/>
      <c r="M10" s="350" t="s">
        <v>8</v>
      </c>
      <c r="N10" s="345">
        <f>+'Control panel'!$B7</f>
        <v>5.1014363077869621E-2</v>
      </c>
      <c r="O10" s="345">
        <f>+'Control panel'!$C7</f>
        <v>2.5000000000000001E-2</v>
      </c>
      <c r="P10" s="345">
        <f>+'Control panel'!$D7</f>
        <v>0.15</v>
      </c>
      <c r="Q10" s="345">
        <f>+'Control panel'!$F7</f>
        <v>4.8572327433171678E-2</v>
      </c>
      <c r="R10" s="347">
        <f t="shared" si="0"/>
        <v>-2.442035644697943E-3</v>
      </c>
    </row>
    <row r="11" spans="1:18" ht="15.75">
      <c r="A11" s="210"/>
      <c r="B11" s="84"/>
      <c r="C11" s="84"/>
      <c r="D11" s="84"/>
      <c r="E11" s="98"/>
      <c r="F11" s="98"/>
      <c r="G11" s="84"/>
      <c r="H11" s="84"/>
      <c r="I11" s="84"/>
      <c r="J11" s="84"/>
      <c r="L11" s="210"/>
      <c r="M11" s="350" t="s">
        <v>9</v>
      </c>
      <c r="N11" s="345">
        <f>+'Control panel'!$B8</f>
        <v>2.0731266317763185E-2</v>
      </c>
      <c r="O11" s="345">
        <f>+'Control panel'!$C8</f>
        <v>0</v>
      </c>
      <c r="P11" s="345">
        <f>+'Control panel'!$D8</f>
        <v>0.1</v>
      </c>
      <c r="Q11" s="345">
        <f>+'Control panel'!$F8</f>
        <v>6.0115475147098668E-2</v>
      </c>
      <c r="R11" s="348">
        <f t="shared" si="0"/>
        <v>3.9384208829335479E-2</v>
      </c>
    </row>
    <row r="12" spans="1:18" ht="15.75">
      <c r="A12" s="210"/>
      <c r="B12" s="324" t="s">
        <v>123</v>
      </c>
      <c r="C12" s="329">
        <f>+Scenarios!B33</f>
        <v>0</v>
      </c>
      <c r="D12" s="315">
        <f>+Scenarios!C33</f>
        <v>1</v>
      </c>
      <c r="E12" s="315">
        <f>+Scenarios!D33</f>
        <v>0</v>
      </c>
      <c r="F12" s="315">
        <v>0</v>
      </c>
      <c r="G12" s="315">
        <v>0</v>
      </c>
      <c r="H12" s="315">
        <f>+Scenarios!G33</f>
        <v>0</v>
      </c>
      <c r="I12" s="330">
        <f>+Scenarios!H33</f>
        <v>0</v>
      </c>
      <c r="J12" s="331">
        <f>+Scenarios!I33</f>
        <v>1</v>
      </c>
      <c r="L12" s="210"/>
      <c r="M12" s="350" t="s">
        <v>10</v>
      </c>
      <c r="N12" s="345">
        <f>+'Control panel'!$B9</f>
        <v>3.0634868515694261E-2</v>
      </c>
      <c r="O12" s="345">
        <f>+'Control panel'!$C9</f>
        <v>3.0634868515694261E-2</v>
      </c>
      <c r="P12" s="345">
        <f>+'Control panel'!$D9</f>
        <v>3.0634868515694261E-2</v>
      </c>
      <c r="Q12" s="345">
        <f>+'Control panel'!$F9</f>
        <v>3.0634868515694108E-2</v>
      </c>
      <c r="R12" s="347">
        <f t="shared" si="0"/>
        <v>-1.5265566588595902E-16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0" t="s">
        <v>11</v>
      </c>
      <c r="N13" s="345">
        <f>+'Control panel'!$B10</f>
        <v>4.6750473476693526E-2</v>
      </c>
      <c r="O13" s="345">
        <f>+'Control panel'!$C10</f>
        <v>4.6750473476693526E-2</v>
      </c>
      <c r="P13" s="345">
        <f>+'Control panel'!$D10</f>
        <v>4.6750473476693526E-2</v>
      </c>
      <c r="Q13" s="345">
        <f>+'Control panel'!$F10</f>
        <v>4.6750473476693123E-2</v>
      </c>
      <c r="R13" s="347">
        <f t="shared" si="0"/>
        <v>-4.0245584642661925E-16</v>
      </c>
    </row>
    <row r="14" spans="1:18" ht="15.75">
      <c r="A14" s="210"/>
      <c r="B14" s="324" t="s">
        <v>129</v>
      </c>
      <c r="C14" s="329">
        <f>+Scenarios!B35</f>
        <v>0</v>
      </c>
      <c r="D14" s="316">
        <f>+Scenarios!C35</f>
        <v>9.7682076790236595E-3</v>
      </c>
      <c r="E14" s="316">
        <f>+Scenarios!D35</f>
        <v>-3.579964507671772E-2</v>
      </c>
      <c r="F14" s="316">
        <v>5.2856851617787103E-2</v>
      </c>
      <c r="G14" s="316">
        <v>-0.28178446547461966</v>
      </c>
      <c r="H14" s="316">
        <f>+Scenarios!G35</f>
        <v>-0.30590022218637747</v>
      </c>
      <c r="I14" s="317">
        <f>+Scenarios!H35</f>
        <v>0.15644788891259703</v>
      </c>
      <c r="J14" s="325">
        <f>+Scenarios!I35</f>
        <v>9.7682076790236595E-3</v>
      </c>
      <c r="L14" s="210"/>
      <c r="M14" s="351"/>
      <c r="N14" s="346"/>
      <c r="O14" s="346"/>
      <c r="P14" s="346"/>
      <c r="Q14" s="346"/>
      <c r="R14" s="349"/>
    </row>
    <row r="15" spans="1:18" ht="15.75">
      <c r="A15" s="210"/>
      <c r="B15" s="82"/>
      <c r="C15" s="370"/>
      <c r="D15" s="371"/>
      <c r="E15" s="371"/>
      <c r="F15" s="371"/>
      <c r="G15" s="371"/>
      <c r="H15" s="371"/>
      <c r="I15" s="371"/>
      <c r="J15" s="371"/>
      <c r="L15" s="210"/>
      <c r="M15" s="372"/>
      <c r="N15" s="345"/>
      <c r="O15" s="345"/>
      <c r="P15" s="345"/>
      <c r="Q15" s="345"/>
      <c r="R15" s="345"/>
    </row>
    <row r="16" spans="1:18" ht="15.75">
      <c r="A16" s="210"/>
      <c r="B16" s="318" t="s">
        <v>149</v>
      </c>
      <c r="C16" s="370"/>
      <c r="D16" s="371"/>
      <c r="E16" s="371"/>
      <c r="F16" s="371"/>
      <c r="G16" s="371"/>
      <c r="H16" s="371"/>
      <c r="I16" s="371"/>
      <c r="J16" s="371"/>
      <c r="L16" s="210"/>
      <c r="M16" s="372"/>
      <c r="N16" s="345"/>
      <c r="O16" s="345"/>
      <c r="P16" s="345"/>
      <c r="Q16" s="345"/>
      <c r="R16" s="345"/>
    </row>
    <row r="17" spans="1:37" ht="15.75">
      <c r="A17" s="210"/>
      <c r="B17" s="318" t="s">
        <v>149</v>
      </c>
      <c r="C17" s="310" t="s">
        <v>112</v>
      </c>
      <c r="D17" s="310" t="s">
        <v>126</v>
      </c>
      <c r="E17" s="310" t="s">
        <v>127</v>
      </c>
      <c r="F17" s="310" t="s">
        <v>113</v>
      </c>
      <c r="G17" s="310" t="s">
        <v>114</v>
      </c>
      <c r="H17" s="311" t="s">
        <v>128</v>
      </c>
      <c r="I17" s="321" t="s">
        <v>130</v>
      </c>
      <c r="J17" s="210"/>
      <c r="L17" s="372"/>
      <c r="M17" s="345"/>
      <c r="N17" s="345"/>
      <c r="O17" s="345"/>
      <c r="P17" s="345"/>
      <c r="Q17" s="345"/>
      <c r="R17" s="210"/>
      <c r="AK17" s="336"/>
    </row>
    <row r="18" spans="1:37" ht="15.75">
      <c r="A18" s="210"/>
      <c r="B18" s="319" t="s">
        <v>4</v>
      </c>
      <c r="C18" s="373">
        <f>+D3/$J3</f>
        <v>-7.4672167433568887E-2</v>
      </c>
      <c r="D18" s="374">
        <f t="shared" ref="D18:H18" si="1">+E3/$J3</f>
        <v>-2.4767147863730042E-2</v>
      </c>
      <c r="E18" s="374">
        <f t="shared" si="1"/>
        <v>-7.8664568999156276E-2</v>
      </c>
      <c r="F18" s="374">
        <f t="shared" si="1"/>
        <v>-0.59195097563264187</v>
      </c>
      <c r="G18" s="374">
        <f t="shared" si="1"/>
        <v>-6.0500538327584126</v>
      </c>
      <c r="H18" s="375">
        <f t="shared" si="1"/>
        <v>-7.4663365745079369E-2</v>
      </c>
      <c r="I18" s="312"/>
      <c r="J18" s="210"/>
      <c r="L18" s="372"/>
      <c r="M18" s="345"/>
      <c r="N18" s="345"/>
      <c r="O18" s="345"/>
      <c r="P18" s="345"/>
      <c r="Q18" s="345"/>
      <c r="R18" s="210"/>
      <c r="AK18" s="336"/>
    </row>
    <row r="19" spans="1:37" ht="15.75">
      <c r="A19" s="210"/>
      <c r="B19" s="319" t="s">
        <v>5</v>
      </c>
      <c r="C19" s="376">
        <f t="shared" ref="C19:H19" si="2">+D4/$J4</f>
        <v>0.20495691218149042</v>
      </c>
      <c r="D19" s="377">
        <f t="shared" si="2"/>
        <v>-0.54582342705666809</v>
      </c>
      <c r="E19" s="377">
        <f t="shared" si="2"/>
        <v>0.32501369405418834</v>
      </c>
      <c r="F19" s="377">
        <f t="shared" si="2"/>
        <v>-2.771260338768649</v>
      </c>
      <c r="G19" s="377">
        <f t="shared" si="2"/>
        <v>-2.6257460784733979</v>
      </c>
      <c r="H19" s="378">
        <f t="shared" si="2"/>
        <v>1.7365142383305208</v>
      </c>
      <c r="I19" s="312"/>
      <c r="J19" s="210"/>
      <c r="L19" s="372"/>
      <c r="M19" s="345"/>
      <c r="N19" s="345"/>
      <c r="O19" s="345"/>
      <c r="P19" s="345"/>
      <c r="Q19" s="345"/>
      <c r="R19" s="210"/>
      <c r="AK19" s="336"/>
    </row>
    <row r="20" spans="1:37" ht="15.75">
      <c r="A20" s="210"/>
      <c r="B20" s="319" t="s">
        <v>6</v>
      </c>
      <c r="C20" s="376">
        <f t="shared" ref="C20:H20" si="3">+D5/$J5</f>
        <v>8.9831247029668326E-2</v>
      </c>
      <c r="D20" s="377">
        <f t="shared" si="3"/>
        <v>-0.13017934362273262</v>
      </c>
      <c r="E20" s="377">
        <f t="shared" si="3"/>
        <v>1.9952413279374189E-2</v>
      </c>
      <c r="F20" s="377">
        <f t="shared" si="3"/>
        <v>-2.5776649167001984</v>
      </c>
      <c r="G20" s="377">
        <f t="shared" si="3"/>
        <v>-1.0574894444208447</v>
      </c>
      <c r="H20" s="378">
        <f t="shared" si="3"/>
        <v>1.591986834602521</v>
      </c>
      <c r="I20" s="312"/>
      <c r="J20" s="210"/>
      <c r="L20" s="372"/>
      <c r="M20" s="345"/>
      <c r="N20" s="345"/>
      <c r="O20" s="345"/>
      <c r="P20" s="345"/>
      <c r="Q20" s="345"/>
      <c r="R20" s="210"/>
      <c r="AK20" s="336"/>
    </row>
    <row r="21" spans="1:37" ht="15.75">
      <c r="A21" s="210"/>
      <c r="B21" s="319" t="s">
        <v>7</v>
      </c>
      <c r="C21" s="376">
        <f t="shared" ref="C21:H21" si="4">+D6/$J6</f>
        <v>-4.4308424950685758E-2</v>
      </c>
      <c r="D21" s="377">
        <f t="shared" si="4"/>
        <v>-0.67242546177950924</v>
      </c>
      <c r="E21" s="377">
        <f t="shared" si="4"/>
        <v>0.15301505774447097</v>
      </c>
      <c r="F21" s="377">
        <f t="shared" si="4"/>
        <v>-2.0864307087885008</v>
      </c>
      <c r="G21" s="377">
        <f t="shared" si="4"/>
        <v>-1.6409380640084195</v>
      </c>
      <c r="H21" s="378">
        <f t="shared" si="4"/>
        <v>1.4253944416132616</v>
      </c>
      <c r="I21" s="312"/>
      <c r="J21" s="210"/>
      <c r="L21" s="372"/>
      <c r="M21" s="345"/>
      <c r="N21" s="345"/>
      <c r="O21" s="345"/>
      <c r="P21" s="345"/>
      <c r="Q21" s="345"/>
      <c r="R21" s="210"/>
      <c r="AK21" s="336"/>
    </row>
    <row r="22" spans="1:37" ht="15.75">
      <c r="A22" s="210"/>
      <c r="B22" s="319" t="s">
        <v>8</v>
      </c>
      <c r="C22" s="376">
        <f t="shared" ref="C22:H22" si="5">+D7/$J7</f>
        <v>0.19547780911201601</v>
      </c>
      <c r="D22" s="377">
        <f t="shared" si="5"/>
        <v>-0.23386286684225235</v>
      </c>
      <c r="E22" s="377">
        <f t="shared" si="5"/>
        <v>0.25239272796933865</v>
      </c>
      <c r="F22" s="377">
        <f t="shared" si="5"/>
        <v>-1.4404662908305474</v>
      </c>
      <c r="G22" s="377">
        <f t="shared" si="5"/>
        <v>-0.89675960058129345</v>
      </c>
      <c r="H22" s="378">
        <f t="shared" si="5"/>
        <v>1.2720027682255148</v>
      </c>
      <c r="I22" s="312"/>
      <c r="J22" s="210"/>
      <c r="L22" s="372"/>
      <c r="M22" s="345"/>
      <c r="N22" s="345"/>
      <c r="O22" s="345"/>
      <c r="P22" s="345"/>
      <c r="Q22" s="345"/>
      <c r="R22" s="210"/>
      <c r="AK22" s="336"/>
    </row>
    <row r="23" spans="1:37" ht="15.75">
      <c r="A23" s="210"/>
      <c r="B23" s="319" t="s">
        <v>9</v>
      </c>
      <c r="C23" s="376">
        <f t="shared" ref="C23:H23" si="6">+D8/$J8</f>
        <v>0.29109111037387625</v>
      </c>
      <c r="D23" s="377">
        <f t="shared" si="6"/>
        <v>3.6837172597480185E-2</v>
      </c>
      <c r="E23" s="377">
        <f t="shared" si="6"/>
        <v>0.26111443727465211</v>
      </c>
      <c r="F23" s="377">
        <f t="shared" si="6"/>
        <v>-1.5966660149297729</v>
      </c>
      <c r="G23" s="377">
        <f t="shared" si="6"/>
        <v>-1.6563634102613545</v>
      </c>
      <c r="H23" s="378">
        <f t="shared" si="6"/>
        <v>1.9030828649402849</v>
      </c>
      <c r="I23" s="312"/>
      <c r="J23" s="210"/>
      <c r="L23" s="372"/>
      <c r="M23" s="345"/>
      <c r="N23" s="345"/>
      <c r="O23" s="345"/>
      <c r="P23" s="345"/>
      <c r="Q23" s="345"/>
      <c r="R23" s="210"/>
      <c r="AK23" s="336"/>
    </row>
    <row r="24" spans="1:37">
      <c r="A24" s="210"/>
      <c r="B24" s="319" t="s">
        <v>10</v>
      </c>
      <c r="C24" s="376">
        <f t="shared" ref="C24:H24" si="7">+D9/$J9</f>
        <v>0.11650425534303178</v>
      </c>
      <c r="D24" s="377">
        <f t="shared" si="7"/>
        <v>-0.29104190226106924</v>
      </c>
      <c r="E24" s="377">
        <f t="shared" si="7"/>
        <v>0.11330057069456174</v>
      </c>
      <c r="F24" s="377">
        <f t="shared" si="7"/>
        <v>-1.5942422080239818</v>
      </c>
      <c r="G24" s="377">
        <f t="shared" si="7"/>
        <v>-4.3114486976628737E-2</v>
      </c>
      <c r="H24" s="378">
        <f t="shared" si="7"/>
        <v>1.742988179748626</v>
      </c>
      <c r="I24" s="312"/>
      <c r="J24" s="210"/>
      <c r="L24" s="210"/>
      <c r="M24" s="210"/>
      <c r="N24" s="210"/>
      <c r="O24" s="210"/>
      <c r="P24" s="210"/>
      <c r="Q24" s="210"/>
      <c r="R24" s="210"/>
      <c r="AK24" s="336"/>
    </row>
    <row r="25" spans="1:37" ht="15.75" customHeight="1">
      <c r="A25" s="210"/>
      <c r="B25" s="320" t="s">
        <v>11</v>
      </c>
      <c r="C25" s="379">
        <f t="shared" ref="C25:H25" si="8">+D10/$J10</f>
        <v>-2.9817392301437873E-2</v>
      </c>
      <c r="D25" s="380">
        <f t="shared" si="8"/>
        <v>-0.69557575828543405</v>
      </c>
      <c r="E25" s="380">
        <f t="shared" si="8"/>
        <v>0.13937564196638064</v>
      </c>
      <c r="F25" s="380">
        <f t="shared" si="8"/>
        <v>-2.2527974859565854</v>
      </c>
      <c r="G25" s="380">
        <f t="shared" si="8"/>
        <v>-2.3938991278153079</v>
      </c>
      <c r="H25" s="381">
        <f t="shared" si="8"/>
        <v>2.0453522113205658</v>
      </c>
      <c r="I25" s="314"/>
      <c r="J25" s="210"/>
      <c r="L25" s="210"/>
      <c r="M25" s="210"/>
      <c r="N25" s="210"/>
      <c r="O25" s="210"/>
      <c r="P25" s="210"/>
      <c r="Q25" s="210"/>
      <c r="R25" s="210"/>
      <c r="AK25" s="336"/>
    </row>
    <row r="26" spans="1:37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L26" s="210"/>
      <c r="M26" s="210"/>
      <c r="N26" s="210"/>
      <c r="O26" s="210"/>
      <c r="P26" s="210"/>
      <c r="Q26" s="210"/>
      <c r="R26" s="210"/>
    </row>
    <row r="27" spans="1:37" ht="4.5" customHeight="1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L27" s="210"/>
      <c r="M27" s="210"/>
      <c r="N27" s="210"/>
      <c r="O27" s="210"/>
      <c r="P27" s="210"/>
      <c r="Q27" s="210"/>
      <c r="R27" s="210"/>
    </row>
    <row r="28" spans="1:37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37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37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37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37">
      <c r="A32" s="210"/>
      <c r="B32" s="210"/>
      <c r="C32" s="210"/>
      <c r="D32" s="210"/>
      <c r="E32" s="210"/>
      <c r="F32" s="210"/>
      <c r="G32" s="210"/>
      <c r="H32" s="210"/>
      <c r="I32" s="367">
        <v>0.10199999999999999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406" t="s">
        <v>135</v>
      </c>
      <c r="D33" s="407"/>
      <c r="E33" s="406" t="s">
        <v>134</v>
      </c>
      <c r="F33" s="407"/>
      <c r="G33" s="407"/>
      <c r="H33" s="408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 ht="39">
      <c r="A34" s="210"/>
      <c r="B34" s="318"/>
      <c r="C34" s="332" t="s">
        <v>137</v>
      </c>
      <c r="D34" s="333" t="s">
        <v>138</v>
      </c>
      <c r="E34" s="332" t="s">
        <v>140</v>
      </c>
      <c r="F34" s="333" t="s">
        <v>136</v>
      </c>
      <c r="G34" s="333"/>
      <c r="H34" s="333" t="s">
        <v>139</v>
      </c>
      <c r="I34" s="311" t="s">
        <v>141</v>
      </c>
      <c r="J34" s="343" t="s">
        <v>142</v>
      </c>
      <c r="K34" s="343" t="s">
        <v>143</v>
      </c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19" t="s">
        <v>4</v>
      </c>
      <c r="C35" s="344">
        <v>4.4499999999999998E-2</v>
      </c>
      <c r="D35" s="344">
        <v>9.3000000000000096E-3</v>
      </c>
      <c r="E35" s="344">
        <v>-8.7300000000000003E-2</v>
      </c>
      <c r="F35" s="85"/>
      <c r="G35" s="85"/>
      <c r="H35" s="344">
        <f>+Scenarios!C24</f>
        <v>-3.2445168309994665E-3</v>
      </c>
      <c r="I35" s="358">
        <f>+J3</f>
        <v>4.345014939985381E-2</v>
      </c>
      <c r="J35" s="359">
        <f>+E35/I32</f>
        <v>-0.85588235294117654</v>
      </c>
      <c r="K35" s="335">
        <f>+H35/I35</f>
        <v>-7.4672167433568887E-2</v>
      </c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19" t="s">
        <v>5</v>
      </c>
      <c r="C36" s="322">
        <v>8.5371817899603325E-2</v>
      </c>
      <c r="D36" s="322">
        <v>5.6265360838678849E-2</v>
      </c>
      <c r="E36" s="322">
        <v>-4.6468851830414513E-2</v>
      </c>
      <c r="F36" s="85"/>
      <c r="G36" s="85"/>
      <c r="H36" s="322">
        <f>+Scenarios!C25</f>
        <v>3.2492969125133414E-2</v>
      </c>
      <c r="I36" s="322">
        <f t="shared" ref="I36:I42" si="9">+J4</f>
        <v>0.15853561014014847</v>
      </c>
      <c r="J36" s="360">
        <f>+E36/I36</f>
        <v>-0.29311302230038522</v>
      </c>
      <c r="K36" s="335">
        <f t="shared" ref="K36:K42" si="10">+H36/I36</f>
        <v>0.20495691218149042</v>
      </c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19" t="s">
        <v>6</v>
      </c>
      <c r="C37" s="322">
        <v>0.14294511515742836</v>
      </c>
      <c r="D37" s="322">
        <v>4.8236186870114238E-2</v>
      </c>
      <c r="E37" s="322">
        <v>1.1104445427410514E-2</v>
      </c>
      <c r="F37" s="85"/>
      <c r="G37" s="85"/>
      <c r="H37" s="322">
        <f>+Scenarios!C26</f>
        <v>1.45681608513176E-2</v>
      </c>
      <c r="I37" s="322">
        <f t="shared" si="9"/>
        <v>0.16217253275473525</v>
      </c>
      <c r="J37" s="360">
        <f>+E37/I37</f>
        <v>6.8473034482383871E-2</v>
      </c>
      <c r="K37" s="335">
        <f>+H37/I37</f>
        <v>8.9831247029668326E-2</v>
      </c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19" t="s">
        <v>7</v>
      </c>
      <c r="C38" s="322">
        <v>7.3688794074914882E-2</v>
      </c>
      <c r="D38" s="322">
        <v>4.4755655663184818E-2</v>
      </c>
      <c r="E38" s="322">
        <v>-5.8151875655102964E-2</v>
      </c>
      <c r="F38" s="85"/>
      <c r="G38" s="85"/>
      <c r="H38" s="322">
        <f>+Scenarios!C27</f>
        <v>-1.272492445230269E-2</v>
      </c>
      <c r="I38" s="322">
        <f t="shared" si="9"/>
        <v>0.28718972670468956</v>
      </c>
      <c r="J38" s="360">
        <f t="shared" ref="J38:J42" si="11">+E38/I38</f>
        <v>-0.20248591870731911</v>
      </c>
      <c r="K38" s="335">
        <f>+H38/I38</f>
        <v>-4.4308424950685758E-2</v>
      </c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19" t="s">
        <v>8</v>
      </c>
      <c r="C39" s="322">
        <v>8.8200075364801303E-2</v>
      </c>
      <c r="D39" s="322">
        <v>0.11547766137672615</v>
      </c>
      <c r="E39" s="322">
        <v>-4.3640594365216501E-2</v>
      </c>
      <c r="F39" s="85"/>
      <c r="G39" s="85"/>
      <c r="H39" s="322">
        <f>+Scenarios!C28</f>
        <v>5.7893485302571407E-2</v>
      </c>
      <c r="I39" s="322">
        <f t="shared" si="9"/>
        <v>0.29616397669669142</v>
      </c>
      <c r="J39" s="360">
        <f t="shared" si="11"/>
        <v>-0.14735281060164138</v>
      </c>
      <c r="K39" s="335">
        <f t="shared" si="10"/>
        <v>0.19547780911201601</v>
      </c>
      <c r="L39" s="210"/>
      <c r="M39" s="210"/>
      <c r="N39" s="210"/>
      <c r="O39" s="210"/>
      <c r="P39" s="210"/>
      <c r="Q39" s="210"/>
      <c r="R39" s="210"/>
    </row>
    <row r="40" spans="1:18">
      <c r="A40" s="210"/>
      <c r="B40" s="319" t="s">
        <v>9</v>
      </c>
      <c r="C40" s="322">
        <v>9.6125190679341666E-2</v>
      </c>
      <c r="D40" s="322">
        <v>8.8245130245983364E-2</v>
      </c>
      <c r="E40" s="322">
        <v>-3.571547905067618E-2</v>
      </c>
      <c r="F40" s="85"/>
      <c r="G40" s="85"/>
      <c r="H40" s="322">
        <f>+Scenarios!C29</f>
        <v>9.5036056352725468E-2</v>
      </c>
      <c r="I40" s="322">
        <f t="shared" si="9"/>
        <v>0.32648216646211403</v>
      </c>
      <c r="J40" s="360">
        <f t="shared" si="11"/>
        <v>-0.1093948849877554</v>
      </c>
      <c r="K40" s="335">
        <f t="shared" si="10"/>
        <v>0.29109111037387625</v>
      </c>
      <c r="L40" s="210"/>
      <c r="M40" s="210"/>
      <c r="N40" s="210"/>
      <c r="O40" s="210"/>
      <c r="P40" s="210"/>
      <c r="Q40" s="210"/>
      <c r="R40" s="210"/>
    </row>
    <row r="41" spans="1:18">
      <c r="A41" s="210"/>
      <c r="B41" s="319" t="s">
        <v>10</v>
      </c>
      <c r="C41" s="322">
        <v>6.2658557549145399E-2</v>
      </c>
      <c r="D41" s="322">
        <v>3.2952299000522406E-2</v>
      </c>
      <c r="E41" s="322">
        <v>-6.9182112180872446E-2</v>
      </c>
      <c r="F41" s="85"/>
      <c r="G41" s="85"/>
      <c r="H41" s="322">
        <f>+Scenarios!C30</f>
        <v>1.8730269708989476E-2</v>
      </c>
      <c r="I41" s="322">
        <f t="shared" si="9"/>
        <v>0.16076897495152093</v>
      </c>
      <c r="J41" s="360">
        <f t="shared" si="11"/>
        <v>-0.43032004279267166</v>
      </c>
      <c r="K41" s="335">
        <f t="shared" si="10"/>
        <v>0.11650425534303178</v>
      </c>
      <c r="L41" s="210"/>
      <c r="M41" s="210"/>
      <c r="N41" s="210"/>
      <c r="O41" s="210"/>
      <c r="P41" s="210"/>
      <c r="Q41" s="210"/>
      <c r="R41" s="210"/>
    </row>
    <row r="42" spans="1:18">
      <c r="A42" s="210"/>
      <c r="B42" s="320" t="s">
        <v>11</v>
      </c>
      <c r="C42" s="323">
        <v>7.3464510927495008E-2</v>
      </c>
      <c r="D42" s="323">
        <v>3.9406691481015818E-2</v>
      </c>
      <c r="E42" s="323">
        <v>-5.8376158802522837E-2</v>
      </c>
      <c r="F42" s="313"/>
      <c r="G42" s="313"/>
      <c r="H42" s="323">
        <f>+Scenarios!C31</f>
        <v>-5.9825766089863959E-3</v>
      </c>
      <c r="I42" s="323">
        <f t="shared" si="9"/>
        <v>0.20064050365322861</v>
      </c>
      <c r="J42" s="361">
        <f t="shared" si="11"/>
        <v>-0.29094902444730519</v>
      </c>
      <c r="K42" s="340">
        <f t="shared" si="10"/>
        <v>-2.9817392301437873E-2</v>
      </c>
      <c r="L42" s="210"/>
      <c r="M42" s="210"/>
      <c r="N42" s="210"/>
      <c r="O42" s="210"/>
      <c r="P42" s="210"/>
      <c r="Q42" s="210"/>
      <c r="R42" s="210"/>
    </row>
    <row r="43" spans="1:18">
      <c r="A43" s="210"/>
      <c r="B43" s="84"/>
      <c r="C43" s="84"/>
      <c r="D43" s="84"/>
      <c r="E43" s="98"/>
      <c r="F43" s="98"/>
      <c r="G43" s="84"/>
      <c r="H43" s="84"/>
      <c r="I43" s="84"/>
      <c r="J43" s="84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L49" s="210"/>
      <c r="M49" s="210"/>
      <c r="N49" s="210"/>
      <c r="O49" s="210"/>
      <c r="P49" s="210"/>
      <c r="Q49" s="210"/>
      <c r="R49" s="210"/>
    </row>
    <row r="50" spans="1:18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L50" s="210"/>
      <c r="M50" s="210"/>
      <c r="N50" s="210"/>
      <c r="O50" s="210"/>
      <c r="P50" s="210"/>
      <c r="Q50" s="210"/>
      <c r="R50" s="210"/>
    </row>
    <row r="51" spans="1:18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L51" s="210"/>
      <c r="M51" s="210"/>
      <c r="N51" s="210"/>
      <c r="O51" s="210"/>
      <c r="P51" s="210"/>
      <c r="Q51" s="210"/>
      <c r="R51" s="210"/>
    </row>
    <row r="52" spans="1:18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L52" s="210"/>
      <c r="M52" s="210"/>
      <c r="N52" s="210"/>
      <c r="O52" s="210"/>
      <c r="P52" s="210"/>
      <c r="Q52" s="210"/>
      <c r="R52" s="210"/>
    </row>
    <row r="53" spans="1:18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L53" s="210"/>
      <c r="M53" s="210"/>
      <c r="N53" s="210"/>
      <c r="O53" s="210"/>
      <c r="P53" s="210"/>
      <c r="Q53" s="210"/>
      <c r="R53" s="210"/>
    </row>
    <row r="54" spans="1:18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  <c r="N54" s="210"/>
      <c r="O54" s="210"/>
      <c r="P54" s="210"/>
      <c r="Q54" s="210"/>
      <c r="R54" s="210"/>
    </row>
    <row r="55" spans="1:18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L55" s="210"/>
      <c r="M55" s="210"/>
      <c r="N55" s="210"/>
      <c r="O55" s="210"/>
      <c r="P55" s="210"/>
      <c r="Q55" s="210"/>
      <c r="R55" s="210"/>
    </row>
    <row r="56" spans="1:18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L56" s="210"/>
      <c r="M56" s="210"/>
      <c r="N56" s="210"/>
      <c r="O56" s="210"/>
      <c r="P56" s="210"/>
      <c r="Q56" s="210"/>
      <c r="R56" s="210"/>
    </row>
    <row r="57" spans="1:18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L57" s="210"/>
      <c r="M57" s="210"/>
      <c r="N57" s="210"/>
      <c r="O57" s="210"/>
      <c r="P57" s="210"/>
      <c r="Q57" s="210"/>
      <c r="R57" s="210"/>
    </row>
    <row r="58" spans="1:18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L58" s="210"/>
      <c r="M58" s="210"/>
      <c r="N58" s="210"/>
      <c r="O58" s="210"/>
      <c r="P58" s="210"/>
      <c r="Q58" s="210"/>
      <c r="R58" s="210"/>
    </row>
    <row r="59" spans="1:18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1:18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  <c r="N65" s="210"/>
      <c r="O65" s="210"/>
      <c r="P65" s="210"/>
      <c r="Q65" s="210"/>
      <c r="R65" s="210"/>
    </row>
    <row r="66" spans="1:18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  <c r="N66" s="210"/>
      <c r="O66" s="210"/>
      <c r="P66" s="210"/>
      <c r="Q66" s="210"/>
      <c r="R66" s="210"/>
    </row>
    <row r="67" spans="1:18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  <c r="N67" s="210"/>
      <c r="O67" s="210"/>
      <c r="P67" s="210"/>
      <c r="Q67" s="210"/>
      <c r="R67" s="210"/>
    </row>
    <row r="68" spans="1:18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  <c r="N68" s="210"/>
      <c r="O68" s="210"/>
      <c r="P68" s="210"/>
      <c r="Q68" s="210"/>
      <c r="R68" s="210"/>
    </row>
    <row r="69" spans="1:18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  <c r="N69" s="210"/>
      <c r="O69" s="210"/>
      <c r="P69" s="210"/>
      <c r="Q69" s="210"/>
      <c r="R69" s="210"/>
    </row>
    <row r="70" spans="1:18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  <c r="N70" s="210"/>
      <c r="O70" s="210"/>
      <c r="P70" s="210"/>
      <c r="Q70" s="210"/>
      <c r="R70" s="210"/>
    </row>
    <row r="71" spans="1:18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  <c r="N71" s="210"/>
      <c r="O71" s="210"/>
      <c r="P71" s="210"/>
      <c r="Q71" s="210"/>
      <c r="R71" s="210"/>
    </row>
    <row r="72" spans="1:18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  <c r="N72" s="210"/>
      <c r="O72" s="210"/>
      <c r="P72" s="210"/>
      <c r="Q72" s="210"/>
      <c r="R72" s="210"/>
    </row>
    <row r="73" spans="1:18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  <c r="N73" s="210"/>
      <c r="O73" s="210"/>
      <c r="P73" s="210"/>
      <c r="Q73" s="210"/>
      <c r="R73" s="210"/>
    </row>
    <row r="74" spans="1:18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  <c r="N74" s="210"/>
      <c r="O74" s="210"/>
      <c r="P74" s="210"/>
      <c r="Q74" s="210"/>
      <c r="R74" s="210"/>
    </row>
    <row r="75" spans="1:18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  <c r="N75" s="210"/>
      <c r="O75" s="210"/>
      <c r="P75" s="210"/>
      <c r="Q75" s="210"/>
      <c r="R75" s="210"/>
    </row>
    <row r="76" spans="1:18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  <c r="N76" s="210"/>
      <c r="O76" s="210"/>
      <c r="P76" s="210"/>
      <c r="Q76" s="210"/>
      <c r="R76" s="210"/>
    </row>
    <row r="77" spans="1:18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  <c r="N77" s="210"/>
      <c r="O77" s="210"/>
      <c r="P77" s="210"/>
      <c r="Q77" s="210"/>
      <c r="R77" s="210"/>
    </row>
    <row r="78" spans="1:18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  <c r="N78" s="210"/>
      <c r="O78" s="210"/>
      <c r="P78" s="210"/>
      <c r="Q78" s="210"/>
      <c r="R78" s="210"/>
    </row>
    <row r="79" spans="1:18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L79" s="210"/>
      <c r="M79" s="210"/>
      <c r="N79" s="210"/>
      <c r="O79" s="210"/>
      <c r="P79" s="210"/>
      <c r="Q79" s="210"/>
      <c r="R79" s="210"/>
    </row>
    <row r="80" spans="1:18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L80" s="210"/>
      <c r="M80" s="210"/>
      <c r="N80" s="210"/>
      <c r="O80" s="210"/>
      <c r="P80" s="210"/>
      <c r="Q80" s="210"/>
      <c r="R80" s="210"/>
    </row>
    <row r="81" spans="1:18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L81" s="210"/>
      <c r="M81" s="210"/>
      <c r="N81" s="210"/>
      <c r="O81" s="210"/>
      <c r="P81" s="210"/>
      <c r="Q81" s="210"/>
      <c r="R81" s="210"/>
    </row>
    <row r="82" spans="1:18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L82" s="210"/>
      <c r="M82" s="210"/>
      <c r="N82" s="210"/>
      <c r="O82" s="210"/>
      <c r="P82" s="210"/>
      <c r="Q82" s="210"/>
      <c r="R82" s="210"/>
    </row>
    <row r="83" spans="1:18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L83" s="210"/>
      <c r="M83" s="210"/>
      <c r="N83" s="210"/>
      <c r="O83" s="210"/>
      <c r="P83" s="210"/>
      <c r="Q83" s="210"/>
      <c r="R83" s="210"/>
    </row>
    <row r="84" spans="1:18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L84" s="210"/>
      <c r="M84" s="210"/>
      <c r="N84" s="210"/>
      <c r="O84" s="210"/>
      <c r="P84" s="210"/>
      <c r="Q84" s="210"/>
      <c r="R84" s="210"/>
    </row>
    <row r="85" spans="1:18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L85" s="210"/>
      <c r="M85" s="210"/>
      <c r="N85" s="210"/>
      <c r="O85" s="210"/>
      <c r="P85" s="210"/>
      <c r="Q85" s="210"/>
      <c r="R85" s="210"/>
    </row>
    <row r="86" spans="1:18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L86" s="210"/>
      <c r="M86" s="210"/>
      <c r="N86" s="210"/>
      <c r="O86" s="210"/>
      <c r="P86" s="210"/>
      <c r="Q86" s="210"/>
      <c r="R86" s="210"/>
    </row>
    <row r="87" spans="1:18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L87" s="210"/>
      <c r="M87" s="210"/>
      <c r="N87" s="210"/>
      <c r="O87" s="210"/>
      <c r="P87" s="210"/>
      <c r="Q87" s="210"/>
      <c r="R87" s="210"/>
    </row>
    <row r="88" spans="1:18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L88" s="210"/>
      <c r="M88" s="210"/>
      <c r="N88" s="210"/>
      <c r="O88" s="210"/>
      <c r="P88" s="210"/>
      <c r="Q88" s="210"/>
      <c r="R88" s="210"/>
    </row>
    <row r="89" spans="1:18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L89" s="210"/>
      <c r="M89" s="210"/>
      <c r="N89" s="210"/>
      <c r="O89" s="210"/>
      <c r="P89" s="210"/>
      <c r="Q89" s="210"/>
      <c r="R89" s="210"/>
    </row>
    <row r="90" spans="1:18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L90" s="210"/>
      <c r="M90" s="210"/>
      <c r="N90" s="210"/>
      <c r="O90" s="210"/>
      <c r="P90" s="210"/>
      <c r="Q90" s="210"/>
      <c r="R90" s="210"/>
    </row>
    <row r="91" spans="1:18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L91" s="210"/>
      <c r="M91" s="210"/>
      <c r="N91" s="210"/>
      <c r="O91" s="210"/>
      <c r="P91" s="210"/>
      <c r="Q91" s="210"/>
      <c r="R91" s="210"/>
    </row>
    <row r="92" spans="1:18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L92" s="210"/>
      <c r="M92" s="210"/>
      <c r="N92" s="210"/>
      <c r="O92" s="210"/>
      <c r="P92" s="210"/>
      <c r="Q92" s="210"/>
      <c r="R92" s="210"/>
    </row>
    <row r="93" spans="1:18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L93" s="210"/>
      <c r="M93" s="210"/>
      <c r="N93" s="210"/>
      <c r="O93" s="210"/>
      <c r="P93" s="210"/>
      <c r="Q93" s="210"/>
      <c r="R93" s="210"/>
    </row>
    <row r="94" spans="1:18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L94" s="210"/>
      <c r="M94" s="210"/>
      <c r="N94" s="210"/>
      <c r="O94" s="210"/>
      <c r="P94" s="210"/>
      <c r="Q94" s="210"/>
      <c r="R94" s="210"/>
    </row>
    <row r="95" spans="1:18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L95" s="210"/>
      <c r="M95" s="210"/>
      <c r="N95" s="210"/>
      <c r="O95" s="210"/>
      <c r="P95" s="210"/>
      <c r="Q95" s="210"/>
      <c r="R95" s="210"/>
    </row>
    <row r="96" spans="1:18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L96" s="210"/>
      <c r="M96" s="210"/>
      <c r="N96" s="210"/>
      <c r="O96" s="210"/>
      <c r="P96" s="210"/>
      <c r="Q96" s="210"/>
      <c r="R96" s="210"/>
    </row>
    <row r="97" spans="1:18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L97" s="210"/>
      <c r="M97" s="210"/>
      <c r="N97" s="210"/>
      <c r="O97" s="210"/>
      <c r="P97" s="210"/>
      <c r="Q97" s="210"/>
      <c r="R97" s="210"/>
    </row>
    <row r="98" spans="1:18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L98" s="210"/>
      <c r="M98" s="210"/>
      <c r="N98" s="210"/>
      <c r="O98" s="210"/>
      <c r="P98" s="210"/>
      <c r="Q98" s="210"/>
      <c r="R98" s="210"/>
    </row>
    <row r="99" spans="1:18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L99" s="210"/>
      <c r="M99" s="210"/>
      <c r="N99" s="210"/>
      <c r="O99" s="210"/>
      <c r="P99" s="210"/>
      <c r="Q99" s="210"/>
      <c r="R99" s="210"/>
    </row>
    <row r="100" spans="1:18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L100" s="210"/>
      <c r="M100" s="210"/>
      <c r="N100" s="210"/>
      <c r="O100" s="210"/>
      <c r="P100" s="210"/>
      <c r="Q100" s="210"/>
      <c r="R100" s="210"/>
    </row>
    <row r="101" spans="1:18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L101" s="210"/>
      <c r="M101" s="210"/>
      <c r="N101" s="210"/>
      <c r="O101" s="210"/>
      <c r="P101" s="210"/>
      <c r="Q101" s="210"/>
      <c r="R101" s="210"/>
    </row>
    <row r="102" spans="1:18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L102" s="210"/>
      <c r="M102" s="210"/>
      <c r="N102" s="210"/>
      <c r="O102" s="210"/>
      <c r="P102" s="210"/>
      <c r="Q102" s="210"/>
      <c r="R102" s="210"/>
    </row>
    <row r="103" spans="1:18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L103" s="210"/>
      <c r="M103" s="210"/>
      <c r="N103" s="210"/>
      <c r="O103" s="210"/>
      <c r="P103" s="210"/>
      <c r="Q103" s="210"/>
      <c r="R103" s="210"/>
    </row>
    <row r="104" spans="1:18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L104" s="210"/>
      <c r="M104" s="210"/>
      <c r="N104" s="210"/>
      <c r="O104" s="210"/>
      <c r="P104" s="210"/>
      <c r="Q104" s="210"/>
      <c r="R104" s="210"/>
    </row>
    <row r="105" spans="1:18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L105" s="210"/>
      <c r="M105" s="210"/>
      <c r="N105" s="210"/>
      <c r="O105" s="210"/>
      <c r="P105" s="210"/>
      <c r="Q105" s="210"/>
      <c r="R105" s="210"/>
    </row>
    <row r="106" spans="1:18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L106" s="210"/>
      <c r="M106" s="210"/>
      <c r="N106" s="210"/>
      <c r="O106" s="210"/>
      <c r="P106" s="210"/>
      <c r="Q106" s="210"/>
      <c r="R106" s="210"/>
    </row>
    <row r="107" spans="1:18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L107" s="210"/>
      <c r="M107" s="210"/>
      <c r="N107" s="210"/>
      <c r="O107" s="210"/>
      <c r="P107" s="210"/>
      <c r="Q107" s="210"/>
      <c r="R107" s="210"/>
    </row>
    <row r="108" spans="1:18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L108" s="210"/>
      <c r="M108" s="210"/>
      <c r="N108" s="210"/>
      <c r="O108" s="210"/>
      <c r="P108" s="210"/>
      <c r="Q108" s="210"/>
      <c r="R108" s="210"/>
    </row>
    <row r="109" spans="1:18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L109" s="210"/>
      <c r="M109" s="210"/>
      <c r="N109" s="210"/>
      <c r="O109" s="210"/>
      <c r="P109" s="210"/>
      <c r="Q109" s="210"/>
      <c r="R109" s="210"/>
    </row>
    <row r="110" spans="1:18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L110" s="210"/>
      <c r="M110" s="210"/>
      <c r="N110" s="210"/>
      <c r="O110" s="210"/>
      <c r="P110" s="210"/>
      <c r="Q110" s="210"/>
      <c r="R110" s="210"/>
    </row>
    <row r="111" spans="1:18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L111" s="210"/>
      <c r="M111" s="210"/>
      <c r="N111" s="210"/>
      <c r="O111" s="210"/>
      <c r="P111" s="210"/>
      <c r="Q111" s="210"/>
      <c r="R111" s="210"/>
    </row>
    <row r="112" spans="1:18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L112" s="210"/>
      <c r="M112" s="210"/>
      <c r="N112" s="210"/>
      <c r="O112" s="210"/>
      <c r="P112" s="210"/>
      <c r="Q112" s="210"/>
      <c r="R112" s="210"/>
    </row>
    <row r="113" spans="1:18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L113" s="210"/>
      <c r="M113" s="210"/>
      <c r="N113" s="210"/>
      <c r="O113" s="210"/>
      <c r="P113" s="210"/>
      <c r="Q113" s="210"/>
      <c r="R113" s="210"/>
    </row>
    <row r="114" spans="1:18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L114" s="210"/>
      <c r="M114" s="210"/>
      <c r="N114" s="210"/>
      <c r="O114" s="210"/>
      <c r="P114" s="210"/>
      <c r="Q114" s="210"/>
      <c r="R114" s="210"/>
    </row>
    <row r="115" spans="1:18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L115" s="210"/>
      <c r="M115" s="210"/>
      <c r="N115" s="210"/>
      <c r="O115" s="210"/>
      <c r="P115" s="210"/>
      <c r="Q115" s="210"/>
      <c r="R115" s="210"/>
    </row>
    <row r="116" spans="1:18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L116" s="210"/>
      <c r="M116" s="210"/>
      <c r="N116" s="210"/>
      <c r="O116" s="210"/>
      <c r="P116" s="210"/>
      <c r="Q116" s="210"/>
      <c r="R116" s="210"/>
    </row>
    <row r="117" spans="1:18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L117" s="210"/>
      <c r="M117" s="210"/>
      <c r="N117" s="210"/>
      <c r="O117" s="210"/>
      <c r="P117" s="210"/>
      <c r="Q117" s="210"/>
      <c r="R117" s="210"/>
    </row>
    <row r="118" spans="1:18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L118" s="210"/>
      <c r="M118" s="210"/>
      <c r="N118" s="210"/>
      <c r="O118" s="210"/>
      <c r="P118" s="210"/>
      <c r="Q118" s="210"/>
      <c r="R118" s="210"/>
    </row>
    <row r="119" spans="1:18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L119" s="210"/>
      <c r="M119" s="210"/>
      <c r="N119" s="210"/>
      <c r="O119" s="210"/>
      <c r="P119" s="210"/>
      <c r="Q119" s="210"/>
      <c r="R119" s="210"/>
    </row>
    <row r="120" spans="1:18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L120" s="210"/>
      <c r="M120" s="210"/>
      <c r="N120" s="210"/>
      <c r="O120" s="210"/>
      <c r="P120" s="210"/>
      <c r="Q120" s="210"/>
      <c r="R120" s="210"/>
    </row>
    <row r="121" spans="1:18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L121" s="210"/>
      <c r="M121" s="210"/>
      <c r="N121" s="210"/>
      <c r="O121" s="210"/>
      <c r="P121" s="210"/>
      <c r="Q121" s="210"/>
      <c r="R121" s="210"/>
    </row>
    <row r="122" spans="1:18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L122" s="210"/>
      <c r="M122" s="210"/>
      <c r="N122" s="210"/>
      <c r="O122" s="210"/>
      <c r="P122" s="210"/>
      <c r="Q122" s="210"/>
      <c r="R122" s="210"/>
    </row>
    <row r="123" spans="1:18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L123" s="210"/>
      <c r="M123" s="210"/>
      <c r="N123" s="210"/>
      <c r="O123" s="210"/>
      <c r="P123" s="210"/>
      <c r="Q123" s="210"/>
      <c r="R123" s="210"/>
    </row>
    <row r="124" spans="1:18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L124" s="210"/>
      <c r="M124" s="210"/>
      <c r="N124" s="210"/>
      <c r="O124" s="210"/>
      <c r="P124" s="210"/>
      <c r="Q124" s="210"/>
      <c r="R124" s="210"/>
    </row>
    <row r="125" spans="1:18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L125" s="210"/>
      <c r="M125" s="210"/>
      <c r="N125" s="210"/>
      <c r="O125" s="210"/>
      <c r="P125" s="210"/>
      <c r="Q125" s="210"/>
      <c r="R125" s="210"/>
    </row>
    <row r="126" spans="1:18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L126" s="210"/>
      <c r="M126" s="210"/>
      <c r="N126" s="210"/>
      <c r="O126" s="210"/>
      <c r="P126" s="210"/>
      <c r="Q126" s="210"/>
      <c r="R126" s="210"/>
    </row>
    <row r="127" spans="1:18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L127" s="210"/>
      <c r="M127" s="210"/>
      <c r="N127" s="210"/>
      <c r="O127" s="210"/>
      <c r="P127" s="210"/>
      <c r="Q127" s="210"/>
      <c r="R127" s="210"/>
    </row>
    <row r="128" spans="1:18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L128" s="210"/>
      <c r="M128" s="210"/>
      <c r="N128" s="210"/>
      <c r="O128" s="210"/>
      <c r="P128" s="210"/>
      <c r="Q128" s="210"/>
      <c r="R128" s="210"/>
    </row>
    <row r="129" spans="1:18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L129" s="210"/>
      <c r="M129" s="210"/>
      <c r="N129" s="210"/>
      <c r="O129" s="210"/>
      <c r="P129" s="210"/>
      <c r="Q129" s="210"/>
      <c r="R129" s="210"/>
    </row>
    <row r="130" spans="1:18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L130" s="210"/>
      <c r="M130" s="210"/>
      <c r="N130" s="210"/>
      <c r="O130" s="210"/>
      <c r="P130" s="210"/>
      <c r="Q130" s="210"/>
      <c r="R130" s="210"/>
    </row>
    <row r="131" spans="1:18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L131" s="210"/>
      <c r="M131" s="210"/>
      <c r="N131" s="210"/>
      <c r="O131" s="210"/>
      <c r="P131" s="210"/>
      <c r="Q131" s="210"/>
      <c r="R131" s="210"/>
    </row>
    <row r="132" spans="1:18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L132" s="210"/>
      <c r="M132" s="210"/>
      <c r="N132" s="210"/>
      <c r="O132" s="210"/>
      <c r="P132" s="210"/>
      <c r="Q132" s="210"/>
      <c r="R132" s="210"/>
    </row>
    <row r="133" spans="1:18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L133" s="210"/>
      <c r="M133" s="210"/>
      <c r="N133" s="210"/>
      <c r="O133" s="210"/>
      <c r="P133" s="210"/>
      <c r="Q133" s="210"/>
      <c r="R133" s="210"/>
    </row>
    <row r="134" spans="1:18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L134" s="210"/>
      <c r="M134" s="210"/>
      <c r="N134" s="210"/>
      <c r="O134" s="210"/>
      <c r="P134" s="210"/>
      <c r="Q134" s="210"/>
      <c r="R134" s="210"/>
    </row>
    <row r="135" spans="1:18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L135" s="210"/>
      <c r="M135" s="210"/>
      <c r="N135" s="210"/>
      <c r="O135" s="210"/>
      <c r="P135" s="210"/>
      <c r="Q135" s="210"/>
      <c r="R135" s="210"/>
    </row>
    <row r="136" spans="1:18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L136" s="210"/>
      <c r="M136" s="210"/>
      <c r="N136" s="210"/>
      <c r="O136" s="210"/>
      <c r="P136" s="210"/>
      <c r="Q136" s="210"/>
      <c r="R136" s="210"/>
    </row>
    <row r="137" spans="1:18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L137" s="210"/>
      <c r="M137" s="210"/>
      <c r="N137" s="210"/>
      <c r="O137" s="210"/>
      <c r="P137" s="210"/>
      <c r="Q137" s="210"/>
      <c r="R137" s="210"/>
    </row>
    <row r="138" spans="1:18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L138" s="210"/>
      <c r="M138" s="210"/>
      <c r="N138" s="210"/>
      <c r="O138" s="210"/>
      <c r="P138" s="210"/>
      <c r="Q138" s="210"/>
      <c r="R138" s="210"/>
    </row>
    <row r="139" spans="1:18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L139" s="210"/>
      <c r="M139" s="210"/>
      <c r="N139" s="210"/>
      <c r="O139" s="210"/>
      <c r="P139" s="210"/>
      <c r="Q139" s="210"/>
      <c r="R139" s="210"/>
    </row>
    <row r="140" spans="1:18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L140" s="210"/>
      <c r="M140" s="210"/>
      <c r="N140" s="210"/>
      <c r="O140" s="210"/>
      <c r="P140" s="210"/>
      <c r="Q140" s="210"/>
      <c r="R140" s="210"/>
    </row>
    <row r="141" spans="1:18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L141" s="210"/>
      <c r="M141" s="210"/>
      <c r="N141" s="210"/>
      <c r="O141" s="210"/>
      <c r="P141" s="210"/>
      <c r="Q141" s="210"/>
      <c r="R141" s="210"/>
    </row>
    <row r="142" spans="1:18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L142" s="210"/>
      <c r="M142" s="210"/>
      <c r="N142" s="210"/>
      <c r="O142" s="210"/>
      <c r="P142" s="210"/>
      <c r="Q142" s="210"/>
      <c r="R142" s="210"/>
    </row>
    <row r="143" spans="1:18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L143" s="210"/>
      <c r="M143" s="210"/>
      <c r="N143" s="210"/>
      <c r="O143" s="210"/>
      <c r="P143" s="210"/>
      <c r="Q143" s="210"/>
      <c r="R143" s="210"/>
    </row>
    <row r="144" spans="1:18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L144" s="210"/>
      <c r="M144" s="210"/>
      <c r="N144" s="210"/>
      <c r="O144" s="210"/>
      <c r="P144" s="210"/>
      <c r="Q144" s="210"/>
      <c r="R144" s="210"/>
    </row>
    <row r="145" spans="1:18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L145" s="210"/>
      <c r="M145" s="210"/>
      <c r="N145" s="210"/>
      <c r="O145" s="210"/>
      <c r="P145" s="210"/>
      <c r="Q145" s="210"/>
      <c r="R145" s="210"/>
    </row>
    <row r="146" spans="1:18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L146" s="210"/>
      <c r="M146" s="210"/>
      <c r="N146" s="210"/>
      <c r="O146" s="210"/>
      <c r="P146" s="210"/>
      <c r="Q146" s="210"/>
      <c r="R146" s="210"/>
    </row>
    <row r="147" spans="1:18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L147" s="210"/>
      <c r="M147" s="210"/>
      <c r="N147" s="210"/>
      <c r="O147" s="210"/>
      <c r="P147" s="210"/>
      <c r="Q147" s="210"/>
      <c r="R147" s="210"/>
    </row>
    <row r="148" spans="1:18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L148" s="210"/>
      <c r="M148" s="210"/>
      <c r="N148" s="210"/>
      <c r="O148" s="210"/>
      <c r="P148" s="210"/>
      <c r="Q148" s="210"/>
      <c r="R148" s="210"/>
    </row>
    <row r="149" spans="1:18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L149" s="210"/>
      <c r="M149" s="210"/>
      <c r="N149" s="210"/>
      <c r="O149" s="210"/>
      <c r="P149" s="210"/>
      <c r="Q149" s="210"/>
      <c r="R149" s="210"/>
    </row>
    <row r="150" spans="1:18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L150" s="210"/>
      <c r="M150" s="210"/>
      <c r="N150" s="210"/>
      <c r="O150" s="210"/>
      <c r="P150" s="210"/>
      <c r="Q150" s="210"/>
      <c r="R150" s="210"/>
    </row>
    <row r="151" spans="1:18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L151" s="210"/>
      <c r="M151" s="210"/>
      <c r="N151" s="210"/>
      <c r="O151" s="210"/>
      <c r="P151" s="210"/>
      <c r="Q151" s="210"/>
      <c r="R151" s="210"/>
    </row>
    <row r="152" spans="1:18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L152" s="210"/>
      <c r="M152" s="210"/>
      <c r="N152" s="210"/>
      <c r="O152" s="210"/>
      <c r="P152" s="210"/>
      <c r="Q152" s="210"/>
      <c r="R152" s="210"/>
    </row>
    <row r="153" spans="1:18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L153" s="210"/>
      <c r="M153" s="210"/>
      <c r="N153" s="210"/>
      <c r="O153" s="210"/>
      <c r="P153" s="210"/>
      <c r="Q153" s="210"/>
      <c r="R153" s="210"/>
    </row>
    <row r="154" spans="1:18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L154" s="210"/>
      <c r="M154" s="210"/>
      <c r="N154" s="210"/>
      <c r="O154" s="210"/>
      <c r="P154" s="210"/>
      <c r="Q154" s="210"/>
      <c r="R154" s="210"/>
    </row>
    <row r="155" spans="1:18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L155" s="210"/>
      <c r="M155" s="210"/>
      <c r="N155" s="210"/>
      <c r="O155" s="210"/>
      <c r="P155" s="210"/>
      <c r="Q155" s="210"/>
      <c r="R155" s="210"/>
    </row>
    <row r="156" spans="1:18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L156" s="210"/>
      <c r="M156" s="210"/>
      <c r="N156" s="210"/>
      <c r="O156" s="210"/>
      <c r="P156" s="210"/>
      <c r="Q156" s="210"/>
      <c r="R156" s="210"/>
    </row>
    <row r="157" spans="1:18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L157" s="210"/>
      <c r="M157" s="210"/>
      <c r="N157" s="210"/>
      <c r="O157" s="210"/>
      <c r="P157" s="210"/>
      <c r="Q157" s="210"/>
      <c r="R157" s="210"/>
    </row>
    <row r="158" spans="1:18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L158" s="210"/>
      <c r="M158" s="210"/>
      <c r="N158" s="210"/>
      <c r="O158" s="210"/>
      <c r="P158" s="210"/>
      <c r="Q158" s="210"/>
      <c r="R158" s="210"/>
    </row>
    <row r="159" spans="1:18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L159" s="210"/>
      <c r="M159" s="210"/>
      <c r="N159" s="210"/>
      <c r="O159" s="210"/>
      <c r="P159" s="210"/>
      <c r="Q159" s="210"/>
      <c r="R159" s="210"/>
    </row>
    <row r="160" spans="1:18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L160" s="210"/>
      <c r="M160" s="210"/>
      <c r="N160" s="210"/>
      <c r="O160" s="210"/>
      <c r="P160" s="210"/>
      <c r="Q160" s="210"/>
      <c r="R160" s="210"/>
    </row>
    <row r="161" spans="1:18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L161" s="210"/>
      <c r="M161" s="210"/>
      <c r="N161" s="210"/>
      <c r="O161" s="210"/>
      <c r="P161" s="210"/>
      <c r="Q161" s="210"/>
      <c r="R161" s="210"/>
    </row>
    <row r="162" spans="1:18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L162" s="210"/>
      <c r="M162" s="210"/>
      <c r="N162" s="210"/>
      <c r="O162" s="210"/>
      <c r="P162" s="210"/>
      <c r="Q162" s="210"/>
      <c r="R162" s="210"/>
    </row>
    <row r="163" spans="1:18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L163" s="210"/>
      <c r="M163" s="210"/>
      <c r="N163" s="210"/>
      <c r="O163" s="210"/>
      <c r="P163" s="210"/>
      <c r="Q163" s="210"/>
      <c r="R163" s="210"/>
    </row>
    <row r="164" spans="1:18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L164" s="210"/>
      <c r="M164" s="210"/>
      <c r="N164" s="210"/>
      <c r="O164" s="210"/>
      <c r="P164" s="210"/>
      <c r="Q164" s="210"/>
      <c r="R164" s="210"/>
    </row>
    <row r="165" spans="1:18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L165" s="210"/>
      <c r="M165" s="210"/>
      <c r="N165" s="210"/>
      <c r="O165" s="210"/>
      <c r="P165" s="210"/>
      <c r="Q165" s="210"/>
      <c r="R165" s="210"/>
    </row>
    <row r="166" spans="1:18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L166" s="210"/>
      <c r="M166" s="210"/>
      <c r="N166" s="210"/>
      <c r="O166" s="210"/>
      <c r="P166" s="210"/>
      <c r="Q166" s="210"/>
      <c r="R166" s="210"/>
    </row>
    <row r="167" spans="1:18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L167" s="210"/>
      <c r="M167" s="210"/>
      <c r="N167" s="210"/>
      <c r="O167" s="210"/>
      <c r="P167" s="210"/>
      <c r="Q167" s="210"/>
      <c r="R167" s="210"/>
    </row>
    <row r="168" spans="1:18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L168" s="210"/>
      <c r="M168" s="210"/>
      <c r="N168" s="210"/>
      <c r="O168" s="210"/>
      <c r="P168" s="210"/>
      <c r="Q168" s="210"/>
      <c r="R168" s="210"/>
    </row>
    <row r="169" spans="1:18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L169" s="210"/>
      <c r="M169" s="210"/>
      <c r="N169" s="210"/>
      <c r="O169" s="210"/>
      <c r="P169" s="210"/>
      <c r="Q169" s="210"/>
      <c r="R169" s="210"/>
    </row>
    <row r="170" spans="1:18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L170" s="210"/>
      <c r="M170" s="210"/>
      <c r="N170" s="210"/>
      <c r="O170" s="210"/>
      <c r="P170" s="210"/>
      <c r="Q170" s="210"/>
      <c r="R170" s="210"/>
    </row>
    <row r="171" spans="1:18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L171" s="210"/>
      <c r="M171" s="210"/>
      <c r="N171" s="210"/>
      <c r="O171" s="210"/>
      <c r="P171" s="210"/>
      <c r="Q171" s="210"/>
      <c r="R171" s="210"/>
    </row>
    <row r="172" spans="1:18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L172" s="210"/>
      <c r="M172" s="210"/>
      <c r="N172" s="210"/>
      <c r="O172" s="210"/>
      <c r="P172" s="210"/>
      <c r="Q172" s="210"/>
      <c r="R172" s="210"/>
    </row>
    <row r="173" spans="1:18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L173" s="210"/>
      <c r="M173" s="210"/>
      <c r="N173" s="210"/>
      <c r="O173" s="210"/>
      <c r="P173" s="210"/>
      <c r="Q173" s="210"/>
      <c r="R173" s="210"/>
    </row>
    <row r="174" spans="1:18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L174" s="210"/>
      <c r="M174" s="210"/>
      <c r="N174" s="210"/>
      <c r="O174" s="210"/>
      <c r="P174" s="210"/>
      <c r="Q174" s="210"/>
      <c r="R174" s="210"/>
    </row>
    <row r="175" spans="1:18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L175" s="210"/>
      <c r="M175" s="210"/>
      <c r="N175" s="210"/>
      <c r="O175" s="210"/>
      <c r="P175" s="210"/>
      <c r="Q175" s="210"/>
      <c r="R175" s="210"/>
    </row>
    <row r="176" spans="1:18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L176" s="210"/>
      <c r="M176" s="210"/>
      <c r="N176" s="210"/>
      <c r="O176" s="210"/>
      <c r="P176" s="210"/>
      <c r="Q176" s="210"/>
      <c r="R176" s="210"/>
    </row>
    <row r="177" spans="1:18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L177" s="210"/>
      <c r="M177" s="210"/>
      <c r="N177" s="210"/>
      <c r="O177" s="210"/>
      <c r="P177" s="210"/>
      <c r="Q177" s="210"/>
      <c r="R177" s="210"/>
    </row>
    <row r="178" spans="1:18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L178" s="210"/>
      <c r="M178" s="210"/>
      <c r="N178" s="210"/>
      <c r="O178" s="210"/>
      <c r="P178" s="210"/>
      <c r="Q178" s="210"/>
      <c r="R178" s="210"/>
    </row>
    <row r="179" spans="1:18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L179" s="210"/>
      <c r="M179" s="210"/>
      <c r="N179" s="210"/>
      <c r="O179" s="210"/>
      <c r="P179" s="210"/>
      <c r="Q179" s="210"/>
      <c r="R179" s="210"/>
    </row>
    <row r="180" spans="1:18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L180" s="210"/>
      <c r="M180" s="210"/>
      <c r="N180" s="210"/>
      <c r="O180" s="210"/>
      <c r="P180" s="210"/>
      <c r="Q180" s="210"/>
      <c r="R180" s="210"/>
    </row>
    <row r="181" spans="1:18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L181" s="210"/>
      <c r="M181" s="210"/>
      <c r="N181" s="210"/>
      <c r="O181" s="210"/>
      <c r="P181" s="210"/>
      <c r="Q181" s="210"/>
      <c r="R181" s="210"/>
    </row>
    <row r="182" spans="1:18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L182" s="210"/>
      <c r="M182" s="210"/>
      <c r="N182" s="210"/>
      <c r="O182" s="210"/>
      <c r="P182" s="210"/>
      <c r="Q182" s="210"/>
      <c r="R182" s="210"/>
    </row>
    <row r="183" spans="1:18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L183" s="210"/>
      <c r="M183" s="210"/>
      <c r="N183" s="210"/>
      <c r="O183" s="210"/>
      <c r="P183" s="210"/>
      <c r="Q183" s="210"/>
      <c r="R183" s="210"/>
    </row>
    <row r="184" spans="1:18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L184" s="210"/>
      <c r="M184" s="210"/>
      <c r="N184" s="210"/>
      <c r="O184" s="210"/>
      <c r="P184" s="210"/>
      <c r="Q184" s="210"/>
      <c r="R184" s="210"/>
    </row>
    <row r="185" spans="1:18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L185" s="210"/>
      <c r="M185" s="210"/>
      <c r="N185" s="210"/>
      <c r="O185" s="210"/>
      <c r="P185" s="210"/>
      <c r="Q185" s="210"/>
      <c r="R185" s="210"/>
    </row>
    <row r="186" spans="1:18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L186" s="210"/>
      <c r="M186" s="210"/>
      <c r="N186" s="210"/>
      <c r="O186" s="210"/>
      <c r="P186" s="210"/>
      <c r="Q186" s="210"/>
      <c r="R186" s="210"/>
    </row>
    <row r="187" spans="1:18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L187" s="210"/>
      <c r="M187" s="210"/>
      <c r="N187" s="210"/>
      <c r="O187" s="210"/>
      <c r="P187" s="210"/>
      <c r="Q187" s="210"/>
      <c r="R187" s="210"/>
    </row>
    <row r="188" spans="1:18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L188" s="210"/>
      <c r="M188" s="210"/>
      <c r="N188" s="210"/>
      <c r="O188" s="210"/>
      <c r="P188" s="210"/>
      <c r="Q188" s="210"/>
      <c r="R188" s="210"/>
    </row>
    <row r="189" spans="1:18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L189" s="210"/>
      <c r="M189" s="210"/>
      <c r="N189" s="210"/>
      <c r="O189" s="210"/>
      <c r="P189" s="210"/>
      <c r="Q189" s="210"/>
      <c r="R189" s="210"/>
    </row>
    <row r="190" spans="1:18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L190" s="210"/>
      <c r="M190" s="210"/>
      <c r="N190" s="210"/>
      <c r="O190" s="210"/>
      <c r="P190" s="210"/>
      <c r="Q190" s="210"/>
      <c r="R190" s="210"/>
    </row>
    <row r="191" spans="1:18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L191" s="210"/>
      <c r="M191" s="210"/>
      <c r="N191" s="210"/>
      <c r="O191" s="210"/>
      <c r="P191" s="210"/>
      <c r="Q191" s="210"/>
      <c r="R191" s="210"/>
    </row>
    <row r="192" spans="1:18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L192" s="210"/>
      <c r="M192" s="210"/>
      <c r="N192" s="210"/>
      <c r="O192" s="210"/>
      <c r="P192" s="210"/>
      <c r="Q192" s="210"/>
      <c r="R192" s="210"/>
    </row>
    <row r="193" spans="1:18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L193" s="210"/>
      <c r="M193" s="210"/>
      <c r="N193" s="210"/>
      <c r="O193" s="210"/>
      <c r="P193" s="210"/>
      <c r="Q193" s="210"/>
      <c r="R193" s="210"/>
    </row>
    <row r="194" spans="1:18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L194" s="210"/>
      <c r="M194" s="210"/>
      <c r="N194" s="210"/>
      <c r="O194" s="210"/>
      <c r="P194" s="210"/>
      <c r="Q194" s="210"/>
      <c r="R194" s="210"/>
    </row>
    <row r="195" spans="1:18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L195" s="210"/>
      <c r="M195" s="210"/>
      <c r="N195" s="210"/>
      <c r="O195" s="210"/>
      <c r="P195" s="210"/>
      <c r="Q195" s="210"/>
      <c r="R195" s="210"/>
    </row>
    <row r="196" spans="1:18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L196" s="210"/>
      <c r="M196" s="210"/>
      <c r="N196" s="210"/>
      <c r="O196" s="210"/>
      <c r="P196" s="210"/>
      <c r="Q196" s="210"/>
      <c r="R196" s="210"/>
    </row>
    <row r="197" spans="1:18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L197" s="210"/>
      <c r="M197" s="210"/>
      <c r="N197" s="210"/>
      <c r="O197" s="210"/>
      <c r="P197" s="210"/>
      <c r="Q197" s="210"/>
      <c r="R197" s="210"/>
    </row>
    <row r="198" spans="1:18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L198" s="210"/>
      <c r="M198" s="210"/>
      <c r="N198" s="210"/>
      <c r="O198" s="210"/>
      <c r="P198" s="210"/>
      <c r="Q198" s="210"/>
      <c r="R198" s="210"/>
    </row>
    <row r="199" spans="1:18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L199" s="210"/>
      <c r="M199" s="210"/>
      <c r="N199" s="210"/>
      <c r="O199" s="210"/>
      <c r="P199" s="210"/>
      <c r="Q199" s="210"/>
      <c r="R199" s="210"/>
    </row>
    <row r="200" spans="1:18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L200" s="210"/>
      <c r="M200" s="210"/>
      <c r="N200" s="210"/>
      <c r="O200" s="210"/>
      <c r="P200" s="210"/>
      <c r="Q200" s="210"/>
      <c r="R200" s="210"/>
    </row>
    <row r="201" spans="1:18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L201" s="210"/>
      <c r="M201" s="210"/>
      <c r="N201" s="210"/>
      <c r="O201" s="210"/>
      <c r="P201" s="210"/>
      <c r="Q201" s="210"/>
      <c r="R201" s="210"/>
    </row>
    <row r="202" spans="1:18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L202" s="210"/>
      <c r="M202" s="210"/>
      <c r="N202" s="210"/>
      <c r="O202" s="210"/>
      <c r="P202" s="210"/>
      <c r="Q202" s="210"/>
      <c r="R202" s="210"/>
    </row>
    <row r="203" spans="1:18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L203" s="210"/>
      <c r="M203" s="210"/>
      <c r="N203" s="210"/>
      <c r="O203" s="210"/>
      <c r="P203" s="210"/>
      <c r="Q203" s="210"/>
      <c r="R203" s="210"/>
    </row>
    <row r="204" spans="1:18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L204" s="210"/>
      <c r="M204" s="210"/>
      <c r="N204" s="210"/>
      <c r="O204" s="210"/>
      <c r="P204" s="210"/>
      <c r="Q204" s="210"/>
      <c r="R204" s="210"/>
    </row>
    <row r="205" spans="1:18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L205" s="210"/>
      <c r="M205" s="210"/>
      <c r="N205" s="210"/>
      <c r="O205" s="210"/>
      <c r="P205" s="210"/>
      <c r="Q205" s="210"/>
      <c r="R205" s="210"/>
    </row>
    <row r="206" spans="1:18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L206" s="210"/>
      <c r="M206" s="210"/>
      <c r="N206" s="210"/>
      <c r="O206" s="210"/>
      <c r="P206" s="210"/>
      <c r="Q206" s="210"/>
      <c r="R206" s="210"/>
    </row>
    <row r="207" spans="1:18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L207" s="210"/>
      <c r="M207" s="210"/>
      <c r="N207" s="210"/>
      <c r="O207" s="210"/>
      <c r="P207" s="210"/>
      <c r="Q207" s="210"/>
      <c r="R207" s="210"/>
    </row>
    <row r="208" spans="1:18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L208" s="210"/>
      <c r="M208" s="210"/>
      <c r="N208" s="210"/>
      <c r="O208" s="210"/>
      <c r="P208" s="210"/>
      <c r="Q208" s="210"/>
      <c r="R208" s="210"/>
    </row>
    <row r="209" spans="1:18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L209" s="210"/>
      <c r="M209" s="210"/>
      <c r="N209" s="210"/>
      <c r="O209" s="210"/>
      <c r="P209" s="210"/>
      <c r="Q209" s="210"/>
      <c r="R209" s="210"/>
    </row>
    <row r="210" spans="1:18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L210" s="210"/>
      <c r="M210" s="210"/>
      <c r="N210" s="210"/>
      <c r="O210" s="210"/>
      <c r="P210" s="210"/>
      <c r="Q210" s="210"/>
      <c r="R210" s="210"/>
    </row>
    <row r="211" spans="1:18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L211" s="210"/>
      <c r="M211" s="210"/>
      <c r="N211" s="210"/>
      <c r="O211" s="210"/>
      <c r="P211" s="210"/>
      <c r="Q211" s="210"/>
      <c r="R211" s="210"/>
    </row>
    <row r="212" spans="1:18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L212" s="210"/>
      <c r="M212" s="210"/>
      <c r="N212" s="210"/>
      <c r="O212" s="210"/>
      <c r="P212" s="210"/>
      <c r="Q212" s="210"/>
      <c r="R212" s="210"/>
    </row>
    <row r="213" spans="1:18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L213" s="210"/>
      <c r="M213" s="210"/>
      <c r="N213" s="210"/>
      <c r="O213" s="210"/>
      <c r="P213" s="210"/>
      <c r="Q213" s="210"/>
      <c r="R213" s="210"/>
    </row>
    <row r="214" spans="1:18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L214" s="210"/>
      <c r="M214" s="210"/>
      <c r="N214" s="210"/>
      <c r="O214" s="210"/>
      <c r="P214" s="210"/>
      <c r="Q214" s="210"/>
      <c r="R214" s="210"/>
    </row>
    <row r="215" spans="1:18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L215" s="210"/>
      <c r="M215" s="210"/>
      <c r="N215" s="210"/>
      <c r="O215" s="210"/>
      <c r="P215" s="210"/>
      <c r="Q215" s="210"/>
      <c r="R215" s="210"/>
    </row>
    <row r="216" spans="1:18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L216" s="210"/>
      <c r="M216" s="210"/>
      <c r="N216" s="210"/>
      <c r="O216" s="210"/>
      <c r="P216" s="210"/>
      <c r="Q216" s="210"/>
      <c r="R216" s="210"/>
    </row>
    <row r="217" spans="1:18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L217" s="210"/>
      <c r="M217" s="210"/>
      <c r="N217" s="210"/>
      <c r="O217" s="210"/>
      <c r="P217" s="210"/>
      <c r="Q217" s="210"/>
      <c r="R217" s="210"/>
    </row>
    <row r="218" spans="1:18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L218" s="210"/>
      <c r="M218" s="210"/>
      <c r="N218" s="210"/>
      <c r="O218" s="210"/>
      <c r="P218" s="210"/>
      <c r="Q218" s="210"/>
      <c r="R218" s="210"/>
    </row>
    <row r="219" spans="1:18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L219" s="210"/>
      <c r="M219" s="210"/>
      <c r="N219" s="210"/>
      <c r="O219" s="210"/>
      <c r="P219" s="210"/>
      <c r="Q219" s="210"/>
      <c r="R219" s="210"/>
    </row>
    <row r="220" spans="1:18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L220" s="210"/>
      <c r="M220" s="210"/>
      <c r="N220" s="210"/>
      <c r="O220" s="210"/>
      <c r="P220" s="210"/>
      <c r="Q220" s="210"/>
      <c r="R220" s="210"/>
    </row>
    <row r="221" spans="1:18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L221" s="210"/>
      <c r="M221" s="210"/>
      <c r="N221" s="210"/>
      <c r="O221" s="210"/>
      <c r="P221" s="210"/>
      <c r="Q221" s="210"/>
      <c r="R221" s="210"/>
    </row>
    <row r="222" spans="1:18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L222" s="210"/>
      <c r="M222" s="210"/>
      <c r="N222" s="210"/>
      <c r="O222" s="210"/>
      <c r="P222" s="210"/>
      <c r="Q222" s="210"/>
      <c r="R222" s="210"/>
    </row>
  </sheetData>
  <mergeCells count="2">
    <mergeCell ref="C33:D33"/>
    <mergeCell ref="E33:H3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2013-03-20T11:08:47Z</dcterms:modified>
</cp:coreProperties>
</file>