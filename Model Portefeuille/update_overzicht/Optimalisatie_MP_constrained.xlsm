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8560" yWindow="75" windowWidth="28530" windowHeight="12795" activeTab="7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19" i="11"/>
  <c r="B11" i="9"/>
  <c r="B31" i="7"/>
  <c r="C10" i="11"/>
  <c r="J10"/>
  <c r="B30" i="7"/>
  <c r="C9" i="11"/>
  <c r="J9"/>
  <c r="B29" i="7"/>
  <c r="C8" i="11"/>
  <c r="J8"/>
  <c r="B28" i="7"/>
  <c r="C7" i="11"/>
  <c r="J7"/>
  <c r="B27" i="7"/>
  <c r="C6" i="11"/>
  <c r="J6"/>
  <c r="B26" i="7"/>
  <c r="C5" i="11"/>
  <c r="J5"/>
  <c r="B25" i="7"/>
  <c r="C4" i="11"/>
  <c r="J4"/>
  <c r="B24" i="7"/>
  <c r="C3" i="11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I3"/>
  <c r="H18"/>
  <c r="H3"/>
  <c r="G18"/>
  <c r="G3"/>
  <c r="F18"/>
  <c r="F3"/>
  <c r="E18"/>
  <c r="E3"/>
  <c r="D18"/>
  <c r="D3"/>
  <c r="C18"/>
  <c r="E33" i="7"/>
  <c r="C33"/>
  <c r="B33"/>
  <c r="D33"/>
  <c r="F33"/>
  <c r="G33"/>
  <c r="H33"/>
  <c r="I31"/>
  <c r="I30"/>
  <c r="I29"/>
  <c r="I28"/>
  <c r="I27"/>
  <c r="I26"/>
  <c r="I25"/>
  <c r="I24"/>
  <c r="J35" i="11"/>
  <c r="I35"/>
  <c r="H35"/>
  <c r="K35"/>
  <c r="I38"/>
  <c r="H38"/>
  <c r="K38"/>
  <c r="I37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C10" i="9"/>
  <c r="D10"/>
  <c r="P13" i="11"/>
  <c r="C9" i="9"/>
  <c r="D9"/>
  <c r="P12" i="11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I33" i="7"/>
  <c r="J12" i="11"/>
  <c r="I12"/>
  <c r="H12"/>
  <c r="E12"/>
  <c r="D12"/>
  <c r="C12"/>
  <c r="E35" i="7"/>
  <c r="F35"/>
  <c r="G7" i="9"/>
  <c r="G6"/>
  <c r="G3"/>
  <c r="G4"/>
  <c r="G5"/>
  <c r="G8"/>
  <c r="G9"/>
  <c r="G10"/>
  <c r="A21" i="5"/>
  <c r="A22"/>
  <c r="A23"/>
  <c r="A24"/>
  <c r="A25"/>
  <c r="A26"/>
  <c r="G5"/>
  <c r="H5"/>
  <c r="D27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<sst xmlns="http://schemas.openxmlformats.org/spreadsheetml/2006/main" count="585" uniqueCount="150">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</sst>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2" fillId="0" borderId="57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8" applyNumberFormat="0" applyAlignment="0" applyProtection="0"/>
    <xf numFmtId="0" fontId="87" fillId="38" borderId="1" applyNumberFormat="0" applyAlignment="0" applyProtection="0"/>
    <xf numFmtId="0" fontId="88" fillId="0" borderId="59" applyNumberFormat="0" applyFill="0" applyAlignment="0" applyProtection="0"/>
    <xf numFmtId="0" fontId="89" fillId="39" borderId="60" applyNumberFormat="0" applyAlignment="0" applyProtection="0"/>
    <xf numFmtId="0" fontId="90" fillId="0" borderId="0" applyNumberFormat="0" applyFill="0" applyBorder="0" applyAlignment="0" applyProtection="0"/>
    <xf numFmtId="0" fontId="1" fillId="40" borderId="61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2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2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3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4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06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88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4"/>
          <c:w val="0.5562682138416909"/>
          <c:h val="0.692582184133050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34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0.57295330326829641</c:v>
                </c:pt>
                <c:pt idx="1">
                  <c:v>9.4917642190175677E-2</c:v>
                </c:pt>
                <c:pt idx="2">
                  <c:v>6.6072845927494572E-2</c:v>
                </c:pt>
                <c:pt idx="3">
                  <c:v>7.9070821653539791E-2</c:v>
                </c:pt>
                <c:pt idx="4">
                  <c:v>6.1105073205391568E-2</c:v>
                </c:pt>
                <c:pt idx="5">
                  <c:v>4.8494971762714868E-2</c:v>
                </c:pt>
                <c:pt idx="6">
                  <c:v>3.0634868515694108E-2</c:v>
                </c:pt>
                <c:pt idx="7">
                  <c:v>4.6750473476693123E-2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3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0.56348397676066164</c:v>
                </c:pt>
                <c:pt idx="1">
                  <c:v>7.5356379669681145E-2</c:v>
                </c:pt>
                <c:pt idx="2">
                  <c:v>5.6111643889929175E-2</c:v>
                </c:pt>
                <c:pt idx="3">
                  <c:v>7.6502985456029349E-2</c:v>
                </c:pt>
                <c:pt idx="4">
                  <c:v>4.4935649156803294E-2</c:v>
                </c:pt>
                <c:pt idx="5">
                  <c:v>3.4205996756093836E-2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9.4693265076347677E-3</c:v>
                </c:pt>
                <c:pt idx="1">
                  <c:v>1.9561262520494532E-2</c:v>
                </c:pt>
                <c:pt idx="2">
                  <c:v>9.9612020375653976E-3</c:v>
                </c:pt>
                <c:pt idx="3">
                  <c:v>2.5678361975104425E-3</c:v>
                </c:pt>
                <c:pt idx="4">
                  <c:v>1.6169424048588274E-2</c:v>
                </c:pt>
                <c:pt idx="5">
                  <c:v>1.4288975006621032E-2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8.1789486990205829E-3</c:v>
                </c:pt>
                <c:pt idx="1">
                  <c:v>1.8566519001954163E-2</c:v>
                </c:pt>
                <c:pt idx="2">
                  <c:v>7.0498710608970505E-3</c:v>
                </c:pt>
                <c:pt idx="3">
                  <c:v>1.9646281422521367E-3</c:v>
                </c:pt>
                <c:pt idx="4">
                  <c:v>1.487150884340064E-2</c:v>
                </c:pt>
                <c:pt idx="5">
                  <c:v>1.4391479035074463E-2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overlap val="100"/>
        <c:axId val="355704192"/>
        <c:axId val="35573094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55704192"/>
        <c:axId val="355730944"/>
      </c:lineChart>
      <c:catAx>
        <c:axId val="355704192"/>
        <c:scaling>
          <c:orientation val="minMax"/>
        </c:scaling>
        <c:axPos val="b"/>
        <c:tickLblPos val="nextTo"/>
        <c:crossAx val="355730944"/>
        <c:crosses val="autoZero"/>
        <c:auto val="1"/>
        <c:lblAlgn val="ctr"/>
        <c:lblOffset val="100"/>
      </c:catAx>
      <c:valAx>
        <c:axId val="355730944"/>
        <c:scaling>
          <c:orientation val="minMax"/>
        </c:scaling>
        <c:axPos val="l"/>
        <c:majorGridlines/>
        <c:numFmt formatCode="0%" sourceLinked="0"/>
        <c:tickLblPos val="nextTo"/>
        <c:crossAx val="3557041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55771904"/>
        <c:axId val="355773440"/>
      </c:barChart>
      <c:catAx>
        <c:axId val="355771904"/>
        <c:scaling>
          <c:orientation val="minMax"/>
        </c:scaling>
        <c:axPos val="b"/>
        <c:tickLblPos val="nextTo"/>
        <c:crossAx val="355773440"/>
        <c:crosses val="autoZero"/>
        <c:auto val="1"/>
        <c:lblAlgn val="ctr"/>
        <c:lblOffset val="100"/>
      </c:catAx>
      <c:valAx>
        <c:axId val="355773440"/>
        <c:scaling>
          <c:orientation val="minMax"/>
        </c:scaling>
        <c:axPos val="l"/>
        <c:majorGridlines/>
        <c:numFmt formatCode="0.0%" sourceLinked="1"/>
        <c:tickLblPos val="nextTo"/>
        <c:crossAx val="355771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15"/>
          <c:y val="0.3099908672026212"/>
          <c:w val="0.27290015295627634"/>
          <c:h val="0.50313982945017677"/>
        </c:manualLayout>
      </c:layout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6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0.16500308681547868</c:v>
                </c:pt>
                <c:pt idx="1">
                  <c:v>0.12732093598393002</c:v>
                </c:pt>
                <c:pt idx="2">
                  <c:v>0.17563725499335017</c:v>
                </c:pt>
                <c:pt idx="3">
                  <c:v>9.1105290744067272E-2</c:v>
                </c:pt>
                <c:pt idx="4">
                  <c:v>6.0945512201956743E-2</c:v>
                </c:pt>
                <c:pt idx="5">
                  <c:v>6.9671653141702747E-2</c:v>
                </c:pt>
                <c:pt idx="6">
                  <c:v>0.106322727339597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5.6179513138203713E-2</c:v>
                </c:pt>
                <c:pt idx="1">
                  <c:v>2.726049923806273E-2</c:v>
                </c:pt>
                <c:pt idx="2">
                  <c:v>9.6942892570800743E-3</c:v>
                </c:pt>
                <c:pt idx="3">
                  <c:v>5.2309000187298824E-2</c:v>
                </c:pt>
                <c:pt idx="4">
                  <c:v>5.3193147412083065E-2</c:v>
                </c:pt>
                <c:pt idx="5">
                  <c:v>2.1207341038964184E-3</c:v>
                </c:pt>
                <c:pt idx="6">
                  <c:v>3.2363554432928016E-3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5.8347724451151717E-2</c:v>
                </c:pt>
                <c:pt idx="1">
                  <c:v>2.8183467613830948E-2</c:v>
                </c:pt>
                <c:pt idx="2">
                  <c:v>1.0811641094508467E-2</c:v>
                </c:pt>
                <c:pt idx="3">
                  <c:v>5.0479467592535188E-2</c:v>
                </c:pt>
                <c:pt idx="4">
                  <c:v>5.042162539013155E-2</c:v>
                </c:pt>
                <c:pt idx="5">
                  <c:v>2.1123194909735132E-3</c:v>
                </c:pt>
                <c:pt idx="6">
                  <c:v>3.2235142868810435E-3</c:v>
                </c:pt>
              </c:numCache>
            </c:numRef>
          </c:val>
        </c:ser>
        <c:overlap val="100"/>
        <c:axId val="355812480"/>
        <c:axId val="35581440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55812480"/>
        <c:axId val="355814400"/>
      </c:lineChart>
      <c:catAx>
        <c:axId val="355812480"/>
        <c:scaling>
          <c:orientation val="minMax"/>
        </c:scaling>
        <c:axPos val="b"/>
        <c:numFmt formatCode="General" sourceLinked="1"/>
        <c:tickLblPos val="nextTo"/>
        <c:crossAx val="355814400"/>
        <c:crosses val="autoZero"/>
        <c:auto val="1"/>
        <c:lblAlgn val="ctr"/>
        <c:lblOffset val="100"/>
      </c:catAx>
      <c:valAx>
        <c:axId val="355814400"/>
        <c:scaling>
          <c:orientation val="minMax"/>
        </c:scaling>
        <c:axPos val="l"/>
        <c:majorGridlines/>
        <c:numFmt formatCode="0%" sourceLinked="0"/>
        <c:tickLblPos val="nextTo"/>
        <c:crossAx val="3558124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403115392"/>
        <c:axId val="403125376"/>
      </c:barChart>
      <c:catAx>
        <c:axId val="403115392"/>
        <c:scaling>
          <c:orientation val="minMax"/>
        </c:scaling>
        <c:axPos val="b"/>
        <c:tickLblPos val="nextTo"/>
        <c:crossAx val="403125376"/>
        <c:crosses val="autoZero"/>
        <c:auto val="1"/>
        <c:lblAlgn val="ctr"/>
        <c:lblOffset val="100"/>
      </c:catAx>
      <c:valAx>
        <c:axId val="403125376"/>
        <c:scaling>
          <c:orientation val="minMax"/>
        </c:scaling>
        <c:axPos val="l"/>
        <c:majorGridlines/>
        <c:numFmt formatCode="0.0%" sourceLinked="1"/>
        <c:tickLblPos val="nextTo"/>
        <c:crossAx val="40311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63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0.55679551018695539</c:v>
                </c:pt>
                <c:pt idx="1">
                  <c:v>7.2985300868237929E-2</c:v>
                </c:pt>
                <c:pt idx="2">
                  <c:v>7.3464386564992434E-2</c:v>
                </c:pt>
                <c:pt idx="3">
                  <c:v>0.10459058167918552</c:v>
                </c:pt>
                <c:pt idx="4">
                  <c:v>4.3997230288037065E-2</c:v>
                </c:pt>
                <c:pt idx="5">
                  <c:v>3.8108664581497577E-3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5.9713391574729435E-3</c:v>
                </c:pt>
                <c:pt idx="1">
                  <c:v>1.4851375247213264E-2</c:v>
                </c:pt>
                <c:pt idx="2">
                  <c:v>1.6515072632028588E-2</c:v>
                </c:pt>
                <c:pt idx="3">
                  <c:v>9.1450564876918577E-3</c:v>
                </c:pt>
                <c:pt idx="4">
                  <c:v>9.9457151212057476E-3</c:v>
                </c:pt>
                <c:pt idx="5">
                  <c:v>1.05422233164416E-2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5.0496680030318597E-3</c:v>
                </c:pt>
                <c:pt idx="1">
                  <c:v>1.3753242240059665E-2</c:v>
                </c:pt>
                <c:pt idx="2">
                  <c:v>1.5596252702123281E-2</c:v>
                </c:pt>
                <c:pt idx="3">
                  <c:v>9.7963576575984951E-3</c:v>
                </c:pt>
                <c:pt idx="4">
                  <c:v>9.8161597143445745E-3</c:v>
                </c:pt>
                <c:pt idx="5">
                  <c:v>8.4019066613095616E-3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254272"/>
        <c:axId val="403260160"/>
      </c:barChart>
      <c:catAx>
        <c:axId val="403254272"/>
        <c:scaling>
          <c:orientation val="minMax"/>
        </c:scaling>
        <c:axPos val="l"/>
        <c:numFmt formatCode="0%" sourceLinked="1"/>
        <c:tickLblPos val="nextTo"/>
        <c:crossAx val="403260160"/>
        <c:crosses val="autoZero"/>
        <c:auto val="1"/>
        <c:lblAlgn val="ctr"/>
        <c:lblOffset val="100"/>
      </c:catAx>
      <c:valAx>
        <c:axId val="403260160"/>
        <c:scaling>
          <c:orientation val="minMax"/>
        </c:scaling>
        <c:axPos val="b"/>
        <c:majorGridlines/>
        <c:numFmt formatCode="0%" sourceLinked="0"/>
        <c:tickLblPos val="nextTo"/>
        <c:crossAx val="403254272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0.56348397676066164</c:v>
                </c:pt>
                <c:pt idx="1">
                  <c:v>7.5356379669681145E-2</c:v>
                </c:pt>
                <c:pt idx="2">
                  <c:v>5.6111643889929175E-2</c:v>
                </c:pt>
                <c:pt idx="3">
                  <c:v>7.6502985456029349E-2</c:v>
                </c:pt>
                <c:pt idx="4">
                  <c:v>4.4935649156803294E-2</c:v>
                </c:pt>
                <c:pt idx="5">
                  <c:v>3.4205996756093836E-2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9.4693265076347677E-3</c:v>
                </c:pt>
                <c:pt idx="1">
                  <c:v>1.9561262520494532E-2</c:v>
                </c:pt>
                <c:pt idx="2">
                  <c:v>9.9612020375653976E-3</c:v>
                </c:pt>
                <c:pt idx="3">
                  <c:v>2.5678361975104425E-3</c:v>
                </c:pt>
                <c:pt idx="4">
                  <c:v>1.6169424048588274E-2</c:v>
                </c:pt>
                <c:pt idx="5">
                  <c:v>1.4288975006621032E-2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8.1789486990205829E-3</c:v>
                </c:pt>
                <c:pt idx="1">
                  <c:v>1.8566519001954163E-2</c:v>
                </c:pt>
                <c:pt idx="2">
                  <c:v>7.0498710608970505E-3</c:v>
                </c:pt>
                <c:pt idx="3">
                  <c:v>1.9646281422521367E-3</c:v>
                </c:pt>
                <c:pt idx="4">
                  <c:v>1.487150884340064E-2</c:v>
                </c:pt>
                <c:pt idx="5">
                  <c:v>1.4391479035074463E-2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289600"/>
        <c:axId val="403291136"/>
      </c:barChart>
      <c:catAx>
        <c:axId val="403289600"/>
        <c:scaling>
          <c:orientation val="minMax"/>
        </c:scaling>
        <c:axPos val="l"/>
        <c:numFmt formatCode="0%" sourceLinked="1"/>
        <c:tickLblPos val="nextTo"/>
        <c:crossAx val="403291136"/>
        <c:crosses val="autoZero"/>
        <c:auto val="1"/>
        <c:lblAlgn val="ctr"/>
        <c:lblOffset val="100"/>
      </c:catAx>
      <c:valAx>
        <c:axId val="403291136"/>
        <c:scaling>
          <c:orientation val="minMax"/>
        </c:scaling>
        <c:axPos val="b"/>
        <c:majorGridlines/>
        <c:numFmt formatCode="0%" sourceLinked="0"/>
        <c:tickLblPos val="nextTo"/>
        <c:crossAx val="4032896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0.56348397676066164</c:v>
                </c:pt>
                <c:pt idx="1">
                  <c:v>7.5356379669681145E-2</c:v>
                </c:pt>
                <c:pt idx="2">
                  <c:v>5.6111643889929175E-2</c:v>
                </c:pt>
                <c:pt idx="3">
                  <c:v>7.6502985456029349E-2</c:v>
                </c:pt>
                <c:pt idx="4">
                  <c:v>4.4935649156803294E-2</c:v>
                </c:pt>
                <c:pt idx="5">
                  <c:v>3.4205996756093836E-2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9.4693265076347677E-3</c:v>
                </c:pt>
                <c:pt idx="1">
                  <c:v>1.9561262520494532E-2</c:v>
                </c:pt>
                <c:pt idx="2">
                  <c:v>9.9612020375653976E-3</c:v>
                </c:pt>
                <c:pt idx="3">
                  <c:v>2.5678361975104425E-3</c:v>
                </c:pt>
                <c:pt idx="4">
                  <c:v>1.6169424048588274E-2</c:v>
                </c:pt>
                <c:pt idx="5">
                  <c:v>1.4288975006621032E-2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8.1789486990205829E-3</c:v>
                </c:pt>
                <c:pt idx="1">
                  <c:v>1.8566519001954163E-2</c:v>
                </c:pt>
                <c:pt idx="2">
                  <c:v>7.0498710608970505E-3</c:v>
                </c:pt>
                <c:pt idx="3">
                  <c:v>1.9646281422521367E-3</c:v>
                </c:pt>
                <c:pt idx="4">
                  <c:v>1.487150884340064E-2</c:v>
                </c:pt>
                <c:pt idx="5">
                  <c:v>1.4391479035074463E-2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329408"/>
        <c:axId val="403330944"/>
      </c:barChart>
      <c:catAx>
        <c:axId val="403329408"/>
        <c:scaling>
          <c:orientation val="minMax"/>
        </c:scaling>
        <c:axPos val="l"/>
        <c:numFmt formatCode="0%" sourceLinked="1"/>
        <c:tickLblPos val="nextTo"/>
        <c:crossAx val="403330944"/>
        <c:crosses val="autoZero"/>
        <c:auto val="1"/>
        <c:lblAlgn val="ctr"/>
        <c:lblOffset val="100"/>
      </c:catAx>
      <c:valAx>
        <c:axId val="403330944"/>
        <c:scaling>
          <c:orientation val="minMax"/>
        </c:scaling>
        <c:axPos val="b"/>
        <c:majorGridlines/>
        <c:numFmt formatCode="0%" sourceLinked="0"/>
        <c:tickLblPos val="nextTo"/>
        <c:crossAx val="403329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0.55838767681169432</c:v>
                </c:pt>
                <c:pt idx="1">
                  <c:v>9.9415171078573977E-2</c:v>
                </c:pt>
                <c:pt idx="2">
                  <c:v>5.2885447842951357E-2</c:v>
                </c:pt>
                <c:pt idx="3">
                  <c:v>7.8608582051812217E-2</c:v>
                </c:pt>
                <c:pt idx="4">
                  <c:v>4.5584194818316215E-2</c:v>
                </c:pt>
                <c:pt idx="5">
                  <c:v>1.8853640706658716E-2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8.1529573407411737E-3</c:v>
                </c:pt>
                <c:pt idx="1">
                  <c:v>1.5344497806589127E-2</c:v>
                </c:pt>
                <c:pt idx="2">
                  <c:v>4.9005208841394823E-3</c:v>
                </c:pt>
                <c:pt idx="3">
                  <c:v>6.3820054002174109E-3</c:v>
                </c:pt>
                <c:pt idx="4">
                  <c:v>1.5506087551577619E-2</c:v>
                </c:pt>
                <c:pt idx="5">
                  <c:v>1.8593875714340256E-2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7.087566834421466E-3</c:v>
                </c:pt>
                <c:pt idx="1">
                  <c:v>1.6571099882999582E-2</c:v>
                </c:pt>
                <c:pt idx="2">
                  <c:v>3.9813002134915024E-3</c:v>
                </c:pt>
                <c:pt idx="3">
                  <c:v>4.5464974872585634E-3</c:v>
                </c:pt>
                <c:pt idx="4">
                  <c:v>1.4780020415065015E-2</c:v>
                </c:pt>
                <c:pt idx="5">
                  <c:v>1.7496625722910469E-2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352192"/>
        <c:axId val="403366272"/>
      </c:barChart>
      <c:catAx>
        <c:axId val="403352192"/>
        <c:scaling>
          <c:orientation val="minMax"/>
        </c:scaling>
        <c:axPos val="l"/>
        <c:tickLblPos val="nextTo"/>
        <c:crossAx val="403366272"/>
        <c:crosses val="autoZero"/>
        <c:auto val="1"/>
        <c:lblAlgn val="ctr"/>
        <c:lblOffset val="100"/>
      </c:catAx>
      <c:valAx>
        <c:axId val="403366272"/>
        <c:scaling>
          <c:orientation val="minMax"/>
        </c:scaling>
        <c:axPos val="b"/>
        <c:majorGridlines/>
        <c:numFmt formatCode="0%" sourceLinked="0"/>
        <c:tickLblPos val="nextTo"/>
        <c:crossAx val="4033521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0.64637591376494519</c:v>
                </c:pt>
                <c:pt idx="1">
                  <c:v>7.2289410199789808E-2</c:v>
                </c:pt>
                <c:pt idx="2">
                  <c:v>6.6345900790377138E-2</c:v>
                </c:pt>
                <c:pt idx="3">
                  <c:v>7.5751370794866713E-2</c:v>
                </c:pt>
                <c:pt idx="4">
                  <c:v>2.5678129472652481E-2</c:v>
                </c:pt>
                <c:pt idx="5">
                  <c:v>1.0818686179470748E-4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1.5018131545652125E-3</c:v>
                </c:pt>
                <c:pt idx="1">
                  <c:v>1.3435471034116964E-2</c:v>
                </c:pt>
                <c:pt idx="2">
                  <c:v>1.4445669743935977E-2</c:v>
                </c:pt>
                <c:pt idx="3">
                  <c:v>2.3597862742450043E-3</c:v>
                </c:pt>
                <c:pt idx="4">
                  <c:v>2.5001986099769079E-3</c:v>
                </c:pt>
                <c:pt idx="5">
                  <c:v>1.8228073063460411E-3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1.893811931013345E-3</c:v>
                </c:pt>
                <c:pt idx="1">
                  <c:v>1.2059345009933289E-2</c:v>
                </c:pt>
                <c:pt idx="2">
                  <c:v>1.3453734128549874E-2</c:v>
                </c:pt>
                <c:pt idx="3">
                  <c:v>1.6727918026025607E-3</c:v>
                </c:pt>
                <c:pt idx="4">
                  <c:v>1.9097334611706818E-3</c:v>
                </c:pt>
                <c:pt idx="5">
                  <c:v>8.038353747201537E-4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399808"/>
        <c:axId val="403401344"/>
      </c:barChart>
      <c:catAx>
        <c:axId val="403399808"/>
        <c:scaling>
          <c:orientation val="minMax"/>
        </c:scaling>
        <c:axPos val="l"/>
        <c:tickLblPos val="nextTo"/>
        <c:crossAx val="403401344"/>
        <c:crosses val="autoZero"/>
        <c:auto val="1"/>
        <c:lblAlgn val="ctr"/>
        <c:lblOffset val="100"/>
      </c:catAx>
      <c:valAx>
        <c:axId val="403401344"/>
        <c:scaling>
          <c:orientation val="minMax"/>
        </c:scaling>
        <c:axPos val="b"/>
        <c:majorGridlines/>
        <c:numFmt formatCode="0%" sourceLinked="0"/>
        <c:tickLblPos val="nextTo"/>
        <c:crossAx val="4033998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0.64631441459935079</c:v>
                </c:pt>
                <c:pt idx="1">
                  <c:v>8.0335567505011474E-2</c:v>
                </c:pt>
                <c:pt idx="2">
                  <c:v>6.1701440967443233E-2</c:v>
                </c:pt>
                <c:pt idx="3">
                  <c:v>7.5398831661874388E-2</c:v>
                </c:pt>
                <c:pt idx="4">
                  <c:v>2.5037906854781383E-2</c:v>
                </c:pt>
                <c:pt idx="5">
                  <c:v>5.8459997616316972E-5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1.5687086771966063E-3</c:v>
                </c:pt>
                <c:pt idx="1">
                  <c:v>1.2087585582736246E-2</c:v>
                </c:pt>
                <c:pt idx="2">
                  <c:v>1.3995219785500099E-2</c:v>
                </c:pt>
                <c:pt idx="3">
                  <c:v>2.5368502749969352E-3</c:v>
                </c:pt>
                <c:pt idx="4">
                  <c:v>1.8163821843569655E-3</c:v>
                </c:pt>
                <c:pt idx="5">
                  <c:v>1.7632899167489909E-3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1.9957469376354897E-3</c:v>
                </c:pt>
                <c:pt idx="1">
                  <c:v>1.2965728975998805E-2</c:v>
                </c:pt>
                <c:pt idx="2">
                  <c:v>1.3126371588598501E-2</c:v>
                </c:pt>
                <c:pt idx="3">
                  <c:v>2.0891818693731107E-3</c:v>
                </c:pt>
                <c:pt idx="4">
                  <c:v>1.4518605220773459E-3</c:v>
                </c:pt>
                <c:pt idx="5">
                  <c:v>9.3601281043550057E-4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451264"/>
        <c:axId val="403457152"/>
      </c:barChart>
      <c:catAx>
        <c:axId val="403451264"/>
        <c:scaling>
          <c:orientation val="minMax"/>
        </c:scaling>
        <c:axPos val="l"/>
        <c:tickLblPos val="nextTo"/>
        <c:crossAx val="403457152"/>
        <c:crosses val="autoZero"/>
        <c:auto val="1"/>
        <c:lblAlgn val="ctr"/>
        <c:lblOffset val="100"/>
      </c:catAx>
      <c:valAx>
        <c:axId val="403457152"/>
        <c:scaling>
          <c:orientation val="minMax"/>
        </c:scaling>
        <c:axPos val="b"/>
        <c:majorGridlines/>
        <c:numFmt formatCode="0%" sourceLinked="0"/>
        <c:tickLblPos val="nextTo"/>
        <c:crossAx val="4034512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0.6172522792769215</c:v>
                </c:pt>
                <c:pt idx="1">
                  <c:v>5.242860375694007E-2</c:v>
                </c:pt>
                <c:pt idx="2">
                  <c:v>7.113463569273476E-2</c:v>
                </c:pt>
                <c:pt idx="3">
                  <c:v>7.5957530217157135E-2</c:v>
                </c:pt>
                <c:pt idx="4">
                  <c:v>2.7969257341738392E-2</c:v>
                </c:pt>
                <c:pt idx="5">
                  <c:v>2.2102132917063595E-2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9.7595555350206142E-3</c:v>
                </c:pt>
                <c:pt idx="1">
                  <c:v>4.2986667973130832E-3</c:v>
                </c:pt>
                <c:pt idx="2">
                  <c:v>1.7857805190427053E-2</c:v>
                </c:pt>
                <c:pt idx="3">
                  <c:v>1.693181536861571E-3</c:v>
                </c:pt>
                <c:pt idx="4">
                  <c:v>5.3778833335005258E-3</c:v>
                </c:pt>
                <c:pt idx="5">
                  <c:v>1.6783126411933365E-2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1.4300048587100989E-2</c:v>
                </c:pt>
                <c:pt idx="1">
                  <c:v>2.7361365452036462E-3</c:v>
                </c:pt>
                <c:pt idx="2">
                  <c:v>1.7205609359722207E-2</c:v>
                </c:pt>
                <c:pt idx="3">
                  <c:v>1.1419492631671163E-3</c:v>
                </c:pt>
                <c:pt idx="4">
                  <c:v>4.012843124562987E-3</c:v>
                </c:pt>
                <c:pt idx="5">
                  <c:v>1.6076905710084362E-2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498880"/>
        <c:axId val="403500416"/>
      </c:barChart>
      <c:catAx>
        <c:axId val="403498880"/>
        <c:scaling>
          <c:orientation val="minMax"/>
        </c:scaling>
        <c:axPos val="l"/>
        <c:numFmt formatCode="0%" sourceLinked="1"/>
        <c:tickLblPos val="nextTo"/>
        <c:crossAx val="403500416"/>
        <c:crosses val="autoZero"/>
        <c:auto val="1"/>
        <c:lblAlgn val="ctr"/>
        <c:lblOffset val="100"/>
      </c:catAx>
      <c:valAx>
        <c:axId val="403500416"/>
        <c:scaling>
          <c:orientation val="minMax"/>
        </c:scaling>
        <c:axPos val="b"/>
        <c:majorGridlines/>
        <c:numFmt formatCode="0%" sourceLinked="0"/>
        <c:tickLblPos val="nextTo"/>
        <c:crossAx val="4034988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0.64637591376494519</c:v>
                </c:pt>
                <c:pt idx="1">
                  <c:v>7.2289410199789808E-2</c:v>
                </c:pt>
                <c:pt idx="2">
                  <c:v>6.6345900790377138E-2</c:v>
                </c:pt>
                <c:pt idx="3">
                  <c:v>7.5751370794866713E-2</c:v>
                </c:pt>
                <c:pt idx="4">
                  <c:v>2.5678129472652481E-2</c:v>
                </c:pt>
                <c:pt idx="5">
                  <c:v>1.0818686179470748E-4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1.5018131545652125E-3</c:v>
                </c:pt>
                <c:pt idx="1">
                  <c:v>1.3435471034116964E-2</c:v>
                </c:pt>
                <c:pt idx="2">
                  <c:v>1.4445669743935977E-2</c:v>
                </c:pt>
                <c:pt idx="3">
                  <c:v>2.3597862742450043E-3</c:v>
                </c:pt>
                <c:pt idx="4">
                  <c:v>2.5001986099769079E-3</c:v>
                </c:pt>
                <c:pt idx="5">
                  <c:v>1.8228073063460411E-3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1.893811931013345E-3</c:v>
                </c:pt>
                <c:pt idx="1">
                  <c:v>1.2059345009933289E-2</c:v>
                </c:pt>
                <c:pt idx="2">
                  <c:v>1.3453734128549874E-2</c:v>
                </c:pt>
                <c:pt idx="3">
                  <c:v>1.6727918026025607E-3</c:v>
                </c:pt>
                <c:pt idx="4">
                  <c:v>1.9097334611706818E-3</c:v>
                </c:pt>
                <c:pt idx="5">
                  <c:v>8.038353747201537E-4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403530112"/>
        <c:axId val="403531648"/>
      </c:barChart>
      <c:catAx>
        <c:axId val="403530112"/>
        <c:scaling>
          <c:orientation val="minMax"/>
        </c:scaling>
        <c:axPos val="l"/>
        <c:tickLblPos val="nextTo"/>
        <c:crossAx val="403531648"/>
        <c:crosses val="autoZero"/>
        <c:auto val="1"/>
        <c:lblAlgn val="ctr"/>
        <c:lblOffset val="100"/>
      </c:catAx>
      <c:valAx>
        <c:axId val="403531648"/>
        <c:scaling>
          <c:orientation val="minMax"/>
        </c:scaling>
        <c:axPos val="b"/>
        <c:majorGridlines/>
        <c:numFmt formatCode="0%" sourceLinked="0"/>
        <c:tickLblPos val="nextTo"/>
        <c:crossAx val="403530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0.15490525972230137</c:v>
                </c:pt>
                <c:pt idx="1">
                  <c:v>0.15471566279856996</c:v>
                </c:pt>
                <c:pt idx="2">
                  <c:v>0.22491802830484767</c:v>
                </c:pt>
                <c:pt idx="3">
                  <c:v>9.0711757606838916E-2</c:v>
                </c:pt>
                <c:pt idx="4">
                  <c:v>3.5755387530790987E-3</c:v>
                </c:pt>
                <c:pt idx="5">
                  <c:v>6.878850149080673E-2</c:v>
                </c:pt>
                <c:pt idx="6">
                  <c:v>0.10497498994650321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4.5728894177904239E-2</c:v>
                </c:pt>
                <c:pt idx="1">
                  <c:v>5.0780201673191805E-2</c:v>
                </c:pt>
                <c:pt idx="2">
                  <c:v>3.5449464056942742E-2</c:v>
                </c:pt>
                <c:pt idx="3">
                  <c:v>3.2875282471346426E-2</c:v>
                </c:pt>
                <c:pt idx="4">
                  <c:v>2.9296593892215308E-2</c:v>
                </c:pt>
                <c:pt idx="5">
                  <c:v>1.2983984857220382E-3</c:v>
                </c:pt>
                <c:pt idx="6">
                  <c:v>1.9814266197300673E-3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4.8405875199244941E-2</c:v>
                </c:pt>
                <c:pt idx="1">
                  <c:v>5.161229452079602E-2</c:v>
                </c:pt>
                <c:pt idx="2">
                  <c:v>3.5414263686127045E-2</c:v>
                </c:pt>
                <c:pt idx="3">
                  <c:v>3.3235990561522807E-2</c:v>
                </c:pt>
                <c:pt idx="4">
                  <c:v>3.0317851865678917E-2</c:v>
                </c:pt>
                <c:pt idx="5">
                  <c:v>1.2426202441257056E-3</c:v>
                </c:pt>
                <c:pt idx="6">
                  <c:v>1.8963059931150217E-3</c:v>
                </c:pt>
              </c:numCache>
            </c:numRef>
          </c:val>
        </c:ser>
        <c:gapWidth val="101"/>
        <c:overlap val="100"/>
        <c:axId val="404691968"/>
        <c:axId val="404706048"/>
      </c:barChart>
      <c:catAx>
        <c:axId val="404691968"/>
        <c:scaling>
          <c:orientation val="minMax"/>
        </c:scaling>
        <c:axPos val="l"/>
        <c:tickLblPos val="nextTo"/>
        <c:crossAx val="404706048"/>
        <c:crosses val="autoZero"/>
        <c:auto val="1"/>
        <c:lblAlgn val="ctr"/>
        <c:lblOffset val="100"/>
      </c:catAx>
      <c:valAx>
        <c:axId val="404706048"/>
        <c:scaling>
          <c:orientation val="minMax"/>
        </c:scaling>
        <c:axPos val="b"/>
        <c:majorGridlines/>
        <c:numFmt formatCode="0%" sourceLinked="0"/>
        <c:tickLblPos val="nextTo"/>
        <c:crossAx val="4046919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0.16500308681547868</c:v>
                </c:pt>
                <c:pt idx="1">
                  <c:v>0.12732093598393002</c:v>
                </c:pt>
                <c:pt idx="2">
                  <c:v>0.17563725499335017</c:v>
                </c:pt>
                <c:pt idx="3">
                  <c:v>9.1105290744067272E-2</c:v>
                </c:pt>
                <c:pt idx="4">
                  <c:v>6.0945512201956743E-2</c:v>
                </c:pt>
                <c:pt idx="5">
                  <c:v>6.9671653141702747E-2</c:v>
                </c:pt>
                <c:pt idx="6">
                  <c:v>0.106322727339597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5.6179513138203713E-2</c:v>
                </c:pt>
                <c:pt idx="1">
                  <c:v>2.726049923806273E-2</c:v>
                </c:pt>
                <c:pt idx="2">
                  <c:v>9.6942892570800743E-3</c:v>
                </c:pt>
                <c:pt idx="3">
                  <c:v>5.2309000187298824E-2</c:v>
                </c:pt>
                <c:pt idx="4">
                  <c:v>5.3193147412083065E-2</c:v>
                </c:pt>
                <c:pt idx="5">
                  <c:v>2.1207341038964184E-3</c:v>
                </c:pt>
                <c:pt idx="6">
                  <c:v>3.2363554432928016E-3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5.8347724451151717E-2</c:v>
                </c:pt>
                <c:pt idx="1">
                  <c:v>2.8183467613830948E-2</c:v>
                </c:pt>
                <c:pt idx="2">
                  <c:v>1.0811641094508467E-2</c:v>
                </c:pt>
                <c:pt idx="3">
                  <c:v>5.0479467592535188E-2</c:v>
                </c:pt>
                <c:pt idx="4">
                  <c:v>5.042162539013155E-2</c:v>
                </c:pt>
                <c:pt idx="5">
                  <c:v>2.1123194909735132E-3</c:v>
                </c:pt>
                <c:pt idx="6">
                  <c:v>3.2235142868810435E-3</c:v>
                </c:pt>
              </c:numCache>
            </c:numRef>
          </c:val>
        </c:ser>
        <c:gapWidth val="101"/>
        <c:overlap val="100"/>
        <c:axId val="404739584"/>
        <c:axId val="404741120"/>
      </c:barChart>
      <c:catAx>
        <c:axId val="404739584"/>
        <c:scaling>
          <c:orientation val="minMax"/>
        </c:scaling>
        <c:axPos val="l"/>
        <c:tickLblPos val="nextTo"/>
        <c:crossAx val="404741120"/>
        <c:crosses val="autoZero"/>
        <c:auto val="1"/>
        <c:lblAlgn val="ctr"/>
        <c:lblOffset val="100"/>
      </c:catAx>
      <c:valAx>
        <c:axId val="404741120"/>
        <c:scaling>
          <c:orientation val="minMax"/>
        </c:scaling>
        <c:axPos val="b"/>
        <c:majorGridlines/>
        <c:numFmt formatCode="0%" sourceLinked="0"/>
        <c:tickLblPos val="nextTo"/>
        <c:crossAx val="4047395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0.13754687004835142</c:v>
                </c:pt>
                <c:pt idx="1">
                  <c:v>0.17494303801650413</c:v>
                </c:pt>
                <c:pt idx="2">
                  <c:v>0.19762382139872675</c:v>
                </c:pt>
                <c:pt idx="3">
                  <c:v>7.234860494197097E-2</c:v>
                </c:pt>
                <c:pt idx="4">
                  <c:v>3.8715506819634149E-2</c:v>
                </c:pt>
                <c:pt idx="5">
                  <c:v>7.7903327441598461E-2</c:v>
                </c:pt>
                <c:pt idx="6">
                  <c:v>0.11888470947537484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1.4897001532006238E-2</c:v>
                </c:pt>
                <c:pt idx="1">
                  <c:v>6.3679778803756276E-2</c:v>
                </c:pt>
                <c:pt idx="2">
                  <c:v>1.1021531565252263E-2</c:v>
                </c:pt>
                <c:pt idx="3">
                  <c:v>1.7204633953316908E-2</c:v>
                </c:pt>
                <c:pt idx="4">
                  <c:v>6.4070195245165218E-2</c:v>
                </c:pt>
                <c:pt idx="5">
                  <c:v>4.418345506202459E-3</c:v>
                </c:pt>
                <c:pt idx="6">
                  <c:v>6.7426352521397365E-3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1.5184068566746589E-2</c:v>
                </c:pt>
                <c:pt idx="1">
                  <c:v>7.047429240976702E-2</c:v>
                </c:pt>
                <c:pt idx="2">
                  <c:v>1.0104374898506852E-2</c:v>
                </c:pt>
                <c:pt idx="3">
                  <c:v>1.6356345558365293E-2</c:v>
                </c:pt>
                <c:pt idx="4">
                  <c:v>5.9697540214558253E-2</c:v>
                </c:pt>
                <c:pt idx="5">
                  <c:v>3.8570325075924922E-3</c:v>
                </c:pt>
                <c:pt idx="6">
                  <c:v>5.8860411250850064E-3</c:v>
                </c:pt>
              </c:numCache>
            </c:numRef>
          </c:val>
        </c:ser>
        <c:gapWidth val="101"/>
        <c:overlap val="100"/>
        <c:axId val="404770816"/>
        <c:axId val="404772352"/>
      </c:barChart>
      <c:catAx>
        <c:axId val="404770816"/>
        <c:scaling>
          <c:orientation val="minMax"/>
        </c:scaling>
        <c:axPos val="l"/>
        <c:tickLblPos val="nextTo"/>
        <c:crossAx val="404772352"/>
        <c:crosses val="autoZero"/>
        <c:auto val="1"/>
        <c:lblAlgn val="ctr"/>
        <c:lblOffset val="100"/>
      </c:catAx>
      <c:valAx>
        <c:axId val="404772352"/>
        <c:scaling>
          <c:orientation val="minMax"/>
        </c:scaling>
        <c:axPos val="b"/>
        <c:majorGridlines/>
        <c:numFmt formatCode="0%" sourceLinked="0"/>
        <c:tickLblPos val="nextTo"/>
        <c:crossAx val="404770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0.21803577137405844</c:v>
                </c:pt>
                <c:pt idx="1">
                  <c:v>0.12018786504230332</c:v>
                </c:pt>
                <c:pt idx="2">
                  <c:v>0.17908264490436829</c:v>
                </c:pt>
                <c:pt idx="3">
                  <c:v>9.0050057787008891E-2</c:v>
                </c:pt>
                <c:pt idx="4">
                  <c:v>2.9158021321553609E-2</c:v>
                </c:pt>
                <c:pt idx="5">
                  <c:v>6.899952670180784E-2</c:v>
                </c:pt>
                <c:pt idx="6">
                  <c:v>0.10529702588162621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4.5805459021051098E-2</c:v>
                </c:pt>
                <c:pt idx="1">
                  <c:v>1.3095385680021235E-2</c:v>
                </c:pt>
                <c:pt idx="2">
                  <c:v>1.7023604987675245E-2</c:v>
                </c:pt>
                <c:pt idx="3">
                  <c:v>5.1022019985118544E-2</c:v>
                </c:pt>
                <c:pt idx="4">
                  <c:v>5.7910596090576819E-2</c:v>
                </c:pt>
                <c:pt idx="5">
                  <c:v>1.714935892919503E-3</c:v>
                </c:pt>
                <c:pt idx="6">
                  <c:v>2.6170853299105901E-3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4.8187037165710211E-2</c:v>
                </c:pt>
                <c:pt idx="1">
                  <c:v>1.3005940794746873E-2</c:v>
                </c:pt>
                <c:pt idx="2">
                  <c:v>1.8336262179793478E-2</c:v>
                </c:pt>
                <c:pt idx="3">
                  <c:v>4.4662483710787348E-2</c:v>
                </c:pt>
                <c:pt idx="4">
                  <c:v>5.9753301038558942E-2</c:v>
                </c:pt>
                <c:pt idx="5">
                  <c:v>1.76800610183378E-3</c:v>
                </c:pt>
                <c:pt idx="6">
                  <c:v>2.6980733515493127E-3</c:v>
                </c:pt>
              </c:numCache>
            </c:numRef>
          </c:val>
        </c:ser>
        <c:gapWidth val="100"/>
        <c:overlap val="100"/>
        <c:axId val="404826368"/>
        <c:axId val="404840448"/>
      </c:barChart>
      <c:catAx>
        <c:axId val="404826368"/>
        <c:scaling>
          <c:orientation val="minMax"/>
        </c:scaling>
        <c:axPos val="l"/>
        <c:tickLblPos val="nextTo"/>
        <c:crossAx val="404840448"/>
        <c:crosses val="autoZero"/>
        <c:auto val="1"/>
        <c:lblAlgn val="ctr"/>
        <c:lblOffset val="100"/>
      </c:catAx>
      <c:valAx>
        <c:axId val="404840448"/>
        <c:scaling>
          <c:orientation val="minMax"/>
        </c:scaling>
        <c:axPos val="b"/>
        <c:majorGridlines/>
        <c:numFmt formatCode="0%" sourceLinked="0"/>
        <c:tickLblPos val="nextTo"/>
        <c:crossAx val="4048263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0.18927216219931389</c:v>
                </c:pt>
                <c:pt idx="1">
                  <c:v>0.17333792635341494</c:v>
                </c:pt>
                <c:pt idx="2">
                  <c:v>0.21276040783241568</c:v>
                </c:pt>
                <c:pt idx="3">
                  <c:v>7.1257670036699097E-2</c:v>
                </c:pt>
                <c:pt idx="4">
                  <c:v>6.1043670969660032E-5</c:v>
                </c:pt>
                <c:pt idx="5">
                  <c:v>8.6386821876339476E-2</c:v>
                </c:pt>
                <c:pt idx="6">
                  <c:v>0.13183098281608965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5.4120463350839754E-2</c:v>
                </c:pt>
                <c:pt idx="1">
                  <c:v>5.6116932726830021E-2</c:v>
                </c:pt>
                <c:pt idx="2">
                  <c:v>9.0891469494885357E-3</c:v>
                </c:pt>
                <c:pt idx="3">
                  <c:v>8.7788074644250952E-3</c:v>
                </c:pt>
                <c:pt idx="4">
                  <c:v>5.4272171815879415E-3</c:v>
                </c:pt>
                <c:pt idx="5">
                  <c:v>6.1772921053654395E-4</c:v>
                </c:pt>
                <c:pt idx="6">
                  <c:v>9.4268833104912964E-4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5.4218971857657089E-2</c:v>
                </c:pt>
                <c:pt idx="1">
                  <c:v>5.5810607796559802E-2</c:v>
                </c:pt>
                <c:pt idx="2">
                  <c:v>9.8289197503043657E-3</c:v>
                </c:pt>
                <c:pt idx="3">
                  <c:v>1.0187859140503422E-2</c:v>
                </c:pt>
                <c:pt idx="4">
                  <c:v>5.4170528573075352E-3</c:v>
                </c:pt>
                <c:pt idx="5">
                  <c:v>5.4445846790174279E-4</c:v>
                </c:pt>
                <c:pt idx="6">
                  <c:v>8.3087319763622269E-4</c:v>
                </c:pt>
              </c:numCache>
            </c:numRef>
          </c:val>
        </c:ser>
        <c:gapWidth val="100"/>
        <c:overlap val="100"/>
        <c:axId val="404857600"/>
        <c:axId val="404859136"/>
      </c:barChart>
      <c:catAx>
        <c:axId val="404857600"/>
        <c:scaling>
          <c:orientation val="minMax"/>
        </c:scaling>
        <c:axPos val="l"/>
        <c:tickLblPos val="nextTo"/>
        <c:crossAx val="404859136"/>
        <c:crosses val="autoZero"/>
        <c:auto val="1"/>
        <c:lblAlgn val="ctr"/>
        <c:lblOffset val="100"/>
      </c:catAx>
      <c:valAx>
        <c:axId val="404859136"/>
        <c:scaling>
          <c:orientation val="minMax"/>
        </c:scaling>
        <c:axPos val="b"/>
        <c:majorGridlines/>
        <c:numFmt formatCode="0%" sourceLinked="0"/>
        <c:tickLblPos val="nextTo"/>
        <c:crossAx val="4048576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0.16500308681547868</c:v>
                </c:pt>
                <c:pt idx="1">
                  <c:v>0.12732093598393002</c:v>
                </c:pt>
                <c:pt idx="2">
                  <c:v>0.17563725499335017</c:v>
                </c:pt>
                <c:pt idx="3">
                  <c:v>9.1105290744067272E-2</c:v>
                </c:pt>
                <c:pt idx="4">
                  <c:v>6.0945512201956743E-2</c:v>
                </c:pt>
                <c:pt idx="5">
                  <c:v>6.9671653141702747E-2</c:v>
                </c:pt>
                <c:pt idx="6">
                  <c:v>0.106322727339597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5.6179513138203713E-2</c:v>
                </c:pt>
                <c:pt idx="1">
                  <c:v>2.726049923806273E-2</c:v>
                </c:pt>
                <c:pt idx="2">
                  <c:v>9.6942892570800743E-3</c:v>
                </c:pt>
                <c:pt idx="3">
                  <c:v>5.2309000187298824E-2</c:v>
                </c:pt>
                <c:pt idx="4">
                  <c:v>5.3193147412083065E-2</c:v>
                </c:pt>
                <c:pt idx="5">
                  <c:v>2.1207341038964184E-3</c:v>
                </c:pt>
                <c:pt idx="6">
                  <c:v>3.2363554432928016E-3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5.8347724451151717E-2</c:v>
                </c:pt>
                <c:pt idx="1">
                  <c:v>2.8183467613830948E-2</c:v>
                </c:pt>
                <c:pt idx="2">
                  <c:v>1.0811641094508467E-2</c:v>
                </c:pt>
                <c:pt idx="3">
                  <c:v>5.0479467592535188E-2</c:v>
                </c:pt>
                <c:pt idx="4">
                  <c:v>5.042162539013155E-2</c:v>
                </c:pt>
                <c:pt idx="5">
                  <c:v>2.1123194909735132E-3</c:v>
                </c:pt>
                <c:pt idx="6">
                  <c:v>3.2235142868810435E-3</c:v>
                </c:pt>
              </c:numCache>
            </c:numRef>
          </c:val>
        </c:ser>
        <c:gapWidth val="100"/>
        <c:overlap val="100"/>
        <c:axId val="404896768"/>
        <c:axId val="404902656"/>
      </c:barChart>
      <c:catAx>
        <c:axId val="404896768"/>
        <c:scaling>
          <c:orientation val="minMax"/>
        </c:scaling>
        <c:axPos val="l"/>
        <c:tickLblPos val="nextTo"/>
        <c:crossAx val="404902656"/>
        <c:crosses val="autoZero"/>
        <c:auto val="1"/>
        <c:lblAlgn val="ctr"/>
        <c:lblOffset val="100"/>
      </c:catAx>
      <c:valAx>
        <c:axId val="404902656"/>
        <c:scaling>
          <c:orientation val="minMax"/>
        </c:scaling>
        <c:axPos val="b"/>
        <c:majorGridlines/>
        <c:numFmt formatCode="0%" sourceLinked="0"/>
        <c:tickLblPos val="nextTo"/>
        <c:crossAx val="4048967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0.22118259995368239</c:v>
                </c:pt>
                <c:pt idx="1">
                  <c:v>0.15458143522199275</c:v>
                </c:pt>
                <c:pt idx="2">
                  <c:v>0.18533154425043025</c:v>
                </c:pt>
                <c:pt idx="3">
                  <c:v>0.1434142909313661</c:v>
                </c:pt>
                <c:pt idx="4">
                  <c:v>0.11413865961403981</c:v>
                </c:pt>
                <c:pt idx="5">
                  <c:v>7.1792387245599165E-2</c:v>
                </c:pt>
                <c:pt idx="6">
                  <c:v>0.1095590827828898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0.18927216219931389</c:v>
                </c:pt>
                <c:pt idx="1">
                  <c:v>0.17333792635341494</c:v>
                </c:pt>
                <c:pt idx="2">
                  <c:v>0.21276040783241568</c:v>
                </c:pt>
                <c:pt idx="3">
                  <c:v>7.1257670036699097E-2</c:v>
                </c:pt>
                <c:pt idx="4">
                  <c:v>6.1043670969660032E-5</c:v>
                </c:pt>
                <c:pt idx="5">
                  <c:v>8.6386821876339476E-2</c:v>
                </c:pt>
                <c:pt idx="6">
                  <c:v>0.13183098281608965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5.4120463350839754E-2</c:v>
                </c:pt>
                <c:pt idx="1">
                  <c:v>5.6116932726830021E-2</c:v>
                </c:pt>
                <c:pt idx="2">
                  <c:v>9.0891469494885357E-3</c:v>
                </c:pt>
                <c:pt idx="3">
                  <c:v>8.7788074644250952E-3</c:v>
                </c:pt>
                <c:pt idx="4">
                  <c:v>5.4272171815879415E-3</c:v>
                </c:pt>
                <c:pt idx="5">
                  <c:v>6.1772921053654395E-4</c:v>
                </c:pt>
                <c:pt idx="6">
                  <c:v>9.4268833104912964E-4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5.4218971857657089E-2</c:v>
                </c:pt>
                <c:pt idx="1">
                  <c:v>5.5810607796559802E-2</c:v>
                </c:pt>
                <c:pt idx="2">
                  <c:v>9.8289197503043657E-3</c:v>
                </c:pt>
                <c:pt idx="3">
                  <c:v>1.0187859140503422E-2</c:v>
                </c:pt>
                <c:pt idx="4">
                  <c:v>5.4170528573075352E-3</c:v>
                </c:pt>
                <c:pt idx="5">
                  <c:v>5.4445846790174279E-4</c:v>
                </c:pt>
                <c:pt idx="6">
                  <c:v>8.3087319763622269E-4</c:v>
                </c:pt>
              </c:numCache>
            </c:numRef>
          </c:val>
        </c:ser>
        <c:gapWidth val="100"/>
        <c:overlap val="100"/>
        <c:axId val="405005824"/>
        <c:axId val="405007360"/>
      </c:barChart>
      <c:catAx>
        <c:axId val="405005824"/>
        <c:scaling>
          <c:orientation val="minMax"/>
        </c:scaling>
        <c:axPos val="l"/>
        <c:tickLblPos val="nextTo"/>
        <c:crossAx val="405007360"/>
        <c:crosses val="autoZero"/>
        <c:auto val="1"/>
        <c:lblAlgn val="ctr"/>
        <c:lblOffset val="100"/>
      </c:catAx>
      <c:valAx>
        <c:axId val="405007360"/>
        <c:scaling>
          <c:orientation val="minMax"/>
        </c:scaling>
        <c:axPos val="b"/>
        <c:majorGridlines/>
        <c:numFmt formatCode="0%" sourceLinked="0"/>
        <c:tickLblPos val="nextTo"/>
        <c:crossAx val="405005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28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0.21310138772580015</c:v>
                </c:pt>
                <c:pt idx="1">
                  <c:v>0.16449815870881299</c:v>
                </c:pt>
                <c:pt idx="2">
                  <c:v>0.21194348393166632</c:v>
                </c:pt>
                <c:pt idx="3">
                  <c:v>6.955376641853192E-2</c:v>
                </c:pt>
                <c:pt idx="4">
                  <c:v>2.4219551531119575E-5</c:v>
                </c:pt>
                <c:pt idx="5">
                  <c:v>8.6370000145823494E-2</c:v>
                </c:pt>
                <c:pt idx="6">
                  <c:v>0.13180531194154629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4.9330954800871435E-2</c:v>
                </c:pt>
                <c:pt idx="1">
                  <c:v>5.0485315581591361E-2</c:v>
                </c:pt>
                <c:pt idx="2">
                  <c:v>9.4080208244967378E-3</c:v>
                </c:pt>
                <c:pt idx="3">
                  <c:v>6.7209266902124032E-3</c:v>
                </c:pt>
                <c:pt idx="4">
                  <c:v>5.1509281708106477E-3</c:v>
                </c:pt>
                <c:pt idx="5">
                  <c:v>6.3637804414408417E-4</c:v>
                </c:pt>
                <c:pt idx="6">
                  <c:v>9.7114746416052111E-4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4.7527730464812401E-2</c:v>
                </c:pt>
                <c:pt idx="1">
                  <c:v>5.5315508225028259E-2</c:v>
                </c:pt>
                <c:pt idx="2">
                  <c:v>9.6894100721302001E-3</c:v>
                </c:pt>
                <c:pt idx="3">
                  <c:v>7.2863869277565718E-3</c:v>
                </c:pt>
                <c:pt idx="4">
                  <c:v>6.7129927283305956E-3</c:v>
                </c:pt>
                <c:pt idx="5">
                  <c:v>5.9572117894439447E-4</c:v>
                </c:pt>
                <c:pt idx="6">
                  <c:v>9.0910287933754219E-4</c:v>
                </c:pt>
              </c:numCache>
            </c:numRef>
          </c:val>
        </c:ser>
        <c:gapWidth val="100"/>
        <c:overlap val="100"/>
        <c:axId val="405028864"/>
        <c:axId val="405030400"/>
      </c:barChart>
      <c:catAx>
        <c:axId val="405028864"/>
        <c:scaling>
          <c:orientation val="minMax"/>
        </c:scaling>
        <c:axPos val="l"/>
        <c:tickLblPos val="nextTo"/>
        <c:crossAx val="405030400"/>
        <c:crosses val="autoZero"/>
        <c:auto val="1"/>
        <c:lblAlgn val="ctr"/>
        <c:lblOffset val="100"/>
      </c:catAx>
      <c:valAx>
        <c:axId val="405030400"/>
        <c:scaling>
          <c:orientation val="minMax"/>
        </c:scaling>
        <c:axPos val="b"/>
        <c:majorGridlines/>
        <c:numFmt formatCode="0%" sourceLinked="0"/>
        <c:tickLblPos val="nextTo"/>
        <c:crossAx val="4050288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14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6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0.56348397676066164</c:v>
                </c:pt>
                <c:pt idx="1">
                  <c:v>7.5356379669681145E-2</c:v>
                </c:pt>
                <c:pt idx="2">
                  <c:v>5.6111643889929175E-2</c:v>
                </c:pt>
                <c:pt idx="3">
                  <c:v>7.6502985456029349E-2</c:v>
                </c:pt>
                <c:pt idx="4">
                  <c:v>4.4935649156803294E-2</c:v>
                </c:pt>
                <c:pt idx="5">
                  <c:v>3.4205996756093836E-2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9.4693265076347677E-3</c:v>
                </c:pt>
                <c:pt idx="1">
                  <c:v>1.9561262520494532E-2</c:v>
                </c:pt>
                <c:pt idx="2">
                  <c:v>9.9612020375653976E-3</c:v>
                </c:pt>
                <c:pt idx="3">
                  <c:v>2.5678361975104425E-3</c:v>
                </c:pt>
                <c:pt idx="4">
                  <c:v>1.6169424048588274E-2</c:v>
                </c:pt>
                <c:pt idx="5">
                  <c:v>1.4288975006621032E-2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8.1789486990205829E-3</c:v>
                </c:pt>
                <c:pt idx="1">
                  <c:v>1.8566519001954163E-2</c:v>
                </c:pt>
                <c:pt idx="2">
                  <c:v>7.0498710608970505E-3</c:v>
                </c:pt>
                <c:pt idx="3">
                  <c:v>1.9646281422521367E-3</c:v>
                </c:pt>
                <c:pt idx="4">
                  <c:v>1.487150884340064E-2</c:v>
                </c:pt>
                <c:pt idx="5">
                  <c:v>1.4391479035074463E-2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overlap val="100"/>
        <c:axId val="405151104"/>
        <c:axId val="40516966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405151104"/>
        <c:axId val="405169664"/>
      </c:lineChart>
      <c:catAx>
        <c:axId val="405151104"/>
        <c:scaling>
          <c:orientation val="minMax"/>
        </c:scaling>
        <c:axPos val="b"/>
        <c:tickLblPos val="nextTo"/>
        <c:crossAx val="405169664"/>
        <c:crosses val="autoZero"/>
        <c:auto val="1"/>
        <c:lblAlgn val="ctr"/>
        <c:lblOffset val="100"/>
      </c:catAx>
      <c:valAx>
        <c:axId val="405169664"/>
        <c:scaling>
          <c:orientation val="minMax"/>
        </c:scaling>
        <c:axPos val="l"/>
        <c:majorGridlines/>
        <c:numFmt formatCode="0%" sourceLinked="0"/>
        <c:tickLblPos val="nextTo"/>
        <c:crossAx val="40515110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8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0.16500308681547868</c:v>
                </c:pt>
                <c:pt idx="1">
                  <c:v>0.12732093598393002</c:v>
                </c:pt>
                <c:pt idx="2">
                  <c:v>0.17563725499335017</c:v>
                </c:pt>
                <c:pt idx="3">
                  <c:v>9.1105290744067272E-2</c:v>
                </c:pt>
                <c:pt idx="4">
                  <c:v>6.0945512201956743E-2</c:v>
                </c:pt>
                <c:pt idx="5">
                  <c:v>6.9671653141702747E-2</c:v>
                </c:pt>
                <c:pt idx="6">
                  <c:v>0.106322727339597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5.6179513138203713E-2</c:v>
                </c:pt>
                <c:pt idx="1">
                  <c:v>2.726049923806273E-2</c:v>
                </c:pt>
                <c:pt idx="2">
                  <c:v>9.6942892570800743E-3</c:v>
                </c:pt>
                <c:pt idx="3">
                  <c:v>5.2309000187298824E-2</c:v>
                </c:pt>
                <c:pt idx="4">
                  <c:v>5.3193147412083065E-2</c:v>
                </c:pt>
                <c:pt idx="5">
                  <c:v>2.1207341038964184E-3</c:v>
                </c:pt>
                <c:pt idx="6">
                  <c:v>3.2363554432928016E-3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5.8347724451151717E-2</c:v>
                </c:pt>
                <c:pt idx="1">
                  <c:v>2.8183467613830948E-2</c:v>
                </c:pt>
                <c:pt idx="2">
                  <c:v>1.0811641094508467E-2</c:v>
                </c:pt>
                <c:pt idx="3">
                  <c:v>5.0479467592535188E-2</c:v>
                </c:pt>
                <c:pt idx="4">
                  <c:v>5.042162539013155E-2</c:v>
                </c:pt>
                <c:pt idx="5">
                  <c:v>2.1123194909735132E-3</c:v>
                </c:pt>
                <c:pt idx="6">
                  <c:v>3.2235142868810435E-3</c:v>
                </c:pt>
              </c:numCache>
            </c:numRef>
          </c:val>
        </c:ser>
        <c:overlap val="100"/>
        <c:axId val="405199872"/>
        <c:axId val="40521433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405199872"/>
        <c:axId val="405214336"/>
      </c:lineChart>
      <c:catAx>
        <c:axId val="405199872"/>
        <c:scaling>
          <c:orientation val="minMax"/>
        </c:scaling>
        <c:axPos val="b"/>
        <c:numFmt formatCode="General" sourceLinked="1"/>
        <c:tickLblPos val="nextTo"/>
        <c:crossAx val="405214336"/>
        <c:crosses val="autoZero"/>
        <c:auto val="1"/>
        <c:lblAlgn val="ctr"/>
        <c:lblOffset val="100"/>
      </c:catAx>
      <c:valAx>
        <c:axId val="405214336"/>
        <c:scaling>
          <c:orientation val="minMax"/>
        </c:scaling>
        <c:axPos val="l"/>
        <c:majorGridlines/>
        <c:numFmt formatCode="0%" sourceLinked="0"/>
        <c:tickLblPos val="nextTo"/>
        <c:crossAx val="40519987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3"/>
          <c:w val="0.5562682138416909"/>
          <c:h val="0.692582184133049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0.57295330326829641</c:v>
                </c:pt>
                <c:pt idx="1">
                  <c:v>9.4917642190175677E-2</c:v>
                </c:pt>
                <c:pt idx="2">
                  <c:v>6.6072845927494572E-2</c:v>
                </c:pt>
                <c:pt idx="3">
                  <c:v>7.9070821653539791E-2</c:v>
                </c:pt>
                <c:pt idx="4">
                  <c:v>6.1105073205391568E-2</c:v>
                </c:pt>
                <c:pt idx="5">
                  <c:v>4.8494971762714868E-2</c:v>
                </c:pt>
                <c:pt idx="6">
                  <c:v>3.0634868515694108E-2</c:v>
                </c:pt>
                <c:pt idx="7">
                  <c:v>4.6750473476693123E-2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405265792"/>
        <c:axId val="406324352"/>
      </c:barChart>
      <c:catAx>
        <c:axId val="405265792"/>
        <c:scaling>
          <c:orientation val="minMax"/>
        </c:scaling>
        <c:axPos val="l"/>
        <c:tickLblPos val="nextTo"/>
        <c:crossAx val="406324352"/>
        <c:crosses val="autoZero"/>
        <c:auto val="1"/>
        <c:lblAlgn val="ctr"/>
        <c:lblOffset val="100"/>
      </c:catAx>
      <c:valAx>
        <c:axId val="406324352"/>
        <c:scaling>
          <c:orientation val="minMax"/>
        </c:scaling>
        <c:axPos val="b"/>
        <c:majorGridlines/>
        <c:numFmt formatCode="0.0%" sourceLinked="1"/>
        <c:tickLblPos val="nextTo"/>
        <c:crossAx val="405265792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3"/>
          <c:y val="5.1400554097404488E-2"/>
          <c:w val="0.821643482064746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4.345014939985381E-2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406337408"/>
        <c:axId val="406401024"/>
      </c:scatterChart>
      <c:valAx>
        <c:axId val="40633740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34"/>
            </c:manualLayout>
          </c:layout>
        </c:title>
        <c:numFmt formatCode="0%" sourceLinked="0"/>
        <c:tickLblPos val="nextTo"/>
        <c:crossAx val="406401024"/>
        <c:crosses val="autoZero"/>
        <c:crossBetween val="midCat"/>
      </c:valAx>
      <c:valAx>
        <c:axId val="406401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406337408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6"/>
          <c:y val="5.1400554097404488E-2"/>
          <c:w val="0.8216434820647462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25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24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21E-2"/>
                  <c:y val="-6.73369912559802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4.345014939985381E-2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406442752"/>
        <c:axId val="406444672"/>
      </c:scatterChart>
      <c:valAx>
        <c:axId val="40644275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57"/>
            </c:manualLayout>
          </c:layout>
        </c:title>
        <c:numFmt formatCode="0%" sourceLinked="0"/>
        <c:tickLblPos val="nextTo"/>
        <c:crossAx val="406444672"/>
        <c:crosses val="autoZero"/>
        <c:crossBetween val="midCat"/>
      </c:valAx>
      <c:valAx>
        <c:axId val="4064446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406442752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406490112"/>
        <c:axId val="406500096"/>
      </c:barChart>
      <c:catAx>
        <c:axId val="406490112"/>
        <c:scaling>
          <c:orientation val="minMax"/>
        </c:scaling>
        <c:axPos val="l"/>
        <c:tickLblPos val="none"/>
        <c:crossAx val="406500096"/>
        <c:crosses val="autoZero"/>
        <c:auto val="1"/>
        <c:lblAlgn val="ctr"/>
        <c:lblOffset val="100"/>
      </c:catAx>
      <c:valAx>
        <c:axId val="406500096"/>
        <c:scaling>
          <c:orientation val="minMax"/>
        </c:scaling>
        <c:axPos val="b"/>
        <c:majorGridlines/>
        <c:numFmt formatCode="0.0%" sourceLinked="1"/>
        <c:tickLblPos val="nextTo"/>
        <c:crossAx val="406490112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-7.4672167433568887E-2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406541440"/>
        <c:axId val="406542976"/>
      </c:barChart>
      <c:catAx>
        <c:axId val="406541440"/>
        <c:scaling>
          <c:orientation val="minMax"/>
        </c:scaling>
        <c:axPos val="l"/>
        <c:tickLblPos val="high"/>
        <c:crossAx val="406542976"/>
        <c:crosses val="autoZero"/>
        <c:auto val="1"/>
        <c:lblAlgn val="ctr"/>
        <c:lblOffset val="100"/>
      </c:catAx>
      <c:valAx>
        <c:axId val="406542976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406541440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424142</xdr:colOff>
      <xdr:row>61</xdr:row>
      <xdr:rowOff>143996</xdr:rowOff>
    </xdr:from>
    <xdr:to>
      <xdr:col>20</xdr:col>
      <xdr:colOff>505945</xdr:colOff>
      <xdr:row>74</xdr:row>
      <xdr:rowOff>119343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E28" sqref="E28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2" t="s">
        <v>93</v>
      </c>
      <c r="D1" s="382"/>
      <c r="E1" s="383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303">
        <v>0.55000000000000004</v>
      </c>
      <c r="D3" s="218">
        <v>0.65</v>
      </c>
      <c r="E3" s="145">
        <v>0.99</v>
      </c>
      <c r="F3" s="144">
        <f>'Samenvatting mixen'!B81</f>
        <v>0.57295330326829641</v>
      </c>
      <c r="G3" s="144">
        <f>+F3-B3</f>
        <v>1.743327669665895E-2</v>
      </c>
      <c r="H3" s="305"/>
    </row>
    <row r="4" spans="1:24">
      <c r="A4" s="143" t="str">
        <f>Scenarios!A5</f>
        <v>High Yield</v>
      </c>
      <c r="B4" s="218">
        <v>9.7772401711769694E-2</v>
      </c>
      <c r="C4" s="303">
        <v>0.05</v>
      </c>
      <c r="D4" s="218">
        <v>0.15</v>
      </c>
      <c r="E4" s="145">
        <v>0.99</v>
      </c>
      <c r="F4" s="144">
        <f>'Samenvatting mixen'!B82</f>
        <v>9.4917642190175677E-2</v>
      </c>
      <c r="G4" s="144">
        <f t="shared" ref="G4:G10" si="0">+F4-B4</f>
        <v>-2.8547595215940164E-3</v>
      </c>
      <c r="H4" s="306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303">
        <v>0.05</v>
      </c>
      <c r="D5" s="218">
        <v>0.2</v>
      </c>
      <c r="E5" s="145">
        <v>0.99</v>
      </c>
      <c r="F5" s="144">
        <f>'Samenvatting mixen'!B83</f>
        <v>6.6072845927494572E-2</v>
      </c>
      <c r="G5" s="144">
        <f t="shared" si="0"/>
        <v>-2.8690345605915629E-2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03">
        <v>0.10281340879516217</v>
      </c>
      <c r="C6" s="303">
        <v>7.4999999999999997E-2</v>
      </c>
      <c r="D6" s="218">
        <v>0.3</v>
      </c>
      <c r="E6" s="145">
        <v>0.99</v>
      </c>
      <c r="F6" s="144">
        <f>'Samenvatting mixen'!B84</f>
        <v>7.9070821653539791E-2</v>
      </c>
      <c r="G6" s="144">
        <f t="shared" si="0"/>
        <v>-2.3742587141622376E-2</v>
      </c>
      <c r="H6" s="305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03">
        <v>5.1014363077869621E-2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6.1105073205391568E-2</v>
      </c>
      <c r="G7" s="144">
        <f t="shared" si="0"/>
        <v>1.0090710127521947E-2</v>
      </c>
      <c r="H7" s="305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218">
        <v>2.0731266317763185E-2</v>
      </c>
      <c r="C8" s="303">
        <v>0</v>
      </c>
      <c r="D8" s="218">
        <v>0.1</v>
      </c>
      <c r="E8" s="145">
        <v>0.99</v>
      </c>
      <c r="F8" s="144">
        <f>'Samenvatting mixen'!B86</f>
        <v>4.8494971762714868E-2</v>
      </c>
      <c r="G8" s="144">
        <f t="shared" si="0"/>
        <v>2.7763705444951683E-2</v>
      </c>
      <c r="H8" s="305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303">
        <f>B9</f>
        <v>3.0634868515694261E-2</v>
      </c>
      <c r="D9" s="218">
        <f>C9</f>
        <v>3.0634868515694261E-2</v>
      </c>
      <c r="E9" s="145">
        <v>0.99</v>
      </c>
      <c r="F9" s="144">
        <f>'Samenvatting mixen'!B87</f>
        <v>3.0634868515694108E-2</v>
      </c>
      <c r="G9" s="144">
        <f t="shared" si="0"/>
        <v>-1.5265566588595902E-16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4">
        <f>B10</f>
        <v>4.6750473476693526E-2</v>
      </c>
      <c r="D10" s="219">
        <f>C10</f>
        <v>4.6750473476693526E-2</v>
      </c>
      <c r="E10" s="147">
        <v>0.99</v>
      </c>
      <c r="F10" s="146">
        <f>'Samenvatting mixen'!B88</f>
        <v>4.6750473476693123E-2</v>
      </c>
      <c r="G10" s="146">
        <f t="shared" si="0"/>
        <v>-4.0245584642661925E-16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9.8744382089719501E-2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218">
        <v>0.1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4" t="s">
        <v>98</v>
      </c>
      <c r="C200" s="382"/>
      <c r="D200" s="382"/>
      <c r="E200" s="383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D8" sqref="D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86" t="s">
        <v>117</v>
      </c>
      <c r="F2" s="386"/>
      <c r="G2" s="386"/>
      <c r="H2" s="386"/>
      <c r="I2" s="386"/>
      <c r="J2" s="386"/>
      <c r="K2" s="386"/>
      <c r="L2" s="387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5"/>
      <c r="H17" s="385"/>
      <c r="I17" s="385"/>
      <c r="J17" s="385"/>
    </row>
    <row r="18" spans="1:24">
      <c r="D18" s="98"/>
      <c r="E18" s="98"/>
      <c r="S18" s="84"/>
      <c r="T18" s="385"/>
      <c r="U18" s="385"/>
      <c r="V18" s="385"/>
      <c r="W18" s="385"/>
      <c r="X18" s="385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-3.2445168309994665E-3</v>
      </c>
      <c r="D24" s="293">
        <v>-1.0761362748873404E-3</v>
      </c>
      <c r="E24" s="293">
        <v>-3.4179872754884488E-3</v>
      </c>
      <c r="F24" s="293">
        <v>-2.5720358328627513E-2</v>
      </c>
      <c r="G24" s="293">
        <v>-0.26287574291051119</v>
      </c>
      <c r="H24" s="294">
        <v>-3.2441343963196256E-3</v>
      </c>
      <c r="I24" s="368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293">
        <v>3.2492969125133414E-2</v>
      </c>
      <c r="D25" s="293">
        <v>-8.65324500372157E-2</v>
      </c>
      <c r="E25" s="293">
        <v>5.1526244290784291E-2</v>
      </c>
      <c r="F25" s="293">
        <v>-0.43934344866388231</v>
      </c>
      <c r="G25" s="293">
        <v>-0.41627425662388229</v>
      </c>
      <c r="H25" s="294">
        <v>0.27529934429078429</v>
      </c>
      <c r="I25" s="178">
        <f t="shared" ref="I25:I31" si="1">+SUMPRODUCT(B25:H25,$B$33:$H$33)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293">
        <v>1.45681608513176E-2</v>
      </c>
      <c r="D26" s="293">
        <v>-2.1111513867647543E-2</v>
      </c>
      <c r="E26" s="293">
        <v>3.2357333960853253E-3</v>
      </c>
      <c r="F26" s="293">
        <v>-0.41802644813429485</v>
      </c>
      <c r="G26" s="293">
        <v>-0.17149574156312622</v>
      </c>
      <c r="H26" s="294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293">
        <v>-1.272492445230269E-2</v>
      </c>
      <c r="D27" s="293">
        <v>-0.19311368459773193</v>
      </c>
      <c r="E27" s="293">
        <v>4.3944352615336905E-2</v>
      </c>
      <c r="F27" s="293">
        <v>-0.5992014650452413</v>
      </c>
      <c r="G27" s="293">
        <v>-0.47126055414190038</v>
      </c>
      <c r="H27" s="294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293">
        <v>5.7893485302571407E-2</v>
      </c>
      <c r="D28" s="293">
        <v>-6.9261756645690273E-2</v>
      </c>
      <c r="E28" s="293">
        <v>7.474963400472559E-2</v>
      </c>
      <c r="F28" s="293">
        <v>-0.42661422498990775</v>
      </c>
      <c r="G28" s="293">
        <v>-0.26558788944909251</v>
      </c>
      <c r="H28" s="294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293">
        <v>7.1858480605475325E-2</v>
      </c>
      <c r="D29" s="293">
        <v>1.202667991596415E-2</v>
      </c>
      <c r="E29" s="293">
        <v>8.5249207175964209E-2</v>
      </c>
      <c r="F29" s="293">
        <v>-0.52128297967070236</v>
      </c>
      <c r="G29" s="293">
        <v>-0.54077311463070243</v>
      </c>
      <c r="H29" s="294">
        <v>0.621322616702631</v>
      </c>
      <c r="I29" s="178">
        <f t="shared" si="1"/>
        <v>7.1858480605475325E-2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293">
        <v>1.8730269708989476E-2</v>
      </c>
      <c r="D30" s="293">
        <v>-4.6790508294452839E-2</v>
      </c>
      <c r="E30" s="293">
        <v>1.8215216611987023E-2</v>
      </c>
      <c r="F30" s="293">
        <v>-0.25630468560846492</v>
      </c>
      <c r="G30" s="293">
        <v>-6.931471876793301E-3</v>
      </c>
      <c r="H30" s="294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295">
        <v>-5.9825766089863959E-3</v>
      </c>
      <c r="D31" s="295">
        <v>-0.13956067047136589</v>
      </c>
      <c r="E31" s="295">
        <v>2.7964399001126676E-2</v>
      </c>
      <c r="F31" s="295">
        <v>-0.45200242221105646</v>
      </c>
      <c r="G31" s="295">
        <v>-0.48031312669988807</v>
      </c>
      <c r="H31" s="296">
        <v>0.41038049782760322</v>
      </c>
      <c r="I31" s="369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8.4980607028590643E-3</v>
      </c>
      <c r="D35" s="307">
        <f>SUMPRODUCT(D24:D31,'Control panel'!$F$3:$F$10)</f>
        <v>-3.710154718058286E-2</v>
      </c>
      <c r="E35" s="307">
        <f>SUMPRODUCT(E24:E31,'Control panel'!$F$3:$F$10)</f>
        <v>1.7188022113859842E-2</v>
      </c>
      <c r="F35" s="307">
        <f>SUMPRODUCT(F24:F31,'Control panel'!$F$3:$F$10)</f>
        <v>-0.21176864222536962</v>
      </c>
      <c r="G35" s="307">
        <f>SUMPRODUCT(G24:G31,'Control panel'!$F$3:$F$10)</f>
        <v>-0.30384222230247626</v>
      </c>
      <c r="H35" s="307">
        <f>SUMPRODUCT(H24:H31,'Control panel'!$F$3:$F$10)</f>
        <v>0.15461935821249151</v>
      </c>
      <c r="I35" s="309">
        <f>SUMPRODUCT(I24:I31,'Control panel'!$F$3:$F$10)</f>
        <v>8.4980607028590643E-3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148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-1.8278501643327824E-3</v>
      </c>
      <c r="D46" s="363">
        <v>-8.3588621306752015E-3</v>
      </c>
      <c r="E46" s="363">
        <v>1.4376558188383924E-3</v>
      </c>
      <c r="F46" s="363">
        <v>-2.0604509567567153E-2</v>
      </c>
      <c r="G46" s="363">
        <v>-0.27327160808286638</v>
      </c>
      <c r="H46" s="364">
        <v>1.8717143647405954E-3</v>
      </c>
      <c r="I46" s="292"/>
    </row>
    <row r="47" spans="1:21">
      <c r="A47" s="292"/>
      <c r="B47" s="292"/>
      <c r="C47" s="363">
        <v>1.7755802056853877E-2</v>
      </c>
      <c r="D47" s="363">
        <v>-7.1450317109812783E-2</v>
      </c>
      <c r="E47" s="363">
        <v>9.9922050236853827E-2</v>
      </c>
      <c r="F47" s="363">
        <v>-0.40234371147647946</v>
      </c>
      <c r="G47" s="363">
        <v>-0.41624465647647951</v>
      </c>
      <c r="H47" s="364">
        <v>0.31144182690352051</v>
      </c>
      <c r="I47" s="292"/>
    </row>
    <row r="48" spans="1:21">
      <c r="A48" s="292"/>
      <c r="B48" s="292"/>
      <c r="C48" s="363">
        <v>2.4095859002887784E-2</v>
      </c>
      <c r="D48" s="363">
        <v>-5.2630677807847914E-2</v>
      </c>
      <c r="E48" s="363">
        <v>4.5771750914075364E-2</v>
      </c>
      <c r="F48" s="363">
        <v>-0.39719411345955147</v>
      </c>
      <c r="G48" s="363">
        <v>-0.17860398021235152</v>
      </c>
      <c r="H48" s="364">
        <v>0.2801756404130179</v>
      </c>
      <c r="I48" s="292"/>
    </row>
    <row r="49" spans="1:9">
      <c r="A49" s="292"/>
      <c r="B49" s="292"/>
      <c r="C49" s="363">
        <v>-2.6391451656497394E-3</v>
      </c>
      <c r="D49" s="363">
        <v>-0.19512687848593468</v>
      </c>
      <c r="E49" s="363">
        <v>8.918969122838788E-2</v>
      </c>
      <c r="F49" s="363">
        <v>-0.5628013453934434</v>
      </c>
      <c r="G49" s="363">
        <v>-0.46447856989823566</v>
      </c>
      <c r="H49" s="364">
        <v>0.45156602820227343</v>
      </c>
      <c r="I49" s="292"/>
    </row>
    <row r="50" spans="1:9">
      <c r="A50" s="292"/>
      <c r="B50" s="292"/>
      <c r="C50" s="363">
        <v>7.5254893945081197E-2</v>
      </c>
      <c r="D50" s="363">
        <v>-7.9881478458451574E-2</v>
      </c>
      <c r="E50" s="363">
        <v>0.15365069945175694</v>
      </c>
      <c r="F50" s="363">
        <v>-0.39124920785250294</v>
      </c>
      <c r="G50" s="363">
        <v>-0.25955043219214274</v>
      </c>
      <c r="H50" s="364">
        <v>0.41480121988631424</v>
      </c>
      <c r="I50" s="292"/>
    </row>
    <row r="51" spans="1:9">
      <c r="A51" s="292"/>
      <c r="B51" s="292"/>
      <c r="C51" s="363">
        <v>6.2036265615280854E-2</v>
      </c>
      <c r="D51" s="363">
        <v>-3.284707730570241E-2</v>
      </c>
      <c r="E51" s="363">
        <v>0.10991050604096422</v>
      </c>
      <c r="F51" s="363">
        <v>-0.527954509512369</v>
      </c>
      <c r="G51" s="363">
        <v>-0.56384711463070247</v>
      </c>
      <c r="H51" s="364">
        <v>0.65436153607763092</v>
      </c>
      <c r="I51" s="292"/>
    </row>
    <row r="52" spans="1:9">
      <c r="A52" s="292"/>
      <c r="B52" s="292"/>
      <c r="C52" s="363">
        <v>1.4591619612606042E-2</v>
      </c>
      <c r="D52" s="363">
        <v>-6.6050814940221969E-2</v>
      </c>
      <c r="E52" s="363">
        <v>5.2412836889020015E-2</v>
      </c>
      <c r="F52" s="363">
        <v>-0.23066484290463032</v>
      </c>
      <c r="G52" s="363">
        <v>-9.3346284848618948E-3</v>
      </c>
      <c r="H52" s="364">
        <v>0.30889090504194383</v>
      </c>
      <c r="I52" s="292"/>
    </row>
    <row r="53" spans="1:9" ht="13.5" thickBot="1">
      <c r="A53" s="292"/>
      <c r="B53" s="292"/>
      <c r="C53" s="365">
        <v>1.0171029512307597E-3</v>
      </c>
      <c r="D53" s="365">
        <v>-0.14420836692556077</v>
      </c>
      <c r="E53" s="365">
        <v>6.7667954145598314E-2</v>
      </c>
      <c r="F53" s="365">
        <v>-0.42122995880386094</v>
      </c>
      <c r="G53" s="365">
        <v>-0.47665217132586252</v>
      </c>
      <c r="H53" s="366">
        <v>0.43571794524441654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B59" s="292"/>
      <c r="C59" s="292"/>
      <c r="D59" s="292"/>
      <c r="E59" s="292"/>
      <c r="F59" s="292"/>
      <c r="G59" s="292"/>
      <c r="H59" s="292"/>
      <c r="I59" s="292"/>
    </row>
    <row r="60" spans="1:9">
      <c r="B60" s="292"/>
      <c r="C60" s="292"/>
      <c r="D60" s="292"/>
      <c r="E60" s="292"/>
      <c r="F60" s="292"/>
      <c r="G60" s="292"/>
      <c r="H60" s="292"/>
      <c r="I60" s="292"/>
    </row>
    <row r="61" spans="1:9">
      <c r="B61" s="292"/>
      <c r="C61" s="292"/>
      <c r="D61" s="292"/>
      <c r="E61" s="292"/>
      <c r="F61" s="292"/>
      <c r="G61" s="292"/>
      <c r="H61" s="292"/>
      <c r="I61" s="292"/>
    </row>
    <row r="62" spans="1:9">
      <c r="B62" s="292"/>
      <c r="C62" s="292"/>
      <c r="D62" s="292"/>
      <c r="E62" s="292"/>
      <c r="F62" s="292"/>
      <c r="G62" s="292"/>
      <c r="H62" s="292"/>
      <c r="I62" s="292"/>
    </row>
    <row r="63" spans="1:9">
      <c r="B63" s="292"/>
      <c r="C63" s="292"/>
      <c r="D63" s="292"/>
      <c r="E63" s="292"/>
      <c r="F63" s="292"/>
      <c r="G63" s="292"/>
      <c r="H63" s="292"/>
      <c r="I63" s="292"/>
    </row>
    <row r="64" spans="1:9">
      <c r="B64" s="292"/>
      <c r="C64" s="292"/>
      <c r="D64" s="292"/>
      <c r="E64" s="292"/>
      <c r="F64" s="292"/>
      <c r="G64" s="292"/>
      <c r="H64" s="292"/>
      <c r="I64" s="292"/>
    </row>
    <row r="65" spans="2:9">
      <c r="B65" s="292"/>
      <c r="C65" s="292"/>
      <c r="D65" s="292"/>
      <c r="E65" s="292"/>
      <c r="F65" s="292"/>
      <c r="G65" s="292"/>
      <c r="H65" s="292"/>
      <c r="I65" s="292"/>
    </row>
    <row r="66" spans="2:9">
      <c r="B66" s="292"/>
      <c r="C66" s="292"/>
      <c r="D66" s="292"/>
      <c r="E66" s="292"/>
      <c r="F66" s="292"/>
      <c r="G66" s="292"/>
      <c r="H66" s="292"/>
      <c r="I66" s="292"/>
    </row>
    <row r="67" spans="2:9">
      <c r="B67" s="292"/>
      <c r="C67" s="292"/>
      <c r="D67" s="292"/>
      <c r="E67" s="292"/>
      <c r="F67" s="292"/>
      <c r="G67" s="292"/>
      <c r="H67" s="292"/>
      <c r="I67" s="292"/>
    </row>
    <row r="68" spans="2:9">
      <c r="B68" s="292"/>
      <c r="C68" s="292"/>
      <c r="D68" s="292"/>
      <c r="E68" s="292"/>
      <c r="F68" s="292"/>
      <c r="G68" s="292"/>
      <c r="H68" s="292"/>
      <c r="I68" s="292"/>
    </row>
    <row r="69" spans="2:9">
      <c r="B69" s="292"/>
      <c r="C69" s="292"/>
      <c r="D69" s="292"/>
      <c r="E69" s="292"/>
      <c r="F69" s="292"/>
      <c r="G69" s="292"/>
      <c r="H69" s="292"/>
      <c r="I69" s="292"/>
    </row>
    <row r="70" spans="2:9">
      <c r="B70" s="292"/>
      <c r="C70" s="292"/>
      <c r="D70" s="292"/>
      <c r="E70" s="292"/>
      <c r="F70" s="292"/>
      <c r="G70" s="292"/>
      <c r="H70" s="292"/>
      <c r="I70" s="292"/>
    </row>
    <row r="71" spans="2:9">
      <c r="B71" s="292"/>
      <c r="C71" s="292"/>
      <c r="D71" s="292"/>
      <c r="E71" s="292"/>
      <c r="F71" s="292"/>
      <c r="G71" s="292"/>
      <c r="H71" s="292"/>
      <c r="I71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9" t="s">
        <v>3</v>
      </c>
      <c r="E3" s="389"/>
      <c r="F3" s="389"/>
      <c r="G3" s="389"/>
      <c r="H3" s="389"/>
      <c r="I3" s="389"/>
      <c r="J3" s="389"/>
      <c r="K3" s="390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8" t="s">
        <v>3</v>
      </c>
      <c r="E14" s="389"/>
      <c r="F14" s="389"/>
      <c r="G14" s="389"/>
      <c r="H14" s="389"/>
      <c r="I14" s="389"/>
      <c r="J14" s="389"/>
      <c r="K14" s="390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7.1858480605475325E-2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8" t="s">
        <v>3</v>
      </c>
      <c r="E25" s="389"/>
      <c r="F25" s="389"/>
      <c r="G25" s="389"/>
      <c r="H25" s="389"/>
      <c r="I25" s="389"/>
      <c r="J25" s="389"/>
      <c r="K25" s="390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8" t="s">
        <v>3</v>
      </c>
      <c r="E36" s="389"/>
      <c r="F36" s="389"/>
      <c r="G36" s="389"/>
      <c r="H36" s="389"/>
      <c r="I36" s="389"/>
      <c r="J36" s="389"/>
      <c r="K36" s="390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1" t="s">
        <v>3</v>
      </c>
      <c r="E47" s="392"/>
      <c r="F47" s="392"/>
      <c r="G47" s="392"/>
      <c r="H47" s="392"/>
      <c r="I47" s="392"/>
      <c r="J47" s="392"/>
      <c r="K47" s="393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8" t="s">
        <v>3</v>
      </c>
      <c r="E58" s="389"/>
      <c r="F58" s="389"/>
      <c r="G58" s="389"/>
      <c r="H58" s="389"/>
      <c r="I58" s="389"/>
      <c r="J58" s="389"/>
      <c r="K58" s="390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8" t="s">
        <v>3</v>
      </c>
      <c r="E69" s="389"/>
      <c r="F69" s="389"/>
      <c r="G69" s="389"/>
      <c r="H69" s="389"/>
      <c r="I69" s="389"/>
      <c r="J69" s="389"/>
      <c r="K69" s="390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Q26" sqref="Q26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4" t="s">
        <v>16</v>
      </c>
      <c r="D2" s="395"/>
      <c r="E2" s="396" t="s">
        <v>17</v>
      </c>
      <c r="F2" s="397"/>
      <c r="G2" s="398" t="s">
        <v>33</v>
      </c>
      <c r="H2" s="399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3.0634868515694261E-2</v>
      </c>
      <c r="D10" s="20">
        <f>'Control panel'!D9</f>
        <v>3.0634868515694261E-2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4.6750473476693526E-2</v>
      </c>
      <c r="D11" s="24">
        <f>'Control panel'!D10</f>
        <v>4.6750473476693526E-2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I31" sqref="I31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0.1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0.1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0.1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0.1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0.1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0.1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0.1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0.1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1"/>
      <c r="O2" s="402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0.52358863467780892</v>
      </c>
      <c r="H3" s="272">
        <v>0.20040665019640724</v>
      </c>
      <c r="I3" s="272">
        <v>0.16380685859124255</v>
      </c>
      <c r="J3" s="272">
        <v>0.11215293682957739</v>
      </c>
      <c r="K3" s="272">
        <v>4.4919704961010609E-5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0.56276684934442833</v>
      </c>
      <c r="C4" s="54">
        <v>7.6527431726274983E-3</v>
      </c>
      <c r="D4" s="55">
        <v>0.55679551018695539</v>
      </c>
      <c r="E4" s="1">
        <v>0.56208548295741312</v>
      </c>
      <c r="F4" s="56">
        <v>0.56781651734746019</v>
      </c>
      <c r="G4" s="2">
        <v>-2.4667650792583675E-2</v>
      </c>
      <c r="H4" s="2">
        <v>-4.0783261170854748E-2</v>
      </c>
      <c r="I4" s="2">
        <v>-0.8465425281675486</v>
      </c>
      <c r="J4" s="2">
        <v>9.3917834227056296E-2</v>
      </c>
      <c r="K4" s="2">
        <v>1</v>
      </c>
      <c r="L4" s="2">
        <v>0.99999999999900036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0.55679551018695539</v>
      </c>
      <c r="T4" s="52">
        <f>B4-D4</f>
        <v>5.9713391574729435E-3</v>
      </c>
      <c r="U4" s="52">
        <f>F4-B4</f>
        <v>5.0496680030318597E-3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8.7836676115451193E-2</v>
      </c>
      <c r="C5" s="54">
        <v>2.0484543059298036E-2</v>
      </c>
      <c r="D5" s="55">
        <v>7.2985300868237929E-2</v>
      </c>
      <c r="E5" s="1">
        <v>8.5307975999046604E-2</v>
      </c>
      <c r="F5" s="56">
        <v>0.10158991835551086</v>
      </c>
      <c r="G5" s="2">
        <v>-0.89609942233436635</v>
      </c>
      <c r="H5" s="2">
        <v>0.12581119318850117</v>
      </c>
      <c r="I5" s="2">
        <v>1</v>
      </c>
      <c r="J5" s="2">
        <v>-0.17151146590637784</v>
      </c>
      <c r="K5" s="2">
        <v>0.20588975883469887</v>
      </c>
      <c r="L5" s="2">
        <v>0.99999999999952571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7.2985300868237929E-2</v>
      </c>
      <c r="T5" s="52">
        <f t="shared" ref="T5:T11" si="2">B5-D5</f>
        <v>1.4851375247213264E-2</v>
      </c>
      <c r="U5" s="52">
        <f t="shared" ref="U5:U11" si="3">F5-B5</f>
        <v>1.3753242240059665E-2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8.9979459197021022E-2</v>
      </c>
      <c r="C6" s="54">
        <v>2.1825165044565102E-2</v>
      </c>
      <c r="D6" s="55">
        <v>7.3464386564992434E-2</v>
      </c>
      <c r="E6" s="1">
        <v>8.7641597398375584E-2</v>
      </c>
      <c r="F6" s="56">
        <v>0.1055757118991443</v>
      </c>
      <c r="G6" s="2">
        <v>1</v>
      </c>
      <c r="H6" s="2">
        <v>1.75151363145046E-2</v>
      </c>
      <c r="I6" s="2">
        <v>0.82441207549777407</v>
      </c>
      <c r="J6" s="2">
        <v>-0.22646150816224489</v>
      </c>
      <c r="K6" s="2">
        <v>0.16688085216709339</v>
      </c>
      <c r="L6" s="2">
        <v>0.99999999999955169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7.3464386564992434E-2</v>
      </c>
      <c r="T6" s="52">
        <f t="shared" si="2"/>
        <v>1.6515072632028588E-2</v>
      </c>
      <c r="U6" s="52">
        <f t="shared" si="3"/>
        <v>1.5596252702123281E-2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0.11373563816687737</v>
      </c>
      <c r="C7" s="54">
        <v>1.3667268813749559E-2</v>
      </c>
      <c r="D7" s="55">
        <v>0.10459058167918552</v>
      </c>
      <c r="E7" s="1">
        <v>0.11401626359112571</v>
      </c>
      <c r="F7" s="56">
        <v>0.12353199582447587</v>
      </c>
      <c r="G7" s="2">
        <v>2.6088936889096547E-3</v>
      </c>
      <c r="H7" s="2">
        <v>1</v>
      </c>
      <c r="I7" s="2">
        <v>-0.58806023983258593</v>
      </c>
      <c r="J7" s="2">
        <v>-0.21327697120996653</v>
      </c>
      <c r="K7" s="2">
        <v>-0.50921581275153105</v>
      </c>
      <c r="L7" s="2">
        <v>1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0.10459058167918552</v>
      </c>
      <c r="T7" s="52">
        <f t="shared" si="2"/>
        <v>9.1450564876918577E-3</v>
      </c>
      <c r="U7" s="52">
        <f t="shared" si="3"/>
        <v>9.7963576575984951E-3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5.3942945409242812E-2</v>
      </c>
      <c r="C8" s="54">
        <v>1.3296039872770973E-2</v>
      </c>
      <c r="D8" s="55">
        <v>4.3997230288037065E-2</v>
      </c>
      <c r="E8" s="1">
        <v>5.3658572913706445E-2</v>
      </c>
      <c r="F8" s="56">
        <v>6.3759105123587387E-2</v>
      </c>
      <c r="G8" s="2">
        <v>-0.10621741635988241</v>
      </c>
      <c r="H8" s="2">
        <v>-0.90727997246549608</v>
      </c>
      <c r="I8" s="2">
        <v>-0.47354105028365062</v>
      </c>
      <c r="J8" s="2">
        <v>-0.48266788894846768</v>
      </c>
      <c r="K8" s="2">
        <v>-0.49514628803681471</v>
      </c>
      <c r="L8" s="2">
        <v>0.99999999999999067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4.3997230288037065E-2</v>
      </c>
      <c r="T8" s="52">
        <f t="shared" si="2"/>
        <v>9.9457151212057476E-3</v>
      </c>
      <c r="U8" s="52">
        <f t="shared" si="3"/>
        <v>9.8161597143445745E-3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1.4353089774591357E-2</v>
      </c>
      <c r="C9" s="54">
        <v>1.1179834047746662E-2</v>
      </c>
      <c r="D9" s="55">
        <v>3.8108664581497577E-3</v>
      </c>
      <c r="E9" s="1">
        <v>1.3074628173673376E-2</v>
      </c>
      <c r="F9" s="56">
        <v>2.2754996435900919E-2</v>
      </c>
      <c r="G9" s="2">
        <v>2.4375595797922704E-2</v>
      </c>
      <c r="H9" s="2">
        <v>-0.19526309586665491</v>
      </c>
      <c r="I9" s="2">
        <v>8.3731742786013016E-2</v>
      </c>
      <c r="J9" s="2">
        <v>1</v>
      </c>
      <c r="K9" s="2">
        <v>-0.36840851021231308</v>
      </c>
      <c r="L9" s="2">
        <v>0.99999999999990763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3.8108664581497577E-3</v>
      </c>
      <c r="T9" s="52">
        <f t="shared" si="2"/>
        <v>1.05422233164416E-2</v>
      </c>
      <c r="U9" s="52">
        <f t="shared" si="3"/>
        <v>8.4019066613095616E-3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3.0634868515694108E-2</v>
      </c>
      <c r="C10" s="54">
        <v>1.5280855091765204E-16</v>
      </c>
      <c r="D10" s="55">
        <v>3.0634868515694261E-2</v>
      </c>
      <c r="E10" s="1">
        <v>3.0634868515694261E-2</v>
      </c>
      <c r="F10" s="56">
        <v>3.0634868515694261E-2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3.0634868515694261E-2</v>
      </c>
      <c r="T10" s="52">
        <f t="shared" si="2"/>
        <v>-1.5265566588595902E-16</v>
      </c>
      <c r="U10" s="52">
        <f t="shared" si="3"/>
        <v>1.5265566588595902E-16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4.6750473476693123E-2</v>
      </c>
      <c r="C11" s="62">
        <v>4.0285890696471903E-16</v>
      </c>
      <c r="D11" s="63">
        <v>4.6750473476693526E-2</v>
      </c>
      <c r="E11" s="61">
        <v>4.6750473476693526E-2</v>
      </c>
      <c r="F11" s="64">
        <v>4.6750473476693526E-2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4.6750473476693526E-2</v>
      </c>
      <c r="T11" s="52">
        <f t="shared" si="2"/>
        <v>-4.0245584642661925E-16</v>
      </c>
      <c r="U11" s="52">
        <f t="shared" si="3"/>
        <v>4.0245584642661925E-16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0" t="s">
        <v>64</v>
      </c>
      <c r="E13" s="401"/>
      <c r="F13" s="402"/>
      <c r="G13" s="400" t="s">
        <v>65</v>
      </c>
      <c r="H13" s="401"/>
      <c r="I13" s="401"/>
      <c r="J13" s="401"/>
      <c r="K13" s="401"/>
      <c r="L13" s="401"/>
      <c r="M13" s="401"/>
      <c r="N13" s="401"/>
      <c r="O13" s="402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0.51903702584380829</v>
      </c>
      <c r="H14" s="272">
        <v>0.36004182473560575</v>
      </c>
      <c r="I14" s="272">
        <v>0.10550875353654976</v>
      </c>
      <c r="J14" s="272">
        <v>9.49949362292557E-3</v>
      </c>
      <c r="K14" s="272">
        <v>5.9129022611125182E-3</v>
      </c>
      <c r="L14" s="272">
        <v>2.2204460492503131E-16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0.57295330326829641</v>
      </c>
      <c r="C15" s="54">
        <v>1.1873846150265559E-2</v>
      </c>
      <c r="D15" s="55">
        <v>0.56348397676066164</v>
      </c>
      <c r="E15" s="1">
        <v>0.57260874626957903</v>
      </c>
      <c r="F15" s="56">
        <v>0.58113225196731699</v>
      </c>
      <c r="G15" s="2">
        <v>0.33409025527472247</v>
      </c>
      <c r="H15" s="2">
        <v>-0.480437752166886</v>
      </c>
      <c r="I15" s="2">
        <v>-0.43628966099124211</v>
      </c>
      <c r="J15" s="2">
        <v>1</v>
      </c>
      <c r="K15" s="2">
        <v>2.7400218225960629E-2</v>
      </c>
      <c r="L15" s="2">
        <v>0.99999999999999312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0.56348397676066164</v>
      </c>
      <c r="T15" s="52">
        <f>B15-D15</f>
        <v>9.4693265076347677E-3</v>
      </c>
      <c r="U15" s="52">
        <f>F15-B15</f>
        <v>8.1789486990205829E-3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9.4917642190175677E-2</v>
      </c>
      <c r="C16" s="54">
        <v>2.4070843317976775E-2</v>
      </c>
      <c r="D16" s="55">
        <v>7.5356379669681145E-2</v>
      </c>
      <c r="E16" s="1">
        <v>9.4417727174599952E-2</v>
      </c>
      <c r="F16" s="56">
        <v>0.11348416119212984</v>
      </c>
      <c r="G16" s="2">
        <v>-0.88929738684041293</v>
      </c>
      <c r="H16" s="2">
        <v>1</v>
      </c>
      <c r="I16" s="2">
        <v>-0.21743357855211709</v>
      </c>
      <c r="J16" s="2">
        <v>0.17075222084573735</v>
      </c>
      <c r="K16" s="2">
        <v>-0.18460122763835171</v>
      </c>
      <c r="L16" s="2">
        <v>0.99999999999999678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7.5356379669681145E-2</v>
      </c>
      <c r="T16" s="52">
        <f t="shared" ref="T16:T22" si="7">B16-D16</f>
        <v>1.9561262520494532E-2</v>
      </c>
      <c r="U16" s="52">
        <f t="shared" ref="U16:U22" si="8">F16-B16</f>
        <v>1.8566519001954163E-2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6.6072845927494572E-2</v>
      </c>
      <c r="C17" s="54">
        <v>1.2536568996195539E-2</v>
      </c>
      <c r="D17" s="55">
        <v>5.6111643889929175E-2</v>
      </c>
      <c r="E17" s="1">
        <v>6.3261698854317205E-2</v>
      </c>
      <c r="F17" s="56">
        <v>7.3122716988391623E-2</v>
      </c>
      <c r="G17" s="2">
        <v>0.17718034878476696</v>
      </c>
      <c r="H17" s="2">
        <v>7.8289745810171049E-2</v>
      </c>
      <c r="I17" s="2">
        <v>1</v>
      </c>
      <c r="J17" s="2">
        <v>0.29617452647074805</v>
      </c>
      <c r="K17" s="2">
        <v>-4.615702972243977E-2</v>
      </c>
      <c r="L17" s="2">
        <v>0.999999999999995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5.6111643889929175E-2</v>
      </c>
      <c r="T17" s="52">
        <f t="shared" si="7"/>
        <v>9.9612020375653976E-3</v>
      </c>
      <c r="U17" s="52">
        <f t="shared" si="8"/>
        <v>7.0498710608970505E-3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7.9070821653539791E-2</v>
      </c>
      <c r="C18" s="54">
        <v>3.3246835846125183E-3</v>
      </c>
      <c r="D18" s="55">
        <v>7.6502985456029349E-2</v>
      </c>
      <c r="E18" s="1">
        <v>7.8003830916875683E-2</v>
      </c>
      <c r="F18" s="56">
        <v>8.1035449795791928E-2</v>
      </c>
      <c r="G18" s="2">
        <v>4.0062683171546737E-2</v>
      </c>
      <c r="H18" s="2">
        <v>1.533836404143637E-2</v>
      </c>
      <c r="I18" s="2">
        <v>-9.2297609887581789E-2</v>
      </c>
      <c r="J18" s="2">
        <v>-0.40657482369522069</v>
      </c>
      <c r="K18" s="2">
        <v>1</v>
      </c>
      <c r="L18" s="2">
        <v>0.999999999999998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7.6502985456029349E-2</v>
      </c>
      <c r="T18" s="52">
        <f t="shared" si="7"/>
        <v>2.5678361975104425E-3</v>
      </c>
      <c r="U18" s="52">
        <f t="shared" si="8"/>
        <v>1.9646281422521367E-3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6.1105073205391568E-2</v>
      </c>
      <c r="C19" s="54">
        <v>2.0869105119903794E-2</v>
      </c>
      <c r="D19" s="55">
        <v>4.4935649156803294E-2</v>
      </c>
      <c r="E19" s="1">
        <v>5.9409692381194514E-2</v>
      </c>
      <c r="F19" s="56">
        <v>7.5976582048792207E-2</v>
      </c>
      <c r="G19" s="2">
        <v>-0.66203590039062399</v>
      </c>
      <c r="H19" s="2">
        <v>-0.99186269978576302</v>
      </c>
      <c r="I19" s="2">
        <v>-1.9791090358220853E-2</v>
      </c>
      <c r="J19" s="2">
        <v>-0.506561467408706</v>
      </c>
      <c r="K19" s="2">
        <v>-0.35585143553860354</v>
      </c>
      <c r="L19" s="2">
        <v>0.99999999999999989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4.4935649156803294E-2</v>
      </c>
      <c r="T19" s="52">
        <f t="shared" si="7"/>
        <v>1.6169424048588274E-2</v>
      </c>
      <c r="U19" s="52">
        <f t="shared" si="8"/>
        <v>1.487150884340064E-2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4.8494971762714868E-2</v>
      </c>
      <c r="C20" s="54">
        <v>2.0861260335665564E-2</v>
      </c>
      <c r="D20" s="55">
        <v>3.4205996756093836E-2</v>
      </c>
      <c r="E20" s="1">
        <v>5.0960762369756107E-2</v>
      </c>
      <c r="F20" s="56">
        <v>6.2886450797789331E-2</v>
      </c>
      <c r="G20" s="2">
        <v>1</v>
      </c>
      <c r="H20" s="2">
        <v>0.37867234210104117</v>
      </c>
      <c r="I20" s="2">
        <v>-0.23418806021083713</v>
      </c>
      <c r="J20" s="2">
        <v>-0.55379045621255141</v>
      </c>
      <c r="K20" s="2">
        <v>-0.4407905253265641</v>
      </c>
      <c r="L20" s="2">
        <v>1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3.4205996756093836E-2</v>
      </c>
      <c r="T20" s="52">
        <f t="shared" si="7"/>
        <v>1.4288975006621032E-2</v>
      </c>
      <c r="U20" s="52">
        <f t="shared" si="8"/>
        <v>1.4391479035074463E-2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3.0634868515694108E-2</v>
      </c>
      <c r="C21" s="54">
        <v>1.5280855091765204E-16</v>
      </c>
      <c r="D21" s="55">
        <v>3.0634868515694261E-2</v>
      </c>
      <c r="E21" s="1">
        <v>3.0634868515694261E-2</v>
      </c>
      <c r="F21" s="56">
        <v>3.0634868515694261E-2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3.0634868515694261E-2</v>
      </c>
      <c r="T21" s="52">
        <f t="shared" si="7"/>
        <v>-1.5265566588595902E-16</v>
      </c>
      <c r="U21" s="52">
        <f t="shared" si="8"/>
        <v>1.5265566588595902E-16</v>
      </c>
    </row>
    <row r="22" spans="1:30">
      <c r="A22" s="60" t="str">
        <f t="shared" si="4"/>
        <v>Onroerend goed</v>
      </c>
      <c r="B22" s="286">
        <v>4.6750473476693123E-2</v>
      </c>
      <c r="C22" s="62">
        <v>4.0285890696471903E-16</v>
      </c>
      <c r="D22" s="63">
        <v>4.6750473476693526E-2</v>
      </c>
      <c r="E22" s="61">
        <v>4.6750473476693526E-2</v>
      </c>
      <c r="F22" s="64">
        <v>4.6750473476693526E-2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4.6750473476693526E-2</v>
      </c>
      <c r="T22" s="52">
        <f t="shared" si="7"/>
        <v>-4.0245584642661925E-16</v>
      </c>
      <c r="U22" s="52">
        <f t="shared" si="8"/>
        <v>4.0245584642661925E-16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0" t="s">
        <v>64</v>
      </c>
      <c r="E24" s="401"/>
      <c r="F24" s="402"/>
      <c r="G24" s="400" t="s">
        <v>65</v>
      </c>
      <c r="H24" s="401"/>
      <c r="I24" s="401"/>
      <c r="J24" s="401"/>
      <c r="K24" s="401"/>
      <c r="L24" s="401"/>
      <c r="M24" s="401"/>
      <c r="N24" s="401"/>
      <c r="O24" s="402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0.61783177281378832</v>
      </c>
      <c r="H25" s="272">
        <v>0.32100653562512782</v>
      </c>
      <c r="I25" s="272">
        <v>3.6128256977933093E-2</v>
      </c>
      <c r="J25" s="272">
        <v>2.1794922309429809E-2</v>
      </c>
      <c r="K25" s="272">
        <v>3.238512273718186E-3</v>
      </c>
      <c r="L25" s="272">
        <v>-2.2204460492503131E-16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0.62701183481194211</v>
      </c>
      <c r="C26" s="54">
        <v>1.8230558309332845E-2</v>
      </c>
      <c r="D26" s="55">
        <v>0.6172522792769215</v>
      </c>
      <c r="E26" s="1">
        <v>0.63200001435870545</v>
      </c>
      <c r="F26" s="56">
        <v>0.6413118833990431</v>
      </c>
      <c r="G26" s="68">
        <v>-0.30972615817083748</v>
      </c>
      <c r="H26" s="68">
        <v>1</v>
      </c>
      <c r="I26" s="68">
        <v>-0.20990038644093076</v>
      </c>
      <c r="J26" s="68">
        <v>-0.36399497745816228</v>
      </c>
      <c r="K26" s="68">
        <v>-0.28054288719431958</v>
      </c>
      <c r="L26" s="68">
        <v>0.99999999999999933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0.6172522792769215</v>
      </c>
      <c r="T26" s="52">
        <f>B26-D26</f>
        <v>9.7595555350206142E-3</v>
      </c>
      <c r="U26" s="52">
        <f>F26-B26</f>
        <v>1.4300048587100989E-2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5.6727270554253154E-2</v>
      </c>
      <c r="C27" s="54">
        <v>5.6412012300667827E-3</v>
      </c>
      <c r="D27" s="55">
        <v>5.242860375694007E-2</v>
      </c>
      <c r="E27" s="1">
        <v>5.5420536510145356E-2</v>
      </c>
      <c r="F27" s="56">
        <v>5.94634070994568E-2</v>
      </c>
      <c r="G27" s="68">
        <v>6.4367055416413285E-2</v>
      </c>
      <c r="H27" s="68">
        <v>5.7875433826048234E-2</v>
      </c>
      <c r="I27" s="68">
        <v>-0.35154671250437469</v>
      </c>
      <c r="J27" s="68">
        <v>1</v>
      </c>
      <c r="K27" s="68">
        <v>-6.7473746126687911E-2</v>
      </c>
      <c r="L27" s="68">
        <v>0.99999999999999611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5.242860375694007E-2</v>
      </c>
      <c r="T27" s="52">
        <f t="shared" ref="T27:T33" si="12">B27-D27</f>
        <v>4.2986667973130832E-3</v>
      </c>
      <c r="U27" s="52">
        <f t="shared" ref="U27:U33" si="13">F27-B27</f>
        <v>2.7361365452036462E-3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8.8992440883161814E-2</v>
      </c>
      <c r="C28" s="54">
        <v>2.3023324878597165E-2</v>
      </c>
      <c r="D28" s="55">
        <v>7.113463569273476E-2</v>
      </c>
      <c r="E28" s="1">
        <v>8.600955380025338E-2</v>
      </c>
      <c r="F28" s="56">
        <v>0.10619805024288402</v>
      </c>
      <c r="G28" s="68">
        <v>-0.85809026134395894</v>
      </c>
      <c r="H28" s="68">
        <v>-0.76018646640301202</v>
      </c>
      <c r="I28" s="68">
        <v>-0.14088682829181157</v>
      </c>
      <c r="J28" s="68">
        <v>-0.22464518557929025</v>
      </c>
      <c r="K28" s="68">
        <v>-0.22907504530767114</v>
      </c>
      <c r="L28" s="68">
        <v>0.99999999999999845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7.113463569273476E-2</v>
      </c>
      <c r="T28" s="52">
        <f t="shared" si="12"/>
        <v>1.7857805190427053E-2</v>
      </c>
      <c r="U28" s="52">
        <f t="shared" si="13"/>
        <v>1.7205609359722207E-2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7.7650711754018706E-2</v>
      </c>
      <c r="C29" s="54">
        <v>2.3573130123591304E-3</v>
      </c>
      <c r="D29" s="55">
        <v>7.5957530217157135E-2</v>
      </c>
      <c r="E29" s="1">
        <v>7.6888154880271981E-2</v>
      </c>
      <c r="F29" s="56">
        <v>7.8792661017185822E-2</v>
      </c>
      <c r="G29" s="68">
        <v>3.6634016809184232E-2</v>
      </c>
      <c r="H29" s="68">
        <v>7.6936473396750872E-3</v>
      </c>
      <c r="I29" s="68">
        <v>-7.0143120868077488E-2</v>
      </c>
      <c r="J29" s="68">
        <v>-0.18423736546049369</v>
      </c>
      <c r="K29" s="68">
        <v>1</v>
      </c>
      <c r="L29" s="68">
        <v>0.99999999999999944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7.5957530217157135E-2</v>
      </c>
      <c r="T29" s="52">
        <f t="shared" si="12"/>
        <v>1.693181536861571E-3</v>
      </c>
      <c r="U29" s="52">
        <f t="shared" si="13"/>
        <v>1.1419492631671163E-3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3.3347140675238918E-2</v>
      </c>
      <c r="C30" s="54">
        <v>6.8120172803611016E-3</v>
      </c>
      <c r="D30" s="55">
        <v>2.7969257341738392E-2</v>
      </c>
      <c r="E30" s="1">
        <v>3.1618158884464884E-2</v>
      </c>
      <c r="F30" s="56">
        <v>3.7359983799801905E-2</v>
      </c>
      <c r="G30" s="68">
        <v>6.6815347289198662E-2</v>
      </c>
      <c r="H30" s="68">
        <v>4.4157339102123376E-2</v>
      </c>
      <c r="I30" s="68">
        <v>1</v>
      </c>
      <c r="J30" s="68">
        <v>0.1457373315571901</v>
      </c>
      <c r="K30" s="68">
        <v>-0.11483135139294574</v>
      </c>
      <c r="L30" s="68">
        <v>1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2.7969257341738392E-2</v>
      </c>
      <c r="T30" s="52">
        <f t="shared" si="12"/>
        <v>5.3778833335005258E-3</v>
      </c>
      <c r="U30" s="52">
        <f t="shared" si="13"/>
        <v>4.012843124562987E-3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3.888525932899696E-2</v>
      </c>
      <c r="C31" s="54">
        <v>2.3186940885825926E-2</v>
      </c>
      <c r="D31" s="55">
        <v>2.2102132917063595E-2</v>
      </c>
      <c r="E31" s="1">
        <v>3.8341520845775787E-2</v>
      </c>
      <c r="F31" s="56">
        <v>5.4962165039081322E-2</v>
      </c>
      <c r="G31" s="68">
        <v>1</v>
      </c>
      <c r="H31" s="68">
        <v>-0.34953995386483538</v>
      </c>
      <c r="I31" s="68">
        <v>-0.22752295189480745</v>
      </c>
      <c r="J31" s="68">
        <v>-0.37285980305924116</v>
      </c>
      <c r="K31" s="68">
        <v>-0.30807696997837691</v>
      </c>
      <c r="L31" s="68">
        <v>0.99999999999999856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2.2102132917063595E-2</v>
      </c>
      <c r="T31" s="52">
        <f t="shared" si="12"/>
        <v>1.6783126411933365E-2</v>
      </c>
      <c r="U31" s="52">
        <f t="shared" si="13"/>
        <v>1.6076905710084362E-2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3.0634868515694108E-2</v>
      </c>
      <c r="C32" s="54">
        <v>1.5280855091765204E-16</v>
      </c>
      <c r="D32" s="55">
        <v>3.0634868515694261E-2</v>
      </c>
      <c r="E32" s="1">
        <v>3.0634868515694261E-2</v>
      </c>
      <c r="F32" s="56">
        <v>3.0634868515694261E-2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3.0634868515694261E-2</v>
      </c>
      <c r="T32" s="52">
        <f t="shared" si="12"/>
        <v>-1.5265566588595902E-16</v>
      </c>
      <c r="U32" s="52">
        <f t="shared" si="13"/>
        <v>1.5265566588595902E-16</v>
      </c>
    </row>
    <row r="33" spans="1:30">
      <c r="A33" s="60" t="str">
        <f t="shared" si="9"/>
        <v>Onroerend goed</v>
      </c>
      <c r="B33" s="61">
        <v>4.6750473476693123E-2</v>
      </c>
      <c r="C33" s="62">
        <v>4.0285890696471903E-16</v>
      </c>
      <c r="D33" s="63">
        <v>4.6750473476693526E-2</v>
      </c>
      <c r="E33" s="61">
        <v>4.6750473476693526E-2</v>
      </c>
      <c r="F33" s="64">
        <v>4.6750473476693526E-2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4.6750473476693526E-2</v>
      </c>
      <c r="T33" s="52">
        <f t="shared" si="12"/>
        <v>-4.0245584642661925E-16</v>
      </c>
      <c r="U33" s="52">
        <f t="shared" si="13"/>
        <v>4.0245584642661925E-16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0" t="s">
        <v>64</v>
      </c>
      <c r="E35" s="401"/>
      <c r="F35" s="402"/>
      <c r="G35" s="400" t="s">
        <v>65</v>
      </c>
      <c r="H35" s="401"/>
      <c r="I35" s="401"/>
      <c r="J35" s="401"/>
      <c r="K35" s="401"/>
      <c r="L35" s="401"/>
      <c r="M35" s="401"/>
      <c r="N35" s="401"/>
      <c r="O35" s="402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0.6262339965316891</v>
      </c>
      <c r="H36" s="272">
        <v>0.29838624860221374</v>
      </c>
      <c r="I36" s="272">
        <v>4.5678029442071999E-2</v>
      </c>
      <c r="J36" s="272">
        <v>2.5067713349987919E-2</v>
      </c>
      <c r="K36" s="272">
        <v>4.6340120740386848E-3</v>
      </c>
      <c r="L36" s="272">
        <v>0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0.5665406341524355</v>
      </c>
      <c r="C37" s="54">
        <v>1.0138536106561263E-2</v>
      </c>
      <c r="D37" s="55">
        <v>0.55838767681169432</v>
      </c>
      <c r="E37" s="1">
        <v>0.56504875885383343</v>
      </c>
      <c r="F37" s="56">
        <v>0.57362820098685696</v>
      </c>
      <c r="G37" s="2">
        <v>0.2771849050551819</v>
      </c>
      <c r="H37" s="2">
        <v>0.49750148791134391</v>
      </c>
      <c r="I37" s="2">
        <v>0.25553821676928468</v>
      </c>
      <c r="J37" s="2">
        <v>-0.55585528065119938</v>
      </c>
      <c r="K37" s="2">
        <v>1</v>
      </c>
      <c r="L37" s="2">
        <v>1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0.55838767681169432</v>
      </c>
      <c r="T37" s="52">
        <f>B37-D37</f>
        <v>8.1529573407411737E-3</v>
      </c>
      <c r="U37" s="52">
        <f>F37-B37</f>
        <v>7.087566834421466E-3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0.1147596688851631</v>
      </c>
      <c r="C38" s="54">
        <v>2.1453770031127709E-2</v>
      </c>
      <c r="D38" s="55">
        <v>9.9415171078573977E-2</v>
      </c>
      <c r="E38" s="1">
        <v>0.1173627593115964</v>
      </c>
      <c r="F38" s="56">
        <v>0.13133076876816269</v>
      </c>
      <c r="G38" s="2">
        <v>-0.70213365762916868</v>
      </c>
      <c r="H38" s="2">
        <v>-0.99618389306812261</v>
      </c>
      <c r="I38" s="2">
        <v>-0.1864719259341808</v>
      </c>
      <c r="J38" s="2">
        <v>-0.4857068394440901</v>
      </c>
      <c r="K38" s="2">
        <v>6.3013893383857406E-2</v>
      </c>
      <c r="L38" s="2">
        <v>0.9999999999999919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9.9415171078573977E-2</v>
      </c>
      <c r="T38" s="52">
        <f t="shared" ref="T38:T44" si="17">B38-D38</f>
        <v>1.5344497806589127E-2</v>
      </c>
      <c r="U38" s="52">
        <f t="shared" ref="U38:U44" si="18">F38-B38</f>
        <v>1.6571099882999582E-2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5.7785968727090839E-2</v>
      </c>
      <c r="C39" s="54">
        <v>6.0841318518582207E-3</v>
      </c>
      <c r="D39" s="55">
        <v>5.2885447842951357E-2</v>
      </c>
      <c r="E39" s="1">
        <v>5.6529748862429396E-2</v>
      </c>
      <c r="F39" s="56">
        <v>6.1767268940582341E-2</v>
      </c>
      <c r="G39" s="2">
        <v>4.0826743059038599E-2</v>
      </c>
      <c r="H39" s="2">
        <v>-8.64205281731905E-2</v>
      </c>
      <c r="I39" s="2">
        <v>-0.50340015785821579</v>
      </c>
      <c r="J39" s="2">
        <v>1</v>
      </c>
      <c r="K39" s="2">
        <v>0.49299904912223774</v>
      </c>
      <c r="L39" s="2">
        <v>0.99999999999999423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5.2885447842951357E-2</v>
      </c>
      <c r="T39" s="52">
        <f t="shared" si="17"/>
        <v>4.9005208841394823E-3</v>
      </c>
      <c r="U39" s="52">
        <f t="shared" si="18"/>
        <v>3.9813002134915024E-3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8.4990587452029628E-2</v>
      </c>
      <c r="C40" s="54">
        <v>7.6917665337725835E-3</v>
      </c>
      <c r="D40" s="55">
        <v>7.8608582051812217E-2</v>
      </c>
      <c r="E40" s="1">
        <v>8.3351192616482439E-2</v>
      </c>
      <c r="F40" s="56">
        <v>8.9537084939288192E-2</v>
      </c>
      <c r="G40" s="2">
        <v>-1.134463011250952E-2</v>
      </c>
      <c r="H40" s="2">
        <v>-0.183522557012019</v>
      </c>
      <c r="I40" s="2">
        <v>1</v>
      </c>
      <c r="J40" s="2">
        <v>0.43661579699022435</v>
      </c>
      <c r="K40" s="2">
        <v>-0.34022256266113265</v>
      </c>
      <c r="L40" s="2">
        <v>0.99999999999998879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7.8608582051812217E-2</v>
      </c>
      <c r="T40" s="52">
        <f t="shared" si="17"/>
        <v>6.3820054002174109E-3</v>
      </c>
      <c r="U40" s="52">
        <f t="shared" si="18"/>
        <v>4.5464974872585634E-3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6.1090282369893834E-2</v>
      </c>
      <c r="C41" s="54">
        <v>1.9851769732092579E-2</v>
      </c>
      <c r="D41" s="55">
        <v>4.5584194818316215E-2</v>
      </c>
      <c r="E41" s="1">
        <v>5.9744399831977796E-2</v>
      </c>
      <c r="F41" s="56">
        <v>7.5870302784958848E-2</v>
      </c>
      <c r="G41" s="2">
        <v>-0.60453336037254179</v>
      </c>
      <c r="H41" s="2">
        <v>1</v>
      </c>
      <c r="I41" s="2">
        <v>-0.24667819941354904</v>
      </c>
      <c r="J41" s="2">
        <v>-0.10733572531728662</v>
      </c>
      <c r="K41" s="2">
        <v>-0.59759580528387879</v>
      </c>
      <c r="L41" s="2">
        <v>0.9999999999999849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4.5584194818316215E-2</v>
      </c>
      <c r="T41" s="52">
        <f t="shared" si="17"/>
        <v>1.5506087551577619E-2</v>
      </c>
      <c r="U41" s="52">
        <f t="shared" si="18"/>
        <v>1.4780020415065015E-2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3.7447516420998972E-2</v>
      </c>
      <c r="C42" s="54">
        <v>2.3044172227719283E-2</v>
      </c>
      <c r="D42" s="55">
        <v>1.8853640706658716E-2</v>
      </c>
      <c r="E42" s="1">
        <v>3.4640751776554075E-2</v>
      </c>
      <c r="F42" s="56">
        <v>5.4944142143909441E-2</v>
      </c>
      <c r="G42" s="2">
        <v>1</v>
      </c>
      <c r="H42" s="2">
        <v>-0.23137450965801065</v>
      </c>
      <c r="I42" s="2">
        <v>-0.31898793356334088</v>
      </c>
      <c r="J42" s="2">
        <v>-0.28771795157764746</v>
      </c>
      <c r="K42" s="2">
        <v>-0.61819457456110249</v>
      </c>
      <c r="L42" s="2">
        <v>0.99999999999998446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1.8853640706658716E-2</v>
      </c>
      <c r="T42" s="52">
        <f t="shared" si="17"/>
        <v>1.8593875714340256E-2</v>
      </c>
      <c r="U42" s="52">
        <f t="shared" si="18"/>
        <v>1.7496625722910469E-2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3.0634868515694108E-2</v>
      </c>
      <c r="C43" s="54">
        <v>1.5280855091765204E-16</v>
      </c>
      <c r="D43" s="55">
        <v>3.0634868515694261E-2</v>
      </c>
      <c r="E43" s="1">
        <v>3.0634868515694261E-2</v>
      </c>
      <c r="F43" s="56">
        <v>3.0634868515694261E-2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3.0634868515694261E-2</v>
      </c>
      <c r="T43" s="52">
        <f t="shared" si="17"/>
        <v>-1.5265566588595902E-16</v>
      </c>
      <c r="U43" s="52">
        <f t="shared" si="18"/>
        <v>1.5265566588595902E-16</v>
      </c>
    </row>
    <row r="44" spans="1:30">
      <c r="A44" s="60" t="str">
        <f t="shared" si="14"/>
        <v>Onroerend goed</v>
      </c>
      <c r="B44" s="61">
        <v>4.6750473476693123E-2</v>
      </c>
      <c r="C44" s="62">
        <v>4.0285890696471903E-16</v>
      </c>
      <c r="D44" s="63">
        <v>4.6750473476693526E-2</v>
      </c>
      <c r="E44" s="61">
        <v>4.6750473476693526E-2</v>
      </c>
      <c r="F44" s="64">
        <v>4.6750473476693526E-2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4.6750473476693526E-2</v>
      </c>
      <c r="T44" s="52">
        <f t="shared" si="17"/>
        <v>-4.0245584642661925E-16</v>
      </c>
      <c r="U44" s="52">
        <f t="shared" si="18"/>
        <v>4.0245584642661925E-16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0" t="s">
        <v>64</v>
      </c>
      <c r="E46" s="401"/>
      <c r="F46" s="402"/>
      <c r="G46" s="400" t="s">
        <v>65</v>
      </c>
      <c r="H46" s="401"/>
      <c r="I46" s="401"/>
      <c r="J46" s="401"/>
      <c r="K46" s="401"/>
      <c r="L46" s="401"/>
      <c r="M46" s="401"/>
      <c r="N46" s="401"/>
      <c r="O46" s="402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0.92596815979403002</v>
      </c>
      <c r="H47" s="272">
        <v>3.681021485242908E-2</v>
      </c>
      <c r="I47" s="272">
        <v>1.8063782808745432E-2</v>
      </c>
      <c r="J47" s="272">
        <v>1.2662079181244956E-2</v>
      </c>
      <c r="K47" s="272">
        <v>6.4957633635569501E-3</v>
      </c>
      <c r="L47" s="272">
        <v>2.2204460492503131E-16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0.6478777269195104</v>
      </c>
      <c r="C48" s="54">
        <v>2.3659504860310456E-3</v>
      </c>
      <c r="D48" s="55">
        <v>0.64637591376494519</v>
      </c>
      <c r="E48" s="1">
        <v>0.64852017612355684</v>
      </c>
      <c r="F48" s="56">
        <v>0.64977153885052374</v>
      </c>
      <c r="G48" s="68">
        <v>1.5161605439799022E-2</v>
      </c>
      <c r="H48" s="68">
        <v>-0.53482351464132283</v>
      </c>
      <c r="I48" s="68">
        <v>-0.10008682585829949</v>
      </c>
      <c r="J48" s="68">
        <v>0.16901718309940894</v>
      </c>
      <c r="K48" s="68">
        <v>1</v>
      </c>
      <c r="L48" s="68">
        <v>0.99999999999999822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0.64637591376494519</v>
      </c>
      <c r="T48" s="52">
        <f>B48-D48</f>
        <v>1.5018131545652125E-3</v>
      </c>
      <c r="U48" s="52">
        <f>F48-B48</f>
        <v>1.893811931013345E-3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8.5724881233906772E-2</v>
      </c>
      <c r="C49" s="54">
        <v>1.7688869025632849E-2</v>
      </c>
      <c r="D49" s="55">
        <v>7.2289410199789808E-2</v>
      </c>
      <c r="E49" s="1">
        <v>8.5977929610211612E-2</v>
      </c>
      <c r="F49" s="56">
        <v>9.7784226243840061E-2</v>
      </c>
      <c r="G49" s="68">
        <v>-0.99839682863996893</v>
      </c>
      <c r="H49" s="68">
        <v>1</v>
      </c>
      <c r="I49" s="68">
        <v>5.6919074860263999E-2</v>
      </c>
      <c r="J49" s="68">
        <v>-0.12216439423403444</v>
      </c>
      <c r="K49" s="68">
        <v>4.1200203527481577E-2</v>
      </c>
      <c r="L49" s="68">
        <v>0.99999999999999623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7.2289410199789808E-2</v>
      </c>
      <c r="T49" s="52">
        <f t="shared" ref="T49:T55" si="22">B49-D49</f>
        <v>1.3435471034116964E-2</v>
      </c>
      <c r="U49" s="52">
        <f t="shared" ref="U49:U55" si="23">F49-B49</f>
        <v>1.2059345009933289E-2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8.0791570534313115E-2</v>
      </c>
      <c r="C50" s="54">
        <v>1.7715953027540587E-2</v>
      </c>
      <c r="D50" s="55">
        <v>6.6345900790377138E-2</v>
      </c>
      <c r="E50" s="1">
        <v>8.0059276705886862E-2</v>
      </c>
      <c r="F50" s="56">
        <v>9.4245304662862989E-2</v>
      </c>
      <c r="G50" s="68">
        <v>1</v>
      </c>
      <c r="H50" s="68">
        <v>0.9988946626751074</v>
      </c>
      <c r="I50" s="68">
        <v>5.4843054517421205E-2</v>
      </c>
      <c r="J50" s="68">
        <v>-0.12314092686502913</v>
      </c>
      <c r="K50" s="68">
        <v>1.9782542954071468E-2</v>
      </c>
      <c r="L50" s="68">
        <v>0.999999999999996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6.6345900790377138E-2</v>
      </c>
      <c r="T50" s="52">
        <f t="shared" si="22"/>
        <v>1.4445669743935977E-2</v>
      </c>
      <c r="U50" s="52">
        <f t="shared" si="23"/>
        <v>1.3453734128549874E-2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7.8111157069111717E-2</v>
      </c>
      <c r="C51" s="54">
        <v>3.1329942243431635E-3</v>
      </c>
      <c r="D51" s="55">
        <v>7.5751370794866713E-2</v>
      </c>
      <c r="E51" s="1">
        <v>7.7421516757577608E-2</v>
      </c>
      <c r="F51" s="56">
        <v>7.9783948871714278E-2</v>
      </c>
      <c r="G51" s="68">
        <v>-6.9288484588541505E-3</v>
      </c>
      <c r="H51" s="68">
        <v>-0.53888526189209351</v>
      </c>
      <c r="I51" s="68">
        <v>-0.96860077747589879</v>
      </c>
      <c r="J51" s="68">
        <v>-0.50665919758534028</v>
      </c>
      <c r="K51" s="68">
        <v>-0.35045336644593689</v>
      </c>
      <c r="L51" s="68">
        <v>0.99999999999999711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7.5751370794866713E-2</v>
      </c>
      <c r="T51" s="52">
        <f t="shared" si="22"/>
        <v>2.3597862742450043E-3</v>
      </c>
      <c r="U51" s="52">
        <f t="shared" si="23"/>
        <v>1.6727918026025607E-3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2.8178328082629388E-2</v>
      </c>
      <c r="C52" s="54">
        <v>3.3280769179004784E-3</v>
      </c>
      <c r="D52" s="55">
        <v>2.5678129472652481E-2</v>
      </c>
      <c r="E52" s="1">
        <v>2.7249033495386338E-2</v>
      </c>
      <c r="F52" s="56">
        <v>3.008806154380007E-2</v>
      </c>
      <c r="G52" s="68">
        <v>-3.4827038619672838E-3</v>
      </c>
      <c r="H52" s="68">
        <v>-0.69702298954782016</v>
      </c>
      <c r="I52" s="68">
        <v>1</v>
      </c>
      <c r="J52" s="68">
        <v>-0.41705266441500893</v>
      </c>
      <c r="K52" s="68">
        <v>-0.26210812301483716</v>
      </c>
      <c r="L52" s="68">
        <v>0.99999999999999634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2.5678129472652481E-2</v>
      </c>
      <c r="T52" s="52">
        <f t="shared" si="22"/>
        <v>2.5001986099769079E-3</v>
      </c>
      <c r="U52" s="52">
        <f t="shared" si="23"/>
        <v>1.9097334611706818E-3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1.9309941681407486E-3</v>
      </c>
      <c r="C53" s="54">
        <v>2.580411533466216E-3</v>
      </c>
      <c r="D53" s="55">
        <v>1.0818686179470748E-4</v>
      </c>
      <c r="E53" s="1">
        <v>1.0323405437894788E-3</v>
      </c>
      <c r="F53" s="56">
        <v>2.7348295428609023E-3</v>
      </c>
      <c r="G53" s="68">
        <v>-6.3532244790086238E-3</v>
      </c>
      <c r="H53" s="68">
        <v>-0.22816289659386774</v>
      </c>
      <c r="I53" s="68">
        <v>-4.3074526043484794E-2</v>
      </c>
      <c r="J53" s="68">
        <v>1</v>
      </c>
      <c r="K53" s="68">
        <v>-0.44842125702077823</v>
      </c>
      <c r="L53" s="68">
        <v>1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1.0818686179470748E-4</v>
      </c>
      <c r="T53" s="52">
        <f t="shared" si="22"/>
        <v>1.8228073063460411E-3</v>
      </c>
      <c r="U53" s="52">
        <f t="shared" si="23"/>
        <v>8.038353747201537E-4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3.0634868515694108E-2</v>
      </c>
      <c r="C54" s="54">
        <v>1.5280855091765204E-16</v>
      </c>
      <c r="D54" s="55">
        <v>3.0634868515694261E-2</v>
      </c>
      <c r="E54" s="1">
        <v>3.0634868515694261E-2</v>
      </c>
      <c r="F54" s="56">
        <v>3.0634868515694261E-2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3.0634868515694261E-2</v>
      </c>
      <c r="T54" s="52">
        <f t="shared" si="22"/>
        <v>-1.5265566588595902E-16</v>
      </c>
      <c r="U54" s="52">
        <f t="shared" si="23"/>
        <v>1.5265566588595902E-16</v>
      </c>
    </row>
    <row r="55" spans="1:36">
      <c r="A55" s="60" t="str">
        <f t="shared" si="19"/>
        <v>Onroerend goed</v>
      </c>
      <c r="B55" s="61">
        <v>4.6750473476693123E-2</v>
      </c>
      <c r="C55" s="62">
        <v>4.0285890696471903E-16</v>
      </c>
      <c r="D55" s="63">
        <v>4.6750473476693526E-2</v>
      </c>
      <c r="E55" s="61">
        <v>4.6750473476693526E-2</v>
      </c>
      <c r="F55" s="64">
        <v>4.6750473476693526E-2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4.6750473476693526E-2</v>
      </c>
      <c r="T55" s="52">
        <f t="shared" si="22"/>
        <v>-4.0245584642661925E-16</v>
      </c>
      <c r="U55" s="52">
        <f t="shared" si="23"/>
        <v>4.0245584642661925E-16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0" t="s">
        <v>64</v>
      </c>
      <c r="E57" s="401"/>
      <c r="F57" s="402"/>
      <c r="G57" s="400" t="s">
        <v>65</v>
      </c>
      <c r="H57" s="401"/>
      <c r="I57" s="401"/>
      <c r="J57" s="401"/>
      <c r="K57" s="401"/>
      <c r="L57" s="401"/>
      <c r="M57" s="401"/>
      <c r="N57" s="401"/>
      <c r="O57" s="402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0.92800090079530784</v>
      </c>
      <c r="H58" s="272">
        <v>3.7100353528424224E-2</v>
      </c>
      <c r="I58" s="272">
        <v>1.5746864274560735E-2</v>
      </c>
      <c r="J58" s="272">
        <v>1.0593840950278155E-2</v>
      </c>
      <c r="K58" s="272">
        <v>8.5580404514257191E-3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0.6478831232765474</v>
      </c>
      <c r="C59" s="54">
        <v>2.5099668042002921E-3</v>
      </c>
      <c r="D59" s="55">
        <v>0.64631441459935079</v>
      </c>
      <c r="E59" s="1">
        <v>0.64836895348759183</v>
      </c>
      <c r="F59" s="56">
        <v>0.64987887021418289</v>
      </c>
      <c r="G59" s="2">
        <v>1.2567963014006605E-2</v>
      </c>
      <c r="H59" s="2">
        <v>-0.56080352335821326</v>
      </c>
      <c r="I59" s="2">
        <v>-0.36581824691348219</v>
      </c>
      <c r="J59" s="2">
        <v>1.0847647004601771E-2</v>
      </c>
      <c r="K59" s="2">
        <v>1</v>
      </c>
      <c r="L59" s="2">
        <v>0.99999999999999734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0.64631441459935079</v>
      </c>
      <c r="T59" s="52">
        <f>B59-D59</f>
        <v>1.5687086771966063E-3</v>
      </c>
      <c r="U59" s="52">
        <f>F59-B59</f>
        <v>1.9957469376354897E-3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9.242315308774772E-2</v>
      </c>
      <c r="C60" s="54">
        <v>1.6440569453704736E-2</v>
      </c>
      <c r="D60" s="55">
        <v>8.0335567505011474E-2</v>
      </c>
      <c r="E60" s="1">
        <v>9.4147800869579856E-2</v>
      </c>
      <c r="F60" s="56">
        <v>0.10538888206374653</v>
      </c>
      <c r="G60" s="2">
        <v>-0.96468143351912594</v>
      </c>
      <c r="H60" s="2">
        <v>1</v>
      </c>
      <c r="I60" s="2">
        <v>0.16958559623305017</v>
      </c>
      <c r="J60" s="2">
        <v>-5.9875750675202941E-2</v>
      </c>
      <c r="K60" s="2">
        <v>9.2271903293916532E-2</v>
      </c>
      <c r="L60" s="2">
        <v>0.99999999999999534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8.0335567505011474E-2</v>
      </c>
      <c r="T60" s="52">
        <f t="shared" ref="T60:T66" si="27">B60-D60</f>
        <v>1.2087585582736246E-2</v>
      </c>
      <c r="U60" s="52">
        <f t="shared" ref="U60:U66" si="28">F60-B60</f>
        <v>1.2965728975998805E-2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7.5696660752943332E-2</v>
      </c>
      <c r="C61" s="54">
        <v>1.7004557282432265E-2</v>
      </c>
      <c r="D61" s="55">
        <v>6.1701440967443233E-2</v>
      </c>
      <c r="E61" s="1">
        <v>7.3181506350572509E-2</v>
      </c>
      <c r="F61" s="56">
        <v>8.8823032341541833E-2</v>
      </c>
      <c r="G61" s="2">
        <v>1</v>
      </c>
      <c r="H61" s="2">
        <v>0.94672838554302385</v>
      </c>
      <c r="I61" s="2">
        <v>0.17556824884633659</v>
      </c>
      <c r="J61" s="2">
        <v>-5.9554636487618565E-2</v>
      </c>
      <c r="K61" s="2">
        <v>5.9627677171362511E-2</v>
      </c>
      <c r="L61" s="2">
        <v>0.99999999999999545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6.1701440967443233E-2</v>
      </c>
      <c r="T61" s="52">
        <f t="shared" si="27"/>
        <v>1.3995219785500099E-2</v>
      </c>
      <c r="U61" s="52">
        <f t="shared" si="28"/>
        <v>1.3126371588598501E-2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7.7935681936871323E-2</v>
      </c>
      <c r="C62" s="54">
        <v>3.2513088905868235E-3</v>
      </c>
      <c r="D62" s="55">
        <v>7.5398831661874388E-2</v>
      </c>
      <c r="E62" s="1">
        <v>7.7257201286417776E-2</v>
      </c>
      <c r="F62" s="56">
        <v>8.0024863806244434E-2</v>
      </c>
      <c r="G62" s="2">
        <v>-2.0858164490843278E-2</v>
      </c>
      <c r="H62" s="2">
        <v>-0.82628771807015178</v>
      </c>
      <c r="I62" s="2">
        <v>1</v>
      </c>
      <c r="J62" s="2">
        <v>-5.052541510239645E-2</v>
      </c>
      <c r="K62" s="2">
        <v>-0.15482857682777074</v>
      </c>
      <c r="L62" s="2">
        <v>0.99999999999999722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7.5398831661874388E-2</v>
      </c>
      <c r="T62" s="52">
        <f t="shared" si="27"/>
        <v>2.5368502749969352E-3</v>
      </c>
      <c r="U62" s="52">
        <f t="shared" si="28"/>
        <v>2.0891818693731107E-3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2.6854289039138349E-2</v>
      </c>
      <c r="C63" s="54">
        <v>2.4973497459075391E-3</v>
      </c>
      <c r="D63" s="55">
        <v>2.5037906854781383E-2</v>
      </c>
      <c r="E63" s="1">
        <v>2.6388886067212687E-2</v>
      </c>
      <c r="F63" s="56">
        <v>2.8306149561215695E-2</v>
      </c>
      <c r="G63" s="2">
        <v>-1.500999438435943E-2</v>
      </c>
      <c r="H63" s="2">
        <v>-0.34778242414607535</v>
      </c>
      <c r="I63" s="2">
        <v>-0.5727871800881944</v>
      </c>
      <c r="J63" s="2">
        <v>-0.8408918447393835</v>
      </c>
      <c r="K63" s="2">
        <v>-0.53641203064445087</v>
      </c>
      <c r="L63" s="2">
        <v>1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2.5037906854781383E-2</v>
      </c>
      <c r="T63" s="52">
        <f t="shared" si="27"/>
        <v>1.8163821843569655E-3</v>
      </c>
      <c r="U63" s="52">
        <f t="shared" si="28"/>
        <v>1.4518605220773459E-3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1.8217499143653078E-3</v>
      </c>
      <c r="C64" s="54">
        <v>2.3649302377683683E-3</v>
      </c>
      <c r="D64" s="55">
        <v>5.8459997616316972E-5</v>
      </c>
      <c r="E64" s="1">
        <v>7.7226489278012125E-4</v>
      </c>
      <c r="F64" s="56">
        <v>2.7577627248008083E-3</v>
      </c>
      <c r="G64" s="2">
        <v>-1.2018370619678514E-2</v>
      </c>
      <c r="H64" s="2">
        <v>-0.21185471996857966</v>
      </c>
      <c r="I64" s="2">
        <v>-0.40654841807770786</v>
      </c>
      <c r="J64" s="2">
        <v>1</v>
      </c>
      <c r="K64" s="2">
        <v>-0.46065897299305442</v>
      </c>
      <c r="L64" s="2">
        <v>0.99999999999999911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5.8459997616316972E-5</v>
      </c>
      <c r="T64" s="52">
        <f t="shared" si="27"/>
        <v>1.7632899167489909E-3</v>
      </c>
      <c r="U64" s="52">
        <f t="shared" si="28"/>
        <v>9.3601281043550057E-4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3.0634868515694108E-2</v>
      </c>
      <c r="C65" s="54">
        <v>1.5280855091765204E-16</v>
      </c>
      <c r="D65" s="55">
        <v>3.0634868515694261E-2</v>
      </c>
      <c r="E65" s="1">
        <v>3.0634868515694261E-2</v>
      </c>
      <c r="F65" s="56">
        <v>3.0634868515694261E-2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3.0634868515694261E-2</v>
      </c>
      <c r="T65" s="52">
        <f t="shared" si="27"/>
        <v>-1.5265566588595902E-16</v>
      </c>
      <c r="U65" s="52">
        <f t="shared" si="28"/>
        <v>1.5265566588595902E-16</v>
      </c>
    </row>
    <row r="66" spans="1:36">
      <c r="A66" s="60" t="str">
        <f t="shared" si="24"/>
        <v>Onroerend goed</v>
      </c>
      <c r="B66" s="61">
        <v>4.6750473476693123E-2</v>
      </c>
      <c r="C66" s="62">
        <v>4.0285890696471903E-16</v>
      </c>
      <c r="D66" s="63">
        <v>4.6750473476693526E-2</v>
      </c>
      <c r="E66" s="61">
        <v>4.6750473476693526E-2</v>
      </c>
      <c r="F66" s="64">
        <v>4.6750473476693526E-2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4.6750473476693526E-2</v>
      </c>
      <c r="T66" s="52">
        <f t="shared" si="27"/>
        <v>-4.0245584642661925E-16</v>
      </c>
      <c r="U66" s="52">
        <f t="shared" si="28"/>
        <v>4.0245584642661925E-16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0.92596815979403002</v>
      </c>
      <c r="H69" s="272">
        <v>3.681021485242908E-2</v>
      </c>
      <c r="I69" s="272">
        <v>1.8063782808745432E-2</v>
      </c>
      <c r="J69" s="272">
        <v>1.2662079181244956E-2</v>
      </c>
      <c r="K69" s="272">
        <v>6.4957633635569501E-3</v>
      </c>
      <c r="L69" s="272">
        <v>2.2204460492503131E-16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0.6478777269195104</v>
      </c>
      <c r="C70" s="54">
        <v>2.3659504860310456E-3</v>
      </c>
      <c r="D70" s="55">
        <v>0.64637591376494519</v>
      </c>
      <c r="E70" s="1">
        <v>0.64852017612355684</v>
      </c>
      <c r="F70" s="56">
        <v>0.64977153885052374</v>
      </c>
      <c r="G70" s="68">
        <v>1.5161605439799022E-2</v>
      </c>
      <c r="H70" s="68">
        <v>-0.53482351464132283</v>
      </c>
      <c r="I70" s="68">
        <v>-0.10008682585829949</v>
      </c>
      <c r="J70" s="68">
        <v>0.16901718309940894</v>
      </c>
      <c r="K70" s="68">
        <v>1</v>
      </c>
      <c r="L70" s="68">
        <v>0.99999999999999822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0.64637591376494519</v>
      </c>
      <c r="T70" s="52">
        <f>B70-D70</f>
        <v>1.5018131545652125E-3</v>
      </c>
      <c r="U70" s="52">
        <f>F70-B70</f>
        <v>1.893811931013345E-3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8.5724881233906772E-2</v>
      </c>
      <c r="C71" s="54">
        <v>1.7688869025632849E-2</v>
      </c>
      <c r="D71" s="55">
        <v>7.2289410199789808E-2</v>
      </c>
      <c r="E71" s="1">
        <v>8.5977929610211612E-2</v>
      </c>
      <c r="F71" s="56">
        <v>9.7784226243840061E-2</v>
      </c>
      <c r="G71" s="68">
        <v>-0.99839682863996893</v>
      </c>
      <c r="H71" s="68">
        <v>1</v>
      </c>
      <c r="I71" s="68">
        <v>5.6919074860263999E-2</v>
      </c>
      <c r="J71" s="68">
        <v>-0.12216439423403444</v>
      </c>
      <c r="K71" s="68">
        <v>4.1200203527481577E-2</v>
      </c>
      <c r="L71" s="68">
        <v>0.99999999999999623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7.2289410199789808E-2</v>
      </c>
      <c r="T71" s="52">
        <f t="shared" ref="T71:T77" si="32">B71-D71</f>
        <v>1.3435471034116964E-2</v>
      </c>
      <c r="U71" s="52">
        <f t="shared" ref="U71:U77" si="33">F71-B71</f>
        <v>1.2059345009933289E-2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8.0791570534313115E-2</v>
      </c>
      <c r="C72" s="54">
        <v>1.7715953027540587E-2</v>
      </c>
      <c r="D72" s="55">
        <v>6.6345900790377138E-2</v>
      </c>
      <c r="E72" s="1">
        <v>8.0059276705886862E-2</v>
      </c>
      <c r="F72" s="56">
        <v>9.4245304662862989E-2</v>
      </c>
      <c r="G72" s="68">
        <v>1</v>
      </c>
      <c r="H72" s="68">
        <v>0.9988946626751074</v>
      </c>
      <c r="I72" s="68">
        <v>5.4843054517421205E-2</v>
      </c>
      <c r="J72" s="68">
        <v>-0.12314092686502913</v>
      </c>
      <c r="K72" s="68">
        <v>1.9782542954071468E-2</v>
      </c>
      <c r="L72" s="68">
        <v>0.999999999999996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6.6345900790377138E-2</v>
      </c>
      <c r="T72" s="52">
        <f t="shared" si="32"/>
        <v>1.4445669743935977E-2</v>
      </c>
      <c r="U72" s="52">
        <f t="shared" si="33"/>
        <v>1.3453734128549874E-2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7.8111157069111717E-2</v>
      </c>
      <c r="C73" s="54">
        <v>3.1329942243431635E-3</v>
      </c>
      <c r="D73" s="55">
        <v>7.5751370794866713E-2</v>
      </c>
      <c r="E73" s="1">
        <v>7.7421516757577608E-2</v>
      </c>
      <c r="F73" s="56">
        <v>7.9783948871714278E-2</v>
      </c>
      <c r="G73" s="68">
        <v>-6.9288484588541505E-3</v>
      </c>
      <c r="H73" s="68">
        <v>-0.53888526189209351</v>
      </c>
      <c r="I73" s="68">
        <v>-0.96860077747589879</v>
      </c>
      <c r="J73" s="68">
        <v>-0.50665919758534028</v>
      </c>
      <c r="K73" s="68">
        <v>-0.35045336644593689</v>
      </c>
      <c r="L73" s="68">
        <v>0.99999999999999711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7.5751370794866713E-2</v>
      </c>
      <c r="T73" s="52">
        <f t="shared" si="32"/>
        <v>2.3597862742450043E-3</v>
      </c>
      <c r="U73" s="52">
        <f t="shared" si="33"/>
        <v>1.6727918026025607E-3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2.8178328082629388E-2</v>
      </c>
      <c r="C74" s="54">
        <v>3.3280769179004784E-3</v>
      </c>
      <c r="D74" s="55">
        <v>2.5678129472652481E-2</v>
      </c>
      <c r="E74" s="1">
        <v>2.7249033495386338E-2</v>
      </c>
      <c r="F74" s="56">
        <v>3.008806154380007E-2</v>
      </c>
      <c r="G74" s="68">
        <v>-3.4827038619672838E-3</v>
      </c>
      <c r="H74" s="68">
        <v>-0.69702298954782016</v>
      </c>
      <c r="I74" s="68">
        <v>1</v>
      </c>
      <c r="J74" s="68">
        <v>-0.41705266441500893</v>
      </c>
      <c r="K74" s="68">
        <v>-0.26210812301483716</v>
      </c>
      <c r="L74" s="68">
        <v>0.99999999999999634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2.5678129472652481E-2</v>
      </c>
      <c r="T74" s="52">
        <f t="shared" si="32"/>
        <v>2.5001986099769079E-3</v>
      </c>
      <c r="U74" s="52">
        <f t="shared" si="33"/>
        <v>1.9097334611706818E-3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1.9309941681407486E-3</v>
      </c>
      <c r="C75" s="54">
        <v>2.580411533466216E-3</v>
      </c>
      <c r="D75" s="55">
        <v>1.0818686179470748E-4</v>
      </c>
      <c r="E75" s="1">
        <v>1.0323405437894788E-3</v>
      </c>
      <c r="F75" s="56">
        <v>2.7348295428609023E-3</v>
      </c>
      <c r="G75" s="68">
        <v>-6.3532244790086238E-3</v>
      </c>
      <c r="H75" s="68">
        <v>-0.22816289659386774</v>
      </c>
      <c r="I75" s="68">
        <v>-4.3074526043484794E-2</v>
      </c>
      <c r="J75" s="68">
        <v>1</v>
      </c>
      <c r="K75" s="68">
        <v>-0.44842125702077823</v>
      </c>
      <c r="L75" s="68">
        <v>1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1.0818686179470748E-4</v>
      </c>
      <c r="T75" s="52">
        <f t="shared" si="32"/>
        <v>1.8228073063460411E-3</v>
      </c>
      <c r="U75" s="52">
        <f t="shared" si="33"/>
        <v>8.038353747201537E-4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3.0634868515694108E-2</v>
      </c>
      <c r="C76" s="54">
        <v>1.5280855091765204E-16</v>
      </c>
      <c r="D76" s="55">
        <v>3.0634868515694261E-2</v>
      </c>
      <c r="E76" s="1">
        <v>3.0634868515694261E-2</v>
      </c>
      <c r="F76" s="56">
        <v>3.0634868515694261E-2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3.0634868515694261E-2</v>
      </c>
      <c r="T76" s="52">
        <f t="shared" si="32"/>
        <v>-1.5265566588595902E-16</v>
      </c>
      <c r="U76" s="52">
        <f t="shared" si="33"/>
        <v>1.5265566588595902E-16</v>
      </c>
    </row>
    <row r="77" spans="1:36">
      <c r="A77" s="60" t="str">
        <f t="shared" si="29"/>
        <v>Onroerend goed</v>
      </c>
      <c r="B77" s="61">
        <v>4.6750473476693123E-2</v>
      </c>
      <c r="C77" s="62">
        <v>4.0285890696471903E-16</v>
      </c>
      <c r="D77" s="63">
        <v>4.6750473476693526E-2</v>
      </c>
      <c r="E77" s="61">
        <v>4.6750473476693526E-2</v>
      </c>
      <c r="F77" s="64">
        <v>4.6750473476693526E-2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4.6750473476693526E-2</v>
      </c>
      <c r="T77" s="52">
        <f t="shared" si="32"/>
        <v>-4.0245584642661925E-16</v>
      </c>
      <c r="U77" s="52">
        <f t="shared" si="33"/>
        <v>4.0245584642661925E-16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0" t="s">
        <v>64</v>
      </c>
      <c r="E79" s="401"/>
      <c r="F79" s="402"/>
      <c r="G79" s="400" t="s">
        <v>65</v>
      </c>
      <c r="H79" s="401"/>
      <c r="I79" s="401"/>
      <c r="J79" s="401"/>
      <c r="K79" s="401"/>
      <c r="L79" s="401"/>
      <c r="M79" s="401"/>
      <c r="N79" s="401"/>
      <c r="O79" s="402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0.51903702584380829</v>
      </c>
      <c r="H80" s="272">
        <v>0.36004182473560575</v>
      </c>
      <c r="I80" s="272">
        <v>0.10550875353654976</v>
      </c>
      <c r="J80" s="272">
        <v>9.49949362292557E-3</v>
      </c>
      <c r="K80" s="272">
        <v>5.9129022611125182E-3</v>
      </c>
      <c r="L80" s="272">
        <v>2.2204460492503131E-16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0.57295330326829641</v>
      </c>
      <c r="C81" s="54">
        <v>1.1873846150265559E-2</v>
      </c>
      <c r="D81" s="55">
        <v>0.56348397676066164</v>
      </c>
      <c r="E81" s="1">
        <v>0.57260874626957903</v>
      </c>
      <c r="F81" s="56">
        <v>0.58113225196731699</v>
      </c>
      <c r="G81" s="2">
        <v>0.33409025527472247</v>
      </c>
      <c r="H81" s="2">
        <v>-0.480437752166886</v>
      </c>
      <c r="I81" s="2">
        <v>-0.43628966099124211</v>
      </c>
      <c r="J81" s="2">
        <v>1</v>
      </c>
      <c r="K81" s="2">
        <v>2.7400218225960629E-2</v>
      </c>
      <c r="L81" s="2">
        <v>0.99999999999999312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0.56348397676066164</v>
      </c>
      <c r="T81" s="52">
        <f>B81-D81</f>
        <v>9.4693265076347677E-3</v>
      </c>
      <c r="U81" s="52">
        <f>F81-B81</f>
        <v>8.1789486990205829E-3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9.4917642190175677E-2</v>
      </c>
      <c r="C82" s="54">
        <v>2.4070843317976775E-2</v>
      </c>
      <c r="D82" s="55">
        <v>7.5356379669681145E-2</v>
      </c>
      <c r="E82" s="1">
        <v>9.4417727174599952E-2</v>
      </c>
      <c r="F82" s="56">
        <v>0.11348416119212984</v>
      </c>
      <c r="G82" s="2">
        <v>-0.88929738684041293</v>
      </c>
      <c r="H82" s="2">
        <v>1</v>
      </c>
      <c r="I82" s="2">
        <v>-0.21743357855211709</v>
      </c>
      <c r="J82" s="2">
        <v>0.17075222084573735</v>
      </c>
      <c r="K82" s="2">
        <v>-0.18460122763835171</v>
      </c>
      <c r="L82" s="2">
        <v>0.99999999999999678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7.5356379669681145E-2</v>
      </c>
      <c r="T82" s="52">
        <f t="shared" ref="T82:T88" si="37">B82-D82</f>
        <v>1.9561262520494532E-2</v>
      </c>
      <c r="U82" s="52">
        <f t="shared" ref="U82:U88" si="38">F82-B82</f>
        <v>1.8566519001954163E-2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6.6072845927494572E-2</v>
      </c>
      <c r="C83" s="54">
        <v>1.2536568996195539E-2</v>
      </c>
      <c r="D83" s="55">
        <v>5.6111643889929175E-2</v>
      </c>
      <c r="E83" s="1">
        <v>6.3261698854317205E-2</v>
      </c>
      <c r="F83" s="56">
        <v>7.3122716988391623E-2</v>
      </c>
      <c r="G83" s="2">
        <v>0.17718034878476696</v>
      </c>
      <c r="H83" s="2">
        <v>7.8289745810171049E-2</v>
      </c>
      <c r="I83" s="2">
        <v>1</v>
      </c>
      <c r="J83" s="2">
        <v>0.29617452647074805</v>
      </c>
      <c r="K83" s="2">
        <v>-4.615702972243977E-2</v>
      </c>
      <c r="L83" s="2">
        <v>0.999999999999995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5.6111643889929175E-2</v>
      </c>
      <c r="T83" s="52">
        <f t="shared" si="37"/>
        <v>9.9612020375653976E-3</v>
      </c>
      <c r="U83" s="52">
        <f t="shared" si="38"/>
        <v>7.0498710608970505E-3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7.9070821653539791E-2</v>
      </c>
      <c r="C84" s="54">
        <v>3.3246835846125183E-3</v>
      </c>
      <c r="D84" s="55">
        <v>7.6502985456029349E-2</v>
      </c>
      <c r="E84" s="1">
        <v>7.8003830916875683E-2</v>
      </c>
      <c r="F84" s="56">
        <v>8.1035449795791928E-2</v>
      </c>
      <c r="G84" s="2">
        <v>4.0062683171546737E-2</v>
      </c>
      <c r="H84" s="2">
        <v>1.533836404143637E-2</v>
      </c>
      <c r="I84" s="2">
        <v>-9.2297609887581789E-2</v>
      </c>
      <c r="J84" s="2">
        <v>-0.40657482369522069</v>
      </c>
      <c r="K84" s="2">
        <v>1</v>
      </c>
      <c r="L84" s="2">
        <v>0.999999999999998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7.6502985456029349E-2</v>
      </c>
      <c r="T84" s="52">
        <f t="shared" si="37"/>
        <v>2.5678361975104425E-3</v>
      </c>
      <c r="U84" s="52">
        <f t="shared" si="38"/>
        <v>1.9646281422521367E-3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6.1105073205391568E-2</v>
      </c>
      <c r="C85" s="54">
        <v>2.0869105119903794E-2</v>
      </c>
      <c r="D85" s="55">
        <v>4.4935649156803294E-2</v>
      </c>
      <c r="E85" s="1">
        <v>5.9409692381194514E-2</v>
      </c>
      <c r="F85" s="56">
        <v>7.5976582048792207E-2</v>
      </c>
      <c r="G85" s="2">
        <v>-0.66203590039062399</v>
      </c>
      <c r="H85" s="2">
        <v>-0.99186269978576302</v>
      </c>
      <c r="I85" s="2">
        <v>-1.9791090358220853E-2</v>
      </c>
      <c r="J85" s="2">
        <v>-0.506561467408706</v>
      </c>
      <c r="K85" s="2">
        <v>-0.35585143553860354</v>
      </c>
      <c r="L85" s="2">
        <v>0.99999999999999989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4.4935649156803294E-2</v>
      </c>
      <c r="T85" s="52">
        <f t="shared" si="37"/>
        <v>1.6169424048588274E-2</v>
      </c>
      <c r="U85" s="52">
        <f t="shared" si="38"/>
        <v>1.487150884340064E-2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4.8494971762714868E-2</v>
      </c>
      <c r="C86" s="54">
        <v>2.0861260335665564E-2</v>
      </c>
      <c r="D86" s="55">
        <v>3.4205996756093836E-2</v>
      </c>
      <c r="E86" s="1">
        <v>5.0960762369756107E-2</v>
      </c>
      <c r="F86" s="56">
        <v>6.2886450797789331E-2</v>
      </c>
      <c r="G86" s="2">
        <v>1</v>
      </c>
      <c r="H86" s="2">
        <v>0.37867234210104117</v>
      </c>
      <c r="I86" s="2">
        <v>-0.23418806021083713</v>
      </c>
      <c r="J86" s="2">
        <v>-0.55379045621255141</v>
      </c>
      <c r="K86" s="2">
        <v>-0.4407905253265641</v>
      </c>
      <c r="L86" s="2">
        <v>1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3.4205996756093836E-2</v>
      </c>
      <c r="T86" s="52">
        <f t="shared" si="37"/>
        <v>1.4288975006621032E-2</v>
      </c>
      <c r="U86" s="52">
        <f t="shared" si="38"/>
        <v>1.4391479035074463E-2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3.0634868515694108E-2</v>
      </c>
      <c r="C87" s="54">
        <v>1.5280855091765204E-16</v>
      </c>
      <c r="D87" s="55">
        <v>3.0634868515694261E-2</v>
      </c>
      <c r="E87" s="1">
        <v>3.0634868515694261E-2</v>
      </c>
      <c r="F87" s="56">
        <v>3.0634868515694261E-2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3.0634868515694261E-2</v>
      </c>
      <c r="T87" s="52">
        <f t="shared" si="37"/>
        <v>-1.5265566588595902E-16</v>
      </c>
      <c r="U87" s="52">
        <f t="shared" si="38"/>
        <v>1.5265566588595902E-16</v>
      </c>
    </row>
    <row r="88" spans="1:36">
      <c r="A88" s="60" t="str">
        <f t="shared" si="34"/>
        <v>Onroerend goed</v>
      </c>
      <c r="B88" s="286">
        <v>4.6750473476693123E-2</v>
      </c>
      <c r="C88" s="62">
        <v>4.0285890696471903E-16</v>
      </c>
      <c r="D88" s="63">
        <v>4.6750473476693526E-2</v>
      </c>
      <c r="E88" s="61">
        <v>4.6750473476693526E-2</v>
      </c>
      <c r="F88" s="64">
        <v>4.6750473476693526E-2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4.6750473476693526E-2</v>
      </c>
      <c r="T88" s="52">
        <f t="shared" si="37"/>
        <v>-4.0245584642661925E-16</v>
      </c>
      <c r="U88" s="52">
        <f t="shared" si="38"/>
        <v>4.0245584642661925E-16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2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0.54784015850520906</v>
      </c>
      <c r="H3" s="272">
        <v>0.21334244252751344</v>
      </c>
      <c r="I3" s="272">
        <v>0.13504363335138492</v>
      </c>
      <c r="J3" s="272">
        <v>0.10377243022099292</v>
      </c>
      <c r="K3" s="272">
        <v>1.3353949016581268E-6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0.20063415390020561</v>
      </c>
      <c r="C4" s="118">
        <v>4.5368611568074785E-2</v>
      </c>
      <c r="D4" s="119">
        <v>0.15490525972230137</v>
      </c>
      <c r="E4" s="117">
        <v>0.19665349920861297</v>
      </c>
      <c r="F4" s="120">
        <v>0.24904002909945055</v>
      </c>
      <c r="G4" s="2">
        <v>-0.91041280941290226</v>
      </c>
      <c r="H4" s="2">
        <v>2.0404954812598349E-2</v>
      </c>
      <c r="I4" s="2">
        <v>-0.56066456579975421</v>
      </c>
      <c r="J4" s="2">
        <v>-0.69124641694486966</v>
      </c>
      <c r="K4" s="2">
        <v>-0.25743336733731065</v>
      </c>
      <c r="L4" s="2">
        <v>0.94383849779959761</v>
      </c>
      <c r="M4" s="2">
        <v>-6.5208013561075487E-2</v>
      </c>
      <c r="N4" s="57"/>
      <c r="O4" s="72"/>
      <c r="Q4" s="72" t="str">
        <f>A4</f>
        <v>High Yield</v>
      </c>
      <c r="R4" s="72">
        <f>D4</f>
        <v>0.15490525972230137</v>
      </c>
      <c r="S4" s="52">
        <f>B4-D4</f>
        <v>4.5728894177904239E-2</v>
      </c>
      <c r="T4" s="52">
        <f>F4-B4</f>
        <v>4.8405875199244941E-2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0.20549586447176177</v>
      </c>
      <c r="C5" s="118">
        <v>4.8342248270554923E-2</v>
      </c>
      <c r="D5" s="119">
        <v>0.15471566279856996</v>
      </c>
      <c r="E5" s="117">
        <v>0.20071545299242843</v>
      </c>
      <c r="F5" s="120">
        <v>0.25710815899255779</v>
      </c>
      <c r="G5" s="2">
        <v>1</v>
      </c>
      <c r="H5" s="2">
        <v>-5.7607441222810432E-2</v>
      </c>
      <c r="I5" s="2">
        <v>-0.3803333242808436</v>
      </c>
      <c r="J5" s="2">
        <v>-0.6498464004587543</v>
      </c>
      <c r="K5" s="2">
        <v>-0.26451384793086657</v>
      </c>
      <c r="L5" s="2">
        <v>0.9438384977996046</v>
      </c>
      <c r="M5" s="2">
        <v>-6.5208013561077707E-2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0.15471566279856996</v>
      </c>
      <c r="S5" s="52">
        <f t="shared" ref="S5:S10" si="2">B5-D5</f>
        <v>5.0780201673191805E-2</v>
      </c>
      <c r="T5" s="52">
        <f t="shared" ref="T5:T10" si="3">F5-B5</f>
        <v>5.161229452079602E-2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0.26036749236179041</v>
      </c>
      <c r="C6" s="118">
        <v>3.289593537904132E-2</v>
      </c>
      <c r="D6" s="119">
        <v>0.22491802830484767</v>
      </c>
      <c r="E6" s="117">
        <v>0.26202452351170313</v>
      </c>
      <c r="F6" s="120">
        <v>0.29578175604791745</v>
      </c>
      <c r="G6" s="2">
        <v>-3.6022487324393619E-3</v>
      </c>
      <c r="H6" s="2">
        <v>1</v>
      </c>
      <c r="I6" s="2">
        <v>0.62822560769187352</v>
      </c>
      <c r="J6" s="2">
        <v>0.18980450410598346</v>
      </c>
      <c r="K6" s="2">
        <v>-0.38715306493617374</v>
      </c>
      <c r="L6" s="2">
        <v>0.94383849779972562</v>
      </c>
      <c r="M6" s="2">
        <v>-6.5208013561116246E-2</v>
      </c>
      <c r="N6" s="57"/>
      <c r="O6" s="72"/>
      <c r="Q6" s="72" t="str">
        <f t="shared" si="0"/>
        <v>Aandelen ontwikkeld</v>
      </c>
      <c r="R6" s="72">
        <f t="shared" si="1"/>
        <v>0.22491802830484767</v>
      </c>
      <c r="S6" s="52">
        <f t="shared" si="2"/>
        <v>3.5449464056942742E-2</v>
      </c>
      <c r="T6" s="52">
        <f t="shared" si="3"/>
        <v>3.5414263686127045E-2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0.12358704007818534</v>
      </c>
      <c r="C7" s="118">
        <v>3.1261263053245184E-2</v>
      </c>
      <c r="D7" s="119">
        <v>9.0711757606838916E-2</v>
      </c>
      <c r="E7" s="117">
        <v>0.12176480595547506</v>
      </c>
      <c r="F7" s="120">
        <v>0.15682303063970815</v>
      </c>
      <c r="G7" s="2">
        <v>-0.10741001970515306</v>
      </c>
      <c r="H7" s="2">
        <v>-0.78667371011764708</v>
      </c>
      <c r="I7" s="2">
        <v>1</v>
      </c>
      <c r="J7" s="2">
        <v>3.6383920524609523E-2</v>
      </c>
      <c r="K7" s="2">
        <v>-0.38459345029878844</v>
      </c>
      <c r="L7" s="2">
        <v>0.94383849779972351</v>
      </c>
      <c r="M7" s="2">
        <v>-6.5208013561115427E-2</v>
      </c>
      <c r="N7" s="57"/>
      <c r="O7" s="72"/>
      <c r="Q7" s="72" t="str">
        <f t="shared" si="0"/>
        <v>Aandelen opkomend</v>
      </c>
      <c r="R7" s="72">
        <f t="shared" si="1"/>
        <v>9.0711757606838916E-2</v>
      </c>
      <c r="S7" s="52">
        <f t="shared" si="2"/>
        <v>3.2875282471346426E-2</v>
      </c>
      <c r="T7" s="52">
        <f t="shared" si="3"/>
        <v>3.3235990561522807E-2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3.2872132645294407E-2</v>
      </c>
      <c r="C8" s="118">
        <v>2.5636326893904028E-2</v>
      </c>
      <c r="D8" s="119">
        <v>3.5755387530790987E-3</v>
      </c>
      <c r="E8" s="117">
        <v>2.9917766335427781E-2</v>
      </c>
      <c r="F8" s="120">
        <v>6.3189984510973324E-2</v>
      </c>
      <c r="G8" s="2">
        <v>2.5354046027665934E-2</v>
      </c>
      <c r="H8" s="2">
        <v>-0.1850483374323178</v>
      </c>
      <c r="I8" s="2">
        <v>-0.79691463741952928</v>
      </c>
      <c r="J8" s="2">
        <v>1</v>
      </c>
      <c r="K8" s="2">
        <v>-0.3615909380221119</v>
      </c>
      <c r="L8" s="2">
        <v>0.9438384977997013</v>
      </c>
      <c r="M8" s="2">
        <v>-6.5208013561108238E-2</v>
      </c>
      <c r="N8" s="57"/>
      <c r="O8" s="72"/>
      <c r="Q8" s="72" t="str">
        <f t="shared" si="0"/>
        <v>Commodities</v>
      </c>
      <c r="R8" s="72">
        <f t="shared" si="1"/>
        <v>3.5755387530790987E-3</v>
      </c>
      <c r="S8" s="52">
        <f t="shared" si="2"/>
        <v>2.9296593892215308E-2</v>
      </c>
      <c r="T8" s="52">
        <f t="shared" si="3"/>
        <v>3.0317851865678917E-2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7.0086899976528769E-2</v>
      </c>
      <c r="C9" s="118">
        <v>1.2372803180415485E-3</v>
      </c>
      <c r="D9" s="119">
        <v>6.878850149080673E-2</v>
      </c>
      <c r="E9" s="117">
        <v>6.9956275331945844E-2</v>
      </c>
      <c r="F9" s="120">
        <v>7.1329520220654474E-2</v>
      </c>
      <c r="G9" s="2">
        <v>-1.5553775483970781E-3</v>
      </c>
      <c r="H9" s="2">
        <v>3.532993683232245E-3</v>
      </c>
      <c r="I9" s="2">
        <v>4.342223319951085E-2</v>
      </c>
      <c r="J9" s="2">
        <v>4.548769668581059E-2</v>
      </c>
      <c r="K9" s="2">
        <v>0.65528466852737277</v>
      </c>
      <c r="L9" s="2">
        <v>1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6.878850149080673E-2</v>
      </c>
      <c r="S9" s="52">
        <f t="shared" si="2"/>
        <v>1.2983984857220382E-3</v>
      </c>
      <c r="T9" s="52">
        <f t="shared" si="3"/>
        <v>1.2426202441257056E-3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0.10695641656623328</v>
      </c>
      <c r="C10" s="122">
        <v>1.8881569758395756E-3</v>
      </c>
      <c r="D10" s="123">
        <v>0.10497498994650321</v>
      </c>
      <c r="E10" s="121">
        <v>0.10675707626291689</v>
      </c>
      <c r="F10" s="124">
        <v>0.1088527225593483</v>
      </c>
      <c r="G10" s="65">
        <v>-2.373590628774209E-3</v>
      </c>
      <c r="H10" s="65">
        <v>5.3915402769448544E-3</v>
      </c>
      <c r="I10" s="65">
        <v>6.6264686608743142E-2</v>
      </c>
      <c r="J10" s="65">
        <v>6.941669608721919E-2</v>
      </c>
      <c r="K10" s="65">
        <v>1</v>
      </c>
      <c r="L10" s="65">
        <v>0.90703672644434308</v>
      </c>
      <c r="M10" s="65">
        <v>-0.76322249364005113</v>
      </c>
      <c r="N10" s="66"/>
      <c r="O10" s="72"/>
      <c r="Q10" s="72" t="str">
        <f t="shared" si="0"/>
        <v>Onroerend goed</v>
      </c>
      <c r="R10" s="72">
        <f t="shared" si="1"/>
        <v>0.10497498994650321</v>
      </c>
      <c r="S10" s="52">
        <f t="shared" si="2"/>
        <v>1.9814266197300673E-3</v>
      </c>
      <c r="T10" s="52">
        <f t="shared" si="3"/>
        <v>1.8963059931150217E-3</v>
      </c>
      <c r="U10" s="52"/>
      <c r="V10" s="52"/>
      <c r="W10" s="52"/>
    </row>
    <row r="12" spans="1:23">
      <c r="A12" s="48" t="s">
        <v>68</v>
      </c>
      <c r="D12" s="400" t="s">
        <v>64</v>
      </c>
      <c r="E12" s="401"/>
      <c r="F12" s="402"/>
      <c r="G12" s="400" t="s">
        <v>65</v>
      </c>
      <c r="H12" s="401"/>
      <c r="I12" s="401"/>
      <c r="J12" s="401"/>
      <c r="K12" s="401"/>
      <c r="L12" s="401"/>
      <c r="M12" s="401"/>
      <c r="N12" s="402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0.55400685148860063</v>
      </c>
      <c r="H13" s="272">
        <v>0.34540379950736255</v>
      </c>
      <c r="I13" s="272">
        <v>9.3495398145696962E-2</v>
      </c>
      <c r="J13" s="272">
        <v>6.7553601181919998E-3</v>
      </c>
      <c r="K13" s="272">
        <v>3.3859074014563895E-4</v>
      </c>
      <c r="L13" s="272">
        <v>0</v>
      </c>
      <c r="M13" s="272">
        <v>2.2204460492503131E-16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0.22118259995368239</v>
      </c>
      <c r="C14" s="118">
        <v>5.1539644919869974E-2</v>
      </c>
      <c r="D14" s="119">
        <v>0.16500308681547868</v>
      </c>
      <c r="E14" s="117">
        <v>0.22153950063934275</v>
      </c>
      <c r="F14" s="120">
        <v>0.27953032440483411</v>
      </c>
      <c r="G14" s="2">
        <v>-0.57573507855090222</v>
      </c>
      <c r="H14" s="2">
        <v>1</v>
      </c>
      <c r="I14" s="2">
        <v>-4.2995052287256384E-2</v>
      </c>
      <c r="J14" s="2">
        <v>-0.17726040007725322</v>
      </c>
      <c r="K14" s="2">
        <v>-0.26326198432022524</v>
      </c>
      <c r="L14" s="2">
        <v>-4.0937117800630377E-2</v>
      </c>
      <c r="M14" s="2">
        <v>0.96886872903959254</v>
      </c>
      <c r="N14" s="57"/>
      <c r="Q14" s="51" t="str">
        <f t="shared" ref="Q14:Q20" si="4">A14</f>
        <v>High Yield</v>
      </c>
      <c r="R14" s="72">
        <f>D14</f>
        <v>0.16500308681547868</v>
      </c>
      <c r="S14" s="52">
        <f>B14-D14</f>
        <v>5.6179513138203713E-2</v>
      </c>
      <c r="T14" s="52">
        <f>F14-B14</f>
        <v>5.8347724451151717E-2</v>
      </c>
      <c r="U14" s="52"/>
    </row>
    <row r="15" spans="1:23">
      <c r="A15" s="59" t="str">
        <f t="shared" ref="A15:A20" si="5">A5</f>
        <v>Emerging market debt</v>
      </c>
      <c r="B15" s="117">
        <v>0.15458143522199275</v>
      </c>
      <c r="C15" s="118">
        <v>2.8011019575495382E-2</v>
      </c>
      <c r="D15" s="119">
        <v>0.12732093598393002</v>
      </c>
      <c r="E15" s="117">
        <v>0.14841928474259158</v>
      </c>
      <c r="F15" s="120">
        <v>0.18276490283582369</v>
      </c>
      <c r="G15" s="2">
        <v>0.22617975615863645</v>
      </c>
      <c r="H15" s="2">
        <v>-0.13154755366065371</v>
      </c>
      <c r="I15" s="2">
        <v>1</v>
      </c>
      <c r="J15" s="2">
        <v>-3.7772749393174258E-2</v>
      </c>
      <c r="K15" s="2">
        <v>-0.24990488875764974</v>
      </c>
      <c r="L15" s="2">
        <v>-4.0937117800630432E-2</v>
      </c>
      <c r="M15" s="2">
        <v>0.96886872903959398</v>
      </c>
      <c r="N15" s="57"/>
      <c r="Q15" s="51" t="str">
        <f t="shared" si="4"/>
        <v>Emerging market debt</v>
      </c>
      <c r="R15" s="72">
        <f t="shared" ref="R15:R20" si="6">D15</f>
        <v>0.12732093598393002</v>
      </c>
      <c r="S15" s="52">
        <f t="shared" ref="S15:S20" si="7">B15-D15</f>
        <v>2.726049923806273E-2</v>
      </c>
      <c r="T15" s="52">
        <f t="shared" ref="T15:T20" si="8">F15-B15</f>
        <v>2.8183467613830948E-2</v>
      </c>
      <c r="U15" s="52"/>
    </row>
    <row r="16" spans="1:23">
      <c r="A16" s="59" t="str">
        <f t="shared" si="5"/>
        <v>Aandelen ontwikkeld</v>
      </c>
      <c r="B16" s="117">
        <v>0.18533154425043025</v>
      </c>
      <c r="C16" s="118">
        <v>9.9774958068827146E-3</v>
      </c>
      <c r="D16" s="119">
        <v>0.17563725499335017</v>
      </c>
      <c r="E16" s="117">
        <v>0.18356557801400614</v>
      </c>
      <c r="F16" s="120">
        <v>0.19614318534493871</v>
      </c>
      <c r="G16" s="2">
        <v>7.5401270416543806E-2</v>
      </c>
      <c r="H16" s="2">
        <v>-7.589928555540798E-2</v>
      </c>
      <c r="I16" s="2">
        <v>-0.22609801680855632</v>
      </c>
      <c r="J16" s="2">
        <v>1</v>
      </c>
      <c r="K16" s="2">
        <v>-0.36932815250563361</v>
      </c>
      <c r="L16" s="2">
        <v>-4.0937117800630245E-2</v>
      </c>
      <c r="M16" s="2">
        <v>0.96886872903959154</v>
      </c>
      <c r="N16" s="57"/>
      <c r="Q16" s="51" t="str">
        <f t="shared" si="4"/>
        <v>Aandelen ontwikkeld</v>
      </c>
      <c r="R16" s="72">
        <f t="shared" si="6"/>
        <v>0.17563725499335017</v>
      </c>
      <c r="S16" s="52">
        <f t="shared" si="7"/>
        <v>9.6942892570800743E-3</v>
      </c>
      <c r="T16" s="52">
        <f t="shared" si="8"/>
        <v>1.0811641094508467E-2</v>
      </c>
      <c r="U16" s="52"/>
    </row>
    <row r="17" spans="1:24">
      <c r="A17" s="59" t="str">
        <f t="shared" si="5"/>
        <v>Aandelen opkomend</v>
      </c>
      <c r="B17" s="117">
        <v>0.1434142909313661</v>
      </c>
      <c r="C17" s="118">
        <v>4.9839548259361183E-2</v>
      </c>
      <c r="D17" s="119">
        <v>9.1105290744067272E-2</v>
      </c>
      <c r="E17" s="117">
        <v>0.13908025967002816</v>
      </c>
      <c r="F17" s="120">
        <v>0.19389375852390128</v>
      </c>
      <c r="G17" s="2">
        <v>-0.76202606168373832</v>
      </c>
      <c r="H17" s="2">
        <v>-0.75169765207767569</v>
      </c>
      <c r="I17" s="2">
        <v>-0.2250553350216874</v>
      </c>
      <c r="J17" s="2">
        <v>-0.35390615094925287</v>
      </c>
      <c r="K17" s="2">
        <v>-0.38271221088962576</v>
      </c>
      <c r="L17" s="2">
        <v>-4.0937117800630175E-2</v>
      </c>
      <c r="M17" s="2">
        <v>0.96886872903959143</v>
      </c>
      <c r="N17" s="57"/>
      <c r="Q17" s="51" t="str">
        <f t="shared" si="4"/>
        <v>Aandelen opkomend</v>
      </c>
      <c r="R17" s="72">
        <f t="shared" si="6"/>
        <v>9.1105290744067272E-2</v>
      </c>
      <c r="S17" s="52">
        <f t="shared" si="7"/>
        <v>5.2309000187298824E-2</v>
      </c>
      <c r="T17" s="52">
        <f t="shared" si="8"/>
        <v>5.0479467592535188E-2</v>
      </c>
      <c r="U17" s="52"/>
    </row>
    <row r="18" spans="1:24">
      <c r="A18" s="59" t="str">
        <f t="shared" si="5"/>
        <v>Commodities</v>
      </c>
      <c r="B18" s="117">
        <v>0.11413865961403981</v>
      </c>
      <c r="C18" s="118">
        <v>5.0212226646176715E-2</v>
      </c>
      <c r="D18" s="119">
        <v>6.0945512201956743E-2</v>
      </c>
      <c r="E18" s="117">
        <v>0.11972720085991839</v>
      </c>
      <c r="F18" s="120">
        <v>0.16456028500417136</v>
      </c>
      <c r="G18" s="2">
        <v>1</v>
      </c>
      <c r="H18" s="2">
        <v>3.9922832035527996E-2</v>
      </c>
      <c r="I18" s="2">
        <v>-0.40345069298793784</v>
      </c>
      <c r="J18" s="2">
        <v>-0.43874359144073083</v>
      </c>
      <c r="K18" s="2">
        <v>-0.39007743205472173</v>
      </c>
      <c r="L18" s="2">
        <v>-4.0937117800630154E-2</v>
      </c>
      <c r="M18" s="2">
        <v>0.96886872903959109</v>
      </c>
      <c r="N18" s="57"/>
      <c r="Q18" s="51" t="str">
        <f t="shared" si="4"/>
        <v>Commodities</v>
      </c>
      <c r="R18" s="72">
        <f t="shared" si="6"/>
        <v>6.0945512201956743E-2</v>
      </c>
      <c r="S18" s="52">
        <f t="shared" si="7"/>
        <v>5.3193147412083065E-2</v>
      </c>
      <c r="T18" s="52">
        <f t="shared" si="8"/>
        <v>5.042162539013155E-2</v>
      </c>
      <c r="U18" s="52"/>
    </row>
    <row r="19" spans="1:24">
      <c r="A19" s="59" t="str">
        <f t="shared" si="5"/>
        <v>Hedge funds</v>
      </c>
      <c r="B19" s="117">
        <v>7.1792387245599165E-2</v>
      </c>
      <c r="C19" s="118">
        <v>2.0122867082846612E-3</v>
      </c>
      <c r="D19" s="119">
        <v>6.9671653141702747E-2</v>
      </c>
      <c r="E19" s="117">
        <v>7.1678744814799036E-2</v>
      </c>
      <c r="F19" s="120">
        <v>7.3904706736572678E-2</v>
      </c>
      <c r="G19" s="2">
        <v>1.4322777367184852E-2</v>
      </c>
      <c r="H19" s="2">
        <v>-3.1978069539114126E-2</v>
      </c>
      <c r="I19" s="2">
        <v>-4.0537886314076045E-2</v>
      </c>
      <c r="J19" s="2">
        <v>3.0414594793307169E-3</v>
      </c>
      <c r="K19" s="2">
        <v>0.65528466852783318</v>
      </c>
      <c r="L19" s="2">
        <v>1</v>
      </c>
      <c r="M19" s="2">
        <v>0.92136071846713907</v>
      </c>
      <c r="N19" s="57"/>
      <c r="Q19" s="51" t="str">
        <f t="shared" si="4"/>
        <v>Hedge funds</v>
      </c>
      <c r="R19" s="72">
        <f t="shared" si="6"/>
        <v>6.9671653141702747E-2</v>
      </c>
      <c r="S19" s="52">
        <f t="shared" si="7"/>
        <v>2.1207341038964184E-3</v>
      </c>
      <c r="T19" s="52">
        <f t="shared" si="8"/>
        <v>2.1123194909735132E-3</v>
      </c>
      <c r="U19" s="52"/>
    </row>
    <row r="20" spans="1:24">
      <c r="A20" s="60" t="str">
        <f t="shared" si="5"/>
        <v>Onroerend goed</v>
      </c>
      <c r="B20" s="121">
        <v>0.1095590827828898</v>
      </c>
      <c r="C20" s="122">
        <v>3.0708588266004848E-3</v>
      </c>
      <c r="D20" s="123">
        <v>0.106322727339597</v>
      </c>
      <c r="E20" s="121">
        <v>0.10938565826029967</v>
      </c>
      <c r="F20" s="124">
        <v>0.11278259706977084</v>
      </c>
      <c r="G20" s="65">
        <v>2.1857336292275154E-2</v>
      </c>
      <c r="H20" s="65">
        <v>-4.8800271202676507E-2</v>
      </c>
      <c r="I20" s="65">
        <v>-6.1863016580486895E-2</v>
      </c>
      <c r="J20" s="65">
        <v>4.6414323810804597E-3</v>
      </c>
      <c r="K20" s="65">
        <v>1</v>
      </c>
      <c r="L20" s="65">
        <v>-0.72304725199693509</v>
      </c>
      <c r="M20" s="65">
        <v>1</v>
      </c>
      <c r="N20" s="66"/>
      <c r="Q20" s="51" t="str">
        <f t="shared" si="4"/>
        <v>Onroerend goed</v>
      </c>
      <c r="R20" s="72">
        <f t="shared" si="6"/>
        <v>0.106322727339597</v>
      </c>
      <c r="S20" s="52">
        <f t="shared" si="7"/>
        <v>3.2363554432928016E-3</v>
      </c>
      <c r="T20" s="52">
        <f t="shared" si="8"/>
        <v>3.2235142868810435E-3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0" t="s">
        <v>64</v>
      </c>
      <c r="E22" s="401"/>
      <c r="F22" s="402"/>
      <c r="G22" s="400" t="s">
        <v>65</v>
      </c>
      <c r="H22" s="401"/>
      <c r="I22" s="401"/>
      <c r="J22" s="401"/>
      <c r="K22" s="401"/>
      <c r="L22" s="401"/>
      <c r="M22" s="401"/>
      <c r="N22" s="402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0.81913626665968486</v>
      </c>
      <c r="H23" s="272">
        <v>0.11725088085349411</v>
      </c>
      <c r="I23" s="272">
        <v>4.6494149583911848E-2</v>
      </c>
      <c r="J23" s="272">
        <v>1.636149904254125E-2</v>
      </c>
      <c r="K23" s="272">
        <v>7.5720386037136933E-4</v>
      </c>
      <c r="L23" s="272">
        <v>0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0.15244387158035766</v>
      </c>
      <c r="C24" s="118">
        <v>1.6877556293015995E-2</v>
      </c>
      <c r="D24" s="119">
        <v>0.13754687004835142</v>
      </c>
      <c r="E24" s="117">
        <v>0.14975641177106452</v>
      </c>
      <c r="F24" s="120">
        <v>0.16762794014710425</v>
      </c>
      <c r="G24" s="2">
        <v>-3.7139947836491001E-2</v>
      </c>
      <c r="H24" s="2">
        <v>-0.56578787964924315</v>
      </c>
      <c r="I24" s="2">
        <v>-0.74171878637903299</v>
      </c>
      <c r="J24" s="2">
        <v>-0.83597513008203694</v>
      </c>
      <c r="K24" s="2">
        <v>-0.31441321863201815</v>
      </c>
      <c r="L24" s="2">
        <v>0.8525280222785242</v>
      </c>
      <c r="M24" s="2">
        <v>4.6987577801447132E-3</v>
      </c>
      <c r="N24" s="57"/>
      <c r="O24" s="67"/>
      <c r="Q24" s="51" t="str">
        <f t="shared" ref="Q24:Q30" si="9">A24</f>
        <v>High Yield</v>
      </c>
      <c r="R24" s="72">
        <f>D24</f>
        <v>0.13754687004835142</v>
      </c>
      <c r="S24" s="52">
        <f>B24-D24</f>
        <v>1.4897001532006238E-2</v>
      </c>
      <c r="T24" s="52">
        <f>F24-B24</f>
        <v>1.5184068566746589E-2</v>
      </c>
      <c r="U24" s="52"/>
    </row>
    <row r="25" spans="1:24">
      <c r="A25" s="59" t="str">
        <f t="shared" ref="A25:A30" si="10">A5</f>
        <v>Emerging market debt</v>
      </c>
      <c r="B25" s="117">
        <v>0.2386228168202604</v>
      </c>
      <c r="C25" s="118">
        <v>6.0164561550971558E-2</v>
      </c>
      <c r="D25" s="119">
        <v>0.17494303801650413</v>
      </c>
      <c r="E25" s="117">
        <v>0.23224510223948819</v>
      </c>
      <c r="F25" s="120">
        <v>0.30909710923002742</v>
      </c>
      <c r="G25" s="2">
        <v>1</v>
      </c>
      <c r="H25" s="2">
        <v>0.93247575920892223</v>
      </c>
      <c r="I25" s="2">
        <v>1.7817370917786277E-2</v>
      </c>
      <c r="J25" s="2">
        <v>-0.12948534808351161</v>
      </c>
      <c r="K25" s="2">
        <v>-0.16554416109536207</v>
      </c>
      <c r="L25" s="2">
        <v>0.85252802227852142</v>
      </c>
      <c r="M25" s="2">
        <v>4.6987577801448381E-3</v>
      </c>
      <c r="N25" s="57"/>
      <c r="O25" s="67"/>
      <c r="Q25" s="51" t="str">
        <f t="shared" si="9"/>
        <v>Emerging market debt</v>
      </c>
      <c r="R25" s="72">
        <f t="shared" ref="R25:R30" si="11">D25</f>
        <v>0.17494303801650413</v>
      </c>
      <c r="S25" s="52">
        <f t="shared" ref="S25:S30" si="12">B25-D25</f>
        <v>6.3679778803756276E-2</v>
      </c>
      <c r="T25" s="52">
        <f t="shared" ref="T25:T30" si="13">F25-B25</f>
        <v>7.047429240976702E-2</v>
      </c>
      <c r="U25" s="52"/>
      <c r="X25" s="51"/>
    </row>
    <row r="26" spans="1:24">
      <c r="A26" s="59" t="str">
        <f t="shared" si="10"/>
        <v>Aandelen ontwikkeld</v>
      </c>
      <c r="B26" s="117">
        <v>0.20864535296397901</v>
      </c>
      <c r="C26" s="118">
        <v>1.1342602569323686E-2</v>
      </c>
      <c r="D26" s="119">
        <v>0.19762382139872675</v>
      </c>
      <c r="E26" s="117">
        <v>0.20994938230770396</v>
      </c>
      <c r="F26" s="120">
        <v>0.21874972786248587</v>
      </c>
      <c r="G26" s="2">
        <v>7.5917883680291327E-3</v>
      </c>
      <c r="H26" s="2">
        <v>-0.41190550016641331</v>
      </c>
      <c r="I26" s="2">
        <v>-0.15662012965649369</v>
      </c>
      <c r="J26" s="2">
        <v>1</v>
      </c>
      <c r="K26" s="2">
        <v>-0.8025336559077032</v>
      </c>
      <c r="L26" s="2">
        <v>0.85252802227853453</v>
      </c>
      <c r="M26" s="2">
        <v>4.6987577801443307E-3</v>
      </c>
      <c r="N26" s="57"/>
      <c r="O26" s="67"/>
      <c r="P26" s="72"/>
      <c r="Q26" s="51" t="str">
        <f t="shared" si="9"/>
        <v>Aandelen ontwikkeld</v>
      </c>
      <c r="R26" s="72">
        <f t="shared" si="11"/>
        <v>0.19762382139872675</v>
      </c>
      <c r="S26" s="52">
        <f t="shared" si="12"/>
        <v>1.1021531565252263E-2</v>
      </c>
      <c r="T26" s="52">
        <f t="shared" si="13"/>
        <v>1.0104374898506852E-2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8.9553238895287879E-2</v>
      </c>
      <c r="C27" s="118">
        <v>1.8500896944170436E-2</v>
      </c>
      <c r="D27" s="119">
        <v>7.234860494197097E-2</v>
      </c>
      <c r="E27" s="117">
        <v>8.5425953606525759E-2</v>
      </c>
      <c r="F27" s="120">
        <v>0.10590958445365317</v>
      </c>
      <c r="G27" s="2">
        <v>-4.9986020370519316E-2</v>
      </c>
      <c r="H27" s="2">
        <v>-0.51732553201825404</v>
      </c>
      <c r="I27" s="2">
        <v>1</v>
      </c>
      <c r="J27" s="2">
        <v>-0.43503772403444191</v>
      </c>
      <c r="K27" s="2">
        <v>-0.26128875308757665</v>
      </c>
      <c r="L27" s="2">
        <v>0.85252802227852242</v>
      </c>
      <c r="M27" s="2">
        <v>4.6987577801447643E-3</v>
      </c>
      <c r="N27" s="57"/>
      <c r="O27" s="67"/>
      <c r="P27" s="72"/>
      <c r="Q27" s="51" t="str">
        <f t="shared" si="9"/>
        <v>Aandelen opkomend</v>
      </c>
      <c r="R27" s="72">
        <f t="shared" si="11"/>
        <v>7.234860494197097E-2</v>
      </c>
      <c r="S27" s="52">
        <f t="shared" si="12"/>
        <v>1.7204633953316908E-2</v>
      </c>
      <c r="T27" s="52">
        <f t="shared" si="13"/>
        <v>1.6356345558365293E-2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0.10278570206479937</v>
      </c>
      <c r="C28" s="118">
        <v>5.8650313918129776E-2</v>
      </c>
      <c r="D28" s="119">
        <v>3.8715506819634149E-2</v>
      </c>
      <c r="E28" s="117">
        <v>0.1038975357065193</v>
      </c>
      <c r="F28" s="120">
        <v>0.16248324227935762</v>
      </c>
      <c r="G28" s="2">
        <v>-0.96586116609731731</v>
      </c>
      <c r="H28" s="2">
        <v>1</v>
      </c>
      <c r="I28" s="2">
        <v>-8.731071884792909E-3</v>
      </c>
      <c r="J28" s="2">
        <v>-6.0245037864384843E-2</v>
      </c>
      <c r="K28" s="2">
        <v>-0.11150487980510819</v>
      </c>
      <c r="L28" s="2">
        <v>0.85252802227852009</v>
      </c>
      <c r="M28" s="2">
        <v>4.6987577801448919E-3</v>
      </c>
      <c r="N28" s="57"/>
      <c r="O28" s="67"/>
      <c r="P28" s="72"/>
      <c r="Q28" s="51" t="str">
        <f t="shared" si="9"/>
        <v>Commodities</v>
      </c>
      <c r="R28" s="72">
        <f t="shared" si="11"/>
        <v>3.8715506819634149E-2</v>
      </c>
      <c r="S28" s="52">
        <f t="shared" si="12"/>
        <v>6.4070195245165218E-2</v>
      </c>
      <c r="T28" s="52">
        <f t="shared" si="13"/>
        <v>5.9697540214558253E-2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8.232167294780092E-2</v>
      </c>
      <c r="C29" s="118">
        <v>3.8603609505085089E-3</v>
      </c>
      <c r="D29" s="119">
        <v>7.7903327441598461E-2</v>
      </c>
      <c r="E29" s="117">
        <v>8.3246928781490037E-2</v>
      </c>
      <c r="F29" s="120">
        <v>8.6178705455393412E-2</v>
      </c>
      <c r="G29" s="2">
        <v>1.7970851044629973E-2</v>
      </c>
      <c r="H29" s="2">
        <v>-0.17317792563276321</v>
      </c>
      <c r="I29" s="2">
        <v>-4.3842043328029115E-2</v>
      </c>
      <c r="J29" s="2">
        <v>0.1823964101658366</v>
      </c>
      <c r="K29" s="2">
        <v>0.65528466852782841</v>
      </c>
      <c r="L29" s="2">
        <v>0.62747777342586653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7.7903327441598461E-2</v>
      </c>
      <c r="S29" s="52">
        <f t="shared" si="12"/>
        <v>4.418345506202459E-3</v>
      </c>
      <c r="T29" s="52">
        <f t="shared" si="13"/>
        <v>3.8570325075924922E-3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0.12562734472751458</v>
      </c>
      <c r="C30" s="122">
        <v>5.8911205097797216E-3</v>
      </c>
      <c r="D30" s="123">
        <v>0.11888470947537484</v>
      </c>
      <c r="E30" s="121">
        <v>0.12703933539069889</v>
      </c>
      <c r="F30" s="124">
        <v>0.13151338585259958</v>
      </c>
      <c r="G30" s="65">
        <v>2.7424494891668188E-2</v>
      </c>
      <c r="H30" s="65">
        <v>-0.26427892174225059</v>
      </c>
      <c r="I30" s="65">
        <v>-6.6905339669437236E-2</v>
      </c>
      <c r="J30" s="65">
        <v>0.27834682989853904</v>
      </c>
      <c r="K30" s="65">
        <v>1</v>
      </c>
      <c r="L30" s="65">
        <v>1</v>
      </c>
      <c r="M30" s="65">
        <v>-0.64750688681322977</v>
      </c>
      <c r="N30" s="66"/>
      <c r="O30" s="67"/>
      <c r="P30" s="72"/>
      <c r="Q30" s="51" t="str">
        <f t="shared" si="9"/>
        <v>Onroerend goed</v>
      </c>
      <c r="R30" s="72">
        <f t="shared" si="11"/>
        <v>0.11888470947537484</v>
      </c>
      <c r="S30" s="52">
        <f t="shared" si="12"/>
        <v>6.7426352521397365E-3</v>
      </c>
      <c r="T30" s="52">
        <f t="shared" si="13"/>
        <v>5.8860411250850064E-3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0" t="s">
        <v>64</v>
      </c>
      <c r="E32" s="401"/>
      <c r="F32" s="402"/>
      <c r="G32" s="400" t="s">
        <v>65</v>
      </c>
      <c r="H32" s="401"/>
      <c r="I32" s="401"/>
      <c r="J32" s="401"/>
      <c r="K32" s="401"/>
      <c r="L32" s="401"/>
      <c r="M32" s="401"/>
      <c r="N32" s="402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0.65605798603105137</v>
      </c>
      <c r="H33" s="272">
        <v>0.27346618385840116</v>
      </c>
      <c r="I33" s="272">
        <v>4.854909759468462E-2</v>
      </c>
      <c r="J33" s="272">
        <v>2.1754729042268384E-2</v>
      </c>
      <c r="K33" s="272">
        <v>1.7200347359691559E-4</v>
      </c>
      <c r="L33" s="272">
        <v>0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0.26384123039510954</v>
      </c>
      <c r="C34" s="118">
        <v>4.4553483761381137E-2</v>
      </c>
      <c r="D34" s="119">
        <v>0.21803577137405844</v>
      </c>
      <c r="E34" s="117">
        <v>0.26928249098069823</v>
      </c>
      <c r="F34" s="120">
        <v>0.31202826756081975</v>
      </c>
      <c r="G34" s="2">
        <v>-0.53220989074155112</v>
      </c>
      <c r="H34" s="2">
        <v>1</v>
      </c>
      <c r="I34" s="2">
        <v>-0.25706179781983018</v>
      </c>
      <c r="J34" s="2">
        <v>-0.28971751983104205</v>
      </c>
      <c r="K34" s="2">
        <v>-0.27703671471778624</v>
      </c>
      <c r="L34" s="2">
        <v>0.80187995810673984</v>
      </c>
      <c r="M34" s="2">
        <v>2.7494321632150261E-2</v>
      </c>
      <c r="N34" s="57"/>
      <c r="O34" s="67"/>
      <c r="Q34" s="51" t="str">
        <f t="shared" ref="Q34:Q40" si="15">A34</f>
        <v>High Yield</v>
      </c>
      <c r="R34" s="72">
        <f>D34</f>
        <v>0.21803577137405844</v>
      </c>
      <c r="S34" s="52">
        <f>B34-D34</f>
        <v>4.5805459021051098E-2</v>
      </c>
      <c r="T34" s="52">
        <f>F34-B34</f>
        <v>4.8187037165710211E-2</v>
      </c>
      <c r="U34" s="52"/>
    </row>
    <row r="35" spans="1:24">
      <c r="A35" s="59" t="str">
        <f t="shared" si="14"/>
        <v>Emerging market debt</v>
      </c>
      <c r="B35" s="117">
        <v>0.13328325072232455</v>
      </c>
      <c r="C35" s="118">
        <v>1.3314349162020478E-2</v>
      </c>
      <c r="D35" s="119">
        <v>0.12018786504230332</v>
      </c>
      <c r="E35" s="117">
        <v>0.13046172844071924</v>
      </c>
      <c r="F35" s="120">
        <v>0.14628919151707143</v>
      </c>
      <c r="G35" s="2">
        <v>8.0759741754941619E-2</v>
      </c>
      <c r="H35" s="2">
        <v>-2.4939828032065615E-2</v>
      </c>
      <c r="I35" s="2">
        <v>-0.36124031487060343</v>
      </c>
      <c r="J35" s="2">
        <v>1</v>
      </c>
      <c r="K35" s="2">
        <v>-0.23030301930029112</v>
      </c>
      <c r="L35" s="2">
        <v>0.80187995810673418</v>
      </c>
      <c r="M35" s="2">
        <v>2.7494321632150501E-2</v>
      </c>
      <c r="N35" s="57"/>
      <c r="O35" s="67"/>
      <c r="Q35" s="51" t="str">
        <f t="shared" si="15"/>
        <v>Emerging market debt</v>
      </c>
      <c r="R35" s="72">
        <f t="shared" ref="R35:R40" si="16">D35</f>
        <v>0.12018786504230332</v>
      </c>
      <c r="S35" s="52">
        <f t="shared" ref="S35:S40" si="17">B35-D35</f>
        <v>1.3095385680021235E-2</v>
      </c>
      <c r="T35" s="52">
        <f t="shared" ref="T35:T40" si="18">F35-B35</f>
        <v>1.3005940794746873E-2</v>
      </c>
      <c r="U35" s="52"/>
    </row>
    <row r="36" spans="1:24">
      <c r="A36" s="59" t="str">
        <f t="shared" si="14"/>
        <v>Aandelen ontwikkeld</v>
      </c>
      <c r="B36" s="117">
        <v>0.19610624989204353</v>
      </c>
      <c r="C36" s="118">
        <v>1.7417237920906423E-2</v>
      </c>
      <c r="D36" s="119">
        <v>0.17908264490436829</v>
      </c>
      <c r="E36" s="117">
        <v>0.19226755809111717</v>
      </c>
      <c r="F36" s="120">
        <v>0.21444251207183701</v>
      </c>
      <c r="G36" s="2">
        <v>4.6209072417548659E-2</v>
      </c>
      <c r="H36" s="2">
        <v>8.6964029471640739E-2</v>
      </c>
      <c r="I36" s="2">
        <v>1</v>
      </c>
      <c r="J36" s="2">
        <v>0.1288664065146129</v>
      </c>
      <c r="K36" s="2">
        <v>-0.35595217218538933</v>
      </c>
      <c r="L36" s="2">
        <v>0.80187995810674928</v>
      </c>
      <c r="M36" s="2">
        <v>2.7494321632150057E-2</v>
      </c>
      <c r="N36" s="57"/>
      <c r="O36" s="67"/>
      <c r="Q36" s="51" t="str">
        <f t="shared" si="15"/>
        <v>Aandelen ontwikkeld</v>
      </c>
      <c r="R36" s="72">
        <f t="shared" si="16"/>
        <v>0.17908264490436829</v>
      </c>
      <c r="S36" s="52">
        <f t="shared" si="17"/>
        <v>1.7023604987675245E-2</v>
      </c>
      <c r="T36" s="52">
        <f t="shared" si="18"/>
        <v>1.8336262179793478E-2</v>
      </c>
      <c r="U36" s="52"/>
    </row>
    <row r="37" spans="1:24">
      <c r="A37" s="59" t="str">
        <f t="shared" si="14"/>
        <v>Aandelen opkomend</v>
      </c>
      <c r="B37" s="117">
        <v>0.14107207777212744</v>
      </c>
      <c r="C37" s="118">
        <v>4.6363847901712864E-2</v>
      </c>
      <c r="D37" s="119">
        <v>9.0050057787008891E-2</v>
      </c>
      <c r="E37" s="117">
        <v>0.13842512981502753</v>
      </c>
      <c r="F37" s="120">
        <v>0.18573456148291478</v>
      </c>
      <c r="G37" s="2">
        <v>-0.63407819259080078</v>
      </c>
      <c r="H37" s="2">
        <v>-0.91845157043977588</v>
      </c>
      <c r="I37" s="2">
        <v>-0.16337861113633384</v>
      </c>
      <c r="J37" s="2">
        <v>-0.30114302943808485</v>
      </c>
      <c r="K37" s="2">
        <v>-0.39511261515468366</v>
      </c>
      <c r="L37" s="2">
        <v>0.80187995810675594</v>
      </c>
      <c r="M37" s="2">
        <v>2.7494321632149939E-2</v>
      </c>
      <c r="N37" s="57"/>
      <c r="O37" s="67"/>
      <c r="Q37" s="51" t="str">
        <f t="shared" si="15"/>
        <v>Aandelen opkomend</v>
      </c>
      <c r="R37" s="72">
        <f t="shared" si="16"/>
        <v>9.0050057787008891E-2</v>
      </c>
      <c r="S37" s="52">
        <f t="shared" si="17"/>
        <v>5.1022019985118544E-2</v>
      </c>
      <c r="T37" s="52">
        <f t="shared" si="18"/>
        <v>4.4662483710787348E-2</v>
      </c>
      <c r="U37" s="52"/>
      <c r="X37" s="51"/>
    </row>
    <row r="38" spans="1:24">
      <c r="A38" s="59" t="str">
        <f t="shared" si="14"/>
        <v>Commodities</v>
      </c>
      <c r="B38" s="117">
        <v>8.7068617412130428E-2</v>
      </c>
      <c r="C38" s="118">
        <v>5.4708697684197144E-2</v>
      </c>
      <c r="D38" s="119">
        <v>2.9158021321553609E-2</v>
      </c>
      <c r="E38" s="117">
        <v>7.9713465568960876E-2</v>
      </c>
      <c r="F38" s="120">
        <v>0.14682191845068937</v>
      </c>
      <c r="G38" s="2">
        <v>1</v>
      </c>
      <c r="H38" s="2">
        <v>-5.0250364787498066E-2</v>
      </c>
      <c r="I38" s="2">
        <v>-0.25826032427878853</v>
      </c>
      <c r="J38" s="2">
        <v>-0.42963026951924854</v>
      </c>
      <c r="K38" s="2">
        <v>-0.39688014716931197</v>
      </c>
      <c r="L38" s="2">
        <v>0.80187995810675705</v>
      </c>
      <c r="M38" s="2">
        <v>2.7494321632149949E-2</v>
      </c>
      <c r="N38" s="57"/>
      <c r="O38" s="67"/>
      <c r="P38" s="72"/>
      <c r="Q38" s="51" t="str">
        <f t="shared" si="15"/>
        <v>Commodities</v>
      </c>
      <c r="R38" s="72">
        <f t="shared" si="16"/>
        <v>2.9158021321553609E-2</v>
      </c>
      <c r="S38" s="52">
        <f t="shared" si="17"/>
        <v>5.7910596090576819E-2</v>
      </c>
      <c r="T38" s="52">
        <f t="shared" si="18"/>
        <v>5.9753301038558942E-2</v>
      </c>
      <c r="U38" s="52"/>
      <c r="V38" s="52"/>
      <c r="W38" s="52"/>
    </row>
    <row r="39" spans="1:24">
      <c r="A39" s="59" t="str">
        <f t="shared" si="14"/>
        <v>Hedge funds</v>
      </c>
      <c r="B39" s="117">
        <v>7.0714462594727343E-2</v>
      </c>
      <c r="C39" s="118">
        <v>1.6786314621494284E-3</v>
      </c>
      <c r="D39" s="119">
        <v>6.899952670180784E-2</v>
      </c>
      <c r="E39" s="117">
        <v>7.0432879964579503E-2</v>
      </c>
      <c r="F39" s="120">
        <v>7.2482468696561123E-2</v>
      </c>
      <c r="G39" s="2">
        <v>1.5565488370705077E-2</v>
      </c>
      <c r="H39" s="2">
        <v>-3.6943887322766003E-2</v>
      </c>
      <c r="I39" s="2">
        <v>1.5811634678995892E-2</v>
      </c>
      <c r="J39" s="2">
        <v>-4.2903110522287104E-2</v>
      </c>
      <c r="K39" s="2">
        <v>0.65528466852781575</v>
      </c>
      <c r="L39" s="2">
        <v>0.49953801206574444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6.899952670180784E-2</v>
      </c>
      <c r="S39" s="52">
        <f t="shared" si="17"/>
        <v>1.714935892919503E-3</v>
      </c>
      <c r="T39" s="52">
        <f t="shared" si="18"/>
        <v>1.76800610183378E-3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0.1079141112115368</v>
      </c>
      <c r="C40" s="122">
        <v>2.5616827964564772E-3</v>
      </c>
      <c r="D40" s="123">
        <v>0.10529702588162621</v>
      </c>
      <c r="E40" s="121">
        <v>0.1074844008220347</v>
      </c>
      <c r="F40" s="124">
        <v>0.11061218456308611</v>
      </c>
      <c r="G40" s="65">
        <v>2.375378078915635E-2</v>
      </c>
      <c r="H40" s="65">
        <v>-5.6378378889535938E-2</v>
      </c>
      <c r="I40" s="65">
        <v>2.4129413426562385E-2</v>
      </c>
      <c r="J40" s="65">
        <v>-6.5472477203951038E-2</v>
      </c>
      <c r="K40" s="65">
        <v>1</v>
      </c>
      <c r="L40" s="65">
        <v>1</v>
      </c>
      <c r="M40" s="65">
        <v>-0.60977373945855473</v>
      </c>
      <c r="N40" s="66"/>
      <c r="O40" s="67"/>
      <c r="P40" s="72"/>
      <c r="Q40" s="51" t="str">
        <f t="shared" si="15"/>
        <v>Onroerend goed</v>
      </c>
      <c r="R40" s="72">
        <f t="shared" si="16"/>
        <v>0.10529702588162621</v>
      </c>
      <c r="S40" s="52">
        <f t="shared" si="17"/>
        <v>2.6170853299105901E-3</v>
      </c>
      <c r="T40" s="52">
        <f t="shared" si="18"/>
        <v>2.6980733515493127E-3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0" t="s">
        <v>64</v>
      </c>
      <c r="E42" s="401"/>
      <c r="F42" s="402"/>
      <c r="G42" s="400" t="s">
        <v>65</v>
      </c>
      <c r="H42" s="401"/>
      <c r="I42" s="401"/>
      <c r="J42" s="401"/>
      <c r="K42" s="401"/>
      <c r="L42" s="401"/>
      <c r="M42" s="401"/>
      <c r="N42" s="402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0.9367445371282368</v>
      </c>
      <c r="H43" s="272">
        <v>3.2026461974334897E-2</v>
      </c>
      <c r="I43" s="272">
        <v>1.8496699196979827E-2</v>
      </c>
      <c r="J43" s="272">
        <v>1.2506287194421928E-2</v>
      </c>
      <c r="K43" s="272">
        <v>2.26014506028549E-4</v>
      </c>
      <c r="L43" s="272">
        <v>0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0.24339262555015365</v>
      </c>
      <c r="C44" s="118">
        <v>4.9869794121288766E-2</v>
      </c>
      <c r="D44" s="119">
        <v>0.18927216219931389</v>
      </c>
      <c r="E44" s="117">
        <v>0.24357024661446536</v>
      </c>
      <c r="F44" s="120">
        <v>0.29761159740781074</v>
      </c>
      <c r="G44" s="2">
        <v>-0.99029074965673047</v>
      </c>
      <c r="H44" s="2">
        <v>1</v>
      </c>
      <c r="I44" s="2">
        <v>-4.0918617456583636E-2</v>
      </c>
      <c r="J44" s="2">
        <v>-0.17081547945889419</v>
      </c>
      <c r="K44" s="2">
        <v>-0.29461765394665929</v>
      </c>
      <c r="L44" s="2">
        <v>0.86565798434558905</v>
      </c>
      <c r="M44" s="2">
        <v>-8.9580270657374928E-4</v>
      </c>
      <c r="N44" s="57"/>
      <c r="O44" s="67"/>
      <c r="Q44" s="51" t="str">
        <f t="shared" ref="Q44:Q50" si="19">A44</f>
        <v>High Yield</v>
      </c>
      <c r="R44" s="72">
        <f>D44</f>
        <v>0.18927216219931389</v>
      </c>
      <c r="S44" s="52">
        <f>B44-D44</f>
        <v>5.4120463350839754E-2</v>
      </c>
      <c r="T44" s="52">
        <f>F44-B44</f>
        <v>5.4218971857657089E-2</v>
      </c>
      <c r="U44" s="52"/>
    </row>
    <row r="45" spans="1:24">
      <c r="A45" s="59" t="str">
        <f t="shared" ref="A45:A50" si="20">A5</f>
        <v>Emerging market debt</v>
      </c>
      <c r="B45" s="117">
        <v>0.22945485908024496</v>
      </c>
      <c r="C45" s="118">
        <v>5.0331874316793132E-2</v>
      </c>
      <c r="D45" s="119">
        <v>0.17333792635341494</v>
      </c>
      <c r="E45" s="117">
        <v>0.22770739278982843</v>
      </c>
      <c r="F45" s="120">
        <v>0.28526546687680476</v>
      </c>
      <c r="G45" s="2">
        <v>1</v>
      </c>
      <c r="H45" s="2">
        <v>0.98365775031303504</v>
      </c>
      <c r="I45" s="2">
        <v>-3.9050303267991401E-2</v>
      </c>
      <c r="J45" s="2">
        <v>-0.16506780724183698</v>
      </c>
      <c r="K45" s="2">
        <v>-0.29903429596357539</v>
      </c>
      <c r="L45" s="2">
        <v>0.86565798434559105</v>
      </c>
      <c r="M45" s="2">
        <v>-8.9580270657374874E-4</v>
      </c>
      <c r="N45" s="57"/>
      <c r="O45" s="67"/>
      <c r="Q45" s="51" t="str">
        <f t="shared" si="19"/>
        <v>Emerging market debt</v>
      </c>
      <c r="R45" s="72">
        <f t="shared" ref="R45:R50" si="21">D45</f>
        <v>0.17333792635341494</v>
      </c>
      <c r="S45" s="52">
        <f t="shared" ref="S45:S50" si="22">B45-D45</f>
        <v>5.6116932726830021E-2</v>
      </c>
      <c r="T45" s="52">
        <f t="shared" ref="T45:T50" si="23">F45-B45</f>
        <v>5.5810607796559802E-2</v>
      </c>
      <c r="U45" s="52"/>
    </row>
    <row r="46" spans="1:24">
      <c r="A46" s="59" t="str">
        <f t="shared" si="20"/>
        <v>Aandelen ontwikkeld</v>
      </c>
      <c r="B46" s="117">
        <v>0.22184955478190421</v>
      </c>
      <c r="C46" s="118">
        <v>9.2742898712824332E-3</v>
      </c>
      <c r="D46" s="119">
        <v>0.21276040783241568</v>
      </c>
      <c r="E46" s="117">
        <v>0.21992950825279728</v>
      </c>
      <c r="F46" s="120">
        <v>0.23167847453220858</v>
      </c>
      <c r="G46" s="2">
        <v>-3.9331887368410853E-3</v>
      </c>
      <c r="H46" s="2">
        <v>-0.77230140672017467</v>
      </c>
      <c r="I46" s="2">
        <v>1</v>
      </c>
      <c r="J46" s="2">
        <v>-0.34327325439766704</v>
      </c>
      <c r="K46" s="2">
        <v>-0.37067351347635363</v>
      </c>
      <c r="L46" s="2">
        <v>0.86565798434561436</v>
      </c>
      <c r="M46" s="2">
        <v>-8.9580270657378246E-4</v>
      </c>
      <c r="N46" s="57"/>
      <c r="O46" s="67"/>
      <c r="Q46" s="51" t="str">
        <f t="shared" si="19"/>
        <v>Aandelen ontwikkeld</v>
      </c>
      <c r="R46" s="72">
        <f t="shared" si="21"/>
        <v>0.21276040783241568</v>
      </c>
      <c r="S46" s="52">
        <f t="shared" si="22"/>
        <v>9.0891469494885357E-3</v>
      </c>
      <c r="T46" s="52">
        <f t="shared" si="23"/>
        <v>9.8289197503043657E-3</v>
      </c>
      <c r="U46" s="52"/>
    </row>
    <row r="47" spans="1:24">
      <c r="A47" s="59" t="str">
        <f t="shared" si="20"/>
        <v>Aandelen opkomend</v>
      </c>
      <c r="B47" s="117">
        <v>8.0036477501124192E-2</v>
      </c>
      <c r="C47" s="118">
        <v>9.553454998150376E-3</v>
      </c>
      <c r="D47" s="119">
        <v>7.1257670036699097E-2</v>
      </c>
      <c r="E47" s="117">
        <v>7.7218361308211386E-2</v>
      </c>
      <c r="F47" s="120">
        <v>9.0224336641627614E-2</v>
      </c>
      <c r="G47" s="2">
        <v>-2.6345698000747285E-3</v>
      </c>
      <c r="H47" s="2">
        <v>-0.89222289539279975</v>
      </c>
      <c r="I47" s="2">
        <v>-0.95998688234941387</v>
      </c>
      <c r="J47" s="2">
        <v>-0.32611448034053125</v>
      </c>
      <c r="K47" s="2">
        <v>-0.34648516417574704</v>
      </c>
      <c r="L47" s="2">
        <v>0.86565798434560404</v>
      </c>
      <c r="M47" s="2">
        <v>-8.9580270657375666E-4</v>
      </c>
      <c r="N47" s="57"/>
      <c r="O47" s="67"/>
      <c r="Q47" s="51" t="str">
        <f t="shared" si="19"/>
        <v>Aandelen opkomend</v>
      </c>
      <c r="R47" s="72">
        <f t="shared" si="21"/>
        <v>7.1257670036699097E-2</v>
      </c>
      <c r="S47" s="52">
        <f t="shared" si="22"/>
        <v>8.7788074644250952E-3</v>
      </c>
      <c r="T47" s="52">
        <f t="shared" si="23"/>
        <v>1.0187859140503422E-2</v>
      </c>
      <c r="U47" s="52"/>
    </row>
    <row r="48" spans="1:24">
      <c r="A48" s="59" t="str">
        <f t="shared" si="20"/>
        <v>Commodities</v>
      </c>
      <c r="B48" s="117">
        <v>5.4882608525576018E-3</v>
      </c>
      <c r="C48" s="118">
        <v>7.3431310848621695E-3</v>
      </c>
      <c r="D48" s="119">
        <v>6.1043670969660032E-5</v>
      </c>
      <c r="E48" s="117">
        <v>2.9342464826452004E-3</v>
      </c>
      <c r="F48" s="120">
        <v>1.0905313709865137E-2</v>
      </c>
      <c r="G48" s="2">
        <v>-6.3072169638956586E-3</v>
      </c>
      <c r="H48" s="2">
        <v>-0.22262613907001058</v>
      </c>
      <c r="I48" s="2">
        <v>1.6708223525343905E-2</v>
      </c>
      <c r="J48" s="2">
        <v>1</v>
      </c>
      <c r="K48" s="2">
        <v>-0.34447404096441048</v>
      </c>
      <c r="L48" s="2">
        <v>0.86565798434559671</v>
      </c>
      <c r="M48" s="2">
        <v>-8.9580270657377856E-4</v>
      </c>
      <c r="N48" s="57"/>
      <c r="O48" s="67"/>
      <c r="Q48" s="51" t="str">
        <f t="shared" si="19"/>
        <v>Commodities</v>
      </c>
      <c r="R48" s="72">
        <f t="shared" si="21"/>
        <v>6.1043670969660032E-5</v>
      </c>
      <c r="S48" s="52">
        <f t="shared" si="22"/>
        <v>5.4272171815879415E-3</v>
      </c>
      <c r="T48" s="52">
        <f t="shared" si="23"/>
        <v>5.4170528573075352E-3</v>
      </c>
      <c r="U48" s="52"/>
    </row>
    <row r="49" spans="1:27">
      <c r="A49" s="59" t="str">
        <f t="shared" si="20"/>
        <v>Hedge funds</v>
      </c>
      <c r="B49" s="117">
        <v>8.700455108687602E-2</v>
      </c>
      <c r="C49" s="118">
        <v>5.8098407932548465E-4</v>
      </c>
      <c r="D49" s="119">
        <v>8.6386821876339476E-2</v>
      </c>
      <c r="E49" s="117">
        <v>8.7159678746363364E-2</v>
      </c>
      <c r="F49" s="120">
        <v>8.7549009554777762E-2</v>
      </c>
      <c r="G49" s="2">
        <v>1.2532292480876086E-3</v>
      </c>
      <c r="H49" s="2">
        <v>-3.8204763975768344E-2</v>
      </c>
      <c r="I49" s="2">
        <v>9.203119407949446E-3</v>
      </c>
      <c r="J49" s="2">
        <v>2.0866619513191412E-3</v>
      </c>
      <c r="K49" s="2">
        <v>0.65528466852783174</v>
      </c>
      <c r="L49" s="2">
        <v>0.66064477084076756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8.6386821876339476E-2</v>
      </c>
      <c r="S49" s="52">
        <f t="shared" si="22"/>
        <v>6.1772921053654395E-4</v>
      </c>
      <c r="T49" s="52">
        <f t="shared" si="23"/>
        <v>5.4445846790174279E-4</v>
      </c>
      <c r="U49" s="52"/>
      <c r="X49" s="51"/>
    </row>
    <row r="50" spans="1:27">
      <c r="A50" s="60" t="str">
        <f t="shared" si="20"/>
        <v>Onroerend goed</v>
      </c>
      <c r="B50" s="121">
        <v>0.13277367114713878</v>
      </c>
      <c r="C50" s="122">
        <v>8.8661326478266288E-4</v>
      </c>
      <c r="D50" s="123">
        <v>0.13183098281608965</v>
      </c>
      <c r="E50" s="121">
        <v>0.13301040438223161</v>
      </c>
      <c r="F50" s="124">
        <v>0.13360454434477501</v>
      </c>
      <c r="G50" s="65">
        <v>1.9124959094543247E-3</v>
      </c>
      <c r="H50" s="65">
        <v>-5.8302545154305989E-2</v>
      </c>
      <c r="I50" s="65">
        <v>1.4044460140697644E-2</v>
      </c>
      <c r="J50" s="65">
        <v>3.1843594876209132E-3</v>
      </c>
      <c r="K50" s="65">
        <v>1</v>
      </c>
      <c r="L50" s="65">
        <v>1</v>
      </c>
      <c r="M50" s="65">
        <v>-0.65676747701404803</v>
      </c>
      <c r="N50" s="66"/>
      <c r="O50" s="67"/>
      <c r="P50" s="72"/>
      <c r="Q50" s="51" t="str">
        <f t="shared" si="19"/>
        <v>Onroerend goed</v>
      </c>
      <c r="R50" s="72">
        <f t="shared" si="21"/>
        <v>0.13183098281608965</v>
      </c>
      <c r="S50" s="52">
        <f t="shared" si="22"/>
        <v>9.4268833104912964E-4</v>
      </c>
      <c r="T50" s="52">
        <f t="shared" si="23"/>
        <v>8.3087319763622269E-4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0" t="s">
        <v>64</v>
      </c>
      <c r="E52" s="401"/>
      <c r="F52" s="402"/>
      <c r="G52" s="400" t="s">
        <v>65</v>
      </c>
      <c r="H52" s="401"/>
      <c r="I52" s="401"/>
      <c r="J52" s="401"/>
      <c r="K52" s="401"/>
      <c r="L52" s="401"/>
      <c r="M52" s="401"/>
      <c r="N52" s="402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0.94133472952438479</v>
      </c>
      <c r="H53" s="272">
        <v>3.2911945414808352E-2</v>
      </c>
      <c r="I53" s="272">
        <v>1.4615339304276276E-2</v>
      </c>
      <c r="J53" s="272">
        <v>1.0823724454903205E-2</v>
      </c>
      <c r="K53" s="272">
        <v>3.1426130162615085E-4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0.26243234252667158</v>
      </c>
      <c r="C54" s="118">
        <v>4.6373056796120284E-2</v>
      </c>
      <c r="D54" s="119">
        <v>0.21310138772580015</v>
      </c>
      <c r="E54" s="117">
        <v>0.26682308778464137</v>
      </c>
      <c r="F54" s="120">
        <v>0.30996007299148398</v>
      </c>
      <c r="G54" s="2">
        <v>-0.95797839610954538</v>
      </c>
      <c r="H54" s="2">
        <v>-0.821797093463558</v>
      </c>
      <c r="I54" s="2">
        <v>0.3560605358697545</v>
      </c>
      <c r="J54" s="2">
        <v>-8.2175820705987099E-2</v>
      </c>
      <c r="K54" s="2">
        <v>-0.29644945100805387</v>
      </c>
      <c r="L54" s="2">
        <v>0.89078316083908016</v>
      </c>
      <c r="M54" s="2">
        <v>-1.1266230871472539E-2</v>
      </c>
      <c r="N54" s="57"/>
      <c r="O54" s="67"/>
      <c r="P54" s="72"/>
      <c r="Q54" s="51" t="str">
        <f t="shared" ref="Q54:Q60" si="25">A54</f>
        <v>High Yield</v>
      </c>
      <c r="R54" s="72">
        <f>D54</f>
        <v>0.21310138772580015</v>
      </c>
      <c r="S54" s="52">
        <f>B54-D54</f>
        <v>4.9330954800871435E-2</v>
      </c>
      <c r="T54" s="52">
        <f>F54-B54</f>
        <v>4.7527730464812401E-2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0.21498347429040435</v>
      </c>
      <c r="C55" s="118">
        <v>4.8297741043685928E-2</v>
      </c>
      <c r="D55" s="119">
        <v>0.16449815870881299</v>
      </c>
      <c r="E55" s="117">
        <v>0.20762299104591428</v>
      </c>
      <c r="F55" s="120">
        <v>0.27029898251543261</v>
      </c>
      <c r="G55" s="2">
        <v>1</v>
      </c>
      <c r="H55" s="2">
        <v>-0.76219804752297216</v>
      </c>
      <c r="I55" s="2">
        <v>0.33715742929308379</v>
      </c>
      <c r="J55" s="2">
        <v>-7.8675322323097582E-2</v>
      </c>
      <c r="K55" s="2">
        <v>-0.30195323758897474</v>
      </c>
      <c r="L55" s="2">
        <v>0.89078316083907993</v>
      </c>
      <c r="M55" s="2">
        <v>-1.1266230871472542E-2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0.16449815870881299</v>
      </c>
      <c r="S55" s="52">
        <f t="shared" ref="S55:S60" si="27">B55-D55</f>
        <v>5.0485315581591361E-2</v>
      </c>
      <c r="T55" s="52">
        <f t="shared" ref="T55:T60" si="28">F55-B55</f>
        <v>5.5315508225028259E-2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0.22135150475616305</v>
      </c>
      <c r="C56" s="118">
        <v>9.508067732124514E-3</v>
      </c>
      <c r="D56" s="119">
        <v>0.21194348393166632</v>
      </c>
      <c r="E56" s="117">
        <v>0.21929172906421079</v>
      </c>
      <c r="F56" s="120">
        <v>0.23104091482829325</v>
      </c>
      <c r="G56" s="2">
        <v>-1.8305361158191941E-2</v>
      </c>
      <c r="H56" s="2">
        <v>1</v>
      </c>
      <c r="I56" s="2">
        <v>1</v>
      </c>
      <c r="J56" s="2">
        <v>-4.4565915753777004E-2</v>
      </c>
      <c r="K56" s="2">
        <v>-0.35877810710578023</v>
      </c>
      <c r="L56" s="2">
        <v>0.89078316083907916</v>
      </c>
      <c r="M56" s="2">
        <v>-1.12662308714725E-2</v>
      </c>
      <c r="N56" s="57"/>
      <c r="O56" s="67"/>
      <c r="Q56" s="51" t="str">
        <f t="shared" si="25"/>
        <v>Aandelen ontwikkeld</v>
      </c>
      <c r="R56" s="72">
        <f t="shared" si="26"/>
        <v>0.21194348393166632</v>
      </c>
      <c r="S56" s="52">
        <f t="shared" si="27"/>
        <v>9.4080208244967378E-3</v>
      </c>
      <c r="T56" s="52">
        <f t="shared" si="28"/>
        <v>9.6894100721302001E-3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7.6274693108744324E-2</v>
      </c>
      <c r="C57" s="118">
        <v>7.1906047878245345E-3</v>
      </c>
      <c r="D57" s="119">
        <v>6.955376641853192E-2</v>
      </c>
      <c r="E57" s="117">
        <v>7.4835926222223376E-2</v>
      </c>
      <c r="F57" s="120">
        <v>8.3561080036500895E-2</v>
      </c>
      <c r="G57" s="2">
        <v>-1.4284524361513814E-2</v>
      </c>
      <c r="H57" s="2">
        <v>0.33226241895588604</v>
      </c>
      <c r="I57" s="2">
        <v>-0.99426243036546047</v>
      </c>
      <c r="J57" s="2">
        <v>-0.77916398352515048</v>
      </c>
      <c r="K57" s="2">
        <v>-0.36382940787492019</v>
      </c>
      <c r="L57" s="2">
        <v>0.89078316083907849</v>
      </c>
      <c r="M57" s="2">
        <v>-1.1266230871472565E-2</v>
      </c>
      <c r="N57" s="57"/>
      <c r="O57" s="67"/>
      <c r="Q57" s="51" t="str">
        <f t="shared" si="25"/>
        <v>Aandelen opkomend</v>
      </c>
      <c r="R57" s="72">
        <f t="shared" si="26"/>
        <v>6.955376641853192E-2</v>
      </c>
      <c r="S57" s="52">
        <f t="shared" si="27"/>
        <v>6.7209266902124032E-3</v>
      </c>
      <c r="T57" s="52">
        <f t="shared" si="28"/>
        <v>7.2863869277565718E-3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5.1751477223417669E-3</v>
      </c>
      <c r="C58" s="118">
        <v>6.7195674267147088E-3</v>
      </c>
      <c r="D58" s="119">
        <v>2.4219551531119575E-5</v>
      </c>
      <c r="E58" s="117">
        <v>2.194113135265545E-3</v>
      </c>
      <c r="F58" s="120">
        <v>1.1888140450672362E-2</v>
      </c>
      <c r="G58" s="2">
        <v>-1.1972681610863647E-2</v>
      </c>
      <c r="H58" s="2">
        <v>0.17655947868582625</v>
      </c>
      <c r="I58" s="2">
        <v>-0.67453843097460398</v>
      </c>
      <c r="J58" s="2">
        <v>1</v>
      </c>
      <c r="K58" s="2">
        <v>-0.33427446495014096</v>
      </c>
      <c r="L58" s="2">
        <v>0.89078316083908082</v>
      </c>
      <c r="M58" s="2">
        <v>-1.1266230871472618E-2</v>
      </c>
      <c r="N58" s="57"/>
      <c r="O58" s="67"/>
      <c r="Q58" s="51" t="str">
        <f t="shared" si="25"/>
        <v>Commodities</v>
      </c>
      <c r="R58" s="72">
        <f t="shared" si="26"/>
        <v>2.4219551531119575E-5</v>
      </c>
      <c r="S58" s="52">
        <f t="shared" si="27"/>
        <v>5.1509281708106477E-3</v>
      </c>
      <c r="T58" s="52">
        <f t="shared" si="28"/>
        <v>6.7129927283305956E-3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8.7006378189967579E-2</v>
      </c>
      <c r="C59" s="118">
        <v>6.1705323347186944E-4</v>
      </c>
      <c r="D59" s="119">
        <v>8.6370000145823494E-2</v>
      </c>
      <c r="E59" s="117">
        <v>8.7122194800648145E-2</v>
      </c>
      <c r="F59" s="120">
        <v>8.7602099368911973E-2</v>
      </c>
      <c r="G59" s="2">
        <v>1.0059020579349924E-3</v>
      </c>
      <c r="H59" s="2">
        <v>2.9759155499930336E-2</v>
      </c>
      <c r="I59" s="2">
        <v>-9.6661040177131799E-3</v>
      </c>
      <c r="J59" s="2">
        <v>-6.1039691675669134E-3</v>
      </c>
      <c r="K59" s="2">
        <v>0.65528466852782985</v>
      </c>
      <c r="L59" s="2">
        <v>0.72411233149363941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8.6370000145823494E-2</v>
      </c>
      <c r="S59" s="52">
        <f t="shared" si="27"/>
        <v>6.3637804414408417E-4</v>
      </c>
      <c r="T59" s="52">
        <f t="shared" si="28"/>
        <v>5.9572117894439447E-4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0.13277645940570681</v>
      </c>
      <c r="C60" s="122">
        <v>9.4165675332851591E-4</v>
      </c>
      <c r="D60" s="123">
        <v>0.13180531194154629</v>
      </c>
      <c r="E60" s="121">
        <v>0.13295320184489859</v>
      </c>
      <c r="F60" s="124">
        <v>0.13368556228504436</v>
      </c>
      <c r="G60" s="65">
        <v>1.5350611821803506E-3</v>
      </c>
      <c r="H60" s="65">
        <v>4.5414087844886715E-2</v>
      </c>
      <c r="I60" s="65">
        <v>-1.4750999805060365E-2</v>
      </c>
      <c r="J60" s="65">
        <v>-9.314988524422833E-3</v>
      </c>
      <c r="K60" s="65">
        <v>1</v>
      </c>
      <c r="L60" s="65">
        <v>1</v>
      </c>
      <c r="M60" s="65">
        <v>-0.67393348776147388</v>
      </c>
      <c r="N60" s="66"/>
      <c r="O60" s="67"/>
      <c r="Q60" s="51" t="str">
        <f t="shared" si="25"/>
        <v>Onroerend goed</v>
      </c>
      <c r="R60" s="72">
        <f t="shared" si="26"/>
        <v>0.13180531194154629</v>
      </c>
      <c r="S60" s="52">
        <f t="shared" si="27"/>
        <v>9.7114746416052111E-4</v>
      </c>
      <c r="T60" s="52">
        <f t="shared" si="28"/>
        <v>9.0910287933754219E-4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0" t="s">
        <v>64</v>
      </c>
      <c r="E62" s="401"/>
      <c r="F62" s="402"/>
      <c r="G62" s="400" t="s">
        <v>65</v>
      </c>
      <c r="H62" s="401"/>
      <c r="I62" s="401"/>
      <c r="J62" s="401"/>
      <c r="K62" s="401"/>
      <c r="L62" s="401"/>
      <c r="M62" s="401"/>
      <c r="N62" s="402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0.9367445371282368</v>
      </c>
      <c r="H63" s="272">
        <v>3.2026461974334897E-2</v>
      </c>
      <c r="I63" s="272">
        <v>1.8496699196979827E-2</v>
      </c>
      <c r="J63" s="272">
        <v>1.2506287194421928E-2</v>
      </c>
      <c r="K63" s="272">
        <v>2.26014506028549E-4</v>
      </c>
      <c r="L63" s="272">
        <v>0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0.24339262555015365</v>
      </c>
      <c r="C64" s="118">
        <v>4.9869794121288766E-2</v>
      </c>
      <c r="D64" s="119">
        <v>0.18927216219931389</v>
      </c>
      <c r="E64" s="117">
        <v>0.24357024661446536</v>
      </c>
      <c r="F64" s="120">
        <v>0.29761159740781074</v>
      </c>
      <c r="G64" s="2">
        <v>-0.99029074965673047</v>
      </c>
      <c r="H64" s="2">
        <v>1</v>
      </c>
      <c r="I64" s="2">
        <v>-4.0918617456583636E-2</v>
      </c>
      <c r="J64" s="2">
        <v>-0.17081547945889419</v>
      </c>
      <c r="K64" s="2">
        <v>-0.29461765394665929</v>
      </c>
      <c r="L64" s="2">
        <v>0.86565798434558905</v>
      </c>
      <c r="M64" s="2">
        <v>-8.9580270657374928E-4</v>
      </c>
      <c r="N64" s="57"/>
      <c r="O64" s="67"/>
      <c r="Q64" s="51" t="str">
        <f t="shared" ref="Q64:Q70" si="32">A64</f>
        <v>High Yield</v>
      </c>
      <c r="R64" s="72">
        <f>D64</f>
        <v>0.18927216219931389</v>
      </c>
      <c r="S64" s="52">
        <f>B64-D64</f>
        <v>5.4120463350839754E-2</v>
      </c>
      <c r="T64" s="52">
        <f>F64-B64</f>
        <v>5.4218971857657089E-2</v>
      </c>
      <c r="U64" s="52"/>
    </row>
    <row r="65" spans="1:24">
      <c r="A65" s="59" t="str">
        <f t="shared" si="31"/>
        <v>Emerging market debt</v>
      </c>
      <c r="B65" s="117">
        <v>0.22945485908024496</v>
      </c>
      <c r="C65" s="118">
        <v>5.0331874316793132E-2</v>
      </c>
      <c r="D65" s="119">
        <v>0.17333792635341494</v>
      </c>
      <c r="E65" s="117">
        <v>0.22770739278982843</v>
      </c>
      <c r="F65" s="120">
        <v>0.28526546687680476</v>
      </c>
      <c r="G65" s="2">
        <v>1</v>
      </c>
      <c r="H65" s="2">
        <v>0.98365775031303504</v>
      </c>
      <c r="I65" s="2">
        <v>-3.9050303267991401E-2</v>
      </c>
      <c r="J65" s="2">
        <v>-0.16506780724183698</v>
      </c>
      <c r="K65" s="2">
        <v>-0.29903429596357539</v>
      </c>
      <c r="L65" s="2">
        <v>0.86565798434559105</v>
      </c>
      <c r="M65" s="2">
        <v>-8.9580270657374874E-4</v>
      </c>
      <c r="N65" s="57"/>
      <c r="O65" s="67"/>
      <c r="Q65" s="51" t="str">
        <f t="shared" si="32"/>
        <v>Emerging market debt</v>
      </c>
      <c r="R65" s="72">
        <f t="shared" ref="R65:R70" si="33">D65</f>
        <v>0.17333792635341494</v>
      </c>
      <c r="S65" s="52">
        <f t="shared" ref="S65:S70" si="34">B65-D65</f>
        <v>5.6116932726830021E-2</v>
      </c>
      <c r="T65" s="52">
        <f t="shared" ref="T65:T70" si="35">F65-B65</f>
        <v>5.5810607796559802E-2</v>
      </c>
      <c r="U65" s="52"/>
    </row>
    <row r="66" spans="1:24">
      <c r="A66" s="59" t="str">
        <f t="shared" si="31"/>
        <v>Aandelen ontwikkeld</v>
      </c>
      <c r="B66" s="117">
        <v>0.22184955478190421</v>
      </c>
      <c r="C66" s="118">
        <v>9.2742898712824332E-3</v>
      </c>
      <c r="D66" s="119">
        <v>0.21276040783241568</v>
      </c>
      <c r="E66" s="117">
        <v>0.21992950825279728</v>
      </c>
      <c r="F66" s="120">
        <v>0.23167847453220858</v>
      </c>
      <c r="G66" s="2">
        <v>-3.9331887368410853E-3</v>
      </c>
      <c r="H66" s="2">
        <v>-0.77230140672017467</v>
      </c>
      <c r="I66" s="2">
        <v>1</v>
      </c>
      <c r="J66" s="2">
        <v>-0.34327325439766704</v>
      </c>
      <c r="K66" s="2">
        <v>-0.37067351347635363</v>
      </c>
      <c r="L66" s="2">
        <v>0.86565798434561436</v>
      </c>
      <c r="M66" s="2">
        <v>-8.9580270657378246E-4</v>
      </c>
      <c r="N66" s="57"/>
      <c r="O66" s="67"/>
      <c r="Q66" s="51" t="str">
        <f t="shared" si="32"/>
        <v>Aandelen ontwikkeld</v>
      </c>
      <c r="R66" s="72">
        <f t="shared" si="33"/>
        <v>0.21276040783241568</v>
      </c>
      <c r="S66" s="52">
        <f t="shared" si="34"/>
        <v>9.0891469494885357E-3</v>
      </c>
      <c r="T66" s="52">
        <f t="shared" si="35"/>
        <v>9.8289197503043657E-3</v>
      </c>
      <c r="U66" s="52"/>
    </row>
    <row r="67" spans="1:24">
      <c r="A67" s="59" t="str">
        <f t="shared" si="31"/>
        <v>Aandelen opkomend</v>
      </c>
      <c r="B67" s="117">
        <v>8.0036477501124192E-2</v>
      </c>
      <c r="C67" s="118">
        <v>9.553454998150376E-3</v>
      </c>
      <c r="D67" s="119">
        <v>7.1257670036699097E-2</v>
      </c>
      <c r="E67" s="117">
        <v>7.7218361308211386E-2</v>
      </c>
      <c r="F67" s="120">
        <v>9.0224336641627614E-2</v>
      </c>
      <c r="G67" s="2">
        <v>-2.6345698000747285E-3</v>
      </c>
      <c r="H67" s="2">
        <v>-0.89222289539279975</v>
      </c>
      <c r="I67" s="2">
        <v>-0.95998688234941387</v>
      </c>
      <c r="J67" s="2">
        <v>-0.32611448034053125</v>
      </c>
      <c r="K67" s="2">
        <v>-0.34648516417574704</v>
      </c>
      <c r="L67" s="2">
        <v>0.86565798434560404</v>
      </c>
      <c r="M67" s="2">
        <v>-8.9580270657375666E-4</v>
      </c>
      <c r="N67" s="57"/>
      <c r="O67" s="67"/>
      <c r="Q67" s="51" t="str">
        <f t="shared" si="32"/>
        <v>Aandelen opkomend</v>
      </c>
      <c r="R67" s="72">
        <f t="shared" si="33"/>
        <v>7.1257670036699097E-2</v>
      </c>
      <c r="S67" s="52">
        <f t="shared" si="34"/>
        <v>8.7788074644250952E-3</v>
      </c>
      <c r="T67" s="52">
        <f t="shared" si="35"/>
        <v>1.0187859140503422E-2</v>
      </c>
      <c r="U67" s="52"/>
    </row>
    <row r="68" spans="1:24">
      <c r="A68" s="59" t="str">
        <f t="shared" si="31"/>
        <v>Commodities</v>
      </c>
      <c r="B68" s="117">
        <v>5.4882608525576018E-3</v>
      </c>
      <c r="C68" s="118">
        <v>7.3431310848621695E-3</v>
      </c>
      <c r="D68" s="119">
        <v>6.1043670969660032E-5</v>
      </c>
      <c r="E68" s="117">
        <v>2.9342464826452004E-3</v>
      </c>
      <c r="F68" s="120">
        <v>1.0905313709865137E-2</v>
      </c>
      <c r="G68" s="2">
        <v>-6.3072169638956586E-3</v>
      </c>
      <c r="H68" s="2">
        <v>-0.22262613907001058</v>
      </c>
      <c r="I68" s="2">
        <v>1.6708223525343905E-2</v>
      </c>
      <c r="J68" s="2">
        <v>1</v>
      </c>
      <c r="K68" s="2">
        <v>-0.34447404096441048</v>
      </c>
      <c r="L68" s="2">
        <v>0.86565798434559671</v>
      </c>
      <c r="M68" s="2">
        <v>-8.9580270657377856E-4</v>
      </c>
      <c r="N68" s="57"/>
      <c r="O68" s="67"/>
      <c r="Q68" s="51" t="str">
        <f t="shared" si="32"/>
        <v>Commodities</v>
      </c>
      <c r="R68" s="72">
        <f t="shared" si="33"/>
        <v>6.1043670969660032E-5</v>
      </c>
      <c r="S68" s="52">
        <f t="shared" si="34"/>
        <v>5.4272171815879415E-3</v>
      </c>
      <c r="T68" s="52">
        <f t="shared" si="35"/>
        <v>5.4170528573075352E-3</v>
      </c>
      <c r="U68" s="52"/>
    </row>
    <row r="69" spans="1:24">
      <c r="A69" s="59" t="str">
        <f t="shared" si="31"/>
        <v>Hedge funds</v>
      </c>
      <c r="B69" s="117">
        <v>8.700455108687602E-2</v>
      </c>
      <c r="C69" s="118">
        <v>5.8098407932548465E-4</v>
      </c>
      <c r="D69" s="119">
        <v>8.6386821876339476E-2</v>
      </c>
      <c r="E69" s="117">
        <v>8.7159678746363364E-2</v>
      </c>
      <c r="F69" s="120">
        <v>8.7549009554777762E-2</v>
      </c>
      <c r="G69" s="2">
        <v>1.2532292480876086E-3</v>
      </c>
      <c r="H69" s="2">
        <v>-3.8204763975768344E-2</v>
      </c>
      <c r="I69" s="2">
        <v>9.203119407949446E-3</v>
      </c>
      <c r="J69" s="2">
        <v>2.0866619513191412E-3</v>
      </c>
      <c r="K69" s="2">
        <v>0.65528466852783174</v>
      </c>
      <c r="L69" s="2">
        <v>0.66064477084076756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8.6386821876339476E-2</v>
      </c>
      <c r="S69" s="52">
        <f t="shared" si="34"/>
        <v>6.1772921053654395E-4</v>
      </c>
      <c r="T69" s="52">
        <f t="shared" si="35"/>
        <v>5.4445846790174279E-4</v>
      </c>
      <c r="U69" s="52"/>
      <c r="X69" s="51"/>
    </row>
    <row r="70" spans="1:24">
      <c r="A70" s="60" t="str">
        <f t="shared" si="31"/>
        <v>Onroerend goed</v>
      </c>
      <c r="B70" s="121">
        <v>0.13277367114713878</v>
      </c>
      <c r="C70" s="122">
        <v>8.8661326478266288E-4</v>
      </c>
      <c r="D70" s="123">
        <v>0.13183098281608965</v>
      </c>
      <c r="E70" s="121">
        <v>0.13301040438223161</v>
      </c>
      <c r="F70" s="124">
        <v>0.13360454434477501</v>
      </c>
      <c r="G70" s="65">
        <v>1.9124959094543247E-3</v>
      </c>
      <c r="H70" s="65">
        <v>-5.8302545154305989E-2</v>
      </c>
      <c r="I70" s="65">
        <v>1.4044460140697644E-2</v>
      </c>
      <c r="J70" s="65">
        <v>3.1843594876209132E-3</v>
      </c>
      <c r="K70" s="65">
        <v>1</v>
      </c>
      <c r="L70" s="65">
        <v>1</v>
      </c>
      <c r="M70" s="65">
        <v>-0.65676747701404803</v>
      </c>
      <c r="N70" s="66"/>
      <c r="O70" s="67"/>
      <c r="P70" s="72"/>
      <c r="Q70" s="51" t="str">
        <f t="shared" si="32"/>
        <v>Onroerend goed</v>
      </c>
      <c r="R70" s="72">
        <f t="shared" si="33"/>
        <v>0.13183098281608965</v>
      </c>
      <c r="S70" s="52">
        <f t="shared" si="34"/>
        <v>9.4268833104912964E-4</v>
      </c>
      <c r="T70" s="52">
        <f t="shared" si="35"/>
        <v>8.3087319763622269E-4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0" t="s">
        <v>64</v>
      </c>
      <c r="E72" s="401"/>
      <c r="F72" s="402"/>
      <c r="G72" s="400" t="s">
        <v>65</v>
      </c>
      <c r="H72" s="401"/>
      <c r="I72" s="401"/>
      <c r="J72" s="401"/>
      <c r="K72" s="401"/>
      <c r="L72" s="401"/>
      <c r="M72" s="401"/>
      <c r="N72" s="402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0.55400685148860063</v>
      </c>
      <c r="H73" s="272">
        <v>0.34540379950736255</v>
      </c>
      <c r="I73" s="272">
        <v>9.3495398145696962E-2</v>
      </c>
      <c r="J73" s="272">
        <v>6.7553601181919998E-3</v>
      </c>
      <c r="K73" s="272">
        <v>3.3859074014563895E-4</v>
      </c>
      <c r="L73" s="272">
        <v>0</v>
      </c>
      <c r="M73" s="272">
        <v>2.2204460492503131E-16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0.22118259995368239</v>
      </c>
      <c r="C74" s="118">
        <v>5.1539644919869974E-2</v>
      </c>
      <c r="D74" s="119">
        <v>0.16500308681547868</v>
      </c>
      <c r="E74" s="117">
        <v>0.22153950063934275</v>
      </c>
      <c r="F74" s="120">
        <v>0.27953032440483411</v>
      </c>
      <c r="G74" s="2">
        <v>-0.57573507855090222</v>
      </c>
      <c r="H74" s="2">
        <v>1</v>
      </c>
      <c r="I74" s="2">
        <v>-4.2995052287256384E-2</v>
      </c>
      <c r="J74" s="2">
        <v>-0.17726040007725322</v>
      </c>
      <c r="K74" s="2">
        <v>-0.26326198432022524</v>
      </c>
      <c r="L74" s="2">
        <v>-4.0937117800630377E-2</v>
      </c>
      <c r="M74" s="2">
        <v>0.96886872903959254</v>
      </c>
      <c r="N74" s="57"/>
      <c r="O74" s="67"/>
      <c r="P74" s="72"/>
      <c r="Q74" s="51" t="str">
        <f t="shared" ref="Q74:Q80" si="37">A74</f>
        <v>High Yield</v>
      </c>
      <c r="R74" s="72">
        <f>D74</f>
        <v>0.16500308681547868</v>
      </c>
      <c r="S74" s="52">
        <f>B74-D74</f>
        <v>5.6179513138203713E-2</v>
      </c>
      <c r="T74" s="52">
        <f>F74-B74</f>
        <v>5.8347724451151717E-2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0.15458143522199275</v>
      </c>
      <c r="C75" s="118">
        <v>2.8011019575495382E-2</v>
      </c>
      <c r="D75" s="119">
        <v>0.12732093598393002</v>
      </c>
      <c r="E75" s="117">
        <v>0.14841928474259158</v>
      </c>
      <c r="F75" s="120">
        <v>0.18276490283582369</v>
      </c>
      <c r="G75" s="2">
        <v>0.22617975615863645</v>
      </c>
      <c r="H75" s="2">
        <v>-0.13154755366065371</v>
      </c>
      <c r="I75" s="2">
        <v>1</v>
      </c>
      <c r="J75" s="2">
        <v>-3.7772749393174258E-2</v>
      </c>
      <c r="K75" s="2">
        <v>-0.24990488875764974</v>
      </c>
      <c r="L75" s="2">
        <v>-4.0937117800630432E-2</v>
      </c>
      <c r="M75" s="2">
        <v>0.96886872903959398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0.12732093598393002</v>
      </c>
      <c r="S75" s="52">
        <f t="shared" ref="S75:S80" si="39">B75-D75</f>
        <v>2.726049923806273E-2</v>
      </c>
      <c r="T75" s="52">
        <f t="shared" ref="T75:T80" si="40">F75-B75</f>
        <v>2.8183467613830948E-2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0.18533154425043025</v>
      </c>
      <c r="C76" s="118">
        <v>9.9774958068827146E-3</v>
      </c>
      <c r="D76" s="119">
        <v>0.17563725499335017</v>
      </c>
      <c r="E76" s="117">
        <v>0.18356557801400614</v>
      </c>
      <c r="F76" s="120">
        <v>0.19614318534493871</v>
      </c>
      <c r="G76" s="2">
        <v>7.5401270416543806E-2</v>
      </c>
      <c r="H76" s="2">
        <v>-7.589928555540798E-2</v>
      </c>
      <c r="I76" s="2">
        <v>-0.22609801680855632</v>
      </c>
      <c r="J76" s="2">
        <v>1</v>
      </c>
      <c r="K76" s="2">
        <v>-0.36932815250563361</v>
      </c>
      <c r="L76" s="2">
        <v>-4.0937117800630245E-2</v>
      </c>
      <c r="M76" s="2">
        <v>0.96886872903959154</v>
      </c>
      <c r="N76" s="57"/>
      <c r="O76" s="67"/>
      <c r="Q76" s="51" t="str">
        <f t="shared" si="37"/>
        <v>Aandelen ontwikkeld</v>
      </c>
      <c r="R76" s="72">
        <f t="shared" si="38"/>
        <v>0.17563725499335017</v>
      </c>
      <c r="S76" s="52">
        <f t="shared" si="39"/>
        <v>9.6942892570800743E-3</v>
      </c>
      <c r="T76" s="52">
        <f t="shared" si="40"/>
        <v>1.0811641094508467E-2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0.1434142909313661</v>
      </c>
      <c r="C77" s="118">
        <v>4.9839548259361183E-2</v>
      </c>
      <c r="D77" s="119">
        <v>9.1105290744067272E-2</v>
      </c>
      <c r="E77" s="117">
        <v>0.13908025967002816</v>
      </c>
      <c r="F77" s="120">
        <v>0.19389375852390128</v>
      </c>
      <c r="G77" s="2">
        <v>-0.76202606168373832</v>
      </c>
      <c r="H77" s="2">
        <v>-0.75169765207767569</v>
      </c>
      <c r="I77" s="2">
        <v>-0.2250553350216874</v>
      </c>
      <c r="J77" s="2">
        <v>-0.35390615094925287</v>
      </c>
      <c r="K77" s="2">
        <v>-0.38271221088962576</v>
      </c>
      <c r="L77" s="2">
        <v>-4.0937117800630175E-2</v>
      </c>
      <c r="M77" s="2">
        <v>0.96886872903959143</v>
      </c>
      <c r="N77" s="57"/>
      <c r="O77" s="67"/>
      <c r="Q77" s="51" t="str">
        <f t="shared" si="37"/>
        <v>Aandelen opkomend</v>
      </c>
      <c r="R77" s="72">
        <f t="shared" si="38"/>
        <v>9.1105290744067272E-2</v>
      </c>
      <c r="S77" s="52">
        <f t="shared" si="39"/>
        <v>5.2309000187298824E-2</v>
      </c>
      <c r="T77" s="52">
        <f t="shared" si="40"/>
        <v>5.0479467592535188E-2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0.11413865961403981</v>
      </c>
      <c r="C78" s="118">
        <v>5.0212226646176715E-2</v>
      </c>
      <c r="D78" s="119">
        <v>6.0945512201956743E-2</v>
      </c>
      <c r="E78" s="117">
        <v>0.11972720085991839</v>
      </c>
      <c r="F78" s="120">
        <v>0.16456028500417136</v>
      </c>
      <c r="G78" s="2">
        <v>1</v>
      </c>
      <c r="H78" s="2">
        <v>3.9922832035527996E-2</v>
      </c>
      <c r="I78" s="2">
        <v>-0.40345069298793784</v>
      </c>
      <c r="J78" s="2">
        <v>-0.43874359144073083</v>
      </c>
      <c r="K78" s="2">
        <v>-0.39007743205472173</v>
      </c>
      <c r="L78" s="2">
        <v>-4.0937117800630154E-2</v>
      </c>
      <c r="M78" s="2">
        <v>0.96886872903959109</v>
      </c>
      <c r="N78" s="57"/>
      <c r="O78" s="67"/>
      <c r="Q78" s="51" t="str">
        <f t="shared" si="37"/>
        <v>Commodities</v>
      </c>
      <c r="R78" s="72">
        <f t="shared" si="38"/>
        <v>6.0945512201956743E-2</v>
      </c>
      <c r="S78" s="52">
        <f t="shared" si="39"/>
        <v>5.3193147412083065E-2</v>
      </c>
      <c r="T78" s="52">
        <f t="shared" si="40"/>
        <v>5.042162539013155E-2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7.1792387245599165E-2</v>
      </c>
      <c r="C79" s="118">
        <v>2.0122867082846612E-3</v>
      </c>
      <c r="D79" s="119">
        <v>6.9671653141702747E-2</v>
      </c>
      <c r="E79" s="117">
        <v>7.1678744814799036E-2</v>
      </c>
      <c r="F79" s="120">
        <v>7.3904706736572678E-2</v>
      </c>
      <c r="G79" s="2">
        <v>1.4322777367184852E-2</v>
      </c>
      <c r="H79" s="2">
        <v>-3.1978069539114126E-2</v>
      </c>
      <c r="I79" s="2">
        <v>-4.0537886314076045E-2</v>
      </c>
      <c r="J79" s="2">
        <v>3.0414594793307169E-3</v>
      </c>
      <c r="K79" s="2">
        <v>0.65528466852783318</v>
      </c>
      <c r="L79" s="2">
        <v>1</v>
      </c>
      <c r="M79" s="2">
        <v>0.92136071846713907</v>
      </c>
      <c r="N79" s="57"/>
      <c r="O79" s="67"/>
      <c r="Q79" s="51" t="str">
        <f t="shared" si="37"/>
        <v>Hedge funds</v>
      </c>
      <c r="R79" s="72">
        <f t="shared" si="38"/>
        <v>6.9671653141702747E-2</v>
      </c>
      <c r="S79" s="52">
        <f t="shared" si="39"/>
        <v>2.1207341038964184E-3</v>
      </c>
      <c r="T79" s="52">
        <f t="shared" si="40"/>
        <v>2.1123194909735132E-3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0.1095590827828898</v>
      </c>
      <c r="C80" s="122">
        <v>3.0708588266004848E-3</v>
      </c>
      <c r="D80" s="123">
        <v>0.106322727339597</v>
      </c>
      <c r="E80" s="121">
        <v>0.10938565826029967</v>
      </c>
      <c r="F80" s="124">
        <v>0.11278259706977084</v>
      </c>
      <c r="G80" s="65">
        <v>2.1857336292275154E-2</v>
      </c>
      <c r="H80" s="65">
        <v>-4.8800271202676507E-2</v>
      </c>
      <c r="I80" s="65">
        <v>-6.1863016580486895E-2</v>
      </c>
      <c r="J80" s="65">
        <v>4.6414323810804597E-3</v>
      </c>
      <c r="K80" s="65">
        <v>1</v>
      </c>
      <c r="L80" s="65">
        <v>-0.72304725199693509</v>
      </c>
      <c r="M80" s="65">
        <v>1</v>
      </c>
      <c r="N80" s="66"/>
      <c r="O80" s="67"/>
      <c r="Q80" s="51" t="str">
        <f t="shared" si="37"/>
        <v>Onroerend goed</v>
      </c>
      <c r="R80" s="72">
        <f t="shared" si="38"/>
        <v>0.106322727339597</v>
      </c>
      <c r="S80" s="52">
        <f t="shared" si="39"/>
        <v>3.2363554432928016E-3</v>
      </c>
      <c r="T80" s="52">
        <f t="shared" si="40"/>
        <v>3.2235142868810435E-3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tabSelected="1" topLeftCell="I1" zoomScale="85" zoomScaleNormal="85" workbookViewId="0">
      <selection activeCell="L29" sqref="L29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-3.2445168309994665E-3</v>
      </c>
      <c r="E3" s="337">
        <f>+Scenarios!D24</f>
        <v>-1.0761362748873404E-3</v>
      </c>
      <c r="F3" s="337">
        <f>+Scenarios!E24</f>
        <v>-3.4179872754884488E-3</v>
      </c>
      <c r="G3" s="337">
        <f>+Scenarios!F24</f>
        <v>-2.5720358328627513E-2</v>
      </c>
      <c r="H3" s="337">
        <f>+Scenarios!G24</f>
        <v>-0.26287574291051119</v>
      </c>
      <c r="I3" s="339">
        <f>+Scenarios!H24</f>
        <v>-3.2441343963196256E-3</v>
      </c>
      <c r="J3" s="312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0.03</v>
      </c>
      <c r="D4" s="327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312">
        <f>+Scenarios!H25</f>
        <v>0.27529934429078429</v>
      </c>
      <c r="J4" s="312">
        <f>Scenarios!D5</f>
        <v>0.15853561014014847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3.1398195419985959E-2</v>
      </c>
      <c r="D5" s="327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312">
        <f>+Scenarios!H26</f>
        <v>0.25817653707968463</v>
      </c>
      <c r="J5" s="312">
        <f>Scenarios!D6</f>
        <v>0.16217253275473525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5.6592124614748239E-2</v>
      </c>
      <c r="D6" s="327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312">
        <f>+Scenarios!H27</f>
        <v>0.40935864013329615</v>
      </c>
      <c r="J6" s="312">
        <f>Scenarios!D7</f>
        <v>0.28718972670468956</v>
      </c>
      <c r="L6" s="210"/>
      <c r="M6" s="350" t="s">
        <v>4</v>
      </c>
      <c r="N6" s="345">
        <f>+'Control panel'!$B3</f>
        <v>0.55552002657163746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0.57295330326829641</v>
      </c>
      <c r="R6" s="347">
        <f t="shared" ref="R6:R13" si="0">+Q6-N6</f>
        <v>1.743327669665895E-2</v>
      </c>
    </row>
    <row r="7" spans="1:18" ht="15.75">
      <c r="A7" s="210"/>
      <c r="B7" s="319" t="s">
        <v>8</v>
      </c>
      <c r="C7" s="327">
        <f>+Scenarios!B28</f>
        <v>5.6149706770970371E-2</v>
      </c>
      <c r="D7" s="327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312">
        <f>+Scenarios!H28</f>
        <v>0.37672139820686834</v>
      </c>
      <c r="J7" s="312">
        <f>Scenarios!D8</f>
        <v>0.29616397669669142</v>
      </c>
      <c r="L7" s="210"/>
      <c r="M7" s="350" t="s">
        <v>5</v>
      </c>
      <c r="N7" s="345">
        <f>+'Control panel'!$B4</f>
        <v>9.7772401711769694E-2</v>
      </c>
      <c r="O7" s="345">
        <f>+'Control panel'!$C4</f>
        <v>0.05</v>
      </c>
      <c r="P7" s="345">
        <f>+'Control panel'!$D4</f>
        <v>0.15</v>
      </c>
      <c r="Q7" s="345">
        <f>+'Control panel'!$F4</f>
        <v>9.4917642190175677E-2</v>
      </c>
      <c r="R7" s="347">
        <f t="shared" si="0"/>
        <v>-2.8547595215940164E-3</v>
      </c>
    </row>
    <row r="8" spans="1:18" ht="15.75">
      <c r="A8" s="210"/>
      <c r="B8" s="319" t="s">
        <v>9</v>
      </c>
      <c r="C8" s="327">
        <f>+Scenarios!B29</f>
        <v>5.16958277280853E-2</v>
      </c>
      <c r="D8" s="327">
        <f>+Scenarios!C29</f>
        <v>7.1858480605475325E-2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312">
        <f>+Scenarios!H29</f>
        <v>0.621322616702631</v>
      </c>
      <c r="J8" s="312">
        <f>Scenarios!D9</f>
        <v>0.32648216646211403</v>
      </c>
      <c r="L8" s="210"/>
      <c r="M8" s="350" t="s">
        <v>6</v>
      </c>
      <c r="N8" s="345">
        <f>+'Control panel'!$B5</f>
        <v>9.4763191533410202E-2</v>
      </c>
      <c r="O8" s="345">
        <f>+'Control panel'!$C5</f>
        <v>0.05</v>
      </c>
      <c r="P8" s="345">
        <f>+'Control panel'!$D5</f>
        <v>0.2</v>
      </c>
      <c r="Q8" s="345">
        <f>+'Control panel'!$F5</f>
        <v>6.6072845927494572E-2</v>
      </c>
      <c r="R8" s="348">
        <f t="shared" si="0"/>
        <v>-2.8690345605915629E-2</v>
      </c>
    </row>
    <row r="9" spans="1:18" ht="15.75">
      <c r="A9" s="210"/>
      <c r="B9" s="319" t="s">
        <v>10</v>
      </c>
      <c r="C9" s="327">
        <f>+Scenarios!B30</f>
        <v>2.8296106893951258E-2</v>
      </c>
      <c r="D9" s="327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312">
        <f>+Scenarios!H30</f>
        <v>0.28021842301080391</v>
      </c>
      <c r="J9" s="312">
        <f>Scenarios!D10</f>
        <v>0.16076897495152093</v>
      </c>
      <c r="L9" s="210"/>
      <c r="M9" s="350" t="s">
        <v>7</v>
      </c>
      <c r="N9" s="345">
        <f>+'Control panel'!$B6</f>
        <v>0.10281340879516217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7.9070821653539791E-2</v>
      </c>
      <c r="R9" s="348">
        <f t="shared" si="0"/>
        <v>-2.3742587141622376E-2</v>
      </c>
    </row>
    <row r="10" spans="1:18" ht="15.75">
      <c r="A10" s="210"/>
      <c r="B10" s="320" t="s">
        <v>11</v>
      </c>
      <c r="C10" s="328">
        <f>+Scenarios!B31</f>
        <v>3.9623116873055711E-2</v>
      </c>
      <c r="D10" s="328">
        <f>+Scenarios!C31</f>
        <v>-5.9825766089863959E-3</v>
      </c>
      <c r="E10" s="313">
        <f>+Scenarios!D31</f>
        <v>-0.13956067047136589</v>
      </c>
      <c r="F10" s="313">
        <f>+Scenarios!E31</f>
        <v>2.7964399001126676E-2</v>
      </c>
      <c r="G10" s="313">
        <f>+Scenarios!F31</f>
        <v>-0.45200242221105646</v>
      </c>
      <c r="H10" s="313">
        <f>+Scenarios!G31</f>
        <v>-0.48031312669988807</v>
      </c>
      <c r="I10" s="314">
        <f>+Scenarios!H31</f>
        <v>0.41038049782760322</v>
      </c>
      <c r="J10" s="314">
        <f>Scenarios!D11</f>
        <v>0.20064050365322861</v>
      </c>
      <c r="L10" s="210"/>
      <c r="M10" s="350" t="s">
        <v>8</v>
      </c>
      <c r="N10" s="345">
        <f>+'Control panel'!$B7</f>
        <v>5.1014363077869621E-2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6.1105073205391568E-2</v>
      </c>
      <c r="R10" s="347">
        <f t="shared" si="0"/>
        <v>1.0090710127521947E-2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2.0731266317763185E-2</v>
      </c>
      <c r="O11" s="345">
        <f>+'Control panel'!$C8</f>
        <v>0</v>
      </c>
      <c r="P11" s="345">
        <f>+'Control panel'!$D8</f>
        <v>0.1</v>
      </c>
      <c r="Q11" s="345">
        <f>+'Control panel'!$F8</f>
        <v>4.8494971762714868E-2</v>
      </c>
      <c r="R11" s="348">
        <f t="shared" si="0"/>
        <v>2.7763705444951683E-2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1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3.0634868515694261E-2</v>
      </c>
      <c r="O12" s="345">
        <f>+'Control panel'!$C9</f>
        <v>3.0634868515694261E-2</v>
      </c>
      <c r="P12" s="345">
        <f>+'Control panel'!$D9</f>
        <v>3.0634868515694261E-2</v>
      </c>
      <c r="Q12" s="345">
        <f>+'Control panel'!$F9</f>
        <v>3.0634868515694108E-2</v>
      </c>
      <c r="R12" s="347">
        <f t="shared" si="0"/>
        <v>-1.5265566588595902E-16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4.6750473476693526E-2</v>
      </c>
      <c r="O13" s="345">
        <f>+'Control panel'!$C10</f>
        <v>4.6750473476693526E-2</v>
      </c>
      <c r="P13" s="345">
        <f>+'Control panel'!$D10</f>
        <v>4.6750473476693526E-2</v>
      </c>
      <c r="Q13" s="345">
        <f>+'Control panel'!$F10</f>
        <v>4.6750473476693123E-2</v>
      </c>
      <c r="R13" s="347">
        <f t="shared" si="0"/>
        <v>-4.0245584642661925E-16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8.4980607028590643E-3</v>
      </c>
      <c r="E14" s="316">
        <f>+Scenarios!D35</f>
        <v>-3.710154718058286E-2</v>
      </c>
      <c r="F14" s="316">
        <v>5.2856851617787103E-2</v>
      </c>
      <c r="G14" s="316">
        <v>-0.28178446547461966</v>
      </c>
      <c r="H14" s="316">
        <f>+Scenarios!G35</f>
        <v>-0.30384222230247626</v>
      </c>
      <c r="I14" s="317">
        <f>+Scenarios!H35</f>
        <v>0.15461935821249151</v>
      </c>
      <c r="J14" s="325">
        <f>+Scenarios!I35</f>
        <v>8.4980607028590643E-3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-7.4672167433568887E-2</v>
      </c>
      <c r="D18" s="374">
        <f t="shared" ref="D18:H18" si="1">+E3/$J3</f>
        <v>-2.4767147863730042E-2</v>
      </c>
      <c r="E18" s="374">
        <f t="shared" si="1"/>
        <v>-7.8664568999156276E-2</v>
      </c>
      <c r="F18" s="374">
        <f t="shared" si="1"/>
        <v>-0.59195097563264187</v>
      </c>
      <c r="G18" s="374">
        <f t="shared" si="1"/>
        <v>-6.0500538327584126</v>
      </c>
      <c r="H18" s="375">
        <f t="shared" si="1"/>
        <v>-7.4663365745079369E-2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>+D4/$J4</f>
        <v>0.20495691218149042</v>
      </c>
      <c r="D19" s="377">
        <f t="shared" ref="C19:H19" si="2">+E4/$J4</f>
        <v>-0.54582342705666809</v>
      </c>
      <c r="E19" s="377">
        <f t="shared" si="2"/>
        <v>0.32501369405418834</v>
      </c>
      <c r="F19" s="377">
        <f t="shared" si="2"/>
        <v>-2.771260338768649</v>
      </c>
      <c r="G19" s="377">
        <f t="shared" si="2"/>
        <v>-2.6257460784733979</v>
      </c>
      <c r="H19" s="378">
        <f t="shared" si="2"/>
        <v>1.7365142383305208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8.9831247029668326E-2</v>
      </c>
      <c r="D20" s="377">
        <f t="shared" si="3"/>
        <v>-0.13017934362273262</v>
      </c>
      <c r="E20" s="377">
        <f t="shared" si="3"/>
        <v>1.9952413279374189E-2</v>
      </c>
      <c r="F20" s="377">
        <f t="shared" si="3"/>
        <v>-2.5776649167001984</v>
      </c>
      <c r="G20" s="377">
        <f t="shared" si="3"/>
        <v>-1.0574894444208447</v>
      </c>
      <c r="H20" s="378">
        <f t="shared" si="3"/>
        <v>1.591986834602521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-4.4308424950685758E-2</v>
      </c>
      <c r="D21" s="377">
        <f t="shared" si="4"/>
        <v>-0.67242546177950924</v>
      </c>
      <c r="E21" s="377">
        <f t="shared" si="4"/>
        <v>0.15301505774447097</v>
      </c>
      <c r="F21" s="377">
        <f t="shared" si="4"/>
        <v>-2.0864307087885008</v>
      </c>
      <c r="G21" s="377">
        <f t="shared" si="4"/>
        <v>-1.6409380640084195</v>
      </c>
      <c r="H21" s="378">
        <f t="shared" si="4"/>
        <v>1.4253944416132616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0.19547780911201601</v>
      </c>
      <c r="D22" s="377">
        <f t="shared" si="5"/>
        <v>-0.23386286684225235</v>
      </c>
      <c r="E22" s="377">
        <f t="shared" si="5"/>
        <v>0.25239272796933865</v>
      </c>
      <c r="F22" s="377">
        <f t="shared" si="5"/>
        <v>-1.4404662908305474</v>
      </c>
      <c r="G22" s="377">
        <f t="shared" si="5"/>
        <v>-0.89675960058129345</v>
      </c>
      <c r="H22" s="378">
        <f t="shared" si="5"/>
        <v>1.2720027682255148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0.22009925192595167</v>
      </c>
      <c r="D23" s="377">
        <f t="shared" si="6"/>
        <v>3.6837172597480185E-2</v>
      </c>
      <c r="E23" s="377">
        <f t="shared" si="6"/>
        <v>0.26111443727465211</v>
      </c>
      <c r="F23" s="377">
        <f t="shared" si="6"/>
        <v>-1.5966660149297729</v>
      </c>
      <c r="G23" s="377">
        <f t="shared" si="6"/>
        <v>-1.6563634102613545</v>
      </c>
      <c r="H23" s="378">
        <f t="shared" si="6"/>
        <v>1.9030828649402849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0.11650425534303178</v>
      </c>
      <c r="D24" s="377">
        <f t="shared" si="7"/>
        <v>-0.29104190226106924</v>
      </c>
      <c r="E24" s="377">
        <f t="shared" si="7"/>
        <v>0.11330057069456174</v>
      </c>
      <c r="F24" s="377">
        <f t="shared" si="7"/>
        <v>-1.5942422080239818</v>
      </c>
      <c r="G24" s="377">
        <f t="shared" si="7"/>
        <v>-4.3114486976628737E-2</v>
      </c>
      <c r="H24" s="378">
        <f t="shared" si="7"/>
        <v>1.742988179748626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-2.9817392301437873E-2</v>
      </c>
      <c r="D25" s="380">
        <f t="shared" si="8"/>
        <v>-0.69557575828543405</v>
      </c>
      <c r="E25" s="380">
        <f t="shared" si="8"/>
        <v>0.13937564196638064</v>
      </c>
      <c r="F25" s="380">
        <f t="shared" si="8"/>
        <v>-2.2527974859565854</v>
      </c>
      <c r="G25" s="380">
        <f t="shared" si="8"/>
        <v>-2.3938991278153079</v>
      </c>
      <c r="H25" s="381">
        <f t="shared" si="8"/>
        <v>2.0453522113205658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03" t="s">
        <v>135</v>
      </c>
      <c r="D33" s="404"/>
      <c r="E33" s="403" t="s">
        <v>134</v>
      </c>
      <c r="F33" s="404"/>
      <c r="G33" s="404"/>
      <c r="H33" s="405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-3.2445168309994665E-3</v>
      </c>
      <c r="I35" s="358">
        <f>+J3</f>
        <v>4.345014939985381E-2</v>
      </c>
      <c r="J35" s="359">
        <f>+E35/I32</f>
        <v>-0.85588235294117654</v>
      </c>
      <c r="K35" s="335">
        <f>+H35/I35</f>
        <v>-7.4672167433568887E-2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3.2492969125133414E-2</v>
      </c>
      <c r="I36" s="322">
        <f t="shared" ref="I36:I42" si="9">+J4</f>
        <v>0.15853561014014847</v>
      </c>
      <c r="J36" s="360">
        <f>+E36/I36</f>
        <v>-0.29311302230038522</v>
      </c>
      <c r="K36" s="335">
        <f t="shared" ref="K36:K42" si="10">+H36/I36</f>
        <v>0.20495691218149042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1.45681608513176E-2</v>
      </c>
      <c r="I37" s="322">
        <f t="shared" si="9"/>
        <v>0.16217253275473525</v>
      </c>
      <c r="J37" s="360">
        <f>+E37/I37</f>
        <v>6.8473034482383871E-2</v>
      </c>
      <c r="K37" s="335">
        <f>+H37/I37</f>
        <v>8.9831247029668326E-2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-1.272492445230269E-2</v>
      </c>
      <c r="I38" s="322">
        <f t="shared" si="9"/>
        <v>0.28718972670468956</v>
      </c>
      <c r="J38" s="360">
        <f t="shared" ref="J38:J42" si="11">+E38/I38</f>
        <v>-0.20248591870731911</v>
      </c>
      <c r="K38" s="335">
        <f>+H38/I38</f>
        <v>-4.4308424950685758E-2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5.7893485302571407E-2</v>
      </c>
      <c r="I39" s="322">
        <f t="shared" si="9"/>
        <v>0.29616397669669142</v>
      </c>
      <c r="J39" s="360">
        <f t="shared" si="11"/>
        <v>-0.14735281060164138</v>
      </c>
      <c r="K39" s="335">
        <f t="shared" si="10"/>
        <v>0.19547780911201601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7.1858480605475325E-2</v>
      </c>
      <c r="I40" s="322">
        <f t="shared" si="9"/>
        <v>0.32648216646211403</v>
      </c>
      <c r="J40" s="360">
        <f t="shared" si="11"/>
        <v>-0.1093948849877554</v>
      </c>
      <c r="K40" s="335">
        <f t="shared" si="10"/>
        <v>0.22009925192595167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1.8730269708989476E-2</v>
      </c>
      <c r="I41" s="322">
        <f t="shared" si="9"/>
        <v>0.16076897495152093</v>
      </c>
      <c r="J41" s="360">
        <f t="shared" si="11"/>
        <v>-0.43032004279267166</v>
      </c>
      <c r="K41" s="335">
        <f t="shared" si="10"/>
        <v>0.11650425534303178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-5.9825766089863959E-3</v>
      </c>
      <c r="I42" s="323">
        <f t="shared" si="9"/>
        <v>0.20064050365322861</v>
      </c>
      <c r="J42" s="361">
        <f t="shared" si="11"/>
        <v>-0.29094902444730519</v>
      </c>
      <c r="K42" s="340">
        <f t="shared" si="10"/>
        <v>-2.9817392301437873E-2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2013-02-15T14:46:44Z</dcterms:modified>
</cp:coreProperties>
</file>