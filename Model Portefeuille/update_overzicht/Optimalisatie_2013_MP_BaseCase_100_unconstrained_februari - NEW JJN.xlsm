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4.xml" ContentType="application/vnd.openxmlformats-officedocument.spreadsheetml.externalLink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3830" yWindow="30" windowWidth="14595" windowHeight="12555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amenvatting mixen" sheetId="6" r:id="rId6"/>
    <sheet name="Samenvatting mixen - return" sheetId="8" r:id="rId7"/>
    <sheet name="output IC" sheetId="11" r:id="rId8"/>
    <sheet name="Sheet1" sheetId="12" r:id="rId9"/>
  </sheets>
  <externalReferences>
    <externalReference r:id="rId10"/>
    <externalReference r:id="rId11"/>
    <externalReference r:id="rId12"/>
    <externalReference r:id="rId13"/>
  </externalReferences>
  <definedNames>
    <definedName name="aan_uit">Optimalisatie!$B$101:$B$102</definedName>
    <definedName name="hh">'[1]Parameters scenarios'!$A$104:$A$118</definedName>
    <definedName name="k">'Absolute visies'!$N$4:$U$11</definedName>
    <definedName name="Klanten">'[2]Parameters scenarios'!$A$104:$A$118</definedName>
    <definedName name="Klanten_v2">'[3]Parameters scenarios'!$A$103:$A$118</definedName>
    <definedName name="Port_type">'[2]Parameters optimalisatie'!$B$51:$B$52</definedName>
    <definedName name="Port_type_2">'[3]Parameters optimalisatie'!$B$47:$B$48</definedName>
  </definedNames>
  <calcPr calcId="125725" concurrentCalc="0"/>
</workbook>
</file>

<file path=xl/calcChain.xml><?xml version="1.0" encoding="utf-8"?>
<calcChain xmlns="http://schemas.openxmlformats.org/spreadsheetml/2006/main">
  <c r="C33" i="7"/>
  <c r="E33"/>
  <c r="B31"/>
  <c r="B30"/>
  <c r="B29"/>
  <c r="B28"/>
  <c r="B27"/>
  <c r="B26"/>
  <c r="B25"/>
  <c r="B24"/>
  <c r="J21" i="11"/>
  <c r="J22"/>
  <c r="J23"/>
  <c r="J24"/>
  <c r="J25"/>
  <c r="J26"/>
  <c r="J27"/>
  <c r="J20"/>
  <c r="D21"/>
  <c r="E21"/>
  <c r="F21"/>
  <c r="G21"/>
  <c r="H21"/>
  <c r="I21"/>
  <c r="D22"/>
  <c r="E22"/>
  <c r="F22"/>
  <c r="G22"/>
  <c r="H22"/>
  <c r="I22"/>
  <c r="D23"/>
  <c r="E23"/>
  <c r="F23"/>
  <c r="G23"/>
  <c r="H23"/>
  <c r="I23"/>
  <c r="D24"/>
  <c r="E24"/>
  <c r="F24"/>
  <c r="G24"/>
  <c r="H24"/>
  <c r="I24"/>
  <c r="D25"/>
  <c r="E25"/>
  <c r="F25"/>
  <c r="G25"/>
  <c r="H25"/>
  <c r="I25"/>
  <c r="D26"/>
  <c r="E26"/>
  <c r="F26"/>
  <c r="G26"/>
  <c r="H26"/>
  <c r="I26"/>
  <c r="D27"/>
  <c r="E27"/>
  <c r="F27"/>
  <c r="G27"/>
  <c r="H27"/>
  <c r="I27"/>
  <c r="I20"/>
  <c r="H20"/>
  <c r="G20"/>
  <c r="F20"/>
  <c r="E20"/>
  <c r="D20"/>
  <c r="C20"/>
  <c r="C21"/>
  <c r="C22"/>
  <c r="C23"/>
  <c r="C24"/>
  <c r="C25"/>
  <c r="C26"/>
  <c r="C27"/>
  <c r="E3"/>
  <c r="F3"/>
  <c r="G3"/>
  <c r="E4"/>
  <c r="F4"/>
  <c r="G4"/>
  <c r="E5"/>
  <c r="F5"/>
  <c r="G5"/>
  <c r="E6"/>
  <c r="F6"/>
  <c r="G6"/>
  <c r="E7"/>
  <c r="F7"/>
  <c r="G7"/>
  <c r="E8"/>
  <c r="F8"/>
  <c r="G8"/>
  <c r="E9"/>
  <c r="F9"/>
  <c r="G9"/>
  <c r="E10"/>
  <c r="F10"/>
  <c r="G10"/>
  <c r="D33" i="7"/>
  <c r="E12" i="11"/>
  <c r="F12"/>
  <c r="F33" i="7"/>
  <c r="G12" i="11"/>
  <c r="J50"/>
  <c r="H50"/>
  <c r="K50"/>
  <c r="J5"/>
  <c r="I52"/>
  <c r="J52"/>
  <c r="J6"/>
  <c r="I53"/>
  <c r="J7"/>
  <c r="I54"/>
  <c r="J54"/>
  <c r="J8"/>
  <c r="I55"/>
  <c r="J9"/>
  <c r="I56"/>
  <c r="J10"/>
  <c r="I57"/>
  <c r="J4"/>
  <c r="I51"/>
  <c r="J51"/>
  <c r="H54"/>
  <c r="H51"/>
  <c r="H52"/>
  <c r="H53"/>
  <c r="H55"/>
  <c r="H56"/>
  <c r="H57"/>
  <c r="J3"/>
  <c r="A6" i="6"/>
  <c r="A5" i="8"/>
  <c r="A7" i="6"/>
  <c r="A6" i="8"/>
  <c r="A8" i="6"/>
  <c r="A7" i="8"/>
  <c r="A9" i="6"/>
  <c r="A8" i="8"/>
  <c r="A10" i="6"/>
  <c r="A9" i="8"/>
  <c r="A11" i="6"/>
  <c r="A10" i="8"/>
  <c r="A5" i="6"/>
  <c r="A4" i="8"/>
  <c r="O9" i="11"/>
  <c r="F10" i="9"/>
  <c r="Q13" i="11"/>
  <c r="N13"/>
  <c r="R13"/>
  <c r="F9" i="9"/>
  <c r="Q12" i="11"/>
  <c r="N12"/>
  <c r="R12"/>
  <c r="F8" i="9"/>
  <c r="Q11" i="11"/>
  <c r="N11"/>
  <c r="R11"/>
  <c r="F7" i="9"/>
  <c r="Q10" i="11"/>
  <c r="N10"/>
  <c r="R10"/>
  <c r="F6" i="9"/>
  <c r="Q9" i="11"/>
  <c r="N9"/>
  <c r="R9"/>
  <c r="F5" i="9"/>
  <c r="Q8" i="11"/>
  <c r="N8"/>
  <c r="R8"/>
  <c r="F4" i="9"/>
  <c r="Q7" i="11"/>
  <c r="N7"/>
  <c r="R7"/>
  <c r="F3" i="9"/>
  <c r="Q6" i="11"/>
  <c r="N6"/>
  <c r="R6"/>
  <c r="P13"/>
  <c r="P12"/>
  <c r="P11"/>
  <c r="P10"/>
  <c r="P9"/>
  <c r="P8"/>
  <c r="P7"/>
  <c r="P6"/>
  <c r="O13"/>
  <c r="O12"/>
  <c r="O11"/>
  <c r="O10"/>
  <c r="O8"/>
  <c r="O7"/>
  <c r="O6"/>
  <c r="H35" i="7"/>
  <c r="I14" i="11"/>
  <c r="B35" i="7"/>
  <c r="C14" i="11"/>
  <c r="B33" i="7"/>
  <c r="G33"/>
  <c r="H33"/>
  <c r="I33"/>
  <c r="J12" i="11"/>
  <c r="H12"/>
  <c r="I12"/>
  <c r="D12"/>
  <c r="C12"/>
  <c r="I10"/>
  <c r="H10"/>
  <c r="D10"/>
  <c r="I9"/>
  <c r="H9"/>
  <c r="D9"/>
  <c r="I8"/>
  <c r="H8"/>
  <c r="D8"/>
  <c r="I7"/>
  <c r="H7"/>
  <c r="D7"/>
  <c r="I6"/>
  <c r="H6"/>
  <c r="D6"/>
  <c r="I5"/>
  <c r="H5"/>
  <c r="D5"/>
  <c r="I4"/>
  <c r="H4"/>
  <c r="D4"/>
  <c r="I3"/>
  <c r="H3"/>
  <c r="D3"/>
  <c r="C10"/>
  <c r="C9"/>
  <c r="C8"/>
  <c r="C7"/>
  <c r="C6"/>
  <c r="C5"/>
  <c r="C4"/>
  <c r="C3"/>
  <c r="G7" i="9"/>
  <c r="G6"/>
  <c r="G3"/>
  <c r="G4"/>
  <c r="G5"/>
  <c r="G8"/>
  <c r="G9"/>
  <c r="G10"/>
  <c r="A21" i="5"/>
  <c r="A22"/>
  <c r="A23"/>
  <c r="A24"/>
  <c r="A25"/>
  <c r="A26"/>
  <c r="G5"/>
  <c r="H5"/>
  <c r="B11" i="9"/>
  <c r="B27"/>
  <c r="D27" i="5"/>
  <c r="K11" i="1"/>
  <c r="K22"/>
  <c r="K44"/>
  <c r="J11"/>
  <c r="J22"/>
  <c r="J44"/>
  <c r="I11"/>
  <c r="I22"/>
  <c r="I44"/>
  <c r="H11"/>
  <c r="H22"/>
  <c r="H44"/>
  <c r="G11"/>
  <c r="G22"/>
  <c r="G44"/>
  <c r="F11"/>
  <c r="F22"/>
  <c r="F44"/>
  <c r="E11"/>
  <c r="E33"/>
  <c r="D11"/>
  <c r="D22"/>
  <c r="D44"/>
  <c r="C11"/>
  <c r="C22"/>
  <c r="C44"/>
  <c r="K10"/>
  <c r="K21"/>
  <c r="K43"/>
  <c r="J10"/>
  <c r="J21"/>
  <c r="J43"/>
  <c r="I10"/>
  <c r="I32"/>
  <c r="H10"/>
  <c r="H21"/>
  <c r="H43"/>
  <c r="G10"/>
  <c r="G21"/>
  <c r="G43"/>
  <c r="F10"/>
  <c r="F21"/>
  <c r="F43"/>
  <c r="E10"/>
  <c r="E32"/>
  <c r="D10"/>
  <c r="D21"/>
  <c r="D43"/>
  <c r="C10"/>
  <c r="C21"/>
  <c r="C43"/>
  <c r="K9"/>
  <c r="K20"/>
  <c r="K42"/>
  <c r="J9"/>
  <c r="J20"/>
  <c r="J42"/>
  <c r="I9"/>
  <c r="I20"/>
  <c r="I42"/>
  <c r="H9"/>
  <c r="H20"/>
  <c r="H42"/>
  <c r="G9"/>
  <c r="G20"/>
  <c r="G42"/>
  <c r="F9"/>
  <c r="F20"/>
  <c r="F42"/>
  <c r="E9"/>
  <c r="E20"/>
  <c r="E42"/>
  <c r="D9"/>
  <c r="D20"/>
  <c r="D42"/>
  <c r="C9"/>
  <c r="C20"/>
  <c r="C42"/>
  <c r="K8"/>
  <c r="K30"/>
  <c r="J8"/>
  <c r="J19"/>
  <c r="J41"/>
  <c r="I8"/>
  <c r="I19"/>
  <c r="I41"/>
  <c r="H8"/>
  <c r="H19"/>
  <c r="H41"/>
  <c r="G8"/>
  <c r="G19"/>
  <c r="G41"/>
  <c r="F8"/>
  <c r="F19"/>
  <c r="F41"/>
  <c r="E8"/>
  <c r="E19"/>
  <c r="E41"/>
  <c r="D8"/>
  <c r="D19"/>
  <c r="D41"/>
  <c r="C8"/>
  <c r="C19"/>
  <c r="C41"/>
  <c r="K7"/>
  <c r="K18"/>
  <c r="K40"/>
  <c r="J7"/>
  <c r="J18"/>
  <c r="J40"/>
  <c r="I7"/>
  <c r="I29"/>
  <c r="H7"/>
  <c r="H18"/>
  <c r="H40"/>
  <c r="G7"/>
  <c r="G18"/>
  <c r="G40"/>
  <c r="F7"/>
  <c r="F18"/>
  <c r="F40"/>
  <c r="E7"/>
  <c r="E18"/>
  <c r="E40"/>
  <c r="D7"/>
  <c r="D18"/>
  <c r="D40"/>
  <c r="C7"/>
  <c r="C18"/>
  <c r="C40"/>
  <c r="K6"/>
  <c r="K17"/>
  <c r="K39"/>
  <c r="J6"/>
  <c r="J28"/>
  <c r="I6"/>
  <c r="I17"/>
  <c r="I39"/>
  <c r="H6"/>
  <c r="H17"/>
  <c r="H39"/>
  <c r="G6"/>
  <c r="G17"/>
  <c r="G39"/>
  <c r="F6"/>
  <c r="F17"/>
  <c r="F39"/>
  <c r="E6"/>
  <c r="E17"/>
  <c r="E39"/>
  <c r="D6"/>
  <c r="D17"/>
  <c r="D39"/>
  <c r="C6"/>
  <c r="C17"/>
  <c r="C39"/>
  <c r="K5"/>
  <c r="K27"/>
  <c r="J5"/>
  <c r="J16"/>
  <c r="J38"/>
  <c r="I5"/>
  <c r="I16"/>
  <c r="I38"/>
  <c r="H5"/>
  <c r="H16"/>
  <c r="H38"/>
  <c r="G5"/>
  <c r="G16"/>
  <c r="G38"/>
  <c r="F5"/>
  <c r="F27"/>
  <c r="E5"/>
  <c r="E16"/>
  <c r="E38"/>
  <c r="D5"/>
  <c r="D16"/>
  <c r="D38"/>
  <c r="C5"/>
  <c r="C16"/>
  <c r="C38"/>
  <c r="K4"/>
  <c r="K26"/>
  <c r="J4"/>
  <c r="J15"/>
  <c r="J37"/>
  <c r="I4"/>
  <c r="I15"/>
  <c r="I37"/>
  <c r="H4"/>
  <c r="H15"/>
  <c r="H37"/>
  <c r="G4"/>
  <c r="G15"/>
  <c r="G37"/>
  <c r="F4"/>
  <c r="F15"/>
  <c r="F37"/>
  <c r="E4"/>
  <c r="E15"/>
  <c r="E37"/>
  <c r="D4"/>
  <c r="D15"/>
  <c r="D37"/>
  <c r="C4"/>
  <c r="C15"/>
  <c r="C37"/>
  <c r="I33"/>
  <c r="G33"/>
  <c r="C33"/>
  <c r="K31"/>
  <c r="G31"/>
  <c r="D30"/>
  <c r="K29"/>
  <c r="I28"/>
  <c r="D26"/>
  <c r="C26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75"/>
  <c r="J75"/>
  <c r="I75"/>
  <c r="H75"/>
  <c r="G75"/>
  <c r="F75"/>
  <c r="E75"/>
  <c r="D75"/>
  <c r="C75"/>
  <c r="K74"/>
  <c r="J74"/>
  <c r="I74"/>
  <c r="H74"/>
  <c r="G74"/>
  <c r="F74"/>
  <c r="E74"/>
  <c r="D74"/>
  <c r="C74"/>
  <c r="K73"/>
  <c r="J73"/>
  <c r="I73"/>
  <c r="H73"/>
  <c r="G73"/>
  <c r="F73"/>
  <c r="E73"/>
  <c r="D73"/>
  <c r="C73"/>
  <c r="K72"/>
  <c r="J72"/>
  <c r="I72"/>
  <c r="H72"/>
  <c r="G72"/>
  <c r="F72"/>
  <c r="E72"/>
  <c r="D72"/>
  <c r="C72"/>
  <c r="K71"/>
  <c r="J71"/>
  <c r="I71"/>
  <c r="H71"/>
  <c r="G71"/>
  <c r="F71"/>
  <c r="E71"/>
  <c r="D71"/>
  <c r="C71"/>
  <c r="K70"/>
  <c r="J70"/>
  <c r="I70"/>
  <c r="H70"/>
  <c r="G70"/>
  <c r="F70"/>
  <c r="E70"/>
  <c r="D70"/>
  <c r="C70"/>
  <c r="H27" i="5"/>
  <c r="C112"/>
  <c r="B77" i="1"/>
  <c r="B76"/>
  <c r="B75"/>
  <c r="B74"/>
  <c r="B73"/>
  <c r="B72"/>
  <c r="B71"/>
  <c r="B70"/>
  <c r="B66"/>
  <c r="B65"/>
  <c r="B64"/>
  <c r="B63"/>
  <c r="B62"/>
  <c r="B61"/>
  <c r="B60"/>
  <c r="B59"/>
  <c r="C111" i="5"/>
  <c r="C106"/>
  <c r="C107"/>
  <c r="C108"/>
  <c r="C109"/>
  <c r="C110"/>
  <c r="A80" i="6"/>
  <c r="A73" i="8"/>
  <c r="Q73"/>
  <c r="A69" i="6"/>
  <c r="A63" i="8"/>
  <c r="Q63"/>
  <c r="A58" i="6"/>
  <c r="U88"/>
  <c r="T88"/>
  <c r="S88"/>
  <c r="A22"/>
  <c r="A44"/>
  <c r="A55"/>
  <c r="U87"/>
  <c r="T87"/>
  <c r="S87"/>
  <c r="A21"/>
  <c r="A43"/>
  <c r="U86"/>
  <c r="T86"/>
  <c r="S86"/>
  <c r="A20"/>
  <c r="A42"/>
  <c r="A53"/>
  <c r="U85"/>
  <c r="T85"/>
  <c r="S85"/>
  <c r="A19"/>
  <c r="A41"/>
  <c r="U84"/>
  <c r="T84"/>
  <c r="S84"/>
  <c r="A18"/>
  <c r="A40"/>
  <c r="A51"/>
  <c r="U83"/>
  <c r="T83"/>
  <c r="S83"/>
  <c r="A17"/>
  <c r="A39"/>
  <c r="U82"/>
  <c r="T82"/>
  <c r="S82"/>
  <c r="A16"/>
  <c r="A38"/>
  <c r="A49"/>
  <c r="U81"/>
  <c r="T81"/>
  <c r="S81"/>
  <c r="A4"/>
  <c r="A15"/>
  <c r="R80"/>
  <c r="U77"/>
  <c r="T77"/>
  <c r="S77"/>
  <c r="U76"/>
  <c r="T76"/>
  <c r="S76"/>
  <c r="U75"/>
  <c r="T75"/>
  <c r="S75"/>
  <c r="U74"/>
  <c r="T74"/>
  <c r="S74"/>
  <c r="U73"/>
  <c r="T73"/>
  <c r="S73"/>
  <c r="U72"/>
  <c r="T72"/>
  <c r="S72"/>
  <c r="U71"/>
  <c r="T71"/>
  <c r="S71"/>
  <c r="U70"/>
  <c r="T70"/>
  <c r="S70"/>
  <c r="R69"/>
  <c r="V80" i="8"/>
  <c r="T80"/>
  <c r="S80"/>
  <c r="R80"/>
  <c r="V79"/>
  <c r="T79"/>
  <c r="S79"/>
  <c r="R79"/>
  <c r="V78"/>
  <c r="T78"/>
  <c r="S78"/>
  <c r="R78"/>
  <c r="V77"/>
  <c r="T77"/>
  <c r="S77"/>
  <c r="R77"/>
  <c r="V76"/>
  <c r="T76"/>
  <c r="S76"/>
  <c r="R76"/>
  <c r="V75"/>
  <c r="T75"/>
  <c r="S75"/>
  <c r="R75"/>
  <c r="V74"/>
  <c r="T74"/>
  <c r="S74"/>
  <c r="R74"/>
  <c r="T70"/>
  <c r="S70"/>
  <c r="R70"/>
  <c r="T69"/>
  <c r="S69"/>
  <c r="R69"/>
  <c r="T68"/>
  <c r="S68"/>
  <c r="R68"/>
  <c r="T67"/>
  <c r="S67"/>
  <c r="R67"/>
  <c r="T66"/>
  <c r="S66"/>
  <c r="R66"/>
  <c r="T65"/>
  <c r="S65"/>
  <c r="R65"/>
  <c r="T64"/>
  <c r="S64"/>
  <c r="R64"/>
  <c r="A69" i="1"/>
  <c r="A58"/>
  <c r="A47"/>
  <c r="A36"/>
  <c r="A25"/>
  <c r="A14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G5" i="4"/>
  <c r="G6"/>
  <c r="G7"/>
  <c r="G8"/>
  <c r="G9"/>
  <c r="G10"/>
  <c r="G11"/>
  <c r="G4"/>
  <c r="H12"/>
  <c r="H5"/>
  <c r="H6"/>
  <c r="H7"/>
  <c r="H8"/>
  <c r="H9"/>
  <c r="H10"/>
  <c r="H11"/>
  <c r="H4"/>
  <c r="D4"/>
  <c r="D5"/>
  <c r="D6"/>
  <c r="D7"/>
  <c r="D8"/>
  <c r="D9"/>
  <c r="D10"/>
  <c r="D11"/>
  <c r="C5"/>
  <c r="C6"/>
  <c r="C7"/>
  <c r="C8"/>
  <c r="C9"/>
  <c r="C10"/>
  <c r="C11"/>
  <c r="C4"/>
  <c r="B5" i="7"/>
  <c r="B6"/>
  <c r="B7"/>
  <c r="B8"/>
  <c r="B9"/>
  <c r="B10"/>
  <c r="B11"/>
  <c r="B4"/>
  <c r="A4" i="9"/>
  <c r="W4"/>
  <c r="A5"/>
  <c r="W5"/>
  <c r="A6"/>
  <c r="W6"/>
  <c r="A7"/>
  <c r="W7"/>
  <c r="A8"/>
  <c r="W8"/>
  <c r="A9"/>
  <c r="W9"/>
  <c r="A10"/>
  <c r="W10"/>
  <c r="A3"/>
  <c r="B109" i="8"/>
  <c r="B108"/>
  <c r="B107"/>
  <c r="B106"/>
  <c r="B105"/>
  <c r="B104"/>
  <c r="B103"/>
  <c r="V60"/>
  <c r="T60"/>
  <c r="S60"/>
  <c r="R60"/>
  <c r="V59"/>
  <c r="T59"/>
  <c r="S59"/>
  <c r="R59"/>
  <c r="V58"/>
  <c r="T58"/>
  <c r="S58"/>
  <c r="R58"/>
  <c r="V57"/>
  <c r="T57"/>
  <c r="S57"/>
  <c r="R57"/>
  <c r="V56"/>
  <c r="T56"/>
  <c r="S56"/>
  <c r="R56"/>
  <c r="V55"/>
  <c r="T55"/>
  <c r="S55"/>
  <c r="R55"/>
  <c r="V54"/>
  <c r="T54"/>
  <c r="S54"/>
  <c r="R54"/>
  <c r="T50"/>
  <c r="S50"/>
  <c r="R50"/>
  <c r="T49"/>
  <c r="S49"/>
  <c r="R49"/>
  <c r="T48"/>
  <c r="S48"/>
  <c r="R48"/>
  <c r="T47"/>
  <c r="S47"/>
  <c r="R47"/>
  <c r="T46"/>
  <c r="S46"/>
  <c r="R46"/>
  <c r="T45"/>
  <c r="S45"/>
  <c r="R45"/>
  <c r="T44"/>
  <c r="S44"/>
  <c r="R44"/>
  <c r="T40"/>
  <c r="S40"/>
  <c r="R40"/>
  <c r="T39"/>
  <c r="S39"/>
  <c r="R39"/>
  <c r="T38"/>
  <c r="S38"/>
  <c r="R38"/>
  <c r="T37"/>
  <c r="S37"/>
  <c r="R37"/>
  <c r="T36"/>
  <c r="S36"/>
  <c r="R36"/>
  <c r="T35"/>
  <c r="S35"/>
  <c r="R35"/>
  <c r="T34"/>
  <c r="S34"/>
  <c r="R34"/>
  <c r="T30"/>
  <c r="S30"/>
  <c r="R30"/>
  <c r="T29"/>
  <c r="S29"/>
  <c r="R29"/>
  <c r="T28"/>
  <c r="S28"/>
  <c r="R28"/>
  <c r="T27"/>
  <c r="S27"/>
  <c r="R27"/>
  <c r="T26"/>
  <c r="S26"/>
  <c r="R26"/>
  <c r="T25"/>
  <c r="S25"/>
  <c r="R25"/>
  <c r="T24"/>
  <c r="S24"/>
  <c r="R24"/>
  <c r="T20"/>
  <c r="S20"/>
  <c r="R20"/>
  <c r="T19"/>
  <c r="S19"/>
  <c r="R19"/>
  <c r="T18"/>
  <c r="S18"/>
  <c r="R18"/>
  <c r="T17"/>
  <c r="S17"/>
  <c r="R17"/>
  <c r="T16"/>
  <c r="S16"/>
  <c r="R16"/>
  <c r="T15"/>
  <c r="S15"/>
  <c r="R15"/>
  <c r="T14"/>
  <c r="S14"/>
  <c r="R14"/>
  <c r="T10"/>
  <c r="S10"/>
  <c r="R10"/>
  <c r="T9"/>
  <c r="S9"/>
  <c r="R9"/>
  <c r="T8"/>
  <c r="S8"/>
  <c r="R8"/>
  <c r="T7"/>
  <c r="S7"/>
  <c r="R7"/>
  <c r="T6"/>
  <c r="S6"/>
  <c r="R6"/>
  <c r="T5"/>
  <c r="S5"/>
  <c r="R5"/>
  <c r="T4"/>
  <c r="S4"/>
  <c r="R4"/>
  <c r="A53"/>
  <c r="Q53"/>
  <c r="A36" i="6"/>
  <c r="A33" i="8"/>
  <c r="Q33"/>
  <c r="A14" i="6"/>
  <c r="A13" i="8"/>
  <c r="Q13"/>
  <c r="A20" i="5"/>
  <c r="A3" i="8"/>
  <c r="Q3"/>
  <c r="R58" i="6"/>
  <c r="R36"/>
  <c r="R3"/>
  <c r="B26" i="1"/>
  <c r="B37"/>
  <c r="B27"/>
  <c r="B39"/>
  <c r="B51"/>
  <c r="B8"/>
  <c r="B31"/>
  <c r="B43"/>
  <c r="B55"/>
  <c r="B4"/>
  <c r="B30"/>
  <c r="B41"/>
  <c r="B54"/>
  <c r="B50"/>
  <c r="B33"/>
  <c r="B29"/>
  <c r="B16"/>
  <c r="B42"/>
  <c r="B5"/>
  <c r="B17"/>
  <c r="B53"/>
  <c r="B10"/>
  <c r="B6"/>
  <c r="B22"/>
  <c r="B18"/>
  <c r="B44"/>
  <c r="B32"/>
  <c r="B52"/>
  <c r="B40"/>
  <c r="B28"/>
  <c r="B48"/>
  <c r="B11"/>
  <c r="B7"/>
  <c r="B20"/>
  <c r="B38"/>
  <c r="B9"/>
  <c r="B21"/>
  <c r="B49"/>
  <c r="B15"/>
  <c r="B19"/>
  <c r="A104" i="7"/>
  <c r="B115"/>
  <c r="A105"/>
  <c r="A106"/>
  <c r="A107"/>
  <c r="B116"/>
  <c r="B114"/>
  <c r="A108"/>
  <c r="A109"/>
  <c r="A110"/>
  <c r="A111"/>
  <c r="U66" i="6"/>
  <c r="T66"/>
  <c r="S66"/>
  <c r="U65"/>
  <c r="T65"/>
  <c r="S65"/>
  <c r="U64"/>
  <c r="T64"/>
  <c r="S64"/>
  <c r="U63"/>
  <c r="T63"/>
  <c r="S63"/>
  <c r="U62"/>
  <c r="T62"/>
  <c r="S62"/>
  <c r="U61"/>
  <c r="T61"/>
  <c r="S61"/>
  <c r="U60"/>
  <c r="T60"/>
  <c r="S60"/>
  <c r="U59"/>
  <c r="T59"/>
  <c r="S59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4"/>
  <c r="T44"/>
  <c r="S44"/>
  <c r="U43"/>
  <c r="T43"/>
  <c r="S43"/>
  <c r="U42"/>
  <c r="T42"/>
  <c r="S42"/>
  <c r="U41"/>
  <c r="T41"/>
  <c r="S41"/>
  <c r="U40"/>
  <c r="T40"/>
  <c r="S40"/>
  <c r="U39"/>
  <c r="T39"/>
  <c r="S39"/>
  <c r="U38"/>
  <c r="T38"/>
  <c r="S38"/>
  <c r="U37"/>
  <c r="T37"/>
  <c r="S37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7"/>
  <c r="T27"/>
  <c r="S27"/>
  <c r="U26"/>
  <c r="T26"/>
  <c r="S26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5"/>
  <c r="T15"/>
  <c r="S15"/>
  <c r="U11"/>
  <c r="T11"/>
  <c r="S11"/>
  <c r="R11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29"/>
  <c r="R29"/>
  <c r="R18"/>
  <c r="A33"/>
  <c r="R33"/>
  <c r="R22"/>
  <c r="R20"/>
  <c r="A31"/>
  <c r="R31"/>
  <c r="R16"/>
  <c r="A27"/>
  <c r="R27"/>
  <c r="A28"/>
  <c r="R28"/>
  <c r="A32"/>
  <c r="R32"/>
  <c r="R17"/>
  <c r="R21"/>
  <c r="R44"/>
  <c r="R42"/>
  <c r="R19"/>
  <c r="A30"/>
  <c r="R30"/>
  <c r="R40"/>
  <c r="R38"/>
  <c r="B108" i="4"/>
  <c r="B109"/>
  <c r="B110"/>
  <c r="B111"/>
  <c r="B112"/>
  <c r="B113"/>
  <c r="B114"/>
  <c r="B107"/>
  <c r="C105" i="5"/>
  <c r="A124"/>
  <c r="A118"/>
  <c r="A119"/>
  <c r="A120"/>
  <c r="A121"/>
  <c r="A122"/>
  <c r="A123"/>
  <c r="A117"/>
  <c r="B126"/>
  <c r="A27"/>
  <c r="A25" i="6"/>
  <c r="R25"/>
  <c r="A47"/>
  <c r="R47"/>
  <c r="A23" i="8"/>
  <c r="Q23"/>
  <c r="A5" i="4"/>
  <c r="A108"/>
  <c r="A6"/>
  <c r="A109"/>
  <c r="A7"/>
  <c r="A110"/>
  <c r="A8"/>
  <c r="A111"/>
  <c r="A9"/>
  <c r="A112"/>
  <c r="A10"/>
  <c r="A113"/>
  <c r="A11"/>
  <c r="A22"/>
  <c r="A114"/>
  <c r="A4"/>
  <c r="A107"/>
  <c r="A20"/>
  <c r="A21"/>
  <c r="A17"/>
  <c r="A18"/>
  <c r="A16"/>
  <c r="A15"/>
  <c r="C35" i="7"/>
  <c r="D14" i="11"/>
  <c r="G35" i="7"/>
  <c r="H14" i="11"/>
  <c r="A54" i="6"/>
  <c r="R43"/>
  <c r="R55"/>
  <c r="A66"/>
  <c r="A49" i="8"/>
  <c r="Q9"/>
  <c r="A29"/>
  <c r="Q29"/>
  <c r="A39"/>
  <c r="Q39"/>
  <c r="A19"/>
  <c r="Q19"/>
  <c r="A45"/>
  <c r="Q5"/>
  <c r="A25"/>
  <c r="Q25"/>
  <c r="A35"/>
  <c r="Q35"/>
  <c r="A15"/>
  <c r="Q15"/>
  <c r="A52" i="6"/>
  <c r="R41"/>
  <c r="R53"/>
  <c r="A64"/>
  <c r="A50" i="8"/>
  <c r="Q50"/>
  <c r="Q10"/>
  <c r="A30"/>
  <c r="Q30"/>
  <c r="A40"/>
  <c r="Q40"/>
  <c r="A60"/>
  <c r="A20"/>
  <c r="Q20"/>
  <c r="A46"/>
  <c r="A26"/>
  <c r="Q26"/>
  <c r="Q6"/>
  <c r="A16"/>
  <c r="Q16"/>
  <c r="A36"/>
  <c r="Q36"/>
  <c r="R39" i="6"/>
  <c r="A50"/>
  <c r="R51"/>
  <c r="A62"/>
  <c r="A44" i="8"/>
  <c r="A24"/>
  <c r="Q24"/>
  <c r="A14"/>
  <c r="Q14"/>
  <c r="A34"/>
  <c r="Q34"/>
  <c r="Q4"/>
  <c r="A47"/>
  <c r="Q7"/>
  <c r="A27"/>
  <c r="Q27"/>
  <c r="A37"/>
  <c r="Q37"/>
  <c r="A17"/>
  <c r="Q17"/>
  <c r="R15" i="6"/>
  <c r="A37"/>
  <c r="A26"/>
  <c r="R26"/>
  <c r="A60"/>
  <c r="R49"/>
  <c r="D26" i="5"/>
  <c r="D22"/>
  <c r="D23"/>
  <c r="D24"/>
  <c r="D20"/>
  <c r="D25"/>
  <c r="D21"/>
  <c r="A48" i="8"/>
  <c r="A28"/>
  <c r="Q28"/>
  <c r="A38"/>
  <c r="Q38"/>
  <c r="Q8"/>
  <c r="A18"/>
  <c r="Q18"/>
  <c r="A43"/>
  <c r="Q43"/>
  <c r="A19" i="4"/>
  <c r="R14" i="6"/>
  <c r="G27" i="1"/>
  <c r="G26"/>
  <c r="E27"/>
  <c r="J26"/>
  <c r="D28"/>
  <c r="C31"/>
  <c r="E21"/>
  <c r="E43"/>
  <c r="I27"/>
  <c r="F28"/>
  <c r="G29"/>
  <c r="E31"/>
  <c r="H26"/>
  <c r="C29"/>
  <c r="J30"/>
  <c r="H32"/>
  <c r="C27"/>
  <c r="J27"/>
  <c r="H29"/>
  <c r="H30"/>
  <c r="F31"/>
  <c r="D33"/>
  <c r="I21"/>
  <c r="I43"/>
  <c r="E28"/>
  <c r="D29"/>
  <c r="C30"/>
  <c r="J31"/>
  <c r="H33"/>
  <c r="J55" i="11"/>
  <c r="K55"/>
  <c r="F32" i="1"/>
  <c r="K15"/>
  <c r="K37"/>
  <c r="K16"/>
  <c r="K38"/>
  <c r="J17"/>
  <c r="J39"/>
  <c r="I18"/>
  <c r="I40"/>
  <c r="E22"/>
  <c r="E44"/>
  <c r="F26"/>
  <c r="E29"/>
  <c r="G30"/>
  <c r="I31"/>
  <c r="J32"/>
  <c r="F16"/>
  <c r="F38"/>
  <c r="K19"/>
  <c r="K41"/>
  <c r="K51" i="11"/>
  <c r="H28" i="1"/>
  <c r="F30"/>
  <c r="D32"/>
  <c r="K33"/>
  <c r="J56" i="11"/>
  <c r="K56"/>
  <c r="K57"/>
  <c r="J57"/>
  <c r="K53"/>
  <c r="J53"/>
  <c r="N4" i="1" a="1"/>
  <c r="E26"/>
  <c r="I26"/>
  <c r="D27"/>
  <c r="H27"/>
  <c r="C28"/>
  <c r="G28"/>
  <c r="K28"/>
  <c r="F29"/>
  <c r="J29"/>
  <c r="E30"/>
  <c r="I30"/>
  <c r="D31"/>
  <c r="H31"/>
  <c r="C32"/>
  <c r="G32"/>
  <c r="K32"/>
  <c r="F33"/>
  <c r="J33"/>
  <c r="K54" i="11"/>
  <c r="K52"/>
  <c r="A48" i="6"/>
  <c r="R37"/>
  <c r="R62"/>
  <c r="A73"/>
  <c r="Q46" i="8"/>
  <c r="A56"/>
  <c r="Q49"/>
  <c r="A59"/>
  <c r="R54" i="6"/>
  <c r="A65"/>
  <c r="A54" i="8"/>
  <c r="Q44"/>
  <c r="A75" i="6"/>
  <c r="R64"/>
  <c r="A55" i="8"/>
  <c r="Q45"/>
  <c r="R60" i="6"/>
  <c r="A71"/>
  <c r="Q47" i="8"/>
  <c r="A57"/>
  <c r="A61" i="6"/>
  <c r="R50"/>
  <c r="A70" i="8"/>
  <c r="Q60"/>
  <c r="A63" i="6"/>
  <c r="R52"/>
  <c r="Q48" i="8"/>
  <c r="A58"/>
  <c r="R66" i="6"/>
  <c r="A77"/>
  <c r="N4" i="1"/>
  <c r="R4"/>
  <c r="N5"/>
  <c r="R5"/>
  <c r="N6"/>
  <c r="R6"/>
  <c r="N7"/>
  <c r="R7"/>
  <c r="N8"/>
  <c r="R8"/>
  <c r="N9"/>
  <c r="R9"/>
  <c r="N10"/>
  <c r="R10"/>
  <c r="N11"/>
  <c r="R11"/>
  <c r="Q4"/>
  <c r="U4"/>
  <c r="Q5"/>
  <c r="U5"/>
  <c r="Q6"/>
  <c r="U6"/>
  <c r="Q7"/>
  <c r="U7"/>
  <c r="Q8"/>
  <c r="U8"/>
  <c r="Q9"/>
  <c r="U9"/>
  <c r="Q10"/>
  <c r="U10"/>
  <c r="Q11"/>
  <c r="U11"/>
  <c r="P4"/>
  <c r="T4"/>
  <c r="P5"/>
  <c r="T5"/>
  <c r="P6"/>
  <c r="T6"/>
  <c r="P7"/>
  <c r="T7"/>
  <c r="P8"/>
  <c r="T8"/>
  <c r="P9"/>
  <c r="T9"/>
  <c r="P10"/>
  <c r="T10"/>
  <c r="P11"/>
  <c r="T11"/>
  <c r="O4"/>
  <c r="S4"/>
  <c r="O5"/>
  <c r="S5"/>
  <c r="O6"/>
  <c r="S6"/>
  <c r="O7"/>
  <c r="S7"/>
  <c r="O8"/>
  <c r="S8"/>
  <c r="O9"/>
  <c r="S9"/>
  <c r="O10"/>
  <c r="S10"/>
  <c r="O11"/>
  <c r="S11"/>
  <c r="R75" i="6"/>
  <c r="A86"/>
  <c r="R86"/>
  <c r="A59"/>
  <c r="R48"/>
  <c r="A68" i="8"/>
  <c r="Q58"/>
  <c r="A74" i="6"/>
  <c r="R63"/>
  <c r="A72"/>
  <c r="R61"/>
  <c r="A76"/>
  <c r="R65"/>
  <c r="Q56" i="8"/>
  <c r="A66"/>
  <c r="A67"/>
  <c r="Q57"/>
  <c r="R77" i="6"/>
  <c r="A88"/>
  <c r="R88"/>
  <c r="R71"/>
  <c r="A82"/>
  <c r="R82"/>
  <c r="Q55" i="8"/>
  <c r="A65"/>
  <c r="Q54"/>
  <c r="A64"/>
  <c r="A80"/>
  <c r="Q80"/>
  <c r="Q70"/>
  <c r="Q59"/>
  <c r="A69"/>
  <c r="R73" i="6"/>
  <c r="A84"/>
  <c r="R84"/>
  <c r="B15" i="9" a="1"/>
  <c r="B15"/>
  <c r="R72" i="6"/>
  <c r="A83"/>
  <c r="R83"/>
  <c r="A78" i="8"/>
  <c r="Q78"/>
  <c r="Q68"/>
  <c r="A76"/>
  <c r="Q76"/>
  <c r="Q66"/>
  <c r="A77"/>
  <c r="Q77"/>
  <c r="Q67"/>
  <c r="R76" i="6"/>
  <c r="A87"/>
  <c r="R87"/>
  <c r="R74"/>
  <c r="A85"/>
  <c r="R85"/>
  <c r="R59"/>
  <c r="A70"/>
  <c r="A75" i="8"/>
  <c r="Q75"/>
  <c r="Q65"/>
  <c r="A79"/>
  <c r="Q79"/>
  <c r="Q69"/>
  <c r="A74"/>
  <c r="Q74"/>
  <c r="Q64"/>
  <c r="R70" i="6"/>
  <c r="A81"/>
  <c r="R81"/>
  <c r="F35" i="7"/>
  <c r="G14" i="11"/>
  <c r="E35" i="7"/>
  <c r="F14" i="11"/>
  <c r="D35" i="7"/>
  <c r="E14" i="11"/>
  <c r="I24" i="7"/>
  <c r="I25"/>
  <c r="I26"/>
  <c r="I27"/>
  <c r="I28"/>
  <c r="I29"/>
  <c r="I30"/>
  <c r="I31"/>
  <c r="I35"/>
  <c r="J14" i="11"/>
</calcChain>
</file>

<file path=xl/comments1.xml><?xml version="1.0" encoding="utf-8"?>
<comments xmlns="http://schemas.openxmlformats.org/spreadsheetml/2006/main">
  <authors>
    <author>SGP</author>
  </authors>
  <commentList>
    <comment ref="B39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<sst xmlns="http://schemas.openxmlformats.org/spreadsheetml/2006/main" count="433" uniqueCount="149">
  <si>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</si>
  <si>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</si>
  <si>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</si>
  <si>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</si>
  <si>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</si>
  <si>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</si>
  <si>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</si>
  <si>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</si>
  <si>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</si>
  <si>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</si>
  <si>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</si>
  <si>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</si>
  <si>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</si>
  <si>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</si>
  <si>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</si>
  <si>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</si>
  <si>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</si>
  <si>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</si>
  <si>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</si>
  <si>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</si>
  <si>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</si>
  <si>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</si>
  <si>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</si>
  <si>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</si>
  <si>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</si>
  <si>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</si>
  <si>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</si>
  <si>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</si>
  <si>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</si>
  <si>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</si>
  <si>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</si>
  <si>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</si>
  <si>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</si>
  <si>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</si>
  <si>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</si>
  <si>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</si>
  <si>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</si>
  <si>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</si>
  <si>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</si>
  <si>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</si>
  <si>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</si>
  <si>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</si>
  <si>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</si>
  <si>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</si>
  <si>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</si>
  <si>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</si>
  <si>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</si>
  <si>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</si>
  <si>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</si>
  <si>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</si>
  <si>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</si>
  <si>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</si>
  <si>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</si>
  <si>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</si>
  <si>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</si>
  <si>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</si>
  <si>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</si>
  <si>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</si>
  <si>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</si>
  <si>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</si>
  <si>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</si>
  <si>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</si>
  <si>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</si>
  <si>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</si>
  <si>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</si>
  <si>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</si>
  <si>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</si>
  <si>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</si>
  <si>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</si>
  <si>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</si>
  <si>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</si>
  <si>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</si>
  <si>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</si>
  <si>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</si>
  <si>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</si>
  <si>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</si>
  <si>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</si>
  <si>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</si>
  <si>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</si>
  <si>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</si>
  <si>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</si>
  <si>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</si>
  <si>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</si>
  <si>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</si>
  <si>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</si>
  <si>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</si>
  <si>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</si>
  <si>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</si>
  <si>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</si>
  <si>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</si>
  <si>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</si>
  <si>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</si>
  <si>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</si>
  <si>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</si>
  <si>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</si>
  <si>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</si>
  <si>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</si>
  <si>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</si>
  <si>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</si>
  <si>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</si>
  <si>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</si>
  <si>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</si>
  <si>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</si>
  <si>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</si>
  <si>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</si>
  <si>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</si>
  <si>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</si>
  <si>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</si>
  <si>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</si>
  <si>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</si>
  <si>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</si>
  <si>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</si>
  <si>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</si>
  <si>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</si>
  <si>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</si>
  <si>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</si>
  <si>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</si>
  <si>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</si>
  <si>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</si>
  <si>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</si>
  <si>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</si>
  <si>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</si>
  <si>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</si>
  <si>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</si>
  <si>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</si>
  <si>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</si>
  <si>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</si>
  <si>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</si>
  <si>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</si>
  <si>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</si>
  <si>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</si>
  <si>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</si>
  <si>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Huidig</t>
  </si>
  <si>
    <t>Nieuw</t>
  </si>
  <si>
    <t>Relatief</t>
  </si>
  <si>
    <t>Absoluut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</si>
  <si>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</si>
  <si>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</si>
  <si>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</si>
  <si>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</si>
  <si>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</si>
  <si>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</si>
  <si>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</si>
  <si>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</si>
  <si>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</si>
  <si>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r>
      <t xml:space="preserve"> </t>
    </r>
    <r>
      <rPr>
        <sz val="12"/>
        <color theme="0"/>
        <rFont val="Symbol"/>
        <family val="1"/>
        <charset val="2"/>
      </rPr>
      <t>D</t>
    </r>
  </si>
  <si>
    <t>Iran War</t>
  </si>
  <si>
    <t>Base - down</t>
  </si>
  <si>
    <t>Base - up</t>
  </si>
</sst>
</file>

<file path=xl/styles.xml><?xml version="1.0" encoding="utf-8"?>
<styleSheet xmlns="http://schemas.openxmlformats.org/spreadsheetml/2006/main">
  <numFmts count="44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</numFmts>
  <fonts count="8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0"/>
      <name val="Calibri"/>
      <family val="2"/>
      <scheme val="minor"/>
    </font>
    <font>
      <sz val="12"/>
      <color theme="0"/>
      <name val="Symbol"/>
      <family val="1"/>
      <charset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5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6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</cellStyleXfs>
  <cellXfs count="390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164" fontId="7" fillId="4" borderId="10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13" xfId="1" applyNumberFormat="1" applyFont="1" applyFill="1" applyBorder="1" applyAlignment="1">
      <alignment horizontal="center"/>
    </xf>
    <xf numFmtId="2" fontId="7" fillId="0" borderId="27" xfId="1" applyNumberFormat="1" applyFont="1" applyFill="1" applyBorder="1" applyAlignment="1">
      <alignment horizontal="center"/>
    </xf>
    <xf numFmtId="2" fontId="7" fillId="0" borderId="17" xfId="1" applyNumberFormat="1" applyFont="1" applyFill="1" applyBorder="1" applyAlignment="1">
      <alignment horizontal="center"/>
    </xf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164" fontId="7" fillId="0" borderId="10" xfId="1" applyNumberFormat="1" applyFont="1" applyFill="1" applyBorder="1" applyAlignment="1">
      <alignment horizontal="center"/>
    </xf>
    <xf numFmtId="2" fontId="7" fillId="0" borderId="11" xfId="1" applyNumberFormat="1" applyFont="1" applyFill="1" applyBorder="1" applyAlignment="1">
      <alignment horizontal="center"/>
    </xf>
    <xf numFmtId="2" fontId="7" fillId="0" borderId="12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2" fontId="7" fillId="0" borderId="8" xfId="0" applyNumberFormat="1" applyFont="1" applyFill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2" fontId="7" fillId="0" borderId="11" xfId="0" applyNumberFormat="1" applyFont="1" applyFill="1" applyBorder="1" applyAlignment="1">
      <alignment horizontal="center"/>
    </xf>
    <xf numFmtId="2" fontId="7" fillId="0" borderId="12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0" fontId="0" fillId="3" borderId="0" xfId="0" applyFont="1" applyFill="1" applyBorder="1" applyAlignment="1"/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7" fillId="3" borderId="0" xfId="1" applyNumberFormat="1" applyFont="1" applyFill="1" applyBorder="1" applyAlignment="1">
      <alignment horizontal="center"/>
    </xf>
    <xf numFmtId="10" fontId="77" fillId="3" borderId="32" xfId="1" applyNumberFormat="1" applyFont="1" applyFill="1" applyBorder="1" applyAlignment="1">
      <alignment horizontal="center"/>
    </xf>
    <xf numFmtId="10" fontId="77" fillId="3" borderId="22" xfId="1" applyNumberFormat="1" applyFont="1" applyFill="1" applyBorder="1" applyAlignment="1">
      <alignment horizontal="center"/>
    </xf>
    <xf numFmtId="10" fontId="78" fillId="3" borderId="22" xfId="1" applyNumberFormat="1" applyFont="1" applyFill="1" applyBorder="1" applyAlignment="1">
      <alignment horizontal="center"/>
    </xf>
    <xf numFmtId="10" fontId="77" fillId="3" borderId="25" xfId="1" applyNumberFormat="1" applyFont="1" applyFill="1" applyBorder="1" applyAlignment="1">
      <alignment horizontal="center"/>
    </xf>
    <xf numFmtId="0" fontId="77" fillId="3" borderId="22" xfId="0" applyFont="1" applyFill="1" applyBorder="1"/>
    <xf numFmtId="0" fontId="77" fillId="3" borderId="25" xfId="0" applyFont="1" applyFill="1" applyBorder="1"/>
    <xf numFmtId="0" fontId="75" fillId="34" borderId="24" xfId="0" applyFont="1" applyFill="1" applyBorder="1" applyAlignment="1">
      <alignment horizontal="left"/>
    </xf>
    <xf numFmtId="0" fontId="75" fillId="34" borderId="35" xfId="0" applyFont="1" applyFill="1" applyBorder="1" applyAlignment="1">
      <alignment horizontal="center"/>
    </xf>
    <xf numFmtId="0" fontId="75" fillId="34" borderId="24" xfId="0" applyFont="1" applyFill="1" applyBorder="1" applyAlignment="1">
      <alignment horizontal="center"/>
    </xf>
    <xf numFmtId="0" fontId="77" fillId="3" borderId="21" xfId="0" applyFont="1" applyFill="1" applyBorder="1"/>
    <xf numFmtId="10" fontId="77" fillId="3" borderId="28" xfId="1" applyNumberFormat="1" applyFont="1" applyFill="1" applyBorder="1" applyAlignment="1">
      <alignment horizontal="center"/>
    </xf>
    <xf numFmtId="10" fontId="77" fillId="3" borderId="29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9" fontId="24" fillId="5" borderId="34" xfId="0" applyNumberFormat="1" applyFont="1" applyFill="1" applyBorder="1" applyAlignment="1">
      <alignment horizontal="left"/>
    </xf>
    <xf numFmtId="0" fontId="7" fillId="3" borderId="23" xfId="0" applyFont="1" applyFill="1" applyBorder="1"/>
    <xf numFmtId="0" fontId="7" fillId="3" borderId="26" xfId="0" applyFont="1" applyFill="1" applyBorder="1"/>
    <xf numFmtId="164" fontId="0" fillId="4" borderId="7" xfId="0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3" borderId="13" xfId="1" applyNumberFormat="1" applyFont="1" applyFill="1" applyBorder="1" applyAlignment="1">
      <alignment horizontal="center"/>
    </xf>
    <xf numFmtId="164" fontId="7" fillId="3" borderId="53" xfId="1" applyNumberFormat="1" applyFont="1" applyFill="1" applyBorder="1" applyAlignment="1">
      <alignment horizontal="center"/>
    </xf>
    <xf numFmtId="164" fontId="79" fillId="3" borderId="0" xfId="1" applyNumberFormat="1" applyFont="1" applyFill="1"/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</cellXfs>
  <cellStyles count="7600"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% - Accent1 2" xfId="5534"/>
    <cellStyle name="20% - Accent1 3" xfId="1166"/>
    <cellStyle name="20% - Accent2 2" xfId="5535"/>
    <cellStyle name="20% - Accent2 3" xfId="1167"/>
    <cellStyle name="20% - Accent3 2" xfId="5536"/>
    <cellStyle name="20% - Accent3 3" xfId="1168"/>
    <cellStyle name="20% - Accent4 2" xfId="5537"/>
    <cellStyle name="20% - Accent4 3" xfId="1169"/>
    <cellStyle name="20% - Accent5 2" xfId="5538"/>
    <cellStyle name="20% - Accent5 3" xfId="1170"/>
    <cellStyle name="20% - Accent6 2" xfId="5539"/>
    <cellStyle name="20% - Accent6 3" xfId="1171"/>
    <cellStyle name="40% - Accent1 2" xfId="5540"/>
    <cellStyle name="40% - Accent1 3" xfId="1172"/>
    <cellStyle name="40% - Accent2 2" xfId="5541"/>
    <cellStyle name="40% - Accent2 3" xfId="1173"/>
    <cellStyle name="40% - Accent3 2" xfId="5542"/>
    <cellStyle name="40% - Accent3 3" xfId="1174"/>
    <cellStyle name="40% - Accent4 2" xfId="5543"/>
    <cellStyle name="40% - Accent4 3" xfId="1175"/>
    <cellStyle name="40% - Accent5 2" xfId="5544"/>
    <cellStyle name="40% - Accent5 3" xfId="1176"/>
    <cellStyle name="40% - Accent6 2" xfId="5545"/>
    <cellStyle name="40% - Accent6 3" xfId="1177"/>
    <cellStyle name="60% - Accent1 2" xfId="5546"/>
    <cellStyle name="60% - Accent1 3" xfId="1178"/>
    <cellStyle name="60% - Accent2 2" xfId="5547"/>
    <cellStyle name="60% - Accent2 3" xfId="1179"/>
    <cellStyle name="60% - Accent3 2" xfId="5548"/>
    <cellStyle name="60% - Accent3 3" xfId="1180"/>
    <cellStyle name="60% - Accent4 2" xfId="5549"/>
    <cellStyle name="60% - Accent4 3" xfId="1181"/>
    <cellStyle name="60% - Accent5 2" xfId="5550"/>
    <cellStyle name="60% - Accent5 3" xfId="1182"/>
    <cellStyle name="60% - Accent6 2" xfId="5551"/>
    <cellStyle name="60% - Accent6 3" xfId="1183"/>
    <cellStyle name="Accent1 2" xfId="5552"/>
    <cellStyle name="Accent1 3" xfId="1184"/>
    <cellStyle name="Accent2 2" xfId="5553"/>
    <cellStyle name="Accent2 3" xfId="1185"/>
    <cellStyle name="Accent3 2" xfId="5554"/>
    <cellStyle name="Accent3 3" xfId="1186"/>
    <cellStyle name="Accent4 2" xfId="5555"/>
    <cellStyle name="Accent4 3" xfId="1187"/>
    <cellStyle name="Accent5 2" xfId="5556"/>
    <cellStyle name="Accent5 3" xfId="1188"/>
    <cellStyle name="Accent6 2" xfId="5557"/>
    <cellStyle name="Accent6 3" xfId="1189"/>
    <cellStyle name="Andre's Title" xfId="1190"/>
    <cellStyle name="Andre's Title 2" xfId="3560"/>
    <cellStyle name="Andre's Title 3" xfId="2346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xHeading" xfId="1196"/>
    <cellStyle name="BoxHeading 2" xfId="3566"/>
    <cellStyle name="BoxHeading 3" xfId="2348"/>
    <cellStyle name="Calculation 2" xfId="5559"/>
    <cellStyle name="Calculation 3" xfId="1197"/>
    <cellStyle name="Cast" xfId="1198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5" xfId="4"/>
    <cellStyle name="Comma 6" xfId="7574"/>
    <cellStyle name="Comma 7" xfId="7589"/>
    <cellStyle name="Comma 8" xfId="7590"/>
    <cellStyle name="Comma 9" xfId="7586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uro" xfId="1212"/>
    <cellStyle name="Euro 2" xfId="7535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 2" xfId="5566"/>
    <cellStyle name="Heading 1 3" xfId="1225"/>
    <cellStyle name="Heading 2 2" xfId="5567"/>
    <cellStyle name="Heading 2 3" xfId="1226"/>
    <cellStyle name="Heading 3 2" xfId="5568"/>
    <cellStyle name="Heading 3 3" xfId="1227"/>
    <cellStyle name="Heading 4 2" xfId="5569"/>
    <cellStyle name="Heading 4 3" xfId="1228"/>
    <cellStyle name="Input" xfId="2" builtinId="20"/>
    <cellStyle name="Input 2" xfId="3592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 2" xfId="5573"/>
    <cellStyle name="Neutral 3" xfId="1252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3" xfId="5575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 2" xfId="5578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 2" xfId="5584"/>
    <cellStyle name="Output 3" xfId="1264"/>
    <cellStyle name="Percent" xfId="1" builtinId="5"/>
    <cellStyle name="Percent 2" xfId="5585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itel" xfId="1305"/>
    <cellStyle name="Title - PROJECT" xfId="1307"/>
    <cellStyle name="Title - Underline" xfId="1308"/>
    <cellStyle name="Title 2" xfId="5638"/>
    <cellStyle name="Title 3" xfId="1306"/>
    <cellStyle name="Titles - Col. Headings" xfId="1309"/>
    <cellStyle name="Titles - Other" xfId="1310"/>
    <cellStyle name="Totaal" xfId="1311"/>
    <cellStyle name="Total 2" xfId="5639"/>
    <cellStyle name="Total 3" xfId="1312"/>
    <cellStyle name="Uitvoer" xfId="1313"/>
    <cellStyle name="Valuta_Inputrapportages jaar" xfId="1314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[3]Evaluatie!$B$2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732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68"/>
          <c:w val="0.5562682138416909"/>
          <c:h val="0.69258218413305095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-7.5654321834007845E-3"/>
                  <c:y val="-6.8632946305440728E-2"/>
                </c:manualLayout>
              </c:layout>
              <c:showVal val="1"/>
            </c:dLbl>
            <c:dLbl>
              <c:idx val="4"/>
              <c:layout>
                <c:manualLayout>
                  <c:x val="-7.8066587971661286E-4"/>
                  <c:y val="-8.3464566929133913E-2"/>
                </c:manualLayout>
              </c:layout>
              <c:showVal val="1"/>
            </c:dLbl>
            <c:dLbl>
              <c:idx val="5"/>
              <c:layout>
                <c:manualLayout>
                  <c:x val="2.6391177018773283E-2"/>
                  <c:y val="0.1104023014072394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0.5749562087748783</c:v>
                </c:pt>
                <c:pt idx="1">
                  <c:v>0.18662957132386238</c:v>
                </c:pt>
                <c:pt idx="2">
                  <c:v>1.4936469358747012E-2</c:v>
                </c:pt>
                <c:pt idx="3">
                  <c:v>1.4328809728656456E-3</c:v>
                </c:pt>
                <c:pt idx="4">
                  <c:v>5.2846761358585265E-2</c:v>
                </c:pt>
                <c:pt idx="5">
                  <c:v>0.13485822296871094</c:v>
                </c:pt>
                <c:pt idx="6">
                  <c:v>3.0875885888498746E-2</c:v>
                </c:pt>
                <c:pt idx="7">
                  <c:v>3.4639993538513945E-3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4017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0.54714806916725012</c:v>
                </c:pt>
                <c:pt idx="1">
                  <c:v>0.12763544493243639</c:v>
                </c:pt>
                <c:pt idx="2">
                  <c:v>5.6802310341193176E-3</c:v>
                </c:pt>
                <c:pt idx="3">
                  <c:v>2.5126859617450768E-4</c:v>
                </c:pt>
                <c:pt idx="4">
                  <c:v>2.6161342967578174E-2</c:v>
                </c:pt>
                <c:pt idx="5">
                  <c:v>0.11370157864389133</c:v>
                </c:pt>
                <c:pt idx="6">
                  <c:v>1.2460701684223623E-2</c:v>
                </c:pt>
                <c:pt idx="7">
                  <c:v>8.1840163442420031E-4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2.7808139607628179E-2</c:v>
                </c:pt>
                <c:pt idx="1">
                  <c:v>5.8994126391425983E-2</c:v>
                </c:pt>
                <c:pt idx="2">
                  <c:v>9.2562383246276945E-3</c:v>
                </c:pt>
                <c:pt idx="3">
                  <c:v>1.1816123766911378E-3</c:v>
                </c:pt>
                <c:pt idx="4">
                  <c:v>2.668541839100709E-2</c:v>
                </c:pt>
                <c:pt idx="5">
                  <c:v>2.1156644324819618E-2</c:v>
                </c:pt>
                <c:pt idx="6">
                  <c:v>1.8415184204275122E-2</c:v>
                </c:pt>
                <c:pt idx="7">
                  <c:v>2.6455977194271944E-3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2.8019349024796303E-2</c:v>
                </c:pt>
                <c:pt idx="1">
                  <c:v>5.3606942102864236E-2</c:v>
                </c:pt>
                <c:pt idx="2">
                  <c:v>6.7364503819415458E-3</c:v>
                </c:pt>
                <c:pt idx="3">
                  <c:v>6.4614732216968147E-4</c:v>
                </c:pt>
                <c:pt idx="4">
                  <c:v>2.3100317565888401E-2</c:v>
                </c:pt>
                <c:pt idx="5">
                  <c:v>2.0825315884248768E-2</c:v>
                </c:pt>
                <c:pt idx="6">
                  <c:v>1.4141635270953294E-2</c:v>
                </c:pt>
                <c:pt idx="7">
                  <c:v>1.499157203524787E-3</c:v>
                </c:pt>
              </c:numCache>
            </c:numRef>
          </c:val>
        </c:ser>
        <c:overlap val="100"/>
        <c:axId val="326152960"/>
        <c:axId val="326154880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marker val="1"/>
        <c:axId val="326152960"/>
        <c:axId val="326154880"/>
      </c:lineChart>
      <c:catAx>
        <c:axId val="326152960"/>
        <c:scaling>
          <c:orientation val="minMax"/>
        </c:scaling>
        <c:axPos val="b"/>
        <c:tickLblPos val="nextTo"/>
        <c:crossAx val="326154880"/>
        <c:crosses val="autoZero"/>
        <c:auto val="1"/>
        <c:lblAlgn val="ctr"/>
        <c:lblOffset val="100"/>
      </c:catAx>
      <c:valAx>
        <c:axId val="326154880"/>
        <c:scaling>
          <c:orientation val="minMax"/>
        </c:scaling>
        <c:axPos val="l"/>
        <c:majorGridlines/>
        <c:numFmt formatCode="0%" sourceLinked="0"/>
        <c:tickLblPos val="nextTo"/>
        <c:crossAx val="326152960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22" l="0.70000000000000062" r="0.70000000000000062" t="0.750000000000008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4.3944352615336905E-2</c:v>
                </c:pt>
                <c:pt idx="4">
                  <c:v>7.474963400472559E-2</c:v>
                </c:pt>
                <c:pt idx="5">
                  <c:v>8.5249207175964209E-2</c:v>
                </c:pt>
                <c:pt idx="6">
                  <c:v>1.8215216611987023E-2</c:v>
                </c:pt>
                <c:pt idx="7">
                  <c:v>2.7964399001126676E-2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</c:numCache>
            </c:numRef>
          </c:val>
        </c:ser>
        <c:axId val="326228608"/>
        <c:axId val="326238592"/>
      </c:barChart>
      <c:catAx>
        <c:axId val="326228608"/>
        <c:scaling>
          <c:orientation val="minMax"/>
        </c:scaling>
        <c:axPos val="b"/>
        <c:tickLblPos val="nextTo"/>
        <c:crossAx val="326238592"/>
        <c:crosses val="autoZero"/>
        <c:auto val="1"/>
        <c:lblAlgn val="ctr"/>
        <c:lblOffset val="100"/>
      </c:catAx>
      <c:valAx>
        <c:axId val="326238592"/>
        <c:scaling>
          <c:orientation val="minMax"/>
        </c:scaling>
        <c:axPos val="l"/>
        <c:majorGridlines/>
        <c:numFmt formatCode="0.0%" sourceLinked="1"/>
        <c:tickLblPos val="nextTo"/>
        <c:crossAx val="3262286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849"/>
          <c:y val="0.30999086720262048"/>
          <c:w val="0.27290015295627634"/>
          <c:h val="0.50313982945017621"/>
        </c:manualLayout>
      </c:layout>
    </c:legend>
    <c:plotVisOnly val="1"/>
  </c:chart>
  <c:printSettings>
    <c:headerFooter/>
    <c:pageMargins b="0.75000000000000755" l="0.70000000000000062" r="0.70000000000000062" t="0.7500000000000075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09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0.28403257460666398</c:v>
                </c:pt>
                <c:pt idx="1">
                  <c:v>9.2786708420521044E-3</c:v>
                </c:pt>
                <c:pt idx="2">
                  <c:v>3.0039866257030597E-4</c:v>
                </c:pt>
                <c:pt idx="3">
                  <c:v>3.8668125810088834E-2</c:v>
                </c:pt>
                <c:pt idx="4">
                  <c:v>0.22428296757374544</c:v>
                </c:pt>
                <c:pt idx="5">
                  <c:v>1.9375499202091338E-2</c:v>
                </c:pt>
                <c:pt idx="6">
                  <c:v>9.774246434712734E-4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0.14294929032261683</c:v>
                </c:pt>
                <c:pt idx="1">
                  <c:v>2.5937319094747856E-2</c:v>
                </c:pt>
                <c:pt idx="2">
                  <c:v>3.1021650728612331E-3</c:v>
                </c:pt>
                <c:pt idx="3">
                  <c:v>8.9651551926705125E-2</c:v>
                </c:pt>
                <c:pt idx="4">
                  <c:v>0.10119054239111891</c:v>
                </c:pt>
                <c:pt idx="5">
                  <c:v>5.2998775686103367E-2</c:v>
                </c:pt>
                <c:pt idx="6">
                  <c:v>7.254694165162643E-3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0.15217448721705507</c:v>
                </c:pt>
                <c:pt idx="1">
                  <c:v>2.7095064640558081E-2</c:v>
                </c:pt>
                <c:pt idx="2">
                  <c:v>3.4896248327981505E-3</c:v>
                </c:pt>
                <c:pt idx="3">
                  <c:v>8.8051160103802345E-2</c:v>
                </c:pt>
                <c:pt idx="4">
                  <c:v>0.10232324676868892</c:v>
                </c:pt>
                <c:pt idx="5">
                  <c:v>5.5617808549081882E-2</c:v>
                </c:pt>
                <c:pt idx="6">
                  <c:v>7.0990254529988001E-3</c:v>
                </c:pt>
              </c:numCache>
            </c:numRef>
          </c:val>
        </c:ser>
        <c:overlap val="100"/>
        <c:axId val="326285568"/>
        <c:axId val="327156096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0.21997031937711767</c:v>
                </c:pt>
                <c:pt idx="1">
                  <c:v>0.2132001376855808</c:v>
                </c:pt>
                <c:pt idx="2">
                  <c:v>0.23131167868406277</c:v>
                </c:pt>
                <c:pt idx="3">
                  <c:v>0.11477314193569998</c:v>
                </c:pt>
                <c:pt idx="4">
                  <c:v>4.6641620673837786E-2</c:v>
                </c:pt>
                <c:pt idx="5">
                  <c:v>6.8922944445396303E-2</c:v>
                </c:pt>
                <c:pt idx="6">
                  <c:v>0.10518015719830481</c:v>
                </c:pt>
              </c:numCache>
            </c:numRef>
          </c:val>
        </c:ser>
        <c:marker val="1"/>
        <c:axId val="326285568"/>
        <c:axId val="327156096"/>
      </c:lineChart>
      <c:catAx>
        <c:axId val="326285568"/>
        <c:scaling>
          <c:orientation val="minMax"/>
        </c:scaling>
        <c:axPos val="b"/>
        <c:numFmt formatCode="General" sourceLinked="1"/>
        <c:tickLblPos val="nextTo"/>
        <c:crossAx val="327156096"/>
        <c:crosses val="autoZero"/>
        <c:auto val="1"/>
        <c:lblAlgn val="ctr"/>
        <c:lblOffset val="100"/>
      </c:catAx>
      <c:valAx>
        <c:axId val="327156096"/>
        <c:scaling>
          <c:orientation val="minMax"/>
        </c:scaling>
        <c:axPos val="l"/>
        <c:majorGridlines/>
        <c:numFmt formatCode="0%" sourceLinked="0"/>
        <c:tickLblPos val="nextTo"/>
        <c:crossAx val="326285568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4.3944352615336905E-2</c:v>
                </c:pt>
                <c:pt idx="4">
                  <c:v>7.474963400472559E-2</c:v>
                </c:pt>
                <c:pt idx="5">
                  <c:v>8.5249207175964209E-2</c:v>
                </c:pt>
                <c:pt idx="6">
                  <c:v>1.8215216611987023E-2</c:v>
                </c:pt>
                <c:pt idx="7">
                  <c:v>2.7964399001126676E-2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</c:numCache>
            </c:numRef>
          </c:val>
        </c:ser>
        <c:axId val="332624640"/>
        <c:axId val="332626176"/>
      </c:barChart>
      <c:catAx>
        <c:axId val="332624640"/>
        <c:scaling>
          <c:orientation val="minMax"/>
        </c:scaling>
        <c:axPos val="b"/>
        <c:tickLblPos val="nextTo"/>
        <c:crossAx val="332626176"/>
        <c:crosses val="autoZero"/>
        <c:auto val="1"/>
        <c:lblAlgn val="ctr"/>
        <c:lblOffset val="100"/>
      </c:catAx>
      <c:valAx>
        <c:axId val="332626176"/>
        <c:scaling>
          <c:orientation val="minMax"/>
        </c:scaling>
        <c:axPos val="l"/>
        <c:majorGridlines/>
        <c:numFmt formatCode="0.0%" sourceLinked="1"/>
        <c:tickLblPos val="nextTo"/>
        <c:crossAx val="3326246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733" l="0.70000000000000062" r="0.70000000000000062" t="0.750000000000007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9600218722659682"/>
          <c:y val="0.21878129039840438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mixen'!$S$4:$S$11</c:f>
              <c:numCache>
                <c:formatCode>0.0%</c:formatCode>
                <c:ptCount val="8"/>
                <c:pt idx="0">
                  <c:v>0.54045609847011733</c:v>
                </c:pt>
                <c:pt idx="1">
                  <c:v>4.6757011358724551E-2</c:v>
                </c:pt>
                <c:pt idx="2">
                  <c:v>4.5865746399639182E-2</c:v>
                </c:pt>
                <c:pt idx="3">
                  <c:v>6.9831550110757118E-2</c:v>
                </c:pt>
                <c:pt idx="4">
                  <c:v>4.1674723609566276E-2</c:v>
                </c:pt>
                <c:pt idx="5">
                  <c:v>1.2928511675215838E-2</c:v>
                </c:pt>
                <c:pt idx="6">
                  <c:v>2.8721691486864168E-2</c:v>
                </c:pt>
                <c:pt idx="7">
                  <c:v>3.2607596871767411E-2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mixen'!$T$4:$T$11</c:f>
              <c:numCache>
                <c:formatCode>0.0%</c:formatCode>
                <c:ptCount val="8"/>
                <c:pt idx="0">
                  <c:v>1.0913148650793292E-2</c:v>
                </c:pt>
                <c:pt idx="1">
                  <c:v>3.8633202468638855E-2</c:v>
                </c:pt>
                <c:pt idx="2">
                  <c:v>3.5139671934984781E-2</c:v>
                </c:pt>
                <c:pt idx="3">
                  <c:v>1.7308919382128057E-2</c:v>
                </c:pt>
                <c:pt idx="4">
                  <c:v>1.3262542793697242E-2</c:v>
                </c:pt>
                <c:pt idx="5">
                  <c:v>9.5751613714967487E-3</c:v>
                </c:pt>
                <c:pt idx="6">
                  <c:v>2.8045689115126865E-2</c:v>
                </c:pt>
                <c:pt idx="7">
                  <c:v>2.8278734300482521E-2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mixen'!$U$4:$U$11</c:f>
              <c:numCache>
                <c:formatCode>0.0%</c:formatCode>
                <c:ptCount val="8"/>
                <c:pt idx="0">
                  <c:v>1.0266547751632382E-2</c:v>
                </c:pt>
                <c:pt idx="1">
                  <c:v>3.4639214860695863E-2</c:v>
                </c:pt>
                <c:pt idx="2">
                  <c:v>3.1887715400090277E-2</c:v>
                </c:pt>
                <c:pt idx="3">
                  <c:v>1.6545227880896768E-2</c:v>
                </c:pt>
                <c:pt idx="4">
                  <c:v>1.5326591238028583E-2</c:v>
                </c:pt>
                <c:pt idx="5">
                  <c:v>9.6834024065061627E-3</c:v>
                </c:pt>
                <c:pt idx="6">
                  <c:v>2.4466024369114089E-2</c:v>
                </c:pt>
                <c:pt idx="7">
                  <c:v>2.6976631861505014E-2</c:v>
                </c:pt>
              </c:numCache>
            </c:numRef>
          </c:val>
        </c:ser>
        <c:gapWidth val="100"/>
        <c:overlap val="100"/>
        <c:axId val="332951936"/>
        <c:axId val="332953472"/>
      </c:barChart>
      <c:catAx>
        <c:axId val="332951936"/>
        <c:scaling>
          <c:orientation val="minMax"/>
        </c:scaling>
        <c:axPos val="l"/>
        <c:numFmt formatCode="0%" sourceLinked="1"/>
        <c:tickLblPos val="nextTo"/>
        <c:crossAx val="332953472"/>
        <c:crosses val="autoZero"/>
        <c:auto val="1"/>
        <c:lblAlgn val="ctr"/>
        <c:lblOffset val="100"/>
      </c:catAx>
      <c:valAx>
        <c:axId val="332953472"/>
        <c:scaling>
          <c:orientation val="minMax"/>
        </c:scaling>
        <c:axPos val="b"/>
        <c:majorGridlines/>
        <c:numFmt formatCode="0%" sourceLinked="0"/>
        <c:tickLblPos val="nextTo"/>
        <c:crossAx val="332951936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'[1]Samenvatting mixen'!$R$58</c:f>
          <c:strCache>
            <c:ptCount val="1"/>
            <c:pt idx="0">
              <c:v>Kansgewogen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0.54714806916725012</c:v>
                </c:pt>
                <c:pt idx="1">
                  <c:v>0.12763544493243639</c:v>
                </c:pt>
                <c:pt idx="2">
                  <c:v>5.6802310341193176E-3</c:v>
                </c:pt>
                <c:pt idx="3">
                  <c:v>2.5126859617450768E-4</c:v>
                </c:pt>
                <c:pt idx="4">
                  <c:v>2.6161342967578174E-2</c:v>
                </c:pt>
                <c:pt idx="5">
                  <c:v>0.11370157864389133</c:v>
                </c:pt>
                <c:pt idx="6">
                  <c:v>1.2460701684223623E-2</c:v>
                </c:pt>
                <c:pt idx="7">
                  <c:v>8.1840163442420031E-4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2.7808139607628179E-2</c:v>
                </c:pt>
                <c:pt idx="1">
                  <c:v>5.8994126391425983E-2</c:v>
                </c:pt>
                <c:pt idx="2">
                  <c:v>9.2562383246276945E-3</c:v>
                </c:pt>
                <c:pt idx="3">
                  <c:v>1.1816123766911378E-3</c:v>
                </c:pt>
                <c:pt idx="4">
                  <c:v>2.668541839100709E-2</c:v>
                </c:pt>
                <c:pt idx="5">
                  <c:v>2.1156644324819618E-2</c:v>
                </c:pt>
                <c:pt idx="6">
                  <c:v>1.8415184204275122E-2</c:v>
                </c:pt>
                <c:pt idx="7">
                  <c:v>2.6455977194271944E-3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2.8019349024796303E-2</c:v>
                </c:pt>
                <c:pt idx="1">
                  <c:v>5.3606942102864236E-2</c:v>
                </c:pt>
                <c:pt idx="2">
                  <c:v>6.7364503819415458E-3</c:v>
                </c:pt>
                <c:pt idx="3">
                  <c:v>6.4614732216968147E-4</c:v>
                </c:pt>
                <c:pt idx="4">
                  <c:v>2.3100317565888401E-2</c:v>
                </c:pt>
                <c:pt idx="5">
                  <c:v>2.0825315884248768E-2</c:v>
                </c:pt>
                <c:pt idx="6">
                  <c:v>1.4141635270953294E-2</c:v>
                </c:pt>
                <c:pt idx="7">
                  <c:v>1.499157203524787E-3</c:v>
                </c:pt>
              </c:numCache>
            </c:numRef>
          </c:val>
        </c:ser>
        <c:gapWidth val="100"/>
        <c:overlap val="100"/>
        <c:axId val="327305856"/>
        <c:axId val="327311744"/>
      </c:barChart>
      <c:catAx>
        <c:axId val="327305856"/>
        <c:scaling>
          <c:orientation val="minMax"/>
        </c:scaling>
        <c:axPos val="l"/>
        <c:numFmt formatCode="0%" sourceLinked="1"/>
        <c:tickLblPos val="nextTo"/>
        <c:crossAx val="327311744"/>
        <c:crosses val="autoZero"/>
        <c:auto val="1"/>
        <c:lblAlgn val="ctr"/>
        <c:lblOffset val="100"/>
      </c:catAx>
      <c:valAx>
        <c:axId val="327311744"/>
        <c:scaling>
          <c:orientation val="minMax"/>
        </c:scaling>
        <c:axPos val="b"/>
        <c:majorGridlines/>
        <c:numFmt formatCode="0%" sourceLinked="0"/>
        <c:tickLblPos val="nextTo"/>
        <c:crossAx val="32730585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mixen'!$R$14</c:f>
          <c:strCache>
            <c:ptCount val="1"/>
            <c:pt idx="0">
              <c:v>Base Case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mixen'!$S$15:$S$22</c:f>
              <c:numCache>
                <c:formatCode>0.0%</c:formatCode>
                <c:ptCount val="8"/>
                <c:pt idx="0">
                  <c:v>0.6155766536146553</c:v>
                </c:pt>
                <c:pt idx="1">
                  <c:v>4.3600169544033028E-2</c:v>
                </c:pt>
                <c:pt idx="2">
                  <c:v>5.6764861630027308E-3</c:v>
                </c:pt>
                <c:pt idx="3">
                  <c:v>2.6526515614317753E-4</c:v>
                </c:pt>
                <c:pt idx="4">
                  <c:v>1.0406197405009143E-2</c:v>
                </c:pt>
                <c:pt idx="5">
                  <c:v>0.18484038086021393</c:v>
                </c:pt>
                <c:pt idx="6">
                  <c:v>1.0498635837818742E-2</c:v>
                </c:pt>
                <c:pt idx="7">
                  <c:v>1.1170785589746234E-3</c:v>
                </c:pt>
              </c:numCache>
            </c:numRef>
          </c:val>
        </c:ser>
        <c:ser>
          <c:idx val="1"/>
          <c:order val="1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mixen'!$T$15:$T$22</c:f>
              <c:numCache>
                <c:formatCode>0.0%</c:formatCode>
                <c:ptCount val="8"/>
                <c:pt idx="0">
                  <c:v>2.3264659505307539E-2</c:v>
                </c:pt>
                <c:pt idx="1">
                  <c:v>4.5552246449857496E-2</c:v>
                </c:pt>
                <c:pt idx="2">
                  <c:v>1.0504110676271435E-2</c:v>
                </c:pt>
                <c:pt idx="3">
                  <c:v>1.4294295681940251E-3</c:v>
                </c:pt>
                <c:pt idx="4">
                  <c:v>1.4848194281118082E-2</c:v>
                </c:pt>
                <c:pt idx="5">
                  <c:v>1.4538631018849141E-2</c:v>
                </c:pt>
                <c:pt idx="6">
                  <c:v>1.4994983845128438E-2</c:v>
                </c:pt>
                <c:pt idx="7">
                  <c:v>2.8868775154235141E-3</c:v>
                </c:pt>
              </c:numCache>
            </c:numRef>
          </c:val>
        </c:ser>
        <c:ser>
          <c:idx val="2"/>
          <c:order val="2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mixen'!$U$15:$U$22</c:f>
              <c:numCache>
                <c:formatCode>0.0%</c:formatCode>
                <c:ptCount val="8"/>
                <c:pt idx="0">
                  <c:v>2.5469073703273115E-2</c:v>
                </c:pt>
                <c:pt idx="1">
                  <c:v>3.5505679862123427E-2</c:v>
                </c:pt>
                <c:pt idx="2">
                  <c:v>7.8986671797606212E-3</c:v>
                </c:pt>
                <c:pt idx="3">
                  <c:v>7.6412078842370834E-4</c:v>
                </c:pt>
                <c:pt idx="4">
                  <c:v>1.0451153245888245E-2</c:v>
                </c:pt>
                <c:pt idx="5">
                  <c:v>1.6290792499770418E-2</c:v>
                </c:pt>
                <c:pt idx="6">
                  <c:v>1.0453162302715389E-2</c:v>
                </c:pt>
                <c:pt idx="7">
                  <c:v>1.6099696953074429E-3</c:v>
                </c:pt>
              </c:numCache>
            </c:numRef>
          </c:val>
        </c:ser>
        <c:gapWidth val="100"/>
        <c:overlap val="100"/>
        <c:axId val="327325184"/>
        <c:axId val="327326720"/>
      </c:barChart>
      <c:catAx>
        <c:axId val="327325184"/>
        <c:scaling>
          <c:orientation val="minMax"/>
        </c:scaling>
        <c:axPos val="l"/>
        <c:numFmt formatCode="0%" sourceLinked="1"/>
        <c:tickLblPos val="nextTo"/>
        <c:crossAx val="327326720"/>
        <c:crosses val="autoZero"/>
        <c:auto val="1"/>
        <c:lblAlgn val="ctr"/>
        <c:lblOffset val="100"/>
      </c:catAx>
      <c:valAx>
        <c:axId val="327326720"/>
        <c:scaling>
          <c:orientation val="minMax"/>
        </c:scaling>
        <c:axPos val="b"/>
        <c:majorGridlines/>
        <c:numFmt formatCode="0%" sourceLinked="0"/>
        <c:tickLblPos val="nextTo"/>
        <c:crossAx val="32732518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mixen'!$R$36</c:f>
          <c:strCache>
            <c:ptCount val="1"/>
            <c:pt idx="0">
              <c:v>Base - muddle up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mixen'!$S$37:$S$44</c:f>
              <c:numCache>
                <c:formatCode>0.0%</c:formatCode>
                <c:ptCount val="8"/>
                <c:pt idx="0">
                  <c:v>0.48221556051732301</c:v>
                </c:pt>
                <c:pt idx="1">
                  <c:v>0.31098204076122105</c:v>
                </c:pt>
                <c:pt idx="2">
                  <c:v>2.4598822319072703E-3</c:v>
                </c:pt>
                <c:pt idx="3">
                  <c:v>2.0305495539164053E-3</c:v>
                </c:pt>
                <c:pt idx="4">
                  <c:v>1.3252922402653841E-2</c:v>
                </c:pt>
                <c:pt idx="5">
                  <c:v>3.9491191388218876E-2</c:v>
                </c:pt>
                <c:pt idx="6">
                  <c:v>7.8922602013887927E-3</c:v>
                </c:pt>
                <c:pt idx="7">
                  <c:v>3.3790541981335341E-3</c:v>
                </c:pt>
              </c:numCache>
            </c:numRef>
          </c:val>
        </c:ser>
        <c:ser>
          <c:idx val="1"/>
          <c:order val="1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mixen'!$T$37:$T$44</c:f>
              <c:numCache>
                <c:formatCode>0.0%</c:formatCode>
                <c:ptCount val="8"/>
                <c:pt idx="0">
                  <c:v>2.0026617712396944E-2</c:v>
                </c:pt>
                <c:pt idx="1">
                  <c:v>4.3807581817772001E-2</c:v>
                </c:pt>
                <c:pt idx="2">
                  <c:v>5.047974767916432E-3</c:v>
                </c:pt>
                <c:pt idx="3">
                  <c:v>5.9814369619873697E-3</c:v>
                </c:pt>
                <c:pt idx="4">
                  <c:v>2.0631414596100135E-2</c:v>
                </c:pt>
                <c:pt idx="5">
                  <c:v>2.3854590873894778E-2</c:v>
                </c:pt>
                <c:pt idx="6">
                  <c:v>1.1026083149006209E-2</c:v>
                </c:pt>
                <c:pt idx="7">
                  <c:v>7.9208388661630991E-3</c:v>
                </c:pt>
              </c:numCache>
            </c:numRef>
          </c:val>
        </c:ser>
        <c:ser>
          <c:idx val="2"/>
          <c:order val="2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mixen'!$U$37:$U$44</c:f>
              <c:numCache>
                <c:formatCode>0.0%</c:formatCode>
                <c:ptCount val="8"/>
                <c:pt idx="0">
                  <c:v>1.6803171473159795E-2</c:v>
                </c:pt>
                <c:pt idx="1">
                  <c:v>4.4639655066568251E-2</c:v>
                </c:pt>
                <c:pt idx="2">
                  <c:v>3.047835085875506E-3</c:v>
                </c:pt>
                <c:pt idx="3">
                  <c:v>3.7176893432472515E-3</c:v>
                </c:pt>
                <c:pt idx="4">
                  <c:v>1.6470210340389417E-2</c:v>
                </c:pt>
                <c:pt idx="5">
                  <c:v>2.3440079004092937E-2</c:v>
                </c:pt>
                <c:pt idx="6">
                  <c:v>7.7103062499491622E-3</c:v>
                </c:pt>
                <c:pt idx="7">
                  <c:v>5.0296675573246255E-3</c:v>
                </c:pt>
              </c:numCache>
            </c:numRef>
          </c:val>
        </c:ser>
        <c:gapWidth val="100"/>
        <c:overlap val="100"/>
        <c:axId val="333062144"/>
        <c:axId val="333063680"/>
      </c:barChart>
      <c:catAx>
        <c:axId val="333062144"/>
        <c:scaling>
          <c:orientation val="minMax"/>
        </c:scaling>
        <c:axPos val="l"/>
        <c:tickLblPos val="nextTo"/>
        <c:crossAx val="333063680"/>
        <c:crosses val="autoZero"/>
        <c:auto val="1"/>
        <c:lblAlgn val="ctr"/>
        <c:lblOffset val="100"/>
      </c:catAx>
      <c:valAx>
        <c:axId val="333063680"/>
        <c:scaling>
          <c:orientation val="minMax"/>
        </c:scaling>
        <c:axPos val="b"/>
        <c:majorGridlines/>
        <c:numFmt formatCode="0%" sourceLinked="0"/>
        <c:tickLblPos val="nextTo"/>
        <c:crossAx val="33306214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mixen'!$R$47</c:f>
          <c:strCache>
            <c:ptCount val="1"/>
            <c:pt idx="0">
              <c:v>Bear case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mixen'!$S$48:$S$55</c:f>
              <c:numCache>
                <c:formatCode>0.0%</c:formatCode>
                <c:ptCount val="8"/>
                <c:pt idx="0">
                  <c:v>0.99931780465692999</c:v>
                </c:pt>
                <c:pt idx="1">
                  <c:v>1.0429872640552892E-6</c:v>
                </c:pt>
                <c:pt idx="2">
                  <c:v>1.0974472695264296E-6</c:v>
                </c:pt>
                <c:pt idx="3">
                  <c:v>2.7601941922940682E-7</c:v>
                </c:pt>
                <c:pt idx="4">
                  <c:v>4.3091737891626107E-7</c:v>
                </c:pt>
                <c:pt idx="5">
                  <c:v>3.0794709335900696E-7</c:v>
                </c:pt>
                <c:pt idx="6">
                  <c:v>6.5723379232597564E-6</c:v>
                </c:pt>
                <c:pt idx="7">
                  <c:v>6.8720279996447941E-7</c:v>
                </c:pt>
              </c:numCache>
            </c:numRef>
          </c:val>
        </c:ser>
        <c:ser>
          <c:idx val="1"/>
          <c:order val="1"/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mixen'!$T$48:$T$55</c:f>
              <c:numCache>
                <c:formatCode>0.0%</c:formatCode>
                <c:ptCount val="8"/>
                <c:pt idx="0">
                  <c:v>1.9991764956739377E-4</c:v>
                </c:pt>
                <c:pt idx="1">
                  <c:v>6.4814411771369856E-5</c:v>
                </c:pt>
                <c:pt idx="2">
                  <c:v>6.4909590824126478E-5</c:v>
                </c:pt>
                <c:pt idx="3">
                  <c:v>3.2545215807366153E-5</c:v>
                </c:pt>
                <c:pt idx="4">
                  <c:v>5.606906524457934E-5</c:v>
                </c:pt>
                <c:pt idx="5">
                  <c:v>4.144712862424902E-5</c:v>
                </c:pt>
                <c:pt idx="6">
                  <c:v>1.6143442767929211E-4</c:v>
                </c:pt>
                <c:pt idx="7">
                  <c:v>5.0642994402999865E-5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mixen'!$U$48:$U$55</c:f>
              <c:numCache>
                <c:formatCode>0.0%</c:formatCode>
                <c:ptCount val="8"/>
                <c:pt idx="0">
                  <c:v>2.2606787588907995E-4</c:v>
                </c:pt>
                <c:pt idx="1">
                  <c:v>1.604901106129299E-5</c:v>
                </c:pt>
                <c:pt idx="2">
                  <c:v>1.9298015876799201E-5</c:v>
                </c:pt>
                <c:pt idx="3">
                  <c:v>1.2288995435604105E-6</c:v>
                </c:pt>
                <c:pt idx="4">
                  <c:v>7.5731162380136773E-6</c:v>
                </c:pt>
                <c:pt idx="5">
                  <c:v>2.7293249588101933E-6</c:v>
                </c:pt>
                <c:pt idx="6">
                  <c:v>6.382730843334684E-5</c:v>
                </c:pt>
                <c:pt idx="7">
                  <c:v>9.8885208145407498E-6</c:v>
                </c:pt>
              </c:numCache>
            </c:numRef>
          </c:val>
        </c:ser>
        <c:gapWidth val="100"/>
        <c:overlap val="100"/>
        <c:axId val="333109504"/>
        <c:axId val="333115392"/>
      </c:barChart>
      <c:catAx>
        <c:axId val="333109504"/>
        <c:scaling>
          <c:orientation val="minMax"/>
        </c:scaling>
        <c:axPos val="l"/>
        <c:tickLblPos val="nextTo"/>
        <c:crossAx val="333115392"/>
        <c:crosses val="autoZero"/>
        <c:auto val="1"/>
        <c:lblAlgn val="ctr"/>
        <c:lblOffset val="100"/>
      </c:catAx>
      <c:valAx>
        <c:axId val="333115392"/>
        <c:scaling>
          <c:orientation val="minMax"/>
        </c:scaling>
        <c:axPos val="b"/>
        <c:majorGridlines/>
        <c:numFmt formatCode="0%" sourceLinked="0"/>
        <c:tickLblPos val="nextTo"/>
        <c:crossAx val="33310950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33" l="0.70000000000000062" r="0.70000000000000062" t="0.750000000000010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mixen'!$R$58</c:f>
          <c:strCache>
            <c:ptCount val="1"/>
            <c:pt idx="0">
              <c:v>Tail risk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mixen'!$S$59:$S$66</c:f>
              <c:numCache>
                <c:formatCode>0.0%</c:formatCode>
                <c:ptCount val="8"/>
                <c:pt idx="0">
                  <c:v>0.90959526434573212</c:v>
                </c:pt>
                <c:pt idx="1">
                  <c:v>5.3239154391964945E-6</c:v>
                </c:pt>
                <c:pt idx="2">
                  <c:v>4.6196730692603174E-5</c:v>
                </c:pt>
                <c:pt idx="3">
                  <c:v>9.661664333100948E-7</c:v>
                </c:pt>
                <c:pt idx="4">
                  <c:v>1.6511004576110284E-6</c:v>
                </c:pt>
                <c:pt idx="5">
                  <c:v>4.2553612459991924E-7</c:v>
                </c:pt>
                <c:pt idx="6">
                  <c:v>8.6613925123170454E-2</c:v>
                </c:pt>
                <c:pt idx="7">
                  <c:v>2.6356546255662357E-6</c:v>
                </c:pt>
              </c:numCache>
            </c:numRef>
          </c:val>
        </c:ser>
        <c:ser>
          <c:idx val="1"/>
          <c:order val="1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mixen'!$T$59:$T$66</c:f>
              <c:numCache>
                <c:formatCode>0.0%</c:formatCode>
                <c:ptCount val="8"/>
                <c:pt idx="0">
                  <c:v>8.0505396979624333E-4</c:v>
                </c:pt>
                <c:pt idx="1">
                  <c:v>2.3713128602497564E-4</c:v>
                </c:pt>
                <c:pt idx="2">
                  <c:v>9.2347104948303684E-4</c:v>
                </c:pt>
                <c:pt idx="3">
                  <c:v>1.7711672653157308E-4</c:v>
                </c:pt>
                <c:pt idx="4">
                  <c:v>2.5479788557628859E-4</c:v>
                </c:pt>
                <c:pt idx="5">
                  <c:v>1.3224218247395413E-4</c:v>
                </c:pt>
                <c:pt idx="6">
                  <c:v>1.0022464814496285E-3</c:v>
                </c:pt>
                <c:pt idx="7">
                  <c:v>2.0155184598889337E-4</c:v>
                </c:pt>
              </c:numCache>
            </c:numRef>
          </c:val>
        </c:ser>
        <c:ser>
          <c:idx val="2"/>
          <c:order val="2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mixen'!$U$59:$U$66</c:f>
              <c:numCache>
                <c:formatCode>0.0%</c:formatCode>
                <c:ptCount val="8"/>
                <c:pt idx="0">
                  <c:v>5.5250667094985939E-4</c:v>
                </c:pt>
                <c:pt idx="1">
                  <c:v>8.3996965362757614E-5</c:v>
                </c:pt>
                <c:pt idx="2">
                  <c:v>5.3205882513799002E-4</c:v>
                </c:pt>
                <c:pt idx="3">
                  <c:v>3.3318783405972806E-5</c:v>
                </c:pt>
                <c:pt idx="4">
                  <c:v>9.2910911144304784E-5</c:v>
                </c:pt>
                <c:pt idx="5">
                  <c:v>1.0721150577684647E-5</c:v>
                </c:pt>
                <c:pt idx="6">
                  <c:v>1.0231888585233301E-3</c:v>
                </c:pt>
                <c:pt idx="7">
                  <c:v>6.8311954136359267E-5</c:v>
                </c:pt>
              </c:numCache>
            </c:numRef>
          </c:val>
        </c:ser>
        <c:gapWidth val="100"/>
        <c:overlap val="100"/>
        <c:axId val="332829440"/>
        <c:axId val="332830976"/>
      </c:barChart>
      <c:catAx>
        <c:axId val="332829440"/>
        <c:scaling>
          <c:orientation val="minMax"/>
        </c:scaling>
        <c:axPos val="l"/>
        <c:tickLblPos val="nextTo"/>
        <c:crossAx val="332830976"/>
        <c:crosses val="autoZero"/>
        <c:auto val="1"/>
        <c:lblAlgn val="ctr"/>
        <c:lblOffset val="100"/>
      </c:catAx>
      <c:valAx>
        <c:axId val="332830976"/>
        <c:scaling>
          <c:orientation val="minMax"/>
        </c:scaling>
        <c:axPos val="b"/>
        <c:majorGridlines/>
        <c:numFmt formatCode="0%" sourceLinked="0"/>
        <c:tickLblPos val="nextTo"/>
        <c:crossAx val="33282944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mixen'!$R$25</c:f>
          <c:strCache>
            <c:ptCount val="1"/>
            <c:pt idx="0">
              <c:v>Base - muddle down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mixen'!$S$26:$S$33</c:f>
              <c:numCache>
                <c:formatCode>0.0%</c:formatCode>
                <c:ptCount val="8"/>
                <c:pt idx="0">
                  <c:v>0.74659048455063393</c:v>
                </c:pt>
                <c:pt idx="1">
                  <c:v>4.4624039680647536E-4</c:v>
                </c:pt>
                <c:pt idx="2">
                  <c:v>5.1174023303065183E-3</c:v>
                </c:pt>
                <c:pt idx="3">
                  <c:v>1.2907178347474162E-5</c:v>
                </c:pt>
                <c:pt idx="4">
                  <c:v>2.7108429391002652E-4</c:v>
                </c:pt>
                <c:pt idx="5">
                  <c:v>0.16339629983999532</c:v>
                </c:pt>
                <c:pt idx="6">
                  <c:v>1.2613832892028715E-3</c:v>
                </c:pt>
                <c:pt idx="7">
                  <c:v>9.0112776773304418E-5</c:v>
                </c:pt>
              </c:numCache>
            </c:numRef>
          </c:val>
        </c:ser>
        <c:ser>
          <c:idx val="1"/>
          <c:order val="1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mixen'!$T$26:$T$33</c:f>
              <c:numCache>
                <c:formatCode>0.0%</c:formatCode>
                <c:ptCount val="8"/>
                <c:pt idx="0">
                  <c:v>3.6690231062246781E-2</c:v>
                </c:pt>
                <c:pt idx="1">
                  <c:v>1.4615322598156633E-3</c:v>
                </c:pt>
                <c:pt idx="2">
                  <c:v>8.4777929629730724E-3</c:v>
                </c:pt>
                <c:pt idx="3">
                  <c:v>3.127999574476748E-4</c:v>
                </c:pt>
                <c:pt idx="4">
                  <c:v>1.4067334137111605E-3</c:v>
                </c:pt>
                <c:pt idx="5">
                  <c:v>3.0072107602711534E-2</c:v>
                </c:pt>
                <c:pt idx="6">
                  <c:v>3.7751510452482141E-3</c:v>
                </c:pt>
                <c:pt idx="7">
                  <c:v>6.1773703987024831E-4</c:v>
                </c:pt>
              </c:numCache>
            </c:numRef>
          </c:val>
        </c:ser>
        <c:ser>
          <c:idx val="2"/>
          <c:order val="2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mixen'!$U$26:$U$33</c:f>
              <c:numCache>
                <c:formatCode>0.0%</c:formatCode>
                <c:ptCount val="8"/>
                <c:pt idx="0">
                  <c:v>3.2937529832975931E-2</c:v>
                </c:pt>
                <c:pt idx="1">
                  <c:v>8.5072359533659562E-4</c:v>
                </c:pt>
                <c:pt idx="2">
                  <c:v>5.0885203158326803E-3</c:v>
                </c:pt>
                <c:pt idx="3">
                  <c:v>8.9761812965714221E-5</c:v>
                </c:pt>
                <c:pt idx="4">
                  <c:v>7.596232678956634E-4</c:v>
                </c:pt>
                <c:pt idx="5">
                  <c:v>3.4085076309123913E-2</c:v>
                </c:pt>
                <c:pt idx="6">
                  <c:v>1.5962329603130005E-3</c:v>
                </c:pt>
                <c:pt idx="7">
                  <c:v>3.0297316433658492E-4</c:v>
                </c:pt>
              </c:numCache>
            </c:numRef>
          </c:val>
        </c:ser>
        <c:gapWidth val="100"/>
        <c:overlap val="100"/>
        <c:axId val="332856320"/>
        <c:axId val="332993280"/>
      </c:barChart>
      <c:catAx>
        <c:axId val="332856320"/>
        <c:scaling>
          <c:orientation val="minMax"/>
        </c:scaling>
        <c:axPos val="l"/>
        <c:numFmt formatCode="0%" sourceLinked="1"/>
        <c:tickLblPos val="nextTo"/>
        <c:crossAx val="332993280"/>
        <c:crosses val="autoZero"/>
        <c:auto val="1"/>
        <c:lblAlgn val="ctr"/>
        <c:lblOffset val="100"/>
      </c:catAx>
      <c:valAx>
        <c:axId val="332993280"/>
        <c:scaling>
          <c:orientation val="minMax"/>
        </c:scaling>
        <c:axPos val="b"/>
        <c:majorGridlines/>
        <c:numFmt formatCode="0%" sourceLinked="0"/>
        <c:tickLblPos val="nextTo"/>
        <c:crossAx val="33285632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mixen'!$R$69</c:f>
          <c:strCache>
            <c:ptCount val="1"/>
            <c:pt idx="0">
              <c:v>Bull case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mixen'!$S$70:$S$77</c:f>
              <c:numCache>
                <c:formatCode>0.0%</c:formatCode>
                <c:ptCount val="8"/>
                <c:pt idx="0">
                  <c:v>0.73339422303277468</c:v>
                </c:pt>
                <c:pt idx="1">
                  <c:v>4.7981671404336646E-3</c:v>
                </c:pt>
                <c:pt idx="2">
                  <c:v>1.817380098889378E-3</c:v>
                </c:pt>
                <c:pt idx="3">
                  <c:v>2.1152357814109167E-4</c:v>
                </c:pt>
                <c:pt idx="4">
                  <c:v>1.2034398533330801E-4</c:v>
                </c:pt>
                <c:pt idx="5">
                  <c:v>3.9041996584103802E-2</c:v>
                </c:pt>
                <c:pt idx="6">
                  <c:v>8.5551150091976377E-3</c:v>
                </c:pt>
                <c:pt idx="7">
                  <c:v>0.118080976125847</c:v>
                </c:pt>
              </c:numCache>
            </c:numRef>
          </c:val>
        </c:ser>
        <c:ser>
          <c:idx val="1"/>
          <c:order val="1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mixen'!$T$70:$T$77</c:f>
              <c:numCache>
                <c:formatCode>0.0%</c:formatCode>
                <c:ptCount val="8"/>
                <c:pt idx="0">
                  <c:v>8.7097959435802341E-3</c:v>
                </c:pt>
                <c:pt idx="1">
                  <c:v>1.389642826892756E-2</c:v>
                </c:pt>
                <c:pt idx="2">
                  <c:v>7.1100938682564022E-3</c:v>
                </c:pt>
                <c:pt idx="3">
                  <c:v>2.6820794617370609E-3</c:v>
                </c:pt>
                <c:pt idx="4">
                  <c:v>1.8383953460307026E-3</c:v>
                </c:pt>
                <c:pt idx="5">
                  <c:v>1.103410389777669E-2</c:v>
                </c:pt>
                <c:pt idx="6">
                  <c:v>2.3817939645886223E-2</c:v>
                </c:pt>
                <c:pt idx="7">
                  <c:v>2.4891438013083994E-2</c:v>
                </c:pt>
              </c:numCache>
            </c:numRef>
          </c:val>
        </c:ser>
        <c:ser>
          <c:idx val="2"/>
          <c:order val="2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mixen'!$U$70:$U$77</c:f>
              <c:numCache>
                <c:formatCode>0.0%</c:formatCode>
                <c:ptCount val="8"/>
                <c:pt idx="0">
                  <c:v>8.0049157237335189E-3</c:v>
                </c:pt>
                <c:pt idx="1">
                  <c:v>8.177990511628163E-3</c:v>
                </c:pt>
                <c:pt idx="2">
                  <c:v>4.573040684950248E-3</c:v>
                </c:pt>
                <c:pt idx="3">
                  <c:v>1.1329665817917771E-3</c:v>
                </c:pt>
                <c:pt idx="4">
                  <c:v>9.4867301142463221E-4</c:v>
                </c:pt>
                <c:pt idx="5">
                  <c:v>1.279045145026983E-2</c:v>
                </c:pt>
                <c:pt idx="6">
                  <c:v>1.7609176527782683E-2</c:v>
                </c:pt>
                <c:pt idx="7">
                  <c:v>2.217798538389934E-2</c:v>
                </c:pt>
              </c:numCache>
            </c:numRef>
          </c:val>
        </c:ser>
        <c:gapWidth val="100"/>
        <c:overlap val="100"/>
        <c:axId val="333022720"/>
        <c:axId val="333024256"/>
      </c:barChart>
      <c:catAx>
        <c:axId val="333022720"/>
        <c:scaling>
          <c:orientation val="minMax"/>
        </c:scaling>
        <c:axPos val="l"/>
        <c:tickLblPos val="nextTo"/>
        <c:crossAx val="333024256"/>
        <c:crosses val="autoZero"/>
        <c:auto val="1"/>
        <c:lblAlgn val="ctr"/>
        <c:lblOffset val="100"/>
      </c:catAx>
      <c:valAx>
        <c:axId val="333024256"/>
        <c:scaling>
          <c:orientation val="minMax"/>
        </c:scaling>
        <c:axPos val="b"/>
        <c:majorGridlines/>
        <c:numFmt formatCode="0%" sourceLinked="0"/>
        <c:tickLblPos val="nextTo"/>
        <c:crossAx val="33302272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77" l="0.70000000000000062" r="0.70000000000000062" t="0.75000000000001077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7.7523703679179226E-2</c:v>
                </c:pt>
                <c:pt idx="1">
                  <c:v>7.2101864904390994E-2</c:v>
                </c:pt>
                <c:pt idx="2">
                  <c:v>0.13836433077278346</c:v>
                </c:pt>
                <c:pt idx="3">
                  <c:v>7.3678396828209328E-2</c:v>
                </c:pt>
                <c:pt idx="4">
                  <c:v>2.0173423169925982E-2</c:v>
                </c:pt>
                <c:pt idx="5">
                  <c:v>4.4880843106858817E-2</c:v>
                </c:pt>
                <c:pt idx="6">
                  <c:v>4.5840528997215114E-2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0.11178242658846217</c:v>
                </c:pt>
                <c:pt idx="1">
                  <c:v>0.10778558921718012</c:v>
                </c:pt>
                <c:pt idx="2">
                  <c:v>5.6755031712511478E-2</c:v>
                </c:pt>
                <c:pt idx="3">
                  <c:v>4.9549119136717543E-2</c:v>
                </c:pt>
                <c:pt idx="4">
                  <c:v>3.0112115263790974E-2</c:v>
                </c:pt>
                <c:pt idx="5">
                  <c:v>8.1224458257631457E-2</c:v>
                </c:pt>
                <c:pt idx="6">
                  <c:v>9.0228168365143302E-2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0.11826925340980624</c:v>
                </c:pt>
                <c:pt idx="1">
                  <c:v>0.1073540296517986</c:v>
                </c:pt>
                <c:pt idx="2">
                  <c:v>5.4566375536032385E-2</c:v>
                </c:pt>
                <c:pt idx="3">
                  <c:v>4.8468349246479775E-2</c:v>
                </c:pt>
                <c:pt idx="4">
                  <c:v>3.0167960277201408E-2</c:v>
                </c:pt>
                <c:pt idx="5">
                  <c:v>8.002783289600518E-2</c:v>
                </c:pt>
                <c:pt idx="6">
                  <c:v>8.984186448715456E-2</c:v>
                </c:pt>
              </c:numCache>
            </c:numRef>
          </c:val>
        </c:ser>
        <c:gapWidth val="101"/>
        <c:overlap val="100"/>
        <c:axId val="333181312"/>
        <c:axId val="333182848"/>
      </c:barChart>
      <c:catAx>
        <c:axId val="333181312"/>
        <c:scaling>
          <c:orientation val="minMax"/>
        </c:scaling>
        <c:axPos val="l"/>
        <c:tickLblPos val="nextTo"/>
        <c:crossAx val="333182848"/>
        <c:crosses val="autoZero"/>
        <c:auto val="1"/>
        <c:lblAlgn val="ctr"/>
        <c:lblOffset val="100"/>
      </c:catAx>
      <c:valAx>
        <c:axId val="333182848"/>
        <c:scaling>
          <c:orientation val="minMax"/>
        </c:scaling>
        <c:axPos val="b"/>
        <c:majorGridlines/>
        <c:numFmt formatCode="0%" sourceLinked="0"/>
        <c:tickLblPos val="nextTo"/>
        <c:crossAx val="33318131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return'!$Q$13</c:f>
          <c:strCache>
            <c:ptCount val="1"/>
            <c:pt idx="0">
              <c:v>Base Case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return'!$R$14:$R$20</c:f>
              <c:numCache>
                <c:formatCode>0.0%</c:formatCode>
                <c:ptCount val="7"/>
                <c:pt idx="0">
                  <c:v>9.5304615523685604E-2</c:v>
                </c:pt>
                <c:pt idx="1">
                  <c:v>1.0080629740565394E-2</c:v>
                </c:pt>
                <c:pt idx="2">
                  <c:v>3.1098054798629564E-4</c:v>
                </c:pt>
                <c:pt idx="3">
                  <c:v>1.521987083539175E-2</c:v>
                </c:pt>
                <c:pt idx="4">
                  <c:v>0.45501853734259429</c:v>
                </c:pt>
                <c:pt idx="5">
                  <c:v>1.9868438206004254E-2</c:v>
                </c:pt>
                <c:pt idx="6">
                  <c:v>1.7409154601443391E-3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return'!$S$14:$S$20</c:f>
              <c:numCache>
                <c:formatCode>0.0%</c:formatCode>
                <c:ptCount val="7"/>
                <c:pt idx="0">
                  <c:v>0.14047239975423068</c:v>
                </c:pt>
                <c:pt idx="1">
                  <c:v>3.5081060368993576E-2</c:v>
                </c:pt>
                <c:pt idx="2">
                  <c:v>4.4346199654253073E-3</c:v>
                </c:pt>
                <c:pt idx="3">
                  <c:v>5.6345519071045708E-2</c:v>
                </c:pt>
                <c:pt idx="4">
                  <c:v>0.10624086070589217</c:v>
                </c:pt>
                <c:pt idx="5">
                  <c:v>5.0407663468918618E-2</c:v>
                </c:pt>
                <c:pt idx="6">
                  <c:v>9.4738890091217564E-3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return'!$T$14:$T$20</c:f>
              <c:numCache>
                <c:formatCode>0.0%</c:formatCode>
                <c:ptCount val="7"/>
                <c:pt idx="0">
                  <c:v>0.13510486839856617</c:v>
                </c:pt>
                <c:pt idx="1">
                  <c:v>3.4737076271140803E-2</c:v>
                </c:pt>
                <c:pt idx="2">
                  <c:v>5.1868663386499597E-3</c:v>
                </c:pt>
                <c:pt idx="3">
                  <c:v>5.5521269307930998E-2</c:v>
                </c:pt>
                <c:pt idx="4">
                  <c:v>0.10838077196627249</c:v>
                </c:pt>
                <c:pt idx="5">
                  <c:v>5.1161979778295952E-2</c:v>
                </c:pt>
                <c:pt idx="6">
                  <c:v>1.0694456382009851E-2</c:v>
                </c:pt>
              </c:numCache>
            </c:numRef>
          </c:val>
        </c:ser>
        <c:gapWidth val="101"/>
        <c:overlap val="100"/>
        <c:axId val="333208192"/>
        <c:axId val="333226368"/>
      </c:barChart>
      <c:catAx>
        <c:axId val="333208192"/>
        <c:scaling>
          <c:orientation val="minMax"/>
        </c:scaling>
        <c:axPos val="l"/>
        <c:tickLblPos val="nextTo"/>
        <c:crossAx val="333226368"/>
        <c:crosses val="autoZero"/>
        <c:auto val="1"/>
        <c:lblAlgn val="ctr"/>
        <c:lblOffset val="100"/>
      </c:catAx>
      <c:valAx>
        <c:axId val="333226368"/>
        <c:scaling>
          <c:orientation val="minMax"/>
        </c:scaling>
        <c:axPos val="b"/>
        <c:majorGridlines/>
        <c:numFmt formatCode="0%" sourceLinked="0"/>
        <c:tickLblPos val="nextTo"/>
        <c:crossAx val="33320819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return'!$Q$23</c:f>
          <c:strCache>
            <c:ptCount val="1"/>
            <c:pt idx="0">
              <c:v>Base - muddle down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return'!$R$24:$R$30</c:f>
              <c:numCache>
                <c:formatCode>0.0%</c:formatCode>
                <c:ptCount val="7"/>
                <c:pt idx="0">
                  <c:v>9.7331828190076893E-4</c:v>
                </c:pt>
                <c:pt idx="1">
                  <c:v>1.7159244375471998E-2</c:v>
                </c:pt>
                <c:pt idx="2">
                  <c:v>1.6123355805191399E-5</c:v>
                </c:pt>
                <c:pt idx="3">
                  <c:v>3.8766894616157349E-4</c:v>
                </c:pt>
                <c:pt idx="4">
                  <c:v>0.84973198999984012</c:v>
                </c:pt>
                <c:pt idx="5">
                  <c:v>3.7704170688989506E-3</c:v>
                </c:pt>
                <c:pt idx="6">
                  <c:v>1.5819886252651036E-4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return'!$S$24:$S$30</c:f>
              <c:numCache>
                <c:formatCode>0.0%</c:formatCode>
                <c:ptCount val="7"/>
                <c:pt idx="0">
                  <c:v>7.929144015938857E-3</c:v>
                </c:pt>
                <c:pt idx="1">
                  <c:v>4.4319504730061188E-2</c:v>
                </c:pt>
                <c:pt idx="2">
                  <c:v>1.5159638129282826E-3</c:v>
                </c:pt>
                <c:pt idx="3">
                  <c:v>7.4151675356900083E-3</c:v>
                </c:pt>
                <c:pt idx="4">
                  <c:v>4.4550907013674146E-2</c:v>
                </c:pt>
                <c:pt idx="5">
                  <c:v>1.8945921282737768E-2</c:v>
                </c:pt>
                <c:pt idx="6">
                  <c:v>3.1264307183648749E-3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return'!$T$24:$T$30</c:f>
              <c:numCache>
                <c:formatCode>0.0%</c:formatCode>
                <c:ptCount val="7"/>
                <c:pt idx="0">
                  <c:v>7.3345119432359097E-3</c:v>
                </c:pt>
                <c:pt idx="1">
                  <c:v>4.6041149648945297E-2</c:v>
                </c:pt>
                <c:pt idx="2">
                  <c:v>1.178346395981046E-3</c:v>
                </c:pt>
                <c:pt idx="3">
                  <c:v>7.1526689024403473E-3</c:v>
                </c:pt>
                <c:pt idx="4">
                  <c:v>4.5163043894582366E-2</c:v>
                </c:pt>
                <c:pt idx="5">
                  <c:v>1.8770803358369382E-2</c:v>
                </c:pt>
                <c:pt idx="6">
                  <c:v>3.397176233414516E-3</c:v>
                </c:pt>
              </c:numCache>
            </c:numRef>
          </c:val>
        </c:ser>
        <c:gapWidth val="101"/>
        <c:overlap val="100"/>
        <c:axId val="333321344"/>
        <c:axId val="333322880"/>
      </c:barChart>
      <c:catAx>
        <c:axId val="333321344"/>
        <c:scaling>
          <c:orientation val="minMax"/>
        </c:scaling>
        <c:axPos val="l"/>
        <c:tickLblPos val="nextTo"/>
        <c:crossAx val="333322880"/>
        <c:crosses val="autoZero"/>
        <c:auto val="1"/>
        <c:lblAlgn val="ctr"/>
        <c:lblOffset val="100"/>
      </c:catAx>
      <c:valAx>
        <c:axId val="333322880"/>
        <c:scaling>
          <c:orientation val="minMax"/>
        </c:scaling>
        <c:axPos val="b"/>
        <c:majorGridlines/>
        <c:numFmt formatCode="0%" sourceLinked="0"/>
        <c:tickLblPos val="nextTo"/>
        <c:crossAx val="33332134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return'!$Q$33</c:f>
          <c:strCache>
            <c:ptCount val="1"/>
            <c:pt idx="0">
              <c:v>Base - muddle up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return'!$R$34:$R$40</c:f>
              <c:numCache>
                <c:formatCode>0.0%</c:formatCode>
                <c:ptCount val="7"/>
                <c:pt idx="0">
                  <c:v>0.61239230310119175</c:v>
                </c:pt>
                <c:pt idx="1">
                  <c:v>2.7946565716081835E-3</c:v>
                </c:pt>
                <c:pt idx="2">
                  <c:v>2.0775934428418331E-3</c:v>
                </c:pt>
                <c:pt idx="3">
                  <c:v>1.645975756546526E-2</c:v>
                </c:pt>
                <c:pt idx="4">
                  <c:v>5.0434992797911832E-2</c:v>
                </c:pt>
                <c:pt idx="5">
                  <c:v>9.7234850478918125E-3</c:v>
                </c:pt>
                <c:pt idx="6">
                  <c:v>4.2673088400998404E-3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return'!$S$34:$S$40</c:f>
              <c:numCache>
                <c:formatCode>0.0%</c:formatCode>
                <c:ptCount val="7"/>
                <c:pt idx="0">
                  <c:v>9.5731347239399023E-2</c:v>
                </c:pt>
                <c:pt idx="1">
                  <c:v>1.2287775405978744E-2</c:v>
                </c:pt>
                <c:pt idx="2">
                  <c:v>1.407974385675073E-2</c:v>
                </c:pt>
                <c:pt idx="3">
                  <c:v>5.3208950731218813E-2</c:v>
                </c:pt>
                <c:pt idx="4">
                  <c:v>8.0012654148902962E-2</c:v>
                </c:pt>
                <c:pt idx="5">
                  <c:v>2.8019413077403348E-2</c:v>
                </c:pt>
                <c:pt idx="6">
                  <c:v>1.8510018173335793E-2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return'!$T$34:$T$40</c:f>
              <c:numCache>
                <c:formatCode>0.0%</c:formatCode>
                <c:ptCount val="7"/>
                <c:pt idx="0">
                  <c:v>9.6314578512979532E-2</c:v>
                </c:pt>
                <c:pt idx="1">
                  <c:v>1.2137373915949348E-2</c:v>
                </c:pt>
                <c:pt idx="2">
                  <c:v>1.5811978751779188E-2</c:v>
                </c:pt>
                <c:pt idx="3">
                  <c:v>5.8543348121665742E-2</c:v>
                </c:pt>
                <c:pt idx="4">
                  <c:v>7.2780678045888392E-2</c:v>
                </c:pt>
                <c:pt idx="5">
                  <c:v>2.8785600742057479E-2</c:v>
                </c:pt>
                <c:pt idx="6">
                  <c:v>1.9393927449761296E-2</c:v>
                </c:pt>
              </c:numCache>
            </c:numRef>
          </c:val>
        </c:ser>
        <c:gapWidth val="100"/>
        <c:overlap val="100"/>
        <c:axId val="333348224"/>
        <c:axId val="333382784"/>
      </c:barChart>
      <c:catAx>
        <c:axId val="333348224"/>
        <c:scaling>
          <c:orientation val="minMax"/>
        </c:scaling>
        <c:axPos val="l"/>
        <c:tickLblPos val="nextTo"/>
        <c:crossAx val="333382784"/>
        <c:crosses val="autoZero"/>
        <c:auto val="1"/>
        <c:lblAlgn val="ctr"/>
        <c:lblOffset val="100"/>
      </c:catAx>
      <c:valAx>
        <c:axId val="333382784"/>
        <c:scaling>
          <c:orientation val="minMax"/>
        </c:scaling>
        <c:axPos val="b"/>
        <c:majorGridlines/>
        <c:numFmt formatCode="0%" sourceLinked="0"/>
        <c:tickLblPos val="nextTo"/>
        <c:crossAx val="33334822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return'!$Q$43</c:f>
          <c:strCache>
            <c:ptCount val="1"/>
            <c:pt idx="0">
              <c:v>Bear case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return'!$R$44:$R$50</c:f>
              <c:numCache>
                <c:formatCode>0.0%</c:formatCode>
                <c:ptCount val="7"/>
                <c:pt idx="0">
                  <c:v>3.6395984093867494E-4</c:v>
                </c:pt>
                <c:pt idx="1">
                  <c:v>5.6322545765322E-4</c:v>
                </c:pt>
                <c:pt idx="2">
                  <c:v>7.1639402696013698E-5</c:v>
                </c:pt>
                <c:pt idx="3">
                  <c:v>2.1951336314716854E-4</c:v>
                </c:pt>
                <c:pt idx="4">
                  <c:v>1.6823967215296896E-4</c:v>
                </c:pt>
                <c:pt idx="5">
                  <c:v>6.291924264022467E-3</c:v>
                </c:pt>
                <c:pt idx="6">
                  <c:v>2.1032383615705061E-4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return'!$S$44:$S$50</c:f>
              <c:numCache>
                <c:formatCode>0.0%</c:formatCode>
                <c:ptCount val="7"/>
                <c:pt idx="0">
                  <c:v>0.13971701361647837</c:v>
                </c:pt>
                <c:pt idx="1">
                  <c:v>0.14306578853827345</c:v>
                </c:pt>
                <c:pt idx="2">
                  <c:v>8.2835974760089373E-2</c:v>
                </c:pt>
                <c:pt idx="3">
                  <c:v>0.12412970819022642</c:v>
                </c:pt>
                <c:pt idx="4">
                  <c:v>9.9817764585229327E-2</c:v>
                </c:pt>
                <c:pt idx="5">
                  <c:v>0.28113981579711805</c:v>
                </c:pt>
                <c:pt idx="6">
                  <c:v>0.12140510867533598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return'!$T$44:$T$50</c:f>
              <c:numCache>
                <c:formatCode>0.0%</c:formatCode>
                <c:ptCount val="7"/>
                <c:pt idx="0">
                  <c:v>0.17463054250435311</c:v>
                </c:pt>
                <c:pt idx="1">
                  <c:v>0.17683435045496268</c:v>
                </c:pt>
                <c:pt idx="2">
                  <c:v>7.9645176354705277E-2</c:v>
                </c:pt>
                <c:pt idx="3">
                  <c:v>0.18084800399220846</c:v>
                </c:pt>
                <c:pt idx="4">
                  <c:v>0.1240690331019349</c:v>
                </c:pt>
                <c:pt idx="5">
                  <c:v>0.32827860685467175</c:v>
                </c:pt>
                <c:pt idx="6">
                  <c:v>0.17034837080638371</c:v>
                </c:pt>
              </c:numCache>
            </c:numRef>
          </c:val>
        </c:ser>
        <c:gapWidth val="100"/>
        <c:overlap val="100"/>
        <c:axId val="333404032"/>
        <c:axId val="333405568"/>
      </c:barChart>
      <c:catAx>
        <c:axId val="333404032"/>
        <c:scaling>
          <c:orientation val="minMax"/>
        </c:scaling>
        <c:axPos val="l"/>
        <c:tickLblPos val="nextTo"/>
        <c:crossAx val="333405568"/>
        <c:crosses val="autoZero"/>
        <c:auto val="1"/>
        <c:lblAlgn val="ctr"/>
        <c:lblOffset val="100"/>
      </c:catAx>
      <c:valAx>
        <c:axId val="333405568"/>
        <c:scaling>
          <c:orientation val="minMax"/>
        </c:scaling>
        <c:axPos val="b"/>
        <c:majorGridlines/>
        <c:numFmt formatCode="0%" sourceLinked="0"/>
        <c:tickLblPos val="nextTo"/>
        <c:crossAx val="33340403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Kansgewogen</c:v>
            </c:pt>
          </c:strCache>
        </c:strRef>
      </c:tx>
      <c:layout/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0.28403257460666398</c:v>
                </c:pt>
                <c:pt idx="1">
                  <c:v>9.2786708420521044E-3</c:v>
                </c:pt>
                <c:pt idx="2">
                  <c:v>3.0039866257030597E-4</c:v>
                </c:pt>
                <c:pt idx="3">
                  <c:v>3.8668125810088834E-2</c:v>
                </c:pt>
                <c:pt idx="4">
                  <c:v>0.22428296757374544</c:v>
                </c:pt>
                <c:pt idx="5">
                  <c:v>1.9375499202091338E-2</c:v>
                </c:pt>
                <c:pt idx="6">
                  <c:v>9.774246434712734E-4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0.14294929032261683</c:v>
                </c:pt>
                <c:pt idx="1">
                  <c:v>2.5937319094747856E-2</c:v>
                </c:pt>
                <c:pt idx="2">
                  <c:v>3.1021650728612331E-3</c:v>
                </c:pt>
                <c:pt idx="3">
                  <c:v>8.9651551926705125E-2</c:v>
                </c:pt>
                <c:pt idx="4">
                  <c:v>0.10119054239111891</c:v>
                </c:pt>
                <c:pt idx="5">
                  <c:v>5.2998775686103367E-2</c:v>
                </c:pt>
                <c:pt idx="6">
                  <c:v>7.254694165162643E-3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0.15217448721705507</c:v>
                </c:pt>
                <c:pt idx="1">
                  <c:v>2.7095064640558081E-2</c:v>
                </c:pt>
                <c:pt idx="2">
                  <c:v>3.4896248327981505E-3</c:v>
                </c:pt>
                <c:pt idx="3">
                  <c:v>8.8051160103802345E-2</c:v>
                </c:pt>
                <c:pt idx="4">
                  <c:v>0.10232324676868892</c:v>
                </c:pt>
                <c:pt idx="5">
                  <c:v>5.5617808549081882E-2</c:v>
                </c:pt>
                <c:pt idx="6">
                  <c:v>7.0990254529988001E-3</c:v>
                </c:pt>
              </c:numCache>
            </c:numRef>
          </c:val>
        </c:ser>
        <c:gapWidth val="100"/>
        <c:overlap val="100"/>
        <c:axId val="333451648"/>
        <c:axId val="333453184"/>
      </c:barChart>
      <c:catAx>
        <c:axId val="333451648"/>
        <c:scaling>
          <c:orientation val="minMax"/>
        </c:scaling>
        <c:axPos val="l"/>
        <c:tickLblPos val="nextTo"/>
        <c:crossAx val="333453184"/>
        <c:crosses val="autoZero"/>
        <c:auto val="1"/>
        <c:lblAlgn val="ctr"/>
        <c:lblOffset val="100"/>
      </c:catAx>
      <c:valAx>
        <c:axId val="333453184"/>
        <c:scaling>
          <c:orientation val="minMax"/>
        </c:scaling>
        <c:axPos val="b"/>
        <c:majorGridlines/>
        <c:numFmt formatCode="0%" sourceLinked="0"/>
        <c:tickLblPos val="nextTo"/>
        <c:crossAx val="33345164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return'!$A$74:$A$80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return'!$B$74:$B$80</c:f>
              <c:numCache>
                <c:formatCode>0.0%</c:formatCode>
                <c:ptCount val="7"/>
                <c:pt idx="0">
                  <c:v>0.42698186492928081</c:v>
                </c:pt>
                <c:pt idx="1">
                  <c:v>3.521598993679996E-2</c:v>
                </c:pt>
                <c:pt idx="2">
                  <c:v>3.402563735431539E-3</c:v>
                </c:pt>
                <c:pt idx="3">
                  <c:v>0.12831967773679395</c:v>
                </c:pt>
                <c:pt idx="4">
                  <c:v>0.32547350996486435</c:v>
                </c:pt>
                <c:pt idx="5">
                  <c:v>7.2374274888194701E-2</c:v>
                </c:pt>
                <c:pt idx="6">
                  <c:v>8.2321188086339168E-3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return'!$A$103:$A$109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return'!$B$103:$B$109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return'!$Q$63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return'!$R$64:$R$70</c:f>
              <c:numCache>
                <c:formatCode>0.0%</c:formatCode>
                <c:ptCount val="7"/>
                <c:pt idx="0">
                  <c:v>8.4753556683931988E-3</c:v>
                </c:pt>
                <c:pt idx="1">
                  <c:v>3.2089670703715025E-3</c:v>
                </c:pt>
                <c:pt idx="2">
                  <c:v>1.5806726159073439E-4</c:v>
                </c:pt>
                <c:pt idx="3">
                  <c:v>1.3347015598507306E-4</c:v>
                </c:pt>
                <c:pt idx="4">
                  <c:v>0.1226275537649839</c:v>
                </c:pt>
                <c:pt idx="5">
                  <c:v>1.2475079576170467E-2</c:v>
                </c:pt>
                <c:pt idx="6">
                  <c:v>0.43029176546889841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return'!$S$64:$S$70</c:f>
              <c:numCache>
                <c:formatCode>0.0%</c:formatCode>
                <c:ptCount val="7"/>
                <c:pt idx="0">
                  <c:v>6.3480483502412172E-2</c:v>
                </c:pt>
                <c:pt idx="1">
                  <c:v>3.1492860453719185E-2</c:v>
                </c:pt>
                <c:pt idx="2">
                  <c:v>1.121682311718513E-2</c:v>
                </c:pt>
                <c:pt idx="3">
                  <c:v>7.5817182883051422E-3</c:v>
                </c:pt>
                <c:pt idx="4">
                  <c:v>7.4380280053687645E-2</c:v>
                </c:pt>
                <c:pt idx="5">
                  <c:v>0.11013662225044657</c:v>
                </c:pt>
                <c:pt idx="6">
                  <c:v>0.1243409533678505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return'!$T$64:$T$70</c:f>
              <c:numCache>
                <c:formatCode>0.0%</c:formatCode>
                <c:ptCount val="7"/>
                <c:pt idx="0">
                  <c:v>6.112137097652659E-2</c:v>
                </c:pt>
                <c:pt idx="1">
                  <c:v>3.6382201978937566E-2</c:v>
                </c:pt>
                <c:pt idx="2">
                  <c:v>1.0993784018580479E-2</c:v>
                </c:pt>
                <c:pt idx="3">
                  <c:v>9.9244280538291815E-3</c:v>
                </c:pt>
                <c:pt idx="4">
                  <c:v>7.5045904599773061E-2</c:v>
                </c:pt>
                <c:pt idx="5">
                  <c:v>0.11550640566773462</c:v>
                </c:pt>
                <c:pt idx="6">
                  <c:v>0.13046832903158545</c:v>
                </c:pt>
              </c:numCache>
            </c:numRef>
          </c:val>
        </c:ser>
        <c:gapWidth val="100"/>
        <c:overlap val="100"/>
        <c:axId val="333544064"/>
        <c:axId val="333549952"/>
      </c:barChart>
      <c:catAx>
        <c:axId val="333544064"/>
        <c:scaling>
          <c:orientation val="minMax"/>
        </c:scaling>
        <c:axPos val="l"/>
        <c:tickLblPos val="nextTo"/>
        <c:crossAx val="333549952"/>
        <c:crosses val="autoZero"/>
        <c:auto val="1"/>
        <c:lblAlgn val="ctr"/>
        <c:lblOffset val="100"/>
      </c:catAx>
      <c:valAx>
        <c:axId val="333549952"/>
        <c:scaling>
          <c:orientation val="minMax"/>
        </c:scaling>
        <c:axPos val="b"/>
        <c:majorGridlines/>
        <c:numFmt formatCode="0%" sourceLinked="0"/>
        <c:tickLblPos val="nextTo"/>
        <c:crossAx val="33354406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return'!$Q$53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1794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return'!$R$54:$R$60</c:f>
              <c:numCache>
                <c:formatCode>0.0%</c:formatCode>
                <c:ptCount val="7"/>
                <c:pt idx="0">
                  <c:v>9.0091634382478374E-6</c:v>
                </c:pt>
                <c:pt idx="1">
                  <c:v>1.1077505439822777E-4</c:v>
                </c:pt>
                <c:pt idx="2">
                  <c:v>1.6321501928185519E-6</c:v>
                </c:pt>
                <c:pt idx="3">
                  <c:v>2.6944486895544232E-6</c:v>
                </c:pt>
                <c:pt idx="4">
                  <c:v>5.6631026702354599E-7</c:v>
                </c:pt>
                <c:pt idx="5">
                  <c:v>0.96405006368400703</c:v>
                </c:pt>
                <c:pt idx="6">
                  <c:v>4.0112150440200787E-6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return'!$S$54:$S$60</c:f>
              <c:numCache>
                <c:formatCode>0.0%</c:formatCode>
                <c:ptCount val="7"/>
                <c:pt idx="0">
                  <c:v>2.6905192349177282E-3</c:v>
                </c:pt>
                <c:pt idx="1">
                  <c:v>1.0687719239309274E-2</c:v>
                </c:pt>
                <c:pt idx="2">
                  <c:v>1.9805743194935472E-3</c:v>
                </c:pt>
                <c:pt idx="3">
                  <c:v>2.8632921305428265E-3</c:v>
                </c:pt>
                <c:pt idx="4">
                  <c:v>1.4765361156603579E-3</c:v>
                </c:pt>
                <c:pt idx="5">
                  <c:v>1.3853470409377677E-2</c:v>
                </c:pt>
                <c:pt idx="6">
                  <c:v>2.269136524660556E-3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return'!$T$54:$T$60</c:f>
              <c:numCache>
                <c:formatCode>0.0%</c:formatCode>
                <c:ptCount val="7"/>
                <c:pt idx="0">
                  <c:v>2.9704751954857983E-3</c:v>
                </c:pt>
                <c:pt idx="1">
                  <c:v>1.2743341001383725E-2</c:v>
                </c:pt>
                <c:pt idx="2">
                  <c:v>2.1763119008722633E-3</c:v>
                </c:pt>
                <c:pt idx="3">
                  <c:v>3.4898908754950201E-3</c:v>
                </c:pt>
                <c:pt idx="4">
                  <c:v>1.6137954124868417E-3</c:v>
                </c:pt>
                <c:pt idx="5">
                  <c:v>1.4506896857543805E-2</c:v>
                </c:pt>
                <c:pt idx="6">
                  <c:v>2.5399729572493862E-3</c:v>
                </c:pt>
              </c:numCache>
            </c:numRef>
          </c:val>
        </c:ser>
        <c:gapWidth val="100"/>
        <c:overlap val="100"/>
        <c:axId val="333579392"/>
        <c:axId val="333580928"/>
      </c:barChart>
      <c:catAx>
        <c:axId val="333579392"/>
        <c:scaling>
          <c:orientation val="minMax"/>
        </c:scaling>
        <c:axPos val="l"/>
        <c:tickLblPos val="nextTo"/>
        <c:crossAx val="333580928"/>
        <c:crosses val="autoZero"/>
        <c:auto val="1"/>
        <c:lblAlgn val="ctr"/>
        <c:lblOffset val="100"/>
      </c:catAx>
      <c:valAx>
        <c:axId val="333580928"/>
        <c:scaling>
          <c:orientation val="minMax"/>
        </c:scaling>
        <c:axPos val="b"/>
        <c:majorGridlines/>
        <c:numFmt formatCode="0%" sourceLinked="0"/>
        <c:tickLblPos val="nextTo"/>
        <c:crossAx val="33357939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33" l="0.70000000000000062" r="0.70000000000000062" t="0.75000000000001033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586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6221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0.54714806916725012</c:v>
                </c:pt>
                <c:pt idx="1">
                  <c:v>0.12763544493243639</c:v>
                </c:pt>
                <c:pt idx="2">
                  <c:v>5.6802310341193176E-3</c:v>
                </c:pt>
                <c:pt idx="3">
                  <c:v>2.5126859617450768E-4</c:v>
                </c:pt>
                <c:pt idx="4">
                  <c:v>2.6161342967578174E-2</c:v>
                </c:pt>
                <c:pt idx="5">
                  <c:v>0.11370157864389133</c:v>
                </c:pt>
                <c:pt idx="6">
                  <c:v>1.2460701684223623E-2</c:v>
                </c:pt>
                <c:pt idx="7">
                  <c:v>8.1840163442420031E-4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2.7808139607628179E-2</c:v>
                </c:pt>
                <c:pt idx="1">
                  <c:v>5.8994126391425983E-2</c:v>
                </c:pt>
                <c:pt idx="2">
                  <c:v>9.2562383246276945E-3</c:v>
                </c:pt>
                <c:pt idx="3">
                  <c:v>1.1816123766911378E-3</c:v>
                </c:pt>
                <c:pt idx="4">
                  <c:v>2.668541839100709E-2</c:v>
                </c:pt>
                <c:pt idx="5">
                  <c:v>2.1156644324819618E-2</c:v>
                </c:pt>
                <c:pt idx="6">
                  <c:v>1.8415184204275122E-2</c:v>
                </c:pt>
                <c:pt idx="7">
                  <c:v>2.6455977194271944E-3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2.8019349024796303E-2</c:v>
                </c:pt>
                <c:pt idx="1">
                  <c:v>5.3606942102864236E-2</c:v>
                </c:pt>
                <c:pt idx="2">
                  <c:v>6.7364503819415458E-3</c:v>
                </c:pt>
                <c:pt idx="3">
                  <c:v>6.4614732216968147E-4</c:v>
                </c:pt>
                <c:pt idx="4">
                  <c:v>2.3100317565888401E-2</c:v>
                </c:pt>
                <c:pt idx="5">
                  <c:v>2.0825315884248768E-2</c:v>
                </c:pt>
                <c:pt idx="6">
                  <c:v>1.4141635270953294E-2</c:v>
                </c:pt>
                <c:pt idx="7">
                  <c:v>1.499157203524787E-3</c:v>
                </c:pt>
              </c:numCache>
            </c:numRef>
          </c:val>
        </c:ser>
        <c:overlap val="100"/>
        <c:axId val="333837056"/>
        <c:axId val="333838976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marker val="1"/>
        <c:axId val="333837056"/>
        <c:axId val="333838976"/>
      </c:lineChart>
      <c:catAx>
        <c:axId val="333837056"/>
        <c:scaling>
          <c:orientation val="minMax"/>
        </c:scaling>
        <c:axPos val="b"/>
        <c:tickLblPos val="nextTo"/>
        <c:crossAx val="333838976"/>
        <c:crosses val="autoZero"/>
        <c:auto val="1"/>
        <c:lblAlgn val="ctr"/>
        <c:lblOffset val="100"/>
      </c:catAx>
      <c:valAx>
        <c:axId val="333838976"/>
        <c:scaling>
          <c:orientation val="minMax"/>
        </c:scaling>
        <c:axPos val="l"/>
        <c:majorGridlines/>
        <c:numFmt formatCode="0%" sourceLinked="0"/>
        <c:tickLblPos val="nextTo"/>
        <c:crossAx val="333837056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12"/>
          <c:y val="0.15551261598255664"/>
          <c:w val="0.86236463089172677"/>
          <c:h val="0.506497459139641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0.28403257460666398</c:v>
                </c:pt>
                <c:pt idx="1">
                  <c:v>9.2786708420521044E-3</c:v>
                </c:pt>
                <c:pt idx="2">
                  <c:v>3.0039866257030597E-4</c:v>
                </c:pt>
                <c:pt idx="3">
                  <c:v>3.8668125810088834E-2</c:v>
                </c:pt>
                <c:pt idx="4">
                  <c:v>0.22428296757374544</c:v>
                </c:pt>
                <c:pt idx="5">
                  <c:v>1.9375499202091338E-2</c:v>
                </c:pt>
                <c:pt idx="6">
                  <c:v>9.774246434712734E-4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0.14294929032261683</c:v>
                </c:pt>
                <c:pt idx="1">
                  <c:v>2.5937319094747856E-2</c:v>
                </c:pt>
                <c:pt idx="2">
                  <c:v>3.1021650728612331E-3</c:v>
                </c:pt>
                <c:pt idx="3">
                  <c:v>8.9651551926705125E-2</c:v>
                </c:pt>
                <c:pt idx="4">
                  <c:v>0.10119054239111891</c:v>
                </c:pt>
                <c:pt idx="5">
                  <c:v>5.2998775686103367E-2</c:v>
                </c:pt>
                <c:pt idx="6">
                  <c:v>7.254694165162643E-3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0.15217448721705507</c:v>
                </c:pt>
                <c:pt idx="1">
                  <c:v>2.7095064640558081E-2</c:v>
                </c:pt>
                <c:pt idx="2">
                  <c:v>3.4896248327981505E-3</c:v>
                </c:pt>
                <c:pt idx="3">
                  <c:v>8.8051160103802345E-2</c:v>
                </c:pt>
                <c:pt idx="4">
                  <c:v>0.10232324676868892</c:v>
                </c:pt>
                <c:pt idx="5">
                  <c:v>5.5617808549081882E-2</c:v>
                </c:pt>
                <c:pt idx="6">
                  <c:v>7.0990254529988001E-3</c:v>
                </c:pt>
              </c:numCache>
            </c:numRef>
          </c:val>
        </c:ser>
        <c:overlap val="100"/>
        <c:axId val="333693312"/>
        <c:axId val="333695232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0.21997031937711767</c:v>
                </c:pt>
                <c:pt idx="1">
                  <c:v>0.2132001376855808</c:v>
                </c:pt>
                <c:pt idx="2">
                  <c:v>0.23131167868406277</c:v>
                </c:pt>
                <c:pt idx="3">
                  <c:v>0.11477314193569998</c:v>
                </c:pt>
                <c:pt idx="4">
                  <c:v>4.6641620673837786E-2</c:v>
                </c:pt>
                <c:pt idx="5">
                  <c:v>6.8922944445396303E-2</c:v>
                </c:pt>
                <c:pt idx="6">
                  <c:v>0.10518015719830481</c:v>
                </c:pt>
              </c:numCache>
            </c:numRef>
          </c:val>
        </c:ser>
        <c:marker val="1"/>
        <c:axId val="333693312"/>
        <c:axId val="333695232"/>
      </c:lineChart>
      <c:catAx>
        <c:axId val="333693312"/>
        <c:scaling>
          <c:orientation val="minMax"/>
        </c:scaling>
        <c:axPos val="b"/>
        <c:numFmt formatCode="General" sourceLinked="1"/>
        <c:tickLblPos val="nextTo"/>
        <c:crossAx val="333695232"/>
        <c:crosses val="autoZero"/>
        <c:auto val="1"/>
        <c:lblAlgn val="ctr"/>
        <c:lblOffset val="100"/>
      </c:catAx>
      <c:valAx>
        <c:axId val="333695232"/>
        <c:scaling>
          <c:orientation val="minMax"/>
        </c:scaling>
        <c:axPos val="l"/>
        <c:majorGridlines/>
        <c:numFmt formatCode="0%" sourceLinked="0"/>
        <c:tickLblPos val="nextTo"/>
        <c:crossAx val="333693312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76"/>
          <c:w val="0.5562682138416909"/>
          <c:h val="0.6925821841330505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151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0.5749562087748783</c:v>
                </c:pt>
                <c:pt idx="1">
                  <c:v>0.18662957132386238</c:v>
                </c:pt>
                <c:pt idx="2">
                  <c:v>1.4936469358747012E-2</c:v>
                </c:pt>
                <c:pt idx="3">
                  <c:v>1.4328809728656456E-3</c:v>
                </c:pt>
                <c:pt idx="4">
                  <c:v>5.2846761358585265E-2</c:v>
                </c:pt>
                <c:pt idx="5">
                  <c:v>0.13485822296871094</c:v>
                </c:pt>
                <c:pt idx="6">
                  <c:v>3.0875885888498746E-2</c:v>
                </c:pt>
                <c:pt idx="7">
                  <c:v>3.4639993538513945E-3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IC'!$C$49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IC'!$C$50:$C$57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IC'!$D$49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IC'!$D$50:$D$57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333738752"/>
        <c:axId val="333740288"/>
      </c:barChart>
      <c:catAx>
        <c:axId val="333738752"/>
        <c:scaling>
          <c:orientation val="minMax"/>
        </c:scaling>
        <c:axPos val="l"/>
        <c:tickLblPos val="nextTo"/>
        <c:crossAx val="333740288"/>
        <c:crosses val="autoZero"/>
        <c:auto val="1"/>
        <c:lblAlgn val="ctr"/>
        <c:lblOffset val="100"/>
      </c:catAx>
      <c:valAx>
        <c:axId val="333740288"/>
        <c:scaling>
          <c:orientation val="minMax"/>
        </c:scaling>
        <c:axPos val="b"/>
        <c:majorGridlines/>
        <c:numFmt formatCode="0.0%" sourceLinked="1"/>
        <c:tickLblPos val="nextTo"/>
        <c:crossAx val="333738752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301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66"/>
          <c:y val="5.1400554097404488E-2"/>
          <c:w val="0.82164348206474525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25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0.15853561014014847</c:v>
                </c:pt>
                <c:pt idx="2">
                  <c:v>0.16217253275473525</c:v>
                </c:pt>
                <c:pt idx="3">
                  <c:v>0.28718972670468956</c:v>
                </c:pt>
                <c:pt idx="4">
                  <c:v>0.29616397669669142</c:v>
                </c:pt>
                <c:pt idx="5">
                  <c:v>0.32648216646211403</c:v>
                </c:pt>
                <c:pt idx="6">
                  <c:v>0.16076897495152093</c:v>
                </c:pt>
                <c:pt idx="7">
                  <c:v>0.20064050365322861</c:v>
                </c:pt>
              </c:numCache>
            </c:numRef>
          </c:xVal>
          <c:yVal>
            <c:numRef>
              <c:f>'output IC'!$H$50:$H$57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yVal>
        </c:ser>
        <c:axId val="334044160"/>
        <c:axId val="334070912"/>
      </c:scatterChart>
      <c:valAx>
        <c:axId val="334044160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279"/>
            </c:manualLayout>
          </c:layout>
        </c:title>
        <c:numFmt formatCode="0%" sourceLinked="0"/>
        <c:tickLblPos val="nextTo"/>
        <c:crossAx val="334070912"/>
        <c:crosses val="autoZero"/>
        <c:crossBetween val="midCat"/>
      </c:valAx>
      <c:valAx>
        <c:axId val="33407091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  <c:layout/>
        </c:title>
        <c:numFmt formatCode="0%" sourceLinked="0"/>
        <c:tickLblPos val="nextTo"/>
        <c:crossAx val="334044160"/>
        <c:crosses val="autoZero"/>
        <c:crossBetween val="midCat"/>
      </c:valAx>
    </c:plotArea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Evenwicht</a:t>
            </a:r>
            <a:r>
              <a:rPr lang="en-US" baseline="0"/>
              <a:t> PF</a:t>
            </a:r>
            <a:endParaRPr lang="en-US"/>
          </a:p>
        </c:rich>
      </c:tx>
      <c:layout>
        <c:manualLayout>
          <c:xMode val="edge"/>
          <c:yMode val="edge"/>
          <c:x val="0.35548085335487334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69"/>
          <c:y val="5.1400554097404488E-2"/>
          <c:w val="0.82164348206474558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9.7222222222222224E-2"/>
                  <c:y val="-9.7222222222222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0.18639612356147897"/>
                  <c:y val="-0.1212424755704577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5961549678085199"/>
                  <c:y val="7.38015055588705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264957264957265"/>
                  <c:y val="1.02665459957330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2.5641025641025789E-2"/>
                  <c:y val="-6.73369912559801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3.3546896381542048E-2"/>
                  <c:y val="8.55338852709815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0313390313390319"/>
                  <c:y val="9.1907039876468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8.5185185185185197E-2"/>
                  <c:y val="-9.2364246219278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0.15853561014014847</c:v>
                </c:pt>
                <c:pt idx="2">
                  <c:v>0.16217253275473525</c:v>
                </c:pt>
                <c:pt idx="3">
                  <c:v>0.28718972670468956</c:v>
                </c:pt>
                <c:pt idx="4">
                  <c:v>0.29616397669669142</c:v>
                </c:pt>
                <c:pt idx="5">
                  <c:v>0.32648216646211403</c:v>
                </c:pt>
                <c:pt idx="6">
                  <c:v>0.16076897495152093</c:v>
                </c:pt>
                <c:pt idx="7">
                  <c:v>0.20064050365322861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yVal>
        </c:ser>
        <c:axId val="334137216"/>
        <c:axId val="334163968"/>
      </c:scatterChart>
      <c:valAx>
        <c:axId val="334137216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301"/>
            </c:manualLayout>
          </c:layout>
        </c:title>
        <c:numFmt formatCode="0%" sourceLinked="0"/>
        <c:tickLblPos val="nextTo"/>
        <c:crossAx val="334163968"/>
        <c:crosses val="autoZero"/>
        <c:crossBetween val="midCat"/>
      </c:valAx>
      <c:valAx>
        <c:axId val="3341639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  <c:layout/>
        </c:title>
        <c:numFmt formatCode="0%" sourceLinked="0"/>
        <c:tickLblPos val="nextTo"/>
        <c:crossAx val="334137216"/>
        <c:crosses val="autoZero"/>
        <c:crossBetween val="midCat"/>
      </c:valAx>
    </c:plotArea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IC'!$G$49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IC'!$G$50:$G$57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IC'!$H$49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IC'!$H$50:$H$57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axId val="333922688"/>
        <c:axId val="333924224"/>
      </c:barChart>
      <c:catAx>
        <c:axId val="333922688"/>
        <c:scaling>
          <c:orientation val="minMax"/>
        </c:scaling>
        <c:axPos val="l"/>
        <c:tickLblPos val="none"/>
        <c:crossAx val="333924224"/>
        <c:crosses val="autoZero"/>
        <c:auto val="1"/>
        <c:lblAlgn val="ctr"/>
        <c:lblOffset val="100"/>
      </c:catAx>
      <c:valAx>
        <c:axId val="333924224"/>
        <c:scaling>
          <c:orientation val="minMax"/>
        </c:scaling>
        <c:axPos val="b"/>
        <c:majorGridlines/>
        <c:numFmt formatCode="0.0%" sourceLinked="1"/>
        <c:tickLblPos val="nextTo"/>
        <c:crossAx val="333922688"/>
        <c:crosses val="autoZero"/>
        <c:crossBetween val="between"/>
      </c:valAx>
    </c:plotArea>
    <c:legend>
      <c:legendPos val="b"/>
      <c:layout/>
    </c:legend>
    <c:plotVisOnly val="1"/>
  </c:chart>
  <c:spPr>
    <a:noFill/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IC'!$J$49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IC'!$J$50:$J$57</c:f>
              <c:numCache>
                <c:formatCode>#,##0.00_ ;\-#,##0.00\ </c:formatCode>
                <c:ptCount val="8"/>
                <c:pt idx="0">
                  <c:v>-0.85337243401759533</c:v>
                </c:pt>
                <c:pt idx="1">
                  <c:v>-0.29311302230038522</c:v>
                </c:pt>
                <c:pt idx="2">
                  <c:v>6.8473034482383871E-2</c:v>
                </c:pt>
                <c:pt idx="3">
                  <c:v>-0.20248591870731911</c:v>
                </c:pt>
                <c:pt idx="4">
                  <c:v>-0.14735281060164138</c:v>
                </c:pt>
                <c:pt idx="5">
                  <c:v>-0.1093948849877554</c:v>
                </c:pt>
                <c:pt idx="6">
                  <c:v>-0.43032004279267166</c:v>
                </c:pt>
                <c:pt idx="7">
                  <c:v>-0.29094902444730519</c:v>
                </c:pt>
              </c:numCache>
            </c:numRef>
          </c:val>
        </c:ser>
        <c:ser>
          <c:idx val="1"/>
          <c:order val="1"/>
          <c:tx>
            <c:strRef>
              <c:f>'output IC'!$K$49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IC'!$K$50:$K$57</c:f>
              <c:numCache>
                <c:formatCode>#,##0.00_ ;[Red]\-#,##0.00\ </c:formatCode>
                <c:ptCount val="8"/>
                <c:pt idx="0">
                  <c:v>-3.1715707047893123E-2</c:v>
                </c:pt>
                <c:pt idx="1">
                  <c:v>0.20495691218149042</c:v>
                </c:pt>
                <c:pt idx="2">
                  <c:v>8.9831247029668326E-2</c:v>
                </c:pt>
                <c:pt idx="3">
                  <c:v>-4.4308424950685758E-2</c:v>
                </c:pt>
                <c:pt idx="4">
                  <c:v>0.19547780911201601</c:v>
                </c:pt>
                <c:pt idx="5">
                  <c:v>0.22009925192595167</c:v>
                </c:pt>
                <c:pt idx="6">
                  <c:v>0.11650425534303178</c:v>
                </c:pt>
                <c:pt idx="7">
                  <c:v>-2.9817392301437873E-2</c:v>
                </c:pt>
              </c:numCache>
            </c:numRef>
          </c:val>
        </c:ser>
        <c:axId val="333965568"/>
        <c:axId val="333975552"/>
      </c:barChart>
      <c:catAx>
        <c:axId val="333965568"/>
        <c:scaling>
          <c:orientation val="minMax"/>
        </c:scaling>
        <c:axPos val="l"/>
        <c:tickLblPos val="high"/>
        <c:crossAx val="333975552"/>
        <c:crosses val="autoZero"/>
        <c:auto val="1"/>
        <c:lblAlgn val="ctr"/>
        <c:lblOffset val="100"/>
      </c:catAx>
      <c:valAx>
        <c:axId val="333975552"/>
        <c:scaling>
          <c:orientation val="minMax"/>
        </c:scaling>
        <c:axPos val="b"/>
        <c:majorGridlines/>
        <c:numFmt formatCode="#,##0.00_ ;\-#,##0.00\ " sourceLinked="1"/>
        <c:tickLblPos val="nextTo"/>
        <c:crossAx val="333965568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12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13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460841</xdr:colOff>
      <xdr:row>4</xdr:row>
      <xdr:rowOff>123265</xdr:rowOff>
    </xdr:from>
    <xdr:to>
      <xdr:col>23</xdr:col>
      <xdr:colOff>268941</xdr:colOff>
      <xdr:row>21</xdr:row>
      <xdr:rowOff>57431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21</xdr:row>
      <xdr:rowOff>28575</xdr:rowOff>
    </xdr:from>
    <xdr:to>
      <xdr:col>13</xdr:col>
      <xdr:colOff>114300</xdr:colOff>
      <xdr:row>37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18</xdr:row>
      <xdr:rowOff>123825</xdr:rowOff>
    </xdr:from>
    <xdr:to>
      <xdr:col>29</xdr:col>
      <xdr:colOff>561975</xdr:colOff>
      <xdr:row>32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33</xdr:row>
      <xdr:rowOff>95250</xdr:rowOff>
    </xdr:from>
    <xdr:to>
      <xdr:col>29</xdr:col>
      <xdr:colOff>495300</xdr:colOff>
      <xdr:row>46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33</xdr:row>
      <xdr:rowOff>66675</xdr:rowOff>
    </xdr:from>
    <xdr:to>
      <xdr:col>37</xdr:col>
      <xdr:colOff>133350</xdr:colOff>
      <xdr:row>46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48</xdr:row>
      <xdr:rowOff>95250</xdr:rowOff>
    </xdr:from>
    <xdr:to>
      <xdr:col>30</xdr:col>
      <xdr:colOff>95250</xdr:colOff>
      <xdr:row>61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18</xdr:row>
      <xdr:rowOff>95250</xdr:rowOff>
    </xdr:from>
    <xdr:to>
      <xdr:col>37</xdr:col>
      <xdr:colOff>285750</xdr:colOff>
      <xdr:row>31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48</xdr:row>
      <xdr:rowOff>57150</xdr:rowOff>
    </xdr:from>
    <xdr:to>
      <xdr:col>37</xdr:col>
      <xdr:colOff>114300</xdr:colOff>
      <xdr:row>61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82</xdr:row>
      <xdr:rowOff>180974</xdr:rowOff>
    </xdr:from>
    <xdr:to>
      <xdr:col>15</xdr:col>
      <xdr:colOff>152400</xdr:colOff>
      <xdr:row>100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82</xdr:row>
      <xdr:rowOff>180974</xdr:rowOff>
    </xdr:from>
    <xdr:to>
      <xdr:col>5</xdr:col>
      <xdr:colOff>704849</xdr:colOff>
      <xdr:row>100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544607</xdr:colOff>
      <xdr:row>27</xdr:row>
      <xdr:rowOff>136152</xdr:rowOff>
    </xdr:from>
    <xdr:to>
      <xdr:col>37</xdr:col>
      <xdr:colOff>372035</xdr:colOff>
      <xdr:row>47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366989</xdr:colOff>
      <xdr:row>1</xdr:row>
      <xdr:rowOff>100855</xdr:rowOff>
    </xdr:from>
    <xdr:to>
      <xdr:col>26</xdr:col>
      <xdr:colOff>11765</xdr:colOff>
      <xdr:row>18</xdr:row>
      <xdr:rowOff>11208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44824</xdr:colOff>
      <xdr:row>19</xdr:row>
      <xdr:rowOff>14008</xdr:rowOff>
    </xdr:from>
    <xdr:to>
      <xdr:col>36</xdr:col>
      <xdr:colOff>445433</xdr:colOff>
      <xdr:row>26</xdr:row>
      <xdr:rowOff>63874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321609</xdr:colOff>
      <xdr:row>60</xdr:row>
      <xdr:rowOff>73958</xdr:rowOff>
    </xdr:from>
    <xdr:to>
      <xdr:col>4</xdr:col>
      <xdr:colOff>35859</xdr:colOff>
      <xdr:row>77</xdr:row>
      <xdr:rowOff>147917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547409</xdr:colOff>
      <xdr:row>37</xdr:row>
      <xdr:rowOff>14008</xdr:rowOff>
    </xdr:from>
    <xdr:to>
      <xdr:col>22</xdr:col>
      <xdr:colOff>24093</xdr:colOff>
      <xdr:row>49</xdr:row>
      <xdr:rowOff>179855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480172</xdr:colOff>
      <xdr:row>52</xdr:row>
      <xdr:rowOff>9525</xdr:rowOff>
    </xdr:from>
    <xdr:to>
      <xdr:col>21</xdr:col>
      <xdr:colOff>561975</xdr:colOff>
      <xdr:row>64</xdr:row>
      <xdr:rowOff>175372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1210234</xdr:colOff>
      <xdr:row>60</xdr:row>
      <xdr:rowOff>22412</xdr:rowOff>
    </xdr:from>
    <xdr:to>
      <xdr:col>9</xdr:col>
      <xdr:colOff>930087</xdr:colOff>
      <xdr:row>75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16</xdr:row>
      <xdr:rowOff>121024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9</xdr:col>
      <xdr:colOff>1019735</xdr:colOff>
      <xdr:row>60</xdr:row>
      <xdr:rowOff>56031</xdr:rowOff>
    </xdr:from>
    <xdr:to>
      <xdr:col>12</xdr:col>
      <xdr:colOff>705971</xdr:colOff>
      <xdr:row>76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roups1/groups1/groups1/groups1/groups1/Projecten/Norm2012/Excel/norm2012_kl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groups1/groups1/groups1/groups1/groups1/Projecten/Norm2012/Excel/norm2012_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groups1/groups1/groups1/groups1/groups1/Projecten/Port2012/Excel/Portefeuilles2012_Zoetware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Optimalisatie_2013_MP_BaseCase_100_unconstrained_IRAN_december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</sheetNames>
    <sheetDataSet>
      <sheetData sheetId="0"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R3" t="str">
            <v>Basis</v>
          </cell>
        </row>
        <row r="58">
          <cell r="R58" t="str">
            <v>Kansgewogen</v>
          </cell>
        </row>
      </sheetData>
      <sheetData sheetId="10">
        <row r="3">
          <cell r="Q3" t="str">
            <v>Basis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  <sheetName val="norm2012_final"/>
    </sheetNames>
    <sheetDataSet>
      <sheetData sheetId="0">
        <row r="4">
          <cell r="A4" t="str">
            <v>Nominale matching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  <row r="51">
          <cell r="B51" t="str">
            <v>Matching portefeuille</v>
          </cell>
        </row>
        <row r="52">
          <cell r="B52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Q3" t="str">
            <v>Basis</v>
          </cell>
        </row>
      </sheetData>
      <sheetData sheetId="11">
        <row r="52">
          <cell r="A52" t="str">
            <v>HY</v>
          </cell>
        </row>
      </sheetData>
      <sheetData sheetId="12"/>
      <sheetData sheetId="13">
        <row r="1">
          <cell r="B1" t="str">
            <v>B&amp;W</v>
          </cell>
        </row>
      </sheetData>
      <sheetData sheetId="14">
        <row r="1">
          <cell r="C1" t="str">
            <v>B&amp;W</v>
          </cell>
        </row>
      </sheetData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definedNames>
      <definedName name="Zet_minimum_tot_op_0"/>
    </definedNames>
    <sheetDataSet>
      <sheetData sheetId="0">
        <row r="103">
          <cell r="A103" t="str">
            <v>B&amp;W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47">
          <cell r="B47" t="str">
            <v>Matching portefeuille</v>
          </cell>
        </row>
        <row r="48">
          <cell r="B48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Control panel"/>
      <sheetName val="Scenarios"/>
      <sheetName val="Absolute visies"/>
      <sheetName val="Restricties"/>
      <sheetName val="Optimalisatie"/>
      <sheetName val="Samenvatting mixen"/>
      <sheetName val="Samenvatting mixen - return"/>
      <sheetName val="output IC"/>
      <sheetName val="Sheet1"/>
    </sheetNames>
    <sheetDataSet>
      <sheetData sheetId="0">
        <row r="3">
          <cell r="F3">
            <v>0.99933044801477622</v>
          </cell>
        </row>
        <row r="4">
          <cell r="F4">
            <v>5.9498856944343162E-5</v>
          </cell>
        </row>
        <row r="5">
          <cell r="F5">
            <v>8.6775571303158883E-5</v>
          </cell>
        </row>
        <row r="6">
          <cell r="F6">
            <v>3.3196657987390124E-5</v>
          </cell>
        </row>
        <row r="7">
          <cell r="F7">
            <v>4.8644439396432552E-5</v>
          </cell>
        </row>
        <row r="8">
          <cell r="F8">
            <v>2.3467442398853234E-4</v>
          </cell>
        </row>
        <row r="9">
          <cell r="F9">
            <v>1.5994064696340217E-4</v>
          </cell>
        </row>
        <row r="10">
          <cell r="F10">
            <v>4.6821388640572115E-5</v>
          </cell>
        </row>
      </sheetData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06"/>
  <sheetViews>
    <sheetView tabSelected="1" zoomScale="85" zoomScaleNormal="85" workbookViewId="0">
      <selection activeCell="E39" sqref="E39"/>
    </sheetView>
  </sheetViews>
  <sheetFormatPr defaultRowHeight="15"/>
  <cols>
    <col min="1" max="1" width="32.7109375" style="75" customWidth="1"/>
    <col min="2" max="6" width="15.7109375" style="75" customWidth="1"/>
    <col min="7" max="7" width="17.28515625" style="75" customWidth="1"/>
    <col min="8" max="22" width="9.140625" style="75"/>
    <col min="23" max="23" width="9.140625" style="133"/>
    <col min="24" max="24" width="20.42578125" style="133" bestFit="1" customWidth="1"/>
    <col min="25" max="16384" width="9.140625" style="75"/>
  </cols>
  <sheetData>
    <row r="1" spans="1:24" ht="15.75" thickBot="1">
      <c r="A1" s="137"/>
      <c r="B1" s="236" t="s">
        <v>100</v>
      </c>
      <c r="C1" s="366" t="s">
        <v>93</v>
      </c>
      <c r="D1" s="366"/>
      <c r="E1" s="367"/>
      <c r="F1" s="236" t="s">
        <v>124</v>
      </c>
      <c r="G1" s="236" t="s">
        <v>98</v>
      </c>
    </row>
    <row r="2" spans="1:24" ht="15.75" thickBot="1">
      <c r="A2" s="139"/>
      <c r="B2" s="237" t="s">
        <v>101</v>
      </c>
      <c r="C2" s="140" t="s">
        <v>91</v>
      </c>
      <c r="D2" s="141" t="s">
        <v>92</v>
      </c>
      <c r="E2" s="142" t="s">
        <v>23</v>
      </c>
      <c r="F2" s="237" t="s">
        <v>101</v>
      </c>
      <c r="G2" s="237" t="s">
        <v>101</v>
      </c>
    </row>
    <row r="3" spans="1:24">
      <c r="A3" s="143" t="str">
        <f>Scenarios!A4</f>
        <v>Nominale matching</v>
      </c>
      <c r="B3" s="218">
        <v>0.55552002657163746</v>
      </c>
      <c r="C3" s="299">
        <v>0</v>
      </c>
      <c r="D3" s="218">
        <v>1</v>
      </c>
      <c r="E3" s="145">
        <v>0.99</v>
      </c>
      <c r="F3" s="144">
        <f>'Samenvatting mixen'!B81</f>
        <v>0.5749562087748783</v>
      </c>
      <c r="G3" s="144">
        <f>+F3-B3</f>
        <v>1.9436182203240837E-2</v>
      </c>
      <c r="H3" s="301"/>
    </row>
    <row r="4" spans="1:24">
      <c r="A4" s="143" t="str">
        <f>Scenarios!A5</f>
        <v>High Yield</v>
      </c>
      <c r="B4" s="218">
        <v>9.7772401711769694E-2</v>
      </c>
      <c r="C4" s="299">
        <v>0</v>
      </c>
      <c r="D4" s="358">
        <v>1</v>
      </c>
      <c r="E4" s="145">
        <v>0.99</v>
      </c>
      <c r="F4" s="144">
        <f>'Samenvatting mixen'!B82</f>
        <v>0.18662957132386238</v>
      </c>
      <c r="G4" s="144">
        <f t="shared" ref="G4:G10" si="0">+F4-B4</f>
        <v>8.8857169612092682E-2</v>
      </c>
      <c r="H4" s="302"/>
      <c r="W4" s="133" t="str">
        <f>A4</f>
        <v>High Yield</v>
      </c>
      <c r="X4" s="134">
        <f>B4/SUM($B$4:$B$10)</f>
        <v>0.21997031937711767</v>
      </c>
    </row>
    <row r="5" spans="1:24">
      <c r="A5" s="143" t="str">
        <f>Scenarios!A6</f>
        <v>Emerging market debt</v>
      </c>
      <c r="B5" s="218">
        <v>9.4763191533410202E-2</v>
      </c>
      <c r="C5" s="299">
        <v>0</v>
      </c>
      <c r="D5" s="218">
        <v>1</v>
      </c>
      <c r="E5" s="145">
        <v>0.99</v>
      </c>
      <c r="F5" s="144">
        <f>'Samenvatting mixen'!B83</f>
        <v>1.4936469358747012E-2</v>
      </c>
      <c r="G5" s="144">
        <f t="shared" si="0"/>
        <v>-7.9826722174663189E-2</v>
      </c>
      <c r="W5" s="133" t="str">
        <f t="shared" ref="W5:W10" si="1">A5</f>
        <v>Emerging market debt</v>
      </c>
      <c r="X5" s="134">
        <f t="shared" ref="X5:X10" si="2">B5/SUM($B$4:$B$10)</f>
        <v>0.2132001376855808</v>
      </c>
    </row>
    <row r="6" spans="1:24">
      <c r="A6" s="143" t="str">
        <f>Scenarios!A7</f>
        <v>Aandelen ontwikkeld</v>
      </c>
      <c r="B6" s="358">
        <v>0.10281340879516217</v>
      </c>
      <c r="C6" s="299">
        <v>0</v>
      </c>
      <c r="D6" s="358">
        <v>1</v>
      </c>
      <c r="E6" s="145">
        <v>0.99</v>
      </c>
      <c r="F6" s="144">
        <f>'Samenvatting mixen'!B84</f>
        <v>1.4328809728656456E-3</v>
      </c>
      <c r="G6" s="144">
        <f t="shared" si="0"/>
        <v>-0.10138052782229652</v>
      </c>
      <c r="H6" s="301"/>
      <c r="W6" s="133" t="str">
        <f t="shared" si="1"/>
        <v>Aandelen ontwikkeld</v>
      </c>
      <c r="X6" s="134">
        <f t="shared" si="2"/>
        <v>0.23131167868406277</v>
      </c>
    </row>
    <row r="7" spans="1:24">
      <c r="A7" s="143" t="str">
        <f>Scenarios!A8</f>
        <v>Aandelen opkomend</v>
      </c>
      <c r="B7" s="358">
        <v>5.1014363077869621E-2</v>
      </c>
      <c r="C7" s="299">
        <v>0</v>
      </c>
      <c r="D7" s="358">
        <v>1</v>
      </c>
      <c r="E7" s="145">
        <v>0.99</v>
      </c>
      <c r="F7" s="144">
        <f>'Samenvatting mixen'!B85</f>
        <v>5.2846761358585265E-2</v>
      </c>
      <c r="G7" s="144">
        <f t="shared" si="0"/>
        <v>1.8323982807156441E-3</v>
      </c>
      <c r="H7" s="301"/>
      <c r="W7" s="133" t="str">
        <f t="shared" si="1"/>
        <v>Aandelen opkomend</v>
      </c>
      <c r="X7" s="134">
        <f t="shared" si="2"/>
        <v>0.11477314193569998</v>
      </c>
    </row>
    <row r="8" spans="1:24">
      <c r="A8" s="143" t="str">
        <f>Scenarios!A9</f>
        <v>Commodities</v>
      </c>
      <c r="B8" s="358">
        <v>2.0731266317763185E-2</v>
      </c>
      <c r="C8" s="299">
        <v>0</v>
      </c>
      <c r="D8" s="358">
        <v>1</v>
      </c>
      <c r="E8" s="145">
        <v>0.99</v>
      </c>
      <c r="F8" s="144">
        <f>'Samenvatting mixen'!B86</f>
        <v>0.13485822296871094</v>
      </c>
      <c r="G8" s="144">
        <f t="shared" si="0"/>
        <v>0.11412695665094776</v>
      </c>
      <c r="H8" s="301"/>
      <c r="W8" s="133" t="str">
        <f t="shared" si="1"/>
        <v>Commodities</v>
      </c>
      <c r="X8" s="134">
        <f t="shared" si="2"/>
        <v>4.6641620673837786E-2</v>
      </c>
    </row>
    <row r="9" spans="1:24">
      <c r="A9" s="143" t="str">
        <f>Scenarios!A10</f>
        <v>Hedge funds</v>
      </c>
      <c r="B9" s="218">
        <v>3.0634868515694261E-2</v>
      </c>
      <c r="C9" s="299">
        <v>0</v>
      </c>
      <c r="D9" s="358">
        <v>1</v>
      </c>
      <c r="E9" s="145">
        <v>0.99</v>
      </c>
      <c r="F9" s="144">
        <f>'Samenvatting mixen'!B87</f>
        <v>3.0875885888498746E-2</v>
      </c>
      <c r="G9" s="144">
        <f t="shared" si="0"/>
        <v>2.4101737280448482E-4</v>
      </c>
      <c r="W9" s="133" t="str">
        <f t="shared" si="1"/>
        <v>Hedge funds</v>
      </c>
      <c r="X9" s="134">
        <f t="shared" si="2"/>
        <v>6.8922944445396303E-2</v>
      </c>
    </row>
    <row r="10" spans="1:24" ht="15.75" thickBot="1">
      <c r="A10" s="139" t="str">
        <f>Scenarios!A11</f>
        <v>Onroerend goed</v>
      </c>
      <c r="B10" s="219">
        <v>4.6750473476693526E-2</v>
      </c>
      <c r="C10" s="300">
        <v>0</v>
      </c>
      <c r="D10" s="219">
        <v>1</v>
      </c>
      <c r="E10" s="147">
        <v>0.99</v>
      </c>
      <c r="F10" s="146">
        <f>'Samenvatting mixen'!B88</f>
        <v>3.4639993538513945E-3</v>
      </c>
      <c r="G10" s="146">
        <f t="shared" si="0"/>
        <v>-4.3286474122842131E-2</v>
      </c>
      <c r="W10" s="133" t="str">
        <f t="shared" si="1"/>
        <v>Onroerend goed</v>
      </c>
      <c r="X10" s="134">
        <f t="shared" si="2"/>
        <v>0.10518015719830481</v>
      </c>
    </row>
    <row r="11" spans="1:24" ht="15.75" thickBot="1">
      <c r="A11" s="148" t="s">
        <v>89</v>
      </c>
      <c r="B11" s="149">
        <f>Scenarios!C12</f>
        <v>9.982328688488358E-2</v>
      </c>
      <c r="C11" s="138"/>
      <c r="D11" s="150" t="s">
        <v>102</v>
      </c>
      <c r="E11" s="151">
        <v>0.99</v>
      </c>
      <c r="F11" s="138"/>
      <c r="X11" s="135"/>
    </row>
    <row r="12" spans="1:24">
      <c r="A12" s="172" t="s">
        <v>103</v>
      </c>
      <c r="B12" s="152">
        <v>0.03</v>
      </c>
      <c r="C12" s="138"/>
      <c r="D12" s="153"/>
      <c r="E12" s="154"/>
      <c r="F12" s="138"/>
    </row>
    <row r="13" spans="1:24">
      <c r="A13" s="138"/>
      <c r="B13" s="138"/>
      <c r="C13" s="138"/>
      <c r="D13" s="153"/>
      <c r="E13" s="154"/>
      <c r="F13" s="138"/>
    </row>
    <row r="14" spans="1:24">
      <c r="A14" s="138"/>
      <c r="B14" s="138"/>
      <c r="C14" s="138"/>
      <c r="D14" s="138"/>
      <c r="E14" s="138"/>
      <c r="F14" s="365"/>
    </row>
    <row r="15" spans="1:24">
      <c r="A15" s="335" t="s">
        <v>143</v>
      </c>
      <c r="B15" s="330">
        <f t="array" ref="B15">+MMULT(TRANSPOSE(F3:F10),MMULT(k,F3:F10))^(0.5)</f>
        <v>9.8730683695618507E-2</v>
      </c>
      <c r="C15" s="333"/>
      <c r="D15" s="333"/>
      <c r="E15" s="333"/>
      <c r="F15" s="138"/>
    </row>
    <row r="16" spans="1:24">
      <c r="A16" s="165"/>
      <c r="B16" s="217"/>
      <c r="C16" s="217"/>
      <c r="D16" s="217"/>
      <c r="E16" s="217"/>
      <c r="F16" s="138"/>
    </row>
    <row r="17" spans="1:6">
      <c r="A17" s="165"/>
      <c r="B17" s="163"/>
      <c r="C17" s="163"/>
      <c r="D17" s="163"/>
      <c r="E17" s="163"/>
      <c r="F17" s="138"/>
    </row>
    <row r="18" spans="1:6">
      <c r="A18" s="165"/>
      <c r="B18" s="163"/>
      <c r="C18" s="163"/>
      <c r="D18" s="163"/>
      <c r="E18" s="163"/>
      <c r="F18" s="138"/>
    </row>
    <row r="19" spans="1:6">
      <c r="A19" s="165"/>
      <c r="B19" s="163"/>
      <c r="C19" s="163"/>
      <c r="D19" s="163"/>
      <c r="E19" s="163"/>
      <c r="F19" s="138"/>
    </row>
    <row r="20" spans="1:6">
      <c r="A20" s="165"/>
      <c r="B20" s="163"/>
      <c r="C20" s="163"/>
      <c r="D20" s="163"/>
      <c r="E20" s="163"/>
      <c r="F20" s="138"/>
    </row>
    <row r="21" spans="1:6">
      <c r="A21" s="165"/>
      <c r="B21" s="165"/>
      <c r="C21" s="165"/>
      <c r="D21" s="165"/>
      <c r="E21" s="165"/>
      <c r="F21" s="138"/>
    </row>
    <row r="22" spans="1:6">
      <c r="A22" s="138"/>
      <c r="B22" s="138"/>
      <c r="C22" s="138"/>
      <c r="D22" s="138"/>
      <c r="E22" s="138"/>
      <c r="F22" s="138"/>
    </row>
    <row r="23" spans="1:6">
      <c r="A23" s="165" t="s">
        <v>14</v>
      </c>
      <c r="B23" s="166" t="s">
        <v>49</v>
      </c>
      <c r="C23" s="138"/>
      <c r="D23" s="138"/>
      <c r="E23" s="138"/>
      <c r="F23" s="138"/>
    </row>
    <row r="24" spans="1:6" ht="15.75" thickBot="1">
      <c r="A24" s="138"/>
      <c r="B24" s="138"/>
      <c r="C24" s="138"/>
      <c r="D24" s="138"/>
      <c r="E24" s="138"/>
      <c r="F24" s="138"/>
    </row>
    <row r="25" spans="1:6" ht="15.75" thickBot="1">
      <c r="A25" s="167" t="s">
        <v>93</v>
      </c>
      <c r="B25" s="168"/>
      <c r="C25" s="142" t="s">
        <v>106</v>
      </c>
      <c r="D25" s="138"/>
      <c r="E25" s="138"/>
      <c r="F25" s="138"/>
    </row>
    <row r="26" spans="1:6">
      <c r="A26" s="169" t="s">
        <v>105</v>
      </c>
      <c r="B26" s="144">
        <v>0</v>
      </c>
      <c r="C26" s="170">
        <v>0</v>
      </c>
      <c r="D26" s="138"/>
      <c r="E26" s="138"/>
      <c r="F26" s="138"/>
    </row>
    <row r="27" spans="1:6">
      <c r="A27" s="169" t="s">
        <v>104</v>
      </c>
      <c r="B27" s="358">
        <f>B11</f>
        <v>9.982328688488358E-2</v>
      </c>
      <c r="C27" s="170">
        <v>1</v>
      </c>
      <c r="D27" s="138"/>
      <c r="E27" s="138"/>
      <c r="F27" s="138"/>
    </row>
    <row r="28" spans="1:6" ht="15.75" thickBot="1">
      <c r="A28" s="171" t="s">
        <v>107</v>
      </c>
      <c r="B28" s="146">
        <v>0.02</v>
      </c>
      <c r="C28" s="159">
        <v>0</v>
      </c>
      <c r="D28" s="138"/>
      <c r="E28" s="138"/>
      <c r="F28" s="138"/>
    </row>
    <row r="29" spans="1:6">
      <c r="A29" s="138"/>
      <c r="B29" s="138"/>
      <c r="C29" s="138"/>
      <c r="D29" s="138"/>
      <c r="E29" s="138"/>
      <c r="F29" s="138"/>
    </row>
    <row r="30" spans="1:6">
      <c r="A30" s="202" t="s">
        <v>108</v>
      </c>
      <c r="B30" s="138"/>
      <c r="C30" s="138"/>
      <c r="D30" s="138"/>
      <c r="E30" s="138"/>
      <c r="F30" s="138"/>
    </row>
    <row r="31" spans="1:6">
      <c r="A31" s="172" t="s">
        <v>53</v>
      </c>
      <c r="B31" s="173">
        <v>0</v>
      </c>
      <c r="C31" s="138"/>
      <c r="D31" s="138"/>
      <c r="E31" s="138"/>
      <c r="F31" s="138"/>
    </row>
    <row r="32" spans="1:6">
      <c r="A32" s="172" t="s">
        <v>54</v>
      </c>
      <c r="B32" s="174">
        <v>2</v>
      </c>
      <c r="C32" s="138"/>
      <c r="D32" s="138"/>
      <c r="E32" s="138"/>
      <c r="F32" s="138"/>
    </row>
    <row r="33" spans="1:6">
      <c r="A33" s="138"/>
      <c r="B33" s="138"/>
      <c r="C33" s="138"/>
      <c r="D33" s="138"/>
      <c r="E33" s="138"/>
      <c r="F33" s="138"/>
    </row>
    <row r="34" spans="1:6">
      <c r="A34" s="75" t="s">
        <v>111</v>
      </c>
    </row>
    <row r="35" spans="1:6">
      <c r="A35" s="203" t="s">
        <v>109</v>
      </c>
      <c r="B35" s="175">
        <v>500</v>
      </c>
    </row>
    <row r="36" spans="1:6">
      <c r="A36" s="203" t="s">
        <v>110</v>
      </c>
      <c r="B36" s="175" t="s">
        <v>60</v>
      </c>
    </row>
    <row r="100" spans="1:1">
      <c r="A100" s="74" t="s">
        <v>14</v>
      </c>
    </row>
    <row r="101" spans="1:1">
      <c r="A101" s="75" t="s">
        <v>58</v>
      </c>
    </row>
    <row r="102" spans="1:1">
      <c r="A102" s="75" t="s">
        <v>49</v>
      </c>
    </row>
    <row r="103" spans="1:1">
      <c r="A103" s="75" t="s">
        <v>50</v>
      </c>
    </row>
    <row r="104" spans="1:1">
      <c r="A104" s="75" t="s">
        <v>51</v>
      </c>
    </row>
    <row r="106" spans="1:1">
      <c r="A106" s="175">
        <v>0</v>
      </c>
    </row>
    <row r="107" spans="1:1">
      <c r="A107" s="175">
        <v>1</v>
      </c>
    </row>
    <row r="108" spans="1:1">
      <c r="A108" s="175">
        <v>2</v>
      </c>
    </row>
    <row r="110" spans="1:1">
      <c r="A110" s="175" t="s">
        <v>60</v>
      </c>
    </row>
    <row r="111" spans="1:1">
      <c r="A111" s="175" t="s">
        <v>61</v>
      </c>
    </row>
    <row r="199" spans="1:6" ht="15.75" thickBot="1"/>
    <row r="200" spans="1:6">
      <c r="A200" s="155"/>
      <c r="B200" s="368" t="s">
        <v>98</v>
      </c>
      <c r="C200" s="366"/>
      <c r="D200" s="366"/>
      <c r="E200" s="367"/>
      <c r="F200" s="216" t="s">
        <v>99</v>
      </c>
    </row>
    <row r="201" spans="1:6" ht="15.75" thickBot="1">
      <c r="A201" s="156"/>
      <c r="B201" s="157" t="s">
        <v>94</v>
      </c>
      <c r="C201" s="158" t="s">
        <v>78</v>
      </c>
      <c r="D201" s="158" t="s">
        <v>95</v>
      </c>
      <c r="E201" s="159" t="s">
        <v>96</v>
      </c>
      <c r="F201" s="160"/>
    </row>
    <row r="202" spans="1:6">
      <c r="A202" s="161" t="s">
        <v>27</v>
      </c>
      <c r="B202" s="162">
        <v>-1E-3</v>
      </c>
      <c r="C202" s="163">
        <v>9.5665806092079075E-4</v>
      </c>
      <c r="D202" s="163">
        <v>-4.2098094805683751E-3</v>
      </c>
      <c r="E202" s="164">
        <v>-2.1826028553036574E-3</v>
      </c>
      <c r="F202" s="145">
        <v>0.6</v>
      </c>
    </row>
    <row r="203" spans="1:6">
      <c r="A203" s="161" t="s">
        <v>29</v>
      </c>
      <c r="B203" s="162">
        <v>-0.01</v>
      </c>
      <c r="C203" s="163">
        <v>-1.5821642227643869E-2</v>
      </c>
      <c r="D203" s="163">
        <v>2.4975428417868189E-2</v>
      </c>
      <c r="E203" s="164">
        <v>7.9322737499224957E-3</v>
      </c>
      <c r="F203" s="145">
        <v>0.4</v>
      </c>
    </row>
    <row r="204" spans="1:6">
      <c r="A204" s="161" t="s">
        <v>28</v>
      </c>
      <c r="B204" s="162">
        <v>9.9999999999999985E-3</v>
      </c>
      <c r="C204" s="163">
        <v>7.8062556418956319E-18</v>
      </c>
      <c r="D204" s="163">
        <v>-3.0000000000000002E-2</v>
      </c>
      <c r="E204" s="164">
        <v>-2.0000000000000004E-2</v>
      </c>
      <c r="F204" s="145">
        <v>0</v>
      </c>
    </row>
    <row r="205" spans="1:6" ht="15.75" thickBot="1">
      <c r="A205" s="161" t="s">
        <v>97</v>
      </c>
      <c r="B205" s="162">
        <v>1.0378578383895283E-2</v>
      </c>
      <c r="C205" s="163">
        <v>1.3858854184576361E-2</v>
      </c>
      <c r="D205" s="163">
        <v>1.3462277224022302E-3</v>
      </c>
      <c r="E205" s="164">
        <v>7.8027138965618484E-4</v>
      </c>
      <c r="F205" s="145">
        <v>0</v>
      </c>
    </row>
    <row r="206" spans="1:6" ht="15.75" thickBot="1">
      <c r="A206" s="168" t="s">
        <v>70</v>
      </c>
      <c r="B206" s="167"/>
      <c r="C206" s="176"/>
      <c r="D206" s="176"/>
      <c r="E206" s="177"/>
      <c r="F206" s="151">
        <v>0.95</v>
      </c>
    </row>
  </sheetData>
  <mergeCells count="2">
    <mergeCell ref="C1:E1"/>
    <mergeCell ref="B200:E200"/>
  </mergeCells>
  <dataValidations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zoomScale="85" zoomScaleNormal="85" workbookViewId="0">
      <selection activeCell="H29" sqref="H29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7"/>
      <c r="C1" s="77"/>
      <c r="D1" s="78"/>
    </row>
    <row r="2" spans="1:21">
      <c r="A2" s="79"/>
      <c r="B2" s="297" t="s">
        <v>79</v>
      </c>
      <c r="C2" s="13" t="s">
        <v>79</v>
      </c>
      <c r="D2" s="298" t="s">
        <v>116</v>
      </c>
      <c r="E2" s="370" t="s">
        <v>117</v>
      </c>
      <c r="F2" s="370"/>
      <c r="G2" s="370"/>
      <c r="H2" s="370"/>
      <c r="I2" s="370"/>
      <c r="J2" s="370"/>
      <c r="K2" s="370"/>
      <c r="L2" s="371"/>
    </row>
    <row r="3" spans="1:21" ht="13.5" thickBot="1">
      <c r="A3" s="101"/>
      <c r="B3" s="104" t="s">
        <v>80</v>
      </c>
      <c r="C3" s="80" t="s">
        <v>82</v>
      </c>
      <c r="D3" s="80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29" t="s">
        <v>77</v>
      </c>
      <c r="S3" s="82"/>
      <c r="T3" s="76"/>
      <c r="U3" s="76"/>
    </row>
    <row r="4" spans="1:21">
      <c r="A4" s="102" t="s">
        <v>4</v>
      </c>
      <c r="B4" s="105">
        <f>'Control panel'!B3</f>
        <v>0.55552002657163746</v>
      </c>
      <c r="C4" s="178">
        <v>0</v>
      </c>
      <c r="D4" s="223">
        <v>4.345014939985381E-2</v>
      </c>
      <c r="E4" s="220">
        <v>0.99999999999999989</v>
      </c>
      <c r="F4" s="221">
        <v>0.52433002849962862</v>
      </c>
      <c r="G4" s="221">
        <v>0.50486215833038961</v>
      </c>
      <c r="H4" s="221">
        <v>0.25487540297217309</v>
      </c>
      <c r="I4" s="221">
        <v>0.29680815083804041</v>
      </c>
      <c r="J4" s="221">
        <v>0.25154461105240933</v>
      </c>
      <c r="K4" s="221">
        <v>0.48821318968101901</v>
      </c>
      <c r="L4" s="222">
        <v>0.39542795937264941</v>
      </c>
      <c r="M4" s="3" t="s">
        <v>118</v>
      </c>
      <c r="S4" s="84"/>
      <c r="T4" s="6"/>
      <c r="U4" s="85"/>
    </row>
    <row r="5" spans="1:21">
      <c r="A5" s="102" t="s">
        <v>5</v>
      </c>
      <c r="B5" s="106">
        <f>'Control panel'!B4</f>
        <v>9.7772401711769694E-2</v>
      </c>
      <c r="C5" s="178">
        <v>0.03</v>
      </c>
      <c r="D5" s="223">
        <v>0.15853561014014847</v>
      </c>
      <c r="E5" s="223">
        <v>0.5243300284996284</v>
      </c>
      <c r="F5" s="224">
        <v>1</v>
      </c>
      <c r="G5" s="224">
        <v>0.94338322745767289</v>
      </c>
      <c r="H5" s="224">
        <v>0.74070013517974964</v>
      </c>
      <c r="I5" s="224">
        <v>0.74187676376193956</v>
      </c>
      <c r="J5" s="224">
        <v>0.60846903584875156</v>
      </c>
      <c r="K5" s="224">
        <v>0.86668583493806206</v>
      </c>
      <c r="L5" s="225">
        <v>0.86259221475724557</v>
      </c>
      <c r="S5" s="84"/>
      <c r="T5" s="6"/>
      <c r="U5" s="85"/>
    </row>
    <row r="6" spans="1:21">
      <c r="A6" s="102" t="s">
        <v>6</v>
      </c>
      <c r="B6" s="106">
        <f>'Control panel'!B5</f>
        <v>9.4763191533410202E-2</v>
      </c>
      <c r="C6" s="178">
        <v>3.1398195419985959E-2</v>
      </c>
      <c r="D6" s="223">
        <v>0.16217253275473525</v>
      </c>
      <c r="E6" s="223">
        <v>0.50486215833038939</v>
      </c>
      <c r="F6" s="224">
        <v>0.943383227457673</v>
      </c>
      <c r="G6" s="224">
        <v>1</v>
      </c>
      <c r="H6" s="224">
        <v>0.77223648924957744</v>
      </c>
      <c r="I6" s="224">
        <v>0.79023745754825636</v>
      </c>
      <c r="J6" s="224">
        <v>0.63110682083437419</v>
      </c>
      <c r="K6" s="224">
        <v>0.87120901203593171</v>
      </c>
      <c r="L6" s="225">
        <v>0.86536847063850975</v>
      </c>
      <c r="S6" s="84"/>
      <c r="T6" s="6"/>
      <c r="U6" s="85"/>
    </row>
    <row r="7" spans="1:21">
      <c r="A7" s="102" t="s">
        <v>7</v>
      </c>
      <c r="B7" s="106">
        <f>'Control panel'!B6</f>
        <v>0.10281340879516217</v>
      </c>
      <c r="C7" s="178">
        <v>5.6592124614748239E-2</v>
      </c>
      <c r="D7" s="223">
        <v>0.28718972670468956</v>
      </c>
      <c r="E7" s="223">
        <v>0.2548754029721732</v>
      </c>
      <c r="F7" s="224">
        <v>0.74070013517974975</v>
      </c>
      <c r="G7" s="224">
        <v>0.77223648924957744</v>
      </c>
      <c r="H7" s="224">
        <v>1</v>
      </c>
      <c r="I7" s="224">
        <v>0.81106497730540505</v>
      </c>
      <c r="J7" s="224">
        <v>0.69909036020626758</v>
      </c>
      <c r="K7" s="224">
        <v>0.74571542163255744</v>
      </c>
      <c r="L7" s="225">
        <v>0.88603334197313832</v>
      </c>
      <c r="S7" s="84"/>
      <c r="T7" s="6"/>
      <c r="U7" s="85"/>
    </row>
    <row r="8" spans="1:21">
      <c r="A8" s="102" t="s">
        <v>8</v>
      </c>
      <c r="B8" s="106">
        <f>'Control panel'!B7</f>
        <v>5.1014363077869621E-2</v>
      </c>
      <c r="C8" s="178">
        <v>5.6149706770970371E-2</v>
      </c>
      <c r="D8" s="223">
        <v>0.29616397669669142</v>
      </c>
      <c r="E8" s="223">
        <v>0.29680815083804063</v>
      </c>
      <c r="F8" s="224">
        <v>0.74187676376193967</v>
      </c>
      <c r="G8" s="224">
        <v>0.79023745754825636</v>
      </c>
      <c r="H8" s="224">
        <v>0.81106497730540505</v>
      </c>
      <c r="I8" s="224">
        <v>0.99999999999999978</v>
      </c>
      <c r="J8" s="224">
        <v>0.63944069654526292</v>
      </c>
      <c r="K8" s="224">
        <v>0.64591301484464436</v>
      </c>
      <c r="L8" s="225">
        <v>0.78448428807756676</v>
      </c>
      <c r="S8" s="84"/>
      <c r="T8" s="6"/>
      <c r="U8" s="85"/>
    </row>
    <row r="9" spans="1:21">
      <c r="A9" s="102" t="s">
        <v>9</v>
      </c>
      <c r="B9" s="106">
        <f>'Control panel'!B8</f>
        <v>2.0731266317763185E-2</v>
      </c>
      <c r="C9" s="178">
        <v>5.16958277280853E-2</v>
      </c>
      <c r="D9" s="223">
        <v>0.32648216646211403</v>
      </c>
      <c r="E9" s="223">
        <v>0.25154461105240938</v>
      </c>
      <c r="F9" s="224">
        <v>0.60846903584875167</v>
      </c>
      <c r="G9" s="224">
        <v>0.6311068208343743</v>
      </c>
      <c r="H9" s="224">
        <v>0.69909036020626758</v>
      </c>
      <c r="I9" s="224">
        <v>0.63944069654526281</v>
      </c>
      <c r="J9" s="224">
        <v>0.99999999999999978</v>
      </c>
      <c r="K9" s="224">
        <v>0.57555638609831095</v>
      </c>
      <c r="L9" s="225">
        <v>0.6706441294402975</v>
      </c>
      <c r="S9" s="84"/>
      <c r="T9" s="6"/>
      <c r="U9" s="85"/>
    </row>
    <row r="10" spans="1:21">
      <c r="A10" s="102" t="s">
        <v>10</v>
      </c>
      <c r="B10" s="106">
        <f>'Control panel'!B9</f>
        <v>3.0634868515694261E-2</v>
      </c>
      <c r="C10" s="178">
        <v>2.8296106893951258E-2</v>
      </c>
      <c r="D10" s="223">
        <v>0.16076897495152093</v>
      </c>
      <c r="E10" s="223">
        <v>0.48821318968101907</v>
      </c>
      <c r="F10" s="224">
        <v>0.86668583493806206</v>
      </c>
      <c r="G10" s="224">
        <v>0.87120901203593182</v>
      </c>
      <c r="H10" s="224">
        <v>0.74571542163255744</v>
      </c>
      <c r="I10" s="224">
        <v>0.64591301484464425</v>
      </c>
      <c r="J10" s="224">
        <v>0.57555638609831083</v>
      </c>
      <c r="K10" s="224">
        <v>1.0000000000000002</v>
      </c>
      <c r="L10" s="225">
        <v>0.79740125449060317</v>
      </c>
      <c r="S10" s="84"/>
      <c r="T10" s="6"/>
      <c r="U10" s="85"/>
    </row>
    <row r="11" spans="1:21" ht="13.5" thickBot="1">
      <c r="A11" s="103" t="s">
        <v>11</v>
      </c>
      <c r="B11" s="107">
        <f>'Control panel'!B10</f>
        <v>4.6750473476693526E-2</v>
      </c>
      <c r="C11" s="179">
        <v>3.9623116873055711E-2</v>
      </c>
      <c r="D11" s="226">
        <v>0.20064050365322861</v>
      </c>
      <c r="E11" s="226">
        <v>0.39542795937264957</v>
      </c>
      <c r="F11" s="227">
        <v>0.86259221475724557</v>
      </c>
      <c r="G11" s="227">
        <v>0.86536847063850963</v>
      </c>
      <c r="H11" s="227">
        <v>0.88603334197313832</v>
      </c>
      <c r="I11" s="227">
        <v>0.78448428807756676</v>
      </c>
      <c r="J11" s="227">
        <v>0.67064412944029761</v>
      </c>
      <c r="K11" s="227">
        <v>0.79740125449060328</v>
      </c>
      <c r="L11" s="228">
        <v>1.0000000000000002</v>
      </c>
    </row>
    <row r="12" spans="1:21">
      <c r="A12" s="84"/>
      <c r="B12" s="110" t="s">
        <v>89</v>
      </c>
      <c r="C12" s="85">
        <v>9.982328688488358E-2</v>
      </c>
      <c r="D12" s="83"/>
      <c r="E12" s="83"/>
      <c r="F12" s="83"/>
      <c r="G12" s="83"/>
      <c r="H12" s="83"/>
      <c r="I12" s="83"/>
      <c r="J12" s="83"/>
      <c r="K12" s="83"/>
      <c r="L12" s="86"/>
    </row>
    <row r="13" spans="1:21">
      <c r="A13" s="84" t="s">
        <v>85</v>
      </c>
    </row>
    <row r="14" spans="1:21">
      <c r="A14" s="87" t="s">
        <v>45</v>
      </c>
      <c r="B14" s="88" t="s">
        <v>58</v>
      </c>
      <c r="C14" s="99" t="s">
        <v>86</v>
      </c>
      <c r="H14" s="292"/>
    </row>
    <row r="15" spans="1:21">
      <c r="A15" s="87" t="s">
        <v>83</v>
      </c>
      <c r="B15" s="89" t="s">
        <v>4</v>
      </c>
      <c r="C15" s="201">
        <v>0</v>
      </c>
      <c r="H15" s="292"/>
    </row>
    <row r="16" spans="1:21">
      <c r="A16" s="87" t="s">
        <v>84</v>
      </c>
      <c r="B16" s="89" t="s">
        <v>5</v>
      </c>
      <c r="C16" s="201">
        <v>0.03</v>
      </c>
    </row>
    <row r="17" spans="1:24">
      <c r="D17" s="98"/>
      <c r="E17" s="98"/>
      <c r="G17" s="369"/>
      <c r="H17" s="369"/>
      <c r="I17" s="369"/>
      <c r="J17" s="369"/>
    </row>
    <row r="18" spans="1:24">
      <c r="D18" s="98"/>
      <c r="E18" s="98"/>
      <c r="S18" s="84"/>
      <c r="T18" s="369"/>
      <c r="U18" s="369"/>
      <c r="V18" s="369"/>
      <c r="W18" s="369"/>
      <c r="X18" s="369"/>
    </row>
    <row r="19" spans="1:24">
      <c r="D19" s="98"/>
      <c r="E19" s="98"/>
      <c r="S19" s="84"/>
      <c r="T19" s="274"/>
      <c r="U19" s="274"/>
      <c r="V19" s="274"/>
      <c r="W19" s="274"/>
      <c r="X19" s="274"/>
    </row>
    <row r="20" spans="1:24">
      <c r="D20" s="98"/>
      <c r="E20" s="98"/>
      <c r="S20" s="84"/>
      <c r="T20" s="274"/>
      <c r="U20" s="274"/>
      <c r="V20" s="274"/>
      <c r="W20" s="274"/>
      <c r="X20" s="274"/>
    </row>
    <row r="21" spans="1:24">
      <c r="D21" s="85"/>
      <c r="E21" s="98"/>
      <c r="F21" s="91"/>
      <c r="S21" s="82"/>
      <c r="T21" s="85"/>
      <c r="U21" s="85"/>
      <c r="V21" s="85"/>
      <c r="W21" s="85"/>
      <c r="X21" s="85"/>
    </row>
    <row r="22" spans="1:24" ht="13.5" thickBot="1">
      <c r="D22" s="98"/>
      <c r="E22" s="98"/>
      <c r="F22" s="82"/>
      <c r="S22" s="82"/>
      <c r="T22" s="85"/>
      <c r="U22" s="85"/>
      <c r="V22" s="85"/>
      <c r="W22" s="85"/>
      <c r="X22" s="85"/>
    </row>
    <row r="23" spans="1:24" ht="13.5" thickBot="1">
      <c r="A23" s="238" t="s">
        <v>115</v>
      </c>
      <c r="B23" s="287" t="s">
        <v>70</v>
      </c>
      <c r="C23" s="288" t="s">
        <v>112</v>
      </c>
      <c r="D23" s="288" t="s">
        <v>126</v>
      </c>
      <c r="E23" s="288" t="s">
        <v>127</v>
      </c>
      <c r="F23" s="288" t="s">
        <v>113</v>
      </c>
      <c r="G23" s="288" t="s">
        <v>114</v>
      </c>
      <c r="H23" s="289" t="s">
        <v>128</v>
      </c>
      <c r="I23" s="291" t="s">
        <v>30</v>
      </c>
      <c r="S23" s="82"/>
      <c r="T23" s="85"/>
      <c r="U23" s="85"/>
      <c r="V23" s="85"/>
      <c r="W23" s="85"/>
      <c r="X23" s="85"/>
    </row>
    <row r="24" spans="1:24">
      <c r="A24" s="14" t="s">
        <v>4</v>
      </c>
      <c r="B24" s="21">
        <f t="shared" ref="B24:B31" si="0">C4</f>
        <v>0</v>
      </c>
      <c r="C24" s="359">
        <v>-3.2445168309994665E-3</v>
      </c>
      <c r="D24" s="359">
        <v>-1.0761362748873404E-3</v>
      </c>
      <c r="E24" s="359">
        <v>-3.4179872754884488E-3</v>
      </c>
      <c r="F24" s="359">
        <v>-2.5720358328627513E-2</v>
      </c>
      <c r="G24" s="359">
        <v>-0.26287574291051119</v>
      </c>
      <c r="H24" s="360">
        <v>-3.2441343963196256E-3</v>
      </c>
      <c r="I24" s="363">
        <f>SUMPRODUCT(C24:H24,$C$33:$H$33)</f>
        <v>-3.2445168309994665E-3</v>
      </c>
      <c r="S24" s="82"/>
      <c r="T24" s="85"/>
      <c r="U24" s="85"/>
      <c r="V24" s="85"/>
      <c r="W24" s="85"/>
      <c r="X24" s="85"/>
    </row>
    <row r="25" spans="1:24">
      <c r="A25" s="18" t="s">
        <v>5</v>
      </c>
      <c r="B25" s="21">
        <f t="shared" si="0"/>
        <v>0.03</v>
      </c>
      <c r="C25" s="359">
        <v>3.2492969125133414E-2</v>
      </c>
      <c r="D25" s="359">
        <v>-8.65324500372157E-2</v>
      </c>
      <c r="E25" s="359">
        <v>5.1526244290784291E-2</v>
      </c>
      <c r="F25" s="359">
        <v>-0.43934344866388231</v>
      </c>
      <c r="G25" s="359">
        <v>-0.41627425662388229</v>
      </c>
      <c r="H25" s="360">
        <v>0.27529934429078429</v>
      </c>
      <c r="I25" s="178">
        <f t="shared" ref="I25:I31" si="1">SUMPRODUCT(C25:H25,$C$33:$H$33)</f>
        <v>3.2492969125133414E-2</v>
      </c>
      <c r="S25" s="82"/>
      <c r="T25" s="85"/>
      <c r="U25" s="85"/>
      <c r="V25" s="85"/>
      <c r="W25" s="85"/>
      <c r="X25" s="85"/>
    </row>
    <row r="26" spans="1:24">
      <c r="A26" s="18" t="s">
        <v>6</v>
      </c>
      <c r="B26" s="21">
        <f t="shared" si="0"/>
        <v>3.1398195419985959E-2</v>
      </c>
      <c r="C26" s="359">
        <v>1.45681608513176E-2</v>
      </c>
      <c r="D26" s="359">
        <v>-2.1111513867647543E-2</v>
      </c>
      <c r="E26" s="359">
        <v>3.2357333960853253E-3</v>
      </c>
      <c r="F26" s="359">
        <v>-0.41802644813429485</v>
      </c>
      <c r="G26" s="359">
        <v>-0.17149574156312622</v>
      </c>
      <c r="H26" s="360">
        <v>0.25817653707968463</v>
      </c>
      <c r="I26" s="178">
        <f t="shared" si="1"/>
        <v>1.45681608513176E-2</v>
      </c>
      <c r="S26" s="82"/>
      <c r="T26" s="85"/>
      <c r="U26" s="85"/>
      <c r="V26" s="85"/>
      <c r="W26" s="85"/>
      <c r="X26" s="85"/>
    </row>
    <row r="27" spans="1:24">
      <c r="A27" s="18" t="s">
        <v>7</v>
      </c>
      <c r="B27" s="21">
        <f t="shared" si="0"/>
        <v>5.6592124614748239E-2</v>
      </c>
      <c r="C27" s="359">
        <v>-1.272492445230269E-2</v>
      </c>
      <c r="D27" s="359">
        <v>-0.19311368459773193</v>
      </c>
      <c r="E27" s="359">
        <v>4.3944352615336905E-2</v>
      </c>
      <c r="F27" s="359">
        <v>-0.5992014650452413</v>
      </c>
      <c r="G27" s="359">
        <v>-0.47126055414190038</v>
      </c>
      <c r="H27" s="360">
        <v>0.40935864013329615</v>
      </c>
      <c r="I27" s="178">
        <f t="shared" si="1"/>
        <v>-1.272492445230269E-2</v>
      </c>
      <c r="J27" s="76"/>
    </row>
    <row r="28" spans="1:24">
      <c r="A28" s="18" t="s">
        <v>8</v>
      </c>
      <c r="B28" s="21">
        <f t="shared" si="0"/>
        <v>5.6149706770970371E-2</v>
      </c>
      <c r="C28" s="359">
        <v>5.7893485302571407E-2</v>
      </c>
      <c r="D28" s="359">
        <v>-6.9261756645690273E-2</v>
      </c>
      <c r="E28" s="359">
        <v>7.474963400472559E-2</v>
      </c>
      <c r="F28" s="359">
        <v>-0.42661422498990775</v>
      </c>
      <c r="G28" s="359">
        <v>-0.26558788944909251</v>
      </c>
      <c r="H28" s="360">
        <v>0.37672139820686834</v>
      </c>
      <c r="I28" s="178">
        <f t="shared" si="1"/>
        <v>5.7893485302571407E-2</v>
      </c>
      <c r="J28" s="94"/>
      <c r="U28" s="95"/>
    </row>
    <row r="29" spans="1:24">
      <c r="A29" s="18" t="s">
        <v>9</v>
      </c>
      <c r="B29" s="21">
        <f t="shared" si="0"/>
        <v>5.16958277280853E-2</v>
      </c>
      <c r="C29" s="359">
        <v>7.1858480605475325E-2</v>
      </c>
      <c r="D29" s="359">
        <v>1.202667991596415E-2</v>
      </c>
      <c r="E29" s="359">
        <v>8.5249207175964209E-2</v>
      </c>
      <c r="F29" s="359">
        <v>-0.52128297967070236</v>
      </c>
      <c r="G29" s="359">
        <v>-0.54077311463070243</v>
      </c>
      <c r="H29" s="360">
        <v>0.621322616702631</v>
      </c>
      <c r="I29" s="178">
        <f t="shared" si="1"/>
        <v>7.1858480605475325E-2</v>
      </c>
      <c r="J29" s="96"/>
      <c r="U29" s="95"/>
    </row>
    <row r="30" spans="1:24">
      <c r="A30" s="18" t="s">
        <v>10</v>
      </c>
      <c r="B30" s="21">
        <f t="shared" si="0"/>
        <v>2.8296106893951258E-2</v>
      </c>
      <c r="C30" s="359">
        <v>1.8730269708989476E-2</v>
      </c>
      <c r="D30" s="359">
        <v>-4.6790508294452839E-2</v>
      </c>
      <c r="E30" s="359">
        <v>1.8215216611987023E-2</v>
      </c>
      <c r="F30" s="359">
        <v>-0.25630468560846492</v>
      </c>
      <c r="G30" s="359">
        <v>-6.931471876793301E-3</v>
      </c>
      <c r="H30" s="360">
        <v>0.28021842301080391</v>
      </c>
      <c r="I30" s="178">
        <f t="shared" si="1"/>
        <v>1.8730269708989476E-2</v>
      </c>
      <c r="J30" s="96"/>
      <c r="U30" s="95"/>
    </row>
    <row r="31" spans="1:24" ht="13.5" thickBot="1">
      <c r="A31" s="22" t="s">
        <v>11</v>
      </c>
      <c r="B31" s="25">
        <f t="shared" si="0"/>
        <v>3.9623116873055711E-2</v>
      </c>
      <c r="C31" s="361">
        <v>-5.9825766089863959E-3</v>
      </c>
      <c r="D31" s="361">
        <v>-0.13956067047136589</v>
      </c>
      <c r="E31" s="361">
        <v>2.7964399001126676E-2</v>
      </c>
      <c r="F31" s="361">
        <v>-0.45200242221105646</v>
      </c>
      <c r="G31" s="361">
        <v>-0.48031312669988807</v>
      </c>
      <c r="H31" s="362">
        <v>0.41038049782760322</v>
      </c>
      <c r="I31" s="364">
        <f t="shared" si="1"/>
        <v>-5.9825766089863959E-3</v>
      </c>
      <c r="J31" s="96"/>
      <c r="U31" s="95"/>
    </row>
    <row r="32" spans="1:24" ht="13.5" thickBot="1">
      <c r="D32" s="98"/>
      <c r="E32" s="98"/>
      <c r="H32" s="84"/>
      <c r="I32" s="84"/>
      <c r="J32" s="84"/>
      <c r="U32" s="95"/>
    </row>
    <row r="33" spans="1:21" ht="13.5" thickBot="1">
      <c r="A33" s="293" t="s">
        <v>123</v>
      </c>
      <c r="B33" s="290">
        <f>Optimalisatie!B13</f>
        <v>0</v>
      </c>
      <c r="C33" s="290">
        <f>Optimalisatie!C13</f>
        <v>1</v>
      </c>
      <c r="D33" s="290">
        <f>Optimalisatie!D13</f>
        <v>0</v>
      </c>
      <c r="E33" s="290">
        <f>Optimalisatie!E13</f>
        <v>0</v>
      </c>
      <c r="F33" s="290">
        <f>Optimalisatie!F13</f>
        <v>0</v>
      </c>
      <c r="G33" s="290">
        <f>Optimalisatie!G13</f>
        <v>0</v>
      </c>
      <c r="H33" s="290">
        <f>Optimalisatie!H13</f>
        <v>0</v>
      </c>
      <c r="I33" s="296">
        <f>+$B$33+((100%-$B$33)*(D33+E33+F33+G33+H33+C33))</f>
        <v>1</v>
      </c>
      <c r="U33" s="95"/>
    </row>
    <row r="34" spans="1:21" ht="13.5" thickBot="1">
      <c r="U34" s="95"/>
    </row>
    <row r="35" spans="1:21" ht="13.5" thickBot="1">
      <c r="A35" s="293" t="s">
        <v>129</v>
      </c>
      <c r="B35" s="304">
        <f>Optimalisatie!B15</f>
        <v>0</v>
      </c>
      <c r="C35" s="303">
        <f>SUMPRODUCT(C24:C31,'Control panel'!$F$3:$F$10)</f>
        <v>1.7705837618820958E-2</v>
      </c>
      <c r="D35" s="303">
        <f>SUMPRODUCT(D24:D31,'Control panel'!$F$3:$F$10)</f>
        <v>-2.1326785003195452E-2</v>
      </c>
      <c r="E35" s="303">
        <f>SUMPRODUCT(E24:E31,'Control panel'!$F$3:$F$10)</f>
        <v>2.3868537606561265E-2</v>
      </c>
      <c r="F35" s="303">
        <f>SUMPRODUCT(F24:F31,'Control panel'!$F$3:$F$10)</f>
        <v>-0.20620882957938494</v>
      </c>
      <c r="G35" s="303">
        <f>SUMPRODUCT(G24:G31,'Control panel'!$F$3:$F$10)</f>
        <v>-0.32090890853692705</v>
      </c>
      <c r="H35" s="303">
        <f>SUMPRODUCT(H24:H31,'Control panel'!$F$3:$F$10)</f>
        <v>0.16772909117977058</v>
      </c>
      <c r="I35" s="305">
        <f>SUMPRODUCT(I24:I31,'Control panel'!$F$3:$F$10)</f>
        <v>1.7705837618820958E-2</v>
      </c>
    </row>
    <row r="38" spans="1:21" ht="13.5" thickBot="1"/>
    <row r="39" spans="1:21" ht="13.5" thickBot="1">
      <c r="A39" s="294" t="s">
        <v>119</v>
      </c>
      <c r="B39" s="295">
        <v>8</v>
      </c>
    </row>
    <row r="40" spans="1:21" ht="13.5" thickBot="1">
      <c r="A40" s="294" t="s">
        <v>144</v>
      </c>
      <c r="B40" s="295">
        <v>8</v>
      </c>
    </row>
    <row r="45" spans="1:21">
      <c r="A45" s="292"/>
      <c r="B45" s="292"/>
      <c r="C45" s="292"/>
      <c r="D45" s="292"/>
      <c r="E45" s="292"/>
      <c r="F45" s="292"/>
      <c r="G45" s="292"/>
      <c r="H45" s="292"/>
      <c r="I45" s="292"/>
    </row>
    <row r="46" spans="1:21">
      <c r="A46" s="292"/>
      <c r="B46" s="292"/>
      <c r="C46" s="292"/>
      <c r="D46" s="292"/>
      <c r="E46" s="292"/>
      <c r="F46" s="292"/>
      <c r="G46" s="292"/>
      <c r="H46" s="292"/>
      <c r="I46" s="292"/>
    </row>
    <row r="47" spans="1:21">
      <c r="A47" s="292"/>
      <c r="B47" s="292"/>
      <c r="C47" s="292"/>
      <c r="D47" s="292"/>
      <c r="E47" s="292"/>
      <c r="F47" s="292"/>
      <c r="G47" s="292"/>
      <c r="H47" s="292"/>
      <c r="I47" s="292"/>
    </row>
    <row r="48" spans="1:21">
      <c r="A48" s="292"/>
      <c r="B48" s="292"/>
      <c r="C48" s="292"/>
      <c r="D48" s="292"/>
      <c r="E48" s="292"/>
      <c r="F48" s="292"/>
      <c r="G48" s="292"/>
      <c r="H48" s="292"/>
      <c r="I48" s="292"/>
    </row>
    <row r="49" spans="1:9">
      <c r="A49" s="292"/>
      <c r="B49" s="292"/>
      <c r="C49" s="292"/>
      <c r="D49" s="292"/>
      <c r="E49" s="292"/>
      <c r="F49" s="292"/>
      <c r="G49" s="292"/>
      <c r="H49" s="292"/>
      <c r="I49" s="292"/>
    </row>
    <row r="50" spans="1:9">
      <c r="A50" s="292"/>
      <c r="B50" s="292"/>
      <c r="C50" s="292"/>
      <c r="D50" s="292"/>
      <c r="E50" s="292"/>
      <c r="F50" s="292"/>
      <c r="G50" s="292"/>
      <c r="H50" s="292"/>
      <c r="I50" s="292"/>
    </row>
    <row r="51" spans="1:9">
      <c r="A51" s="292"/>
      <c r="B51" s="292"/>
      <c r="C51" s="292"/>
      <c r="D51" s="292"/>
      <c r="E51" s="292"/>
      <c r="F51" s="292"/>
      <c r="G51" s="292"/>
      <c r="H51" s="292"/>
      <c r="I51" s="292"/>
    </row>
    <row r="52" spans="1:9">
      <c r="A52" s="292"/>
      <c r="B52" s="292"/>
      <c r="C52" s="292"/>
      <c r="D52" s="292"/>
      <c r="E52" s="292"/>
      <c r="F52" s="292"/>
      <c r="G52" s="292"/>
      <c r="H52" s="292"/>
      <c r="I52" s="292"/>
    </row>
    <row r="53" spans="1:9">
      <c r="A53" s="292"/>
      <c r="B53" s="292"/>
      <c r="C53" s="292"/>
      <c r="D53" s="292"/>
      <c r="E53" s="292"/>
      <c r="F53" s="292"/>
      <c r="G53" s="292"/>
      <c r="H53" s="292"/>
      <c r="I53" s="292"/>
    </row>
    <row r="54" spans="1:9">
      <c r="A54" s="292"/>
      <c r="B54" s="292"/>
      <c r="C54" s="292"/>
      <c r="D54" s="292"/>
      <c r="E54" s="292"/>
      <c r="F54" s="292"/>
      <c r="G54" s="292"/>
      <c r="H54" s="292"/>
      <c r="I54" s="292"/>
    </row>
    <row r="55" spans="1:9">
      <c r="A55" s="292"/>
      <c r="B55" s="292"/>
      <c r="C55" s="292"/>
      <c r="D55" s="292"/>
      <c r="E55" s="292"/>
      <c r="F55" s="292"/>
      <c r="G55" s="292"/>
      <c r="H55" s="292"/>
      <c r="I55" s="292"/>
    </row>
    <row r="56" spans="1:9">
      <c r="A56" s="292"/>
      <c r="B56" s="292"/>
      <c r="C56" s="292"/>
      <c r="D56" s="292"/>
      <c r="E56" s="292"/>
      <c r="F56" s="292"/>
      <c r="G56" s="292"/>
      <c r="H56" s="292"/>
      <c r="I56" s="292"/>
    </row>
    <row r="57" spans="1:9">
      <c r="I57" s="292"/>
    </row>
    <row r="58" spans="1:9">
      <c r="I58" s="292"/>
    </row>
    <row r="59" spans="1:9">
      <c r="I59" s="292"/>
    </row>
    <row r="60" spans="1:9">
      <c r="I60" s="292"/>
    </row>
    <row r="61" spans="1:9">
      <c r="I61" s="292"/>
    </row>
    <row r="62" spans="1:9">
      <c r="I62" s="292"/>
    </row>
    <row r="97" spans="1:2">
      <c r="B97" s="99"/>
    </row>
    <row r="98" spans="1:2">
      <c r="B98" s="99"/>
    </row>
    <row r="100" spans="1:2">
      <c r="B100" s="99"/>
    </row>
    <row r="102" spans="1:2">
      <c r="A102" s="100" t="s">
        <v>81</v>
      </c>
    </row>
    <row r="103" spans="1:2">
      <c r="A103" s="3" t="s">
        <v>58</v>
      </c>
      <c r="B103" s="99">
        <v>0</v>
      </c>
    </row>
    <row r="104" spans="1:2">
      <c r="A104" s="3" t="str">
        <f>A4</f>
        <v>Nominale matching</v>
      </c>
      <c r="B104" s="99">
        <v>1</v>
      </c>
    </row>
    <row r="105" spans="1:2">
      <c r="A105" s="3" t="str">
        <f t="shared" ref="A105:A111" si="2">A5</f>
        <v>High Yield</v>
      </c>
      <c r="B105" s="99">
        <v>2</v>
      </c>
    </row>
    <row r="106" spans="1:2">
      <c r="A106" s="3" t="str">
        <f t="shared" si="2"/>
        <v>Emerging market debt</v>
      </c>
      <c r="B106" s="99">
        <v>3</v>
      </c>
    </row>
    <row r="107" spans="1:2">
      <c r="A107" s="3" t="str">
        <f t="shared" si="2"/>
        <v>Aandelen ontwikkeld</v>
      </c>
      <c r="B107" s="99">
        <v>4</v>
      </c>
    </row>
    <row r="108" spans="1:2">
      <c r="A108" s="3" t="str">
        <f t="shared" si="2"/>
        <v>Aandelen opkomend</v>
      </c>
      <c r="B108" s="99">
        <v>5</v>
      </c>
    </row>
    <row r="109" spans="1:2">
      <c r="A109" s="3" t="str">
        <f t="shared" si="2"/>
        <v>Commodities</v>
      </c>
      <c r="B109" s="99">
        <v>6</v>
      </c>
    </row>
    <row r="110" spans="1:2">
      <c r="A110" s="3" t="str">
        <f t="shared" si="2"/>
        <v>Hedge funds</v>
      </c>
      <c r="B110" s="99">
        <v>7</v>
      </c>
    </row>
    <row r="111" spans="1:2">
      <c r="A111" s="3" t="str">
        <f t="shared" si="2"/>
        <v>Onroerend goed</v>
      </c>
      <c r="B111" s="99">
        <v>8</v>
      </c>
    </row>
    <row r="113" spans="1:2">
      <c r="A113" s="27" t="s">
        <v>59</v>
      </c>
    </row>
    <row r="114" spans="1:2">
      <c r="A114" s="3" t="s">
        <v>45</v>
      </c>
      <c r="B114" s="99">
        <f>VLOOKUP(B14,$A$103:$B$111,2,0)</f>
        <v>0</v>
      </c>
    </row>
    <row r="115" spans="1:2">
      <c r="A115" s="3" t="s">
        <v>87</v>
      </c>
      <c r="B115" s="99">
        <f t="shared" ref="B115:B116" si="3">VLOOKUP(B15,$A$103:$B$111,2,0)</f>
        <v>1</v>
      </c>
    </row>
    <row r="116" spans="1:2">
      <c r="A116" s="3" t="s">
        <v>88</v>
      </c>
      <c r="B116" s="99">
        <f t="shared" si="3"/>
        <v>2</v>
      </c>
    </row>
  </sheetData>
  <mergeCells count="3">
    <mergeCell ref="G17:J17"/>
    <mergeCell ref="T18:X18"/>
    <mergeCell ref="E2:L2"/>
  </mergeCells>
  <dataValidations count="3">
    <dataValidation type="list" allowBlank="1" showInputMessage="1" showErrorMessage="1" sqref="B14">
      <formula1>$A$103:$A$111</formula1>
    </dataValidation>
    <dataValidation type="list" allowBlank="1" showInputMessage="1" showErrorMessage="1" sqref="B15:B16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U86"/>
  <sheetViews>
    <sheetView workbookViewId="0">
      <selection activeCell="N4" sqref="N4:U11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1">
      <c r="A1" s="37" t="s">
        <v>0</v>
      </c>
    </row>
    <row r="2" spans="1:21" ht="13.5" thickBot="1"/>
    <row r="3" spans="1:21" ht="13.5" thickBot="1">
      <c r="A3" s="38" t="s">
        <v>70</v>
      </c>
      <c r="B3" s="39" t="s">
        <v>1</v>
      </c>
      <c r="C3" s="39" t="s">
        <v>2</v>
      </c>
      <c r="D3" s="373" t="s">
        <v>3</v>
      </c>
      <c r="E3" s="373"/>
      <c r="F3" s="373"/>
      <c r="G3" s="373"/>
      <c r="H3" s="373"/>
      <c r="I3" s="373"/>
      <c r="J3" s="373"/>
      <c r="K3" s="374"/>
      <c r="N3" s="36" t="s">
        <v>4</v>
      </c>
      <c r="O3" s="36" t="s">
        <v>5</v>
      </c>
      <c r="P3" s="36" t="s">
        <v>6</v>
      </c>
      <c r="Q3" s="36" t="s">
        <v>7</v>
      </c>
      <c r="R3" s="36" t="s">
        <v>8</v>
      </c>
      <c r="S3" s="36" t="s">
        <v>9</v>
      </c>
      <c r="T3" s="36" t="s">
        <v>10</v>
      </c>
      <c r="U3" s="36" t="s">
        <v>11</v>
      </c>
    </row>
    <row r="4" spans="1:21">
      <c r="A4" s="41" t="s">
        <v>4</v>
      </c>
      <c r="B4" s="42">
        <f>Scenarios!B24</f>
        <v>0</v>
      </c>
      <c r="C4" s="42">
        <f>Scenarios!D4</f>
        <v>4.345014939985381E-2</v>
      </c>
      <c r="D4" s="111">
        <f>Scenarios!E4</f>
        <v>0.99999999999999989</v>
      </c>
      <c r="E4" s="112">
        <f>Scenarios!F4</f>
        <v>0.52433002849962862</v>
      </c>
      <c r="F4" s="112">
        <f>Scenarios!G4</f>
        <v>0.50486215833038961</v>
      </c>
      <c r="G4" s="112">
        <f>Scenarios!H4</f>
        <v>0.25487540297217309</v>
      </c>
      <c r="H4" s="112">
        <f>Scenarios!I4</f>
        <v>0.29680815083804041</v>
      </c>
      <c r="I4" s="112">
        <f>Scenarios!J4</f>
        <v>0.25154461105240933</v>
      </c>
      <c r="J4" s="112">
        <f>Scenarios!K4</f>
        <v>0.48821318968101901</v>
      </c>
      <c r="K4" s="113">
        <f>Scenarios!L4</f>
        <v>0.39542795937264941</v>
      </c>
      <c r="L4" s="239" t="s">
        <v>120</v>
      </c>
      <c r="N4" s="36">
        <f t="array" ref="N4:U11">+D4:K11*TRANSPOSE(C4:C11)*C4:C11</f>
        <v>1.887915482869616E-3</v>
      </c>
      <c r="O4" s="36">
        <v>3.6117928425709253E-3</v>
      </c>
      <c r="P4" s="36">
        <v>3.5574712018520516E-3</v>
      </c>
      <c r="Q4" s="36">
        <v>3.1804465394088544E-3</v>
      </c>
      <c r="R4" s="36">
        <v>3.819436817379819E-3</v>
      </c>
      <c r="S4" s="36">
        <v>3.568336114612949E-3</v>
      </c>
      <c r="T4" s="36">
        <v>3.4103819813548729E-3</v>
      </c>
      <c r="U4" s="36">
        <v>3.4472855342971773E-3</v>
      </c>
    </row>
    <row r="5" spans="1:21">
      <c r="A5" s="41" t="s">
        <v>5</v>
      </c>
      <c r="B5" s="42">
        <f>Scenarios!B25</f>
        <v>0.03</v>
      </c>
      <c r="C5" s="42">
        <f>Scenarios!D5</f>
        <v>0.15853561014014847</v>
      </c>
      <c r="D5" s="111">
        <f>Scenarios!E5</f>
        <v>0.5243300284996284</v>
      </c>
      <c r="E5" s="112">
        <f>Scenarios!F5</f>
        <v>1</v>
      </c>
      <c r="F5" s="112">
        <f>Scenarios!G5</f>
        <v>0.94338322745767289</v>
      </c>
      <c r="G5" s="112">
        <f>Scenarios!H5</f>
        <v>0.74070013517974964</v>
      </c>
      <c r="H5" s="112">
        <f>Scenarios!I5</f>
        <v>0.74187676376193956</v>
      </c>
      <c r="I5" s="112">
        <f>Scenarios!J5</f>
        <v>0.60846903584875156</v>
      </c>
      <c r="J5" s="112">
        <f>Scenarios!K5</f>
        <v>0.86668583493806206</v>
      </c>
      <c r="K5" s="113">
        <f>Scenarios!L5</f>
        <v>0.86259221475724557</v>
      </c>
      <c r="N5" s="36">
        <v>3.6117928425709236E-3</v>
      </c>
      <c r="O5" s="36">
        <v>2.5133539682509146E-2</v>
      </c>
      <c r="P5" s="36">
        <v>2.42544973313066E-2</v>
      </c>
      <c r="Q5" s="36">
        <v>3.3723927940032879E-2</v>
      </c>
      <c r="R5" s="36">
        <v>3.4832996012383759E-2</v>
      </c>
      <c r="S5" s="36">
        <v>3.149377892134287E-2</v>
      </c>
      <c r="T5" s="36">
        <v>2.2089748417517992E-2</v>
      </c>
      <c r="U5" s="36">
        <v>2.7437906502276666E-2</v>
      </c>
    </row>
    <row r="6" spans="1:21">
      <c r="A6" s="41" t="s">
        <v>6</v>
      </c>
      <c r="B6" s="42">
        <f>Scenarios!B26</f>
        <v>3.1398195419985959E-2</v>
      </c>
      <c r="C6" s="42">
        <f>Scenarios!D6</f>
        <v>0.16217253275473525</v>
      </c>
      <c r="D6" s="111">
        <f>Scenarios!E6</f>
        <v>0.50486215833038939</v>
      </c>
      <c r="E6" s="112">
        <f>Scenarios!F6</f>
        <v>0.943383227457673</v>
      </c>
      <c r="F6" s="112">
        <f>Scenarios!G6</f>
        <v>1</v>
      </c>
      <c r="G6" s="112">
        <f>Scenarios!H6</f>
        <v>0.77223648924957744</v>
      </c>
      <c r="H6" s="112">
        <f>Scenarios!I6</f>
        <v>0.79023745754825636</v>
      </c>
      <c r="I6" s="112">
        <f>Scenarios!J6</f>
        <v>0.63110682083437419</v>
      </c>
      <c r="J6" s="112">
        <f>Scenarios!K6</f>
        <v>0.87120901203593171</v>
      </c>
      <c r="K6" s="113">
        <f>Scenarios!L6</f>
        <v>0.86536847063850975</v>
      </c>
      <c r="N6" s="36">
        <v>3.5574712018520502E-3</v>
      </c>
      <c r="O6" s="36">
        <v>2.42544973313066E-2</v>
      </c>
      <c r="P6" s="36">
        <v>2.6299930380085677E-2</v>
      </c>
      <c r="Q6" s="36">
        <v>3.5966362616362865E-2</v>
      </c>
      <c r="R6" s="36">
        <v>3.7954838153009651E-2</v>
      </c>
      <c r="S6" s="36">
        <v>3.3414859318395565E-2</v>
      </c>
      <c r="T6" s="36">
        <v>2.271443305379434E-2</v>
      </c>
      <c r="U6" s="36">
        <v>2.8157686969952241E-2</v>
      </c>
    </row>
    <row r="7" spans="1:21">
      <c r="A7" s="41" t="s">
        <v>7</v>
      </c>
      <c r="B7" s="42">
        <f>Scenarios!B27</f>
        <v>5.6592124614748239E-2</v>
      </c>
      <c r="C7" s="42">
        <f>Scenarios!D7</f>
        <v>0.28718972670468956</v>
      </c>
      <c r="D7" s="111">
        <f>Scenarios!E7</f>
        <v>0.2548754029721732</v>
      </c>
      <c r="E7" s="112">
        <f>Scenarios!F7</f>
        <v>0.74070013517974975</v>
      </c>
      <c r="F7" s="112">
        <f>Scenarios!G7</f>
        <v>0.77223648924957744</v>
      </c>
      <c r="G7" s="112">
        <f>Scenarios!H7</f>
        <v>1</v>
      </c>
      <c r="H7" s="112">
        <f>Scenarios!I7</f>
        <v>0.81106497730540505</v>
      </c>
      <c r="I7" s="112">
        <f>Scenarios!J7</f>
        <v>0.69909036020626758</v>
      </c>
      <c r="J7" s="112">
        <f>Scenarios!K7</f>
        <v>0.74571542163255744</v>
      </c>
      <c r="K7" s="113">
        <f>Scenarios!L7</f>
        <v>0.88603334197313832</v>
      </c>
      <c r="N7" s="36">
        <v>3.1804465394088561E-3</v>
      </c>
      <c r="O7" s="36">
        <v>3.3723927940032886E-2</v>
      </c>
      <c r="P7" s="36">
        <v>3.5966362616362865E-2</v>
      </c>
      <c r="Q7" s="36">
        <v>8.2477939124714281E-2</v>
      </c>
      <c r="R7" s="36">
        <v>6.8985335649692545E-2</v>
      </c>
      <c r="S7" s="36">
        <v>6.5548336970937676E-2</v>
      </c>
      <c r="T7" s="36">
        <v>3.4430574368130892E-2</v>
      </c>
      <c r="U7" s="36">
        <v>5.1054917016870496E-2</v>
      </c>
    </row>
    <row r="8" spans="1:21">
      <c r="A8" s="41" t="s">
        <v>8</v>
      </c>
      <c r="B8" s="42">
        <f>Scenarios!B28</f>
        <v>5.6149706770970371E-2</v>
      </c>
      <c r="C8" s="42">
        <f>Scenarios!D8</f>
        <v>0.29616397669669142</v>
      </c>
      <c r="D8" s="111">
        <f>Scenarios!E8</f>
        <v>0.29680815083804063</v>
      </c>
      <c r="E8" s="112">
        <f>Scenarios!F8</f>
        <v>0.74187676376193967</v>
      </c>
      <c r="F8" s="112">
        <f>Scenarios!G8</f>
        <v>0.79023745754825636</v>
      </c>
      <c r="G8" s="112">
        <f>Scenarios!H8</f>
        <v>0.81106497730540505</v>
      </c>
      <c r="H8" s="112">
        <f>Scenarios!I8</f>
        <v>0.99999999999999978</v>
      </c>
      <c r="I8" s="112">
        <f>Scenarios!J8</f>
        <v>0.63944069654526292</v>
      </c>
      <c r="J8" s="112">
        <f>Scenarios!K8</f>
        <v>0.64591301484464436</v>
      </c>
      <c r="K8" s="113">
        <f>Scenarios!L8</f>
        <v>0.78448428807756676</v>
      </c>
      <c r="N8" s="36">
        <v>3.8194368173798217E-3</v>
      </c>
      <c r="O8" s="36">
        <v>3.4832996012383766E-2</v>
      </c>
      <c r="P8" s="36">
        <v>3.7954838153009651E-2</v>
      </c>
      <c r="Q8" s="36">
        <v>6.8985335649692545E-2</v>
      </c>
      <c r="R8" s="36">
        <v>8.7713101092798368E-2</v>
      </c>
      <c r="S8" s="36">
        <v>6.1828964000340367E-2</v>
      </c>
      <c r="T8" s="36">
        <v>3.0754488693050051E-2</v>
      </c>
      <c r="U8" s="36">
        <v>4.6616009330699086E-2</v>
      </c>
    </row>
    <row r="9" spans="1:21">
      <c r="A9" s="41" t="s">
        <v>9</v>
      </c>
      <c r="B9" s="42">
        <f>Scenarios!B29</f>
        <v>5.16958277280853E-2</v>
      </c>
      <c r="C9" s="42">
        <f>Scenarios!D9</f>
        <v>0.32648216646211403</v>
      </c>
      <c r="D9" s="111">
        <f>Scenarios!E9</f>
        <v>0.25154461105240938</v>
      </c>
      <c r="E9" s="112">
        <f>Scenarios!F9</f>
        <v>0.60846903584875167</v>
      </c>
      <c r="F9" s="112">
        <f>Scenarios!G9</f>
        <v>0.6311068208343743</v>
      </c>
      <c r="G9" s="112">
        <f>Scenarios!H9</f>
        <v>0.69909036020626758</v>
      </c>
      <c r="H9" s="112">
        <f>Scenarios!I9</f>
        <v>0.63944069654526281</v>
      </c>
      <c r="I9" s="112">
        <f>Scenarios!J9</f>
        <v>0.99999999999999978</v>
      </c>
      <c r="J9" s="112">
        <f>Scenarios!K9</f>
        <v>0.57555638609831095</v>
      </c>
      <c r="K9" s="113">
        <f>Scenarios!L9</f>
        <v>0.6706441294402975</v>
      </c>
      <c r="N9" s="36">
        <v>3.5683361146129494E-3</v>
      </c>
      <c r="O9" s="36">
        <v>3.1493778921342877E-2</v>
      </c>
      <c r="P9" s="36">
        <v>3.3414859318395572E-2</v>
      </c>
      <c r="Q9" s="36">
        <v>6.5548336970937676E-2</v>
      </c>
      <c r="R9" s="36">
        <v>6.182896400034036E-2</v>
      </c>
      <c r="S9" s="36">
        <v>0.10659060501779552</v>
      </c>
      <c r="T9" s="36">
        <v>3.0209920570797095E-2</v>
      </c>
      <c r="U9" s="36">
        <v>4.3930910080429195E-2</v>
      </c>
    </row>
    <row r="10" spans="1:21">
      <c r="A10" s="41" t="s">
        <v>10</v>
      </c>
      <c r="B10" s="42">
        <f>Scenarios!B30</f>
        <v>2.8296106893951258E-2</v>
      </c>
      <c r="C10" s="42">
        <f>Scenarios!D10</f>
        <v>0.16076897495152093</v>
      </c>
      <c r="D10" s="111">
        <f>Scenarios!E10</f>
        <v>0.48821318968101907</v>
      </c>
      <c r="E10" s="112">
        <f>Scenarios!F10</f>
        <v>0.86668583493806206</v>
      </c>
      <c r="F10" s="112">
        <f>Scenarios!G10</f>
        <v>0.87120901203593182</v>
      </c>
      <c r="G10" s="112">
        <f>Scenarios!H10</f>
        <v>0.74571542163255744</v>
      </c>
      <c r="H10" s="112">
        <f>Scenarios!I10</f>
        <v>0.64591301484464425</v>
      </c>
      <c r="I10" s="112">
        <f>Scenarios!J10</f>
        <v>0.57555638609831083</v>
      </c>
      <c r="J10" s="112">
        <f>Scenarios!K10</f>
        <v>1.0000000000000002</v>
      </c>
      <c r="K10" s="113">
        <f>Scenarios!L10</f>
        <v>0.79740125449060317</v>
      </c>
      <c r="N10" s="36">
        <v>3.4103819813548733E-3</v>
      </c>
      <c r="O10" s="36">
        <v>2.2089748417517995E-2</v>
      </c>
      <c r="P10" s="36">
        <v>2.2714433053794343E-2</v>
      </c>
      <c r="Q10" s="36">
        <v>3.4430574368130892E-2</v>
      </c>
      <c r="R10" s="36">
        <v>3.0754488693050048E-2</v>
      </c>
      <c r="S10" s="36">
        <v>3.0209920570797091E-2</v>
      </c>
      <c r="T10" s="36">
        <v>2.5846663306962767E-2</v>
      </c>
      <c r="U10" s="36">
        <v>2.5721587353605819E-2</v>
      </c>
    </row>
    <row r="11" spans="1:21" ht="13.5" thickBot="1">
      <c r="A11" s="43" t="s">
        <v>11</v>
      </c>
      <c r="B11" s="44">
        <f>Scenarios!B31</f>
        <v>3.9623116873055711E-2</v>
      </c>
      <c r="C11" s="44">
        <f>Scenarios!D11</f>
        <v>0.20064050365322861</v>
      </c>
      <c r="D11" s="114">
        <f>Scenarios!E11</f>
        <v>0.39542795937264957</v>
      </c>
      <c r="E11" s="115">
        <f>Scenarios!F11</f>
        <v>0.86259221475724557</v>
      </c>
      <c r="F11" s="115">
        <f>Scenarios!G11</f>
        <v>0.86536847063850963</v>
      </c>
      <c r="G11" s="115">
        <f>Scenarios!H11</f>
        <v>0.88603334197313832</v>
      </c>
      <c r="H11" s="115">
        <f>Scenarios!I11</f>
        <v>0.78448428807756676</v>
      </c>
      <c r="I11" s="115">
        <f>Scenarios!J11</f>
        <v>0.67064412944029761</v>
      </c>
      <c r="J11" s="115">
        <f>Scenarios!K11</f>
        <v>0.79740125449060328</v>
      </c>
      <c r="K11" s="116">
        <f>Scenarios!L11</f>
        <v>1.0000000000000002</v>
      </c>
      <c r="N11" s="36">
        <v>3.447285534297179E-3</v>
      </c>
      <c r="O11" s="36">
        <v>2.7437906502276666E-2</v>
      </c>
      <c r="P11" s="36">
        <v>2.8157686969952238E-2</v>
      </c>
      <c r="Q11" s="36">
        <v>5.1054917016870503E-2</v>
      </c>
      <c r="R11" s="36">
        <v>4.6616009330699093E-2</v>
      </c>
      <c r="S11" s="36">
        <v>4.3930910080429195E-2</v>
      </c>
      <c r="T11" s="36">
        <v>2.5721587353605819E-2</v>
      </c>
      <c r="U11" s="36">
        <v>4.0256611706221253E-2</v>
      </c>
    </row>
    <row r="13" spans="1:21" ht="13.5" thickBot="1"/>
    <row r="14" spans="1:21" ht="13.5" thickBot="1">
      <c r="A14" s="45" t="str">
        <f>Scenarios!C23</f>
        <v>Base Case</v>
      </c>
      <c r="B14" s="39" t="s">
        <v>1</v>
      </c>
      <c r="C14" s="40" t="s">
        <v>2</v>
      </c>
      <c r="D14" s="372" t="s">
        <v>3</v>
      </c>
      <c r="E14" s="373"/>
      <c r="F14" s="373"/>
      <c r="G14" s="373"/>
      <c r="H14" s="373"/>
      <c r="I14" s="373"/>
      <c r="J14" s="373"/>
      <c r="K14" s="374"/>
    </row>
    <row r="15" spans="1:21">
      <c r="A15" s="41" t="s">
        <v>4</v>
      </c>
      <c r="B15" s="46">
        <f>Scenarios!C24</f>
        <v>-3.2445168309994665E-3</v>
      </c>
      <c r="C15" s="42">
        <f>C4</f>
        <v>4.345014939985381E-2</v>
      </c>
      <c r="D15" s="111">
        <f t="shared" ref="D15:K15" si="0">D4</f>
        <v>0.99999999999999989</v>
      </c>
      <c r="E15" s="112">
        <f t="shared" si="0"/>
        <v>0.52433002849962862</v>
      </c>
      <c r="F15" s="112">
        <f t="shared" si="0"/>
        <v>0.50486215833038961</v>
      </c>
      <c r="G15" s="112">
        <f t="shared" si="0"/>
        <v>0.25487540297217309</v>
      </c>
      <c r="H15" s="112">
        <f t="shared" si="0"/>
        <v>0.29680815083804041</v>
      </c>
      <c r="I15" s="112">
        <f t="shared" si="0"/>
        <v>0.25154461105240933</v>
      </c>
      <c r="J15" s="112">
        <f t="shared" si="0"/>
        <v>0.48821318968101901</v>
      </c>
      <c r="K15" s="113">
        <f t="shared" si="0"/>
        <v>0.39542795937264941</v>
      </c>
      <c r="L15" s="239" t="s">
        <v>120</v>
      </c>
    </row>
    <row r="16" spans="1:21">
      <c r="A16" s="41" t="s">
        <v>5</v>
      </c>
      <c r="B16" s="46">
        <f>Scenarios!C25</f>
        <v>3.2492969125133414E-2</v>
      </c>
      <c r="C16" s="42">
        <f t="shared" ref="C16:K16" si="1">C5</f>
        <v>0.15853561014014847</v>
      </c>
      <c r="D16" s="111">
        <f t="shared" si="1"/>
        <v>0.5243300284996284</v>
      </c>
      <c r="E16" s="112">
        <f t="shared" si="1"/>
        <v>1</v>
      </c>
      <c r="F16" s="112">
        <f t="shared" si="1"/>
        <v>0.94338322745767289</v>
      </c>
      <c r="G16" s="112">
        <f t="shared" si="1"/>
        <v>0.74070013517974964</v>
      </c>
      <c r="H16" s="112">
        <f t="shared" si="1"/>
        <v>0.74187676376193956</v>
      </c>
      <c r="I16" s="112">
        <f t="shared" si="1"/>
        <v>0.60846903584875156</v>
      </c>
      <c r="J16" s="112">
        <f t="shared" si="1"/>
        <v>0.86668583493806206</v>
      </c>
      <c r="K16" s="113">
        <f t="shared" si="1"/>
        <v>0.86259221475724557</v>
      </c>
    </row>
    <row r="17" spans="1:12">
      <c r="A17" s="41" t="s">
        <v>6</v>
      </c>
      <c r="B17" s="46">
        <f>Scenarios!C26</f>
        <v>1.45681608513176E-2</v>
      </c>
      <c r="C17" s="42">
        <f t="shared" ref="C17:K17" si="2">C6</f>
        <v>0.16217253275473525</v>
      </c>
      <c r="D17" s="111">
        <f t="shared" si="2"/>
        <v>0.50486215833038939</v>
      </c>
      <c r="E17" s="112">
        <f t="shared" si="2"/>
        <v>0.943383227457673</v>
      </c>
      <c r="F17" s="112">
        <f t="shared" si="2"/>
        <v>1</v>
      </c>
      <c r="G17" s="112">
        <f t="shared" si="2"/>
        <v>0.77223648924957744</v>
      </c>
      <c r="H17" s="112">
        <f t="shared" si="2"/>
        <v>0.79023745754825636</v>
      </c>
      <c r="I17" s="112">
        <f t="shared" si="2"/>
        <v>0.63110682083437419</v>
      </c>
      <c r="J17" s="112">
        <f t="shared" si="2"/>
        <v>0.87120901203593171</v>
      </c>
      <c r="K17" s="113">
        <f t="shared" si="2"/>
        <v>0.86536847063850975</v>
      </c>
    </row>
    <row r="18" spans="1:12">
      <c r="A18" s="41" t="s">
        <v>7</v>
      </c>
      <c r="B18" s="46">
        <f>Scenarios!C27</f>
        <v>-1.272492445230269E-2</v>
      </c>
      <c r="C18" s="42">
        <f t="shared" ref="C18:K18" si="3">C7</f>
        <v>0.28718972670468956</v>
      </c>
      <c r="D18" s="111">
        <f t="shared" si="3"/>
        <v>0.2548754029721732</v>
      </c>
      <c r="E18" s="112">
        <f t="shared" si="3"/>
        <v>0.74070013517974975</v>
      </c>
      <c r="F18" s="112">
        <f t="shared" si="3"/>
        <v>0.77223648924957744</v>
      </c>
      <c r="G18" s="112">
        <f t="shared" si="3"/>
        <v>1</v>
      </c>
      <c r="H18" s="112">
        <f t="shared" si="3"/>
        <v>0.81106497730540505</v>
      </c>
      <c r="I18" s="112">
        <f t="shared" si="3"/>
        <v>0.69909036020626758</v>
      </c>
      <c r="J18" s="112">
        <f t="shared" si="3"/>
        <v>0.74571542163255744</v>
      </c>
      <c r="K18" s="113">
        <f t="shared" si="3"/>
        <v>0.88603334197313832</v>
      </c>
    </row>
    <row r="19" spans="1:12">
      <c r="A19" s="41" t="s">
        <v>8</v>
      </c>
      <c r="B19" s="46">
        <f>Scenarios!C28</f>
        <v>5.7893485302571407E-2</v>
      </c>
      <c r="C19" s="42">
        <f t="shared" ref="C19:K19" si="4">C8</f>
        <v>0.29616397669669142</v>
      </c>
      <c r="D19" s="111">
        <f t="shared" si="4"/>
        <v>0.29680815083804063</v>
      </c>
      <c r="E19" s="112">
        <f t="shared" si="4"/>
        <v>0.74187676376193967</v>
      </c>
      <c r="F19" s="112">
        <f t="shared" si="4"/>
        <v>0.79023745754825636</v>
      </c>
      <c r="G19" s="112">
        <f t="shared" si="4"/>
        <v>0.81106497730540505</v>
      </c>
      <c r="H19" s="112">
        <f t="shared" si="4"/>
        <v>0.99999999999999978</v>
      </c>
      <c r="I19" s="112">
        <f t="shared" si="4"/>
        <v>0.63944069654526292</v>
      </c>
      <c r="J19" s="112">
        <f t="shared" si="4"/>
        <v>0.64591301484464436</v>
      </c>
      <c r="K19" s="113">
        <f t="shared" si="4"/>
        <v>0.78448428807756676</v>
      </c>
    </row>
    <row r="20" spans="1:12">
      <c r="A20" s="41" t="s">
        <v>9</v>
      </c>
      <c r="B20" s="46">
        <f>Scenarios!C29</f>
        <v>7.1858480605475325E-2</v>
      </c>
      <c r="C20" s="42">
        <f t="shared" ref="C20:K20" si="5">C9</f>
        <v>0.32648216646211403</v>
      </c>
      <c r="D20" s="111">
        <f t="shared" si="5"/>
        <v>0.25154461105240938</v>
      </c>
      <c r="E20" s="112">
        <f t="shared" si="5"/>
        <v>0.60846903584875167</v>
      </c>
      <c r="F20" s="112">
        <f t="shared" si="5"/>
        <v>0.6311068208343743</v>
      </c>
      <c r="G20" s="112">
        <f t="shared" si="5"/>
        <v>0.69909036020626758</v>
      </c>
      <c r="H20" s="112">
        <f t="shared" si="5"/>
        <v>0.63944069654526281</v>
      </c>
      <c r="I20" s="112">
        <f t="shared" si="5"/>
        <v>0.99999999999999978</v>
      </c>
      <c r="J20" s="112">
        <f t="shared" si="5"/>
        <v>0.57555638609831095</v>
      </c>
      <c r="K20" s="113">
        <f t="shared" si="5"/>
        <v>0.6706441294402975</v>
      </c>
    </row>
    <row r="21" spans="1:12">
      <c r="A21" s="41" t="s">
        <v>10</v>
      </c>
      <c r="B21" s="46">
        <f>Scenarios!C30</f>
        <v>1.8730269708989476E-2</v>
      </c>
      <c r="C21" s="42">
        <f t="shared" ref="C21:K21" si="6">C10</f>
        <v>0.16076897495152093</v>
      </c>
      <c r="D21" s="111">
        <f t="shared" si="6"/>
        <v>0.48821318968101907</v>
      </c>
      <c r="E21" s="112">
        <f t="shared" si="6"/>
        <v>0.86668583493806206</v>
      </c>
      <c r="F21" s="112">
        <f t="shared" si="6"/>
        <v>0.87120901203593182</v>
      </c>
      <c r="G21" s="112">
        <f t="shared" si="6"/>
        <v>0.74571542163255744</v>
      </c>
      <c r="H21" s="112">
        <f t="shared" si="6"/>
        <v>0.64591301484464425</v>
      </c>
      <c r="I21" s="112">
        <f t="shared" si="6"/>
        <v>0.57555638609831083</v>
      </c>
      <c r="J21" s="112">
        <f t="shared" si="6"/>
        <v>1.0000000000000002</v>
      </c>
      <c r="K21" s="113">
        <f t="shared" si="6"/>
        <v>0.79740125449060317</v>
      </c>
    </row>
    <row r="22" spans="1:12" ht="13.5" thickBot="1">
      <c r="A22" s="43" t="s">
        <v>11</v>
      </c>
      <c r="B22" s="47">
        <f>Scenarios!C31</f>
        <v>-5.9825766089863959E-3</v>
      </c>
      <c r="C22" s="44">
        <f t="shared" ref="C22:K22" si="7">C11</f>
        <v>0.20064050365322861</v>
      </c>
      <c r="D22" s="114">
        <f t="shared" si="7"/>
        <v>0.39542795937264957</v>
      </c>
      <c r="E22" s="115">
        <f t="shared" si="7"/>
        <v>0.86259221475724557</v>
      </c>
      <c r="F22" s="115">
        <f t="shared" si="7"/>
        <v>0.86536847063850963</v>
      </c>
      <c r="G22" s="115">
        <f t="shared" si="7"/>
        <v>0.88603334197313832</v>
      </c>
      <c r="H22" s="115">
        <f t="shared" si="7"/>
        <v>0.78448428807756676</v>
      </c>
      <c r="I22" s="115">
        <f t="shared" si="7"/>
        <v>0.67064412944029761</v>
      </c>
      <c r="J22" s="115">
        <f t="shared" si="7"/>
        <v>0.79740125449060328</v>
      </c>
      <c r="K22" s="116">
        <f t="shared" si="7"/>
        <v>1.0000000000000002</v>
      </c>
    </row>
    <row r="24" spans="1:12" ht="13.5" thickBot="1"/>
    <row r="25" spans="1:12" ht="13.5" thickBot="1">
      <c r="A25" s="45" t="str">
        <f>Scenarios!D23</f>
        <v>Base - muddle down</v>
      </c>
      <c r="B25" s="39" t="s">
        <v>1</v>
      </c>
      <c r="C25" s="40" t="s">
        <v>2</v>
      </c>
      <c r="D25" s="372" t="s">
        <v>3</v>
      </c>
      <c r="E25" s="373"/>
      <c r="F25" s="373"/>
      <c r="G25" s="373"/>
      <c r="H25" s="373"/>
      <c r="I25" s="373"/>
      <c r="J25" s="373"/>
      <c r="K25" s="374"/>
    </row>
    <row r="26" spans="1:12">
      <c r="A26" s="41" t="s">
        <v>4</v>
      </c>
      <c r="B26" s="46">
        <f>Scenarios!D24</f>
        <v>-1.0761362748873404E-3</v>
      </c>
      <c r="C26" s="243">
        <f>C4</f>
        <v>4.345014939985381E-2</v>
      </c>
      <c r="D26" s="249">
        <f t="shared" ref="D26:K26" si="8">D4</f>
        <v>0.99999999999999989</v>
      </c>
      <c r="E26" s="250">
        <f t="shared" si="8"/>
        <v>0.52433002849962862</v>
      </c>
      <c r="F26" s="250">
        <f t="shared" si="8"/>
        <v>0.50486215833038961</v>
      </c>
      <c r="G26" s="250">
        <f t="shared" si="8"/>
        <v>0.25487540297217309</v>
      </c>
      <c r="H26" s="250">
        <f t="shared" si="8"/>
        <v>0.29680815083804041</v>
      </c>
      <c r="I26" s="250">
        <f t="shared" si="8"/>
        <v>0.25154461105240933</v>
      </c>
      <c r="J26" s="250">
        <f t="shared" si="8"/>
        <v>0.48821318968101901</v>
      </c>
      <c r="K26" s="251">
        <f t="shared" si="8"/>
        <v>0.39542795937264941</v>
      </c>
      <c r="L26" s="239" t="s">
        <v>120</v>
      </c>
    </row>
    <row r="27" spans="1:12">
      <c r="A27" s="41" t="s">
        <v>5</v>
      </c>
      <c r="B27" s="46">
        <f>Scenarios!D25</f>
        <v>-8.65324500372157E-2</v>
      </c>
      <c r="C27" s="243">
        <f t="shared" ref="C27:K27" si="9">C5</f>
        <v>0.15853561014014847</v>
      </c>
      <c r="D27" s="249">
        <f t="shared" si="9"/>
        <v>0.5243300284996284</v>
      </c>
      <c r="E27" s="250">
        <f t="shared" si="9"/>
        <v>1</v>
      </c>
      <c r="F27" s="250">
        <f t="shared" si="9"/>
        <v>0.94338322745767289</v>
      </c>
      <c r="G27" s="250">
        <f t="shared" si="9"/>
        <v>0.74070013517974964</v>
      </c>
      <c r="H27" s="250">
        <f t="shared" si="9"/>
        <v>0.74187676376193956</v>
      </c>
      <c r="I27" s="250">
        <f t="shared" si="9"/>
        <v>0.60846903584875156</v>
      </c>
      <c r="J27" s="250">
        <f t="shared" si="9"/>
        <v>0.86668583493806206</v>
      </c>
      <c r="K27" s="251">
        <f t="shared" si="9"/>
        <v>0.86259221475724557</v>
      </c>
    </row>
    <row r="28" spans="1:12">
      <c r="A28" s="41" t="s">
        <v>6</v>
      </c>
      <c r="B28" s="46">
        <f>Scenarios!D26</f>
        <v>-2.1111513867647543E-2</v>
      </c>
      <c r="C28" s="243">
        <f t="shared" ref="C28:K28" si="10">C6</f>
        <v>0.16217253275473525</v>
      </c>
      <c r="D28" s="249">
        <f t="shared" si="10"/>
        <v>0.50486215833038939</v>
      </c>
      <c r="E28" s="250">
        <f t="shared" si="10"/>
        <v>0.943383227457673</v>
      </c>
      <c r="F28" s="250">
        <f t="shared" si="10"/>
        <v>1</v>
      </c>
      <c r="G28" s="250">
        <f t="shared" si="10"/>
        <v>0.77223648924957744</v>
      </c>
      <c r="H28" s="250">
        <f t="shared" si="10"/>
        <v>0.79023745754825636</v>
      </c>
      <c r="I28" s="250">
        <f t="shared" si="10"/>
        <v>0.63110682083437419</v>
      </c>
      <c r="J28" s="250">
        <f t="shared" si="10"/>
        <v>0.87120901203593171</v>
      </c>
      <c r="K28" s="251">
        <f t="shared" si="10"/>
        <v>0.86536847063850975</v>
      </c>
    </row>
    <row r="29" spans="1:12">
      <c r="A29" s="41" t="s">
        <v>7</v>
      </c>
      <c r="B29" s="46">
        <f>Scenarios!D27</f>
        <v>-0.19311368459773193</v>
      </c>
      <c r="C29" s="243">
        <f t="shared" ref="C29:K29" si="11">C7</f>
        <v>0.28718972670468956</v>
      </c>
      <c r="D29" s="249">
        <f t="shared" si="11"/>
        <v>0.2548754029721732</v>
      </c>
      <c r="E29" s="250">
        <f t="shared" si="11"/>
        <v>0.74070013517974975</v>
      </c>
      <c r="F29" s="250">
        <f t="shared" si="11"/>
        <v>0.77223648924957744</v>
      </c>
      <c r="G29" s="250">
        <f t="shared" si="11"/>
        <v>1</v>
      </c>
      <c r="H29" s="250">
        <f t="shared" si="11"/>
        <v>0.81106497730540505</v>
      </c>
      <c r="I29" s="250">
        <f t="shared" si="11"/>
        <v>0.69909036020626758</v>
      </c>
      <c r="J29" s="250">
        <f t="shared" si="11"/>
        <v>0.74571542163255744</v>
      </c>
      <c r="K29" s="251">
        <f t="shared" si="11"/>
        <v>0.88603334197313832</v>
      </c>
    </row>
    <row r="30" spans="1:12">
      <c r="A30" s="41" t="s">
        <v>8</v>
      </c>
      <c r="B30" s="46">
        <f>Scenarios!D28</f>
        <v>-6.9261756645690273E-2</v>
      </c>
      <c r="C30" s="243">
        <f t="shared" ref="C30:K30" si="12">C8</f>
        <v>0.29616397669669142</v>
      </c>
      <c r="D30" s="249">
        <f t="shared" si="12"/>
        <v>0.29680815083804063</v>
      </c>
      <c r="E30" s="250">
        <f t="shared" si="12"/>
        <v>0.74187676376193967</v>
      </c>
      <c r="F30" s="250">
        <f t="shared" si="12"/>
        <v>0.79023745754825636</v>
      </c>
      <c r="G30" s="250">
        <f t="shared" si="12"/>
        <v>0.81106497730540505</v>
      </c>
      <c r="H30" s="250">
        <f t="shared" si="12"/>
        <v>0.99999999999999978</v>
      </c>
      <c r="I30" s="250">
        <f t="shared" si="12"/>
        <v>0.63944069654526292</v>
      </c>
      <c r="J30" s="250">
        <f t="shared" si="12"/>
        <v>0.64591301484464436</v>
      </c>
      <c r="K30" s="251">
        <f t="shared" si="12"/>
        <v>0.78448428807756676</v>
      </c>
    </row>
    <row r="31" spans="1:12">
      <c r="A31" s="41" t="s">
        <v>9</v>
      </c>
      <c r="B31" s="46">
        <f>Scenarios!D29</f>
        <v>1.202667991596415E-2</v>
      </c>
      <c r="C31" s="243">
        <f t="shared" ref="C31:K31" si="13">C9</f>
        <v>0.32648216646211403</v>
      </c>
      <c r="D31" s="249">
        <f t="shared" si="13"/>
        <v>0.25154461105240938</v>
      </c>
      <c r="E31" s="250">
        <f t="shared" si="13"/>
        <v>0.60846903584875167</v>
      </c>
      <c r="F31" s="250">
        <f t="shared" si="13"/>
        <v>0.6311068208343743</v>
      </c>
      <c r="G31" s="250">
        <f t="shared" si="13"/>
        <v>0.69909036020626758</v>
      </c>
      <c r="H31" s="250">
        <f t="shared" si="13"/>
        <v>0.63944069654526281</v>
      </c>
      <c r="I31" s="250">
        <f t="shared" si="13"/>
        <v>0.99999999999999978</v>
      </c>
      <c r="J31" s="250">
        <f t="shared" si="13"/>
        <v>0.57555638609831095</v>
      </c>
      <c r="K31" s="251">
        <f t="shared" si="13"/>
        <v>0.6706441294402975</v>
      </c>
    </row>
    <row r="32" spans="1:12">
      <c r="A32" s="41" t="s">
        <v>10</v>
      </c>
      <c r="B32" s="46">
        <f>Scenarios!D30</f>
        <v>-4.6790508294452839E-2</v>
      </c>
      <c r="C32" s="243">
        <f t="shared" ref="C32:K32" si="14">C10</f>
        <v>0.16076897495152093</v>
      </c>
      <c r="D32" s="249">
        <f t="shared" si="14"/>
        <v>0.48821318968101907</v>
      </c>
      <c r="E32" s="250">
        <f t="shared" si="14"/>
        <v>0.86668583493806206</v>
      </c>
      <c r="F32" s="250">
        <f t="shared" si="14"/>
        <v>0.87120901203593182</v>
      </c>
      <c r="G32" s="250">
        <f t="shared" si="14"/>
        <v>0.74571542163255744</v>
      </c>
      <c r="H32" s="250">
        <f t="shared" si="14"/>
        <v>0.64591301484464425</v>
      </c>
      <c r="I32" s="250">
        <f t="shared" si="14"/>
        <v>0.57555638609831083</v>
      </c>
      <c r="J32" s="250">
        <f t="shared" si="14"/>
        <v>1.0000000000000002</v>
      </c>
      <c r="K32" s="251">
        <f t="shared" si="14"/>
        <v>0.79740125449060317</v>
      </c>
    </row>
    <row r="33" spans="1:12" ht="13.5" thickBot="1">
      <c r="A33" s="43" t="s">
        <v>11</v>
      </c>
      <c r="B33" s="47">
        <f>Scenarios!D31</f>
        <v>-0.13956067047136589</v>
      </c>
      <c r="C33" s="246">
        <f t="shared" ref="C33:K33" si="15">C11</f>
        <v>0.20064050365322861</v>
      </c>
      <c r="D33" s="252">
        <f t="shared" si="15"/>
        <v>0.39542795937264957</v>
      </c>
      <c r="E33" s="253">
        <f t="shared" si="15"/>
        <v>0.86259221475724557</v>
      </c>
      <c r="F33" s="253">
        <f t="shared" si="15"/>
        <v>0.86536847063850963</v>
      </c>
      <c r="G33" s="253">
        <f t="shared" si="15"/>
        <v>0.88603334197313832</v>
      </c>
      <c r="H33" s="253">
        <f t="shared" si="15"/>
        <v>0.78448428807756676</v>
      </c>
      <c r="I33" s="253">
        <f t="shared" si="15"/>
        <v>0.67064412944029761</v>
      </c>
      <c r="J33" s="253">
        <f t="shared" si="15"/>
        <v>0.79740125449060328</v>
      </c>
      <c r="K33" s="254">
        <f t="shared" si="15"/>
        <v>1.0000000000000002</v>
      </c>
    </row>
    <row r="35" spans="1:12" ht="13.5" thickBot="1"/>
    <row r="36" spans="1:12" ht="13.5" thickBot="1">
      <c r="A36" s="45" t="str">
        <f>Scenarios!E23</f>
        <v>Base - muddle up</v>
      </c>
      <c r="B36" s="39" t="s">
        <v>1</v>
      </c>
      <c r="C36" s="40" t="s">
        <v>2</v>
      </c>
      <c r="D36" s="372" t="s">
        <v>3</v>
      </c>
      <c r="E36" s="373"/>
      <c r="F36" s="373"/>
      <c r="G36" s="373"/>
      <c r="H36" s="373"/>
      <c r="I36" s="373"/>
      <c r="J36" s="373"/>
      <c r="K36" s="374"/>
    </row>
    <row r="37" spans="1:12">
      <c r="A37" s="41" t="s">
        <v>4</v>
      </c>
      <c r="B37" s="46">
        <f>Scenarios!E24</f>
        <v>-3.4179872754884488E-3</v>
      </c>
      <c r="C37" s="243">
        <f t="shared" ref="C37:K37" si="16">C15</f>
        <v>4.345014939985381E-2</v>
      </c>
      <c r="D37" s="249">
        <f t="shared" si="16"/>
        <v>0.99999999999999989</v>
      </c>
      <c r="E37" s="250">
        <f t="shared" si="16"/>
        <v>0.52433002849962862</v>
      </c>
      <c r="F37" s="250">
        <f t="shared" si="16"/>
        <v>0.50486215833038961</v>
      </c>
      <c r="G37" s="250">
        <f t="shared" si="16"/>
        <v>0.25487540297217309</v>
      </c>
      <c r="H37" s="250">
        <f t="shared" si="16"/>
        <v>0.29680815083804041</v>
      </c>
      <c r="I37" s="250">
        <f t="shared" si="16"/>
        <v>0.25154461105240933</v>
      </c>
      <c r="J37" s="250">
        <f t="shared" si="16"/>
        <v>0.48821318968101901</v>
      </c>
      <c r="K37" s="251">
        <f t="shared" si="16"/>
        <v>0.39542795937264941</v>
      </c>
      <c r="L37" s="239" t="s">
        <v>120</v>
      </c>
    </row>
    <row r="38" spans="1:12">
      <c r="A38" s="41" t="s">
        <v>5</v>
      </c>
      <c r="B38" s="46">
        <f>Scenarios!E25</f>
        <v>5.1526244290784291E-2</v>
      </c>
      <c r="C38" s="243">
        <f t="shared" ref="C38:K38" si="17">C16</f>
        <v>0.15853561014014847</v>
      </c>
      <c r="D38" s="249">
        <f t="shared" si="17"/>
        <v>0.5243300284996284</v>
      </c>
      <c r="E38" s="250">
        <f t="shared" si="17"/>
        <v>1</v>
      </c>
      <c r="F38" s="250">
        <f t="shared" si="17"/>
        <v>0.94338322745767289</v>
      </c>
      <c r="G38" s="250">
        <f t="shared" si="17"/>
        <v>0.74070013517974964</v>
      </c>
      <c r="H38" s="250">
        <f t="shared" si="17"/>
        <v>0.74187676376193956</v>
      </c>
      <c r="I38" s="250">
        <f t="shared" si="17"/>
        <v>0.60846903584875156</v>
      </c>
      <c r="J38" s="250">
        <f t="shared" si="17"/>
        <v>0.86668583493806206</v>
      </c>
      <c r="K38" s="251">
        <f t="shared" si="17"/>
        <v>0.86259221475724557</v>
      </c>
    </row>
    <row r="39" spans="1:12">
      <c r="A39" s="41" t="s">
        <v>6</v>
      </c>
      <c r="B39" s="46">
        <f>Scenarios!E26</f>
        <v>3.2357333960853253E-3</v>
      </c>
      <c r="C39" s="243">
        <f t="shared" ref="C39:K39" si="18">C17</f>
        <v>0.16217253275473525</v>
      </c>
      <c r="D39" s="249">
        <f t="shared" si="18"/>
        <v>0.50486215833038939</v>
      </c>
      <c r="E39" s="250">
        <f t="shared" si="18"/>
        <v>0.943383227457673</v>
      </c>
      <c r="F39" s="250">
        <f t="shared" si="18"/>
        <v>1</v>
      </c>
      <c r="G39" s="250">
        <f t="shared" si="18"/>
        <v>0.77223648924957744</v>
      </c>
      <c r="H39" s="250">
        <f t="shared" si="18"/>
        <v>0.79023745754825636</v>
      </c>
      <c r="I39" s="250">
        <f t="shared" si="18"/>
        <v>0.63110682083437419</v>
      </c>
      <c r="J39" s="250">
        <f t="shared" si="18"/>
        <v>0.87120901203593171</v>
      </c>
      <c r="K39" s="251">
        <f t="shared" si="18"/>
        <v>0.86536847063850975</v>
      </c>
    </row>
    <row r="40" spans="1:12">
      <c r="A40" s="41" t="s">
        <v>7</v>
      </c>
      <c r="B40" s="46">
        <f>Scenarios!E27</f>
        <v>4.3944352615336905E-2</v>
      </c>
      <c r="C40" s="243">
        <f t="shared" ref="C40:K40" si="19">C18</f>
        <v>0.28718972670468956</v>
      </c>
      <c r="D40" s="249">
        <f t="shared" si="19"/>
        <v>0.2548754029721732</v>
      </c>
      <c r="E40" s="250">
        <f t="shared" si="19"/>
        <v>0.74070013517974975</v>
      </c>
      <c r="F40" s="250">
        <f t="shared" si="19"/>
        <v>0.77223648924957744</v>
      </c>
      <c r="G40" s="250">
        <f t="shared" si="19"/>
        <v>1</v>
      </c>
      <c r="H40" s="250">
        <f t="shared" si="19"/>
        <v>0.81106497730540505</v>
      </c>
      <c r="I40" s="250">
        <f t="shared" si="19"/>
        <v>0.69909036020626758</v>
      </c>
      <c r="J40" s="250">
        <f t="shared" si="19"/>
        <v>0.74571542163255744</v>
      </c>
      <c r="K40" s="251">
        <f t="shared" si="19"/>
        <v>0.88603334197313832</v>
      </c>
    </row>
    <row r="41" spans="1:12">
      <c r="A41" s="41" t="s">
        <v>8</v>
      </c>
      <c r="B41" s="46">
        <f>Scenarios!E28</f>
        <v>7.474963400472559E-2</v>
      </c>
      <c r="C41" s="243">
        <f t="shared" ref="C41:K41" si="20">C19</f>
        <v>0.29616397669669142</v>
      </c>
      <c r="D41" s="249">
        <f t="shared" si="20"/>
        <v>0.29680815083804063</v>
      </c>
      <c r="E41" s="250">
        <f t="shared" si="20"/>
        <v>0.74187676376193967</v>
      </c>
      <c r="F41" s="250">
        <f t="shared" si="20"/>
        <v>0.79023745754825636</v>
      </c>
      <c r="G41" s="250">
        <f t="shared" si="20"/>
        <v>0.81106497730540505</v>
      </c>
      <c r="H41" s="250">
        <f t="shared" si="20"/>
        <v>0.99999999999999978</v>
      </c>
      <c r="I41" s="250">
        <f t="shared" si="20"/>
        <v>0.63944069654526292</v>
      </c>
      <c r="J41" s="250">
        <f t="shared" si="20"/>
        <v>0.64591301484464436</v>
      </c>
      <c r="K41" s="251">
        <f t="shared" si="20"/>
        <v>0.78448428807756676</v>
      </c>
    </row>
    <row r="42" spans="1:12">
      <c r="A42" s="41" t="s">
        <v>9</v>
      </c>
      <c r="B42" s="46">
        <f>Scenarios!E29</f>
        <v>8.5249207175964209E-2</v>
      </c>
      <c r="C42" s="243">
        <f t="shared" ref="C42:K42" si="21">C20</f>
        <v>0.32648216646211403</v>
      </c>
      <c r="D42" s="249">
        <f t="shared" si="21"/>
        <v>0.25154461105240938</v>
      </c>
      <c r="E42" s="250">
        <f t="shared" si="21"/>
        <v>0.60846903584875167</v>
      </c>
      <c r="F42" s="250">
        <f t="shared" si="21"/>
        <v>0.6311068208343743</v>
      </c>
      <c r="G42" s="250">
        <f t="shared" si="21"/>
        <v>0.69909036020626758</v>
      </c>
      <c r="H42" s="250">
        <f t="shared" si="21"/>
        <v>0.63944069654526281</v>
      </c>
      <c r="I42" s="250">
        <f t="shared" si="21"/>
        <v>0.99999999999999978</v>
      </c>
      <c r="J42" s="250">
        <f t="shared" si="21"/>
        <v>0.57555638609831095</v>
      </c>
      <c r="K42" s="251">
        <f t="shared" si="21"/>
        <v>0.6706441294402975</v>
      </c>
    </row>
    <row r="43" spans="1:12">
      <c r="A43" s="41" t="s">
        <v>10</v>
      </c>
      <c r="B43" s="46">
        <f>Scenarios!E30</f>
        <v>1.8215216611987023E-2</v>
      </c>
      <c r="C43" s="243">
        <f t="shared" ref="C43:K43" si="22">C21</f>
        <v>0.16076897495152093</v>
      </c>
      <c r="D43" s="249">
        <f t="shared" si="22"/>
        <v>0.48821318968101907</v>
      </c>
      <c r="E43" s="250">
        <f t="shared" si="22"/>
        <v>0.86668583493806206</v>
      </c>
      <c r="F43" s="250">
        <f t="shared" si="22"/>
        <v>0.87120901203593182</v>
      </c>
      <c r="G43" s="250">
        <f t="shared" si="22"/>
        <v>0.74571542163255744</v>
      </c>
      <c r="H43" s="250">
        <f t="shared" si="22"/>
        <v>0.64591301484464425</v>
      </c>
      <c r="I43" s="250">
        <f t="shared" si="22"/>
        <v>0.57555638609831083</v>
      </c>
      <c r="J43" s="250">
        <f t="shared" si="22"/>
        <v>1.0000000000000002</v>
      </c>
      <c r="K43" s="251">
        <f t="shared" si="22"/>
        <v>0.79740125449060317</v>
      </c>
    </row>
    <row r="44" spans="1:12" ht="13.5" thickBot="1">
      <c r="A44" s="43" t="s">
        <v>11</v>
      </c>
      <c r="B44" s="47">
        <f>Scenarios!E31</f>
        <v>2.7964399001126676E-2</v>
      </c>
      <c r="C44" s="246">
        <f t="shared" ref="C44:K44" si="23">C22</f>
        <v>0.20064050365322861</v>
      </c>
      <c r="D44" s="252">
        <f t="shared" si="23"/>
        <v>0.39542795937264957</v>
      </c>
      <c r="E44" s="253">
        <f t="shared" si="23"/>
        <v>0.86259221475724557</v>
      </c>
      <c r="F44" s="253">
        <f t="shared" si="23"/>
        <v>0.86536847063850963</v>
      </c>
      <c r="G44" s="253">
        <f t="shared" si="23"/>
        <v>0.88603334197313832</v>
      </c>
      <c r="H44" s="253">
        <f t="shared" si="23"/>
        <v>0.78448428807756676</v>
      </c>
      <c r="I44" s="253">
        <f t="shared" si="23"/>
        <v>0.67064412944029761</v>
      </c>
      <c r="J44" s="253">
        <f t="shared" si="23"/>
        <v>0.79740125449060328</v>
      </c>
      <c r="K44" s="254">
        <f t="shared" si="23"/>
        <v>1.0000000000000002</v>
      </c>
    </row>
    <row r="46" spans="1:12" ht="13.5" thickBot="1"/>
    <row r="47" spans="1:12" ht="13.5" thickBot="1">
      <c r="A47" s="45" t="str">
        <f>Scenarios!F23</f>
        <v>Bear case</v>
      </c>
      <c r="B47" s="39" t="s">
        <v>1</v>
      </c>
      <c r="C47" s="232" t="s">
        <v>2</v>
      </c>
      <c r="D47" s="375" t="s">
        <v>3</v>
      </c>
      <c r="E47" s="376"/>
      <c r="F47" s="376"/>
      <c r="G47" s="376"/>
      <c r="H47" s="376"/>
      <c r="I47" s="376"/>
      <c r="J47" s="376"/>
      <c r="K47" s="377"/>
    </row>
    <row r="48" spans="1:12">
      <c r="A48" s="41" t="s">
        <v>4</v>
      </c>
      <c r="B48" s="230">
        <f>Scenarios!F24</f>
        <v>-2.5720358328627513E-2</v>
      </c>
      <c r="C48" s="233">
        <v>6.2230972955435157E-2</v>
      </c>
      <c r="D48" s="281">
        <v>1</v>
      </c>
      <c r="E48" s="282">
        <v>0.47102969549764873</v>
      </c>
      <c r="F48" s="282">
        <v>0.44102598120003672</v>
      </c>
      <c r="G48" s="282">
        <v>0.1916139221868596</v>
      </c>
      <c r="H48" s="282">
        <v>0.24756676138433611</v>
      </c>
      <c r="I48" s="282">
        <v>0.1747091736012199</v>
      </c>
      <c r="J48" s="282">
        <v>0.43690863222333309</v>
      </c>
      <c r="K48" s="283">
        <v>0.33880552794512614</v>
      </c>
      <c r="L48" s="36" t="s">
        <v>125</v>
      </c>
    </row>
    <row r="49" spans="1:13">
      <c r="A49" s="41" t="s">
        <v>5</v>
      </c>
      <c r="B49" s="230">
        <f>Scenarios!F25</f>
        <v>-0.43934344866388231</v>
      </c>
      <c r="C49" s="229">
        <v>0.22813368702469963</v>
      </c>
      <c r="D49" s="275">
        <v>0.47102969549764873</v>
      </c>
      <c r="E49" s="276">
        <v>1.0000000000000002</v>
      </c>
      <c r="F49" s="276">
        <v>0.93822360415104178</v>
      </c>
      <c r="G49" s="276">
        <v>0.75326025420376108</v>
      </c>
      <c r="H49" s="276">
        <v>0.73352486795767102</v>
      </c>
      <c r="I49" s="276">
        <v>0.63359529390296199</v>
      </c>
      <c r="J49" s="276">
        <v>0.87098619109423425</v>
      </c>
      <c r="K49" s="277">
        <v>0.87135999187444568</v>
      </c>
    </row>
    <row r="50" spans="1:13">
      <c r="A50" s="41" t="s">
        <v>6</v>
      </c>
      <c r="B50" s="230">
        <f>Scenarios!F26</f>
        <v>-0.41802644813429485</v>
      </c>
      <c r="C50" s="229">
        <v>0.23612462727275424</v>
      </c>
      <c r="D50" s="275">
        <v>0.44102598120003672</v>
      </c>
      <c r="E50" s="276">
        <v>0.93822360415104189</v>
      </c>
      <c r="F50" s="276">
        <v>1.0000000000000002</v>
      </c>
      <c r="G50" s="276">
        <v>0.79963015318153241</v>
      </c>
      <c r="H50" s="276">
        <v>0.78704984484445428</v>
      </c>
      <c r="I50" s="276">
        <v>0.6705837763066671</v>
      </c>
      <c r="J50" s="276">
        <v>0.87302411710056305</v>
      </c>
      <c r="K50" s="277">
        <v>0.89106747178031864</v>
      </c>
    </row>
    <row r="51" spans="1:13">
      <c r="A51" s="41" t="s">
        <v>7</v>
      </c>
      <c r="B51" s="230">
        <f>Scenarios!F27</f>
        <v>-0.5992014650452413</v>
      </c>
      <c r="C51" s="229">
        <v>0.41877013863949536</v>
      </c>
      <c r="D51" s="275">
        <v>0.19161392218685974</v>
      </c>
      <c r="E51" s="276">
        <v>0.75326025420376086</v>
      </c>
      <c r="F51" s="276">
        <v>0.79963015318153241</v>
      </c>
      <c r="G51" s="276">
        <v>1</v>
      </c>
      <c r="H51" s="276">
        <v>0.80812183743359234</v>
      </c>
      <c r="I51" s="276">
        <v>0.70238919189824067</v>
      </c>
      <c r="J51" s="276">
        <v>0.80604385760605091</v>
      </c>
      <c r="K51" s="277">
        <v>0.88086813992686197</v>
      </c>
    </row>
    <row r="52" spans="1:13">
      <c r="A52" s="41" t="s">
        <v>8</v>
      </c>
      <c r="B52" s="230">
        <f>Scenarios!F28</f>
        <v>-0.42661422498990775</v>
      </c>
      <c r="C52" s="229">
        <v>0.43715930361035565</v>
      </c>
      <c r="D52" s="275">
        <v>0.24756676138433592</v>
      </c>
      <c r="E52" s="276">
        <v>0.73352486795767102</v>
      </c>
      <c r="F52" s="276">
        <v>0.78704984484445417</v>
      </c>
      <c r="G52" s="276">
        <v>0.80812183743359234</v>
      </c>
      <c r="H52" s="276">
        <v>1</v>
      </c>
      <c r="I52" s="276">
        <v>0.6227307997578343</v>
      </c>
      <c r="J52" s="276">
        <v>0.64969582874157039</v>
      </c>
      <c r="K52" s="277">
        <v>0.77520880186806285</v>
      </c>
    </row>
    <row r="53" spans="1:13">
      <c r="A53" s="41" t="s">
        <v>9</v>
      </c>
      <c r="B53" s="230">
        <f>Scenarios!F29</f>
        <v>-0.52128297967070236</v>
      </c>
      <c r="C53" s="229">
        <v>0.49612218939856001</v>
      </c>
      <c r="D53" s="275">
        <v>0.17470917360121993</v>
      </c>
      <c r="E53" s="276">
        <v>0.63359529390296199</v>
      </c>
      <c r="F53" s="276">
        <v>0.67058377630666699</v>
      </c>
      <c r="G53" s="276">
        <v>0.70238919189824078</v>
      </c>
      <c r="H53" s="276">
        <v>0.6227307997578343</v>
      </c>
      <c r="I53" s="276">
        <v>0.99999999999999989</v>
      </c>
      <c r="J53" s="276">
        <v>0.64379087144854052</v>
      </c>
      <c r="K53" s="277">
        <v>0.65952840986787564</v>
      </c>
    </row>
    <row r="54" spans="1:13">
      <c r="A54" s="41" t="s">
        <v>10</v>
      </c>
      <c r="B54" s="230">
        <f>Scenarios!F30</f>
        <v>-0.25630468560846492</v>
      </c>
      <c r="C54" s="229">
        <v>0.22513334484340575</v>
      </c>
      <c r="D54" s="275">
        <v>0.43690863222333315</v>
      </c>
      <c r="E54" s="276">
        <v>0.87098619109423403</v>
      </c>
      <c r="F54" s="276">
        <v>0.87302411710056305</v>
      </c>
      <c r="G54" s="276">
        <v>0.80604385760605068</v>
      </c>
      <c r="H54" s="276">
        <v>0.6496958287415705</v>
      </c>
      <c r="I54" s="276">
        <v>0.64379087144854041</v>
      </c>
      <c r="J54" s="276">
        <v>1.0000000000000002</v>
      </c>
      <c r="K54" s="277">
        <v>0.86491136423250092</v>
      </c>
    </row>
    <row r="55" spans="1:13" ht="13.5" thickBot="1">
      <c r="A55" s="43" t="s">
        <v>11</v>
      </c>
      <c r="B55" s="231">
        <f>Scenarios!F31</f>
        <v>-0.45200242221105646</v>
      </c>
      <c r="C55" s="234">
        <v>0.28443486592153544</v>
      </c>
      <c r="D55" s="278">
        <v>0.33880552794512614</v>
      </c>
      <c r="E55" s="279">
        <v>0.87135999187444568</v>
      </c>
      <c r="F55" s="279">
        <v>0.89106747178031853</v>
      </c>
      <c r="G55" s="279">
        <v>0.88086813992686197</v>
      </c>
      <c r="H55" s="279">
        <v>0.77520880186806285</v>
      </c>
      <c r="I55" s="279">
        <v>0.65952840986787553</v>
      </c>
      <c r="J55" s="279">
        <v>0.86491136423250081</v>
      </c>
      <c r="K55" s="280">
        <v>1</v>
      </c>
    </row>
    <row r="56" spans="1:13">
      <c r="A56" s="207"/>
      <c r="B56" s="208"/>
      <c r="C56" s="209"/>
      <c r="D56" s="112"/>
      <c r="E56" s="112"/>
      <c r="F56" s="112"/>
      <c r="G56" s="112"/>
      <c r="H56" s="112"/>
      <c r="I56" s="112"/>
      <c r="J56" s="112"/>
      <c r="K56" s="112"/>
    </row>
    <row r="57" spans="1:13" ht="13.5" thickBot="1"/>
    <row r="58" spans="1:13" ht="13.5" thickBot="1">
      <c r="A58" s="45" t="str">
        <f>Scenarios!G23</f>
        <v>Tail risk</v>
      </c>
      <c r="B58" s="39" t="s">
        <v>1</v>
      </c>
      <c r="C58" s="204" t="s">
        <v>2</v>
      </c>
      <c r="D58" s="372" t="s">
        <v>3</v>
      </c>
      <c r="E58" s="373"/>
      <c r="F58" s="373"/>
      <c r="G58" s="373"/>
      <c r="H58" s="373"/>
      <c r="I58" s="373"/>
      <c r="J58" s="373"/>
      <c r="K58" s="374"/>
      <c r="M58" s="78"/>
    </row>
    <row r="59" spans="1:13">
      <c r="A59" s="41" t="s">
        <v>4</v>
      </c>
      <c r="B59" s="46">
        <f>Scenarios!G24</f>
        <v>-0.26287574291051119</v>
      </c>
      <c r="C59" s="229">
        <v>9.0618112702252188E-2</v>
      </c>
      <c r="D59" s="275">
        <v>1</v>
      </c>
      <c r="E59" s="276">
        <v>0.57085300818064821</v>
      </c>
      <c r="F59" s="276">
        <v>0.51590317152054344</v>
      </c>
      <c r="G59" s="276">
        <v>0.22543235061374906</v>
      </c>
      <c r="H59" s="276">
        <v>0.30482733339870521</v>
      </c>
      <c r="I59" s="276">
        <v>0.1877131252242237</v>
      </c>
      <c r="J59" s="276">
        <v>0.56475392912687616</v>
      </c>
      <c r="K59" s="277">
        <v>0.42620353457974319</v>
      </c>
      <c r="L59" s="36" t="s">
        <v>121</v>
      </c>
      <c r="M59" s="78"/>
    </row>
    <row r="60" spans="1:13">
      <c r="A60" s="41" t="s">
        <v>5</v>
      </c>
      <c r="B60" s="46">
        <f>Scenarios!G25</f>
        <v>-0.41627425662388229</v>
      </c>
      <c r="C60" s="229">
        <v>0.31486528648887419</v>
      </c>
      <c r="D60" s="275">
        <v>0.57085300818064832</v>
      </c>
      <c r="E60" s="276">
        <v>0.99999999999999978</v>
      </c>
      <c r="F60" s="276">
        <v>0.92670220027648009</v>
      </c>
      <c r="G60" s="276">
        <v>0.70556983049672706</v>
      </c>
      <c r="H60" s="276">
        <v>0.73729250351193587</v>
      </c>
      <c r="I60" s="276">
        <v>0.60792613623167058</v>
      </c>
      <c r="J60" s="276">
        <v>0.86315016289079405</v>
      </c>
      <c r="K60" s="277">
        <v>0.86742743262167787</v>
      </c>
      <c r="M60" s="78"/>
    </row>
    <row r="61" spans="1:13">
      <c r="A61" s="41" t="s">
        <v>6</v>
      </c>
      <c r="B61" s="46">
        <f>Scenarios!G26</f>
        <v>-0.17149574156312622</v>
      </c>
      <c r="C61" s="229">
        <v>0.33563157880530137</v>
      </c>
      <c r="D61" s="275">
        <v>0.51590317152054366</v>
      </c>
      <c r="E61" s="276">
        <v>0.92670220027648009</v>
      </c>
      <c r="F61" s="276">
        <v>0.99999999999999989</v>
      </c>
      <c r="G61" s="276">
        <v>0.77735373318815371</v>
      </c>
      <c r="H61" s="276">
        <v>0.80713427036091268</v>
      </c>
      <c r="I61" s="276">
        <v>0.67030879727576365</v>
      </c>
      <c r="J61" s="276">
        <v>0.8684724670306897</v>
      </c>
      <c r="K61" s="277">
        <v>0.8890877543808684</v>
      </c>
      <c r="M61" s="78"/>
    </row>
    <row r="62" spans="1:13">
      <c r="A62" s="41" t="s">
        <v>7</v>
      </c>
      <c r="B62" s="46">
        <f>Scenarios!G27</f>
        <v>-0.47126055414190038</v>
      </c>
      <c r="C62" s="229">
        <v>0.58057822101166678</v>
      </c>
      <c r="D62" s="275">
        <v>0.22543235061374906</v>
      </c>
      <c r="E62" s="276">
        <v>0.70556983049672706</v>
      </c>
      <c r="F62" s="276">
        <v>0.77735373318815371</v>
      </c>
      <c r="G62" s="276">
        <v>1.0000000000000002</v>
      </c>
      <c r="H62" s="276">
        <v>0.82379140885718805</v>
      </c>
      <c r="I62" s="276">
        <v>0.71491859487248288</v>
      </c>
      <c r="J62" s="276">
        <v>0.7945256498620229</v>
      </c>
      <c r="K62" s="277">
        <v>0.86375669090984664</v>
      </c>
      <c r="M62" s="78"/>
    </row>
    <row r="63" spans="1:13">
      <c r="A63" s="41" t="s">
        <v>8</v>
      </c>
      <c r="B63" s="46">
        <f>Scenarios!G28</f>
        <v>-0.26558788944909251</v>
      </c>
      <c r="C63" s="229">
        <v>0.63397873832777574</v>
      </c>
      <c r="D63" s="275">
        <v>0.30482733339870499</v>
      </c>
      <c r="E63" s="276">
        <v>0.73729250351193587</v>
      </c>
      <c r="F63" s="276">
        <v>0.80713427036091279</v>
      </c>
      <c r="G63" s="276">
        <v>0.82379140885718805</v>
      </c>
      <c r="H63" s="276">
        <v>1</v>
      </c>
      <c r="I63" s="276">
        <v>0.66043271027173578</v>
      </c>
      <c r="J63" s="276">
        <v>0.67907866736685552</v>
      </c>
      <c r="K63" s="277">
        <v>0.79157487896608858</v>
      </c>
      <c r="M63" s="78"/>
    </row>
    <row r="64" spans="1:13">
      <c r="A64" s="41" t="s">
        <v>9</v>
      </c>
      <c r="B64" s="46">
        <f>Scenarios!G29</f>
        <v>-0.54077311463070243</v>
      </c>
      <c r="C64" s="229">
        <v>0.67038386164030728</v>
      </c>
      <c r="D64" s="275">
        <v>0.18771312522422376</v>
      </c>
      <c r="E64" s="276">
        <v>0.60792613623167069</v>
      </c>
      <c r="F64" s="276">
        <v>0.67030879727576365</v>
      </c>
      <c r="G64" s="276">
        <v>0.71491859487248288</v>
      </c>
      <c r="H64" s="276">
        <v>0.66043271027173578</v>
      </c>
      <c r="I64" s="276">
        <v>1.0000000000000002</v>
      </c>
      <c r="J64" s="276">
        <v>0.64225367758188689</v>
      </c>
      <c r="K64" s="277">
        <v>0.67366535141540462</v>
      </c>
      <c r="M64" s="78"/>
    </row>
    <row r="65" spans="1:13">
      <c r="A65" s="41" t="s">
        <v>10</v>
      </c>
      <c r="B65" s="46">
        <f>Scenarios!G30</f>
        <v>-6.931471876793301E-3</v>
      </c>
      <c r="C65" s="229">
        <v>0.29165630729321568</v>
      </c>
      <c r="D65" s="275">
        <v>0.56475392912687616</v>
      </c>
      <c r="E65" s="276">
        <v>0.86315016289079405</v>
      </c>
      <c r="F65" s="276">
        <v>0.86847246703068981</v>
      </c>
      <c r="G65" s="276">
        <v>0.7945256498620229</v>
      </c>
      <c r="H65" s="276">
        <v>0.67907866736685563</v>
      </c>
      <c r="I65" s="276">
        <v>0.64225367758188689</v>
      </c>
      <c r="J65" s="276">
        <v>1</v>
      </c>
      <c r="K65" s="277">
        <v>0.89194847086880591</v>
      </c>
      <c r="M65" s="78"/>
    </row>
    <row r="66" spans="1:13" ht="13.5" thickBot="1">
      <c r="A66" s="43" t="s">
        <v>11</v>
      </c>
      <c r="B66" s="47">
        <f>+Scenarios!G31</f>
        <v>-0.48031312669988807</v>
      </c>
      <c r="C66" s="234">
        <v>0.38188039832723164</v>
      </c>
      <c r="D66" s="278">
        <v>0.4262035345797428</v>
      </c>
      <c r="E66" s="279">
        <v>0.86742743262167776</v>
      </c>
      <c r="F66" s="279">
        <v>0.8890877543808684</v>
      </c>
      <c r="G66" s="279">
        <v>0.86375669090984664</v>
      </c>
      <c r="H66" s="279">
        <v>0.79157487896608847</v>
      </c>
      <c r="I66" s="279">
        <v>0.67366535141540462</v>
      </c>
      <c r="J66" s="279">
        <v>0.89194847086880591</v>
      </c>
      <c r="K66" s="280">
        <v>1</v>
      </c>
    </row>
    <row r="67" spans="1:13">
      <c r="A67" s="207"/>
      <c r="B67" s="208"/>
      <c r="C67" s="209"/>
      <c r="D67" s="112"/>
      <c r="E67" s="112"/>
      <c r="F67" s="112"/>
      <c r="G67" s="112"/>
      <c r="H67" s="112"/>
      <c r="I67" s="112"/>
      <c r="J67" s="112"/>
      <c r="K67" s="112"/>
    </row>
    <row r="68" spans="1:13" ht="13.5" thickBot="1">
      <c r="A68" s="78"/>
      <c r="B68" s="78"/>
      <c r="C68" s="78"/>
      <c r="D68" s="78"/>
      <c r="E68" s="78"/>
      <c r="F68" s="78"/>
      <c r="G68" s="78"/>
      <c r="H68" s="78"/>
      <c r="I68" s="78"/>
      <c r="J68" s="78"/>
      <c r="K68" s="78"/>
      <c r="M68" s="78"/>
    </row>
    <row r="69" spans="1:13" ht="13.5" thickBot="1">
      <c r="A69" s="45" t="str">
        <f>Scenarios!H23</f>
        <v>Bull case</v>
      </c>
      <c r="B69" s="39" t="s">
        <v>1</v>
      </c>
      <c r="C69" s="204" t="s">
        <v>2</v>
      </c>
      <c r="D69" s="372" t="s">
        <v>3</v>
      </c>
      <c r="E69" s="373"/>
      <c r="F69" s="373"/>
      <c r="G69" s="373"/>
      <c r="H69" s="373"/>
      <c r="I69" s="373"/>
      <c r="J69" s="373"/>
      <c r="K69" s="374"/>
      <c r="M69" s="78"/>
    </row>
    <row r="70" spans="1:13">
      <c r="A70" s="41" t="s">
        <v>4</v>
      </c>
      <c r="B70" s="46">
        <f>+Scenarios!H24</f>
        <v>-3.2441343963196256E-3</v>
      </c>
      <c r="C70" s="240">
        <f>C48</f>
        <v>6.2230972955435157E-2</v>
      </c>
      <c r="D70" s="241">
        <f t="shared" ref="D70:K70" si="24">D48</f>
        <v>1</v>
      </c>
      <c r="E70" s="241">
        <f t="shared" si="24"/>
        <v>0.47102969549764873</v>
      </c>
      <c r="F70" s="241">
        <f t="shared" si="24"/>
        <v>0.44102598120003672</v>
      </c>
      <c r="G70" s="241">
        <f t="shared" si="24"/>
        <v>0.1916139221868596</v>
      </c>
      <c r="H70" s="241">
        <f t="shared" si="24"/>
        <v>0.24756676138433611</v>
      </c>
      <c r="I70" s="241">
        <f t="shared" si="24"/>
        <v>0.1747091736012199</v>
      </c>
      <c r="J70" s="241">
        <f t="shared" si="24"/>
        <v>0.43690863222333309</v>
      </c>
      <c r="K70" s="242">
        <f t="shared" si="24"/>
        <v>0.33880552794512614</v>
      </c>
      <c r="L70" s="239" t="s">
        <v>122</v>
      </c>
    </row>
    <row r="71" spans="1:13">
      <c r="A71" s="41" t="s">
        <v>5</v>
      </c>
      <c r="B71" s="46">
        <f>+Scenarios!H25</f>
        <v>0.27529934429078429</v>
      </c>
      <c r="C71" s="243">
        <f t="shared" ref="C71:K71" si="25">C49</f>
        <v>0.22813368702469963</v>
      </c>
      <c r="D71" s="244">
        <f t="shared" si="25"/>
        <v>0.47102969549764873</v>
      </c>
      <c r="E71" s="244">
        <f t="shared" si="25"/>
        <v>1.0000000000000002</v>
      </c>
      <c r="F71" s="244">
        <f t="shared" si="25"/>
        <v>0.93822360415104178</v>
      </c>
      <c r="G71" s="244">
        <f t="shared" si="25"/>
        <v>0.75326025420376108</v>
      </c>
      <c r="H71" s="244">
        <f t="shared" si="25"/>
        <v>0.73352486795767102</v>
      </c>
      <c r="I71" s="244">
        <f t="shared" si="25"/>
        <v>0.63359529390296199</v>
      </c>
      <c r="J71" s="244">
        <f t="shared" si="25"/>
        <v>0.87098619109423425</v>
      </c>
      <c r="K71" s="245">
        <f t="shared" si="25"/>
        <v>0.87135999187444568</v>
      </c>
    </row>
    <row r="72" spans="1:13">
      <c r="A72" s="41" t="s">
        <v>6</v>
      </c>
      <c r="B72" s="46">
        <f>+Scenarios!H26</f>
        <v>0.25817653707968463</v>
      </c>
      <c r="C72" s="243">
        <f t="shared" ref="C72:K72" si="26">C50</f>
        <v>0.23612462727275424</v>
      </c>
      <c r="D72" s="244">
        <f t="shared" si="26"/>
        <v>0.44102598120003672</v>
      </c>
      <c r="E72" s="244">
        <f t="shared" si="26"/>
        <v>0.93822360415104189</v>
      </c>
      <c r="F72" s="244">
        <f t="shared" si="26"/>
        <v>1.0000000000000002</v>
      </c>
      <c r="G72" s="244">
        <f t="shared" si="26"/>
        <v>0.79963015318153241</v>
      </c>
      <c r="H72" s="244">
        <f t="shared" si="26"/>
        <v>0.78704984484445428</v>
      </c>
      <c r="I72" s="244">
        <f t="shared" si="26"/>
        <v>0.6705837763066671</v>
      </c>
      <c r="J72" s="244">
        <f t="shared" si="26"/>
        <v>0.87302411710056305</v>
      </c>
      <c r="K72" s="245">
        <f t="shared" si="26"/>
        <v>0.89106747178031864</v>
      </c>
    </row>
    <row r="73" spans="1:13">
      <c r="A73" s="41" t="s">
        <v>7</v>
      </c>
      <c r="B73" s="46">
        <f>+Scenarios!H27</f>
        <v>0.40935864013329615</v>
      </c>
      <c r="C73" s="243">
        <f t="shared" ref="C73:K73" si="27">C51</f>
        <v>0.41877013863949536</v>
      </c>
      <c r="D73" s="244">
        <f t="shared" si="27"/>
        <v>0.19161392218685974</v>
      </c>
      <c r="E73" s="244">
        <f t="shared" si="27"/>
        <v>0.75326025420376086</v>
      </c>
      <c r="F73" s="244">
        <f t="shared" si="27"/>
        <v>0.79963015318153241</v>
      </c>
      <c r="G73" s="244">
        <f t="shared" si="27"/>
        <v>1</v>
      </c>
      <c r="H73" s="244">
        <f t="shared" si="27"/>
        <v>0.80812183743359234</v>
      </c>
      <c r="I73" s="244">
        <f t="shared" si="27"/>
        <v>0.70238919189824067</v>
      </c>
      <c r="J73" s="244">
        <f t="shared" si="27"/>
        <v>0.80604385760605091</v>
      </c>
      <c r="K73" s="245">
        <f t="shared" si="27"/>
        <v>0.88086813992686197</v>
      </c>
    </row>
    <row r="74" spans="1:13">
      <c r="A74" s="41" t="s">
        <v>8</v>
      </c>
      <c r="B74" s="46">
        <f>+Scenarios!H28</f>
        <v>0.37672139820686834</v>
      </c>
      <c r="C74" s="243">
        <f t="shared" ref="C74:K74" si="28">C52</f>
        <v>0.43715930361035565</v>
      </c>
      <c r="D74" s="244">
        <f t="shared" si="28"/>
        <v>0.24756676138433592</v>
      </c>
      <c r="E74" s="244">
        <f t="shared" si="28"/>
        <v>0.73352486795767102</v>
      </c>
      <c r="F74" s="244">
        <f t="shared" si="28"/>
        <v>0.78704984484445417</v>
      </c>
      <c r="G74" s="244">
        <f t="shared" si="28"/>
        <v>0.80812183743359234</v>
      </c>
      <c r="H74" s="244">
        <f t="shared" si="28"/>
        <v>1</v>
      </c>
      <c r="I74" s="244">
        <f t="shared" si="28"/>
        <v>0.6227307997578343</v>
      </c>
      <c r="J74" s="244">
        <f t="shared" si="28"/>
        <v>0.64969582874157039</v>
      </c>
      <c r="K74" s="245">
        <f t="shared" si="28"/>
        <v>0.77520880186806285</v>
      </c>
    </row>
    <row r="75" spans="1:13">
      <c r="A75" s="41" t="s">
        <v>9</v>
      </c>
      <c r="B75" s="46">
        <f>+Scenarios!H29</f>
        <v>0.621322616702631</v>
      </c>
      <c r="C75" s="243">
        <f t="shared" ref="C75:K75" si="29">C53</f>
        <v>0.49612218939856001</v>
      </c>
      <c r="D75" s="244">
        <f t="shared" si="29"/>
        <v>0.17470917360121993</v>
      </c>
      <c r="E75" s="244">
        <f t="shared" si="29"/>
        <v>0.63359529390296199</v>
      </c>
      <c r="F75" s="244">
        <f t="shared" si="29"/>
        <v>0.67058377630666699</v>
      </c>
      <c r="G75" s="244">
        <f t="shared" si="29"/>
        <v>0.70238919189824078</v>
      </c>
      <c r="H75" s="244">
        <f t="shared" si="29"/>
        <v>0.6227307997578343</v>
      </c>
      <c r="I75" s="244">
        <f t="shared" si="29"/>
        <v>0.99999999999999989</v>
      </c>
      <c r="J75" s="244">
        <f t="shared" si="29"/>
        <v>0.64379087144854052</v>
      </c>
      <c r="K75" s="245">
        <f t="shared" si="29"/>
        <v>0.65952840986787564</v>
      </c>
    </row>
    <row r="76" spans="1:13">
      <c r="A76" s="41" t="s">
        <v>10</v>
      </c>
      <c r="B76" s="46">
        <f>+Scenarios!H30</f>
        <v>0.28021842301080391</v>
      </c>
      <c r="C76" s="243">
        <f t="shared" ref="C76:K76" si="30">C54</f>
        <v>0.22513334484340575</v>
      </c>
      <c r="D76" s="244">
        <f t="shared" si="30"/>
        <v>0.43690863222333315</v>
      </c>
      <c r="E76" s="244">
        <f t="shared" si="30"/>
        <v>0.87098619109423403</v>
      </c>
      <c r="F76" s="244">
        <f t="shared" si="30"/>
        <v>0.87302411710056305</v>
      </c>
      <c r="G76" s="244">
        <f t="shared" si="30"/>
        <v>0.80604385760605068</v>
      </c>
      <c r="H76" s="244">
        <f t="shared" si="30"/>
        <v>0.6496958287415705</v>
      </c>
      <c r="I76" s="244">
        <f t="shared" si="30"/>
        <v>0.64379087144854041</v>
      </c>
      <c r="J76" s="244">
        <f t="shared" si="30"/>
        <v>1.0000000000000002</v>
      </c>
      <c r="K76" s="245">
        <f t="shared" si="30"/>
        <v>0.86491136423250092</v>
      </c>
    </row>
    <row r="77" spans="1:13" ht="13.5" thickBot="1">
      <c r="A77" s="43" t="s">
        <v>11</v>
      </c>
      <c r="B77" s="47">
        <f>+Scenarios!H31</f>
        <v>0.41038049782760322</v>
      </c>
      <c r="C77" s="246">
        <f t="shared" ref="C77:K77" si="31">C55</f>
        <v>0.28443486592153544</v>
      </c>
      <c r="D77" s="247">
        <f t="shared" si="31"/>
        <v>0.33880552794512614</v>
      </c>
      <c r="E77" s="247">
        <f t="shared" si="31"/>
        <v>0.87135999187444568</v>
      </c>
      <c r="F77" s="247">
        <f t="shared" si="31"/>
        <v>0.89106747178031853</v>
      </c>
      <c r="G77" s="247">
        <f t="shared" si="31"/>
        <v>0.88086813992686197</v>
      </c>
      <c r="H77" s="247">
        <f t="shared" si="31"/>
        <v>0.77520880186806285</v>
      </c>
      <c r="I77" s="247">
        <f t="shared" si="31"/>
        <v>0.65952840986787553</v>
      </c>
      <c r="J77" s="247">
        <f t="shared" si="31"/>
        <v>0.86491136423250081</v>
      </c>
      <c r="K77" s="248">
        <f t="shared" si="31"/>
        <v>1</v>
      </c>
    </row>
    <row r="78" spans="1:13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M78" s="78"/>
    </row>
    <row r="79" spans="1:13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M79" s="78"/>
    </row>
    <row r="80" spans="1:13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M80" s="78"/>
    </row>
    <row r="81" spans="1:13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M81" s="78"/>
    </row>
    <row r="82" spans="1:13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M82" s="78"/>
    </row>
    <row r="83" spans="1:13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M83" s="78"/>
    </row>
    <row r="84" spans="1:13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M84" s="78"/>
    </row>
    <row r="85" spans="1:13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M85" s="78"/>
    </row>
    <row r="86" spans="1:13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M86" s="78"/>
    </row>
  </sheetData>
  <mergeCells count="7">
    <mergeCell ref="D58:K58"/>
    <mergeCell ref="D69:K69"/>
    <mergeCell ref="D3:K3"/>
    <mergeCell ref="D14:K14"/>
    <mergeCell ref="D25:K25"/>
    <mergeCell ref="D36:K36"/>
    <mergeCell ref="D47:K4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4"/>
  <sheetViews>
    <sheetView zoomScale="80" zoomScaleNormal="80" workbookViewId="0">
      <selection activeCell="D10" sqref="D10"/>
    </sheetView>
  </sheetViews>
  <sheetFormatPr defaultRowHeight="15"/>
  <cols>
    <col min="1" max="1" width="32.42578125" style="75" customWidth="1"/>
    <col min="2" max="2" width="19.140625" style="75" customWidth="1"/>
    <col min="3" max="8" width="18.7109375" style="75" customWidth="1"/>
    <col min="9" max="16384" width="9.140625" style="75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78" t="s">
        <v>16</v>
      </c>
      <c r="D2" s="379"/>
      <c r="E2" s="380" t="s">
        <v>17</v>
      </c>
      <c r="F2" s="381"/>
      <c r="G2" s="382" t="s">
        <v>33</v>
      </c>
      <c r="H2" s="383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6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f>'Control panel'!C3</f>
        <v>0</v>
      </c>
      <c r="D4" s="16">
        <f>'Control panel'!D3</f>
        <v>1</v>
      </c>
      <c r="E4" s="16">
        <v>0</v>
      </c>
      <c r="F4" s="16">
        <v>1</v>
      </c>
      <c r="G4" s="17">
        <f>'Control panel'!B3</f>
        <v>0.55552002657163746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f>'Control panel'!C4</f>
        <v>0</v>
      </c>
      <c r="D5" s="20">
        <f>'Control panel'!D4</f>
        <v>1</v>
      </c>
      <c r="E5" s="20">
        <v>0</v>
      </c>
      <c r="F5" s="20">
        <v>1</v>
      </c>
      <c r="G5" s="21">
        <f>'Control panel'!B4</f>
        <v>9.7772401711769694E-2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f>'Control panel'!C5</f>
        <v>0</v>
      </c>
      <c r="D6" s="20">
        <f>'Control panel'!D5</f>
        <v>1</v>
      </c>
      <c r="E6" s="20">
        <v>0</v>
      </c>
      <c r="F6" s="20">
        <v>1</v>
      </c>
      <c r="G6" s="21">
        <f>'Control panel'!B5</f>
        <v>9.4763191533410202E-2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f>'Control panel'!C6</f>
        <v>0</v>
      </c>
      <c r="D7" s="20">
        <f>'Control panel'!D6</f>
        <v>1</v>
      </c>
      <c r="E7" s="20">
        <v>0</v>
      </c>
      <c r="F7" s="20">
        <v>1</v>
      </c>
      <c r="G7" s="21">
        <f>'Control panel'!B6</f>
        <v>0.10281340879516217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f>'Control panel'!C7</f>
        <v>0</v>
      </c>
      <c r="D8" s="20">
        <f>'Control panel'!D7</f>
        <v>1</v>
      </c>
      <c r="E8" s="20">
        <v>0</v>
      </c>
      <c r="F8" s="20">
        <v>1</v>
      </c>
      <c r="G8" s="21">
        <f>'Control panel'!B7</f>
        <v>5.1014363077869621E-2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f>'Control panel'!C8</f>
        <v>0</v>
      </c>
      <c r="D9" s="20">
        <f>'Control panel'!D8</f>
        <v>1</v>
      </c>
      <c r="E9" s="20">
        <v>0</v>
      </c>
      <c r="F9" s="20">
        <v>1</v>
      </c>
      <c r="G9" s="21">
        <f>'Control panel'!B8</f>
        <v>2.0731266317763185E-2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f>'Control panel'!C9</f>
        <v>0</v>
      </c>
      <c r="D10" s="20">
        <f>'Control panel'!D9</f>
        <v>1</v>
      </c>
      <c r="E10" s="20">
        <v>0</v>
      </c>
      <c r="F10" s="20">
        <v>1</v>
      </c>
      <c r="G10" s="21">
        <f>'Control panel'!B9</f>
        <v>3.0634868515694261E-2</v>
      </c>
      <c r="H10" s="20">
        <f>'Control panel'!E9</f>
        <v>0.99</v>
      </c>
    </row>
    <row r="11" spans="1:8" ht="15.75" thickBot="1">
      <c r="A11" s="22" t="str">
        <f>'Absolute visies'!A11</f>
        <v>Onroerend goed</v>
      </c>
      <c r="B11" s="23" t="s">
        <v>25</v>
      </c>
      <c r="C11" s="24">
        <f>'Control panel'!C10</f>
        <v>0</v>
      </c>
      <c r="D11" s="24">
        <f>'Control panel'!D10</f>
        <v>1</v>
      </c>
      <c r="E11" s="24">
        <v>0</v>
      </c>
      <c r="F11" s="24">
        <v>1</v>
      </c>
      <c r="G11" s="25">
        <f>'Control panel'!B10</f>
        <v>4.6750473476693526E-2</v>
      </c>
      <c r="H11" s="24">
        <f>'Control panel'!E10</f>
        <v>0.99</v>
      </c>
    </row>
    <row r="12" spans="1:8" ht="15.75" thickBot="1">
      <c r="G12" s="26" t="s">
        <v>26</v>
      </c>
      <c r="H12" s="24">
        <f>'Control panel'!E11</f>
        <v>0.99</v>
      </c>
    </row>
    <row r="13" spans="1:8" ht="15.75" thickBot="1">
      <c r="G13" s="28"/>
      <c r="H13" s="6"/>
    </row>
    <row r="14" spans="1:8" ht="15.75" thickBot="1">
      <c r="A14" s="34" t="s">
        <v>32</v>
      </c>
      <c r="B14" s="30">
        <v>0</v>
      </c>
      <c r="C14" s="30">
        <v>0</v>
      </c>
      <c r="D14" s="30">
        <v>0</v>
      </c>
      <c r="E14" s="30">
        <v>0</v>
      </c>
      <c r="F14" s="30">
        <v>0</v>
      </c>
      <c r="G14" s="31">
        <v>0</v>
      </c>
    </row>
    <row r="15" spans="1:8">
      <c r="A15" s="14" t="str">
        <f>A4</f>
        <v>Nominale matching</v>
      </c>
      <c r="B15" s="255">
        <v>0</v>
      </c>
      <c r="C15" s="255">
        <v>0</v>
      </c>
      <c r="D15" s="255">
        <v>0</v>
      </c>
      <c r="E15" s="255">
        <v>0</v>
      </c>
      <c r="F15" s="255">
        <v>0</v>
      </c>
      <c r="G15" s="256">
        <v>0</v>
      </c>
    </row>
    <row r="16" spans="1:8">
      <c r="A16" s="18" t="str">
        <f t="shared" ref="A16:A22" si="0">A5</f>
        <v>High Yield</v>
      </c>
      <c r="B16" s="257">
        <v>0</v>
      </c>
      <c r="C16" s="257">
        <v>0</v>
      </c>
      <c r="D16" s="257">
        <v>0</v>
      </c>
      <c r="E16" s="257">
        <v>0</v>
      </c>
      <c r="F16" s="257">
        <v>0</v>
      </c>
      <c r="G16" s="257">
        <v>0</v>
      </c>
    </row>
    <row r="17" spans="1:7">
      <c r="A17" s="18" t="str">
        <f t="shared" si="0"/>
        <v>Emerging market debt</v>
      </c>
      <c r="B17" s="257">
        <v>0</v>
      </c>
      <c r="C17" s="257">
        <v>0</v>
      </c>
      <c r="D17" s="257">
        <v>0</v>
      </c>
      <c r="E17" s="257">
        <v>0</v>
      </c>
      <c r="F17" s="257">
        <v>0</v>
      </c>
      <c r="G17" s="258">
        <v>0</v>
      </c>
    </row>
    <row r="18" spans="1:7">
      <c r="A18" s="18" t="str">
        <f t="shared" si="0"/>
        <v>Aandelen ontwikkeld</v>
      </c>
      <c r="B18" s="257">
        <v>0</v>
      </c>
      <c r="C18" s="257">
        <v>0</v>
      </c>
      <c r="D18" s="257">
        <v>0</v>
      </c>
      <c r="E18" s="257">
        <v>0</v>
      </c>
      <c r="F18" s="257">
        <v>0</v>
      </c>
      <c r="G18" s="258">
        <v>0</v>
      </c>
    </row>
    <row r="19" spans="1:7">
      <c r="A19" s="18" t="str">
        <f t="shared" si="0"/>
        <v>Aandelen opkomend</v>
      </c>
      <c r="B19" s="257">
        <v>0</v>
      </c>
      <c r="C19" s="257">
        <v>0</v>
      </c>
      <c r="D19" s="257">
        <v>0</v>
      </c>
      <c r="E19" s="257">
        <v>0</v>
      </c>
      <c r="F19" s="257">
        <v>0</v>
      </c>
      <c r="G19" s="258">
        <v>0</v>
      </c>
    </row>
    <row r="20" spans="1:7">
      <c r="A20" s="18" t="str">
        <f t="shared" si="0"/>
        <v>Commodities</v>
      </c>
      <c r="B20" s="257">
        <v>0</v>
      </c>
      <c r="C20" s="257">
        <v>0</v>
      </c>
      <c r="D20" s="257">
        <v>0</v>
      </c>
      <c r="E20" s="257">
        <v>0</v>
      </c>
      <c r="F20" s="257">
        <v>0</v>
      </c>
      <c r="G20" s="258">
        <v>0</v>
      </c>
    </row>
    <row r="21" spans="1:7">
      <c r="A21" s="18" t="str">
        <f t="shared" si="0"/>
        <v>Hedge funds</v>
      </c>
      <c r="B21" s="257">
        <v>0</v>
      </c>
      <c r="C21" s="257">
        <v>0</v>
      </c>
      <c r="D21" s="257">
        <v>0</v>
      </c>
      <c r="E21" s="257">
        <v>0</v>
      </c>
      <c r="F21" s="257">
        <v>0</v>
      </c>
      <c r="G21" s="258">
        <v>0</v>
      </c>
    </row>
    <row r="22" spans="1:7" ht="15.75" thickBot="1">
      <c r="A22" s="22" t="str">
        <f t="shared" si="0"/>
        <v>Onroerend goed</v>
      </c>
      <c r="B22" s="259">
        <v>0</v>
      </c>
      <c r="C22" s="259">
        <v>0</v>
      </c>
      <c r="D22" s="259">
        <v>0</v>
      </c>
      <c r="E22" s="259">
        <v>0</v>
      </c>
      <c r="F22" s="259">
        <v>0</v>
      </c>
      <c r="G22" s="260">
        <v>0</v>
      </c>
    </row>
    <row r="23" spans="1:7" ht="15.75" thickBot="1">
      <c r="A23" s="35" t="s">
        <v>34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3">
        <v>0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9">
        <v>1</v>
      </c>
      <c r="D102" s="3" t="s">
        <v>36</v>
      </c>
      <c r="E102" s="99">
        <v>1</v>
      </c>
    </row>
    <row r="103" spans="1:5">
      <c r="A103" s="3"/>
      <c r="B103" s="3" t="s">
        <v>25</v>
      </c>
      <c r="C103" s="99">
        <v>2</v>
      </c>
      <c r="D103" s="3" t="s">
        <v>37</v>
      </c>
      <c r="E103" s="99">
        <v>0</v>
      </c>
    </row>
    <row r="106" spans="1:5">
      <c r="A106" s="27" t="s">
        <v>62</v>
      </c>
    </row>
    <row r="107" spans="1:5">
      <c r="A107" s="3" t="str">
        <f t="shared" ref="A107:A114" si="1">A4</f>
        <v>Nominale matching</v>
      </c>
      <c r="B107" s="99">
        <f>VLOOKUP(B4,$B$102:$C$103,2,0)</f>
        <v>1</v>
      </c>
    </row>
    <row r="108" spans="1:5">
      <c r="A108" s="3" t="str">
        <f t="shared" si="1"/>
        <v>High Yield</v>
      </c>
      <c r="B108" s="99">
        <f t="shared" ref="B108:B114" si="2">VLOOKUP(B5,$B$102:$C$103,2,0)</f>
        <v>2</v>
      </c>
    </row>
    <row r="109" spans="1:5">
      <c r="A109" s="3" t="str">
        <f t="shared" si="1"/>
        <v>Emerging market debt</v>
      </c>
      <c r="B109" s="99">
        <f t="shared" si="2"/>
        <v>2</v>
      </c>
    </row>
    <row r="110" spans="1:5">
      <c r="A110" s="3" t="str">
        <f t="shared" si="1"/>
        <v>Aandelen ontwikkeld</v>
      </c>
      <c r="B110" s="99">
        <f t="shared" si="2"/>
        <v>2</v>
      </c>
    </row>
    <row r="111" spans="1:5">
      <c r="A111" s="3" t="str">
        <f t="shared" si="1"/>
        <v>Aandelen opkomend</v>
      </c>
      <c r="B111" s="99">
        <f t="shared" si="2"/>
        <v>2</v>
      </c>
    </row>
    <row r="112" spans="1:5">
      <c r="A112" s="3" t="str">
        <f t="shared" si="1"/>
        <v>Commodities</v>
      </c>
      <c r="B112" s="99">
        <f t="shared" si="2"/>
        <v>2</v>
      </c>
    </row>
    <row r="113" spans="1:2">
      <c r="A113" s="3" t="str">
        <f t="shared" si="1"/>
        <v>Hedge funds</v>
      </c>
      <c r="B113" s="99">
        <f t="shared" si="2"/>
        <v>2</v>
      </c>
    </row>
    <row r="114" spans="1:2">
      <c r="A114" s="3" t="str">
        <f t="shared" si="1"/>
        <v>Onroerend goed</v>
      </c>
      <c r="B114" s="99">
        <f t="shared" si="2"/>
        <v>2</v>
      </c>
    </row>
  </sheetData>
  <mergeCells count="3">
    <mergeCell ref="C2:D2"/>
    <mergeCell ref="E2:F2"/>
    <mergeCell ref="G2:H2"/>
  </mergeCells>
  <conditionalFormatting sqref="B4:B11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1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1">
    <cfRule type="iconSet" priority="3">
      <iconSet>
        <cfvo type="percent" val="0"/>
        <cfvo type="percent" val="33"/>
        <cfvo type="percent" val="67"/>
      </iconSet>
    </cfRule>
  </conditionalFormatting>
  <conditionalFormatting sqref="E4:E11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1">
    <cfRule type="iconSet" priority="1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4:B11">
      <formula1>$B$102:$B$103</formula1>
    </dataValidation>
    <dataValidation type="list" allowBlank="1" showInputMessage="1" showErrorMessage="1" sqref="B14:G14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C45" sqref="C45"/>
    </sheetView>
  </sheetViews>
  <sheetFormatPr defaultRowHeight="15"/>
  <cols>
    <col min="1" max="1" width="44.7109375" style="75" customWidth="1"/>
    <col min="2" max="9" width="20.7109375" style="75" customWidth="1"/>
    <col min="10" max="16384" width="9.140625" style="75"/>
  </cols>
  <sheetData>
    <row r="1" spans="1:8">
      <c r="A1" s="180" t="s">
        <v>39</v>
      </c>
    </row>
    <row r="2" spans="1:8">
      <c r="C2" s="181"/>
    </row>
    <row r="3" spans="1:8">
      <c r="A3" s="27" t="s">
        <v>40</v>
      </c>
      <c r="B3" s="3"/>
      <c r="C3" s="182"/>
      <c r="D3" s="3"/>
      <c r="E3" s="3"/>
      <c r="F3" s="3"/>
    </row>
    <row r="4" spans="1:8" ht="15.75" thickBot="1">
      <c r="A4" s="183"/>
      <c r="B4" s="205"/>
      <c r="C4" s="205"/>
      <c r="D4" s="205"/>
      <c r="E4" s="205"/>
      <c r="F4" s="205"/>
      <c r="G4" s="205"/>
      <c r="H4" s="205"/>
    </row>
    <row r="5" spans="1:8" ht="15.75" thickBot="1">
      <c r="A5" s="212" t="s">
        <v>38</v>
      </c>
      <c r="B5" s="213" t="str">
        <f>Scenarios!B23</f>
        <v>Evenwicht</v>
      </c>
      <c r="C5" s="184" t="str">
        <f>Scenarios!C23</f>
        <v>Base Case</v>
      </c>
      <c r="D5" s="213" t="str">
        <f>Scenarios!D23</f>
        <v>Base - muddle down</v>
      </c>
      <c r="E5" s="184" t="str">
        <f>Scenarios!E23</f>
        <v>Base - muddle up</v>
      </c>
      <c r="F5" s="213" t="str">
        <f>Scenarios!F23</f>
        <v>Bear case</v>
      </c>
      <c r="G5" s="213" t="str">
        <f>Scenarios!G23</f>
        <v>Tail risk</v>
      </c>
      <c r="H5" s="213" t="str">
        <f>Scenarios!H23</f>
        <v>Bull case</v>
      </c>
    </row>
    <row r="6" spans="1:8">
      <c r="A6" s="185" t="s">
        <v>70</v>
      </c>
      <c r="B6" s="284">
        <v>1</v>
      </c>
      <c r="C6" s="265">
        <v>0</v>
      </c>
      <c r="D6" s="264">
        <v>0</v>
      </c>
      <c r="E6" s="265">
        <v>0</v>
      </c>
      <c r="F6" s="264">
        <v>0</v>
      </c>
      <c r="G6" s="264">
        <v>0</v>
      </c>
      <c r="H6" s="264">
        <v>0</v>
      </c>
    </row>
    <row r="7" spans="1:8">
      <c r="A7" s="185" t="s">
        <v>112</v>
      </c>
      <c r="B7" s="214">
        <v>0</v>
      </c>
      <c r="C7" s="98">
        <v>1</v>
      </c>
      <c r="D7" s="214">
        <v>0</v>
      </c>
      <c r="E7" s="98">
        <v>0</v>
      </c>
      <c r="F7" s="214">
        <v>0</v>
      </c>
      <c r="G7" s="214">
        <v>0</v>
      </c>
      <c r="H7" s="214">
        <v>0</v>
      </c>
    </row>
    <row r="8" spans="1:8">
      <c r="A8" s="185" t="s">
        <v>126</v>
      </c>
      <c r="B8" s="214">
        <v>0</v>
      </c>
      <c r="C8" s="98">
        <v>0</v>
      </c>
      <c r="D8" s="214">
        <v>1</v>
      </c>
      <c r="E8" s="98">
        <v>0</v>
      </c>
      <c r="F8" s="214">
        <v>0</v>
      </c>
      <c r="G8" s="214">
        <v>0</v>
      </c>
      <c r="H8" s="214">
        <v>0</v>
      </c>
    </row>
    <row r="9" spans="1:8">
      <c r="A9" s="185" t="s">
        <v>127</v>
      </c>
      <c r="B9" s="214">
        <v>0</v>
      </c>
      <c r="C9" s="98">
        <v>0</v>
      </c>
      <c r="D9" s="214">
        <v>0</v>
      </c>
      <c r="E9" s="98">
        <v>1</v>
      </c>
      <c r="F9" s="214">
        <v>0</v>
      </c>
      <c r="G9" s="214">
        <v>0</v>
      </c>
      <c r="H9" s="214">
        <v>0</v>
      </c>
    </row>
    <row r="10" spans="1:8">
      <c r="A10" s="185" t="s">
        <v>113</v>
      </c>
      <c r="B10" s="214">
        <v>0</v>
      </c>
      <c r="C10" s="98">
        <v>0</v>
      </c>
      <c r="D10" s="214">
        <v>0</v>
      </c>
      <c r="E10" s="98">
        <v>0</v>
      </c>
      <c r="F10" s="214">
        <v>1</v>
      </c>
      <c r="G10" s="214">
        <v>0</v>
      </c>
      <c r="H10" s="214">
        <v>0</v>
      </c>
    </row>
    <row r="11" spans="1:8">
      <c r="A11" s="185" t="s">
        <v>114</v>
      </c>
      <c r="B11" s="214">
        <v>0</v>
      </c>
      <c r="C11" s="98">
        <v>0</v>
      </c>
      <c r="D11" s="214">
        <v>0</v>
      </c>
      <c r="E11" s="98">
        <v>0</v>
      </c>
      <c r="F11" s="214">
        <v>0</v>
      </c>
      <c r="G11" s="214">
        <v>1</v>
      </c>
      <c r="H11" s="214">
        <v>0</v>
      </c>
    </row>
    <row r="12" spans="1:8" ht="15.75" thickBot="1">
      <c r="A12" s="185" t="s">
        <v>128</v>
      </c>
      <c r="B12" s="215">
        <v>0</v>
      </c>
      <c r="C12" s="211">
        <v>0</v>
      </c>
      <c r="D12" s="215">
        <v>0</v>
      </c>
      <c r="E12" s="211">
        <v>0</v>
      </c>
      <c r="F12" s="215">
        <v>0</v>
      </c>
      <c r="G12" s="215">
        <v>0</v>
      </c>
      <c r="H12" s="215">
        <v>1</v>
      </c>
    </row>
    <row r="13" spans="1:8" ht="15.75" thickBot="1">
      <c r="A13" s="206" t="s">
        <v>30</v>
      </c>
      <c r="B13" s="261">
        <v>0</v>
      </c>
      <c r="C13" s="261">
        <v>1</v>
      </c>
      <c r="D13" s="262">
        <v>0</v>
      </c>
      <c r="E13" s="262">
        <v>0</v>
      </c>
      <c r="F13" s="262">
        <v>0</v>
      </c>
      <c r="G13" s="263">
        <v>0</v>
      </c>
      <c r="H13" s="262">
        <v>0</v>
      </c>
    </row>
    <row r="14" spans="1:8">
      <c r="A14" s="210"/>
      <c r="B14" s="90"/>
      <c r="C14" s="90"/>
      <c r="D14" s="90"/>
      <c r="E14" s="90"/>
      <c r="F14" s="90"/>
    </row>
    <row r="15" spans="1:8">
      <c r="A15" s="91" t="s">
        <v>41</v>
      </c>
    </row>
    <row r="16" spans="1:8">
      <c r="A16" s="97" t="s">
        <v>45</v>
      </c>
      <c r="B16" s="73" t="s">
        <v>58</v>
      </c>
    </row>
    <row r="17" spans="1:9" ht="15.75" thickBot="1">
      <c r="A17" s="97"/>
    </row>
    <row r="18" spans="1:9">
      <c r="A18" s="186"/>
      <c r="B18" s="187" t="s">
        <v>43</v>
      </c>
      <c r="C18" s="188"/>
      <c r="D18" s="188"/>
      <c r="E18" s="92"/>
      <c r="F18" s="189"/>
      <c r="G18" s="189"/>
      <c r="H18" s="190"/>
      <c r="I18" s="93" t="s">
        <v>46</v>
      </c>
    </row>
    <row r="19" spans="1:9" ht="15.75" thickBot="1">
      <c r="A19" s="191"/>
      <c r="B19" s="104" t="s">
        <v>42</v>
      </c>
      <c r="C19" s="104" t="s">
        <v>48</v>
      </c>
      <c r="D19" s="104" t="s">
        <v>44</v>
      </c>
      <c r="E19" s="80" t="s">
        <v>48</v>
      </c>
      <c r="F19" s="108" t="s">
        <v>63</v>
      </c>
      <c r="G19" s="108" t="s">
        <v>48</v>
      </c>
      <c r="H19" s="108" t="s">
        <v>14</v>
      </c>
      <c r="I19" s="108" t="s">
        <v>47</v>
      </c>
    </row>
    <row r="20" spans="1:9">
      <c r="A20" s="185" t="str">
        <f>A6</f>
        <v>Evenwicht</v>
      </c>
      <c r="B20" s="192">
        <v>0</v>
      </c>
      <c r="C20" s="193">
        <v>0</v>
      </c>
      <c r="D20" s="106">
        <f>D27</f>
        <v>9.982328688488358E-2</v>
      </c>
      <c r="E20" s="19">
        <v>1</v>
      </c>
      <c r="F20" s="194">
        <v>0.02</v>
      </c>
      <c r="G20" s="29">
        <v>0</v>
      </c>
      <c r="H20" s="29" t="str">
        <f>'Control panel'!B23:B23</f>
        <v>Max rendement</v>
      </c>
      <c r="I20" s="29" t="s">
        <v>61</v>
      </c>
    </row>
    <row r="21" spans="1:9">
      <c r="A21" s="185" t="str">
        <f t="shared" ref="A21:A26" si="0">A7</f>
        <v>Base Case</v>
      </c>
      <c r="B21" s="192">
        <v>0</v>
      </c>
      <c r="C21" s="193">
        <v>0</v>
      </c>
      <c r="D21" s="106">
        <f t="shared" ref="D21:D26" si="1">$D$27</f>
        <v>9.982328688488358E-2</v>
      </c>
      <c r="E21" s="19">
        <v>1</v>
      </c>
      <c r="F21" s="194">
        <v>0.02</v>
      </c>
      <c r="G21" s="29">
        <v>0</v>
      </c>
      <c r="H21" s="29" t="s">
        <v>49</v>
      </c>
      <c r="I21" s="29" t="s">
        <v>61</v>
      </c>
    </row>
    <row r="22" spans="1:9">
      <c r="A22" s="185" t="str">
        <f t="shared" si="0"/>
        <v>Base - muddle down</v>
      </c>
      <c r="B22" s="192">
        <v>0</v>
      </c>
      <c r="C22" s="193">
        <v>0</v>
      </c>
      <c r="D22" s="106">
        <f t="shared" si="1"/>
        <v>9.982328688488358E-2</v>
      </c>
      <c r="E22" s="19">
        <v>1</v>
      </c>
      <c r="F22" s="194">
        <v>0.02</v>
      </c>
      <c r="G22" s="29">
        <v>0</v>
      </c>
      <c r="H22" s="29" t="s">
        <v>49</v>
      </c>
      <c r="I22" s="29" t="s">
        <v>61</v>
      </c>
    </row>
    <row r="23" spans="1:9">
      <c r="A23" s="185" t="str">
        <f t="shared" si="0"/>
        <v>Base - muddle up</v>
      </c>
      <c r="B23" s="192">
        <v>0</v>
      </c>
      <c r="C23" s="193">
        <v>0</v>
      </c>
      <c r="D23" s="106">
        <f t="shared" si="1"/>
        <v>9.982328688488358E-2</v>
      </c>
      <c r="E23" s="19">
        <v>1</v>
      </c>
      <c r="F23" s="194">
        <v>0.02</v>
      </c>
      <c r="G23" s="29">
        <v>0</v>
      </c>
      <c r="H23" s="29" t="s">
        <v>49</v>
      </c>
      <c r="I23" s="29" t="s">
        <v>61</v>
      </c>
    </row>
    <row r="24" spans="1:9">
      <c r="A24" s="185" t="str">
        <f t="shared" si="0"/>
        <v>Bear case</v>
      </c>
      <c r="B24" s="192">
        <v>0</v>
      </c>
      <c r="C24" s="193">
        <v>0</v>
      </c>
      <c r="D24" s="106">
        <f t="shared" si="1"/>
        <v>9.982328688488358E-2</v>
      </c>
      <c r="E24" s="19">
        <v>1</v>
      </c>
      <c r="F24" s="194">
        <v>0.02</v>
      </c>
      <c r="G24" s="29">
        <v>0</v>
      </c>
      <c r="H24" s="29" t="s">
        <v>49</v>
      </c>
      <c r="I24" s="29" t="s">
        <v>61</v>
      </c>
    </row>
    <row r="25" spans="1:9">
      <c r="A25" s="185" t="str">
        <f t="shared" si="0"/>
        <v>Tail risk</v>
      </c>
      <c r="B25" s="192">
        <v>0</v>
      </c>
      <c r="C25" s="193">
        <v>0</v>
      </c>
      <c r="D25" s="106">
        <f t="shared" si="1"/>
        <v>9.982328688488358E-2</v>
      </c>
      <c r="E25" s="19">
        <v>1</v>
      </c>
      <c r="F25" s="194">
        <v>0.02</v>
      </c>
      <c r="G25" s="29">
        <v>0</v>
      </c>
      <c r="H25" s="29" t="s">
        <v>49</v>
      </c>
      <c r="I25" s="29" t="s">
        <v>61</v>
      </c>
    </row>
    <row r="26" spans="1:9">
      <c r="A26" s="185" t="str">
        <f t="shared" si="0"/>
        <v>Bull case</v>
      </c>
      <c r="B26" s="192">
        <v>0</v>
      </c>
      <c r="C26" s="193">
        <v>0</v>
      </c>
      <c r="D26" s="106">
        <f t="shared" si="1"/>
        <v>9.982328688488358E-2</v>
      </c>
      <c r="E26" s="19">
        <v>1</v>
      </c>
      <c r="F26" s="194">
        <v>0.02</v>
      </c>
      <c r="G26" s="29">
        <v>0</v>
      </c>
      <c r="H26" s="29" t="s">
        <v>49</v>
      </c>
      <c r="I26" s="29" t="s">
        <v>61</v>
      </c>
    </row>
    <row r="27" spans="1:9" ht="15.75" thickBot="1">
      <c r="A27" s="195" t="str">
        <f>A13</f>
        <v>Kansgewogen</v>
      </c>
      <c r="B27" s="196">
        <f>'Control panel'!B26</f>
        <v>0</v>
      </c>
      <c r="C27" s="81">
        <f>'Control panel'!C26</f>
        <v>0</v>
      </c>
      <c r="D27" s="107">
        <f>'Control panel'!B27</f>
        <v>9.982328688488358E-2</v>
      </c>
      <c r="E27" s="23">
        <f>'Control panel'!C27</f>
        <v>1</v>
      </c>
      <c r="F27" s="197">
        <v>0.02</v>
      </c>
      <c r="G27" s="33">
        <f>'Control panel'!C28</f>
        <v>0</v>
      </c>
      <c r="H27" s="33" t="str">
        <f>'Control panel'!B23</f>
        <v>Max rendement</v>
      </c>
      <c r="I27" s="260" t="s">
        <v>60</v>
      </c>
    </row>
    <row r="29" spans="1:9">
      <c r="A29" s="27" t="s">
        <v>52</v>
      </c>
    </row>
    <row r="30" spans="1:9">
      <c r="A30" s="198" t="s">
        <v>53</v>
      </c>
      <c r="B30" s="109">
        <f>'Control panel'!B31</f>
        <v>0</v>
      </c>
    </row>
    <row r="31" spans="1:9">
      <c r="A31" s="198" t="s">
        <v>54</v>
      </c>
      <c r="B31" s="73">
        <f>'Control panel'!B32</f>
        <v>2</v>
      </c>
    </row>
    <row r="33" spans="1:2">
      <c r="A33" s="27" t="s">
        <v>55</v>
      </c>
    </row>
    <row r="34" spans="1:2">
      <c r="A34" s="199" t="s">
        <v>13</v>
      </c>
      <c r="B34" s="73">
        <f>'Control panel'!B35</f>
        <v>500</v>
      </c>
    </row>
    <row r="35" spans="1:2">
      <c r="A35" s="199" t="s">
        <v>12</v>
      </c>
      <c r="B35" s="73">
        <v>500</v>
      </c>
    </row>
    <row r="100" spans="1:3">
      <c r="A100" s="74" t="s">
        <v>31</v>
      </c>
    </row>
    <row r="101" spans="1:3">
      <c r="A101" s="75" t="s">
        <v>36</v>
      </c>
      <c r="B101" s="175">
        <v>1</v>
      </c>
    </row>
    <row r="102" spans="1:3">
      <c r="A102" s="75" t="s">
        <v>37</v>
      </c>
      <c r="B102" s="175">
        <v>0</v>
      </c>
    </row>
    <row r="104" spans="1:3">
      <c r="A104" s="74" t="s">
        <v>14</v>
      </c>
      <c r="C104" s="200" t="s">
        <v>62</v>
      </c>
    </row>
    <row r="105" spans="1:3">
      <c r="A105" s="75" t="s">
        <v>58</v>
      </c>
      <c r="B105" s="175">
        <v>0</v>
      </c>
      <c r="C105" s="175">
        <f>VLOOKUP(H20,$A$105:$B$108,2,0)</f>
        <v>1</v>
      </c>
    </row>
    <row r="106" spans="1:3">
      <c r="A106" s="75" t="s">
        <v>49</v>
      </c>
      <c r="B106" s="175">
        <v>1</v>
      </c>
      <c r="C106" s="175">
        <f t="shared" ref="C106:C111" si="2">VLOOKUP(H21,$A$105:$B$108,2,0)</f>
        <v>1</v>
      </c>
    </row>
    <row r="107" spans="1:3">
      <c r="A107" s="75" t="s">
        <v>50</v>
      </c>
      <c r="B107" s="175">
        <v>2</v>
      </c>
      <c r="C107" s="175">
        <f t="shared" si="2"/>
        <v>1</v>
      </c>
    </row>
    <row r="108" spans="1:3">
      <c r="A108" s="75" t="s">
        <v>51</v>
      </c>
      <c r="B108" s="175">
        <v>3</v>
      </c>
      <c r="C108" s="175">
        <f t="shared" si="2"/>
        <v>1</v>
      </c>
    </row>
    <row r="109" spans="1:3">
      <c r="C109" s="175">
        <f t="shared" si="2"/>
        <v>1</v>
      </c>
    </row>
    <row r="110" spans="1:3">
      <c r="C110" s="175">
        <f t="shared" si="2"/>
        <v>1</v>
      </c>
    </row>
    <row r="111" spans="1:3">
      <c r="A111" s="74" t="s">
        <v>56</v>
      </c>
      <c r="B111" s="175">
        <v>0</v>
      </c>
      <c r="C111" s="175">
        <f t="shared" si="2"/>
        <v>1</v>
      </c>
    </row>
    <row r="112" spans="1:3">
      <c r="B112" s="175">
        <v>1</v>
      </c>
      <c r="C112" s="175">
        <f>VLOOKUP(H27,$A$105:$B$108,2,0)</f>
        <v>1</v>
      </c>
    </row>
    <row r="113" spans="1:2">
      <c r="B113" s="175">
        <v>2</v>
      </c>
    </row>
    <row r="115" spans="1:2">
      <c r="A115" s="74" t="s">
        <v>57</v>
      </c>
    </row>
    <row r="116" spans="1:2">
      <c r="A116" s="75" t="s">
        <v>58</v>
      </c>
      <c r="B116" s="175">
        <v>0</v>
      </c>
    </row>
    <row r="117" spans="1:2">
      <c r="A117" s="75" t="str">
        <f>'Absolute visies'!A37</f>
        <v>Nominale matching</v>
      </c>
      <c r="B117" s="175">
        <v>1</v>
      </c>
    </row>
    <row r="118" spans="1:2">
      <c r="A118" s="75" t="str">
        <f>'Absolute visies'!A38</f>
        <v>High Yield</v>
      </c>
      <c r="B118" s="175">
        <v>2</v>
      </c>
    </row>
    <row r="119" spans="1:2">
      <c r="A119" s="75" t="str">
        <f>'Absolute visies'!A39</f>
        <v>Emerging market debt</v>
      </c>
      <c r="B119" s="175">
        <v>3</v>
      </c>
    </row>
    <row r="120" spans="1:2">
      <c r="A120" s="75" t="str">
        <f>'Absolute visies'!A40</f>
        <v>Aandelen ontwikkeld</v>
      </c>
      <c r="B120" s="175">
        <v>4</v>
      </c>
    </row>
    <row r="121" spans="1:2">
      <c r="A121" s="75" t="str">
        <f>'Absolute visies'!A41</f>
        <v>Aandelen opkomend</v>
      </c>
      <c r="B121" s="175">
        <v>5</v>
      </c>
    </row>
    <row r="122" spans="1:2">
      <c r="A122" s="75" t="str">
        <f>'Absolute visies'!A42</f>
        <v>Commodities</v>
      </c>
      <c r="B122" s="175">
        <v>6</v>
      </c>
    </row>
    <row r="123" spans="1:2">
      <c r="A123" s="75" t="str">
        <f>'Absolute visies'!A43</f>
        <v>Hedge funds</v>
      </c>
      <c r="B123" s="175">
        <v>7</v>
      </c>
    </row>
    <row r="124" spans="1:2">
      <c r="A124" s="75" t="str">
        <f>'Absolute visies'!A44</f>
        <v>Onroerend goed</v>
      </c>
      <c r="B124" s="175">
        <v>8</v>
      </c>
    </row>
    <row r="126" spans="1:2">
      <c r="A126" s="74" t="s">
        <v>59</v>
      </c>
      <c r="B126" s="175">
        <f>VLOOKUP(B16,A116:B124,2,0)</f>
        <v>0</v>
      </c>
    </row>
    <row r="128" spans="1:2">
      <c r="A128" s="74" t="s">
        <v>46</v>
      </c>
      <c r="B128" s="175" t="s">
        <v>60</v>
      </c>
    </row>
    <row r="129" spans="2:2">
      <c r="B129" s="17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J88"/>
  <sheetViews>
    <sheetView topLeftCell="A16" workbookViewId="0">
      <selection activeCell="B64" sqref="B64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8" t="s">
        <v>69</v>
      </c>
    </row>
    <row r="2" spans="1:30" ht="15.75" thickBot="1">
      <c r="A2" s="49"/>
      <c r="D2" s="384" t="s">
        <v>64</v>
      </c>
      <c r="E2" s="385"/>
      <c r="F2" s="386"/>
      <c r="G2" s="384" t="s">
        <v>65</v>
      </c>
      <c r="H2" s="385"/>
      <c r="I2" s="385"/>
      <c r="J2" s="385"/>
      <c r="K2" s="385"/>
      <c r="L2" s="385"/>
      <c r="M2" s="385"/>
      <c r="N2" s="385"/>
      <c r="O2" s="386"/>
      <c r="R2" s="235" t="s">
        <v>66</v>
      </c>
      <c r="S2" s="50"/>
      <c r="T2" s="50"/>
      <c r="U2" s="50"/>
      <c r="W2" s="50"/>
    </row>
    <row r="3" spans="1:30">
      <c r="A3" s="266" t="s">
        <v>70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0.38842610847061654</v>
      </c>
      <c r="H3" s="272">
        <v>0.28196528107481589</v>
      </c>
      <c r="I3" s="272">
        <v>0.15781326873153034</v>
      </c>
      <c r="J3" s="272">
        <v>8.9311685439999455E-2</v>
      </c>
      <c r="K3" s="272">
        <v>5.8981550206079758E-2</v>
      </c>
      <c r="L3" s="272">
        <v>2.3479565825963222E-2</v>
      </c>
      <c r="M3" s="272">
        <v>2.2540250995795041E-5</v>
      </c>
      <c r="N3" s="272">
        <v>0</v>
      </c>
      <c r="O3" s="273">
        <v>0</v>
      </c>
      <c r="R3" s="51" t="str">
        <f>A3</f>
        <v>Evenwicht</v>
      </c>
      <c r="S3" s="51"/>
      <c r="T3" s="52"/>
      <c r="U3" s="51"/>
      <c r="W3" s="51"/>
      <c r="AA3" s="52"/>
      <c r="AB3" s="52"/>
      <c r="AC3" s="52"/>
      <c r="AD3" s="52"/>
    </row>
    <row r="4" spans="1:30">
      <c r="A4" s="53" t="str">
        <f>'Absolute visies'!A4</f>
        <v>Nominale matching</v>
      </c>
      <c r="B4" s="1">
        <v>0.55136924712091062</v>
      </c>
      <c r="C4" s="54">
        <v>1.557691429457278E-2</v>
      </c>
      <c r="D4" s="55">
        <v>0.54045609847011733</v>
      </c>
      <c r="E4" s="1">
        <v>0.55102193916426312</v>
      </c>
      <c r="F4" s="56">
        <v>0.561635794872543</v>
      </c>
      <c r="G4" s="2">
        <v>-3.0840564248265149E-2</v>
      </c>
      <c r="H4" s="2">
        <v>-0.13820992096646409</v>
      </c>
      <c r="I4" s="2">
        <v>3.6511276324047937E-2</v>
      </c>
      <c r="J4" s="2">
        <v>0.8988696839161725</v>
      </c>
      <c r="K4" s="2">
        <v>0.24953425987748434</v>
      </c>
      <c r="L4" s="2">
        <v>0.12826200111024258</v>
      </c>
      <c r="M4" s="2">
        <v>1</v>
      </c>
      <c r="N4" s="2">
        <v>1</v>
      </c>
      <c r="O4" s="57"/>
      <c r="R4" s="51" t="str">
        <f>A4</f>
        <v>Nominale matching</v>
      </c>
      <c r="S4" s="52">
        <f>D4</f>
        <v>0.54045609847011733</v>
      </c>
      <c r="T4" s="52">
        <f>B4-D4</f>
        <v>1.0913148650793292E-2</v>
      </c>
      <c r="U4" s="52">
        <f>F4-B4</f>
        <v>1.0266547751632382E-2</v>
      </c>
      <c r="W4" s="58"/>
      <c r="AA4" s="52"/>
      <c r="AB4" s="52"/>
      <c r="AC4" s="52"/>
      <c r="AD4" s="52"/>
    </row>
    <row r="5" spans="1:30">
      <c r="A5" s="59" t="str">
        <f>'Absolute visies'!A5</f>
        <v>High Yield</v>
      </c>
      <c r="B5" s="1">
        <v>8.5390213827363406E-2</v>
      </c>
      <c r="C5" s="54">
        <v>4.8129488839309176E-2</v>
      </c>
      <c r="D5" s="55">
        <v>4.6757011358724551E-2</v>
      </c>
      <c r="E5" s="1">
        <v>8.1969477076114461E-2</v>
      </c>
      <c r="F5" s="56">
        <v>0.12002942868805927</v>
      </c>
      <c r="G5" s="2">
        <v>1</v>
      </c>
      <c r="H5" s="2">
        <v>0.65633821435896178</v>
      </c>
      <c r="I5" s="2">
        <v>0.12870740571641923</v>
      </c>
      <c r="J5" s="2">
        <v>-0.54920273464462466</v>
      </c>
      <c r="K5" s="2">
        <v>2.9038285451132937E-2</v>
      </c>
      <c r="L5" s="2">
        <v>-0.12604119922834514</v>
      </c>
      <c r="M5" s="2">
        <v>0.18338653237395108</v>
      </c>
      <c r="N5" s="2">
        <v>0.9999999999982393</v>
      </c>
      <c r="O5" s="57"/>
      <c r="R5" s="51" t="str">
        <f t="shared" ref="R5:R11" si="0">A5</f>
        <v>High Yield</v>
      </c>
      <c r="S5" s="52">
        <f t="shared" ref="S5:S11" si="1">D5</f>
        <v>4.6757011358724551E-2</v>
      </c>
      <c r="T5" s="52">
        <f t="shared" ref="T5:T11" si="2">B5-D5</f>
        <v>3.8633202468638855E-2</v>
      </c>
      <c r="U5" s="52">
        <f t="shared" ref="U5:U11" si="3">F5-B5</f>
        <v>3.4639214860695863E-2</v>
      </c>
      <c r="W5" s="58"/>
      <c r="AA5" s="52"/>
      <c r="AB5" s="52"/>
      <c r="AC5" s="52"/>
      <c r="AD5" s="52"/>
    </row>
    <row r="6" spans="1:30">
      <c r="A6" s="59" t="str">
        <f>'Absolute visies'!A6</f>
        <v>Emerging market debt</v>
      </c>
      <c r="B6" s="1">
        <v>8.1005418334623963E-2</v>
      </c>
      <c r="C6" s="54">
        <v>4.6598083439187407E-2</v>
      </c>
      <c r="D6" s="55">
        <v>4.5865746399639182E-2</v>
      </c>
      <c r="E6" s="1">
        <v>7.5063866015439074E-2</v>
      </c>
      <c r="F6" s="56">
        <v>0.11289313373471424</v>
      </c>
      <c r="G6" s="2">
        <v>-0.82765166704142556</v>
      </c>
      <c r="H6" s="2">
        <v>1</v>
      </c>
      <c r="I6" s="2">
        <v>0.14142731600502859</v>
      </c>
      <c r="J6" s="2">
        <v>-0.54527293904984675</v>
      </c>
      <c r="K6" s="2">
        <v>4.2054605643541264E-2</v>
      </c>
      <c r="L6" s="2">
        <v>-0.12054512512169416</v>
      </c>
      <c r="M6" s="2">
        <v>0.14490108037185132</v>
      </c>
      <c r="N6" s="2">
        <v>0.9999999999981557</v>
      </c>
      <c r="O6" s="57"/>
      <c r="R6" s="51" t="str">
        <f t="shared" si="0"/>
        <v>Emerging market debt</v>
      </c>
      <c r="S6" s="52">
        <f t="shared" si="1"/>
        <v>4.5865746399639182E-2</v>
      </c>
      <c r="T6" s="52">
        <f t="shared" si="2"/>
        <v>3.5139671934984781E-2</v>
      </c>
      <c r="U6" s="52">
        <f t="shared" si="3"/>
        <v>3.1887715400090277E-2</v>
      </c>
      <c r="AA6" s="52"/>
      <c r="AB6" s="52"/>
      <c r="AC6" s="52"/>
      <c r="AD6" s="52"/>
    </row>
    <row r="7" spans="1:30">
      <c r="A7" s="59" t="str">
        <f>'Absolute visies'!A7</f>
        <v>Aandelen ontwikkeld</v>
      </c>
      <c r="B7" s="1">
        <v>8.7140469492885175E-2</v>
      </c>
      <c r="C7" s="54">
        <v>2.3016557552947882E-2</v>
      </c>
      <c r="D7" s="55">
        <v>6.9831550110757118E-2</v>
      </c>
      <c r="E7" s="1">
        <v>8.7324469284577461E-2</v>
      </c>
      <c r="F7" s="56">
        <v>0.10368569737378194</v>
      </c>
      <c r="G7" s="2">
        <v>4.6961066111160792E-2</v>
      </c>
      <c r="H7" s="2">
        <v>0.38747550748473442</v>
      </c>
      <c r="I7" s="2">
        <v>-0.16372598014392944</v>
      </c>
      <c r="J7" s="2">
        <v>1</v>
      </c>
      <c r="K7" s="2">
        <v>-0.67679334561080962</v>
      </c>
      <c r="L7" s="2">
        <v>-0.26220976935010881</v>
      </c>
      <c r="M7" s="2">
        <v>-0.53773408659719368</v>
      </c>
      <c r="N7" s="2">
        <v>0.99999999999668132</v>
      </c>
      <c r="O7" s="57"/>
      <c r="R7" s="51" t="str">
        <f t="shared" si="0"/>
        <v>Aandelen ontwikkeld</v>
      </c>
      <c r="S7" s="52">
        <f t="shared" si="1"/>
        <v>6.9831550110757118E-2</v>
      </c>
      <c r="T7" s="52">
        <f t="shared" si="2"/>
        <v>1.7308919382128057E-2</v>
      </c>
      <c r="U7" s="52">
        <f t="shared" si="3"/>
        <v>1.6545227880896768E-2</v>
      </c>
      <c r="AA7" s="52"/>
      <c r="AB7" s="52"/>
      <c r="AC7" s="52"/>
      <c r="AD7" s="52"/>
    </row>
    <row r="8" spans="1:30">
      <c r="A8" s="59" t="str">
        <f>'Absolute visies'!A8</f>
        <v>Aandelen opkomend</v>
      </c>
      <c r="B8" s="1">
        <v>5.4937266403263518E-2</v>
      </c>
      <c r="C8" s="54">
        <v>2.020443450449378E-2</v>
      </c>
      <c r="D8" s="55">
        <v>4.1674723609566276E-2</v>
      </c>
      <c r="E8" s="1">
        <v>5.4790744058679001E-2</v>
      </c>
      <c r="F8" s="56">
        <v>7.0263857641292102E-2</v>
      </c>
      <c r="G8" s="2">
        <v>-2.0683809215110763E-2</v>
      </c>
      <c r="H8" s="2">
        <v>-0.32579299456417216</v>
      </c>
      <c r="I8" s="2">
        <v>-0.1949192885234293</v>
      </c>
      <c r="J8" s="2">
        <v>0.14749765419108352</v>
      </c>
      <c r="K8" s="2">
        <v>1</v>
      </c>
      <c r="L8" s="2">
        <v>-0.36687664976780343</v>
      </c>
      <c r="M8" s="2">
        <v>-0.52534853570069329</v>
      </c>
      <c r="N8" s="2">
        <v>0.99999999999670719</v>
      </c>
      <c r="O8" s="57"/>
      <c r="R8" s="51" t="str">
        <f t="shared" si="0"/>
        <v>Aandelen opkomend</v>
      </c>
      <c r="S8" s="52">
        <f t="shared" si="1"/>
        <v>4.1674723609566276E-2</v>
      </c>
      <c r="T8" s="52">
        <f t="shared" si="2"/>
        <v>1.3262542793697242E-2</v>
      </c>
      <c r="U8" s="52">
        <f t="shared" si="3"/>
        <v>1.5326591238028583E-2</v>
      </c>
      <c r="AA8" s="52"/>
      <c r="AB8" s="52"/>
      <c r="AC8" s="52"/>
      <c r="AD8" s="52"/>
    </row>
    <row r="9" spans="1:30">
      <c r="A9" s="59" t="str">
        <f>'Absolute visies'!A9</f>
        <v>Commodities</v>
      </c>
      <c r="B9" s="1">
        <v>2.2503673046712587E-2</v>
      </c>
      <c r="C9" s="54">
        <v>1.2442451361832137E-2</v>
      </c>
      <c r="D9" s="55">
        <v>1.2928511675215838E-2</v>
      </c>
      <c r="E9" s="1">
        <v>2.2231051576160739E-2</v>
      </c>
      <c r="F9" s="56">
        <v>3.218707545321875E-2</v>
      </c>
      <c r="G9" s="2">
        <v>1.2247242798040682E-2</v>
      </c>
      <c r="H9" s="2">
        <v>3.0491898302112641E-4</v>
      </c>
      <c r="I9" s="2">
        <v>-3.6015356410725438E-2</v>
      </c>
      <c r="J9" s="2">
        <v>-4.1559313788618858E-2</v>
      </c>
      <c r="K9" s="2">
        <v>7.7191708609974583E-2</v>
      </c>
      <c r="L9" s="2">
        <v>1</v>
      </c>
      <c r="M9" s="2">
        <v>-0.4093962614763122</v>
      </c>
      <c r="N9" s="2">
        <v>0.99999999999695499</v>
      </c>
      <c r="O9" s="57"/>
      <c r="R9" s="51" t="str">
        <f t="shared" si="0"/>
        <v>Commodities</v>
      </c>
      <c r="S9" s="52">
        <f t="shared" si="1"/>
        <v>1.2928511675215838E-2</v>
      </c>
      <c r="T9" s="52">
        <f t="shared" si="2"/>
        <v>9.5751613714967487E-3</v>
      </c>
      <c r="U9" s="52">
        <f t="shared" si="3"/>
        <v>9.6834024065061627E-3</v>
      </c>
      <c r="AA9" s="52"/>
      <c r="AB9" s="52"/>
      <c r="AC9" s="52"/>
      <c r="AD9" s="52"/>
    </row>
    <row r="10" spans="1:30">
      <c r="A10" s="59" t="str">
        <f>'Absolute visies'!A10</f>
        <v>Hedge funds</v>
      </c>
      <c r="B10" s="1">
        <v>5.6767380601991033E-2</v>
      </c>
      <c r="C10" s="54">
        <v>3.3553857590458654E-2</v>
      </c>
      <c r="D10" s="55">
        <v>2.8721691486864168E-2</v>
      </c>
      <c r="E10" s="1">
        <v>5.2772333613786623E-2</v>
      </c>
      <c r="F10" s="56">
        <v>8.1233404971105122E-2</v>
      </c>
      <c r="G10" s="2">
        <v>-9.0796514125249056E-2</v>
      </c>
      <c r="H10" s="2">
        <v>-0.71088749453045752</v>
      </c>
      <c r="I10" s="2">
        <v>-0.91198537296741089</v>
      </c>
      <c r="J10" s="2">
        <v>-0.63614281799426498</v>
      </c>
      <c r="K10" s="2">
        <v>-0.41272298417177045</v>
      </c>
      <c r="L10" s="2">
        <v>-0.10604188179781374</v>
      </c>
      <c r="M10" s="2">
        <v>0.22488920919428551</v>
      </c>
      <c r="N10" s="2">
        <v>0.99999999999832845</v>
      </c>
      <c r="O10" s="57"/>
      <c r="R10" s="51" t="str">
        <f t="shared" si="0"/>
        <v>Hedge funds</v>
      </c>
      <c r="S10" s="52">
        <f t="shared" si="1"/>
        <v>2.8721691486864168E-2</v>
      </c>
      <c r="T10" s="52">
        <f t="shared" si="2"/>
        <v>2.8045689115126865E-2</v>
      </c>
      <c r="U10" s="52">
        <f t="shared" si="3"/>
        <v>2.4466024369114089E-2</v>
      </c>
      <c r="AA10" s="52"/>
      <c r="AB10" s="52"/>
      <c r="AC10" s="52"/>
      <c r="AD10" s="52"/>
    </row>
    <row r="11" spans="1:30">
      <c r="A11" s="60" t="str">
        <f>'Absolute visies'!A11</f>
        <v>Onroerend goed</v>
      </c>
      <c r="B11" s="61">
        <v>6.0886331172249931E-2</v>
      </c>
      <c r="C11" s="62">
        <v>3.6512799239895186E-2</v>
      </c>
      <c r="D11" s="63">
        <v>3.2607596871767411E-2</v>
      </c>
      <c r="E11" s="61">
        <v>5.7346315512002047E-2</v>
      </c>
      <c r="F11" s="64">
        <v>8.7862963033754946E-2</v>
      </c>
      <c r="G11" s="65">
        <v>-8.9235754279150828E-2</v>
      </c>
      <c r="H11" s="65">
        <v>-0.86922823076562494</v>
      </c>
      <c r="I11" s="65">
        <v>1</v>
      </c>
      <c r="J11" s="65">
        <v>-0.27418953262989837</v>
      </c>
      <c r="K11" s="65">
        <v>-0.30830252979955092</v>
      </c>
      <c r="L11" s="65">
        <v>-0.14654737584447319</v>
      </c>
      <c r="M11" s="65">
        <v>-8.0697938169871614E-2</v>
      </c>
      <c r="N11" s="65">
        <v>0.99999999999766809</v>
      </c>
      <c r="O11" s="66"/>
      <c r="R11" s="51" t="str">
        <f t="shared" si="0"/>
        <v>Onroerend goed</v>
      </c>
      <c r="S11" s="52">
        <f t="shared" si="1"/>
        <v>3.2607596871767411E-2</v>
      </c>
      <c r="T11" s="52">
        <f t="shared" si="2"/>
        <v>2.8278734300482521E-2</v>
      </c>
      <c r="U11" s="52">
        <f t="shared" si="3"/>
        <v>2.6976631861505014E-2</v>
      </c>
    </row>
    <row r="12" spans="1:30">
      <c r="AA12" s="52"/>
      <c r="AB12" s="52"/>
      <c r="AC12" s="52"/>
      <c r="AD12" s="52"/>
    </row>
    <row r="13" spans="1:30">
      <c r="A13" s="48" t="s">
        <v>68</v>
      </c>
      <c r="D13" s="384" t="s">
        <v>64</v>
      </c>
      <c r="E13" s="385"/>
      <c r="F13" s="386"/>
      <c r="G13" s="384" t="s">
        <v>65</v>
      </c>
      <c r="H13" s="385"/>
      <c r="I13" s="385"/>
      <c r="J13" s="385"/>
      <c r="K13" s="385"/>
      <c r="L13" s="385"/>
      <c r="M13" s="385"/>
      <c r="N13" s="385"/>
      <c r="O13" s="386"/>
    </row>
    <row r="14" spans="1:30">
      <c r="A14" s="266" t="str">
        <f>Optimalisatie!A21</f>
        <v>Base Case</v>
      </c>
      <c r="B14" s="267" t="s">
        <v>1</v>
      </c>
      <c r="C14" s="268" t="s">
        <v>2</v>
      </c>
      <c r="D14" s="269">
        <v>0.25</v>
      </c>
      <c r="E14" s="270">
        <v>0.5</v>
      </c>
      <c r="F14" s="271">
        <v>0.75</v>
      </c>
      <c r="G14" s="272">
        <v>0.793870753850349</v>
      </c>
      <c r="H14" s="272">
        <v>9.0032283068141039E-2</v>
      </c>
      <c r="I14" s="272">
        <v>7.4079883375709032E-2</v>
      </c>
      <c r="J14" s="272">
        <v>3.7381924491545204E-2</v>
      </c>
      <c r="K14" s="272">
        <v>2.9660592285682963E-3</v>
      </c>
      <c r="L14" s="272">
        <v>1.0855006994477945E-3</v>
      </c>
      <c r="M14" s="272">
        <v>5.8359528623763701E-4</v>
      </c>
      <c r="N14" s="272">
        <v>0</v>
      </c>
      <c r="O14" s="273">
        <v>0</v>
      </c>
      <c r="R14" s="51" t="str">
        <f>A14</f>
        <v>Base Case</v>
      </c>
      <c r="S14" s="51"/>
      <c r="T14" s="52"/>
      <c r="U14" s="51"/>
      <c r="AA14" s="52"/>
      <c r="AB14" s="52"/>
      <c r="AC14" s="52"/>
      <c r="AD14" s="52"/>
    </row>
    <row r="15" spans="1:30">
      <c r="A15" s="59" t="str">
        <f>A4</f>
        <v>Nominale matching</v>
      </c>
      <c r="B15" s="285">
        <v>0.63884131311996284</v>
      </c>
      <c r="C15" s="54">
        <v>3.3388435170532221E-2</v>
      </c>
      <c r="D15" s="55">
        <v>0.6155766536146553</v>
      </c>
      <c r="E15" s="1">
        <v>0.64262510968805775</v>
      </c>
      <c r="F15" s="56">
        <v>0.66431038682323595</v>
      </c>
      <c r="G15" s="2">
        <v>-0.56042177567045171</v>
      </c>
      <c r="H15" s="2">
        <v>0.18313749683766231</v>
      </c>
      <c r="I15" s="2">
        <v>-0.47652219504931431</v>
      </c>
      <c r="J15" s="2">
        <v>-0.33421197790326884</v>
      </c>
      <c r="K15" s="2">
        <v>-0.2548593858775865</v>
      </c>
      <c r="L15" s="2">
        <v>-0.69817593933227184</v>
      </c>
      <c r="M15" s="2">
        <v>-0.41375795201160609</v>
      </c>
      <c r="N15" s="2">
        <v>1</v>
      </c>
      <c r="O15" s="57"/>
      <c r="R15" s="51" t="str">
        <f>A15</f>
        <v>Nominale matching</v>
      </c>
      <c r="S15" s="52">
        <f>D15</f>
        <v>0.6155766536146553</v>
      </c>
      <c r="T15" s="52">
        <f>B15-D15</f>
        <v>2.3264659505307539E-2</v>
      </c>
      <c r="U15" s="52">
        <f>F15-B15</f>
        <v>2.5469073703273115E-2</v>
      </c>
      <c r="AA15" s="52"/>
      <c r="AB15" s="52"/>
      <c r="AC15" s="52"/>
      <c r="AD15" s="52"/>
    </row>
    <row r="16" spans="1:30">
      <c r="A16" s="59" t="str">
        <f t="shared" ref="A16:A22" si="4">A5</f>
        <v>High Yield</v>
      </c>
      <c r="B16" s="285">
        <v>8.9152415993890524E-2</v>
      </c>
      <c r="C16" s="54">
        <v>5.7583447950149025E-2</v>
      </c>
      <c r="D16" s="55">
        <v>4.3600169544033028E-2</v>
      </c>
      <c r="E16" s="1">
        <v>7.9182136751944354E-2</v>
      </c>
      <c r="F16" s="56">
        <v>0.12465809585601395</v>
      </c>
      <c r="G16" s="2">
        <v>1</v>
      </c>
      <c r="H16" s="2">
        <v>2.0851454662755609E-2</v>
      </c>
      <c r="I16" s="2">
        <v>-0.36798307719795231</v>
      </c>
      <c r="J16" s="2">
        <v>-0.21894270330411147</v>
      </c>
      <c r="K16" s="2">
        <v>-0.19361879854251043</v>
      </c>
      <c r="L16" s="2">
        <v>-4.1759760950414823E-2</v>
      </c>
      <c r="M16" s="2">
        <v>-0.18754647272114583</v>
      </c>
      <c r="N16" s="2">
        <v>0.99999999999999012</v>
      </c>
      <c r="O16" s="57"/>
      <c r="R16" s="51" t="str">
        <f t="shared" ref="R16:R22" si="5">A16</f>
        <v>High Yield</v>
      </c>
      <c r="S16" s="52">
        <f t="shared" ref="S16:S22" si="6">D16</f>
        <v>4.3600169544033028E-2</v>
      </c>
      <c r="T16" s="52">
        <f t="shared" ref="T16:T22" si="7">B16-D16</f>
        <v>4.5552246449857496E-2</v>
      </c>
      <c r="U16" s="52">
        <f t="shared" ref="U16:U22" si="8">F16-B16</f>
        <v>3.5505679862123427E-2</v>
      </c>
      <c r="AA16" s="52"/>
      <c r="AB16" s="52"/>
      <c r="AC16" s="52"/>
      <c r="AD16" s="52"/>
    </row>
    <row r="17" spans="1:30">
      <c r="A17" s="59" t="str">
        <f t="shared" si="4"/>
        <v>Emerging market debt</v>
      </c>
      <c r="B17" s="285">
        <v>1.6180596839274166E-2</v>
      </c>
      <c r="C17" s="54">
        <v>1.3773782145671732E-2</v>
      </c>
      <c r="D17" s="55">
        <v>5.6764861630027308E-3</v>
      </c>
      <c r="E17" s="1">
        <v>1.2286490051609988E-2</v>
      </c>
      <c r="F17" s="56">
        <v>2.4079264019034787E-2</v>
      </c>
      <c r="G17" s="2">
        <v>-2.9331494303368628E-2</v>
      </c>
      <c r="H17" s="2">
        <v>-0.10731640699813987</v>
      </c>
      <c r="I17" s="2">
        <v>-0.13785581233579336</v>
      </c>
      <c r="J17" s="2">
        <v>1</v>
      </c>
      <c r="K17" s="2">
        <v>-0.13082800369604561</v>
      </c>
      <c r="L17" s="2">
        <v>-8.3879614338137301E-2</v>
      </c>
      <c r="M17" s="2">
        <v>-0.18020642906483089</v>
      </c>
      <c r="N17" s="2">
        <v>0.99999999999998956</v>
      </c>
      <c r="O17" s="57"/>
      <c r="R17" s="51" t="str">
        <f t="shared" si="5"/>
        <v>Emerging market debt</v>
      </c>
      <c r="S17" s="52">
        <f t="shared" si="6"/>
        <v>5.6764861630027308E-3</v>
      </c>
      <c r="T17" s="52">
        <f t="shared" si="7"/>
        <v>1.0504110676271435E-2</v>
      </c>
      <c r="U17" s="52">
        <f t="shared" si="8"/>
        <v>7.8986671797606212E-3</v>
      </c>
      <c r="AA17" s="52"/>
      <c r="AB17" s="52"/>
      <c r="AC17" s="52"/>
      <c r="AD17" s="52"/>
    </row>
    <row r="18" spans="1:30">
      <c r="A18" s="59" t="str">
        <f t="shared" si="4"/>
        <v>Aandelen ontwikkeld</v>
      </c>
      <c r="B18" s="285">
        <v>1.6946947243372027E-3</v>
      </c>
      <c r="C18" s="54">
        <v>1.8565137754232542E-3</v>
      </c>
      <c r="D18" s="55">
        <v>2.6526515614317753E-4</v>
      </c>
      <c r="E18" s="1">
        <v>9.7234691477604768E-4</v>
      </c>
      <c r="F18" s="56">
        <v>2.458815512760911E-3</v>
      </c>
      <c r="G18" s="2">
        <v>2.9943116588051274E-4</v>
      </c>
      <c r="H18" s="2">
        <v>6.5101509433286879E-3</v>
      </c>
      <c r="I18" s="2">
        <v>-9.0710263254931509E-3</v>
      </c>
      <c r="J18" s="2">
        <v>-1.4644759010299688E-2</v>
      </c>
      <c r="K18" s="2">
        <v>4.8428116128048657E-3</v>
      </c>
      <c r="L18" s="2">
        <v>-0.51720555602717433</v>
      </c>
      <c r="M18" s="2">
        <v>1</v>
      </c>
      <c r="N18" s="2">
        <v>0.99999999999997169</v>
      </c>
      <c r="O18" s="57"/>
      <c r="R18" s="51" t="str">
        <f t="shared" si="5"/>
        <v>Aandelen ontwikkeld</v>
      </c>
      <c r="S18" s="52">
        <f t="shared" si="6"/>
        <v>2.6526515614317753E-4</v>
      </c>
      <c r="T18" s="52">
        <f t="shared" si="7"/>
        <v>1.4294295681940251E-3</v>
      </c>
      <c r="U18" s="52">
        <f t="shared" si="8"/>
        <v>7.6412078842370834E-4</v>
      </c>
      <c r="AA18" s="52"/>
      <c r="AB18" s="52"/>
      <c r="AC18" s="52"/>
      <c r="AD18" s="52"/>
    </row>
    <row r="19" spans="1:30">
      <c r="A19" s="59" t="str">
        <f t="shared" si="4"/>
        <v>Aandelen opkomend</v>
      </c>
      <c r="B19" s="285">
        <v>2.5254391686127226E-2</v>
      </c>
      <c r="C19" s="54">
        <v>1.9812412621961473E-2</v>
      </c>
      <c r="D19" s="55">
        <v>1.0406197405009143E-2</v>
      </c>
      <c r="E19" s="1">
        <v>2.0416540295551868E-2</v>
      </c>
      <c r="F19" s="56">
        <v>3.5705544932015471E-2</v>
      </c>
      <c r="G19" s="2">
        <v>-7.9343405454464944E-2</v>
      </c>
      <c r="H19" s="2">
        <v>1</v>
      </c>
      <c r="I19" s="2">
        <v>0.49663292229024469</v>
      </c>
      <c r="J19" s="2">
        <v>-2.4880744397344962E-2</v>
      </c>
      <c r="K19" s="2">
        <v>-0.14047120614789432</v>
      </c>
      <c r="L19" s="2">
        <v>0.50912100049277142</v>
      </c>
      <c r="M19" s="2">
        <v>3.785558898329322E-3</v>
      </c>
      <c r="N19" s="2">
        <v>0.99999999999998068</v>
      </c>
      <c r="O19" s="57"/>
      <c r="R19" s="51" t="str">
        <f t="shared" si="5"/>
        <v>Aandelen opkomend</v>
      </c>
      <c r="S19" s="52">
        <f t="shared" si="6"/>
        <v>1.0406197405009143E-2</v>
      </c>
      <c r="T19" s="52">
        <f t="shared" si="7"/>
        <v>1.4848194281118082E-2</v>
      </c>
      <c r="U19" s="52">
        <f t="shared" si="8"/>
        <v>1.0451153245888245E-2</v>
      </c>
      <c r="AA19" s="52"/>
      <c r="AB19" s="52"/>
      <c r="AC19" s="52"/>
      <c r="AD19" s="52"/>
    </row>
    <row r="20" spans="1:30">
      <c r="A20" s="59" t="str">
        <f t="shared" si="4"/>
        <v>Commodities</v>
      </c>
      <c r="B20" s="285">
        <v>0.19937901187906307</v>
      </c>
      <c r="C20" s="54">
        <v>2.1342483309186477E-2</v>
      </c>
      <c r="D20" s="55">
        <v>0.18484038086021393</v>
      </c>
      <c r="E20" s="1">
        <v>0.19966034838295904</v>
      </c>
      <c r="F20" s="56">
        <v>0.21566980437883349</v>
      </c>
      <c r="G20" s="2">
        <v>-0.31360110137459635</v>
      </c>
      <c r="H20" s="2">
        <v>-0.4707788425245143</v>
      </c>
      <c r="I20" s="2">
        <v>-0.48573585137353353</v>
      </c>
      <c r="J20" s="2">
        <v>-0.17880579092965412</v>
      </c>
      <c r="K20" s="2">
        <v>-0.11011845482494245</v>
      </c>
      <c r="L20" s="2">
        <v>1</v>
      </c>
      <c r="M20" s="2">
        <v>0.16963842895057998</v>
      </c>
      <c r="N20" s="2">
        <v>0.99999999999997446</v>
      </c>
      <c r="O20" s="57"/>
      <c r="R20" s="51" t="str">
        <f t="shared" si="5"/>
        <v>Commodities</v>
      </c>
      <c r="S20" s="52">
        <f t="shared" si="6"/>
        <v>0.18484038086021393</v>
      </c>
      <c r="T20" s="52">
        <f t="shared" si="7"/>
        <v>1.4538631018849141E-2</v>
      </c>
      <c r="U20" s="52">
        <f t="shared" si="8"/>
        <v>1.6290792499770418E-2</v>
      </c>
      <c r="AA20" s="52"/>
      <c r="AB20" s="52"/>
      <c r="AC20" s="52"/>
      <c r="AD20" s="52"/>
    </row>
    <row r="21" spans="1:30">
      <c r="A21" s="59" t="str">
        <f t="shared" si="4"/>
        <v>Hedge funds</v>
      </c>
      <c r="B21" s="285">
        <v>2.549361968294718E-2</v>
      </c>
      <c r="C21" s="54">
        <v>1.9237734565573303E-2</v>
      </c>
      <c r="D21" s="55">
        <v>1.0498635837818742E-2</v>
      </c>
      <c r="E21" s="1">
        <v>2.1157849483218812E-2</v>
      </c>
      <c r="F21" s="56">
        <v>3.5946781985662569E-2</v>
      </c>
      <c r="G21" s="2">
        <v>-1.6063822806494415E-2</v>
      </c>
      <c r="H21" s="2">
        <v>-0.64485774199312718</v>
      </c>
      <c r="I21" s="2">
        <v>1</v>
      </c>
      <c r="J21" s="2">
        <v>-0.17759067296206404</v>
      </c>
      <c r="K21" s="2">
        <v>-0.17494696252382047</v>
      </c>
      <c r="L21" s="2">
        <v>-0.1321286758796176</v>
      </c>
      <c r="M21" s="2">
        <v>-0.20506775725583351</v>
      </c>
      <c r="N21" s="2">
        <v>0.9999999999999909</v>
      </c>
      <c r="O21" s="57"/>
      <c r="R21" s="51" t="str">
        <f t="shared" si="5"/>
        <v>Hedge funds</v>
      </c>
      <c r="S21" s="52">
        <f t="shared" si="6"/>
        <v>1.0498635837818742E-2</v>
      </c>
      <c r="T21" s="52">
        <f t="shared" si="7"/>
        <v>1.4994983845128438E-2</v>
      </c>
      <c r="U21" s="52">
        <f t="shared" si="8"/>
        <v>1.0453162302715389E-2</v>
      </c>
    </row>
    <row r="22" spans="1:30">
      <c r="A22" s="60" t="str">
        <f t="shared" si="4"/>
        <v>Onroerend goed</v>
      </c>
      <c r="B22" s="286">
        <v>4.0039560743981373E-3</v>
      </c>
      <c r="C22" s="62">
        <v>3.9239983059554326E-3</v>
      </c>
      <c r="D22" s="63">
        <v>1.1170785589746234E-3</v>
      </c>
      <c r="E22" s="61">
        <v>2.5873946688405852E-3</v>
      </c>
      <c r="F22" s="64">
        <v>5.6139257697055802E-3</v>
      </c>
      <c r="G22" s="65">
        <v>-1.5378315565043159E-3</v>
      </c>
      <c r="H22" s="65">
        <v>1.2453889072035726E-2</v>
      </c>
      <c r="I22" s="65">
        <v>-1.946496000815728E-2</v>
      </c>
      <c r="J22" s="65">
        <v>-5.0923351493256573E-2</v>
      </c>
      <c r="K22" s="65">
        <v>1</v>
      </c>
      <c r="L22" s="65">
        <v>-3.5971453965138046E-2</v>
      </c>
      <c r="M22" s="65">
        <v>-0.18684537679546892</v>
      </c>
      <c r="N22" s="65">
        <v>0.99999999999998468</v>
      </c>
      <c r="O22" s="66"/>
      <c r="R22" s="51" t="str">
        <f t="shared" si="5"/>
        <v>Onroerend goed</v>
      </c>
      <c r="S22" s="52">
        <f t="shared" si="6"/>
        <v>1.1170785589746234E-3</v>
      </c>
      <c r="T22" s="52">
        <f t="shared" si="7"/>
        <v>2.8868775154235141E-3</v>
      </c>
      <c r="U22" s="52">
        <f t="shared" si="8"/>
        <v>1.6099696953074429E-3</v>
      </c>
    </row>
    <row r="23" spans="1:30">
      <c r="A23" s="67"/>
      <c r="B23" s="1"/>
      <c r="C23" s="1"/>
      <c r="D23" s="1"/>
      <c r="E23" s="1"/>
      <c r="F23" s="68"/>
      <c r="G23" s="68"/>
      <c r="H23" s="68"/>
      <c r="I23" s="68"/>
      <c r="J23" s="68"/>
      <c r="K23" s="68"/>
      <c r="L23" s="68"/>
      <c r="M23" s="68"/>
      <c r="N23" s="68"/>
      <c r="O23" s="68"/>
    </row>
    <row r="24" spans="1:30">
      <c r="D24" s="384" t="s">
        <v>64</v>
      </c>
      <c r="E24" s="385"/>
      <c r="F24" s="386"/>
      <c r="G24" s="384" t="s">
        <v>65</v>
      </c>
      <c r="H24" s="385"/>
      <c r="I24" s="385"/>
      <c r="J24" s="385"/>
      <c r="K24" s="385"/>
      <c r="L24" s="385"/>
      <c r="M24" s="385"/>
      <c r="N24" s="385"/>
      <c r="O24" s="386"/>
    </row>
    <row r="25" spans="1:30">
      <c r="A25" s="266" t="str">
        <f>Optimalisatie!A22</f>
        <v>Base - muddle down</v>
      </c>
      <c r="B25" s="267" t="s">
        <v>1</v>
      </c>
      <c r="C25" s="268" t="s">
        <v>2</v>
      </c>
      <c r="D25" s="269">
        <v>0.25</v>
      </c>
      <c r="E25" s="270">
        <v>0.5</v>
      </c>
      <c r="F25" s="271">
        <v>0.75</v>
      </c>
      <c r="G25" s="272">
        <v>0.94253143676828777</v>
      </c>
      <c r="H25" s="272">
        <v>4.532412629492133E-2</v>
      </c>
      <c r="I25" s="272">
        <v>9.0017233777434091E-3</v>
      </c>
      <c r="J25" s="272">
        <v>1.7047845267519346E-3</v>
      </c>
      <c r="K25" s="272">
        <v>1.108365325975913E-3</v>
      </c>
      <c r="L25" s="272">
        <v>2.4528668855272606E-4</v>
      </c>
      <c r="M25" s="272">
        <v>8.427701776902996E-5</v>
      </c>
      <c r="N25" s="272">
        <v>0</v>
      </c>
      <c r="O25" s="273">
        <v>0</v>
      </c>
      <c r="R25" s="51" t="str">
        <f>A25</f>
        <v>Base - muddle down</v>
      </c>
      <c r="S25" s="51"/>
      <c r="T25" s="52"/>
      <c r="U25" s="51"/>
      <c r="AA25" s="52"/>
      <c r="AB25" s="52"/>
      <c r="AC25" s="52"/>
      <c r="AD25" s="52"/>
    </row>
    <row r="26" spans="1:30">
      <c r="A26" s="59" t="str">
        <f>A15</f>
        <v>Nominale matching</v>
      </c>
      <c r="B26" s="1">
        <v>0.78328071561288071</v>
      </c>
      <c r="C26" s="54">
        <v>4.4949055045451672E-2</v>
      </c>
      <c r="D26" s="55">
        <v>0.74659048455063393</v>
      </c>
      <c r="E26" s="1">
        <v>0.7779908362121255</v>
      </c>
      <c r="F26" s="56">
        <v>0.81621824544585664</v>
      </c>
      <c r="G26" s="68">
        <v>1</v>
      </c>
      <c r="H26" s="68">
        <v>-0.41129206286182252</v>
      </c>
      <c r="I26" s="68">
        <v>-0.33360597469587644</v>
      </c>
      <c r="J26" s="68">
        <v>-0.39848075457609228</v>
      </c>
      <c r="K26" s="68">
        <v>-7.1648585407850213E-2</v>
      </c>
      <c r="L26" s="68">
        <v>-0.16921503843523203</v>
      </c>
      <c r="M26" s="2">
        <v>-0.13330311921438928</v>
      </c>
      <c r="N26" s="2">
        <v>0.99999999999999944</v>
      </c>
      <c r="O26" s="69"/>
      <c r="R26" s="51" t="str">
        <f>A26</f>
        <v>Nominale matching</v>
      </c>
      <c r="S26" s="52">
        <f>D26</f>
        <v>0.74659048455063393</v>
      </c>
      <c r="T26" s="52">
        <f>B26-D26</f>
        <v>3.6690231062246781E-2</v>
      </c>
      <c r="U26" s="52">
        <f>F26-B26</f>
        <v>3.2937529832975931E-2</v>
      </c>
      <c r="AA26" s="52"/>
      <c r="AB26" s="52"/>
      <c r="AC26" s="52"/>
      <c r="AD26" s="52"/>
    </row>
    <row r="27" spans="1:30">
      <c r="A27" s="59" t="str">
        <f t="shared" ref="A27:A33" si="9">A16</f>
        <v>High Yield</v>
      </c>
      <c r="B27" s="1">
        <v>1.9077726566221387E-3</v>
      </c>
      <c r="C27" s="54">
        <v>2.1676205771686092E-3</v>
      </c>
      <c r="D27" s="55">
        <v>4.4624039680647536E-4</v>
      </c>
      <c r="E27" s="1">
        <v>1.1616677580811954E-3</v>
      </c>
      <c r="F27" s="56">
        <v>2.7584962519587343E-3</v>
      </c>
      <c r="G27" s="68">
        <v>-5.982121023048079E-3</v>
      </c>
      <c r="H27" s="68">
        <v>-6.7988676808736544E-3</v>
      </c>
      <c r="I27" s="68">
        <v>4.1508685061550414E-2</v>
      </c>
      <c r="J27" s="68">
        <v>1</v>
      </c>
      <c r="K27" s="68">
        <v>-0.73699371069913255</v>
      </c>
      <c r="L27" s="68">
        <v>-0.20537570976242411</v>
      </c>
      <c r="M27" s="2">
        <v>-0.12069117293912303</v>
      </c>
      <c r="N27" s="2">
        <v>0.99999999999998557</v>
      </c>
      <c r="O27" s="69"/>
      <c r="R27" s="51" t="str">
        <f t="shared" ref="R27:R33" si="10">A27</f>
        <v>High Yield</v>
      </c>
      <c r="S27" s="52">
        <f t="shared" ref="S27:S33" si="11">D27</f>
        <v>4.4624039680647536E-4</v>
      </c>
      <c r="T27" s="52">
        <f t="shared" ref="T27:T33" si="12">B27-D27</f>
        <v>1.4615322598156633E-3</v>
      </c>
      <c r="U27" s="52">
        <f t="shared" ref="U27:U33" si="13">F27-B27</f>
        <v>8.5072359533659562E-4</v>
      </c>
      <c r="AA27" s="52"/>
      <c r="AB27" s="52"/>
      <c r="AC27" s="52"/>
      <c r="AD27" s="52"/>
    </row>
    <row r="28" spans="1:30">
      <c r="A28" s="59" t="str">
        <f t="shared" si="9"/>
        <v>Emerging market debt</v>
      </c>
      <c r="B28" s="1">
        <v>1.3595195293279591E-2</v>
      </c>
      <c r="C28" s="54">
        <v>1.1408837736874356E-2</v>
      </c>
      <c r="D28" s="55">
        <v>5.1174023303065183E-3</v>
      </c>
      <c r="E28" s="1">
        <v>1.1143586812791808E-2</v>
      </c>
      <c r="F28" s="56">
        <v>1.8683715609112271E-2</v>
      </c>
      <c r="G28" s="68">
        <v>-7.0744475668827952E-2</v>
      </c>
      <c r="H28" s="68">
        <v>1</v>
      </c>
      <c r="I28" s="68">
        <v>-0.33135843661495584</v>
      </c>
      <c r="J28" s="68">
        <v>-0.38520638333023183</v>
      </c>
      <c r="K28" s="68">
        <v>-6.7861721235359676E-2</v>
      </c>
      <c r="L28" s="68">
        <v>-0.1617076241198987</v>
      </c>
      <c r="M28" s="2">
        <v>-0.12971631821517587</v>
      </c>
      <c r="N28" s="2">
        <v>0.99999999999999734</v>
      </c>
      <c r="O28" s="69"/>
      <c r="R28" s="51" t="str">
        <f t="shared" si="10"/>
        <v>Emerging market debt</v>
      </c>
      <c r="S28" s="52">
        <f t="shared" si="11"/>
        <v>5.1174023303065183E-3</v>
      </c>
      <c r="T28" s="52">
        <f t="shared" si="12"/>
        <v>8.4777929629730724E-3</v>
      </c>
      <c r="U28" s="52">
        <f t="shared" si="13"/>
        <v>5.0885203158326803E-3</v>
      </c>
      <c r="AA28" s="52"/>
      <c r="AB28" s="52"/>
      <c r="AC28" s="52"/>
      <c r="AD28" s="52"/>
    </row>
    <row r="29" spans="1:30">
      <c r="A29" s="59" t="str">
        <f t="shared" si="9"/>
        <v>Aandelen ontwikkeld</v>
      </c>
      <c r="B29" s="1">
        <v>3.2570713579514895E-4</v>
      </c>
      <c r="C29" s="54">
        <v>5.3462815314748026E-4</v>
      </c>
      <c r="D29" s="55">
        <v>1.2907178347474162E-5</v>
      </c>
      <c r="E29" s="1">
        <v>1.0874476476746103E-4</v>
      </c>
      <c r="F29" s="56">
        <v>4.1546894876086317E-4</v>
      </c>
      <c r="G29" s="68">
        <v>-9.5847666017417053E-4</v>
      </c>
      <c r="H29" s="68">
        <v>-4.2754131157911575E-3</v>
      </c>
      <c r="I29" s="68">
        <v>2.16783210381577E-3</v>
      </c>
      <c r="J29" s="68">
        <v>-2.6868969170335691E-3</v>
      </c>
      <c r="K29" s="68">
        <v>1.71358581562218E-2</v>
      </c>
      <c r="L29" s="68">
        <v>6.1081915770190898E-2</v>
      </c>
      <c r="M29" s="2">
        <v>1</v>
      </c>
      <c r="N29" s="2">
        <v>0.99999999999986688</v>
      </c>
      <c r="O29" s="69"/>
      <c r="R29" s="51" t="str">
        <f t="shared" si="10"/>
        <v>Aandelen ontwikkeld</v>
      </c>
      <c r="S29" s="52">
        <f t="shared" si="11"/>
        <v>1.2907178347474162E-5</v>
      </c>
      <c r="T29" s="52">
        <f t="shared" si="12"/>
        <v>3.127999574476748E-4</v>
      </c>
      <c r="U29" s="52">
        <f t="shared" si="13"/>
        <v>8.9761812965714221E-5</v>
      </c>
      <c r="AA29" s="52"/>
      <c r="AB29" s="52"/>
      <c r="AC29" s="52"/>
      <c r="AD29" s="52"/>
    </row>
    <row r="30" spans="1:30">
      <c r="A30" s="59" t="str">
        <f t="shared" si="9"/>
        <v>Aandelen opkomend</v>
      </c>
      <c r="B30" s="1">
        <v>1.677817707621187E-3</v>
      </c>
      <c r="C30" s="54">
        <v>1.9972994912901281E-3</v>
      </c>
      <c r="D30" s="55">
        <v>2.7108429391002652E-4</v>
      </c>
      <c r="E30" s="1">
        <v>9.8295523034614557E-4</v>
      </c>
      <c r="F30" s="56">
        <v>2.4374409755168504E-3</v>
      </c>
      <c r="G30" s="68">
        <v>-5.1435288661773456E-3</v>
      </c>
      <c r="H30" s="68">
        <v>-8.1729549398597851E-3</v>
      </c>
      <c r="I30" s="68">
        <v>1.1432592347476983E-2</v>
      </c>
      <c r="J30" s="68">
        <v>0.62556311385419017</v>
      </c>
      <c r="K30" s="68">
        <v>1</v>
      </c>
      <c r="L30" s="68">
        <v>-0.18765738361769826</v>
      </c>
      <c r="M30" s="2">
        <v>-0.14409451695638989</v>
      </c>
      <c r="N30" s="2">
        <v>0.99999999999998912</v>
      </c>
      <c r="O30" s="69"/>
      <c r="R30" s="51" t="str">
        <f t="shared" si="10"/>
        <v>Aandelen opkomend</v>
      </c>
      <c r="S30" s="52">
        <f t="shared" si="11"/>
        <v>2.7108429391002652E-4</v>
      </c>
      <c r="T30" s="52">
        <f t="shared" si="12"/>
        <v>1.4067334137111605E-3</v>
      </c>
      <c r="U30" s="52">
        <f t="shared" si="13"/>
        <v>7.596232678956634E-4</v>
      </c>
      <c r="AA30" s="52"/>
      <c r="AB30" s="52"/>
      <c r="AC30" s="52"/>
      <c r="AD30" s="52"/>
    </row>
    <row r="31" spans="1:30">
      <c r="A31" s="59" t="str">
        <f t="shared" si="9"/>
        <v>Commodities</v>
      </c>
      <c r="B31" s="1">
        <v>0.19346840744270685</v>
      </c>
      <c r="C31" s="54">
        <v>3.9959253207484162E-2</v>
      </c>
      <c r="D31" s="55">
        <v>0.16339629983999532</v>
      </c>
      <c r="E31" s="1">
        <v>0.19581357387615095</v>
      </c>
      <c r="F31" s="56">
        <v>0.22755348375183077</v>
      </c>
      <c r="G31" s="68">
        <v>-0.8831119695235542</v>
      </c>
      <c r="H31" s="68">
        <v>-0.54513418024124971</v>
      </c>
      <c r="I31" s="68">
        <v>-0.38692846728538988</v>
      </c>
      <c r="J31" s="68">
        <v>-0.4143186808748433</v>
      </c>
      <c r="K31" s="68">
        <v>-7.4528776698736657E-2</v>
      </c>
      <c r="L31" s="68">
        <v>-0.17365418171939517</v>
      </c>
      <c r="M31" s="2">
        <v>-0.13453978068433703</v>
      </c>
      <c r="N31" s="2">
        <v>1</v>
      </c>
      <c r="O31" s="69"/>
      <c r="R31" s="51" t="str">
        <f t="shared" si="10"/>
        <v>Commodities</v>
      </c>
      <c r="S31" s="52">
        <f t="shared" si="11"/>
        <v>0.16339629983999532</v>
      </c>
      <c r="T31" s="52">
        <f t="shared" si="12"/>
        <v>3.0072107602711534E-2</v>
      </c>
      <c r="U31" s="52">
        <f t="shared" si="13"/>
        <v>3.4085076309123913E-2</v>
      </c>
      <c r="AA31" s="52"/>
      <c r="AB31" s="52"/>
      <c r="AC31" s="52"/>
      <c r="AD31" s="52"/>
    </row>
    <row r="32" spans="1:30">
      <c r="A32" s="59" t="str">
        <f t="shared" si="9"/>
        <v>Hedge funds</v>
      </c>
      <c r="B32" s="1">
        <v>5.0365343344510854E-3</v>
      </c>
      <c r="C32" s="54">
        <v>5.245285373496898E-3</v>
      </c>
      <c r="D32" s="55">
        <v>1.2613832892028715E-3</v>
      </c>
      <c r="E32" s="1">
        <v>3.5554014467704897E-3</v>
      </c>
      <c r="F32" s="56">
        <v>6.6327672947640859E-3</v>
      </c>
      <c r="G32" s="68">
        <v>-3.1236851366311446E-2</v>
      </c>
      <c r="H32" s="68">
        <v>-1.6419498041326402E-2</v>
      </c>
      <c r="I32" s="68">
        <v>1</v>
      </c>
      <c r="J32" s="68">
        <v>-0.46940008826335683</v>
      </c>
      <c r="K32" s="68">
        <v>-5.613641060213697E-2</v>
      </c>
      <c r="L32" s="68">
        <v>-0.16347197811549152</v>
      </c>
      <c r="M32" s="2">
        <v>-0.13567093857543708</v>
      </c>
      <c r="N32" s="2">
        <v>0.99999999999999867</v>
      </c>
      <c r="O32" s="69"/>
      <c r="R32" s="51" t="str">
        <f t="shared" si="10"/>
        <v>Hedge funds</v>
      </c>
      <c r="S32" s="52">
        <f t="shared" si="11"/>
        <v>1.2613832892028715E-3</v>
      </c>
      <c r="T32" s="52">
        <f t="shared" si="12"/>
        <v>3.7751510452482141E-3</v>
      </c>
      <c r="U32" s="52">
        <f t="shared" si="13"/>
        <v>1.5962329603130005E-3</v>
      </c>
    </row>
    <row r="33" spans="1:30">
      <c r="A33" s="60" t="str">
        <f t="shared" si="9"/>
        <v>Onroerend goed</v>
      </c>
      <c r="B33" s="61">
        <v>7.0784981664355267E-4</v>
      </c>
      <c r="C33" s="62">
        <v>9.0525200038224214E-4</v>
      </c>
      <c r="D33" s="63">
        <v>9.0112776773304418E-5</v>
      </c>
      <c r="E33" s="61">
        <v>3.3469627245593097E-4</v>
      </c>
      <c r="F33" s="64">
        <v>1.0108229809801376E-3</v>
      </c>
      <c r="G33" s="70">
        <v>-2.8225768919066304E-3</v>
      </c>
      <c r="H33" s="70">
        <v>-7.907023119075221E-3</v>
      </c>
      <c r="I33" s="70">
        <v>-3.2162309166199974E-3</v>
      </c>
      <c r="J33" s="70">
        <v>4.4529690107389198E-2</v>
      </c>
      <c r="K33" s="70">
        <v>-9.9666535130040323E-3</v>
      </c>
      <c r="L33" s="70">
        <v>1</v>
      </c>
      <c r="M33" s="65">
        <v>-0.20198415341502848</v>
      </c>
      <c r="N33" s="65">
        <v>0.99999999999995148</v>
      </c>
      <c r="O33" s="71"/>
      <c r="R33" s="51" t="str">
        <f t="shared" si="10"/>
        <v>Onroerend goed</v>
      </c>
      <c r="S33" s="52">
        <f t="shared" si="11"/>
        <v>9.0112776773304418E-5</v>
      </c>
      <c r="T33" s="52">
        <f t="shared" si="12"/>
        <v>6.1773703987024831E-4</v>
      </c>
      <c r="U33" s="52">
        <f t="shared" si="13"/>
        <v>3.0297316433658492E-4</v>
      </c>
    </row>
    <row r="34" spans="1:30">
      <c r="A34" s="67"/>
      <c r="B34" s="1"/>
      <c r="C34" s="1"/>
      <c r="D34" s="1"/>
      <c r="E34" s="1"/>
      <c r="F34" s="68"/>
      <c r="G34" s="68"/>
      <c r="H34" s="68"/>
      <c r="I34" s="68"/>
      <c r="J34" s="68"/>
      <c r="K34" s="68"/>
      <c r="L34" s="68"/>
      <c r="M34" s="68"/>
      <c r="N34" s="68"/>
      <c r="O34" s="68"/>
    </row>
    <row r="35" spans="1:30">
      <c r="D35" s="384" t="s">
        <v>64</v>
      </c>
      <c r="E35" s="385"/>
      <c r="F35" s="386"/>
      <c r="G35" s="384" t="s">
        <v>65</v>
      </c>
      <c r="H35" s="385"/>
      <c r="I35" s="385"/>
      <c r="J35" s="385"/>
      <c r="K35" s="385"/>
      <c r="L35" s="385"/>
      <c r="M35" s="385"/>
      <c r="N35" s="385"/>
      <c r="O35" s="386"/>
    </row>
    <row r="36" spans="1:30">
      <c r="A36" s="266" t="str">
        <f>Optimalisatie!A23</f>
        <v>Base - muddle up</v>
      </c>
      <c r="B36" s="267" t="s">
        <v>1</v>
      </c>
      <c r="C36" s="268" t="s">
        <v>2</v>
      </c>
      <c r="D36" s="269">
        <v>0.25</v>
      </c>
      <c r="E36" s="270">
        <v>0.5</v>
      </c>
      <c r="F36" s="271">
        <v>0.75</v>
      </c>
      <c r="G36" s="272">
        <v>0.78871922360021518</v>
      </c>
      <c r="H36" s="272">
        <v>0.13662749436942745</v>
      </c>
      <c r="I36" s="272">
        <v>3.7109636704326543E-2</v>
      </c>
      <c r="J36" s="272">
        <v>1.8359758608281651E-2</v>
      </c>
      <c r="K36" s="272">
        <v>1.1232378418607136E-2</v>
      </c>
      <c r="L36" s="272">
        <v>6.5060368190501539E-3</v>
      </c>
      <c r="M36" s="272">
        <v>1.4454714800923307E-3</v>
      </c>
      <c r="N36" s="272">
        <v>-2.2204460492503131E-16</v>
      </c>
      <c r="O36" s="273">
        <v>-2.2204460492503131E-16</v>
      </c>
      <c r="R36" s="51" t="str">
        <f>A36</f>
        <v>Base - muddle up</v>
      </c>
      <c r="S36" s="51"/>
      <c r="T36" s="52"/>
      <c r="U36" s="51"/>
      <c r="AA36" s="52"/>
      <c r="AB36" s="52"/>
      <c r="AC36" s="52"/>
      <c r="AD36" s="52"/>
    </row>
    <row r="37" spans="1:30">
      <c r="A37" s="59" t="str">
        <f>A15</f>
        <v>Nominale matching</v>
      </c>
      <c r="B37" s="1">
        <v>0.50224217822971995</v>
      </c>
      <c r="C37" s="54">
        <v>2.7294445320792882E-2</v>
      </c>
      <c r="D37" s="55">
        <v>0.48221556051732301</v>
      </c>
      <c r="E37" s="1">
        <v>0.49946483614639714</v>
      </c>
      <c r="F37" s="56">
        <v>0.51904534970287974</v>
      </c>
      <c r="G37" s="2">
        <v>-0.41577588942961319</v>
      </c>
      <c r="H37" s="2">
        <v>7.481061156838513E-2</v>
      </c>
      <c r="I37" s="2">
        <v>-0.39688477319286353</v>
      </c>
      <c r="J37" s="2">
        <v>-0.15657973245735549</v>
      </c>
      <c r="K37" s="2">
        <v>0.1588307163732709</v>
      </c>
      <c r="L37" s="2">
        <v>-0.31760354056969964</v>
      </c>
      <c r="M37" s="2">
        <v>1</v>
      </c>
      <c r="N37" s="2">
        <v>1</v>
      </c>
      <c r="O37" s="57"/>
      <c r="R37" s="51" t="str">
        <f>A37</f>
        <v>Nominale matching</v>
      </c>
      <c r="S37" s="52">
        <f>D37</f>
        <v>0.48221556051732301</v>
      </c>
      <c r="T37" s="52">
        <f>B37-D37</f>
        <v>2.0026617712396944E-2</v>
      </c>
      <c r="U37" s="52">
        <f>F37-B37</f>
        <v>1.6803171473159795E-2</v>
      </c>
      <c r="AA37" s="52"/>
      <c r="AB37" s="52"/>
      <c r="AC37" s="52"/>
      <c r="AD37" s="52"/>
    </row>
    <row r="38" spans="1:30">
      <c r="A38" s="59" t="str">
        <f t="shared" ref="A38:A44" si="14">A16</f>
        <v>High Yield</v>
      </c>
      <c r="B38" s="1">
        <v>0.35478962257899305</v>
      </c>
      <c r="C38" s="54">
        <v>6.3800563928549756E-2</v>
      </c>
      <c r="D38" s="55">
        <v>0.31098204076122105</v>
      </c>
      <c r="E38" s="1">
        <v>0.35882680299595404</v>
      </c>
      <c r="F38" s="56">
        <v>0.3994292776455613</v>
      </c>
      <c r="G38" s="2">
        <v>1</v>
      </c>
      <c r="H38" s="2">
        <v>-0.14512687884780417</v>
      </c>
      <c r="I38" s="2">
        <v>-0.28155621835310524</v>
      </c>
      <c r="J38" s="2">
        <v>-0.23816705716560296</v>
      </c>
      <c r="K38" s="2">
        <v>-0.10999650438436712</v>
      </c>
      <c r="L38" s="2">
        <v>-0.15503126329848343</v>
      </c>
      <c r="M38" s="2">
        <v>8.5357946865054463E-2</v>
      </c>
      <c r="N38" s="2">
        <v>0.99999999999991684</v>
      </c>
      <c r="O38" s="57"/>
      <c r="R38" s="51" t="str">
        <f t="shared" ref="R38:R44" si="15">A38</f>
        <v>High Yield</v>
      </c>
      <c r="S38" s="52">
        <f t="shared" ref="S38:S44" si="16">D38</f>
        <v>0.31098204076122105</v>
      </c>
      <c r="T38" s="52">
        <f t="shared" ref="T38:T44" si="17">B38-D38</f>
        <v>4.3807581817772001E-2</v>
      </c>
      <c r="U38" s="52">
        <f t="shared" ref="U38:U44" si="18">F38-B38</f>
        <v>4.4639655066568251E-2</v>
      </c>
      <c r="AA38" s="52"/>
      <c r="AB38" s="52"/>
      <c r="AC38" s="52"/>
      <c r="AD38" s="52"/>
    </row>
    <row r="39" spans="1:30">
      <c r="A39" s="59" t="str">
        <f t="shared" si="14"/>
        <v>Emerging market debt</v>
      </c>
      <c r="B39" s="1">
        <v>7.5078569998237024E-3</v>
      </c>
      <c r="C39" s="54">
        <v>6.2695299140085748E-3</v>
      </c>
      <c r="D39" s="55">
        <v>2.4598822319072703E-3</v>
      </c>
      <c r="E39" s="1">
        <v>6.1025756373224854E-3</v>
      </c>
      <c r="F39" s="56">
        <v>1.0555692085699208E-2</v>
      </c>
      <c r="G39" s="2">
        <v>8.9472545995746542E-4</v>
      </c>
      <c r="H39" s="2">
        <v>-5.8299802010407138E-3</v>
      </c>
      <c r="I39" s="2">
        <v>-3.2743705646323458E-2</v>
      </c>
      <c r="J39" s="2">
        <v>4.707837238107121E-2</v>
      </c>
      <c r="K39" s="2">
        <v>8.531691205240409E-2</v>
      </c>
      <c r="L39" s="2">
        <v>1</v>
      </c>
      <c r="M39" s="2">
        <v>0.25085944604142024</v>
      </c>
      <c r="N39" s="2">
        <v>0.99999999999991651</v>
      </c>
      <c r="O39" s="57"/>
      <c r="R39" s="51" t="str">
        <f t="shared" si="15"/>
        <v>Emerging market debt</v>
      </c>
      <c r="S39" s="52">
        <f t="shared" si="16"/>
        <v>2.4598822319072703E-3</v>
      </c>
      <c r="T39" s="52">
        <f t="shared" si="17"/>
        <v>5.047974767916432E-3</v>
      </c>
      <c r="U39" s="52">
        <f t="shared" si="18"/>
        <v>3.047835085875506E-3</v>
      </c>
      <c r="AA39" s="52"/>
      <c r="AB39" s="52"/>
      <c r="AC39" s="52"/>
      <c r="AD39" s="52"/>
    </row>
    <row r="40" spans="1:30">
      <c r="A40" s="59" t="str">
        <f t="shared" si="14"/>
        <v>Aandelen ontwikkeld</v>
      </c>
      <c r="B40" s="1">
        <v>8.011986515903775E-3</v>
      </c>
      <c r="C40" s="54">
        <v>7.9100345860492367E-3</v>
      </c>
      <c r="D40" s="55">
        <v>2.0305495539164053E-3</v>
      </c>
      <c r="E40" s="1">
        <v>5.5614344137194767E-3</v>
      </c>
      <c r="F40" s="56">
        <v>1.1729675859151027E-2</v>
      </c>
      <c r="G40" s="2">
        <v>-1.506833580378366E-3</v>
      </c>
      <c r="H40" s="2">
        <v>-5.5364827147361042E-3</v>
      </c>
      <c r="I40" s="2">
        <v>3.1011494773012047E-2</v>
      </c>
      <c r="J40" s="2">
        <v>0.24105648262007182</v>
      </c>
      <c r="K40" s="2">
        <v>1</v>
      </c>
      <c r="L40" s="2">
        <v>-0.15699570299117846</v>
      </c>
      <c r="M40" s="2">
        <v>-0.47781938186171946</v>
      </c>
      <c r="N40" s="2">
        <v>0.99999999999986666</v>
      </c>
      <c r="O40" s="57"/>
      <c r="R40" s="51" t="str">
        <f t="shared" si="15"/>
        <v>Aandelen ontwikkeld</v>
      </c>
      <c r="S40" s="52">
        <f t="shared" si="16"/>
        <v>2.0305495539164053E-3</v>
      </c>
      <c r="T40" s="52">
        <f t="shared" si="17"/>
        <v>5.9814369619873697E-3</v>
      </c>
      <c r="U40" s="52">
        <f t="shared" si="18"/>
        <v>3.7176893432472515E-3</v>
      </c>
      <c r="AA40" s="52"/>
      <c r="AB40" s="52"/>
      <c r="AC40" s="52"/>
      <c r="AD40" s="52"/>
    </row>
    <row r="41" spans="1:30">
      <c r="A41" s="59" t="str">
        <f t="shared" si="14"/>
        <v>Aandelen opkomend</v>
      </c>
      <c r="B41" s="1">
        <v>3.3884336998753976E-2</v>
      </c>
      <c r="C41" s="54">
        <v>2.6176398538210664E-2</v>
      </c>
      <c r="D41" s="55">
        <v>1.3252922402653841E-2</v>
      </c>
      <c r="E41" s="1">
        <v>2.6706570024498999E-2</v>
      </c>
      <c r="F41" s="56">
        <v>5.0354547339143393E-2</v>
      </c>
      <c r="G41" s="2">
        <v>-0.16893817798355004</v>
      </c>
      <c r="H41" s="2">
        <v>1</v>
      </c>
      <c r="I41" s="2">
        <v>-0.13190838951910661</v>
      </c>
      <c r="J41" s="2">
        <v>-0.29237827953004314</v>
      </c>
      <c r="K41" s="2">
        <v>-0.29037128067198154</v>
      </c>
      <c r="L41" s="2">
        <v>-3.6142182511189516E-2</v>
      </c>
      <c r="M41" s="2">
        <v>-0.53359228441493245</v>
      </c>
      <c r="N41" s="2">
        <v>0.99999999999985867</v>
      </c>
      <c r="O41" s="57"/>
      <c r="R41" s="51" t="str">
        <f t="shared" si="15"/>
        <v>Aandelen opkomend</v>
      </c>
      <c r="S41" s="52">
        <f t="shared" si="16"/>
        <v>1.3252922402653841E-2</v>
      </c>
      <c r="T41" s="52">
        <f t="shared" si="17"/>
        <v>2.0631414596100135E-2</v>
      </c>
      <c r="U41" s="52">
        <f t="shared" si="18"/>
        <v>1.6470210340389417E-2</v>
      </c>
      <c r="AA41" s="52"/>
      <c r="AB41" s="52"/>
      <c r="AC41" s="52"/>
      <c r="AD41" s="52"/>
    </row>
    <row r="42" spans="1:30">
      <c r="A42" s="59" t="str">
        <f t="shared" si="14"/>
        <v>Commodities</v>
      </c>
      <c r="B42" s="1">
        <v>6.3345782262113653E-2</v>
      </c>
      <c r="C42" s="54">
        <v>3.3139051000478731E-2</v>
      </c>
      <c r="D42" s="55">
        <v>3.9491191388218876E-2</v>
      </c>
      <c r="E42" s="1">
        <v>6.2487136209745484E-2</v>
      </c>
      <c r="F42" s="56">
        <v>8.678586126620659E-2</v>
      </c>
      <c r="G42" s="2">
        <v>-0.41142171175099024</v>
      </c>
      <c r="H42" s="2">
        <v>-0.83933776507164748</v>
      </c>
      <c r="I42" s="2">
        <v>-0.20653070137652096</v>
      </c>
      <c r="J42" s="2">
        <v>-0.33873552910488325</v>
      </c>
      <c r="K42" s="2">
        <v>-0.29992079219807799</v>
      </c>
      <c r="L42" s="2">
        <v>-3.6692281198862281E-2</v>
      </c>
      <c r="M42" s="2">
        <v>-0.57564627915234079</v>
      </c>
      <c r="N42" s="2">
        <v>0.99999999999985612</v>
      </c>
      <c r="O42" s="57"/>
      <c r="R42" s="51" t="str">
        <f t="shared" si="15"/>
        <v>Commodities</v>
      </c>
      <c r="S42" s="52">
        <f t="shared" si="16"/>
        <v>3.9491191388218876E-2</v>
      </c>
      <c r="T42" s="52">
        <f t="shared" si="17"/>
        <v>2.3854590873894778E-2</v>
      </c>
      <c r="U42" s="52">
        <f t="shared" si="18"/>
        <v>2.3440079004092937E-2</v>
      </c>
      <c r="AA42" s="52"/>
      <c r="AB42" s="52"/>
      <c r="AC42" s="52"/>
      <c r="AD42" s="52"/>
    </row>
    <row r="43" spans="1:30">
      <c r="A43" s="59" t="str">
        <f t="shared" si="14"/>
        <v>Hedge funds</v>
      </c>
      <c r="B43" s="1">
        <v>1.8918343350395002E-2</v>
      </c>
      <c r="C43" s="54">
        <v>1.449354081492692E-2</v>
      </c>
      <c r="D43" s="55">
        <v>7.8922602013887927E-3</v>
      </c>
      <c r="E43" s="1">
        <v>1.551744764950307E-2</v>
      </c>
      <c r="F43" s="56">
        <v>2.6628649600344164E-2</v>
      </c>
      <c r="G43" s="2">
        <v>9.6007684858659369E-3</v>
      </c>
      <c r="H43" s="2">
        <v>-5.2130285383018234E-2</v>
      </c>
      <c r="I43" s="2">
        <v>1</v>
      </c>
      <c r="J43" s="2">
        <v>-0.26227425674325561</v>
      </c>
      <c r="K43" s="2">
        <v>-8.7909604610728997E-2</v>
      </c>
      <c r="L43" s="2">
        <v>-0.14153160651040353</v>
      </c>
      <c r="M43" s="2">
        <v>0.2547486041698428</v>
      </c>
      <c r="N43" s="2">
        <v>0.99999999999992806</v>
      </c>
      <c r="O43" s="57"/>
      <c r="R43" s="51" t="str">
        <f t="shared" si="15"/>
        <v>Hedge funds</v>
      </c>
      <c r="S43" s="52">
        <f t="shared" si="16"/>
        <v>7.8922602013887927E-3</v>
      </c>
      <c r="T43" s="52">
        <f t="shared" si="17"/>
        <v>1.1026083149006209E-2</v>
      </c>
      <c r="U43" s="52">
        <f t="shared" si="18"/>
        <v>7.7103062499491622E-3</v>
      </c>
    </row>
    <row r="44" spans="1:30">
      <c r="A44" s="60" t="str">
        <f t="shared" si="14"/>
        <v>Onroerend goed</v>
      </c>
      <c r="B44" s="61">
        <v>1.1299893064296632E-2</v>
      </c>
      <c r="C44" s="62">
        <v>1.0237036751756622E-2</v>
      </c>
      <c r="D44" s="63">
        <v>3.3790541981335341E-3</v>
      </c>
      <c r="E44" s="61">
        <v>8.3616457235650855E-3</v>
      </c>
      <c r="F44" s="64">
        <v>1.6329560621621258E-2</v>
      </c>
      <c r="G44" s="65">
        <v>-1.285288120129219E-2</v>
      </c>
      <c r="H44" s="65">
        <v>-2.6849219350138082E-2</v>
      </c>
      <c r="I44" s="65">
        <v>1.8612293314911193E-2</v>
      </c>
      <c r="J44" s="65">
        <v>1</v>
      </c>
      <c r="K44" s="65">
        <v>-0.45594944656052211</v>
      </c>
      <c r="L44" s="65">
        <v>-0.15600342292016972</v>
      </c>
      <c r="M44" s="65">
        <v>-3.9080516475019965E-3</v>
      </c>
      <c r="N44" s="65">
        <v>0.99999999999990485</v>
      </c>
      <c r="O44" s="66"/>
      <c r="R44" s="51" t="str">
        <f t="shared" si="15"/>
        <v>Onroerend goed</v>
      </c>
      <c r="S44" s="52">
        <f t="shared" si="16"/>
        <v>3.3790541981335341E-3</v>
      </c>
      <c r="T44" s="52">
        <f t="shared" si="17"/>
        <v>7.9208388661630991E-3</v>
      </c>
      <c r="U44" s="52">
        <f t="shared" si="18"/>
        <v>5.0296675573246255E-3</v>
      </c>
    </row>
    <row r="45" spans="1:30">
      <c r="A45" s="67"/>
      <c r="B45" s="1"/>
      <c r="C45" s="1"/>
      <c r="D45" s="1"/>
      <c r="E45" s="1"/>
      <c r="F45" s="68"/>
      <c r="G45" s="68"/>
      <c r="H45" s="68"/>
      <c r="I45" s="68"/>
      <c r="J45" s="68"/>
      <c r="K45" s="68"/>
      <c r="L45" s="68"/>
      <c r="M45" s="68"/>
      <c r="N45" s="68"/>
      <c r="O45" s="68"/>
    </row>
    <row r="46" spans="1:30">
      <c r="D46" s="384" t="s">
        <v>64</v>
      </c>
      <c r="E46" s="385"/>
      <c r="F46" s="386"/>
      <c r="G46" s="384" t="s">
        <v>65</v>
      </c>
      <c r="H46" s="385"/>
      <c r="I46" s="385"/>
      <c r="J46" s="385"/>
      <c r="K46" s="385"/>
      <c r="L46" s="385"/>
      <c r="M46" s="385"/>
      <c r="N46" s="385"/>
      <c r="O46" s="386"/>
    </row>
    <row r="47" spans="1:30">
      <c r="A47" s="266" t="str">
        <f>Optimalisatie!A24</f>
        <v>Bear case</v>
      </c>
      <c r="B47" s="267" t="s">
        <v>1</v>
      </c>
      <c r="C47" s="268" t="s">
        <v>2</v>
      </c>
      <c r="D47" s="269">
        <v>0.25</v>
      </c>
      <c r="E47" s="270">
        <v>0.5</v>
      </c>
      <c r="F47" s="271">
        <v>0.75</v>
      </c>
      <c r="G47" s="272">
        <v>0.63167042455531885</v>
      </c>
      <c r="H47" s="272">
        <v>0.13894436854693715</v>
      </c>
      <c r="I47" s="272">
        <v>6.421693960948438E-2</v>
      </c>
      <c r="J47" s="272">
        <v>5.8277039942023934E-2</v>
      </c>
      <c r="K47" s="272">
        <v>4.8245149523757469E-2</v>
      </c>
      <c r="L47" s="272">
        <v>3.4778016924208788E-2</v>
      </c>
      <c r="M47" s="272">
        <v>2.3868060898269206E-2</v>
      </c>
      <c r="N47" s="272">
        <v>-2.2204460492503131E-16</v>
      </c>
      <c r="O47" s="273">
        <v>1.1102230246251565E-16</v>
      </c>
      <c r="R47" s="51" t="str">
        <f>A47</f>
        <v>Bear case</v>
      </c>
      <c r="S47" s="51"/>
      <c r="T47" s="52"/>
      <c r="U47" s="51"/>
      <c r="AA47" s="52"/>
      <c r="AB47" s="52"/>
      <c r="AC47" s="52"/>
      <c r="AD47" s="52"/>
    </row>
    <row r="48" spans="1:30">
      <c r="A48" s="59" t="str">
        <f>A37</f>
        <v>Nominale matching</v>
      </c>
      <c r="B48" s="1">
        <v>0.99951772230649738</v>
      </c>
      <c r="C48" s="54">
        <v>2.7618248141322692E-4</v>
      </c>
      <c r="D48" s="55">
        <v>0.99931780465692999</v>
      </c>
      <c r="E48" s="1">
        <v>0.99953037398481459</v>
      </c>
      <c r="F48" s="56">
        <v>0.99974379018238646</v>
      </c>
      <c r="G48" s="68">
        <v>1</v>
      </c>
      <c r="H48" s="68">
        <v>0.67992005193047256</v>
      </c>
      <c r="I48" s="68">
        <v>5.1230485358227619E-3</v>
      </c>
      <c r="J48" s="68">
        <v>-8.9064462512594172E-2</v>
      </c>
      <c r="K48" s="68">
        <v>-0.10889364460230755</v>
      </c>
      <c r="L48" s="68">
        <v>-0.1123318841786814</v>
      </c>
      <c r="M48" s="2">
        <v>-9.5388669615706967E-2</v>
      </c>
      <c r="N48" s="2">
        <v>0.99999999999994638</v>
      </c>
      <c r="O48" s="69"/>
      <c r="R48" s="51" t="str">
        <f>A48</f>
        <v>Nominale matching</v>
      </c>
      <c r="S48" s="52">
        <f>D48</f>
        <v>0.99931780465692999</v>
      </c>
      <c r="T48" s="52">
        <f>B48-D48</f>
        <v>1.9991764956739377E-4</v>
      </c>
      <c r="U48" s="52">
        <f>F48-B48</f>
        <v>2.2606787588907995E-4</v>
      </c>
      <c r="AA48" s="52"/>
      <c r="AB48" s="52"/>
      <c r="AC48" s="52"/>
      <c r="AD48" s="52"/>
    </row>
    <row r="49" spans="1:36">
      <c r="A49" s="59" t="str">
        <f t="shared" ref="A49:A55" si="19">A38</f>
        <v>High Yield</v>
      </c>
      <c r="B49" s="1">
        <v>6.5857399035425149E-5</v>
      </c>
      <c r="C49" s="54">
        <v>1.0687487560494308E-4</v>
      </c>
      <c r="D49" s="55">
        <v>1.0429872640552892E-6</v>
      </c>
      <c r="E49" s="1">
        <v>1.6658760365540942E-5</v>
      </c>
      <c r="F49" s="56">
        <v>8.1906410096718138E-5</v>
      </c>
      <c r="G49" s="68">
        <v>-5.9543311663538802E-2</v>
      </c>
      <c r="H49" s="68">
        <v>-0.52564096339401656</v>
      </c>
      <c r="I49" s="68">
        <v>1</v>
      </c>
      <c r="J49" s="68">
        <v>-0.42129037186085516</v>
      </c>
      <c r="K49" s="68">
        <v>-0.3518633253534349</v>
      </c>
      <c r="L49" s="68">
        <v>-0.13069474319183239</v>
      </c>
      <c r="M49" s="2">
        <v>-0.12790447352817486</v>
      </c>
      <c r="N49" s="2">
        <v>0.99999999999996159</v>
      </c>
      <c r="O49" s="69"/>
      <c r="R49" s="51" t="str">
        <f t="shared" ref="R49:R55" si="20">A49</f>
        <v>High Yield</v>
      </c>
      <c r="S49" s="52">
        <f t="shared" ref="S49:S55" si="21">D49</f>
        <v>1.0429872640552892E-6</v>
      </c>
      <c r="T49" s="52">
        <f t="shared" ref="T49:T55" si="22">B49-D49</f>
        <v>6.4814411771369856E-5</v>
      </c>
      <c r="U49" s="52">
        <f t="shared" ref="U49:U55" si="23">F49-B49</f>
        <v>1.604901106129299E-5</v>
      </c>
      <c r="AA49" s="52"/>
      <c r="AB49" s="52"/>
      <c r="AC49" s="52"/>
      <c r="AD49" s="52"/>
    </row>
    <row r="50" spans="1:36">
      <c r="A50" s="59" t="str">
        <f t="shared" si="19"/>
        <v>Emerging market debt</v>
      </c>
      <c r="B50" s="1">
        <v>6.6007038093652913E-5</v>
      </c>
      <c r="C50" s="54">
        <v>1.0645579748892662E-4</v>
      </c>
      <c r="D50" s="55">
        <v>1.0974472695264296E-6</v>
      </c>
      <c r="E50" s="1">
        <v>1.8301639810128035E-5</v>
      </c>
      <c r="F50" s="56">
        <v>8.5305053970452115E-5</v>
      </c>
      <c r="G50" s="68">
        <v>-5.8912369329685403E-2</v>
      </c>
      <c r="H50" s="68">
        <v>-0.51797181172287599</v>
      </c>
      <c r="I50" s="68">
        <v>-0.99062868831660089</v>
      </c>
      <c r="J50" s="68">
        <v>-0.48514247716617237</v>
      </c>
      <c r="K50" s="68">
        <v>-0.22282817025948354</v>
      </c>
      <c r="L50" s="68">
        <v>-0.23375420959241247</v>
      </c>
      <c r="M50" s="2">
        <v>-0.12550196637732813</v>
      </c>
      <c r="N50" s="2">
        <v>0.99999999999991684</v>
      </c>
      <c r="O50" s="69"/>
      <c r="R50" s="51" t="str">
        <f t="shared" si="20"/>
        <v>Emerging market debt</v>
      </c>
      <c r="S50" s="52">
        <f t="shared" si="21"/>
        <v>1.0974472695264296E-6</v>
      </c>
      <c r="T50" s="52">
        <f t="shared" si="22"/>
        <v>6.4909590824126478E-5</v>
      </c>
      <c r="U50" s="52">
        <f t="shared" si="23"/>
        <v>1.9298015876799201E-5</v>
      </c>
      <c r="AA50" s="52"/>
      <c r="AB50" s="52"/>
      <c r="AC50" s="52"/>
      <c r="AD50" s="52"/>
    </row>
    <row r="51" spans="1:36">
      <c r="A51" s="59" t="str">
        <f t="shared" si="19"/>
        <v>Aandelen ontwikkeld</v>
      </c>
      <c r="B51" s="1">
        <v>3.2821235226595556E-5</v>
      </c>
      <c r="C51" s="54">
        <v>6.1890540458705518E-5</v>
      </c>
      <c r="D51" s="55">
        <v>2.7601941922940682E-7</v>
      </c>
      <c r="E51" s="1">
        <v>6.1678407293092054E-6</v>
      </c>
      <c r="F51" s="56">
        <v>3.4050134770155967E-5</v>
      </c>
      <c r="G51" s="68">
        <v>-2.8888392110480547E-3</v>
      </c>
      <c r="H51" s="68">
        <v>-7.4553124080068922E-2</v>
      </c>
      <c r="I51" s="68">
        <v>-3.0797186778291669E-3</v>
      </c>
      <c r="J51" s="68">
        <v>1.4491540462356011E-3</v>
      </c>
      <c r="K51" s="68">
        <v>6.7144160727511434E-2</v>
      </c>
      <c r="L51" s="68">
        <v>0.13920734575845539</v>
      </c>
      <c r="M51" s="2">
        <v>1</v>
      </c>
      <c r="N51" s="2">
        <v>0.99999999999996936</v>
      </c>
      <c r="O51" s="69"/>
      <c r="R51" s="51" t="str">
        <f t="shared" si="20"/>
        <v>Aandelen ontwikkeld</v>
      </c>
      <c r="S51" s="52">
        <f t="shared" si="21"/>
        <v>2.7601941922940682E-7</v>
      </c>
      <c r="T51" s="52">
        <f t="shared" si="22"/>
        <v>3.2545215807366153E-5</v>
      </c>
      <c r="U51" s="52">
        <f t="shared" si="23"/>
        <v>1.2288995435604105E-6</v>
      </c>
      <c r="AA51" s="52"/>
      <c r="AB51" s="52"/>
      <c r="AC51" s="52"/>
      <c r="AD51" s="52"/>
    </row>
    <row r="52" spans="1:36">
      <c r="A52" s="59" t="str">
        <f t="shared" si="19"/>
        <v>Aandelen opkomend</v>
      </c>
      <c r="B52" s="1">
        <v>5.6499982623495601E-5</v>
      </c>
      <c r="C52" s="54">
        <v>9.6933815694907251E-5</v>
      </c>
      <c r="D52" s="55">
        <v>4.3091737891626107E-7</v>
      </c>
      <c r="E52" s="1">
        <v>1.1749223743755259E-5</v>
      </c>
      <c r="F52" s="56">
        <v>6.4073098861509278E-5</v>
      </c>
      <c r="G52" s="68">
        <v>-4.9465870943181042E-2</v>
      </c>
      <c r="H52" s="68">
        <v>-0.28249069624936241</v>
      </c>
      <c r="I52" s="68">
        <v>-5.775234479276567E-2</v>
      </c>
      <c r="J52" s="68">
        <v>1</v>
      </c>
      <c r="K52" s="68">
        <v>-0.32720049431034243</v>
      </c>
      <c r="L52" s="68">
        <v>-0.24891770126784879</v>
      </c>
      <c r="M52" s="2">
        <v>-0.10773269473207477</v>
      </c>
      <c r="N52" s="2">
        <v>0.999999999999995</v>
      </c>
      <c r="O52" s="69"/>
      <c r="R52" s="51" t="str">
        <f t="shared" si="20"/>
        <v>Aandelen opkomend</v>
      </c>
      <c r="S52" s="52">
        <f t="shared" si="21"/>
        <v>4.3091737891626107E-7</v>
      </c>
      <c r="T52" s="52">
        <f t="shared" si="22"/>
        <v>5.606906524457934E-5</v>
      </c>
      <c r="U52" s="52">
        <f t="shared" si="23"/>
        <v>7.5731162380136773E-6</v>
      </c>
      <c r="AA52" s="52"/>
      <c r="AB52" s="52"/>
      <c r="AC52" s="52"/>
      <c r="AD52" s="52"/>
    </row>
    <row r="53" spans="1:36">
      <c r="A53" s="59" t="str">
        <f t="shared" si="19"/>
        <v>Commodities</v>
      </c>
      <c r="B53" s="1">
        <v>4.1755075717608028E-5</v>
      </c>
      <c r="C53" s="54">
        <v>7.4025520063019908E-5</v>
      </c>
      <c r="D53" s="55">
        <v>3.0794709335900696E-7</v>
      </c>
      <c r="E53" s="1">
        <v>7.1073502129320125E-6</v>
      </c>
      <c r="F53" s="56">
        <v>4.4484400676418222E-5</v>
      </c>
      <c r="G53" s="68">
        <v>-2.8268015581100984E-2</v>
      </c>
      <c r="H53" s="68">
        <v>-9.8568533822621027E-2</v>
      </c>
      <c r="I53" s="68">
        <v>-7.9219385681417898E-2</v>
      </c>
      <c r="J53" s="68">
        <v>6.7628285994260892E-2</v>
      </c>
      <c r="K53" s="68">
        <v>6.9823004356098381E-2</v>
      </c>
      <c r="L53" s="68">
        <v>1</v>
      </c>
      <c r="M53" s="2">
        <v>-0.28393019206352849</v>
      </c>
      <c r="N53" s="2">
        <v>1</v>
      </c>
      <c r="O53" s="69"/>
      <c r="R53" s="51" t="str">
        <f t="shared" si="20"/>
        <v>Commodities</v>
      </c>
      <c r="S53" s="52">
        <f t="shared" si="21"/>
        <v>3.0794709335900696E-7</v>
      </c>
      <c r="T53" s="52">
        <f t="shared" si="22"/>
        <v>4.144712862424902E-5</v>
      </c>
      <c r="U53" s="52">
        <f t="shared" si="23"/>
        <v>2.7293249588101933E-6</v>
      </c>
      <c r="AA53" s="52"/>
      <c r="AB53" s="52"/>
      <c r="AC53" s="52"/>
      <c r="AD53" s="52"/>
    </row>
    <row r="54" spans="1:36">
      <c r="A54" s="59" t="str">
        <f t="shared" si="19"/>
        <v>Hedge funds</v>
      </c>
      <c r="B54" s="1">
        <v>1.6800676560255187E-4</v>
      </c>
      <c r="C54" s="54">
        <v>2.3089124414326447E-4</v>
      </c>
      <c r="D54" s="55">
        <v>6.5723379232597564E-6</v>
      </c>
      <c r="E54" s="1">
        <v>5.8487725243907854E-5</v>
      </c>
      <c r="F54" s="56">
        <v>2.3183407403589871E-4</v>
      </c>
      <c r="G54" s="68">
        <v>-0.7651690605991065</v>
      </c>
      <c r="H54" s="68">
        <v>1</v>
      </c>
      <c r="I54" s="68">
        <v>6.2461948739179988E-3</v>
      </c>
      <c r="J54" s="68">
        <v>-0.11536569490280223</v>
      </c>
      <c r="K54" s="68">
        <v>-0.12618153055803741</v>
      </c>
      <c r="L54" s="68">
        <v>-0.12661094679168539</v>
      </c>
      <c r="M54" s="2">
        <v>-8.3126051777462656E-2</v>
      </c>
      <c r="N54" s="2">
        <v>0.99999999999991873</v>
      </c>
      <c r="O54" s="69"/>
      <c r="R54" s="51" t="str">
        <f t="shared" si="20"/>
        <v>Hedge funds</v>
      </c>
      <c r="S54" s="52">
        <f t="shared" si="21"/>
        <v>6.5723379232597564E-6</v>
      </c>
      <c r="T54" s="52">
        <f t="shared" si="22"/>
        <v>1.6143442767929211E-4</v>
      </c>
      <c r="U54" s="52">
        <f t="shared" si="23"/>
        <v>6.382730843334684E-5</v>
      </c>
    </row>
    <row r="55" spans="1:36">
      <c r="A55" s="60" t="str">
        <f t="shared" si="19"/>
        <v>Onroerend goed</v>
      </c>
      <c r="B55" s="61">
        <v>5.1330197202964345E-5</v>
      </c>
      <c r="C55" s="62">
        <v>8.7315111350468329E-5</v>
      </c>
      <c r="D55" s="63">
        <v>6.8720279996447941E-7</v>
      </c>
      <c r="E55" s="61">
        <v>1.1049236563763996E-5</v>
      </c>
      <c r="F55" s="64">
        <v>6.1218718017505094E-5</v>
      </c>
      <c r="G55" s="70">
        <v>-3.575253267235725E-2</v>
      </c>
      <c r="H55" s="70">
        <v>-0.18069492266148604</v>
      </c>
      <c r="I55" s="70">
        <v>0.1193108940588361</v>
      </c>
      <c r="J55" s="70">
        <v>4.1785566401864378E-2</v>
      </c>
      <c r="K55" s="70">
        <v>1</v>
      </c>
      <c r="L55" s="70">
        <v>-0.28689786073604723</v>
      </c>
      <c r="M55" s="65">
        <v>-0.17641595190572995</v>
      </c>
      <c r="N55" s="65">
        <v>0.99999999999994826</v>
      </c>
      <c r="O55" s="71"/>
      <c r="R55" s="51" t="str">
        <f t="shared" si="20"/>
        <v>Onroerend goed</v>
      </c>
      <c r="S55" s="52">
        <f t="shared" si="21"/>
        <v>6.8720279996447941E-7</v>
      </c>
      <c r="T55" s="52">
        <f t="shared" si="22"/>
        <v>5.0642994402999865E-5</v>
      </c>
      <c r="U55" s="52">
        <f t="shared" si="23"/>
        <v>9.8885208145407498E-6</v>
      </c>
    </row>
    <row r="56" spans="1:36">
      <c r="A56" s="67"/>
      <c r="B56" s="1"/>
      <c r="C56" s="1"/>
      <c r="D56" s="1"/>
      <c r="E56" s="1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36">
      <c r="D57" s="384" t="s">
        <v>64</v>
      </c>
      <c r="E57" s="385"/>
      <c r="F57" s="386"/>
      <c r="G57" s="384" t="s">
        <v>65</v>
      </c>
      <c r="H57" s="385"/>
      <c r="I57" s="385"/>
      <c r="J57" s="385"/>
      <c r="K57" s="385"/>
      <c r="L57" s="385"/>
      <c r="M57" s="385"/>
      <c r="N57" s="385"/>
      <c r="O57" s="386"/>
    </row>
    <row r="58" spans="1:36">
      <c r="A58" s="266" t="str">
        <f>Optimalisatie!A11</f>
        <v>Tail risk</v>
      </c>
      <c r="B58" s="267" t="s">
        <v>1</v>
      </c>
      <c r="C58" s="268" t="s">
        <v>2</v>
      </c>
      <c r="D58" s="269">
        <v>0.25</v>
      </c>
      <c r="E58" s="270">
        <v>0.5</v>
      </c>
      <c r="F58" s="271">
        <v>0.75</v>
      </c>
      <c r="G58" s="272">
        <v>0.58557246205002744</v>
      </c>
      <c r="H58" s="272">
        <v>0.2677849361089617</v>
      </c>
      <c r="I58" s="272">
        <v>5.4024934790248058E-2</v>
      </c>
      <c r="J58" s="272">
        <v>3.3086911843915878E-2</v>
      </c>
      <c r="K58" s="272">
        <v>2.5688551774999735E-2</v>
      </c>
      <c r="L58" s="272">
        <v>2.1600094399689684E-2</v>
      </c>
      <c r="M58" s="272">
        <v>1.2242109032163162E-2</v>
      </c>
      <c r="N58" s="272">
        <v>0</v>
      </c>
      <c r="O58" s="273"/>
      <c r="R58" s="51" t="str">
        <f>A58</f>
        <v>Tail risk</v>
      </c>
      <c r="S58" s="51"/>
      <c r="T58" s="52"/>
      <c r="U58" s="51"/>
      <c r="AA58" s="52"/>
      <c r="AB58" s="52"/>
      <c r="AC58" s="52"/>
      <c r="AD58" s="52"/>
      <c r="AF58" s="72"/>
      <c r="AG58" s="72"/>
      <c r="AH58" s="72"/>
      <c r="AJ58" s="52"/>
    </row>
    <row r="59" spans="1:36">
      <c r="A59" s="53" t="str">
        <f>A48</f>
        <v>Nominale matching</v>
      </c>
      <c r="B59" s="1">
        <v>0.91040031831552837</v>
      </c>
      <c r="C59" s="54">
        <v>1.0309384190786669E-3</v>
      </c>
      <c r="D59" s="55">
        <v>0.90959526434573212</v>
      </c>
      <c r="E59" s="1">
        <v>0.91020330868110377</v>
      </c>
      <c r="F59" s="56">
        <v>0.91095282498647823</v>
      </c>
      <c r="G59" s="2">
        <v>-0.29267840963925446</v>
      </c>
      <c r="H59" s="2">
        <v>1</v>
      </c>
      <c r="I59" s="2">
        <v>-0.80024478078089178</v>
      </c>
      <c r="J59" s="2">
        <v>-1.6737582406700893E-2</v>
      </c>
      <c r="K59" s="2">
        <v>-0.13198018745057433</v>
      </c>
      <c r="L59" s="2">
        <v>-7.1121187675469308E-2</v>
      </c>
      <c r="M59" s="2">
        <v>-0.11374426552970805</v>
      </c>
      <c r="N59" s="2">
        <v>0.99999999999998423</v>
      </c>
      <c r="O59" s="69"/>
      <c r="R59" s="51" t="str">
        <f>A59</f>
        <v>Nominale matching</v>
      </c>
      <c r="S59" s="52">
        <f>D59</f>
        <v>0.90959526434573212</v>
      </c>
      <c r="T59" s="52">
        <f>B59-D59</f>
        <v>8.0505396979624333E-4</v>
      </c>
      <c r="U59" s="52">
        <f>F59-B59</f>
        <v>5.5250667094985939E-4</v>
      </c>
      <c r="AA59" s="52"/>
      <c r="AB59" s="52"/>
      <c r="AC59" s="52"/>
      <c r="AD59" s="52"/>
      <c r="AF59" s="72"/>
      <c r="AG59" s="72"/>
      <c r="AH59" s="72"/>
      <c r="AJ59" s="52"/>
    </row>
    <row r="60" spans="1:36">
      <c r="A60" s="59" t="str">
        <f t="shared" ref="A60:A66" si="24">A49</f>
        <v>High Yield</v>
      </c>
      <c r="B60" s="1">
        <v>2.4245520146417212E-4</v>
      </c>
      <c r="C60" s="54">
        <v>3.9952963100400483E-4</v>
      </c>
      <c r="D60" s="55">
        <v>5.3239154391964945E-6</v>
      </c>
      <c r="E60" s="1">
        <v>6.0631447860123962E-5</v>
      </c>
      <c r="F60" s="56">
        <v>3.2645216682692974E-4</v>
      </c>
      <c r="G60" s="2">
        <v>1.2574763590285956E-2</v>
      </c>
      <c r="H60" s="2">
        <v>-3.6539002303062015E-3</v>
      </c>
      <c r="I60" s="2">
        <v>0.74893860359933029</v>
      </c>
      <c r="J60" s="2">
        <v>1</v>
      </c>
      <c r="K60" s="2">
        <v>-0.4752893959404117</v>
      </c>
      <c r="L60" s="2">
        <v>-0.19847752694332635</v>
      </c>
      <c r="M60" s="2">
        <v>-0.14133740953364959</v>
      </c>
      <c r="N60" s="2">
        <v>0.99999999999998468</v>
      </c>
      <c r="O60" s="69"/>
      <c r="R60" s="51" t="str">
        <f t="shared" ref="R60:R66" si="25">A60</f>
        <v>High Yield</v>
      </c>
      <c r="S60" s="52">
        <f t="shared" ref="S60:S66" si="26">D60</f>
        <v>5.3239154391964945E-6</v>
      </c>
      <c r="T60" s="52">
        <f t="shared" ref="T60:T66" si="27">B60-D60</f>
        <v>2.3713128602497564E-4</v>
      </c>
      <c r="U60" s="52">
        <f t="shared" ref="U60:U66" si="28">F60-B60</f>
        <v>8.3996965362757614E-5</v>
      </c>
      <c r="AA60" s="52"/>
      <c r="AB60" s="52"/>
      <c r="AC60" s="52"/>
      <c r="AD60" s="52"/>
      <c r="AF60" s="72"/>
      <c r="AG60" s="72"/>
      <c r="AH60" s="72"/>
      <c r="AJ60" s="52"/>
    </row>
    <row r="61" spans="1:36">
      <c r="A61" s="59" t="str">
        <f t="shared" si="24"/>
        <v>Emerging market debt</v>
      </c>
      <c r="B61" s="1">
        <v>9.6966778017564003E-4</v>
      </c>
      <c r="C61" s="54">
        <v>1.2223040652990888E-3</v>
      </c>
      <c r="D61" s="55">
        <v>4.6196730692603174E-5</v>
      </c>
      <c r="E61" s="1">
        <v>5.0079865122370625E-4</v>
      </c>
      <c r="F61" s="56">
        <v>1.5017266053136301E-3</v>
      </c>
      <c r="G61" s="2">
        <v>-0.70032235365337592</v>
      </c>
      <c r="H61" s="2">
        <v>-0.76885698456421736</v>
      </c>
      <c r="I61" s="2">
        <v>-0.74541447372540282</v>
      </c>
      <c r="J61" s="2">
        <v>-7.5277139913826563E-2</v>
      </c>
      <c r="K61" s="2">
        <v>-0.17289095385509462</v>
      </c>
      <c r="L61" s="2">
        <v>-9.0276225637885857E-2</v>
      </c>
      <c r="M61" s="2">
        <v>-0.12658660400555594</v>
      </c>
      <c r="N61" s="2">
        <v>0.99999999999998679</v>
      </c>
      <c r="O61" s="69"/>
      <c r="R61" s="51" t="str">
        <f t="shared" si="25"/>
        <v>Emerging market debt</v>
      </c>
      <c r="S61" s="52">
        <f t="shared" si="26"/>
        <v>4.6196730692603174E-5</v>
      </c>
      <c r="T61" s="52">
        <f t="shared" si="27"/>
        <v>9.2347104948303684E-4</v>
      </c>
      <c r="U61" s="52">
        <f t="shared" si="28"/>
        <v>5.3205882513799002E-4</v>
      </c>
      <c r="AA61" s="52"/>
      <c r="AB61" s="52"/>
      <c r="AC61" s="52"/>
      <c r="AD61" s="52"/>
      <c r="AF61" s="72"/>
      <c r="AG61" s="72"/>
      <c r="AH61" s="72"/>
      <c r="AJ61" s="52"/>
    </row>
    <row r="62" spans="1:36">
      <c r="A62" s="59" t="str">
        <f t="shared" si="24"/>
        <v>Aandelen ontwikkeld</v>
      </c>
      <c r="B62" s="1">
        <v>1.7808289296488317E-4</v>
      </c>
      <c r="C62" s="54">
        <v>3.1833217667634798E-4</v>
      </c>
      <c r="D62" s="55">
        <v>9.661664333100948E-7</v>
      </c>
      <c r="E62" s="1">
        <v>2.6064712252070314E-5</v>
      </c>
      <c r="F62" s="56">
        <v>2.1140167637085597E-4</v>
      </c>
      <c r="G62" s="2">
        <v>7.2477861113822151E-3</v>
      </c>
      <c r="H62" s="2">
        <v>-2.3075340504508771E-2</v>
      </c>
      <c r="I62" s="2">
        <v>0.1774527328541009</v>
      </c>
      <c r="J62" s="2">
        <v>0.13528231546370201</v>
      </c>
      <c r="K62" s="2">
        <v>0.33180531277465553</v>
      </c>
      <c r="L62" s="2">
        <v>1</v>
      </c>
      <c r="M62" s="2">
        <v>-0.16482007075318658</v>
      </c>
      <c r="N62" s="2">
        <v>1</v>
      </c>
      <c r="O62" s="69"/>
      <c r="R62" s="51" t="str">
        <f t="shared" si="25"/>
        <v>Aandelen ontwikkeld</v>
      </c>
      <c r="S62" s="52">
        <f t="shared" si="26"/>
        <v>9.661664333100948E-7</v>
      </c>
      <c r="T62" s="52">
        <f t="shared" si="27"/>
        <v>1.7711672653157308E-4</v>
      </c>
      <c r="U62" s="52">
        <f t="shared" si="28"/>
        <v>3.3318783405972806E-5</v>
      </c>
      <c r="AA62" s="52"/>
      <c r="AB62" s="52"/>
      <c r="AC62" s="52"/>
      <c r="AD62" s="52"/>
      <c r="AF62" s="72"/>
      <c r="AG62" s="72"/>
      <c r="AH62" s="72"/>
      <c r="AJ62" s="52"/>
    </row>
    <row r="63" spans="1:36">
      <c r="A63" s="59" t="str">
        <f t="shared" si="24"/>
        <v>Aandelen opkomend</v>
      </c>
      <c r="B63" s="1">
        <v>2.564489860338996E-4</v>
      </c>
      <c r="C63" s="54">
        <v>4.3003569463960733E-4</v>
      </c>
      <c r="D63" s="55">
        <v>1.6511004576110284E-6</v>
      </c>
      <c r="E63" s="1">
        <v>5.1218597797573118E-5</v>
      </c>
      <c r="F63" s="56">
        <v>3.4935989717820438E-4</v>
      </c>
      <c r="G63" s="2">
        <v>-5.6065772454889938E-2</v>
      </c>
      <c r="H63" s="2">
        <v>6.6952453942922457E-2</v>
      </c>
      <c r="I63" s="2">
        <v>1</v>
      </c>
      <c r="J63" s="2">
        <v>-0.94846854425630722</v>
      </c>
      <c r="K63" s="2">
        <v>-0.32650273481301417</v>
      </c>
      <c r="L63" s="2">
        <v>-9.0452343486416273E-2</v>
      </c>
      <c r="M63" s="2">
        <v>-0.20353486651370886</v>
      </c>
      <c r="N63" s="2">
        <v>0.99999999999997968</v>
      </c>
      <c r="O63" s="69"/>
      <c r="R63" s="51" t="str">
        <f t="shared" si="25"/>
        <v>Aandelen opkomend</v>
      </c>
      <c r="S63" s="52">
        <f t="shared" si="26"/>
        <v>1.6511004576110284E-6</v>
      </c>
      <c r="T63" s="52">
        <f t="shared" si="27"/>
        <v>2.5479788557628859E-4</v>
      </c>
      <c r="U63" s="52">
        <f t="shared" si="28"/>
        <v>9.2910911144304784E-5</v>
      </c>
      <c r="AA63" s="52"/>
      <c r="AB63" s="52"/>
      <c r="AC63" s="52"/>
      <c r="AD63" s="52"/>
      <c r="AF63" s="72"/>
      <c r="AG63" s="72"/>
      <c r="AH63" s="72"/>
      <c r="AJ63" s="52"/>
    </row>
    <row r="64" spans="1:36">
      <c r="A64" s="59" t="str">
        <f t="shared" si="24"/>
        <v>Commodities</v>
      </c>
      <c r="B64" s="1">
        <v>1.3266771859855406E-4</v>
      </c>
      <c r="C64" s="54">
        <v>2.3869618300325653E-4</v>
      </c>
      <c r="D64" s="55">
        <v>4.2553612459991924E-7</v>
      </c>
      <c r="E64" s="1">
        <v>2.4171818834641723E-5</v>
      </c>
      <c r="F64" s="56">
        <v>1.433888691762387E-4</v>
      </c>
      <c r="G64" s="2">
        <v>1.6735666131070796E-2</v>
      </c>
      <c r="H64" s="2">
        <v>-1.140711525179579E-2</v>
      </c>
      <c r="I64" s="2">
        <v>7.5892630143845966E-2</v>
      </c>
      <c r="J64" s="2">
        <v>-5.0631175426556978E-2</v>
      </c>
      <c r="K64" s="2">
        <v>-3.8842799648584836E-2</v>
      </c>
      <c r="L64" s="2">
        <v>3.433345289890951E-2</v>
      </c>
      <c r="M64" s="2">
        <v>1</v>
      </c>
      <c r="N64" s="2">
        <v>0.99999999999999967</v>
      </c>
      <c r="O64" s="69"/>
      <c r="R64" s="51" t="str">
        <f t="shared" si="25"/>
        <v>Commodities</v>
      </c>
      <c r="S64" s="52">
        <f t="shared" si="26"/>
        <v>4.2553612459991924E-7</v>
      </c>
      <c r="T64" s="52">
        <f t="shared" si="27"/>
        <v>1.3224218247395413E-4</v>
      </c>
      <c r="U64" s="52">
        <f t="shared" si="28"/>
        <v>1.0721150577684647E-5</v>
      </c>
      <c r="AA64" s="52"/>
      <c r="AB64" s="52"/>
      <c r="AC64" s="52"/>
      <c r="AD64" s="52"/>
      <c r="AF64" s="72"/>
      <c r="AG64" s="72"/>
      <c r="AH64" s="72"/>
      <c r="AJ64" s="52"/>
    </row>
    <row r="65" spans="1:36">
      <c r="A65" s="59" t="str">
        <f t="shared" si="24"/>
        <v>Hedge funds</v>
      </c>
      <c r="B65" s="1">
        <v>8.7616171604620083E-2</v>
      </c>
      <c r="C65" s="54">
        <v>1.423288028594963E-3</v>
      </c>
      <c r="D65" s="55">
        <v>8.6613925123170454E-2</v>
      </c>
      <c r="E65" s="1">
        <v>8.7646812905970081E-2</v>
      </c>
      <c r="F65" s="56">
        <v>8.8639360463143413E-2</v>
      </c>
      <c r="G65" s="2">
        <v>1</v>
      </c>
      <c r="H65" s="2">
        <v>-0.24137907962274566</v>
      </c>
      <c r="I65" s="2">
        <v>-0.71538971043123145</v>
      </c>
      <c r="J65" s="2">
        <v>-0.12450642916959904</v>
      </c>
      <c r="K65" s="2">
        <v>-0.18629924106697829</v>
      </c>
      <c r="L65" s="2">
        <v>-8.8234678351421542E-2</v>
      </c>
      <c r="M65" s="2">
        <v>-0.1458141602953528</v>
      </c>
      <c r="N65" s="2">
        <v>0.99999999999999134</v>
      </c>
      <c r="O65" s="69"/>
      <c r="R65" s="51" t="str">
        <f t="shared" si="25"/>
        <v>Hedge funds</v>
      </c>
      <c r="S65" s="52">
        <f t="shared" si="26"/>
        <v>8.6613925123170454E-2</v>
      </c>
      <c r="T65" s="52">
        <f t="shared" si="27"/>
        <v>1.0022464814496285E-3</v>
      </c>
      <c r="U65" s="52">
        <f t="shared" si="28"/>
        <v>1.0231888585233301E-3</v>
      </c>
    </row>
    <row r="66" spans="1:36">
      <c r="A66" s="60" t="str">
        <f t="shared" si="24"/>
        <v>Onroerend goed</v>
      </c>
      <c r="B66" s="61">
        <v>2.041875006144596E-4</v>
      </c>
      <c r="C66" s="62">
        <v>3.4041848862041696E-4</v>
      </c>
      <c r="D66" s="63">
        <v>2.6356546255662357E-6</v>
      </c>
      <c r="E66" s="61">
        <v>5.0997763788292636E-5</v>
      </c>
      <c r="F66" s="64">
        <v>2.7249945475081886E-4</v>
      </c>
      <c r="G66" s="65">
        <v>1.2508319914775004E-2</v>
      </c>
      <c r="H66" s="65">
        <v>-1.8580033769344112E-2</v>
      </c>
      <c r="I66" s="65">
        <v>0.25876499834025657</v>
      </c>
      <c r="J66" s="65">
        <v>8.033855570928318E-2</v>
      </c>
      <c r="K66" s="65">
        <v>1</v>
      </c>
      <c r="L66" s="65">
        <v>-0.4957714908044068</v>
      </c>
      <c r="M66" s="65">
        <v>-0.10416262336885089</v>
      </c>
      <c r="N66" s="65">
        <v>0.99999999999998201</v>
      </c>
      <c r="O66" s="71"/>
      <c r="R66" s="51" t="str">
        <f t="shared" si="25"/>
        <v>Onroerend goed</v>
      </c>
      <c r="S66" s="52">
        <f t="shared" si="26"/>
        <v>2.6356546255662357E-6</v>
      </c>
      <c r="T66" s="52">
        <f t="shared" si="27"/>
        <v>2.0155184598889337E-4</v>
      </c>
      <c r="U66" s="52">
        <f t="shared" si="28"/>
        <v>6.8311954136359267E-5</v>
      </c>
    </row>
    <row r="69" spans="1:36">
      <c r="A69" s="266" t="str">
        <f>Optimalisatie!A12</f>
        <v>Bull case</v>
      </c>
      <c r="B69" s="267" t="s">
        <v>1</v>
      </c>
      <c r="C69" s="268" t="s">
        <v>2</v>
      </c>
      <c r="D69" s="269">
        <v>0.25</v>
      </c>
      <c r="E69" s="270">
        <v>0.5</v>
      </c>
      <c r="F69" s="271">
        <v>0.75</v>
      </c>
      <c r="G69" s="272">
        <v>0.55259014264862238</v>
      </c>
      <c r="H69" s="272">
        <v>0.28535413579288471</v>
      </c>
      <c r="I69" s="272">
        <v>0.11751609264074669</v>
      </c>
      <c r="J69" s="272">
        <v>3.4422360988265122E-2</v>
      </c>
      <c r="K69" s="272">
        <v>6.6266464743856002E-3</v>
      </c>
      <c r="L69" s="272">
        <v>2.8242089078042154E-3</v>
      </c>
      <c r="M69" s="272">
        <v>6.6641254729460364E-4</v>
      </c>
      <c r="N69" s="272">
        <v>4.4408920985006262E-16</v>
      </c>
      <c r="O69" s="273">
        <v>1.1102230246251565E-16</v>
      </c>
      <c r="R69" s="51" t="str">
        <f>A69</f>
        <v>Bull case</v>
      </c>
      <c r="S69" s="51"/>
      <c r="T69" s="52"/>
      <c r="U69" s="51"/>
      <c r="AA69" s="52"/>
      <c r="AB69" s="52"/>
      <c r="AC69" s="52"/>
      <c r="AD69" s="52"/>
    </row>
    <row r="70" spans="1:36">
      <c r="A70" s="59" t="str">
        <f>A59</f>
        <v>Nominale matching</v>
      </c>
      <c r="B70" s="1">
        <v>0.74210401897635492</v>
      </c>
      <c r="C70" s="54">
        <v>1.2297692296716255E-2</v>
      </c>
      <c r="D70" s="55">
        <v>0.73339422303277468</v>
      </c>
      <c r="E70" s="1">
        <v>0.74175858282811602</v>
      </c>
      <c r="F70" s="56">
        <v>0.75010893470008844</v>
      </c>
      <c r="G70" s="68">
        <v>9.4401307148054125E-3</v>
      </c>
      <c r="H70" s="68">
        <v>-0.47388824526661594</v>
      </c>
      <c r="I70" s="68">
        <v>-0.37899268443827289</v>
      </c>
      <c r="J70" s="68">
        <v>-0.27241130861879043</v>
      </c>
      <c r="K70" s="68">
        <v>0.20177619706499927</v>
      </c>
      <c r="L70" s="68">
        <v>0.13338934615924919</v>
      </c>
      <c r="M70" s="2">
        <v>1</v>
      </c>
      <c r="N70" s="2">
        <v>1</v>
      </c>
      <c r="O70" s="69"/>
      <c r="R70" s="51" t="str">
        <f>A70</f>
        <v>Nominale matching</v>
      </c>
      <c r="S70" s="52">
        <f>D70</f>
        <v>0.73339422303277468</v>
      </c>
      <c r="T70" s="52">
        <f>B70-D70</f>
        <v>8.7097959435802341E-3</v>
      </c>
      <c r="U70" s="52">
        <f>F70-B70</f>
        <v>8.0049157237335189E-3</v>
      </c>
      <c r="AA70" s="52"/>
      <c r="AB70" s="52"/>
      <c r="AC70" s="52"/>
      <c r="AD70" s="52"/>
    </row>
    <row r="71" spans="1:36">
      <c r="A71" s="59" t="str">
        <f t="shared" ref="A71:A77" si="29">A60</f>
        <v>High Yield</v>
      </c>
      <c r="B71" s="1">
        <v>1.8694595409361223E-2</v>
      </c>
      <c r="C71" s="54">
        <v>1.7245139012676155E-2</v>
      </c>
      <c r="D71" s="55">
        <v>4.7981671404336646E-3</v>
      </c>
      <c r="E71" s="1">
        <v>1.435471332530891E-2</v>
      </c>
      <c r="F71" s="56">
        <v>2.6872585920989386E-2</v>
      </c>
      <c r="G71" s="68">
        <v>-8.4445900128290924E-2</v>
      </c>
      <c r="H71" s="68">
        <v>-0.22945302923980851</v>
      </c>
      <c r="I71" s="68">
        <v>1</v>
      </c>
      <c r="J71" s="68">
        <v>-0.16478367662694124</v>
      </c>
      <c r="K71" s="68">
        <v>-0.14338471100251041</v>
      </c>
      <c r="L71" s="68">
        <v>-5.9733790818225441E-2</v>
      </c>
      <c r="M71" s="2">
        <v>0.18309794069472732</v>
      </c>
      <c r="N71" s="2">
        <v>0.99999999999993983</v>
      </c>
      <c r="O71" s="69"/>
      <c r="R71" s="51" t="str">
        <f t="shared" ref="R71:R77" si="30">A71</f>
        <v>High Yield</v>
      </c>
      <c r="S71" s="52">
        <f t="shared" ref="S71:S77" si="31">D71</f>
        <v>4.7981671404336646E-3</v>
      </c>
      <c r="T71" s="52">
        <f t="shared" ref="T71:T77" si="32">B71-D71</f>
        <v>1.389642826892756E-2</v>
      </c>
      <c r="U71" s="52">
        <f t="shared" ref="U71:U77" si="33">F71-B71</f>
        <v>8.177990511628163E-3</v>
      </c>
      <c r="AA71" s="52"/>
      <c r="AB71" s="52"/>
      <c r="AC71" s="52"/>
      <c r="AD71" s="52"/>
    </row>
    <row r="72" spans="1:36">
      <c r="A72" s="59" t="str">
        <f t="shared" si="29"/>
        <v>Emerging market debt</v>
      </c>
      <c r="B72" s="1">
        <v>8.9274739671457801E-3</v>
      </c>
      <c r="C72" s="54">
        <v>9.2275057316660077E-3</v>
      </c>
      <c r="D72" s="55">
        <v>1.817380098889378E-3</v>
      </c>
      <c r="E72" s="1">
        <v>5.4645433390532652E-3</v>
      </c>
      <c r="F72" s="56">
        <v>1.3500514652096028E-2</v>
      </c>
      <c r="G72" s="68">
        <v>-1.1990627124513658E-2</v>
      </c>
      <c r="H72" s="68">
        <v>-8.3537751805722385E-2</v>
      </c>
      <c r="I72" s="68">
        <v>-5.305074058128631E-2</v>
      </c>
      <c r="J72" s="68">
        <v>1</v>
      </c>
      <c r="K72" s="68">
        <v>-0.19239314374599686</v>
      </c>
      <c r="L72" s="68">
        <v>-0.10191756970633468</v>
      </c>
      <c r="M72" s="2">
        <v>0.17878956297374513</v>
      </c>
      <c r="N72" s="2">
        <v>0.99999999999993749</v>
      </c>
      <c r="O72" s="69"/>
      <c r="R72" s="51" t="str">
        <f t="shared" si="30"/>
        <v>Emerging market debt</v>
      </c>
      <c r="S72" s="52">
        <f t="shared" si="31"/>
        <v>1.817380098889378E-3</v>
      </c>
      <c r="T72" s="52">
        <f t="shared" si="32"/>
        <v>7.1100938682564022E-3</v>
      </c>
      <c r="U72" s="52">
        <f t="shared" si="33"/>
        <v>4.573040684950248E-3</v>
      </c>
      <c r="AA72" s="52"/>
      <c r="AB72" s="52"/>
      <c r="AC72" s="52"/>
      <c r="AD72" s="52"/>
    </row>
    <row r="73" spans="1:36">
      <c r="A73" s="59" t="str">
        <f t="shared" si="29"/>
        <v>Aandelen ontwikkeld</v>
      </c>
      <c r="B73" s="1">
        <v>2.8936030398781527E-3</v>
      </c>
      <c r="C73" s="54">
        <v>3.7251141641533856E-3</v>
      </c>
      <c r="D73" s="55">
        <v>2.1152357814109167E-4</v>
      </c>
      <c r="E73" s="1">
        <v>1.5284078852579835E-3</v>
      </c>
      <c r="F73" s="56">
        <v>4.0265696216699298E-3</v>
      </c>
      <c r="G73" s="68">
        <v>-3.397018006447634E-3</v>
      </c>
      <c r="H73" s="68">
        <v>-2.5579905886276986E-2</v>
      </c>
      <c r="I73" s="68">
        <v>-1.5383877466865897E-2</v>
      </c>
      <c r="J73" s="68">
        <v>7.6784751948671039E-3</v>
      </c>
      <c r="K73" s="68">
        <v>1</v>
      </c>
      <c r="L73" s="68">
        <v>-0.4185059990385267</v>
      </c>
      <c r="M73" s="2">
        <v>-0.42178337461605814</v>
      </c>
      <c r="N73" s="2">
        <v>0.99999999999990585</v>
      </c>
      <c r="O73" s="69"/>
      <c r="R73" s="51" t="str">
        <f t="shared" si="30"/>
        <v>Aandelen ontwikkeld</v>
      </c>
      <c r="S73" s="52">
        <f t="shared" si="31"/>
        <v>2.1152357814109167E-4</v>
      </c>
      <c r="T73" s="52">
        <f t="shared" si="32"/>
        <v>2.6820794617370609E-3</v>
      </c>
      <c r="U73" s="52">
        <f t="shared" si="33"/>
        <v>1.1329665817917771E-3</v>
      </c>
      <c r="AA73" s="52"/>
      <c r="AB73" s="52"/>
      <c r="AC73" s="52"/>
      <c r="AD73" s="52"/>
    </row>
    <row r="74" spans="1:36">
      <c r="A74" s="59" t="str">
        <f t="shared" si="29"/>
        <v>Aandelen opkomend</v>
      </c>
      <c r="B74" s="1">
        <v>1.9587393313640106E-3</v>
      </c>
      <c r="C74" s="54">
        <v>2.600992407180704E-3</v>
      </c>
      <c r="D74" s="55">
        <v>1.2034398533330801E-4</v>
      </c>
      <c r="E74" s="1">
        <v>8.9191024594513794E-4</v>
      </c>
      <c r="F74" s="56">
        <v>2.9074123427886428E-3</v>
      </c>
      <c r="G74" s="68">
        <v>-9.4671647086846976E-4</v>
      </c>
      <c r="H74" s="68">
        <v>-1.500143065831256E-2</v>
      </c>
      <c r="I74" s="68">
        <v>-2.9953259290631872E-2</v>
      </c>
      <c r="J74" s="68">
        <v>1.1425148483992807E-2</v>
      </c>
      <c r="K74" s="68">
        <v>0.12385799145773238</v>
      </c>
      <c r="L74" s="68">
        <v>1</v>
      </c>
      <c r="M74" s="2">
        <v>-0.47234351160355004</v>
      </c>
      <c r="N74" s="2">
        <v>0.9999999999999134</v>
      </c>
      <c r="O74" s="69"/>
      <c r="R74" s="51" t="str">
        <f t="shared" si="30"/>
        <v>Aandelen opkomend</v>
      </c>
      <c r="S74" s="52">
        <f t="shared" si="31"/>
        <v>1.2034398533330801E-4</v>
      </c>
      <c r="T74" s="52">
        <f t="shared" si="32"/>
        <v>1.8383953460307026E-3</v>
      </c>
      <c r="U74" s="52">
        <f t="shared" si="33"/>
        <v>9.4867301142463221E-4</v>
      </c>
      <c r="AA74" s="52"/>
      <c r="AB74" s="52"/>
      <c r="AC74" s="52"/>
      <c r="AD74" s="52"/>
    </row>
    <row r="75" spans="1:36">
      <c r="A75" s="59" t="str">
        <f t="shared" si="29"/>
        <v>Commodities</v>
      </c>
      <c r="B75" s="1">
        <v>5.0076100481880492E-2</v>
      </c>
      <c r="C75" s="54">
        <v>1.7382188674499352E-2</v>
      </c>
      <c r="D75" s="55">
        <v>3.9041996584103802E-2</v>
      </c>
      <c r="E75" s="1">
        <v>5.0444092400136267E-2</v>
      </c>
      <c r="F75" s="56">
        <v>6.2866551932150322E-2</v>
      </c>
      <c r="G75" s="68">
        <v>-0.33492116344313633</v>
      </c>
      <c r="H75" s="68">
        <v>-0.54705311035322068</v>
      </c>
      <c r="I75" s="68">
        <v>-0.33242312933302348</v>
      </c>
      <c r="J75" s="68">
        <v>-0.25237913367790321</v>
      </c>
      <c r="K75" s="68">
        <v>-0.57372856581139475</v>
      </c>
      <c r="L75" s="68">
        <v>-0.32309967144561963</v>
      </c>
      <c r="M75" s="2">
        <v>-0.603631999527528</v>
      </c>
      <c r="N75" s="2">
        <v>0.99999999999988221</v>
      </c>
      <c r="O75" s="69"/>
      <c r="R75" s="51" t="str">
        <f t="shared" si="30"/>
        <v>Commodities</v>
      </c>
      <c r="S75" s="52">
        <f t="shared" si="31"/>
        <v>3.9041996584103802E-2</v>
      </c>
      <c r="T75" s="52">
        <f t="shared" si="32"/>
        <v>1.103410389777669E-2</v>
      </c>
      <c r="U75" s="52">
        <f t="shared" si="33"/>
        <v>1.279045145026983E-2</v>
      </c>
      <c r="AA75" s="52"/>
      <c r="AB75" s="52"/>
      <c r="AC75" s="52"/>
      <c r="AD75" s="52"/>
    </row>
    <row r="76" spans="1:36">
      <c r="A76" s="59" t="str">
        <f t="shared" si="29"/>
        <v>Hedge funds</v>
      </c>
      <c r="B76" s="1">
        <v>3.237305465508386E-2</v>
      </c>
      <c r="C76" s="54">
        <v>2.8885744729244146E-2</v>
      </c>
      <c r="D76" s="55">
        <v>8.5551150091976377E-3</v>
      </c>
      <c r="E76" s="1">
        <v>2.4232052490117784E-2</v>
      </c>
      <c r="F76" s="56">
        <v>4.9982231182866543E-2</v>
      </c>
      <c r="G76" s="68">
        <v>-0.57373870554154915</v>
      </c>
      <c r="H76" s="68">
        <v>1</v>
      </c>
      <c r="I76" s="68">
        <v>-0.10558784598792503</v>
      </c>
      <c r="J76" s="68">
        <v>-0.15611626675478429</v>
      </c>
      <c r="K76" s="68">
        <v>-0.13418253345076703</v>
      </c>
      <c r="L76" s="68">
        <v>-7.238742922435433E-2</v>
      </c>
      <c r="M76" s="2">
        <v>0.21080688611278012</v>
      </c>
      <c r="N76" s="2">
        <v>0.99999999999994171</v>
      </c>
      <c r="O76" s="69"/>
      <c r="R76" s="51" t="str">
        <f t="shared" si="30"/>
        <v>Hedge funds</v>
      </c>
      <c r="S76" s="52">
        <f t="shared" si="31"/>
        <v>8.5551150091976377E-3</v>
      </c>
      <c r="T76" s="52">
        <f t="shared" si="32"/>
        <v>2.3817939645886223E-2</v>
      </c>
      <c r="U76" s="52">
        <f t="shared" si="33"/>
        <v>1.7609176527782683E-2</v>
      </c>
    </row>
    <row r="77" spans="1:36">
      <c r="A77" s="60" t="str">
        <f t="shared" si="29"/>
        <v>Onroerend goed</v>
      </c>
      <c r="B77" s="61">
        <v>0.142972414138931</v>
      </c>
      <c r="C77" s="62">
        <v>3.4034854525069623E-2</v>
      </c>
      <c r="D77" s="63">
        <v>0.118080976125847</v>
      </c>
      <c r="E77" s="61">
        <v>0.14112047005579109</v>
      </c>
      <c r="F77" s="64">
        <v>0.16515039952283034</v>
      </c>
      <c r="G77" s="70">
        <v>1</v>
      </c>
      <c r="H77" s="70">
        <v>0.3745134732099577</v>
      </c>
      <c r="I77" s="70">
        <v>-8.4608462901994058E-2</v>
      </c>
      <c r="J77" s="70">
        <v>-0.17341323800043834</v>
      </c>
      <c r="K77" s="70">
        <v>-0.28194523451207659</v>
      </c>
      <c r="L77" s="70">
        <v>-0.15774488592620645</v>
      </c>
      <c r="M77" s="65">
        <v>-7.4935504034239001E-2</v>
      </c>
      <c r="N77" s="65">
        <v>0.99999999999992095</v>
      </c>
      <c r="O77" s="71"/>
      <c r="R77" s="51" t="str">
        <f t="shared" si="30"/>
        <v>Onroerend goed</v>
      </c>
      <c r="S77" s="52">
        <f t="shared" si="31"/>
        <v>0.118080976125847</v>
      </c>
      <c r="T77" s="52">
        <f t="shared" si="32"/>
        <v>2.4891438013083994E-2</v>
      </c>
      <c r="U77" s="52">
        <f t="shared" si="33"/>
        <v>2.217798538389934E-2</v>
      </c>
    </row>
    <row r="78" spans="1:36">
      <c r="A78" s="67"/>
      <c r="B78" s="1"/>
      <c r="C78" s="1"/>
      <c r="D78" s="1"/>
      <c r="E78" s="1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36">
      <c r="D79" s="384" t="s">
        <v>64</v>
      </c>
      <c r="E79" s="385"/>
      <c r="F79" s="386"/>
      <c r="G79" s="384" t="s">
        <v>65</v>
      </c>
      <c r="H79" s="385"/>
      <c r="I79" s="385"/>
      <c r="J79" s="385"/>
      <c r="K79" s="385"/>
      <c r="L79" s="385"/>
      <c r="M79" s="385"/>
      <c r="N79" s="385"/>
      <c r="O79" s="386"/>
    </row>
    <row r="80" spans="1:36">
      <c r="A80" s="266" t="str">
        <f>Optimalisatie!A13</f>
        <v>Kansgewogen</v>
      </c>
      <c r="B80" s="267" t="s">
        <v>1</v>
      </c>
      <c r="C80" s="268" t="s">
        <v>2</v>
      </c>
      <c r="D80" s="269">
        <v>0.25</v>
      </c>
      <c r="E80" s="270">
        <v>0.5</v>
      </c>
      <c r="F80" s="271">
        <v>0.75</v>
      </c>
      <c r="G80" s="272">
        <v>0.78288534526636833</v>
      </c>
      <c r="H80" s="272">
        <v>0.13908474210171262</v>
      </c>
      <c r="I80" s="272">
        <v>5.8746499216377979E-2</v>
      </c>
      <c r="J80" s="272">
        <v>1.6509262497875543E-2</v>
      </c>
      <c r="K80" s="272">
        <v>1.532088324554759E-3</v>
      </c>
      <c r="L80" s="272">
        <v>9.5684715138077969E-4</v>
      </c>
      <c r="M80" s="272">
        <v>2.8521544173021329E-4</v>
      </c>
      <c r="N80" s="272">
        <v>-2.2204460492503131E-16</v>
      </c>
      <c r="O80" s="273"/>
      <c r="R80" s="51" t="str">
        <f>A80</f>
        <v>Kansgewogen</v>
      </c>
      <c r="S80" s="51"/>
      <c r="T80" s="52"/>
      <c r="U80" s="51"/>
      <c r="AA80" s="52"/>
      <c r="AB80" s="52"/>
      <c r="AC80" s="52"/>
      <c r="AD80" s="52"/>
      <c r="AF80" s="72"/>
      <c r="AG80" s="72"/>
      <c r="AH80" s="72"/>
      <c r="AJ80" s="52"/>
    </row>
    <row r="81" spans="1:36">
      <c r="A81" s="53" t="str">
        <f>A70</f>
        <v>Nominale matching</v>
      </c>
      <c r="B81" s="285">
        <v>0.5749562087748783</v>
      </c>
      <c r="C81" s="54">
        <v>3.937138298286641E-2</v>
      </c>
      <c r="D81" s="55">
        <v>0.54714806916725012</v>
      </c>
      <c r="E81" s="1">
        <v>0.575009528142161</v>
      </c>
      <c r="F81" s="56">
        <v>0.6029755577996746</v>
      </c>
      <c r="G81" s="2">
        <v>-0.4996545521261383</v>
      </c>
      <c r="H81" s="2">
        <v>-0.12265984663682075</v>
      </c>
      <c r="I81" s="2">
        <v>-0.38029769504626793</v>
      </c>
      <c r="J81" s="2">
        <v>-0.3495773625439233</v>
      </c>
      <c r="K81" s="2">
        <v>-0.58041606941262069</v>
      </c>
      <c r="L81" s="2">
        <v>-0.7869009126541775</v>
      </c>
      <c r="M81" s="2">
        <v>-0.16397719538018687</v>
      </c>
      <c r="N81" s="2">
        <v>0.99999999999979117</v>
      </c>
      <c r="O81" s="69"/>
      <c r="R81" s="51" t="str">
        <f>A81</f>
        <v>Nominale matching</v>
      </c>
      <c r="S81" s="52">
        <f>D81</f>
        <v>0.54714806916725012</v>
      </c>
      <c r="T81" s="52">
        <f>B81-D81</f>
        <v>2.7808139607628179E-2</v>
      </c>
      <c r="U81" s="52">
        <f>F81-B81</f>
        <v>2.8019349024796303E-2</v>
      </c>
      <c r="AA81" s="52"/>
      <c r="AB81" s="52"/>
      <c r="AC81" s="52"/>
      <c r="AD81" s="52"/>
      <c r="AF81" s="72"/>
      <c r="AG81" s="72"/>
      <c r="AH81" s="72"/>
      <c r="AJ81" s="52"/>
    </row>
    <row r="82" spans="1:36">
      <c r="A82" s="59" t="str">
        <f t="shared" ref="A82:A88" si="34">A71</f>
        <v>High Yield</v>
      </c>
      <c r="B82" s="285">
        <v>0.18662957132386238</v>
      </c>
      <c r="C82" s="54">
        <v>7.6404726722852076E-2</v>
      </c>
      <c r="D82" s="55">
        <v>0.12763544493243639</v>
      </c>
      <c r="E82" s="1">
        <v>0.18241021723382514</v>
      </c>
      <c r="F82" s="56">
        <v>0.24023651342672661</v>
      </c>
      <c r="G82" s="2">
        <v>1</v>
      </c>
      <c r="H82" s="2">
        <v>-0.10190017637047169</v>
      </c>
      <c r="I82" s="2">
        <v>-0.23958805269313183</v>
      </c>
      <c r="J82" s="2">
        <v>-0.23794563390099671</v>
      </c>
      <c r="K82" s="2">
        <v>-0.21957409679919068</v>
      </c>
      <c r="L82" s="2">
        <v>4.3956218597897403E-2</v>
      </c>
      <c r="M82" s="2">
        <v>-0.14460060853656292</v>
      </c>
      <c r="N82" s="2">
        <v>0.99999999999988831</v>
      </c>
      <c r="O82" s="69"/>
      <c r="R82" s="51" t="str">
        <f t="shared" ref="R82:R88" si="35">A82</f>
        <v>High Yield</v>
      </c>
      <c r="S82" s="52">
        <f t="shared" ref="S82:S88" si="36">D82</f>
        <v>0.12763544493243639</v>
      </c>
      <c r="T82" s="52">
        <f t="shared" ref="T82:T88" si="37">B82-D82</f>
        <v>5.8994126391425983E-2</v>
      </c>
      <c r="U82" s="52">
        <f t="shared" ref="U82:U88" si="38">F82-B82</f>
        <v>5.3606942102864236E-2</v>
      </c>
      <c r="AA82" s="52"/>
      <c r="AB82" s="52"/>
      <c r="AC82" s="52"/>
      <c r="AD82" s="52"/>
      <c r="AF82" s="72"/>
      <c r="AG82" s="72"/>
      <c r="AH82" s="72"/>
      <c r="AJ82" s="52"/>
    </row>
    <row r="83" spans="1:36">
      <c r="A83" s="59" t="str">
        <f t="shared" si="34"/>
        <v>Emerging market debt</v>
      </c>
      <c r="B83" s="285">
        <v>1.4936469358747012E-2</v>
      </c>
      <c r="C83" s="54">
        <v>1.1921464626245104E-2</v>
      </c>
      <c r="D83" s="55">
        <v>5.6802310341193176E-3</v>
      </c>
      <c r="E83" s="1">
        <v>1.1899390782992571E-2</v>
      </c>
      <c r="F83" s="56">
        <v>2.1672919740688558E-2</v>
      </c>
      <c r="G83" s="2">
        <v>2.4282294462597402E-3</v>
      </c>
      <c r="H83" s="2">
        <v>-3.1256013367566546E-2</v>
      </c>
      <c r="I83" s="2">
        <v>-8.7836054261671917E-2</v>
      </c>
      <c r="J83" s="2">
        <v>1</v>
      </c>
      <c r="K83" s="2">
        <v>-0.23631020677566891</v>
      </c>
      <c r="L83" s="2">
        <v>-8.4743642614430972E-2</v>
      </c>
      <c r="M83" s="2">
        <v>-0.12883458225576969</v>
      </c>
      <c r="N83" s="2">
        <v>0.99999999999987643</v>
      </c>
      <c r="O83" s="69"/>
      <c r="R83" s="51" t="str">
        <f t="shared" si="35"/>
        <v>Emerging market debt</v>
      </c>
      <c r="S83" s="52">
        <f t="shared" si="36"/>
        <v>5.6802310341193176E-3</v>
      </c>
      <c r="T83" s="52">
        <f t="shared" si="37"/>
        <v>9.2562383246276945E-3</v>
      </c>
      <c r="U83" s="52">
        <f t="shared" si="38"/>
        <v>6.7364503819415458E-3</v>
      </c>
      <c r="AA83" s="52"/>
      <c r="AB83" s="52"/>
      <c r="AC83" s="52"/>
      <c r="AD83" s="52"/>
      <c r="AF83" s="72"/>
      <c r="AG83" s="72"/>
      <c r="AH83" s="72"/>
      <c r="AJ83" s="52"/>
    </row>
    <row r="84" spans="1:36">
      <c r="A84" s="59" t="str">
        <f t="shared" si="34"/>
        <v>Aandelen ontwikkeld</v>
      </c>
      <c r="B84" s="285">
        <v>1.4328809728656456E-3</v>
      </c>
      <c r="C84" s="54">
        <v>1.6131409585330404E-3</v>
      </c>
      <c r="D84" s="55">
        <v>2.5126859617450768E-4</v>
      </c>
      <c r="E84" s="1">
        <v>8.9052325255169619E-4</v>
      </c>
      <c r="F84" s="56">
        <v>2.079028295035327E-3</v>
      </c>
      <c r="G84" s="2">
        <v>1.8389790583998926E-4</v>
      </c>
      <c r="H84" s="2">
        <v>-4.0357331261283661E-3</v>
      </c>
      <c r="I84" s="2">
        <v>-3.1670447987910367E-3</v>
      </c>
      <c r="J84" s="2">
        <v>-1.5631248694044812E-2</v>
      </c>
      <c r="K84" s="2">
        <v>1.2333869470515556E-2</v>
      </c>
      <c r="L84" s="2">
        <v>-5.9388502674341946E-2</v>
      </c>
      <c r="M84" s="2">
        <v>1</v>
      </c>
      <c r="N84" s="2">
        <v>0.99999999999985989</v>
      </c>
      <c r="O84" s="69"/>
      <c r="R84" s="51" t="str">
        <f t="shared" si="35"/>
        <v>Aandelen ontwikkeld</v>
      </c>
      <c r="S84" s="52">
        <f t="shared" si="36"/>
        <v>2.5126859617450768E-4</v>
      </c>
      <c r="T84" s="52">
        <f t="shared" si="37"/>
        <v>1.1816123766911378E-3</v>
      </c>
      <c r="U84" s="52">
        <f t="shared" si="38"/>
        <v>6.4614732216968147E-4</v>
      </c>
      <c r="AA84" s="52"/>
      <c r="AB84" s="52"/>
      <c r="AC84" s="52"/>
      <c r="AD84" s="52"/>
      <c r="AF84" s="72"/>
      <c r="AG84" s="72"/>
      <c r="AH84" s="72"/>
      <c r="AJ84" s="52"/>
    </row>
    <row r="85" spans="1:36">
      <c r="A85" s="59" t="str">
        <f t="shared" si="34"/>
        <v>Aandelen opkomend</v>
      </c>
      <c r="B85" s="285">
        <v>5.2846761358585265E-2</v>
      </c>
      <c r="C85" s="54">
        <v>3.2946379121615674E-2</v>
      </c>
      <c r="D85" s="55">
        <v>2.6161342967578174E-2</v>
      </c>
      <c r="E85" s="1">
        <v>4.990145170836964E-2</v>
      </c>
      <c r="F85" s="56">
        <v>7.5947078924473665E-2</v>
      </c>
      <c r="G85" s="2">
        <v>-0.1990609901787323</v>
      </c>
      <c r="H85" s="2">
        <v>1</v>
      </c>
      <c r="I85" s="2">
        <v>-0.20844392175032986</v>
      </c>
      <c r="J85" s="2">
        <v>-0.12250708372554284</v>
      </c>
      <c r="K85" s="2">
        <v>8.1243845317503199E-2</v>
      </c>
      <c r="L85" s="2">
        <v>0.72635649038698036</v>
      </c>
      <c r="M85" s="2">
        <v>-0.12530950004502656</v>
      </c>
      <c r="N85" s="2">
        <v>0.9999999999999668</v>
      </c>
      <c r="O85" s="69"/>
      <c r="R85" s="51" t="str">
        <f t="shared" si="35"/>
        <v>Aandelen opkomend</v>
      </c>
      <c r="S85" s="52">
        <f t="shared" si="36"/>
        <v>2.6161342967578174E-2</v>
      </c>
      <c r="T85" s="52">
        <f t="shared" si="37"/>
        <v>2.668541839100709E-2</v>
      </c>
      <c r="U85" s="52">
        <f t="shared" si="38"/>
        <v>2.3100317565888401E-2</v>
      </c>
      <c r="AA85" s="52"/>
      <c r="AB85" s="52"/>
      <c r="AC85" s="52"/>
      <c r="AD85" s="52"/>
      <c r="AF85" s="72"/>
      <c r="AG85" s="72"/>
      <c r="AH85" s="72"/>
      <c r="AJ85" s="52"/>
    </row>
    <row r="86" spans="1:36">
      <c r="A86" s="59" t="str">
        <f t="shared" si="34"/>
        <v>Commodities</v>
      </c>
      <c r="B86" s="285">
        <v>0.13485822296871094</v>
      </c>
      <c r="C86" s="54">
        <v>3.262999102636481E-2</v>
      </c>
      <c r="D86" s="55">
        <v>0.11370157864389133</v>
      </c>
      <c r="E86" s="1">
        <v>0.13495505414461137</v>
      </c>
      <c r="F86" s="56">
        <v>0.15568353885295971</v>
      </c>
      <c r="G86" s="2">
        <v>-0.2939141603369046</v>
      </c>
      <c r="H86" s="2">
        <v>-0.81835382676135271</v>
      </c>
      <c r="I86" s="2">
        <v>-5.9063405066599246E-2</v>
      </c>
      <c r="J86" s="2">
        <v>-0.1198312304213264</v>
      </c>
      <c r="K86" s="2">
        <v>0.18718403732857766</v>
      </c>
      <c r="L86" s="2">
        <v>1</v>
      </c>
      <c r="M86" s="2">
        <v>-0.12387015151611534</v>
      </c>
      <c r="N86" s="2">
        <v>1</v>
      </c>
      <c r="O86" s="69"/>
      <c r="R86" s="51" t="str">
        <f t="shared" si="35"/>
        <v>Commodities</v>
      </c>
      <c r="S86" s="52">
        <f t="shared" si="36"/>
        <v>0.11370157864389133</v>
      </c>
      <c r="T86" s="52">
        <f t="shared" si="37"/>
        <v>2.1156644324819618E-2</v>
      </c>
      <c r="U86" s="52">
        <f t="shared" si="38"/>
        <v>2.0825315884248768E-2</v>
      </c>
      <c r="AA86" s="52"/>
      <c r="AB86" s="52"/>
      <c r="AC86" s="52"/>
      <c r="AD86" s="52"/>
      <c r="AF86" s="72"/>
      <c r="AG86" s="72"/>
      <c r="AH86" s="72"/>
      <c r="AJ86" s="52"/>
    </row>
    <row r="87" spans="1:36">
      <c r="A87" s="59" t="str">
        <f t="shared" si="34"/>
        <v>Hedge funds</v>
      </c>
      <c r="B87" s="285">
        <v>3.0875885888498746E-2</v>
      </c>
      <c r="C87" s="54">
        <v>2.2035908194190316E-2</v>
      </c>
      <c r="D87" s="55">
        <v>1.2460701684223623E-2</v>
      </c>
      <c r="E87" s="1">
        <v>2.740177425242895E-2</v>
      </c>
      <c r="F87" s="56">
        <v>4.501752115945204E-2</v>
      </c>
      <c r="G87" s="2">
        <v>-9.0875114121744781E-3</v>
      </c>
      <c r="H87" s="2">
        <v>8.6118696929395139E-2</v>
      </c>
      <c r="I87" s="2">
        <v>1</v>
      </c>
      <c r="J87" s="2">
        <v>-0.1351965338473877</v>
      </c>
      <c r="K87" s="2">
        <v>-0.24446137912917945</v>
      </c>
      <c r="L87" s="2">
        <v>-0.10182078453910345</v>
      </c>
      <c r="M87" s="2">
        <v>-0.14228706689061169</v>
      </c>
      <c r="N87" s="2">
        <v>0.99999999999987343</v>
      </c>
      <c r="O87" s="69"/>
      <c r="R87" s="51" t="str">
        <f t="shared" si="35"/>
        <v>Hedge funds</v>
      </c>
      <c r="S87" s="52">
        <f t="shared" si="36"/>
        <v>1.2460701684223623E-2</v>
      </c>
      <c r="T87" s="52">
        <f t="shared" si="37"/>
        <v>1.8415184204275122E-2</v>
      </c>
      <c r="U87" s="52">
        <f t="shared" si="38"/>
        <v>1.4141635270953294E-2</v>
      </c>
    </row>
    <row r="88" spans="1:36">
      <c r="A88" s="60" t="str">
        <f t="shared" si="34"/>
        <v>Onroerend goed</v>
      </c>
      <c r="B88" s="286">
        <v>3.4639993538513945E-3</v>
      </c>
      <c r="C88" s="62">
        <v>3.5310670139697916E-3</v>
      </c>
      <c r="D88" s="63">
        <v>8.1840163442420031E-4</v>
      </c>
      <c r="E88" s="61">
        <v>2.6067452787881182E-3</v>
      </c>
      <c r="F88" s="64">
        <v>4.9631565573761815E-3</v>
      </c>
      <c r="G88" s="65">
        <v>-8.9491329815003374E-4</v>
      </c>
      <c r="H88" s="65">
        <v>-7.9131006670540814E-3</v>
      </c>
      <c r="I88" s="65">
        <v>-2.1603826383208534E-2</v>
      </c>
      <c r="J88" s="65">
        <v>-1.9310906866780275E-2</v>
      </c>
      <c r="K88" s="65">
        <v>1</v>
      </c>
      <c r="L88" s="65">
        <v>-0.73745886650309211</v>
      </c>
      <c r="M88" s="65">
        <v>-0.17112089537570005</v>
      </c>
      <c r="N88" s="65">
        <v>0.99999999999986156</v>
      </c>
      <c r="O88" s="71"/>
      <c r="R88" s="51" t="str">
        <f t="shared" si="35"/>
        <v>Onroerend goed</v>
      </c>
      <c r="S88" s="52">
        <f t="shared" si="36"/>
        <v>8.1840163442420031E-4</v>
      </c>
      <c r="T88" s="52">
        <f t="shared" si="37"/>
        <v>2.6455977194271944E-3</v>
      </c>
      <c r="U88" s="52">
        <f t="shared" si="38"/>
        <v>1.499157203524787E-3</v>
      </c>
    </row>
  </sheetData>
  <mergeCells count="14">
    <mergeCell ref="D79:F79"/>
    <mergeCell ref="G79:O79"/>
    <mergeCell ref="D2:F2"/>
    <mergeCell ref="G2:O2"/>
    <mergeCell ref="D13:F13"/>
    <mergeCell ref="G13:O13"/>
    <mergeCell ref="D24:F24"/>
    <mergeCell ref="G24:O24"/>
    <mergeCell ref="D35:F35"/>
    <mergeCell ref="G35:O35"/>
    <mergeCell ref="D46:F46"/>
    <mergeCell ref="G46:O46"/>
    <mergeCell ref="D57:F57"/>
    <mergeCell ref="G57:O5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A121"/>
  <sheetViews>
    <sheetView workbookViewId="0">
      <selection activeCell="U13" sqref="U13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8" t="s">
        <v>90</v>
      </c>
    </row>
    <row r="2" spans="1:23">
      <c r="A2" s="49"/>
      <c r="D2" s="384" t="s">
        <v>64</v>
      </c>
      <c r="E2" s="385"/>
      <c r="F2" s="386"/>
      <c r="G2" s="384" t="s">
        <v>65</v>
      </c>
      <c r="H2" s="385"/>
      <c r="I2" s="385"/>
      <c r="J2" s="385"/>
      <c r="K2" s="385"/>
      <c r="L2" s="385"/>
      <c r="M2" s="385"/>
      <c r="N2" s="386"/>
    </row>
    <row r="3" spans="1:23">
      <c r="A3" s="266" t="str">
        <f>'Samenvatting mixen'!A3</f>
        <v>Evenwicht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0.4019162038467341</v>
      </c>
      <c r="H3" s="272">
        <v>0.28717855631880496</v>
      </c>
      <c r="I3" s="272">
        <v>0.16433637684678171</v>
      </c>
      <c r="J3" s="272">
        <v>7.2396135998920252E-2</v>
      </c>
      <c r="K3" s="272">
        <v>5.1596540237880073E-2</v>
      </c>
      <c r="L3" s="272">
        <v>2.2576186750875804E-2</v>
      </c>
      <c r="M3" s="272">
        <v>2.2204460492503131E-16</v>
      </c>
      <c r="N3" s="272"/>
      <c r="O3" s="273"/>
      <c r="Q3" s="51" t="str">
        <f>A3</f>
        <v>Evenwicht</v>
      </c>
    </row>
    <row r="4" spans="1:23">
      <c r="A4" s="53" t="str">
        <f>+'Samenvatting mixen'!A5</f>
        <v>High Yield</v>
      </c>
      <c r="B4" s="117">
        <v>0.1893061302676414</v>
      </c>
      <c r="C4" s="118">
        <v>0.10533421867518726</v>
      </c>
      <c r="D4" s="119">
        <v>7.7523703679179226E-2</v>
      </c>
      <c r="E4" s="117">
        <v>0.18387052233614809</v>
      </c>
      <c r="F4" s="120">
        <v>0.30757538367744763</v>
      </c>
      <c r="G4" s="2">
        <v>1</v>
      </c>
      <c r="H4" s="2">
        <v>0.65867260180023646</v>
      </c>
      <c r="I4" s="2">
        <v>0.13051974151461584</v>
      </c>
      <c r="J4" s="2">
        <v>-0.31313274189416612</v>
      </c>
      <c r="K4" s="2">
        <v>-0.18674721697475877</v>
      </c>
      <c r="L4" s="2">
        <v>-0.20457021444179699</v>
      </c>
      <c r="M4" s="2">
        <v>0.99999999999999933</v>
      </c>
      <c r="N4" s="57"/>
      <c r="O4" s="72"/>
      <c r="Q4" s="72" t="str">
        <f>A4</f>
        <v>High Yield</v>
      </c>
      <c r="R4" s="72">
        <f>D4</f>
        <v>7.7523703679179226E-2</v>
      </c>
      <c r="S4" s="52">
        <f>B4-D4</f>
        <v>0.11178242658846217</v>
      </c>
      <c r="T4" s="52">
        <f>F4-B4</f>
        <v>0.11826925340980624</v>
      </c>
      <c r="U4" s="52"/>
      <c r="V4" s="52"/>
      <c r="W4" s="52"/>
    </row>
    <row r="5" spans="1:23">
      <c r="A5" s="59" t="str">
        <f>+'Samenvatting mixen'!A6</f>
        <v>Emerging market debt</v>
      </c>
      <c r="B5" s="117">
        <v>0.17988745412157112</v>
      </c>
      <c r="C5" s="118">
        <v>0.10220273456865829</v>
      </c>
      <c r="D5" s="119">
        <v>7.2101864904390994E-2</v>
      </c>
      <c r="E5" s="117">
        <v>0.1665383286011983</v>
      </c>
      <c r="F5" s="120">
        <v>0.28724148377336972</v>
      </c>
      <c r="G5" s="2">
        <v>-0.84429570871613857</v>
      </c>
      <c r="H5" s="2">
        <v>1</v>
      </c>
      <c r="I5" s="2">
        <v>0.15283936823980868</v>
      </c>
      <c r="J5" s="2">
        <v>-0.31056204761571454</v>
      </c>
      <c r="K5" s="2">
        <v>-0.16397535689778608</v>
      </c>
      <c r="L5" s="2">
        <v>-0.18865805169705288</v>
      </c>
      <c r="M5" s="2">
        <v>0.99999999999999956</v>
      </c>
      <c r="N5" s="57"/>
      <c r="O5" s="72"/>
      <c r="Q5" s="72" t="str">
        <f t="shared" ref="Q5:Q10" si="0">A5</f>
        <v>Emerging market debt</v>
      </c>
      <c r="R5" s="72">
        <f t="shared" ref="R5:R10" si="1">D5</f>
        <v>7.2101864904390994E-2</v>
      </c>
      <c r="S5" s="52">
        <f t="shared" ref="S5:S10" si="2">B5-D5</f>
        <v>0.10778558921718012</v>
      </c>
      <c r="T5" s="52">
        <f t="shared" ref="T5:T10" si="3">F5-B5</f>
        <v>0.1073540296517986</v>
      </c>
      <c r="U5" s="52"/>
      <c r="V5" s="52"/>
      <c r="W5" s="52"/>
    </row>
    <row r="6" spans="1:23">
      <c r="A6" s="59" t="str">
        <f>+'Samenvatting mixen'!A7</f>
        <v>Aandelen ontwikkeld</v>
      </c>
      <c r="B6" s="117">
        <v>0.19511936248529493</v>
      </c>
      <c r="C6" s="118">
        <v>5.4342647784118514E-2</v>
      </c>
      <c r="D6" s="119">
        <v>0.13836433077278346</v>
      </c>
      <c r="E6" s="117">
        <v>0.19545652883993458</v>
      </c>
      <c r="F6" s="120">
        <v>0.24968573802132732</v>
      </c>
      <c r="G6" s="2">
        <v>4.1783086166723112E-2</v>
      </c>
      <c r="H6" s="2">
        <v>0.4152081346860047</v>
      </c>
      <c r="I6" s="2">
        <v>-0.1516940168224109</v>
      </c>
      <c r="J6" s="2">
        <v>1</v>
      </c>
      <c r="K6" s="2">
        <v>0.10413455640853729</v>
      </c>
      <c r="L6" s="2">
        <v>-9.2378366234370596E-2</v>
      </c>
      <c r="M6" s="2">
        <v>0.99999999999999933</v>
      </c>
      <c r="N6" s="57"/>
      <c r="O6" s="72"/>
      <c r="Q6" s="72" t="str">
        <f t="shared" si="0"/>
        <v>Aandelen ontwikkeld</v>
      </c>
      <c r="R6" s="72">
        <f t="shared" si="1"/>
        <v>0.13836433077278346</v>
      </c>
      <c r="S6" s="52">
        <f t="shared" si="2"/>
        <v>5.6755031712511478E-2</v>
      </c>
      <c r="T6" s="52">
        <f t="shared" si="3"/>
        <v>5.4566375536032385E-2</v>
      </c>
      <c r="U6" s="52"/>
      <c r="V6" s="52"/>
      <c r="W6" s="52"/>
    </row>
    <row r="7" spans="1:23">
      <c r="A7" s="59" t="str">
        <f>+'Samenvatting mixen'!A8</f>
        <v>Aandelen opkomend</v>
      </c>
      <c r="B7" s="117">
        <v>0.12322751596492687</v>
      </c>
      <c r="C7" s="118">
        <v>4.689203838391201E-2</v>
      </c>
      <c r="D7" s="119">
        <v>7.3678396828209328E-2</v>
      </c>
      <c r="E7" s="117">
        <v>0.12349391342067817</v>
      </c>
      <c r="F7" s="120">
        <v>0.17169586521140665</v>
      </c>
      <c r="G7" s="2">
        <v>-2.2137926007272515E-2</v>
      </c>
      <c r="H7" s="2">
        <v>-0.33660223770512399</v>
      </c>
      <c r="I7" s="2">
        <v>-0.1952520490032989</v>
      </c>
      <c r="J7" s="2">
        <v>-0.26059620347352969</v>
      </c>
      <c r="K7" s="2">
        <v>1</v>
      </c>
      <c r="L7" s="2">
        <v>-0.14417050967310077</v>
      </c>
      <c r="M7" s="2">
        <v>1</v>
      </c>
      <c r="N7" s="57"/>
      <c r="O7" s="72"/>
      <c r="Q7" s="72" t="str">
        <f t="shared" si="0"/>
        <v>Aandelen opkomend</v>
      </c>
      <c r="R7" s="72">
        <f t="shared" si="1"/>
        <v>7.3678396828209328E-2</v>
      </c>
      <c r="S7" s="52">
        <f t="shared" si="2"/>
        <v>4.9549119136717543E-2</v>
      </c>
      <c r="T7" s="52">
        <f t="shared" si="3"/>
        <v>4.8468349246479775E-2</v>
      </c>
      <c r="U7" s="52"/>
      <c r="V7" s="52"/>
      <c r="W7" s="52"/>
    </row>
    <row r="8" spans="1:23">
      <c r="A8" s="59" t="str">
        <f>+'Samenvatting mixen'!A9</f>
        <v>Commodities</v>
      </c>
      <c r="B8" s="117">
        <v>5.0285538433716956E-2</v>
      </c>
      <c r="C8" s="118">
        <v>2.8032283153565561E-2</v>
      </c>
      <c r="D8" s="119">
        <v>2.0173423169925982E-2</v>
      </c>
      <c r="E8" s="117">
        <v>4.9187616478122823E-2</v>
      </c>
      <c r="F8" s="120">
        <v>8.0453498710918364E-2</v>
      </c>
      <c r="G8" s="2">
        <v>1.1060550110331649E-2</v>
      </c>
      <c r="H8" s="2">
        <v>-2.1100044111946165E-3</v>
      </c>
      <c r="I8" s="2">
        <v>-3.6397930090485968E-2</v>
      </c>
      <c r="J8" s="2">
        <v>-8.1314363825982852E-2</v>
      </c>
      <c r="K8" s="2">
        <v>-5.5614469388555673E-2</v>
      </c>
      <c r="L8" s="2">
        <v>1</v>
      </c>
      <c r="M8" s="2">
        <v>0.99999999999999711</v>
      </c>
      <c r="N8" s="57"/>
      <c r="O8" s="72"/>
      <c r="Q8" s="72" t="str">
        <f t="shared" si="0"/>
        <v>Commodities</v>
      </c>
      <c r="R8" s="72">
        <f t="shared" si="1"/>
        <v>2.0173423169925982E-2</v>
      </c>
      <c r="S8" s="52">
        <f t="shared" si="2"/>
        <v>3.0112115263790974E-2</v>
      </c>
      <c r="T8" s="52">
        <f t="shared" si="3"/>
        <v>3.0167960277201408E-2</v>
      </c>
      <c r="U8" s="52"/>
      <c r="V8" s="52"/>
      <c r="W8" s="52"/>
    </row>
    <row r="9" spans="1:23">
      <c r="A9" s="59" t="str">
        <f>+'Samenvatting mixen'!A10</f>
        <v>Hedge funds</v>
      </c>
      <c r="B9" s="117">
        <v>0.12610530136449027</v>
      </c>
      <c r="C9" s="118">
        <v>7.3983093130255778E-2</v>
      </c>
      <c r="D9" s="119">
        <v>4.4880843106858817E-2</v>
      </c>
      <c r="E9" s="117">
        <v>0.11757619972976338</v>
      </c>
      <c r="F9" s="120">
        <v>0.20613313426049545</v>
      </c>
      <c r="G9" s="2">
        <v>-9.8604601244596787E-2</v>
      </c>
      <c r="H9" s="2">
        <v>-0.78606999012079515</v>
      </c>
      <c r="I9" s="2">
        <v>-0.90001511383822896</v>
      </c>
      <c r="J9" s="2">
        <v>-0.11609547359624726</v>
      </c>
      <c r="K9" s="2">
        <v>-0.50328967449373396</v>
      </c>
      <c r="L9" s="2">
        <v>-0.22104707539925347</v>
      </c>
      <c r="M9" s="2">
        <v>0.99999999999999922</v>
      </c>
      <c r="N9" s="57"/>
      <c r="O9" s="72"/>
      <c r="Q9" s="72" t="str">
        <f t="shared" si="0"/>
        <v>Hedge funds</v>
      </c>
      <c r="R9" s="72">
        <f t="shared" si="1"/>
        <v>4.4880843106858817E-2</v>
      </c>
      <c r="S9" s="52">
        <f t="shared" si="2"/>
        <v>8.1224458257631457E-2</v>
      </c>
      <c r="T9" s="52">
        <f t="shared" si="3"/>
        <v>8.002783289600518E-2</v>
      </c>
      <c r="U9" s="52"/>
      <c r="V9" s="52"/>
      <c r="W9" s="52"/>
    </row>
    <row r="10" spans="1:23">
      <c r="A10" s="60" t="str">
        <f>+'Samenvatting mixen'!A11</f>
        <v>Onroerend goed</v>
      </c>
      <c r="B10" s="121">
        <v>0.13606869736235841</v>
      </c>
      <c r="C10" s="122">
        <v>8.209915604933421E-2</v>
      </c>
      <c r="D10" s="123">
        <v>4.5840528997215114E-2</v>
      </c>
      <c r="E10" s="121">
        <v>0.12995807882156671</v>
      </c>
      <c r="F10" s="124">
        <v>0.22591056184951297</v>
      </c>
      <c r="G10" s="65">
        <v>-8.7805400309046558E-2</v>
      </c>
      <c r="H10" s="65">
        <v>-0.94909850424912778</v>
      </c>
      <c r="I10" s="65">
        <v>1</v>
      </c>
      <c r="J10" s="65">
        <v>8.1700830405640246E-2</v>
      </c>
      <c r="K10" s="65">
        <v>-0.19450783865370366</v>
      </c>
      <c r="L10" s="65">
        <v>-0.14917578255442313</v>
      </c>
      <c r="M10" s="65">
        <v>0.99999999999999878</v>
      </c>
      <c r="N10" s="66"/>
      <c r="O10" s="72"/>
      <c r="Q10" s="72" t="str">
        <f t="shared" si="0"/>
        <v>Onroerend goed</v>
      </c>
      <c r="R10" s="72">
        <f t="shared" si="1"/>
        <v>4.5840528997215114E-2</v>
      </c>
      <c r="S10" s="52">
        <f t="shared" si="2"/>
        <v>9.0228168365143302E-2</v>
      </c>
      <c r="T10" s="52">
        <f t="shared" si="3"/>
        <v>8.984186448715456E-2</v>
      </c>
      <c r="U10" s="52"/>
      <c r="V10" s="52"/>
      <c r="W10" s="52"/>
    </row>
    <row r="12" spans="1:23">
      <c r="A12" s="48" t="s">
        <v>68</v>
      </c>
      <c r="D12" s="384" t="s">
        <v>64</v>
      </c>
      <c r="E12" s="385"/>
      <c r="F12" s="386"/>
      <c r="G12" s="384" t="s">
        <v>65</v>
      </c>
      <c r="H12" s="385"/>
      <c r="I12" s="385"/>
      <c r="J12" s="385"/>
      <c r="K12" s="385"/>
      <c r="L12" s="385"/>
      <c r="M12" s="385"/>
      <c r="N12" s="386"/>
      <c r="T12" s="48"/>
      <c r="U12" s="48"/>
    </row>
    <row r="13" spans="1:23">
      <c r="A13" s="266" t="str">
        <f>'Samenvatting mixen'!A14</f>
        <v>Base Case</v>
      </c>
      <c r="B13" s="267" t="s">
        <v>1</v>
      </c>
      <c r="C13" s="268" t="s">
        <v>2</v>
      </c>
      <c r="D13" s="269">
        <v>0.25</v>
      </c>
      <c r="E13" s="270">
        <v>0.5</v>
      </c>
      <c r="F13" s="271">
        <v>0.75</v>
      </c>
      <c r="G13" s="272">
        <v>0.74031071575333507</v>
      </c>
      <c r="H13" s="272">
        <v>0.11607118391386151</v>
      </c>
      <c r="I13" s="272">
        <v>9.1831107977294768E-2</v>
      </c>
      <c r="J13" s="272">
        <v>4.7024019388314242E-2</v>
      </c>
      <c r="K13" s="272">
        <v>3.9164348311543362E-3</v>
      </c>
      <c r="L13" s="272">
        <v>8.4653813603363659E-4</v>
      </c>
      <c r="M13" s="272">
        <v>0</v>
      </c>
      <c r="N13" s="272"/>
      <c r="O13" s="273"/>
      <c r="Q13" s="51" t="str">
        <f>A13</f>
        <v>Base Case</v>
      </c>
    </row>
    <row r="14" spans="1:23">
      <c r="A14" s="53" t="str">
        <f>A4</f>
        <v>High Yield</v>
      </c>
      <c r="B14" s="117">
        <v>0.23577701527791628</v>
      </c>
      <c r="C14" s="118">
        <v>0.13282199227996005</v>
      </c>
      <c r="D14" s="119">
        <v>9.5304615523685604E-2</v>
      </c>
      <c r="E14" s="117">
        <v>0.22268813755612707</v>
      </c>
      <c r="F14" s="120">
        <v>0.37088188367648245</v>
      </c>
      <c r="G14" s="2">
        <v>1</v>
      </c>
      <c r="H14" s="2">
        <v>-0.3178125581149378</v>
      </c>
      <c r="I14" s="2">
        <v>-0.26093929604090943</v>
      </c>
      <c r="J14" s="2">
        <v>-0.2178555858011485</v>
      </c>
      <c r="K14" s="2">
        <v>-0.21634487347929382</v>
      </c>
      <c r="L14" s="2">
        <v>-0.16571505403912265</v>
      </c>
      <c r="M14" s="2">
        <v>0.99999999999999911</v>
      </c>
      <c r="N14" s="57"/>
      <c r="Q14" s="51" t="str">
        <f t="shared" ref="Q14:Q20" si="4">A14</f>
        <v>High Yield</v>
      </c>
      <c r="R14" s="72">
        <f>D14</f>
        <v>9.5304615523685604E-2</v>
      </c>
      <c r="S14" s="52">
        <f>B14-D14</f>
        <v>0.14047239975423068</v>
      </c>
      <c r="T14" s="52">
        <f>F14-B14</f>
        <v>0.13510486839856617</v>
      </c>
      <c r="U14" s="52"/>
    </row>
    <row r="15" spans="1:23">
      <c r="A15" s="59" t="str">
        <f t="shared" ref="A15:A20" si="5">A5</f>
        <v>Emerging market debt</v>
      </c>
      <c r="B15" s="117">
        <v>4.516169010955897E-2</v>
      </c>
      <c r="C15" s="118">
        <v>3.8584568524031665E-2</v>
      </c>
      <c r="D15" s="119">
        <v>1.0080629740565394E-2</v>
      </c>
      <c r="E15" s="117">
        <v>3.423862540832092E-2</v>
      </c>
      <c r="F15" s="120">
        <v>7.9898766380699773E-2</v>
      </c>
      <c r="G15" s="2">
        <v>-6.5836327054349164E-2</v>
      </c>
      <c r="H15" s="2">
        <v>-6.5658916872625678E-2</v>
      </c>
      <c r="I15" s="2">
        <v>-5.8103030101013066E-2</v>
      </c>
      <c r="J15" s="2">
        <v>1</v>
      </c>
      <c r="K15" s="2">
        <v>-0.15394509943874812</v>
      </c>
      <c r="L15" s="2">
        <v>-0.15031444380816866</v>
      </c>
      <c r="M15" s="2">
        <v>0.99999999999999756</v>
      </c>
      <c r="N15" s="57"/>
      <c r="Q15" s="51" t="str">
        <f t="shared" si="4"/>
        <v>Emerging market debt</v>
      </c>
      <c r="R15" s="72">
        <f t="shared" ref="R15:R20" si="6">D15</f>
        <v>1.0080629740565394E-2</v>
      </c>
      <c r="S15" s="52">
        <f t="shared" ref="S15:S20" si="7">B15-D15</f>
        <v>3.5081060368993576E-2</v>
      </c>
      <c r="T15" s="52">
        <f t="shared" ref="T15:T20" si="8">F15-B15</f>
        <v>3.4737076271140803E-2</v>
      </c>
      <c r="U15" s="52"/>
    </row>
    <row r="16" spans="1:23">
      <c r="A16" s="59" t="str">
        <f t="shared" si="5"/>
        <v>Aandelen ontwikkeld</v>
      </c>
      <c r="B16" s="117">
        <v>4.7456005134116032E-3</v>
      </c>
      <c r="C16" s="118">
        <v>5.2134525447881256E-3</v>
      </c>
      <c r="D16" s="119">
        <v>3.1098054798629564E-4</v>
      </c>
      <c r="E16" s="117">
        <v>2.7033708404513596E-3</v>
      </c>
      <c r="F16" s="120">
        <v>9.9324668520615628E-3</v>
      </c>
      <c r="G16" s="2">
        <v>-2.5149327874538405E-3</v>
      </c>
      <c r="H16" s="2">
        <v>1.1426874053082024E-4</v>
      </c>
      <c r="I16" s="2">
        <v>-9.9986750670455048E-3</v>
      </c>
      <c r="J16" s="2">
        <v>-1.4668075860528229E-2</v>
      </c>
      <c r="K16" s="2">
        <v>2.1944775684048883E-2</v>
      </c>
      <c r="L16" s="2">
        <v>1</v>
      </c>
      <c r="M16" s="2">
        <v>0.99999999999997502</v>
      </c>
      <c r="N16" s="57"/>
      <c r="Q16" s="51" t="str">
        <f t="shared" si="4"/>
        <v>Aandelen ontwikkeld</v>
      </c>
      <c r="R16" s="72">
        <f t="shared" si="6"/>
        <v>3.1098054798629564E-4</v>
      </c>
      <c r="S16" s="52">
        <f t="shared" si="7"/>
        <v>4.4346199654253073E-3</v>
      </c>
      <c r="T16" s="52">
        <f t="shared" si="8"/>
        <v>5.1868663386499597E-3</v>
      </c>
      <c r="U16" s="52"/>
    </row>
    <row r="17" spans="1:24">
      <c r="A17" s="59" t="str">
        <f t="shared" si="5"/>
        <v>Aandelen opkomend</v>
      </c>
      <c r="B17" s="117">
        <v>7.156538990643746E-2</v>
      </c>
      <c r="C17" s="118">
        <v>5.8315286195927483E-2</v>
      </c>
      <c r="D17" s="119">
        <v>1.521987083539175E-2</v>
      </c>
      <c r="E17" s="117">
        <v>5.6146977814044027E-2</v>
      </c>
      <c r="F17" s="120">
        <v>0.12708665921436846</v>
      </c>
      <c r="G17" s="2">
        <v>-0.10571152771286559</v>
      </c>
      <c r="H17" s="2">
        <v>1</v>
      </c>
      <c r="I17" s="2">
        <v>-0.24657858172836164</v>
      </c>
      <c r="J17" s="2">
        <v>-0.19972520517814984</v>
      </c>
      <c r="K17" s="2">
        <v>-0.22247239903104868</v>
      </c>
      <c r="L17" s="2">
        <v>-0.16738286858425239</v>
      </c>
      <c r="M17" s="2">
        <v>0.99999999999999989</v>
      </c>
      <c r="N17" s="57"/>
      <c r="Q17" s="51" t="str">
        <f t="shared" si="4"/>
        <v>Aandelen opkomend</v>
      </c>
      <c r="R17" s="72">
        <f t="shared" si="6"/>
        <v>1.521987083539175E-2</v>
      </c>
      <c r="S17" s="52">
        <f t="shared" si="7"/>
        <v>5.6345519071045708E-2</v>
      </c>
      <c r="T17" s="52">
        <f t="shared" si="8"/>
        <v>5.5521269307930998E-2</v>
      </c>
      <c r="U17" s="52"/>
    </row>
    <row r="18" spans="1:24">
      <c r="A18" s="59" t="str">
        <f t="shared" si="5"/>
        <v>Commodities</v>
      </c>
      <c r="B18" s="117">
        <v>0.56125939804848646</v>
      </c>
      <c r="C18" s="118">
        <v>0.10522143232304454</v>
      </c>
      <c r="D18" s="119">
        <v>0.45501853734259429</v>
      </c>
      <c r="E18" s="117">
        <v>0.55921941720482726</v>
      </c>
      <c r="F18" s="120">
        <v>0.66964017001475895</v>
      </c>
      <c r="G18" s="2">
        <v>-0.74848395598529527</v>
      </c>
      <c r="H18" s="2">
        <v>-0.55431001157431292</v>
      </c>
      <c r="I18" s="2">
        <v>-0.40077746930147407</v>
      </c>
      <c r="J18" s="2">
        <v>-0.33329289740875373</v>
      </c>
      <c r="K18" s="2">
        <v>-0.23754685744798706</v>
      </c>
      <c r="L18" s="2">
        <v>-0.1713564726326999</v>
      </c>
      <c r="M18" s="2">
        <v>1</v>
      </c>
      <c r="N18" s="57"/>
      <c r="Q18" s="51" t="str">
        <f t="shared" si="4"/>
        <v>Commodities</v>
      </c>
      <c r="R18" s="72">
        <f t="shared" si="6"/>
        <v>0.45501853734259429</v>
      </c>
      <c r="S18" s="52">
        <f t="shared" si="7"/>
        <v>0.10624086070589217</v>
      </c>
      <c r="T18" s="52">
        <f t="shared" si="8"/>
        <v>0.10838077196627249</v>
      </c>
      <c r="U18" s="52"/>
    </row>
    <row r="19" spans="1:24">
      <c r="A19" s="59" t="str">
        <f t="shared" si="5"/>
        <v>Hedge funds</v>
      </c>
      <c r="B19" s="117">
        <v>7.0276101674922875E-2</v>
      </c>
      <c r="C19" s="118">
        <v>5.2300212890738704E-2</v>
      </c>
      <c r="D19" s="119">
        <v>1.9868438206004254E-2</v>
      </c>
      <c r="E19" s="117">
        <v>5.9562621162508551E-2</v>
      </c>
      <c r="F19" s="120">
        <v>0.12143808145321883</v>
      </c>
      <c r="G19" s="2">
        <v>-6.9148852723331433E-2</v>
      </c>
      <c r="H19" s="2">
        <v>-6.2320301182087749E-2</v>
      </c>
      <c r="I19" s="2">
        <v>1</v>
      </c>
      <c r="J19" s="2">
        <v>-0.18293114738380392</v>
      </c>
      <c r="K19" s="2">
        <v>-0.19163554628696311</v>
      </c>
      <c r="L19" s="2">
        <v>-0.15638283997619587</v>
      </c>
      <c r="M19" s="2">
        <v>0.99999999999999967</v>
      </c>
      <c r="N19" s="57"/>
      <c r="Q19" s="51" t="str">
        <f t="shared" si="4"/>
        <v>Hedge funds</v>
      </c>
      <c r="R19" s="72">
        <f t="shared" si="6"/>
        <v>1.9868438206004254E-2</v>
      </c>
      <c r="S19" s="52">
        <f t="shared" si="7"/>
        <v>5.0407663468918618E-2</v>
      </c>
      <c r="T19" s="52">
        <f t="shared" si="8"/>
        <v>5.1161979778295952E-2</v>
      </c>
      <c r="U19" s="52"/>
    </row>
    <row r="20" spans="1:24">
      <c r="A20" s="60" t="str">
        <f t="shared" si="5"/>
        <v>Onroerend goed</v>
      </c>
      <c r="B20" s="121">
        <v>1.1214804469266095E-2</v>
      </c>
      <c r="C20" s="122">
        <v>1.1180791041482209E-2</v>
      </c>
      <c r="D20" s="123">
        <v>1.7409154601443391E-3</v>
      </c>
      <c r="E20" s="121">
        <v>7.2319193238043747E-3</v>
      </c>
      <c r="F20" s="124">
        <v>2.1909260851275945E-2</v>
      </c>
      <c r="G20" s="65">
        <v>-8.3044037367039289E-3</v>
      </c>
      <c r="H20" s="65">
        <v>-1.2480996566554162E-5</v>
      </c>
      <c r="I20" s="65">
        <v>-2.3602947761196716E-2</v>
      </c>
      <c r="J20" s="65">
        <v>-5.152708836761434E-2</v>
      </c>
      <c r="K20" s="65">
        <v>1</v>
      </c>
      <c r="L20" s="65">
        <v>-0.18884832095953816</v>
      </c>
      <c r="M20" s="65">
        <v>0.99999999999999234</v>
      </c>
      <c r="N20" s="66"/>
      <c r="Q20" s="51" t="str">
        <f t="shared" si="4"/>
        <v>Onroerend goed</v>
      </c>
      <c r="R20" s="72">
        <f t="shared" si="6"/>
        <v>1.7409154601443391E-3</v>
      </c>
      <c r="S20" s="52">
        <f t="shared" si="7"/>
        <v>9.4738890091217564E-3</v>
      </c>
      <c r="T20" s="52">
        <f t="shared" si="8"/>
        <v>1.0694456382009851E-2</v>
      </c>
      <c r="U20" s="52"/>
    </row>
    <row r="21" spans="1:24">
      <c r="A21" s="125"/>
      <c r="B21" s="126"/>
      <c r="C21" s="126"/>
      <c r="D21" s="127"/>
      <c r="E21" s="127"/>
      <c r="F21" s="127"/>
      <c r="G21" s="128"/>
      <c r="H21" s="129"/>
      <c r="I21" s="128"/>
      <c r="J21" s="128"/>
      <c r="K21" s="128"/>
      <c r="L21" s="128"/>
      <c r="M21" s="128"/>
      <c r="N21" s="130"/>
    </row>
    <row r="22" spans="1:24">
      <c r="A22" s="49"/>
      <c r="D22" s="384" t="s">
        <v>64</v>
      </c>
      <c r="E22" s="385"/>
      <c r="F22" s="386"/>
      <c r="G22" s="384" t="s">
        <v>65</v>
      </c>
      <c r="H22" s="385"/>
      <c r="I22" s="385"/>
      <c r="J22" s="385"/>
      <c r="K22" s="385"/>
      <c r="L22" s="385"/>
      <c r="M22" s="385"/>
      <c r="N22" s="386"/>
      <c r="O22" s="67"/>
    </row>
    <row r="23" spans="1:24">
      <c r="A23" s="266" t="str">
        <f>'Samenvatting mixen'!A25</f>
        <v>Base - muddle down</v>
      </c>
      <c r="B23" s="267" t="s">
        <v>67</v>
      </c>
      <c r="C23" s="268" t="s">
        <v>2</v>
      </c>
      <c r="D23" s="269">
        <v>0.25</v>
      </c>
      <c r="E23" s="270">
        <v>0.5</v>
      </c>
      <c r="F23" s="271">
        <v>0.75</v>
      </c>
      <c r="G23" s="272">
        <v>0.79864726178174439</v>
      </c>
      <c r="H23" s="272">
        <v>0.14623123708459629</v>
      </c>
      <c r="I23" s="272">
        <v>3.0458412026499015E-2</v>
      </c>
      <c r="J23" s="272">
        <v>1.8848968624525231E-2</v>
      </c>
      <c r="K23" s="272">
        <v>4.2693044848112205E-3</v>
      </c>
      <c r="L23" s="272">
        <v>1.544815997827631E-3</v>
      </c>
      <c r="M23" s="272">
        <v>0</v>
      </c>
      <c r="N23" s="272"/>
      <c r="O23" s="273"/>
      <c r="Q23" s="51" t="str">
        <f>A23</f>
        <v>Base - muddle down</v>
      </c>
    </row>
    <row r="24" spans="1:24">
      <c r="A24" s="59" t="str">
        <f>A4</f>
        <v>High Yield</v>
      </c>
      <c r="B24" s="117">
        <v>8.9024622978396261E-3</v>
      </c>
      <c r="C24" s="118">
        <v>9.7367605357514108E-3</v>
      </c>
      <c r="D24" s="119">
        <v>9.7331828190076893E-4</v>
      </c>
      <c r="E24" s="117">
        <v>5.8622029058235069E-3</v>
      </c>
      <c r="F24" s="120">
        <v>1.6236974241075536E-2</v>
      </c>
      <c r="G24" s="2">
        <v>-5.2336785313407807E-3</v>
      </c>
      <c r="H24" s="2">
        <v>5.5860232859309751E-2</v>
      </c>
      <c r="I24" s="2">
        <v>1</v>
      </c>
      <c r="J24" s="2">
        <v>-0.81650879157803202</v>
      </c>
      <c r="K24" s="2">
        <v>-0.23684379692571134</v>
      </c>
      <c r="L24" s="2">
        <v>-0.13642244001829573</v>
      </c>
      <c r="M24" s="2">
        <v>0.99999999999998523</v>
      </c>
      <c r="N24" s="57"/>
      <c r="O24" s="67"/>
      <c r="Q24" s="51" t="str">
        <f t="shared" ref="Q24:Q30" si="9">A24</f>
        <v>High Yield</v>
      </c>
      <c r="R24" s="72">
        <f>D24</f>
        <v>9.7331828190076893E-4</v>
      </c>
      <c r="S24" s="52">
        <f>B24-D24</f>
        <v>7.929144015938857E-3</v>
      </c>
      <c r="T24" s="52">
        <f>F24-B24</f>
        <v>7.3345119432359097E-3</v>
      </c>
      <c r="U24" s="52"/>
    </row>
    <row r="25" spans="1:24">
      <c r="A25" s="59" t="str">
        <f t="shared" ref="A25:A30" si="10">A5</f>
        <v>Emerging market debt</v>
      </c>
      <c r="B25" s="117">
        <v>6.1478749105533186E-2</v>
      </c>
      <c r="C25" s="118">
        <v>4.5405273726367788E-2</v>
      </c>
      <c r="D25" s="119">
        <v>1.7159244375471998E-2</v>
      </c>
      <c r="E25" s="117">
        <v>5.327746594279513E-2</v>
      </c>
      <c r="F25" s="120">
        <v>0.10751989875447848</v>
      </c>
      <c r="G25" s="2">
        <v>1</v>
      </c>
      <c r="H25" s="2">
        <v>-0.5449860231708572</v>
      </c>
      <c r="I25" s="2">
        <v>-0.52614224829872092</v>
      </c>
      <c r="J25" s="2">
        <v>-6.9329002747351709E-2</v>
      </c>
      <c r="K25" s="2">
        <v>-0.1948507063336638</v>
      </c>
      <c r="L25" s="2">
        <v>-0.14902737406571065</v>
      </c>
      <c r="M25" s="2">
        <v>0.99999999999998412</v>
      </c>
      <c r="N25" s="57"/>
      <c r="O25" s="67"/>
      <c r="Q25" s="51" t="str">
        <f t="shared" si="9"/>
        <v>Emerging market debt</v>
      </c>
      <c r="R25" s="72">
        <f t="shared" ref="R25:R30" si="11">D25</f>
        <v>1.7159244375471998E-2</v>
      </c>
      <c r="S25" s="52">
        <f t="shared" ref="S25:S30" si="12">B25-D25</f>
        <v>4.4319504730061188E-2</v>
      </c>
      <c r="T25" s="52">
        <f t="shared" ref="T25:T30" si="13">F25-B25</f>
        <v>4.6041149648945297E-2</v>
      </c>
      <c r="U25" s="52"/>
      <c r="X25" s="51"/>
    </row>
    <row r="26" spans="1:24">
      <c r="A26" s="59" t="str">
        <f t="shared" si="10"/>
        <v>Aandelen ontwikkeld</v>
      </c>
      <c r="B26" s="117">
        <v>1.5320871687334739E-3</v>
      </c>
      <c r="C26" s="118">
        <v>2.5273241871881071E-3</v>
      </c>
      <c r="D26" s="119">
        <v>1.6123355805191399E-5</v>
      </c>
      <c r="E26" s="117">
        <v>5.5431097235591619E-4</v>
      </c>
      <c r="F26" s="120">
        <v>2.7104335647145199E-3</v>
      </c>
      <c r="G26" s="2">
        <v>-5.228200475449132E-3</v>
      </c>
      <c r="H26" s="2">
        <v>1.357408398609731E-3</v>
      </c>
      <c r="I26" s="2">
        <v>-3.8675860143410541E-3</v>
      </c>
      <c r="J26" s="2">
        <v>1.9816745159330042E-2</v>
      </c>
      <c r="K26" s="2">
        <v>8.1813539315327116E-2</v>
      </c>
      <c r="L26" s="2">
        <v>1</v>
      </c>
      <c r="M26" s="2">
        <v>1</v>
      </c>
      <c r="N26" s="57"/>
      <c r="O26" s="67"/>
      <c r="P26" s="72"/>
      <c r="Q26" s="51" t="str">
        <f t="shared" si="9"/>
        <v>Aandelen ontwikkeld</v>
      </c>
      <c r="R26" s="72">
        <f t="shared" si="11"/>
        <v>1.6123355805191399E-5</v>
      </c>
      <c r="S26" s="52">
        <f t="shared" si="12"/>
        <v>1.5159638129282826E-3</v>
      </c>
      <c r="T26" s="52">
        <f t="shared" si="13"/>
        <v>1.178346395981046E-3</v>
      </c>
      <c r="U26" s="52"/>
      <c r="V26" s="52"/>
      <c r="W26" s="52"/>
    </row>
    <row r="27" spans="1:24">
      <c r="A27" s="59" t="str">
        <f t="shared" si="10"/>
        <v>Aandelen opkomend</v>
      </c>
      <c r="B27" s="117">
        <v>7.8028364818515817E-3</v>
      </c>
      <c r="C27" s="118">
        <v>9.0649832243677123E-3</v>
      </c>
      <c r="D27" s="119">
        <v>3.8766894616157349E-4</v>
      </c>
      <c r="E27" s="117">
        <v>4.4834099721580162E-3</v>
      </c>
      <c r="F27" s="120">
        <v>1.4955505384291929E-2</v>
      </c>
      <c r="G27" s="2">
        <v>-7.10387136499029E-3</v>
      </c>
      <c r="H27" s="2">
        <v>3.154605712762678E-2</v>
      </c>
      <c r="I27" s="2">
        <v>0.6959519755450323</v>
      </c>
      <c r="J27" s="2">
        <v>1</v>
      </c>
      <c r="K27" s="2">
        <v>-0.2414004470945445</v>
      </c>
      <c r="L27" s="2">
        <v>-0.1617414665929798</v>
      </c>
      <c r="M27" s="2">
        <v>0.99999999999998546</v>
      </c>
      <c r="N27" s="57"/>
      <c r="O27" s="67"/>
      <c r="P27" s="72"/>
      <c r="Q27" s="51" t="str">
        <f t="shared" si="9"/>
        <v>Aandelen opkomend</v>
      </c>
      <c r="R27" s="72">
        <f t="shared" si="11"/>
        <v>3.8766894616157349E-4</v>
      </c>
      <c r="S27" s="52">
        <f t="shared" si="12"/>
        <v>7.4151675356900083E-3</v>
      </c>
      <c r="T27" s="52">
        <f t="shared" si="13"/>
        <v>7.1526689024403473E-3</v>
      </c>
      <c r="U27" s="52"/>
      <c r="V27" s="52"/>
      <c r="W27" s="52"/>
    </row>
    <row r="28" spans="1:24">
      <c r="A28" s="59" t="str">
        <f t="shared" si="10"/>
        <v>Commodities</v>
      </c>
      <c r="B28" s="117">
        <v>0.89428289701351427</v>
      </c>
      <c r="C28" s="118">
        <v>4.4679061224825754E-2</v>
      </c>
      <c r="D28" s="119">
        <v>0.84973198999984012</v>
      </c>
      <c r="E28" s="117">
        <v>0.89723566507248764</v>
      </c>
      <c r="F28" s="120">
        <v>0.93944594090809663</v>
      </c>
      <c r="G28" s="2">
        <v>-0.9823558512637619</v>
      </c>
      <c r="H28" s="2">
        <v>-0.54451071561742337</v>
      </c>
      <c r="I28" s="2">
        <v>-0.55371546212727063</v>
      </c>
      <c r="J28" s="2">
        <v>-7.4304166541022135E-2</v>
      </c>
      <c r="K28" s="2">
        <v>-0.2088227432140374</v>
      </c>
      <c r="L28" s="2">
        <v>-0.15412152675784183</v>
      </c>
      <c r="M28" s="2">
        <v>0.99999999999998523</v>
      </c>
      <c r="N28" s="57"/>
      <c r="O28" s="67"/>
      <c r="P28" s="72"/>
      <c r="Q28" s="51" t="str">
        <f t="shared" si="9"/>
        <v>Commodities</v>
      </c>
      <c r="R28" s="72">
        <f t="shared" si="11"/>
        <v>0.84973198999984012</v>
      </c>
      <c r="S28" s="52">
        <f t="shared" si="12"/>
        <v>4.4550907013674146E-2</v>
      </c>
      <c r="T28" s="52">
        <f t="shared" si="13"/>
        <v>4.5163043894582366E-2</v>
      </c>
      <c r="U28" s="52"/>
      <c r="V28" s="52"/>
      <c r="W28" s="52"/>
    </row>
    <row r="29" spans="1:24">
      <c r="A29" s="59" t="str">
        <f t="shared" si="10"/>
        <v>Hedge funds</v>
      </c>
      <c r="B29" s="117">
        <v>2.2716338351636719E-2</v>
      </c>
      <c r="C29" s="118">
        <v>2.1407436233595908E-2</v>
      </c>
      <c r="D29" s="119">
        <v>3.7704170688989506E-3</v>
      </c>
      <c r="E29" s="117">
        <v>1.6949212730774647E-2</v>
      </c>
      <c r="F29" s="120">
        <v>4.1487141710006101E-2</v>
      </c>
      <c r="G29" s="2">
        <v>1.0614124095847614E-2</v>
      </c>
      <c r="H29" s="2">
        <v>1</v>
      </c>
      <c r="I29" s="2">
        <v>-0.66609318412257834</v>
      </c>
      <c r="J29" s="2">
        <v>-6.4208661223976921E-2</v>
      </c>
      <c r="K29" s="2">
        <v>-0.19989584574737274</v>
      </c>
      <c r="L29" s="2">
        <v>-0.15359350877686212</v>
      </c>
      <c r="M29" s="2">
        <v>0.99999999999998523</v>
      </c>
      <c r="N29" s="57"/>
      <c r="O29" s="67"/>
      <c r="P29" s="72"/>
      <c r="Q29" s="51" t="str">
        <f t="shared" si="9"/>
        <v>Hedge funds</v>
      </c>
      <c r="R29" s="72">
        <f t="shared" si="11"/>
        <v>3.7704170688989506E-3</v>
      </c>
      <c r="S29" s="52">
        <f t="shared" si="12"/>
        <v>1.8945921282737768E-2</v>
      </c>
      <c r="T29" s="52">
        <f t="shared" si="13"/>
        <v>1.8770803358369382E-2</v>
      </c>
      <c r="U29" s="52"/>
      <c r="V29" s="52"/>
      <c r="W29" s="52"/>
    </row>
    <row r="30" spans="1:24">
      <c r="A30" s="60" t="str">
        <f t="shared" si="10"/>
        <v>Onroerend goed</v>
      </c>
      <c r="B30" s="121">
        <v>3.2846295808913852E-3</v>
      </c>
      <c r="C30" s="122">
        <v>4.1187050655235842E-3</v>
      </c>
      <c r="D30" s="123">
        <v>1.5819886252651036E-4</v>
      </c>
      <c r="E30" s="121">
        <v>1.6663459413799099E-3</v>
      </c>
      <c r="F30" s="124">
        <v>6.6818058143059012E-3</v>
      </c>
      <c r="G30" s="65">
        <v>-1.0692522460304426E-2</v>
      </c>
      <c r="H30" s="65">
        <v>7.3304040273365005E-4</v>
      </c>
      <c r="I30" s="65">
        <v>5.3866505017877257E-2</v>
      </c>
      <c r="J30" s="65">
        <v>4.5338769310520775E-3</v>
      </c>
      <c r="K30" s="65">
        <v>1</v>
      </c>
      <c r="L30" s="65">
        <v>-0.24509368378832344</v>
      </c>
      <c r="M30" s="65">
        <v>0.99999999999998779</v>
      </c>
      <c r="N30" s="66"/>
      <c r="O30" s="67"/>
      <c r="P30" s="72"/>
      <c r="Q30" s="51" t="str">
        <f t="shared" si="9"/>
        <v>Onroerend goed</v>
      </c>
      <c r="R30" s="72">
        <f t="shared" si="11"/>
        <v>1.5819886252651036E-4</v>
      </c>
      <c r="S30" s="52">
        <f t="shared" si="12"/>
        <v>3.1264307183648749E-3</v>
      </c>
      <c r="T30" s="52">
        <f t="shared" si="13"/>
        <v>3.397176233414516E-3</v>
      </c>
      <c r="U30" s="52"/>
      <c r="V30" s="52"/>
      <c r="W30" s="52"/>
    </row>
    <row r="31" spans="1:24">
      <c r="A31" s="67"/>
      <c r="B31" s="117"/>
      <c r="C31" s="117"/>
      <c r="D31" s="117"/>
      <c r="E31" s="117"/>
      <c r="F31" s="117"/>
      <c r="G31" s="68"/>
      <c r="H31" s="68"/>
      <c r="I31" s="68"/>
      <c r="J31" s="68"/>
      <c r="K31" s="68"/>
      <c r="L31" s="68"/>
      <c r="M31" s="68"/>
      <c r="N31" s="68"/>
      <c r="O31" s="67"/>
      <c r="P31" s="72"/>
      <c r="Q31" s="72"/>
      <c r="R31" s="72"/>
      <c r="T31" s="52"/>
      <c r="U31" s="52"/>
      <c r="V31" s="52"/>
      <c r="W31" s="52"/>
    </row>
    <row r="32" spans="1:24">
      <c r="A32" s="49"/>
      <c r="D32" s="384" t="s">
        <v>64</v>
      </c>
      <c r="E32" s="385"/>
      <c r="F32" s="386"/>
      <c r="G32" s="384" t="s">
        <v>65</v>
      </c>
      <c r="H32" s="385"/>
      <c r="I32" s="385"/>
      <c r="J32" s="385"/>
      <c r="K32" s="385"/>
      <c r="L32" s="385"/>
      <c r="M32" s="385"/>
      <c r="N32" s="386"/>
      <c r="O32" s="67"/>
    </row>
    <row r="33" spans="1:24">
      <c r="A33" s="266" t="str">
        <f>'Samenvatting mixen'!A36</f>
        <v>Base - muddle up</v>
      </c>
      <c r="B33" s="267" t="s">
        <v>67</v>
      </c>
      <c r="C33" s="268" t="s">
        <v>2</v>
      </c>
      <c r="D33" s="269">
        <v>0.25</v>
      </c>
      <c r="E33" s="270">
        <v>0.5</v>
      </c>
      <c r="F33" s="271">
        <v>0.75</v>
      </c>
      <c r="G33" s="272">
        <v>0.6821104453434057</v>
      </c>
      <c r="H33" s="272">
        <v>0.21024420254495857</v>
      </c>
      <c r="I33" s="272">
        <v>5.4105574613200758E-2</v>
      </c>
      <c r="J33" s="272">
        <v>2.8287946278246379E-2</v>
      </c>
      <c r="K33" s="272">
        <v>1.591760861571434E-2</v>
      </c>
      <c r="L33" s="272">
        <v>9.3342226044745846E-3</v>
      </c>
      <c r="M33" s="272">
        <v>0</v>
      </c>
      <c r="N33" s="272"/>
      <c r="O33" s="273"/>
      <c r="Q33" s="51" t="str">
        <f>A33</f>
        <v>Base - muddle up</v>
      </c>
    </row>
    <row r="34" spans="1:24">
      <c r="A34" s="53" t="str">
        <f t="shared" ref="A34:A40" si="14">A4</f>
        <v>High Yield</v>
      </c>
      <c r="B34" s="117">
        <v>0.70812365034059077</v>
      </c>
      <c r="C34" s="118">
        <v>9.3058089562554305E-2</v>
      </c>
      <c r="D34" s="119">
        <v>0.61239230310119175</v>
      </c>
      <c r="E34" s="117">
        <v>0.71023069930578342</v>
      </c>
      <c r="F34" s="120">
        <v>0.8044382288535703</v>
      </c>
      <c r="G34" s="2">
        <v>1</v>
      </c>
      <c r="H34" s="2">
        <v>-0.25458519502059712</v>
      </c>
      <c r="I34" s="2">
        <v>-0.33219887936279097</v>
      </c>
      <c r="J34" s="2">
        <v>-0.27279914559158358</v>
      </c>
      <c r="K34" s="2">
        <v>-0.16919807037536766</v>
      </c>
      <c r="L34" s="2">
        <v>-0.13568924623576148</v>
      </c>
      <c r="M34" s="2">
        <v>0.99999999999999989</v>
      </c>
      <c r="N34" s="57"/>
      <c r="O34" s="67"/>
      <c r="Q34" s="51" t="str">
        <f t="shared" ref="Q34:Q40" si="15">A34</f>
        <v>High Yield</v>
      </c>
      <c r="R34" s="72">
        <f>D34</f>
        <v>0.61239230310119175</v>
      </c>
      <c r="S34" s="52">
        <f>B34-D34</f>
        <v>9.5731347239399023E-2</v>
      </c>
      <c r="T34" s="52">
        <f>F34-B34</f>
        <v>9.6314578512979532E-2</v>
      </c>
      <c r="U34" s="52"/>
    </row>
    <row r="35" spans="1:24">
      <c r="A35" s="59" t="str">
        <f t="shared" si="14"/>
        <v>Emerging market debt</v>
      </c>
      <c r="B35" s="117">
        <v>1.5082431977586928E-2</v>
      </c>
      <c r="C35" s="118">
        <v>1.252090118023712E-2</v>
      </c>
      <c r="D35" s="119">
        <v>2.7946565716081835E-3</v>
      </c>
      <c r="E35" s="117">
        <v>1.2181450924488725E-2</v>
      </c>
      <c r="F35" s="120">
        <v>2.7219805893536276E-2</v>
      </c>
      <c r="G35" s="2">
        <v>-7.0238363455568656E-3</v>
      </c>
      <c r="H35" s="2">
        <v>-3.574056364515498E-3</v>
      </c>
      <c r="I35" s="2">
        <v>-3.7349095796939749E-2</v>
      </c>
      <c r="J35" s="2">
        <v>6.2529272730784305E-2</v>
      </c>
      <c r="K35" s="2">
        <v>0.19998713506301535</v>
      </c>
      <c r="L35" s="2">
        <v>1</v>
      </c>
      <c r="M35" s="2">
        <v>0.99999999999999656</v>
      </c>
      <c r="N35" s="57"/>
      <c r="O35" s="67"/>
      <c r="Q35" s="51" t="str">
        <f t="shared" si="15"/>
        <v>Emerging market debt</v>
      </c>
      <c r="R35" s="72">
        <f t="shared" ref="R35:R40" si="16">D35</f>
        <v>2.7946565716081835E-3</v>
      </c>
      <c r="S35" s="52">
        <f t="shared" ref="S35:S40" si="17">B35-D35</f>
        <v>1.2287775405978744E-2</v>
      </c>
      <c r="T35" s="52">
        <f t="shared" ref="T35:T40" si="18">F35-B35</f>
        <v>1.2137373915949348E-2</v>
      </c>
      <c r="U35" s="52"/>
    </row>
    <row r="36" spans="1:24">
      <c r="A36" s="59" t="str">
        <f t="shared" si="14"/>
        <v>Aandelen ontwikkeld</v>
      </c>
      <c r="B36" s="117">
        <v>1.6157337299592563E-2</v>
      </c>
      <c r="C36" s="118">
        <v>1.5987934145464216E-2</v>
      </c>
      <c r="D36" s="119">
        <v>2.0775934428418331E-3</v>
      </c>
      <c r="E36" s="117">
        <v>1.1304967923447127E-2</v>
      </c>
      <c r="F36" s="120">
        <v>3.1969316051371752E-2</v>
      </c>
      <c r="G36" s="2">
        <v>-5.8488044332055365E-3</v>
      </c>
      <c r="H36" s="2">
        <v>-6.3997751447693232E-3</v>
      </c>
      <c r="I36" s="2">
        <v>7.5067989849938122E-2</v>
      </c>
      <c r="J36" s="2">
        <v>0.22225017819447679</v>
      </c>
      <c r="K36" s="2">
        <v>1</v>
      </c>
      <c r="L36" s="2">
        <v>-0.35566276439386618</v>
      </c>
      <c r="M36" s="2">
        <v>0.99999999999999545</v>
      </c>
      <c r="N36" s="57"/>
      <c r="O36" s="67"/>
      <c r="Q36" s="51" t="str">
        <f t="shared" si="15"/>
        <v>Aandelen ontwikkeld</v>
      </c>
      <c r="R36" s="72">
        <f t="shared" si="16"/>
        <v>2.0775934428418331E-3</v>
      </c>
      <c r="S36" s="52">
        <f t="shared" si="17"/>
        <v>1.407974385675073E-2</v>
      </c>
      <c r="T36" s="52">
        <f t="shared" si="18"/>
        <v>1.5811978751779188E-2</v>
      </c>
      <c r="U36" s="52"/>
    </row>
    <row r="37" spans="1:24">
      <c r="A37" s="59" t="str">
        <f t="shared" si="14"/>
        <v>Aandelen opkomend</v>
      </c>
      <c r="B37" s="117">
        <v>6.9668708296684076E-2</v>
      </c>
      <c r="C37" s="118">
        <v>5.5940396606249235E-2</v>
      </c>
      <c r="D37" s="119">
        <v>1.645975756546526E-2</v>
      </c>
      <c r="E37" s="117">
        <v>5.3807791859985993E-2</v>
      </c>
      <c r="F37" s="120">
        <v>0.12821205641834982</v>
      </c>
      <c r="G37" s="2">
        <v>-0.23361236655061987</v>
      </c>
      <c r="H37" s="2">
        <v>1</v>
      </c>
      <c r="I37" s="2">
        <v>-0.34996970415038026</v>
      </c>
      <c r="J37" s="2">
        <v>-0.29242460370487133</v>
      </c>
      <c r="K37" s="2">
        <v>-0.1646243405019493</v>
      </c>
      <c r="L37" s="2">
        <v>-0.139398361119036</v>
      </c>
      <c r="M37" s="2">
        <v>1</v>
      </c>
      <c r="N37" s="57"/>
      <c r="O37" s="67"/>
      <c r="Q37" s="51" t="str">
        <f t="shared" si="15"/>
        <v>Aandelen opkomend</v>
      </c>
      <c r="R37" s="72">
        <f t="shared" si="16"/>
        <v>1.645975756546526E-2</v>
      </c>
      <c r="S37" s="52">
        <f t="shared" si="17"/>
        <v>5.3208950731218813E-2</v>
      </c>
      <c r="T37" s="52">
        <f t="shared" si="18"/>
        <v>5.8543348121665742E-2</v>
      </c>
      <c r="U37" s="52"/>
      <c r="X37" s="51"/>
    </row>
    <row r="38" spans="1:24">
      <c r="A38" s="59" t="str">
        <f t="shared" si="14"/>
        <v>Commodities</v>
      </c>
      <c r="B38" s="117">
        <v>0.13044764694681479</v>
      </c>
      <c r="C38" s="118">
        <v>7.3793687848373826E-2</v>
      </c>
      <c r="D38" s="119">
        <v>5.0434992797911832E-2</v>
      </c>
      <c r="E38" s="117">
        <v>0.12539469461109218</v>
      </c>
      <c r="F38" s="120">
        <v>0.20322832499270319</v>
      </c>
      <c r="G38" s="2">
        <v>-0.69268486788002037</v>
      </c>
      <c r="H38" s="2">
        <v>-0.7033005663661841</v>
      </c>
      <c r="I38" s="2">
        <v>-0.40360247533900467</v>
      </c>
      <c r="J38" s="2">
        <v>-0.33071454358361579</v>
      </c>
      <c r="K38" s="2">
        <v>-0.1674429502703445</v>
      </c>
      <c r="L38" s="2">
        <v>-0.14594385768065316</v>
      </c>
      <c r="M38" s="2">
        <v>1</v>
      </c>
      <c r="N38" s="57"/>
      <c r="O38" s="67"/>
      <c r="P38" s="72"/>
      <c r="Q38" s="51" t="str">
        <f t="shared" si="15"/>
        <v>Commodities</v>
      </c>
      <c r="R38" s="72">
        <f t="shared" si="16"/>
        <v>5.0434992797911832E-2</v>
      </c>
      <c r="S38" s="52">
        <f t="shared" si="17"/>
        <v>8.0012654148902962E-2</v>
      </c>
      <c r="T38" s="52">
        <f t="shared" si="18"/>
        <v>7.2780678045888392E-2</v>
      </c>
      <c r="U38" s="52"/>
      <c r="V38" s="52"/>
      <c r="W38" s="52"/>
    </row>
    <row r="39" spans="1:24">
      <c r="A39" s="59" t="str">
        <f t="shared" si="14"/>
        <v>Hedge funds</v>
      </c>
      <c r="B39" s="117">
        <v>3.774289812529516E-2</v>
      </c>
      <c r="C39" s="118">
        <v>2.829314472217391E-2</v>
      </c>
      <c r="D39" s="119">
        <v>9.7234850478918125E-3</v>
      </c>
      <c r="E39" s="117">
        <v>3.0793862548481044E-2</v>
      </c>
      <c r="F39" s="120">
        <v>6.652849886735264E-2</v>
      </c>
      <c r="G39" s="2">
        <v>-2.7341787598130392E-2</v>
      </c>
      <c r="H39" s="2">
        <v>-1.7401914891798931E-2</v>
      </c>
      <c r="I39" s="2">
        <v>1</v>
      </c>
      <c r="J39" s="2">
        <v>-0.3888411580451881</v>
      </c>
      <c r="K39" s="2">
        <v>-0.22629904676189716</v>
      </c>
      <c r="L39" s="2">
        <v>-8.1922567398277718E-2</v>
      </c>
      <c r="M39" s="2">
        <v>0.99999999999999767</v>
      </c>
      <c r="N39" s="57"/>
      <c r="O39" s="67"/>
      <c r="P39" s="72"/>
      <c r="Q39" s="51" t="str">
        <f t="shared" si="15"/>
        <v>Hedge funds</v>
      </c>
      <c r="R39" s="72">
        <f t="shared" si="16"/>
        <v>9.7234850478918125E-3</v>
      </c>
      <c r="S39" s="52">
        <f t="shared" si="17"/>
        <v>2.8019413077403348E-2</v>
      </c>
      <c r="T39" s="52">
        <f t="shared" si="18"/>
        <v>2.8785600742057479E-2</v>
      </c>
      <c r="U39" s="52"/>
      <c r="V39" s="52"/>
      <c r="W39" s="52"/>
    </row>
    <row r="40" spans="1:24">
      <c r="A40" s="60" t="str">
        <f t="shared" si="14"/>
        <v>Onroerend goed</v>
      </c>
      <c r="B40" s="121">
        <v>2.2777327013435635E-2</v>
      </c>
      <c r="C40" s="122">
        <v>2.0608592340988403E-2</v>
      </c>
      <c r="D40" s="123">
        <v>4.2673088400998404E-3</v>
      </c>
      <c r="E40" s="121">
        <v>1.7109716292567332E-2</v>
      </c>
      <c r="F40" s="124">
        <v>4.217125446319693E-2</v>
      </c>
      <c r="G40" s="65">
        <v>-3.3488337192466931E-2</v>
      </c>
      <c r="H40" s="65">
        <v>-1.4738492212134401E-2</v>
      </c>
      <c r="I40" s="65">
        <v>4.8052164799180362E-2</v>
      </c>
      <c r="J40" s="65">
        <v>1</v>
      </c>
      <c r="K40" s="65">
        <v>-0.47242272715345296</v>
      </c>
      <c r="L40" s="65">
        <v>-0.1413832031724028</v>
      </c>
      <c r="M40" s="65">
        <v>0.99999999999999711</v>
      </c>
      <c r="N40" s="66"/>
      <c r="O40" s="67"/>
      <c r="P40" s="72"/>
      <c r="Q40" s="51" t="str">
        <f t="shared" si="15"/>
        <v>Onroerend goed</v>
      </c>
      <c r="R40" s="72">
        <f t="shared" si="16"/>
        <v>4.2673088400998404E-3</v>
      </c>
      <c r="S40" s="52">
        <f t="shared" si="17"/>
        <v>1.8510018173335793E-2</v>
      </c>
      <c r="T40" s="52">
        <f t="shared" si="18"/>
        <v>1.9393927449761296E-2</v>
      </c>
      <c r="U40" s="52"/>
      <c r="V40" s="52"/>
      <c r="W40" s="52"/>
    </row>
    <row r="41" spans="1:24">
      <c r="A41" s="67"/>
      <c r="B41" s="117"/>
      <c r="C41" s="117"/>
      <c r="D41" s="117"/>
      <c r="E41" s="117"/>
      <c r="F41" s="117"/>
      <c r="G41" s="2"/>
      <c r="H41" s="2"/>
      <c r="I41" s="2"/>
      <c r="J41" s="2"/>
      <c r="K41" s="2"/>
      <c r="L41" s="2"/>
      <c r="M41" s="2"/>
      <c r="N41" s="68"/>
      <c r="O41" s="67"/>
      <c r="P41" s="72"/>
      <c r="Q41" s="72"/>
      <c r="R41" s="72"/>
      <c r="T41" s="52"/>
      <c r="U41" s="52"/>
      <c r="V41" s="52"/>
      <c r="W41" s="52"/>
    </row>
    <row r="42" spans="1:24">
      <c r="A42" s="49"/>
      <c r="D42" s="384" t="s">
        <v>64</v>
      </c>
      <c r="E42" s="385"/>
      <c r="F42" s="386"/>
      <c r="G42" s="384" t="s">
        <v>65</v>
      </c>
      <c r="H42" s="385"/>
      <c r="I42" s="385"/>
      <c r="J42" s="385"/>
      <c r="K42" s="385"/>
      <c r="L42" s="385"/>
      <c r="M42" s="385"/>
      <c r="N42" s="386"/>
      <c r="O42" s="67"/>
      <c r="P42" s="72"/>
      <c r="Q42" s="72"/>
      <c r="R42" s="72"/>
      <c r="T42" s="52"/>
      <c r="U42" s="52"/>
      <c r="V42" s="52"/>
      <c r="W42" s="52"/>
    </row>
    <row r="43" spans="1:24">
      <c r="A43" s="266" t="str">
        <f>'Samenvatting mixen'!A47</f>
        <v>Bear case</v>
      </c>
      <c r="B43" s="267" t="s">
        <v>67</v>
      </c>
      <c r="C43" s="268" t="s">
        <v>2</v>
      </c>
      <c r="D43" s="269">
        <v>0.25</v>
      </c>
      <c r="E43" s="270">
        <v>0.5</v>
      </c>
      <c r="F43" s="271">
        <v>0.75</v>
      </c>
      <c r="G43" s="272">
        <v>0.33833423899328452</v>
      </c>
      <c r="H43" s="272">
        <v>0.16247693266523155</v>
      </c>
      <c r="I43" s="272">
        <v>0.14564419486255697</v>
      </c>
      <c r="J43" s="272">
        <v>0.14329383072031165</v>
      </c>
      <c r="K43" s="272">
        <v>0.12506300570125783</v>
      </c>
      <c r="L43" s="272">
        <v>8.5187797057357351E-2</v>
      </c>
      <c r="M43" s="272">
        <v>0</v>
      </c>
      <c r="N43" s="272"/>
      <c r="O43" s="273"/>
      <c r="P43" s="72"/>
      <c r="Q43" s="51" t="str">
        <f>A43</f>
        <v>Bear case</v>
      </c>
      <c r="V43" s="52"/>
      <c r="W43" s="52"/>
    </row>
    <row r="44" spans="1:24">
      <c r="A44" s="53" t="str">
        <f>A4</f>
        <v>High Yield</v>
      </c>
      <c r="B44" s="117">
        <v>0.14008097345741705</v>
      </c>
      <c r="C44" s="118">
        <v>0.19889061404208824</v>
      </c>
      <c r="D44" s="119">
        <v>3.6395984093867494E-4</v>
      </c>
      <c r="E44" s="117">
        <v>4.6826300060116503E-2</v>
      </c>
      <c r="F44" s="120">
        <v>0.31471151596177016</v>
      </c>
      <c r="G44" s="2">
        <v>-0.22358750748056253</v>
      </c>
      <c r="H44" s="2">
        <v>-0.92495277943766641</v>
      </c>
      <c r="I44" s="2">
        <v>-0.75471767151771674</v>
      </c>
      <c r="J44" s="2">
        <v>-0.67113873424234438</v>
      </c>
      <c r="K44" s="2">
        <v>-0.12924420331013109</v>
      </c>
      <c r="L44" s="2">
        <v>-0.1118681108125244</v>
      </c>
      <c r="M44" s="2">
        <v>0.99999999999974154</v>
      </c>
      <c r="N44" s="57"/>
      <c r="O44" s="67"/>
      <c r="Q44" s="51" t="str">
        <f t="shared" ref="Q44:Q50" si="19">A44</f>
        <v>High Yield</v>
      </c>
      <c r="R44" s="72">
        <f>D44</f>
        <v>3.6395984093867494E-4</v>
      </c>
      <c r="S44" s="52">
        <f>B44-D44</f>
        <v>0.13971701361647837</v>
      </c>
      <c r="T44" s="52">
        <f>F44-B44</f>
        <v>0.17463054250435311</v>
      </c>
      <c r="U44" s="52"/>
    </row>
    <row r="45" spans="1:24">
      <c r="A45" s="59" t="str">
        <f t="shared" ref="A45:A50" si="20">A5</f>
        <v>Emerging market debt</v>
      </c>
      <c r="B45" s="117">
        <v>0.14362901399592667</v>
      </c>
      <c r="C45" s="118">
        <v>0.20174979636232082</v>
      </c>
      <c r="D45" s="119">
        <v>5.6322545765322E-4</v>
      </c>
      <c r="E45" s="117">
        <v>4.8217062418334997E-2</v>
      </c>
      <c r="F45" s="120">
        <v>0.32046336445088935</v>
      </c>
      <c r="G45" s="2">
        <v>-0.26420829270363455</v>
      </c>
      <c r="H45" s="2">
        <v>1</v>
      </c>
      <c r="I45" s="2">
        <v>-0.86974804662238858</v>
      </c>
      <c r="J45" s="2">
        <v>0.28202020573366016</v>
      </c>
      <c r="K45" s="2">
        <v>-0.23994960222790646</v>
      </c>
      <c r="L45" s="2">
        <v>-0.11860046554351096</v>
      </c>
      <c r="M45" s="2">
        <v>0.9999999999989192</v>
      </c>
      <c r="N45" s="57"/>
      <c r="O45" s="67"/>
      <c r="Q45" s="51" t="str">
        <f t="shared" si="19"/>
        <v>Emerging market debt</v>
      </c>
      <c r="R45" s="72">
        <f t="shared" ref="R45:R50" si="21">D45</f>
        <v>5.6322545765322E-4</v>
      </c>
      <c r="S45" s="52">
        <f t="shared" ref="S45:S50" si="22">B45-D45</f>
        <v>0.14306578853827345</v>
      </c>
      <c r="T45" s="52">
        <f t="shared" ref="T45:T50" si="23">F45-B45</f>
        <v>0.17683435045496268</v>
      </c>
      <c r="U45" s="52"/>
    </row>
    <row r="46" spans="1:24">
      <c r="A46" s="59" t="str">
        <f t="shared" si="20"/>
        <v>Aandelen ontwikkeld</v>
      </c>
      <c r="B46" s="117">
        <v>8.2907614162785387E-2</v>
      </c>
      <c r="C46" s="118">
        <v>0.14792816028093031</v>
      </c>
      <c r="D46" s="119">
        <v>7.1639402696013698E-5</v>
      </c>
      <c r="E46" s="117">
        <v>1.6743612900003244E-2</v>
      </c>
      <c r="F46" s="120">
        <v>0.16255279051749066</v>
      </c>
      <c r="G46" s="2">
        <v>-7.978810857342819E-2</v>
      </c>
      <c r="H46" s="2">
        <v>2.0416385222967428E-2</v>
      </c>
      <c r="I46" s="2">
        <v>0.11280276983603843</v>
      </c>
      <c r="J46" s="2">
        <v>1.9040864147430697E-2</v>
      </c>
      <c r="K46" s="2">
        <v>0.22625093481184691</v>
      </c>
      <c r="L46" s="2">
        <v>1</v>
      </c>
      <c r="M46" s="2">
        <v>1</v>
      </c>
      <c r="N46" s="57"/>
      <c r="O46" s="67"/>
      <c r="Q46" s="51" t="str">
        <f t="shared" si="19"/>
        <v>Aandelen ontwikkeld</v>
      </c>
      <c r="R46" s="72">
        <f t="shared" si="21"/>
        <v>7.1639402696013698E-5</v>
      </c>
      <c r="S46" s="52">
        <f t="shared" si="22"/>
        <v>8.2835974760089373E-2</v>
      </c>
      <c r="T46" s="52">
        <f t="shared" si="23"/>
        <v>7.9645176354705277E-2</v>
      </c>
      <c r="U46" s="52"/>
    </row>
    <row r="47" spans="1:24">
      <c r="A47" s="59" t="str">
        <f t="shared" si="20"/>
        <v>Aandelen opkomend</v>
      </c>
      <c r="B47" s="117">
        <v>0.12434922155337359</v>
      </c>
      <c r="C47" s="118">
        <v>0.19025286615899256</v>
      </c>
      <c r="D47" s="119">
        <v>2.1951336314716854E-4</v>
      </c>
      <c r="E47" s="117">
        <v>2.6427156326807907E-2</v>
      </c>
      <c r="F47" s="120">
        <v>0.30519722554558204</v>
      </c>
      <c r="G47" s="2">
        <v>-0.15144857785541674</v>
      </c>
      <c r="H47" s="2">
        <v>0.42887306537292719</v>
      </c>
      <c r="I47" s="2">
        <v>1</v>
      </c>
      <c r="J47" s="2">
        <v>-0.73067516759744267</v>
      </c>
      <c r="K47" s="2">
        <v>-0.37312853799648127</v>
      </c>
      <c r="L47" s="2">
        <v>-0.16604048369366495</v>
      </c>
      <c r="M47" s="2">
        <v>0.99999999999903011</v>
      </c>
      <c r="N47" s="57"/>
      <c r="O47" s="67"/>
      <c r="Q47" s="51" t="str">
        <f t="shared" si="19"/>
        <v>Aandelen opkomend</v>
      </c>
      <c r="R47" s="72">
        <f t="shared" si="21"/>
        <v>2.1951336314716854E-4</v>
      </c>
      <c r="S47" s="52">
        <f t="shared" si="22"/>
        <v>0.12412970819022642</v>
      </c>
      <c r="T47" s="52">
        <f t="shared" si="23"/>
        <v>0.18084800399220846</v>
      </c>
      <c r="U47" s="52"/>
    </row>
    <row r="48" spans="1:24">
      <c r="A48" s="59" t="str">
        <f t="shared" si="20"/>
        <v>Commodities</v>
      </c>
      <c r="B48" s="117">
        <v>9.9986004257382299E-2</v>
      </c>
      <c r="C48" s="118">
        <v>0.17399969414439717</v>
      </c>
      <c r="D48" s="119">
        <v>1.6823967215296896E-4</v>
      </c>
      <c r="E48" s="117">
        <v>1.8966998159761921E-2</v>
      </c>
      <c r="F48" s="120">
        <v>0.2240550373593172</v>
      </c>
      <c r="G48" s="2">
        <v>-0.12099388451656257</v>
      </c>
      <c r="H48" s="2">
        <v>3.573333060404231E-2</v>
      </c>
      <c r="I48" s="2">
        <v>0.21141107047353055</v>
      </c>
      <c r="J48" s="2">
        <v>0.11192375354661967</v>
      </c>
      <c r="K48" s="2">
        <v>1</v>
      </c>
      <c r="L48" s="2">
        <v>-0.39322461257704117</v>
      </c>
      <c r="M48" s="2">
        <v>0.9999999999992204</v>
      </c>
      <c r="N48" s="57"/>
      <c r="O48" s="67"/>
      <c r="Q48" s="51" t="str">
        <f t="shared" si="19"/>
        <v>Commodities</v>
      </c>
      <c r="R48" s="72">
        <f t="shared" si="21"/>
        <v>1.6823967215296896E-4</v>
      </c>
      <c r="S48" s="52">
        <f t="shared" si="22"/>
        <v>9.9817764585229327E-2</v>
      </c>
      <c r="T48" s="52">
        <f t="shared" si="23"/>
        <v>0.1240690331019349</v>
      </c>
      <c r="U48" s="52"/>
    </row>
    <row r="49" spans="1:27">
      <c r="A49" s="59" t="str">
        <f t="shared" si="20"/>
        <v>Hedge funds</v>
      </c>
      <c r="B49" s="117">
        <v>0.28743174006114053</v>
      </c>
      <c r="C49" s="118">
        <v>0.28701655932790215</v>
      </c>
      <c r="D49" s="119">
        <v>6.291924264022467E-3</v>
      </c>
      <c r="E49" s="117">
        <v>0.19337184887765896</v>
      </c>
      <c r="F49" s="120">
        <v>0.61571034691581228</v>
      </c>
      <c r="G49" s="2">
        <v>1</v>
      </c>
      <c r="H49" s="2">
        <v>3.3370319560945536E-2</v>
      </c>
      <c r="I49" s="2">
        <v>-0.14179577775958116</v>
      </c>
      <c r="J49" s="2">
        <v>-1.1170921587973451E-2</v>
      </c>
      <c r="K49" s="2">
        <v>-7.5151402129797498E-2</v>
      </c>
      <c r="L49" s="2">
        <v>-7.1485130217832205E-2</v>
      </c>
      <c r="M49" s="2">
        <v>0.99999999999875477</v>
      </c>
      <c r="N49" s="57"/>
      <c r="O49" s="67"/>
      <c r="Q49" s="51" t="str">
        <f t="shared" si="19"/>
        <v>Hedge funds</v>
      </c>
      <c r="R49" s="72">
        <f t="shared" si="21"/>
        <v>6.291924264022467E-3</v>
      </c>
      <c r="S49" s="52">
        <f t="shared" si="22"/>
        <v>0.28113981579711805</v>
      </c>
      <c r="T49" s="52">
        <f t="shared" si="23"/>
        <v>0.32827860685467175</v>
      </c>
      <c r="U49" s="52"/>
      <c r="X49" s="51"/>
    </row>
    <row r="50" spans="1:27">
      <c r="A50" s="60" t="str">
        <f t="shared" si="20"/>
        <v>Onroerend goed</v>
      </c>
      <c r="B50" s="121">
        <v>0.12161543251149302</v>
      </c>
      <c r="C50" s="122">
        <v>0.19107739866351217</v>
      </c>
      <c r="D50" s="123">
        <v>2.1032383615705061E-4</v>
      </c>
      <c r="E50" s="121">
        <v>3.1512197240716563E-2</v>
      </c>
      <c r="F50" s="124">
        <v>0.29196380331787675</v>
      </c>
      <c r="G50" s="65">
        <v>-0.15997362886980762</v>
      </c>
      <c r="H50" s="65">
        <v>-0.59344032132215851</v>
      </c>
      <c r="I50" s="65">
        <v>0.44204765559014086</v>
      </c>
      <c r="J50" s="65">
        <v>1</v>
      </c>
      <c r="K50" s="65">
        <v>-0.40877718914768446</v>
      </c>
      <c r="L50" s="65">
        <v>-0.13878119715620227</v>
      </c>
      <c r="M50" s="65">
        <v>0.99999999999954603</v>
      </c>
      <c r="N50" s="66"/>
      <c r="O50" s="67"/>
      <c r="P50" s="72"/>
      <c r="Q50" s="51" t="str">
        <f t="shared" si="19"/>
        <v>Onroerend goed</v>
      </c>
      <c r="R50" s="72">
        <f t="shared" si="21"/>
        <v>2.1032383615705061E-4</v>
      </c>
      <c r="S50" s="52">
        <f t="shared" si="22"/>
        <v>0.12140510867533598</v>
      </c>
      <c r="T50" s="52">
        <f t="shared" si="23"/>
        <v>0.17034837080638371</v>
      </c>
      <c r="U50" s="52"/>
      <c r="V50" s="52"/>
      <c r="W50" s="52"/>
    </row>
    <row r="51" spans="1:27">
      <c r="A51" s="67"/>
      <c r="B51" s="117"/>
      <c r="C51" s="117"/>
      <c r="D51" s="117"/>
      <c r="E51" s="117"/>
      <c r="F51" s="117"/>
      <c r="G51" s="68"/>
      <c r="H51" s="68"/>
      <c r="I51" s="68"/>
      <c r="J51" s="68"/>
      <c r="K51" s="68"/>
      <c r="L51" s="68"/>
      <c r="M51" s="68"/>
      <c r="N51" s="68"/>
      <c r="O51" s="67"/>
      <c r="P51" s="72"/>
      <c r="Q51" s="72"/>
      <c r="R51" s="72"/>
      <c r="T51" s="52"/>
      <c r="U51" s="52"/>
      <c r="V51" s="52"/>
      <c r="W51" s="52"/>
    </row>
    <row r="52" spans="1:27">
      <c r="A52" s="49"/>
      <c r="D52" s="384" t="s">
        <v>64</v>
      </c>
      <c r="E52" s="385"/>
      <c r="F52" s="386"/>
      <c r="G52" s="384" t="s">
        <v>65</v>
      </c>
      <c r="H52" s="385"/>
      <c r="I52" s="385"/>
      <c r="J52" s="385"/>
      <c r="K52" s="385"/>
      <c r="L52" s="385"/>
      <c r="M52" s="385"/>
      <c r="N52" s="386"/>
      <c r="O52" s="67"/>
      <c r="P52" s="72"/>
      <c r="Q52" s="72"/>
      <c r="R52" s="72"/>
      <c r="T52" s="52"/>
      <c r="U52" s="52"/>
      <c r="V52" s="52"/>
      <c r="W52" s="52"/>
    </row>
    <row r="53" spans="1:27">
      <c r="A53" s="266" t="str">
        <f>'Samenvatting mixen'!A58</f>
        <v>Tail risk</v>
      </c>
      <c r="B53" s="267" t="s">
        <v>67</v>
      </c>
      <c r="C53" s="268" t="s">
        <v>2</v>
      </c>
      <c r="D53" s="269">
        <v>0.25</v>
      </c>
      <c r="E53" s="270">
        <v>0.5</v>
      </c>
      <c r="F53" s="271">
        <v>0.75</v>
      </c>
      <c r="G53" s="272">
        <v>0.774898069587862</v>
      </c>
      <c r="H53" s="272">
        <v>9.3375418960238155E-2</v>
      </c>
      <c r="I53" s="272">
        <v>4.7764661810299591E-2</v>
      </c>
      <c r="J53" s="272">
        <v>3.6574022890180746E-2</v>
      </c>
      <c r="K53" s="272">
        <v>3.0028351662853559E-2</v>
      </c>
      <c r="L53" s="272">
        <v>1.7359475088565612E-2</v>
      </c>
      <c r="M53" s="272">
        <v>0</v>
      </c>
      <c r="N53" s="272"/>
      <c r="O53" s="273"/>
      <c r="P53" s="72"/>
      <c r="Q53" s="51" t="str">
        <f>A53</f>
        <v>Tail risk</v>
      </c>
      <c r="V53" s="52"/>
      <c r="W53" s="52"/>
    </row>
    <row r="54" spans="1:27">
      <c r="A54" s="53" t="str">
        <f t="shared" ref="A54:A59" si="24">A44</f>
        <v>High Yield</v>
      </c>
      <c r="B54" s="117">
        <v>2.6995283983559759E-3</v>
      </c>
      <c r="C54" s="118">
        <v>4.4369482154805453E-3</v>
      </c>
      <c r="D54" s="119">
        <v>9.0091634382478374E-6</v>
      </c>
      <c r="E54" s="117">
        <v>6.8142849730365126E-4</v>
      </c>
      <c r="F54" s="120">
        <v>5.6700035938417742E-3</v>
      </c>
      <c r="G54" s="2">
        <v>-6.2594804003576173E-3</v>
      </c>
      <c r="H54" s="2">
        <v>-0.59966218677516225</v>
      </c>
      <c r="I54" s="2">
        <v>-0.86780507472349278</v>
      </c>
      <c r="J54" s="2">
        <v>-0.69531444911328244</v>
      </c>
      <c r="K54" s="2">
        <v>-0.21550313924113801</v>
      </c>
      <c r="L54" s="2">
        <v>-0.16586047419694211</v>
      </c>
      <c r="M54" s="2">
        <v>0.999999999999998</v>
      </c>
      <c r="N54" s="57"/>
      <c r="O54" s="67"/>
      <c r="P54" s="72"/>
      <c r="Q54" s="51" t="str">
        <f t="shared" ref="Q54:Q60" si="25">A54</f>
        <v>High Yield</v>
      </c>
      <c r="R54" s="72">
        <f>D54</f>
        <v>9.0091634382478374E-6</v>
      </c>
      <c r="S54" s="52">
        <f>B54-D54</f>
        <v>2.6905192349177282E-3</v>
      </c>
      <c r="T54" s="52">
        <f>F54-B54</f>
        <v>2.9704751954857983E-3</v>
      </c>
      <c r="U54" s="52"/>
      <c r="V54" s="52">
        <f>O4</f>
        <v>0</v>
      </c>
      <c r="W54" s="52"/>
    </row>
    <row r="55" spans="1:27">
      <c r="A55" s="59" t="str">
        <f t="shared" si="24"/>
        <v>Emerging market debt</v>
      </c>
      <c r="B55" s="117">
        <v>1.0798494293707502E-2</v>
      </c>
      <c r="C55" s="118">
        <v>1.358270078227408E-2</v>
      </c>
      <c r="D55" s="119">
        <v>1.1077505439822777E-4</v>
      </c>
      <c r="E55" s="117">
        <v>5.6409414452007287E-3</v>
      </c>
      <c r="F55" s="120">
        <v>2.3541835295091226E-2</v>
      </c>
      <c r="G55" s="2">
        <v>-0.94014755416640239</v>
      </c>
      <c r="H55" s="2">
        <v>1</v>
      </c>
      <c r="I55" s="2">
        <v>8.9133751307108641E-2</v>
      </c>
      <c r="J55" s="2">
        <v>-0.18674767702870876</v>
      </c>
      <c r="K55" s="2">
        <v>-8.6161847218881454E-2</v>
      </c>
      <c r="L55" s="2">
        <v>-0.12885759966823807</v>
      </c>
      <c r="M55" s="2">
        <v>1</v>
      </c>
      <c r="N55" s="57"/>
      <c r="O55" s="67"/>
      <c r="P55" s="72"/>
      <c r="Q55" s="51" t="str">
        <f t="shared" si="25"/>
        <v>Emerging market debt</v>
      </c>
      <c r="R55" s="72">
        <f t="shared" ref="R55:R60" si="26">D55</f>
        <v>1.1077505439822777E-4</v>
      </c>
      <c r="S55" s="52">
        <f t="shared" ref="S55:S60" si="27">B55-D55</f>
        <v>1.0687719239309274E-2</v>
      </c>
      <c r="T55" s="52">
        <f t="shared" ref="T55:T60" si="28">F55-B55</f>
        <v>1.2743341001383725E-2</v>
      </c>
      <c r="U55" s="52"/>
      <c r="V55" s="52">
        <f t="shared" ref="V55:V60" si="29">O5</f>
        <v>0</v>
      </c>
      <c r="W55" s="52"/>
    </row>
    <row r="56" spans="1:27">
      <c r="A56" s="59" t="str">
        <f t="shared" si="24"/>
        <v>Aandelen ontwikkeld</v>
      </c>
      <c r="B56" s="117">
        <v>1.9822064696863656E-3</v>
      </c>
      <c r="C56" s="118">
        <v>3.5358469027447484E-3</v>
      </c>
      <c r="D56" s="119">
        <v>1.6321501928185519E-6</v>
      </c>
      <c r="E56" s="117">
        <v>2.9118786865388568E-4</v>
      </c>
      <c r="F56" s="120">
        <v>4.1585183705586289E-3</v>
      </c>
      <c r="G56" s="2">
        <v>-1.0788390510230042E-2</v>
      </c>
      <c r="H56" s="2">
        <v>-0.17943155878544226</v>
      </c>
      <c r="I56" s="2">
        <v>-0.19158486333283606</v>
      </c>
      <c r="J56" s="2">
        <v>0.38786884689094836</v>
      </c>
      <c r="K56" s="2">
        <v>1</v>
      </c>
      <c r="L56" s="2">
        <v>-0.21595666877594119</v>
      </c>
      <c r="M56" s="2">
        <v>0.99999999999999878</v>
      </c>
      <c r="N56" s="57"/>
      <c r="O56" s="67"/>
      <c r="Q56" s="51" t="str">
        <f t="shared" si="25"/>
        <v>Aandelen ontwikkeld</v>
      </c>
      <c r="R56" s="72">
        <f t="shared" si="26"/>
        <v>1.6321501928185519E-6</v>
      </c>
      <c r="S56" s="52">
        <f t="shared" si="27"/>
        <v>1.9805743194935472E-3</v>
      </c>
      <c r="T56" s="52">
        <f t="shared" si="28"/>
        <v>2.1763119008722633E-3</v>
      </c>
      <c r="U56" s="52"/>
      <c r="V56" s="52">
        <f t="shared" si="29"/>
        <v>0</v>
      </c>
    </row>
    <row r="57" spans="1:27">
      <c r="A57" s="59" t="str">
        <f t="shared" si="24"/>
        <v>Aandelen opkomend</v>
      </c>
      <c r="B57" s="117">
        <v>2.8659865792323809E-3</v>
      </c>
      <c r="C57" s="118">
        <v>4.8114003053216468E-3</v>
      </c>
      <c r="D57" s="119">
        <v>2.6944486895544232E-6</v>
      </c>
      <c r="E57" s="117">
        <v>5.6646977642831877E-4</v>
      </c>
      <c r="F57" s="120">
        <v>6.3558774547274009E-3</v>
      </c>
      <c r="G57" s="2">
        <v>-4.4051147584664066E-2</v>
      </c>
      <c r="H57" s="2">
        <v>-0.79173108346596066</v>
      </c>
      <c r="I57" s="2">
        <v>1</v>
      </c>
      <c r="J57" s="2">
        <v>-0.3199131792429647</v>
      </c>
      <c r="K57" s="2">
        <v>-8.0848396127779706E-2</v>
      </c>
      <c r="L57" s="2">
        <v>-0.20324266577287894</v>
      </c>
      <c r="M57" s="2">
        <v>0.999999999999999</v>
      </c>
      <c r="N57" s="57"/>
      <c r="O57" s="67"/>
      <c r="Q57" s="51" t="str">
        <f t="shared" si="25"/>
        <v>Aandelen opkomend</v>
      </c>
      <c r="R57" s="72">
        <f t="shared" si="26"/>
        <v>2.6944486895544232E-6</v>
      </c>
      <c r="S57" s="52">
        <f t="shared" si="27"/>
        <v>2.8632921305428265E-3</v>
      </c>
      <c r="T57" s="52">
        <f t="shared" si="28"/>
        <v>3.4898908754950201E-3</v>
      </c>
      <c r="U57" s="52"/>
      <c r="V57" s="52">
        <f t="shared" si="29"/>
        <v>0</v>
      </c>
    </row>
    <row r="58" spans="1:27">
      <c r="A58" s="59" t="str">
        <f t="shared" si="24"/>
        <v>Commodities</v>
      </c>
      <c r="B58" s="117">
        <v>1.4771024259273814E-3</v>
      </c>
      <c r="C58" s="118">
        <v>2.6498290764599016E-3</v>
      </c>
      <c r="D58" s="119">
        <v>5.6631026702354599E-7</v>
      </c>
      <c r="E58" s="117">
        <v>2.7253003984780859E-4</v>
      </c>
      <c r="F58" s="120">
        <v>3.090897838414223E-3</v>
      </c>
      <c r="G58" s="2">
        <v>6.7869014313594834E-3</v>
      </c>
      <c r="H58" s="2">
        <v>-7.9516633025963901E-2</v>
      </c>
      <c r="I58" s="2">
        <v>2.1512728768105855E-2</v>
      </c>
      <c r="J58" s="2">
        <v>-1.6140838464599714E-3</v>
      </c>
      <c r="K58" s="2">
        <v>5.5404807822978949E-2</v>
      </c>
      <c r="L58" s="2">
        <v>1</v>
      </c>
      <c r="M58" s="2">
        <v>0.999999999999998</v>
      </c>
      <c r="N58" s="57"/>
      <c r="O58" s="67"/>
      <c r="Q58" s="51" t="str">
        <f t="shared" si="25"/>
        <v>Commodities</v>
      </c>
      <c r="R58" s="72">
        <f t="shared" si="26"/>
        <v>5.6631026702354599E-7</v>
      </c>
      <c r="S58" s="52">
        <f t="shared" si="27"/>
        <v>1.4765361156603579E-3</v>
      </c>
      <c r="T58" s="52">
        <f t="shared" si="28"/>
        <v>1.6137954124868417E-3</v>
      </c>
      <c r="U58" s="52"/>
      <c r="V58" s="52">
        <f t="shared" si="29"/>
        <v>0</v>
      </c>
    </row>
    <row r="59" spans="1:27">
      <c r="A59" s="59" t="str">
        <f t="shared" si="24"/>
        <v>Hedge funds</v>
      </c>
      <c r="B59" s="117">
        <v>0.97790353409338471</v>
      </c>
      <c r="C59" s="118">
        <v>1.4278303709786614E-2</v>
      </c>
      <c r="D59" s="119">
        <v>0.96405006368400703</v>
      </c>
      <c r="E59" s="117">
        <v>0.97951160838196549</v>
      </c>
      <c r="F59" s="120">
        <v>0.99241043095092851</v>
      </c>
      <c r="G59" s="2">
        <v>1</v>
      </c>
      <c r="H59" s="2">
        <v>0.89874497435508049</v>
      </c>
      <c r="I59" s="2">
        <v>0.11926040000240094</v>
      </c>
      <c r="J59" s="2">
        <v>-0.18427945765953341</v>
      </c>
      <c r="K59" s="2">
        <v>-7.879438163334633E-2</v>
      </c>
      <c r="L59" s="2">
        <v>-0.1410566479321208</v>
      </c>
      <c r="M59" s="2">
        <v>0.99999999999999978</v>
      </c>
      <c r="N59" s="57"/>
      <c r="O59" s="67"/>
      <c r="Q59" s="51" t="str">
        <f t="shared" si="25"/>
        <v>Hedge funds</v>
      </c>
      <c r="R59" s="72">
        <f t="shared" si="26"/>
        <v>0.96405006368400703</v>
      </c>
      <c r="S59" s="52">
        <f t="shared" si="27"/>
        <v>1.3853470409377677E-2</v>
      </c>
      <c r="T59" s="52">
        <f t="shared" si="28"/>
        <v>1.4506896857543805E-2</v>
      </c>
      <c r="U59" s="52"/>
      <c r="V59" s="52">
        <f t="shared" si="29"/>
        <v>0</v>
      </c>
    </row>
    <row r="60" spans="1:27">
      <c r="A60" s="60" t="str">
        <f t="shared" ref="A60" si="30">A10</f>
        <v>Onroerend goed</v>
      </c>
      <c r="B60" s="121">
        <v>2.2731477397045759E-3</v>
      </c>
      <c r="C60" s="122">
        <v>3.7833674268584446E-3</v>
      </c>
      <c r="D60" s="123">
        <v>4.0112150440200787E-6</v>
      </c>
      <c r="E60" s="121">
        <v>5.6958771120678615E-4</v>
      </c>
      <c r="F60" s="124">
        <v>4.8131206969539621E-3</v>
      </c>
      <c r="G60" s="65">
        <v>-5.5403287697053443E-3</v>
      </c>
      <c r="H60" s="65">
        <v>-0.24840351230255381</v>
      </c>
      <c r="I60" s="65">
        <v>-0.1705169420212875</v>
      </c>
      <c r="J60" s="65">
        <v>1</v>
      </c>
      <c r="K60" s="65">
        <v>-0.59409704360183258</v>
      </c>
      <c r="L60" s="65">
        <v>-0.14502594365387836</v>
      </c>
      <c r="M60" s="65">
        <v>0.99999999999999944</v>
      </c>
      <c r="N60" s="66"/>
      <c r="O60" s="67"/>
      <c r="Q60" s="51" t="str">
        <f t="shared" si="25"/>
        <v>Onroerend goed</v>
      </c>
      <c r="R60" s="72">
        <f t="shared" si="26"/>
        <v>4.0112150440200787E-6</v>
      </c>
      <c r="S60" s="52">
        <f t="shared" si="27"/>
        <v>2.269136524660556E-3</v>
      </c>
      <c r="T60" s="52">
        <f t="shared" si="28"/>
        <v>2.5399729572493862E-3</v>
      </c>
      <c r="U60" s="52"/>
      <c r="V60" s="52">
        <f t="shared" si="29"/>
        <v>0</v>
      </c>
    </row>
    <row r="61" spans="1:27">
      <c r="A61" s="67"/>
      <c r="B61" s="117"/>
      <c r="C61" s="117"/>
      <c r="D61" s="117"/>
      <c r="E61" s="117"/>
      <c r="F61" s="117"/>
      <c r="G61" s="68"/>
      <c r="H61" s="68"/>
      <c r="I61" s="68"/>
      <c r="J61" s="68"/>
      <c r="K61" s="68"/>
      <c r="L61" s="68"/>
      <c r="M61" s="68"/>
      <c r="N61" s="68"/>
      <c r="O61" s="67"/>
      <c r="P61" s="72"/>
      <c r="Q61" s="72"/>
      <c r="R61" s="72"/>
      <c r="T61" s="52"/>
      <c r="U61" s="52"/>
      <c r="V61" s="52"/>
      <c r="W61" s="52"/>
      <c r="Y61" s="131"/>
      <c r="Z61" s="131"/>
      <c r="AA61" s="131"/>
    </row>
    <row r="62" spans="1:27">
      <c r="A62" s="49"/>
      <c r="D62" s="384" t="s">
        <v>64</v>
      </c>
      <c r="E62" s="385"/>
      <c r="F62" s="386"/>
      <c r="G62" s="384" t="s">
        <v>65</v>
      </c>
      <c r="H62" s="385"/>
      <c r="I62" s="385"/>
      <c r="J62" s="385"/>
      <c r="K62" s="385"/>
      <c r="L62" s="385"/>
      <c r="M62" s="385"/>
      <c r="N62" s="386"/>
      <c r="O62" s="67"/>
      <c r="P62" s="72"/>
      <c r="Q62" s="72"/>
      <c r="R62" s="72"/>
      <c r="T62" s="52"/>
      <c r="U62" s="52"/>
      <c r="V62" s="52"/>
      <c r="W62" s="52"/>
    </row>
    <row r="63" spans="1:27">
      <c r="A63" s="266" t="str">
        <f>'Samenvatting mixen'!A69</f>
        <v>Bull case</v>
      </c>
      <c r="B63" s="267" t="s">
        <v>67</v>
      </c>
      <c r="C63" s="268" t="s">
        <v>2</v>
      </c>
      <c r="D63" s="269">
        <v>0.25</v>
      </c>
      <c r="E63" s="270">
        <v>0.5</v>
      </c>
      <c r="F63" s="271">
        <v>0.75</v>
      </c>
      <c r="G63" s="272">
        <v>0.59278251009823768</v>
      </c>
      <c r="H63" s="272">
        <v>0.24383112443964661</v>
      </c>
      <c r="I63" s="272">
        <v>0.11563329119334065</v>
      </c>
      <c r="J63" s="272">
        <v>3.8236490060534645E-2</v>
      </c>
      <c r="K63" s="272">
        <v>6.5365261892761373E-3</v>
      </c>
      <c r="L63" s="272">
        <v>2.980058018963283E-3</v>
      </c>
      <c r="M63" s="272">
        <v>-2.2204460492503131E-16</v>
      </c>
      <c r="N63" s="272"/>
      <c r="O63" s="273"/>
      <c r="P63" s="72"/>
      <c r="Q63" s="51" t="str">
        <f>A63</f>
        <v>Bull case</v>
      </c>
      <c r="V63" s="52"/>
      <c r="W63" s="52"/>
    </row>
    <row r="64" spans="1:27">
      <c r="A64" s="53" t="str">
        <f t="shared" ref="A64:A70" si="31">A54</f>
        <v>High Yield</v>
      </c>
      <c r="B64" s="117">
        <v>7.1955839170805364E-2</v>
      </c>
      <c r="C64" s="118">
        <v>6.5548615287200601E-2</v>
      </c>
      <c r="D64" s="119">
        <v>8.4753556683931988E-3</v>
      </c>
      <c r="E64" s="117">
        <v>5.5083789895810129E-2</v>
      </c>
      <c r="F64" s="120">
        <v>0.13307721014733195</v>
      </c>
      <c r="G64" s="2">
        <v>-9.7006558748822441E-2</v>
      </c>
      <c r="H64" s="2">
        <v>-0.45226786493948634</v>
      </c>
      <c r="I64" s="2">
        <v>1</v>
      </c>
      <c r="J64" s="2">
        <v>-0.20613403399779873</v>
      </c>
      <c r="K64" s="2">
        <v>-0.19557502063363855</v>
      </c>
      <c r="L64" s="2">
        <v>-0.12827019813074081</v>
      </c>
      <c r="M64" s="2">
        <v>0.99999999999998845</v>
      </c>
      <c r="N64" s="57"/>
      <c r="O64" s="67"/>
      <c r="Q64" s="51" t="str">
        <f t="shared" ref="Q64:Q70" si="32">A64</f>
        <v>High Yield</v>
      </c>
      <c r="R64" s="72">
        <f>D64</f>
        <v>8.4753556683931988E-3</v>
      </c>
      <c r="S64" s="52">
        <f>B64-D64</f>
        <v>6.3480483502412172E-2</v>
      </c>
      <c r="T64" s="52">
        <f>F64-B64</f>
        <v>6.112137097652659E-2</v>
      </c>
      <c r="U64" s="52"/>
    </row>
    <row r="65" spans="1:24">
      <c r="A65" s="59" t="str">
        <f t="shared" si="31"/>
        <v>Emerging market debt</v>
      </c>
      <c r="B65" s="117">
        <v>3.4701827524090685E-2</v>
      </c>
      <c r="C65" s="118">
        <v>3.5879972033659904E-2</v>
      </c>
      <c r="D65" s="119">
        <v>3.2089670703715025E-3</v>
      </c>
      <c r="E65" s="117">
        <v>2.1384046280172098E-2</v>
      </c>
      <c r="F65" s="120">
        <v>7.1084029503028251E-2</v>
      </c>
      <c r="G65" s="2">
        <v>-1.0137626560866999E-2</v>
      </c>
      <c r="H65" s="2">
        <v>-0.11534518546934154</v>
      </c>
      <c r="I65" s="2">
        <v>-0.1015025891585942</v>
      </c>
      <c r="J65" s="2">
        <v>1</v>
      </c>
      <c r="K65" s="2">
        <v>-0.23784672087063402</v>
      </c>
      <c r="L65" s="2">
        <v>-0.16920700081063769</v>
      </c>
      <c r="M65" s="2">
        <v>0.99999999999999045</v>
      </c>
      <c r="N65" s="57"/>
      <c r="O65" s="67"/>
      <c r="Q65" s="51" t="str">
        <f t="shared" si="32"/>
        <v>Emerging market debt</v>
      </c>
      <c r="R65" s="72">
        <f t="shared" ref="R65:R70" si="33">D65</f>
        <v>3.2089670703715025E-3</v>
      </c>
      <c r="S65" s="52">
        <f t="shared" ref="S65:S70" si="34">B65-D65</f>
        <v>3.1492860453719185E-2</v>
      </c>
      <c r="T65" s="52">
        <f t="shared" ref="T65:T70" si="35">F65-B65</f>
        <v>3.6382201978937566E-2</v>
      </c>
      <c r="U65" s="52"/>
    </row>
    <row r="66" spans="1:24">
      <c r="A66" s="59" t="str">
        <f t="shared" si="31"/>
        <v>Aandelen ontwikkeld</v>
      </c>
      <c r="B66" s="117">
        <v>1.1374890378775865E-2</v>
      </c>
      <c r="C66" s="118">
        <v>1.4879528922179057E-2</v>
      </c>
      <c r="D66" s="119">
        <v>1.5806726159073439E-4</v>
      </c>
      <c r="E66" s="117">
        <v>5.9835733673497728E-3</v>
      </c>
      <c r="F66" s="120">
        <v>2.2368674397356344E-2</v>
      </c>
      <c r="G66" s="2">
        <v>-8.9997978536424052E-4</v>
      </c>
      <c r="H66" s="2">
        <v>-2.8320320218265409E-2</v>
      </c>
      <c r="I66" s="2">
        <v>-1.8670158280214691E-2</v>
      </c>
      <c r="J66" s="2">
        <v>1.9033628794656046E-2</v>
      </c>
      <c r="K66" s="2">
        <v>1</v>
      </c>
      <c r="L66" s="2">
        <v>-0.22656714812426257</v>
      </c>
      <c r="M66" s="2">
        <v>0.99999999999999645</v>
      </c>
      <c r="N66" s="57"/>
      <c r="O66" s="67"/>
      <c r="Q66" s="51" t="str">
        <f t="shared" si="32"/>
        <v>Aandelen ontwikkeld</v>
      </c>
      <c r="R66" s="72">
        <f t="shared" si="33"/>
        <v>1.5806726159073439E-4</v>
      </c>
      <c r="S66" s="52">
        <f t="shared" si="34"/>
        <v>1.121682311718513E-2</v>
      </c>
      <c r="T66" s="52">
        <f t="shared" si="35"/>
        <v>1.0993784018580479E-2</v>
      </c>
      <c r="U66" s="52"/>
    </row>
    <row r="67" spans="1:24">
      <c r="A67" s="59" t="str">
        <f t="shared" si="31"/>
        <v>Aandelen opkomend</v>
      </c>
      <c r="B67" s="117">
        <v>7.7151884442902153E-3</v>
      </c>
      <c r="C67" s="118">
        <v>1.0370239352218993E-2</v>
      </c>
      <c r="D67" s="119">
        <v>1.3347015598507306E-4</v>
      </c>
      <c r="E67" s="117">
        <v>3.352350121289694E-3</v>
      </c>
      <c r="F67" s="120">
        <v>1.7639616498119397E-2</v>
      </c>
      <c r="G67" s="2">
        <v>1.1860617021805882E-3</v>
      </c>
      <c r="H67" s="2">
        <v>-1.5850532092498766E-2</v>
      </c>
      <c r="I67" s="2">
        <v>-3.8152697746968403E-2</v>
      </c>
      <c r="J67" s="2">
        <v>1.2560470182694192E-2</v>
      </c>
      <c r="K67" s="2">
        <v>6.091689511270916E-2</v>
      </c>
      <c r="L67" s="2">
        <v>1</v>
      </c>
      <c r="M67" s="2">
        <v>1</v>
      </c>
      <c r="N67" s="57"/>
      <c r="O67" s="67"/>
      <c r="Q67" s="51" t="str">
        <f t="shared" si="32"/>
        <v>Aandelen opkomend</v>
      </c>
      <c r="R67" s="72">
        <f t="shared" si="33"/>
        <v>1.3347015598507306E-4</v>
      </c>
      <c r="S67" s="52">
        <f t="shared" si="34"/>
        <v>7.5817182883051422E-3</v>
      </c>
      <c r="T67" s="52">
        <f t="shared" si="35"/>
        <v>9.9244280538291815E-3</v>
      </c>
      <c r="U67" s="52"/>
    </row>
    <row r="68" spans="1:24">
      <c r="A68" s="59" t="str">
        <f t="shared" si="31"/>
        <v>Commodities</v>
      </c>
      <c r="B68" s="117">
        <v>0.19700783381867154</v>
      </c>
      <c r="C68" s="118">
        <v>7.5639132473333898E-2</v>
      </c>
      <c r="D68" s="119">
        <v>0.1226275537649839</v>
      </c>
      <c r="E68" s="117">
        <v>0.19516724762562443</v>
      </c>
      <c r="F68" s="120">
        <v>0.2720537384184446</v>
      </c>
      <c r="G68" s="2">
        <v>-0.27450844385148643</v>
      </c>
      <c r="H68" s="2">
        <v>-0.75464434232900779</v>
      </c>
      <c r="I68" s="2">
        <v>-0.68821472778103887</v>
      </c>
      <c r="J68" s="2">
        <v>-0.39789860523570625</v>
      </c>
      <c r="K68" s="2">
        <v>-0.23513240889440087</v>
      </c>
      <c r="L68" s="2">
        <v>-0.17687159648609868</v>
      </c>
      <c r="M68" s="2">
        <v>0.99999999999998668</v>
      </c>
      <c r="N68" s="57"/>
      <c r="O68" s="67"/>
      <c r="Q68" s="51" t="str">
        <f t="shared" si="32"/>
        <v>Commodities</v>
      </c>
      <c r="R68" s="72">
        <f t="shared" si="33"/>
        <v>0.1226275537649839</v>
      </c>
      <c r="S68" s="52">
        <f t="shared" si="34"/>
        <v>7.4380280053687645E-2</v>
      </c>
      <c r="T68" s="52">
        <f t="shared" si="35"/>
        <v>7.5045904599773061E-2</v>
      </c>
      <c r="U68" s="52"/>
    </row>
    <row r="69" spans="1:24">
      <c r="A69" s="59" t="str">
        <f t="shared" si="31"/>
        <v>Hedge funds</v>
      </c>
      <c r="B69" s="117">
        <v>0.12261170182661704</v>
      </c>
      <c r="C69" s="118">
        <v>0.105928292064672</v>
      </c>
      <c r="D69" s="119">
        <v>1.2475079576170467E-2</v>
      </c>
      <c r="E69" s="117">
        <v>9.5996607696946401E-2</v>
      </c>
      <c r="F69" s="120">
        <v>0.23811810749435167</v>
      </c>
      <c r="G69" s="2">
        <v>-0.61863345275564119</v>
      </c>
      <c r="H69" s="2">
        <v>1</v>
      </c>
      <c r="I69" s="2">
        <v>-3.7405062316502063E-2</v>
      </c>
      <c r="J69" s="2">
        <v>-0.19057955212465763</v>
      </c>
      <c r="K69" s="2">
        <v>-0.18982764760702098</v>
      </c>
      <c r="L69" s="2">
        <v>-0.14517365490215309</v>
      </c>
      <c r="M69" s="2">
        <v>0.99999999999998768</v>
      </c>
      <c r="N69" s="57"/>
      <c r="O69" s="67"/>
      <c r="Q69" s="51" t="str">
        <f t="shared" si="32"/>
        <v>Hedge funds</v>
      </c>
      <c r="R69" s="72">
        <f t="shared" si="33"/>
        <v>1.2475079576170467E-2</v>
      </c>
      <c r="S69" s="52">
        <f t="shared" si="34"/>
        <v>0.11013662225044657</v>
      </c>
      <c r="T69" s="52">
        <f t="shared" si="35"/>
        <v>0.11550640566773462</v>
      </c>
      <c r="U69" s="52"/>
      <c r="X69" s="51"/>
    </row>
    <row r="70" spans="1:24">
      <c r="A70" s="60" t="str">
        <f t="shared" si="31"/>
        <v>Onroerend goed</v>
      </c>
      <c r="B70" s="121">
        <v>0.55463271883674892</v>
      </c>
      <c r="C70" s="122">
        <v>0.1296861908410531</v>
      </c>
      <c r="D70" s="123">
        <v>0.43029176546889841</v>
      </c>
      <c r="E70" s="121">
        <v>0.54538002066130242</v>
      </c>
      <c r="F70" s="124">
        <v>0.68510104786833437</v>
      </c>
      <c r="G70" s="65">
        <v>1</v>
      </c>
      <c r="H70" s="65">
        <v>0.36642824504860044</v>
      </c>
      <c r="I70" s="65">
        <v>-0.1160547647166825</v>
      </c>
      <c r="J70" s="65">
        <v>-0.23698190761919108</v>
      </c>
      <c r="K70" s="65">
        <v>-0.20253509710702308</v>
      </c>
      <c r="L70" s="65">
        <v>-0.15391040154611726</v>
      </c>
      <c r="M70" s="65">
        <v>0.99999999999998812</v>
      </c>
      <c r="N70" s="66"/>
      <c r="O70" s="67"/>
      <c r="P70" s="72"/>
      <c r="Q70" s="51" t="str">
        <f t="shared" si="32"/>
        <v>Onroerend goed</v>
      </c>
      <c r="R70" s="72">
        <f t="shared" si="33"/>
        <v>0.43029176546889841</v>
      </c>
      <c r="S70" s="52">
        <f t="shared" si="34"/>
        <v>0.1243409533678505</v>
      </c>
      <c r="T70" s="52">
        <f t="shared" si="35"/>
        <v>0.13046832903158545</v>
      </c>
      <c r="U70" s="52"/>
      <c r="V70" s="52"/>
      <c r="W70" s="52"/>
    </row>
    <row r="71" spans="1:24">
      <c r="A71" s="67"/>
      <c r="B71" s="117"/>
      <c r="C71" s="117"/>
      <c r="D71" s="117"/>
      <c r="E71" s="117"/>
      <c r="F71" s="117"/>
      <c r="G71" s="68"/>
      <c r="H71" s="68"/>
      <c r="I71" s="68"/>
      <c r="J71" s="68"/>
      <c r="K71" s="68"/>
      <c r="L71" s="68"/>
      <c r="M71" s="68"/>
      <c r="N71" s="68"/>
      <c r="O71" s="67"/>
      <c r="P71" s="72"/>
      <c r="Q71" s="72"/>
      <c r="R71" s="72"/>
      <c r="T71" s="52"/>
      <c r="U71" s="52"/>
      <c r="V71" s="52"/>
      <c r="W71" s="52"/>
    </row>
    <row r="72" spans="1:24">
      <c r="A72" s="49"/>
      <c r="D72" s="384" t="s">
        <v>64</v>
      </c>
      <c r="E72" s="385"/>
      <c r="F72" s="386"/>
      <c r="G72" s="384" t="s">
        <v>65</v>
      </c>
      <c r="H72" s="385"/>
      <c r="I72" s="385"/>
      <c r="J72" s="385"/>
      <c r="K72" s="385"/>
      <c r="L72" s="385"/>
      <c r="M72" s="385"/>
      <c r="N72" s="386"/>
      <c r="O72" s="67"/>
      <c r="P72" s="72"/>
      <c r="Q72" s="72"/>
      <c r="R72" s="72"/>
      <c r="T72" s="52"/>
      <c r="U72" s="52"/>
      <c r="V72" s="52"/>
      <c r="W72" s="52"/>
    </row>
    <row r="73" spans="1:24">
      <c r="A73" s="266" t="str">
        <f>'Samenvatting mixen'!A80</f>
        <v>Kansgewogen</v>
      </c>
      <c r="B73" s="267" t="s">
        <v>67</v>
      </c>
      <c r="C73" s="268" t="s">
        <v>2</v>
      </c>
      <c r="D73" s="269">
        <v>0.25</v>
      </c>
      <c r="E73" s="270">
        <v>0.5</v>
      </c>
      <c r="F73" s="271">
        <v>0.75</v>
      </c>
      <c r="G73" s="272">
        <v>0.69872757643327965</v>
      </c>
      <c r="H73" s="272">
        <v>0.20450528385180278</v>
      </c>
      <c r="I73" s="272">
        <v>7.2636274250971855E-2</v>
      </c>
      <c r="J73" s="272">
        <v>2.1797499542421606E-2</v>
      </c>
      <c r="K73" s="272">
        <v>1.9355591487772994E-3</v>
      </c>
      <c r="L73" s="272">
        <v>3.9780677274536824E-4</v>
      </c>
      <c r="M73" s="272">
        <v>0</v>
      </c>
      <c r="N73" s="272"/>
      <c r="O73" s="273"/>
      <c r="P73" s="72"/>
      <c r="Q73" s="51" t="str">
        <f>A73</f>
        <v>Kansgewogen</v>
      </c>
      <c r="V73" s="52"/>
      <c r="W73" s="52"/>
    </row>
    <row r="74" spans="1:24">
      <c r="A74" s="53" t="str">
        <f t="shared" ref="A74:A80" si="36">A64</f>
        <v>High Yield</v>
      </c>
      <c r="B74" s="117">
        <v>0.42698186492928081</v>
      </c>
      <c r="C74" s="118">
        <v>0.14350331353313256</v>
      </c>
      <c r="D74" s="119">
        <v>0.28403257460666398</v>
      </c>
      <c r="E74" s="117">
        <v>0.42580048747918925</v>
      </c>
      <c r="F74" s="120">
        <v>0.57915635214633587</v>
      </c>
      <c r="G74" s="2">
        <v>1</v>
      </c>
      <c r="H74" s="2">
        <v>-0.17633282861224725</v>
      </c>
      <c r="I74" s="2">
        <v>-0.20846731395724979</v>
      </c>
      <c r="J74" s="2">
        <v>-0.26056548450504768</v>
      </c>
      <c r="K74" s="2">
        <v>-0.21563505505085492</v>
      </c>
      <c r="L74" s="2">
        <v>-0.16496878958960057</v>
      </c>
      <c r="M74" s="2">
        <v>0.99999999999991263</v>
      </c>
      <c r="N74" s="57"/>
      <c r="O74" s="67"/>
      <c r="P74" s="72"/>
      <c r="Q74" s="51" t="str">
        <f t="shared" ref="Q74:Q80" si="37">A74</f>
        <v>High Yield</v>
      </c>
      <c r="R74" s="72">
        <f>D74</f>
        <v>0.28403257460666398</v>
      </c>
      <c r="S74" s="52">
        <f>B74-D74</f>
        <v>0.14294929032261683</v>
      </c>
      <c r="T74" s="52">
        <f>F74-B74</f>
        <v>0.15217448721705507</v>
      </c>
      <c r="U74" s="52"/>
      <c r="V74" s="52">
        <f>O25</f>
        <v>0</v>
      </c>
      <c r="W74" s="52"/>
    </row>
    <row r="75" spans="1:24">
      <c r="A75" s="59" t="str">
        <f t="shared" si="36"/>
        <v>Emerging market debt</v>
      </c>
      <c r="B75" s="117">
        <v>3.521598993679996E-2</v>
      </c>
      <c r="C75" s="118">
        <v>2.7920676172135894E-2</v>
      </c>
      <c r="D75" s="119">
        <v>9.2786708420521044E-3</v>
      </c>
      <c r="E75" s="117">
        <v>2.7619265165039278E-2</v>
      </c>
      <c r="F75" s="120">
        <v>6.2311054577358041E-2</v>
      </c>
      <c r="G75" s="2">
        <v>-1.5610033936718315E-2</v>
      </c>
      <c r="H75" s="2">
        <v>-2.9460689174446962E-2</v>
      </c>
      <c r="I75" s="2">
        <v>-0.12039168068552254</v>
      </c>
      <c r="J75" s="2">
        <v>1</v>
      </c>
      <c r="K75" s="2">
        <v>-0.18415530717092682</v>
      </c>
      <c r="L75" s="2">
        <v>-0.14635050567629262</v>
      </c>
      <c r="M75" s="2">
        <v>0.99999999999991662</v>
      </c>
      <c r="N75" s="57"/>
      <c r="O75" s="67"/>
      <c r="P75" s="72"/>
      <c r="Q75" s="51" t="str">
        <f t="shared" si="37"/>
        <v>Emerging market debt</v>
      </c>
      <c r="R75" s="72">
        <f t="shared" ref="R75:R80" si="38">D75</f>
        <v>9.2786708420521044E-3</v>
      </c>
      <c r="S75" s="52">
        <f t="shared" ref="S75:S80" si="39">B75-D75</f>
        <v>2.5937319094747856E-2</v>
      </c>
      <c r="T75" s="52">
        <f t="shared" ref="T75:T80" si="40">F75-B75</f>
        <v>2.7095064640558081E-2</v>
      </c>
      <c r="U75" s="52"/>
      <c r="V75" s="52">
        <f t="shared" ref="V75:V80" si="41">O26</f>
        <v>0</v>
      </c>
      <c r="W75" s="52"/>
    </row>
    <row r="76" spans="1:24">
      <c r="A76" s="59" t="str">
        <f t="shared" si="36"/>
        <v>Aandelen ontwikkeld</v>
      </c>
      <c r="B76" s="117">
        <v>3.402563735431539E-3</v>
      </c>
      <c r="C76" s="118">
        <v>3.8416584159971703E-3</v>
      </c>
      <c r="D76" s="119">
        <v>3.0039866257030597E-4</v>
      </c>
      <c r="E76" s="117">
        <v>2.1523020826513051E-3</v>
      </c>
      <c r="F76" s="120">
        <v>6.8921885682296895E-3</v>
      </c>
      <c r="G76" s="2">
        <v>-1.2966722400597631E-3</v>
      </c>
      <c r="H76" s="2">
        <v>-4.1342578951898126E-3</v>
      </c>
      <c r="I76" s="2">
        <v>-3.9198413524424887E-3</v>
      </c>
      <c r="J76" s="2">
        <v>-1.6892642437647126E-2</v>
      </c>
      <c r="K76" s="2">
        <v>2.9798472318196899E-2</v>
      </c>
      <c r="L76" s="2">
        <v>1</v>
      </c>
      <c r="M76" s="2">
        <v>1</v>
      </c>
      <c r="N76" s="57"/>
      <c r="O76" s="67"/>
      <c r="Q76" s="51" t="str">
        <f t="shared" si="37"/>
        <v>Aandelen ontwikkeld</v>
      </c>
      <c r="R76" s="72">
        <f t="shared" si="38"/>
        <v>3.0039866257030597E-4</v>
      </c>
      <c r="S76" s="52">
        <f t="shared" si="39"/>
        <v>3.1021650728612331E-3</v>
      </c>
      <c r="T76" s="52">
        <f t="shared" si="40"/>
        <v>3.4896248327981505E-3</v>
      </c>
      <c r="U76" s="52"/>
      <c r="V76" s="52">
        <f t="shared" si="41"/>
        <v>0</v>
      </c>
    </row>
    <row r="77" spans="1:24">
      <c r="A77" s="59" t="str">
        <f t="shared" si="36"/>
        <v>Aandelen opkomend</v>
      </c>
      <c r="B77" s="117">
        <v>0.12831967773679395</v>
      </c>
      <c r="C77" s="118">
        <v>8.548843504576277E-2</v>
      </c>
      <c r="D77" s="119">
        <v>3.8668125810088834E-2</v>
      </c>
      <c r="E77" s="117">
        <v>0.1167052640711444</v>
      </c>
      <c r="F77" s="120">
        <v>0.2163708378405963</v>
      </c>
      <c r="G77" s="2">
        <v>-0.32390646475646589</v>
      </c>
      <c r="H77" s="2">
        <v>1</v>
      </c>
      <c r="I77" s="2">
        <v>-0.36517924996021051</v>
      </c>
      <c r="J77" s="2">
        <v>-0.27324970328712073</v>
      </c>
      <c r="K77" s="2">
        <v>-0.21869264064576283</v>
      </c>
      <c r="L77" s="2">
        <v>-0.16386240511217087</v>
      </c>
      <c r="M77" s="2">
        <v>0.99999999999991329</v>
      </c>
      <c r="N77" s="57"/>
      <c r="O77" s="67"/>
      <c r="Q77" s="51" t="str">
        <f t="shared" si="37"/>
        <v>Aandelen opkomend</v>
      </c>
      <c r="R77" s="72">
        <f t="shared" si="38"/>
        <v>3.8668125810088834E-2</v>
      </c>
      <c r="S77" s="52">
        <f t="shared" si="39"/>
        <v>8.9651551926705125E-2</v>
      </c>
      <c r="T77" s="52">
        <f t="shared" si="40"/>
        <v>8.8051160103802345E-2</v>
      </c>
      <c r="U77" s="52"/>
      <c r="V77" s="52">
        <f t="shared" si="41"/>
        <v>0</v>
      </c>
    </row>
    <row r="78" spans="1:24">
      <c r="A78" s="59" t="str">
        <f t="shared" si="36"/>
        <v>Commodities</v>
      </c>
      <c r="B78" s="117">
        <v>0.32547350996486435</v>
      </c>
      <c r="C78" s="118">
        <v>0.10373885531440932</v>
      </c>
      <c r="D78" s="119">
        <v>0.22428296757374544</v>
      </c>
      <c r="E78" s="117">
        <v>0.31562815721725557</v>
      </c>
      <c r="F78" s="120">
        <v>0.42779675673355327</v>
      </c>
      <c r="G78" s="2">
        <v>-0.58260243103830978</v>
      </c>
      <c r="H78" s="2">
        <v>-0.86837953831492953</v>
      </c>
      <c r="I78" s="2">
        <v>-0.27587285407983264</v>
      </c>
      <c r="J78" s="2">
        <v>-0.30709451031110141</v>
      </c>
      <c r="K78" s="2">
        <v>-0.2277779416878202</v>
      </c>
      <c r="L78" s="2">
        <v>-0.1691141627802373</v>
      </c>
      <c r="M78" s="2">
        <v>0.99999999999991129</v>
      </c>
      <c r="N78" s="57"/>
      <c r="O78" s="67"/>
      <c r="Q78" s="51" t="str">
        <f t="shared" si="37"/>
        <v>Commodities</v>
      </c>
      <c r="R78" s="72">
        <f t="shared" si="38"/>
        <v>0.22428296757374544</v>
      </c>
      <c r="S78" s="52">
        <f t="shared" si="39"/>
        <v>0.10119054239111891</v>
      </c>
      <c r="T78" s="52">
        <f t="shared" si="40"/>
        <v>0.10232324676868892</v>
      </c>
      <c r="U78" s="52"/>
      <c r="V78" s="52">
        <f t="shared" si="41"/>
        <v>0</v>
      </c>
    </row>
    <row r="79" spans="1:24">
      <c r="A79" s="59" t="str">
        <f t="shared" si="36"/>
        <v>Hedge funds</v>
      </c>
      <c r="B79" s="117">
        <v>7.2374274888194701E-2</v>
      </c>
      <c r="C79" s="118">
        <v>5.0651555959069366E-2</v>
      </c>
      <c r="D79" s="119">
        <v>1.9375499202091338E-2</v>
      </c>
      <c r="E79" s="117">
        <v>6.509553604741794E-2</v>
      </c>
      <c r="F79" s="120">
        <v>0.12799208343727658</v>
      </c>
      <c r="G79" s="2">
        <v>-7.2531268894192993E-2</v>
      </c>
      <c r="H79" s="2">
        <v>8.5116070871598989E-2</v>
      </c>
      <c r="I79" s="2">
        <v>1</v>
      </c>
      <c r="J79" s="2">
        <v>-0.11910246277454203</v>
      </c>
      <c r="K79" s="2">
        <v>-0.18353752776285345</v>
      </c>
      <c r="L79" s="2">
        <v>-0.15971222352681336</v>
      </c>
      <c r="M79" s="2">
        <v>0.99999999999991418</v>
      </c>
      <c r="N79" s="57"/>
      <c r="O79" s="67"/>
      <c r="Q79" s="51" t="str">
        <f t="shared" si="37"/>
        <v>Hedge funds</v>
      </c>
      <c r="R79" s="72">
        <f t="shared" si="38"/>
        <v>1.9375499202091338E-2</v>
      </c>
      <c r="S79" s="52">
        <f t="shared" si="39"/>
        <v>5.2998775686103367E-2</v>
      </c>
      <c r="T79" s="52">
        <f t="shared" si="40"/>
        <v>5.5617808549081882E-2</v>
      </c>
      <c r="U79" s="52"/>
      <c r="V79" s="52">
        <f t="shared" si="41"/>
        <v>0</v>
      </c>
    </row>
    <row r="80" spans="1:24">
      <c r="A80" s="60" t="str">
        <f t="shared" si="36"/>
        <v>Onroerend goed</v>
      </c>
      <c r="B80" s="121">
        <v>8.2321188086339168E-3</v>
      </c>
      <c r="C80" s="122">
        <v>8.3798767570436687E-3</v>
      </c>
      <c r="D80" s="123">
        <v>9.774246434712734E-4</v>
      </c>
      <c r="E80" s="121">
        <v>6.3799237322212689E-3</v>
      </c>
      <c r="F80" s="124">
        <v>1.5331144261632717E-2</v>
      </c>
      <c r="G80" s="65">
        <v>-4.0531291342534165E-3</v>
      </c>
      <c r="H80" s="65">
        <v>-6.8087568747865861E-3</v>
      </c>
      <c r="I80" s="65">
        <v>-2.6169059964742225E-2</v>
      </c>
      <c r="J80" s="65">
        <v>-2.3095196684542598E-2</v>
      </c>
      <c r="K80" s="65">
        <v>1</v>
      </c>
      <c r="L80" s="65">
        <v>-0.19599191331496876</v>
      </c>
      <c r="M80" s="65">
        <v>0.99999999999993117</v>
      </c>
      <c r="N80" s="66"/>
      <c r="O80" s="67"/>
      <c r="Q80" s="51" t="str">
        <f t="shared" si="37"/>
        <v>Onroerend goed</v>
      </c>
      <c r="R80" s="72">
        <f t="shared" si="38"/>
        <v>9.774246434712734E-4</v>
      </c>
      <c r="S80" s="52">
        <f t="shared" si="39"/>
        <v>7.254694165162643E-3</v>
      </c>
      <c r="T80" s="52">
        <f t="shared" si="40"/>
        <v>7.0990254529988001E-3</v>
      </c>
      <c r="U80" s="52"/>
      <c r="V80" s="52">
        <f t="shared" si="41"/>
        <v>0</v>
      </c>
    </row>
    <row r="81" spans="1:27">
      <c r="A81" s="67"/>
      <c r="B81" s="117"/>
      <c r="C81" s="117"/>
      <c r="D81" s="117"/>
      <c r="E81" s="117"/>
      <c r="F81" s="117"/>
      <c r="G81" s="68"/>
      <c r="H81" s="68"/>
      <c r="I81" s="68"/>
      <c r="J81" s="68"/>
      <c r="K81" s="68"/>
      <c r="L81" s="68"/>
      <c r="M81" s="68"/>
      <c r="N81" s="68"/>
      <c r="O81" s="67"/>
      <c r="P81" s="72"/>
      <c r="Q81" s="72"/>
      <c r="R81" s="72"/>
      <c r="T81" s="52"/>
      <c r="U81" s="52"/>
      <c r="V81" s="52"/>
      <c r="W81" s="52"/>
      <c r="Y81" s="131"/>
      <c r="Z81" s="131"/>
      <c r="AA81" s="131"/>
    </row>
    <row r="82" spans="1:27">
      <c r="A82" s="67"/>
      <c r="B82" s="117"/>
      <c r="C82" s="117"/>
      <c r="D82" s="117"/>
      <c r="E82" s="117"/>
      <c r="F82" s="117"/>
      <c r="G82" s="68"/>
      <c r="H82" s="68"/>
      <c r="I82" s="68"/>
      <c r="J82" s="68"/>
      <c r="K82" s="68"/>
      <c r="L82" s="68"/>
      <c r="M82" s="68"/>
      <c r="N82" s="68"/>
      <c r="O82" s="67"/>
      <c r="P82" s="72"/>
      <c r="Q82" s="72"/>
      <c r="R82" s="72"/>
      <c r="T82" s="52"/>
      <c r="U82" s="52"/>
      <c r="V82" s="52"/>
      <c r="W82" s="52"/>
      <c r="Y82" s="131"/>
      <c r="Z82" s="131"/>
      <c r="AA82" s="131"/>
    </row>
    <row r="83" spans="1:27">
      <c r="A83" s="67"/>
      <c r="B83" s="117"/>
      <c r="C83" s="117"/>
      <c r="D83" s="117"/>
      <c r="E83" s="117"/>
      <c r="F83" s="117"/>
      <c r="G83" s="68"/>
      <c r="H83" s="68"/>
      <c r="I83" s="68"/>
      <c r="J83" s="68"/>
      <c r="K83" s="68"/>
      <c r="L83" s="68"/>
      <c r="M83" s="68"/>
      <c r="N83" s="68"/>
      <c r="O83" s="67"/>
      <c r="P83" s="72"/>
      <c r="Q83" s="72"/>
      <c r="R83" s="72"/>
      <c r="T83" s="52"/>
      <c r="U83" s="52"/>
      <c r="V83" s="52"/>
      <c r="W83" s="52"/>
      <c r="Y83" s="131"/>
      <c r="Z83" s="131"/>
      <c r="AA83" s="131"/>
    </row>
    <row r="84" spans="1:27">
      <c r="A84" s="67"/>
      <c r="B84" s="117"/>
      <c r="C84" s="117"/>
      <c r="D84" s="117"/>
      <c r="E84" s="117"/>
      <c r="F84" s="117"/>
      <c r="G84" s="68"/>
      <c r="H84" s="68"/>
      <c r="I84" s="68"/>
      <c r="J84" s="68"/>
      <c r="K84" s="68"/>
      <c r="L84" s="68"/>
      <c r="M84" s="68"/>
      <c r="N84" s="68"/>
      <c r="O84" s="67"/>
      <c r="P84" s="72"/>
      <c r="Q84" s="72"/>
      <c r="R84" s="72"/>
      <c r="T84" s="52"/>
      <c r="U84" s="52"/>
      <c r="V84" s="52"/>
      <c r="W84" s="52"/>
      <c r="Y84" s="131"/>
      <c r="Z84" s="131"/>
      <c r="AA84" s="131"/>
    </row>
    <row r="85" spans="1:27">
      <c r="A85" s="67"/>
      <c r="B85" s="117"/>
      <c r="C85" s="117"/>
      <c r="D85" s="117"/>
      <c r="E85" s="117"/>
      <c r="F85" s="117"/>
      <c r="G85" s="68"/>
      <c r="H85" s="68"/>
      <c r="I85" s="68"/>
      <c r="J85" s="68"/>
      <c r="K85" s="68"/>
      <c r="L85" s="68"/>
      <c r="M85" s="68"/>
      <c r="N85" s="68"/>
      <c r="O85" s="67"/>
    </row>
    <row r="86" spans="1:27">
      <c r="A86" s="67"/>
      <c r="B86" s="117"/>
      <c r="C86" s="117"/>
      <c r="D86" s="117"/>
      <c r="E86" s="117"/>
      <c r="F86" s="117"/>
      <c r="G86" s="68"/>
      <c r="H86" s="68"/>
      <c r="I86" s="68"/>
      <c r="J86" s="68"/>
      <c r="K86" s="68"/>
      <c r="L86" s="68"/>
      <c r="M86" s="68"/>
      <c r="N86" s="68"/>
      <c r="O86" s="67"/>
    </row>
    <row r="87" spans="1:27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</row>
    <row r="88" spans="1:27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</row>
    <row r="89" spans="1:27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</row>
    <row r="90" spans="1:27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</row>
    <row r="91" spans="1:27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</row>
    <row r="92" spans="1:27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</row>
    <row r="93" spans="1:27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</row>
    <row r="103" spans="1:2">
      <c r="A103" s="59" t="s">
        <v>5</v>
      </c>
      <c r="B103" s="132">
        <f>A115/SUM($A$115:$A$121)</f>
        <v>0.16317857772190714</v>
      </c>
    </row>
    <row r="104" spans="1:2">
      <c r="A104" s="59" t="s">
        <v>6</v>
      </c>
      <c r="B104" s="132">
        <f t="shared" ref="B104:B109" si="42">A116/SUM($A$115:$A$121)</f>
        <v>0.19290379455136406</v>
      </c>
    </row>
    <row r="105" spans="1:2">
      <c r="A105" s="59" t="s">
        <v>7</v>
      </c>
      <c r="B105" s="132">
        <f t="shared" si="42"/>
        <v>0.25645812312142269</v>
      </c>
    </row>
    <row r="106" spans="1:2">
      <c r="A106" s="59" t="s">
        <v>8</v>
      </c>
      <c r="B106" s="132">
        <f t="shared" si="42"/>
        <v>9.7041462553314958E-2</v>
      </c>
    </row>
    <row r="107" spans="1:2">
      <c r="A107" s="59" t="s">
        <v>9</v>
      </c>
      <c r="B107" s="132">
        <f t="shared" si="42"/>
        <v>5.6755052286840531E-2</v>
      </c>
    </row>
    <row r="108" spans="1:2">
      <c r="A108" s="59" t="s">
        <v>10</v>
      </c>
      <c r="B108" s="132">
        <f t="shared" si="42"/>
        <v>7.9154326422916976E-2</v>
      </c>
    </row>
    <row r="109" spans="1:2">
      <c r="A109" s="60" t="s">
        <v>11</v>
      </c>
      <c r="B109" s="132">
        <f t="shared" si="42"/>
        <v>0.15450866334223365</v>
      </c>
    </row>
    <row r="115" spans="1:1">
      <c r="A115">
        <v>8.1589288860953568E-2</v>
      </c>
    </row>
    <row r="116" spans="1:1">
      <c r="A116">
        <v>9.6451897275682028E-2</v>
      </c>
    </row>
    <row r="117" spans="1:1">
      <c r="A117">
        <v>0.12822906156071134</v>
      </c>
    </row>
    <row r="118" spans="1:1">
      <c r="A118">
        <v>4.8520731276657479E-2</v>
      </c>
    </row>
    <row r="119" spans="1:1">
      <c r="A119">
        <v>2.8377526143420265E-2</v>
      </c>
    </row>
    <row r="120" spans="1:1">
      <c r="A120">
        <v>3.9577163211458488E-2</v>
      </c>
    </row>
    <row r="121" spans="1:1">
      <c r="A121">
        <v>7.7254331671116824E-2</v>
      </c>
    </row>
  </sheetData>
  <mergeCells count="16">
    <mergeCell ref="D62:F62"/>
    <mergeCell ref="G62:N62"/>
    <mergeCell ref="D72:F72"/>
    <mergeCell ref="G72:N72"/>
    <mergeCell ref="D32:F32"/>
    <mergeCell ref="G32:N32"/>
    <mergeCell ref="D42:F42"/>
    <mergeCell ref="G42:N42"/>
    <mergeCell ref="D52:F52"/>
    <mergeCell ref="G52:N52"/>
    <mergeCell ref="D2:F2"/>
    <mergeCell ref="G2:N2"/>
    <mergeCell ref="D12:F12"/>
    <mergeCell ref="G12:N12"/>
    <mergeCell ref="D22:F22"/>
    <mergeCell ref="G22:N2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AK79"/>
  <sheetViews>
    <sheetView topLeftCell="A2" zoomScale="85" zoomScaleNormal="85" workbookViewId="0">
      <selection activeCell="B48" sqref="B48"/>
    </sheetView>
  </sheetViews>
  <sheetFormatPr defaultRowHeight="15" outlineLevelCol="1"/>
  <cols>
    <col min="1" max="1" width="9.140625" style="332"/>
    <col min="2" max="2" width="22.28515625" style="332" bestFit="1" customWidth="1"/>
    <col min="3" max="4" width="12.7109375" style="332" customWidth="1"/>
    <col min="5" max="6" width="12.7109375" style="332" customWidth="1" outlineLevel="1"/>
    <col min="7" max="10" width="12.7109375" style="332" customWidth="1"/>
    <col min="11" max="11" width="21" style="210" customWidth="1"/>
    <col min="12" max="12" width="18.140625" style="332" bestFit="1" customWidth="1"/>
    <col min="13" max="13" width="26.85546875" style="332" customWidth="1"/>
    <col min="14" max="17" width="9.140625" style="332"/>
    <col min="18" max="18" width="10.85546875" style="332" customWidth="1"/>
    <col min="19" max="37" width="9.140625" style="210"/>
    <col min="38" max="16384" width="9.140625" style="332"/>
  </cols>
  <sheetData>
    <row r="1" spans="1:18">
      <c r="A1" s="210"/>
      <c r="B1" s="210"/>
      <c r="C1" s="210"/>
      <c r="D1" s="210"/>
      <c r="E1" s="210"/>
      <c r="F1" s="210"/>
      <c r="G1" s="210"/>
      <c r="H1" s="210"/>
      <c r="I1" s="210"/>
      <c r="J1" s="210"/>
      <c r="L1" s="210"/>
      <c r="M1" s="210"/>
      <c r="N1" s="210"/>
      <c r="O1" s="210"/>
      <c r="P1" s="210"/>
      <c r="Q1" s="210"/>
      <c r="R1" s="210"/>
    </row>
    <row r="2" spans="1:18">
      <c r="A2" s="210"/>
      <c r="B2" s="355" t="s">
        <v>115</v>
      </c>
      <c r="C2" s="317" t="s">
        <v>70</v>
      </c>
      <c r="D2" s="306" t="s">
        <v>112</v>
      </c>
      <c r="E2" s="306" t="s">
        <v>147</v>
      </c>
      <c r="F2" s="306" t="s">
        <v>148</v>
      </c>
      <c r="G2" s="306" t="s">
        <v>113</v>
      </c>
      <c r="H2" s="306" t="s">
        <v>114</v>
      </c>
      <c r="I2" s="306" t="s">
        <v>128</v>
      </c>
      <c r="J2" s="317" t="s">
        <v>130</v>
      </c>
      <c r="L2" s="210"/>
      <c r="M2" s="210"/>
      <c r="N2" s="210"/>
      <c r="O2" s="210"/>
      <c r="P2" s="210"/>
      <c r="Q2" s="210"/>
      <c r="R2" s="210"/>
    </row>
    <row r="3" spans="1:18">
      <c r="A3" s="210"/>
      <c r="B3" s="356" t="s">
        <v>4</v>
      </c>
      <c r="C3" s="318">
        <f>+Scenarios!B24</f>
        <v>0</v>
      </c>
      <c r="D3" s="85">
        <f>+Scenarios!C24</f>
        <v>-3.2445168309994665E-3</v>
      </c>
      <c r="E3" s="85">
        <f>+Scenarios!D24</f>
        <v>-1.0761362748873404E-3</v>
      </c>
      <c r="F3" s="85">
        <f>+Scenarios!E24</f>
        <v>-3.4179872754884488E-3</v>
      </c>
      <c r="G3" s="85">
        <f>+Scenarios!F24</f>
        <v>-2.5720358328627513E-2</v>
      </c>
      <c r="H3" s="85">
        <f>+Scenarios!G24</f>
        <v>-0.26287574291051119</v>
      </c>
      <c r="I3" s="85">
        <f>+Scenarios!H24</f>
        <v>-3.2441343963196256E-3</v>
      </c>
      <c r="J3" s="318">
        <f>Scenarios!D4</f>
        <v>4.345014939985381E-2</v>
      </c>
      <c r="L3" s="210"/>
      <c r="M3" s="210"/>
      <c r="N3" s="210"/>
      <c r="O3" s="210"/>
      <c r="P3" s="210"/>
      <c r="Q3" s="210"/>
      <c r="R3" s="210"/>
    </row>
    <row r="4" spans="1:18" ht="15.75">
      <c r="A4" s="210"/>
      <c r="B4" s="356" t="s">
        <v>5</v>
      </c>
      <c r="C4" s="318">
        <f>+Scenarios!B25</f>
        <v>0.03</v>
      </c>
      <c r="D4" s="85">
        <f>+Scenarios!C25</f>
        <v>3.2492969125133414E-2</v>
      </c>
      <c r="E4" s="85">
        <f>+Scenarios!D25</f>
        <v>-8.65324500372157E-2</v>
      </c>
      <c r="F4" s="85">
        <f>+Scenarios!E25</f>
        <v>5.1526244290784291E-2</v>
      </c>
      <c r="G4" s="85">
        <f>+Scenarios!F25</f>
        <v>-0.43934344866388231</v>
      </c>
      <c r="H4" s="85">
        <f>+Scenarios!G25</f>
        <v>-0.41627425662388229</v>
      </c>
      <c r="I4" s="85">
        <f>+Scenarios!H25</f>
        <v>0.27529934429078429</v>
      </c>
      <c r="J4" s="318">
        <f>Scenarios!D5</f>
        <v>0.15853561014014847</v>
      </c>
      <c r="L4" s="210"/>
      <c r="M4" s="345" t="s">
        <v>131</v>
      </c>
      <c r="N4" s="346" t="s">
        <v>132</v>
      </c>
      <c r="O4" s="346" t="s">
        <v>91</v>
      </c>
      <c r="P4" s="346" t="s">
        <v>92</v>
      </c>
      <c r="Q4" s="346" t="s">
        <v>133</v>
      </c>
      <c r="R4" s="347" t="s">
        <v>145</v>
      </c>
    </row>
    <row r="5" spans="1:18" ht="15.75">
      <c r="A5" s="210"/>
      <c r="B5" s="356" t="s">
        <v>6</v>
      </c>
      <c r="C5" s="318">
        <f>+Scenarios!B26</f>
        <v>3.1398195419985959E-2</v>
      </c>
      <c r="D5" s="85">
        <f>+Scenarios!C26</f>
        <v>1.45681608513176E-2</v>
      </c>
      <c r="E5" s="85">
        <f>+Scenarios!D26</f>
        <v>-2.1111513867647543E-2</v>
      </c>
      <c r="F5" s="85">
        <f>+Scenarios!E26</f>
        <v>3.2357333960853253E-3</v>
      </c>
      <c r="G5" s="85">
        <f>+Scenarios!F26</f>
        <v>-0.41802644813429485</v>
      </c>
      <c r="H5" s="85">
        <f>+Scenarios!G26</f>
        <v>-0.17149574156312622</v>
      </c>
      <c r="I5" s="85">
        <f>+Scenarios!H26</f>
        <v>0.25817653707968463</v>
      </c>
      <c r="J5" s="318">
        <f>Scenarios!D6</f>
        <v>0.16217253275473525</v>
      </c>
      <c r="L5" s="210"/>
      <c r="M5" s="348"/>
      <c r="N5" s="349"/>
      <c r="O5" s="349"/>
      <c r="P5" s="349"/>
      <c r="Q5" s="349"/>
      <c r="R5" s="350"/>
    </row>
    <row r="6" spans="1:18" ht="15.75">
      <c r="A6" s="210"/>
      <c r="B6" s="356" t="s">
        <v>7</v>
      </c>
      <c r="C6" s="318">
        <f>+Scenarios!B27</f>
        <v>5.6592124614748239E-2</v>
      </c>
      <c r="D6" s="85">
        <f>+Scenarios!C27</f>
        <v>-1.272492445230269E-2</v>
      </c>
      <c r="E6" s="85">
        <f>+Scenarios!D27</f>
        <v>-0.19311368459773193</v>
      </c>
      <c r="F6" s="85">
        <f>+Scenarios!E27</f>
        <v>4.3944352615336905E-2</v>
      </c>
      <c r="G6" s="85">
        <f>+Scenarios!F27</f>
        <v>-0.5992014650452413</v>
      </c>
      <c r="H6" s="85">
        <f>+Scenarios!G27</f>
        <v>-0.47126055414190038</v>
      </c>
      <c r="I6" s="85">
        <f>+Scenarios!H27</f>
        <v>0.40935864013329615</v>
      </c>
      <c r="J6" s="318">
        <f>Scenarios!D7</f>
        <v>0.28718972670468956</v>
      </c>
      <c r="L6" s="210"/>
      <c r="M6" s="343" t="s">
        <v>4</v>
      </c>
      <c r="N6" s="338">
        <f>+'Control panel'!$B3</f>
        <v>0.55552002657163746</v>
      </c>
      <c r="O6" s="338">
        <f>+'Control panel'!$C3</f>
        <v>0</v>
      </c>
      <c r="P6" s="338">
        <f>+'Control panel'!$D3</f>
        <v>1</v>
      </c>
      <c r="Q6" s="338">
        <f>+'Control panel'!$F3</f>
        <v>0.5749562087748783</v>
      </c>
      <c r="R6" s="340">
        <f t="shared" ref="R6:R13" si="0">+Q6-N6</f>
        <v>1.9436182203240837E-2</v>
      </c>
    </row>
    <row r="7" spans="1:18" ht="15.75">
      <c r="A7" s="210"/>
      <c r="B7" s="356" t="s">
        <v>8</v>
      </c>
      <c r="C7" s="318">
        <f>+Scenarios!B28</f>
        <v>5.6149706770970371E-2</v>
      </c>
      <c r="D7" s="85">
        <f>+Scenarios!C28</f>
        <v>5.7893485302571407E-2</v>
      </c>
      <c r="E7" s="85">
        <f>+Scenarios!D28</f>
        <v>-6.9261756645690273E-2</v>
      </c>
      <c r="F7" s="85">
        <f>+Scenarios!E28</f>
        <v>7.474963400472559E-2</v>
      </c>
      <c r="G7" s="85">
        <f>+Scenarios!F28</f>
        <v>-0.42661422498990775</v>
      </c>
      <c r="H7" s="85">
        <f>+Scenarios!G28</f>
        <v>-0.26558788944909251</v>
      </c>
      <c r="I7" s="85">
        <f>+Scenarios!H28</f>
        <v>0.37672139820686834</v>
      </c>
      <c r="J7" s="318">
        <f>Scenarios!D8</f>
        <v>0.29616397669669142</v>
      </c>
      <c r="L7" s="210"/>
      <c r="M7" s="343" t="s">
        <v>5</v>
      </c>
      <c r="N7" s="338">
        <f>+'Control panel'!$B4</f>
        <v>9.7772401711769694E-2</v>
      </c>
      <c r="O7" s="338">
        <f>+'Control panel'!$C4</f>
        <v>0</v>
      </c>
      <c r="P7" s="338">
        <f>+'Control panel'!$D4</f>
        <v>1</v>
      </c>
      <c r="Q7" s="338">
        <f>+'Control panel'!$F4</f>
        <v>0.18662957132386238</v>
      </c>
      <c r="R7" s="340">
        <f t="shared" si="0"/>
        <v>8.8857169612092682E-2</v>
      </c>
    </row>
    <row r="8" spans="1:18" ht="15.75">
      <c r="A8" s="210"/>
      <c r="B8" s="356" t="s">
        <v>9</v>
      </c>
      <c r="C8" s="318">
        <f>+Scenarios!B29</f>
        <v>5.16958277280853E-2</v>
      </c>
      <c r="D8" s="85">
        <f>+Scenarios!C29</f>
        <v>7.1858480605475325E-2</v>
      </c>
      <c r="E8" s="85">
        <f>+Scenarios!D29</f>
        <v>1.202667991596415E-2</v>
      </c>
      <c r="F8" s="85">
        <f>+Scenarios!E29</f>
        <v>8.5249207175964209E-2</v>
      </c>
      <c r="G8" s="85">
        <f>+Scenarios!F29</f>
        <v>-0.52128297967070236</v>
      </c>
      <c r="H8" s="85">
        <f>+Scenarios!G29</f>
        <v>-0.54077311463070243</v>
      </c>
      <c r="I8" s="85">
        <f>+Scenarios!H29</f>
        <v>0.621322616702631</v>
      </c>
      <c r="J8" s="318">
        <f>Scenarios!D9</f>
        <v>0.32648216646211403</v>
      </c>
      <c r="L8" s="210"/>
      <c r="M8" s="343" t="s">
        <v>6</v>
      </c>
      <c r="N8" s="338">
        <f>+'Control panel'!$B5</f>
        <v>9.4763191533410202E-2</v>
      </c>
      <c r="O8" s="338">
        <f>+'Control panel'!$C5</f>
        <v>0</v>
      </c>
      <c r="P8" s="338">
        <f>+'Control panel'!$D5</f>
        <v>1</v>
      </c>
      <c r="Q8" s="338">
        <f>+'Control panel'!$F5</f>
        <v>1.4936469358747012E-2</v>
      </c>
      <c r="R8" s="341">
        <f t="shared" si="0"/>
        <v>-7.9826722174663189E-2</v>
      </c>
    </row>
    <row r="9" spans="1:18" ht="15.75">
      <c r="A9" s="210"/>
      <c r="B9" s="356" t="s">
        <v>10</v>
      </c>
      <c r="C9" s="318">
        <f>+Scenarios!B30</f>
        <v>2.8296106893951258E-2</v>
      </c>
      <c r="D9" s="85">
        <f>+Scenarios!C30</f>
        <v>1.8730269708989476E-2</v>
      </c>
      <c r="E9" s="85">
        <f>+Scenarios!D30</f>
        <v>-4.6790508294452839E-2</v>
      </c>
      <c r="F9" s="85">
        <f>+Scenarios!E30</f>
        <v>1.8215216611987023E-2</v>
      </c>
      <c r="G9" s="85">
        <f>+Scenarios!F30</f>
        <v>-0.25630468560846492</v>
      </c>
      <c r="H9" s="85">
        <f>+Scenarios!G30</f>
        <v>-6.931471876793301E-3</v>
      </c>
      <c r="I9" s="85">
        <f>+Scenarios!H30</f>
        <v>0.28021842301080391</v>
      </c>
      <c r="J9" s="318">
        <f>Scenarios!D10</f>
        <v>0.16076897495152093</v>
      </c>
      <c r="L9" s="210"/>
      <c r="M9" s="343" t="s">
        <v>7</v>
      </c>
      <c r="N9" s="338">
        <f>+'Control panel'!$B6</f>
        <v>0.10281340879516217</v>
      </c>
      <c r="O9" s="338">
        <f>+'Control panel'!$C6</f>
        <v>0</v>
      </c>
      <c r="P9" s="338">
        <f>+'Control panel'!$D6</f>
        <v>1</v>
      </c>
      <c r="Q9" s="338">
        <f>+'Control panel'!$F6</f>
        <v>1.4328809728656456E-3</v>
      </c>
      <c r="R9" s="341">
        <f t="shared" si="0"/>
        <v>-0.10138052782229652</v>
      </c>
    </row>
    <row r="10" spans="1:18" ht="15.75">
      <c r="A10" s="210"/>
      <c r="B10" s="357" t="s">
        <v>11</v>
      </c>
      <c r="C10" s="319">
        <f>+Scenarios!B31</f>
        <v>3.9623116873055711E-2</v>
      </c>
      <c r="D10" s="309">
        <f>+Scenarios!C31</f>
        <v>-5.9825766089863959E-3</v>
      </c>
      <c r="E10" s="309">
        <f>+Scenarios!D31</f>
        <v>-0.13956067047136589</v>
      </c>
      <c r="F10" s="309">
        <f>+Scenarios!E31</f>
        <v>2.7964399001126676E-2</v>
      </c>
      <c r="G10" s="309">
        <f>+Scenarios!F31</f>
        <v>-0.45200242221105646</v>
      </c>
      <c r="H10" s="309">
        <f>+Scenarios!G31</f>
        <v>-0.48031312669988807</v>
      </c>
      <c r="I10" s="309">
        <f>+Scenarios!H31</f>
        <v>0.41038049782760322</v>
      </c>
      <c r="J10" s="319">
        <f>Scenarios!D11</f>
        <v>0.20064050365322861</v>
      </c>
      <c r="L10" s="210"/>
      <c r="M10" s="343" t="s">
        <v>8</v>
      </c>
      <c r="N10" s="338">
        <f>+'Control panel'!$B7</f>
        <v>5.1014363077869621E-2</v>
      </c>
      <c r="O10" s="338">
        <f>+'Control panel'!$C7</f>
        <v>0</v>
      </c>
      <c r="P10" s="338">
        <f>+'Control panel'!$D7</f>
        <v>1</v>
      </c>
      <c r="Q10" s="338">
        <f>+'Control panel'!$F7</f>
        <v>5.2846761358585265E-2</v>
      </c>
      <c r="R10" s="340">
        <f t="shared" si="0"/>
        <v>1.8323982807156441E-3</v>
      </c>
    </row>
    <row r="11" spans="1:18" ht="15.75">
      <c r="A11" s="210"/>
      <c r="B11" s="84"/>
      <c r="C11" s="84"/>
      <c r="D11" s="84"/>
      <c r="E11" s="84"/>
      <c r="F11" s="84"/>
      <c r="G11" s="84"/>
      <c r="H11" s="84"/>
      <c r="I11" s="84"/>
      <c r="J11" s="84"/>
      <c r="L11" s="210"/>
      <c r="M11" s="343" t="s">
        <v>9</v>
      </c>
      <c r="N11" s="338">
        <f>+'Control panel'!$B8</f>
        <v>2.0731266317763185E-2</v>
      </c>
      <c r="O11" s="338">
        <f>+'Control panel'!$C8</f>
        <v>0</v>
      </c>
      <c r="P11" s="338">
        <f>+'Control panel'!$D8</f>
        <v>1</v>
      </c>
      <c r="Q11" s="338">
        <f>+'Control panel'!$F8</f>
        <v>0.13485822296871094</v>
      </c>
      <c r="R11" s="341">
        <f t="shared" si="0"/>
        <v>0.11412695665094776</v>
      </c>
    </row>
    <row r="12" spans="1:18" ht="15.75">
      <c r="A12" s="210"/>
      <c r="B12" s="320" t="s">
        <v>123</v>
      </c>
      <c r="C12" s="325">
        <f>+Scenarios!B33</f>
        <v>0</v>
      </c>
      <c r="D12" s="311">
        <f>+Scenarios!C33</f>
        <v>1</v>
      </c>
      <c r="E12" s="311">
        <f>+Scenarios!D33</f>
        <v>0</v>
      </c>
      <c r="F12" s="311">
        <f>+Scenarios!E33</f>
        <v>0</v>
      </c>
      <c r="G12" s="311">
        <f>+Scenarios!F33</f>
        <v>0</v>
      </c>
      <c r="H12" s="311">
        <f>+Scenarios!G33</f>
        <v>0</v>
      </c>
      <c r="I12" s="326">
        <f>+Scenarios!H33</f>
        <v>0</v>
      </c>
      <c r="J12" s="327">
        <f>+Scenarios!I33</f>
        <v>1</v>
      </c>
      <c r="L12" s="210"/>
      <c r="M12" s="343" t="s">
        <v>10</v>
      </c>
      <c r="N12" s="338">
        <f>+'Control panel'!$B9</f>
        <v>3.0634868515694261E-2</v>
      </c>
      <c r="O12" s="338">
        <f>+'Control panel'!$C9</f>
        <v>0</v>
      </c>
      <c r="P12" s="338">
        <f>+'Control panel'!$D9</f>
        <v>1</v>
      </c>
      <c r="Q12" s="338">
        <f>+'Control panel'!$F9</f>
        <v>3.0875885888498746E-2</v>
      </c>
      <c r="R12" s="340">
        <f t="shared" si="0"/>
        <v>2.4101737280448482E-4</v>
      </c>
    </row>
    <row r="13" spans="1:18" ht="15.75">
      <c r="A13" s="210"/>
      <c r="B13" s="84"/>
      <c r="C13" s="84"/>
      <c r="D13" s="84"/>
      <c r="E13" s="84"/>
      <c r="F13" s="84"/>
      <c r="G13" s="84"/>
      <c r="H13" s="84"/>
      <c r="I13" s="84"/>
      <c r="J13" s="84"/>
      <c r="L13" s="210"/>
      <c r="M13" s="343" t="s">
        <v>11</v>
      </c>
      <c r="N13" s="338">
        <f>+'Control panel'!$B10</f>
        <v>4.6750473476693526E-2</v>
      </c>
      <c r="O13" s="338">
        <f>+'Control panel'!$C10</f>
        <v>0</v>
      </c>
      <c r="P13" s="338">
        <f>+'Control panel'!$D10</f>
        <v>1</v>
      </c>
      <c r="Q13" s="338">
        <f>+'Control panel'!$F10</f>
        <v>3.4639993538513945E-3</v>
      </c>
      <c r="R13" s="340">
        <f t="shared" si="0"/>
        <v>-4.3286474122842131E-2</v>
      </c>
    </row>
    <row r="14" spans="1:18" ht="15.75">
      <c r="A14" s="210"/>
      <c r="B14" s="320" t="s">
        <v>129</v>
      </c>
      <c r="C14" s="325">
        <f>+Scenarios!B35</f>
        <v>0</v>
      </c>
      <c r="D14" s="312">
        <f>+Scenarios!C35</f>
        <v>1.7705837618820958E-2</v>
      </c>
      <c r="E14" s="312">
        <f>+Scenarios!D35</f>
        <v>-2.1326785003195452E-2</v>
      </c>
      <c r="F14" s="312">
        <f>+Scenarios!E35</f>
        <v>2.3868537606561265E-2</v>
      </c>
      <c r="G14" s="312">
        <f>+Scenarios!F35</f>
        <v>-0.20620882957938494</v>
      </c>
      <c r="H14" s="312">
        <f>+Scenarios!G35</f>
        <v>-0.32090890853692705</v>
      </c>
      <c r="I14" s="313">
        <f>+Scenarios!H35</f>
        <v>0.16772909117977058</v>
      </c>
      <c r="J14" s="321">
        <f>+Scenarios!I35</f>
        <v>1.7705837618820958E-2</v>
      </c>
      <c r="L14" s="210"/>
      <c r="M14" s="344"/>
      <c r="N14" s="339"/>
      <c r="O14" s="339"/>
      <c r="P14" s="339"/>
      <c r="Q14" s="339"/>
      <c r="R14" s="342"/>
    </row>
    <row r="15" spans="1:18">
      <c r="A15" s="210"/>
      <c r="B15" s="210"/>
      <c r="C15" s="210"/>
      <c r="D15" s="210"/>
      <c r="E15" s="210"/>
      <c r="F15" s="210"/>
      <c r="G15" s="210"/>
      <c r="H15" s="210"/>
      <c r="I15" s="210"/>
      <c r="J15" s="210"/>
      <c r="L15" s="210"/>
      <c r="M15" s="210"/>
      <c r="N15" s="210"/>
      <c r="O15" s="210"/>
      <c r="P15" s="210"/>
      <c r="Q15" s="210"/>
      <c r="R15" s="210"/>
    </row>
    <row r="16" spans="1:18" ht="6.75" customHeight="1">
      <c r="A16" s="210"/>
      <c r="B16" s="210"/>
      <c r="C16" s="210"/>
      <c r="D16" s="210"/>
      <c r="E16" s="210"/>
      <c r="F16" s="210"/>
      <c r="G16" s="210"/>
      <c r="H16" s="210"/>
      <c r="I16" s="210"/>
      <c r="J16" s="210"/>
      <c r="L16" s="210"/>
      <c r="M16" s="210"/>
      <c r="N16" s="210"/>
      <c r="O16" s="210"/>
      <c r="P16" s="210"/>
      <c r="Q16" s="210"/>
      <c r="R16" s="210"/>
    </row>
    <row r="17" spans="1:18">
      <c r="A17" s="210"/>
      <c r="B17" s="210"/>
      <c r="C17" s="210"/>
      <c r="D17" s="210"/>
      <c r="E17" s="210"/>
      <c r="F17" s="210"/>
      <c r="G17" s="210"/>
      <c r="H17" s="210"/>
      <c r="I17" s="210"/>
      <c r="J17" s="210"/>
      <c r="L17" s="210"/>
      <c r="M17" s="210"/>
      <c r="N17" s="210"/>
      <c r="O17" s="210"/>
      <c r="P17" s="210"/>
      <c r="Q17" s="210"/>
      <c r="R17" s="210"/>
    </row>
    <row r="18" spans="1:18" ht="4.5" customHeight="1">
      <c r="A18" s="210"/>
      <c r="B18" s="210"/>
      <c r="C18" s="210"/>
      <c r="D18" s="210"/>
      <c r="E18" s="210"/>
      <c r="F18" s="210"/>
      <c r="G18" s="210"/>
      <c r="H18" s="210"/>
      <c r="I18" s="210"/>
      <c r="J18" s="210"/>
      <c r="L18" s="210"/>
      <c r="M18" s="210"/>
      <c r="N18" s="210"/>
      <c r="O18" s="210"/>
      <c r="P18" s="210"/>
      <c r="Q18" s="210"/>
      <c r="R18" s="210"/>
    </row>
    <row r="19" spans="1:18">
      <c r="A19" s="210"/>
      <c r="B19" s="355" t="s">
        <v>101</v>
      </c>
      <c r="C19" s="317" t="s">
        <v>70</v>
      </c>
      <c r="D19" s="322" t="s">
        <v>112</v>
      </c>
      <c r="E19" s="306" t="s">
        <v>147</v>
      </c>
      <c r="F19" s="306" t="s">
        <v>148</v>
      </c>
      <c r="G19" s="306" t="s">
        <v>113</v>
      </c>
      <c r="H19" s="306" t="s">
        <v>114</v>
      </c>
      <c r="I19" s="306" t="s">
        <v>128</v>
      </c>
      <c r="J19" s="307" t="s">
        <v>146</v>
      </c>
      <c r="L19" s="210"/>
      <c r="M19" s="210"/>
      <c r="N19" s="210"/>
      <c r="O19" s="210"/>
      <c r="P19" s="210"/>
      <c r="Q19" s="210"/>
      <c r="R19" s="210"/>
    </row>
    <row r="20" spans="1:18">
      <c r="A20" s="210"/>
      <c r="B20" s="356" t="s">
        <v>4</v>
      </c>
      <c r="C20" s="318">
        <f>'Samenvatting mixen'!B4</f>
        <v>0.55136924712091062</v>
      </c>
      <c r="D20" s="323">
        <f>'Samenvatting mixen'!B15</f>
        <v>0.63884131311996284</v>
      </c>
      <c r="E20" s="85">
        <f>'Samenvatting mixen'!B26</f>
        <v>0.78328071561288071</v>
      </c>
      <c r="F20" s="85">
        <f>'Samenvatting mixen'!B37</f>
        <v>0.50224217822971995</v>
      </c>
      <c r="G20" s="85">
        <f>'Samenvatting mixen'!B48</f>
        <v>0.99951772230649738</v>
      </c>
      <c r="H20" s="85">
        <f>'Samenvatting mixen'!B59</f>
        <v>0.91040031831552837</v>
      </c>
      <c r="I20" s="85">
        <f>'Samenvatting mixen'!B70</f>
        <v>0.74210401897635492</v>
      </c>
      <c r="J20" s="308">
        <f>'[4]Control panel'!F3</f>
        <v>0.99933044801477622</v>
      </c>
      <c r="L20" s="210"/>
      <c r="M20" s="210"/>
      <c r="N20" s="210"/>
      <c r="O20" s="210"/>
      <c r="P20" s="210"/>
      <c r="Q20" s="210"/>
      <c r="R20" s="210"/>
    </row>
    <row r="21" spans="1:18">
      <c r="A21" s="210"/>
      <c r="B21" s="356" t="s">
        <v>5</v>
      </c>
      <c r="C21" s="318">
        <f>'Samenvatting mixen'!B5</f>
        <v>8.5390213827363406E-2</v>
      </c>
      <c r="D21" s="323">
        <f>'Samenvatting mixen'!B16</f>
        <v>8.9152415993890524E-2</v>
      </c>
      <c r="E21" s="85">
        <f>'Samenvatting mixen'!B27</f>
        <v>1.9077726566221387E-3</v>
      </c>
      <c r="F21" s="85">
        <f>'Samenvatting mixen'!B38</f>
        <v>0.35478962257899305</v>
      </c>
      <c r="G21" s="85">
        <f>'Samenvatting mixen'!B49</f>
        <v>6.5857399035425149E-5</v>
      </c>
      <c r="H21" s="85">
        <f>'Samenvatting mixen'!B60</f>
        <v>2.4245520146417212E-4</v>
      </c>
      <c r="I21" s="85">
        <f>'Samenvatting mixen'!B71</f>
        <v>1.8694595409361223E-2</v>
      </c>
      <c r="J21" s="308">
        <f>'[4]Control panel'!F4</f>
        <v>5.9498856944343162E-5</v>
      </c>
      <c r="L21" s="210"/>
      <c r="M21" s="210"/>
      <c r="N21" s="210"/>
      <c r="O21" s="210"/>
      <c r="P21" s="210"/>
      <c r="Q21" s="210"/>
      <c r="R21" s="210"/>
    </row>
    <row r="22" spans="1:18">
      <c r="A22" s="210"/>
      <c r="B22" s="356" t="s">
        <v>6</v>
      </c>
      <c r="C22" s="318">
        <f>'Samenvatting mixen'!B6</f>
        <v>8.1005418334623963E-2</v>
      </c>
      <c r="D22" s="323">
        <f>'Samenvatting mixen'!B17</f>
        <v>1.6180596839274166E-2</v>
      </c>
      <c r="E22" s="85">
        <f>'Samenvatting mixen'!B28</f>
        <v>1.3595195293279591E-2</v>
      </c>
      <c r="F22" s="85">
        <f>'Samenvatting mixen'!B39</f>
        <v>7.5078569998237024E-3</v>
      </c>
      <c r="G22" s="85">
        <f>'Samenvatting mixen'!B50</f>
        <v>6.6007038093652913E-5</v>
      </c>
      <c r="H22" s="85">
        <f>'Samenvatting mixen'!B61</f>
        <v>9.6966778017564003E-4</v>
      </c>
      <c r="I22" s="85">
        <f>'Samenvatting mixen'!B72</f>
        <v>8.9274739671457801E-3</v>
      </c>
      <c r="J22" s="308">
        <f>'[4]Control panel'!F5</f>
        <v>8.6775571303158883E-5</v>
      </c>
      <c r="L22" s="210"/>
      <c r="M22" s="210"/>
      <c r="N22" s="210"/>
      <c r="O22" s="210"/>
      <c r="P22" s="210"/>
      <c r="Q22" s="210"/>
      <c r="R22" s="210"/>
    </row>
    <row r="23" spans="1:18">
      <c r="A23" s="210"/>
      <c r="B23" s="356" t="s">
        <v>7</v>
      </c>
      <c r="C23" s="318">
        <f>'Samenvatting mixen'!B7</f>
        <v>8.7140469492885175E-2</v>
      </c>
      <c r="D23" s="323">
        <f>'Samenvatting mixen'!B18</f>
        <v>1.6946947243372027E-3</v>
      </c>
      <c r="E23" s="85">
        <f>'Samenvatting mixen'!B29</f>
        <v>3.2570713579514895E-4</v>
      </c>
      <c r="F23" s="85">
        <f>'Samenvatting mixen'!B40</f>
        <v>8.011986515903775E-3</v>
      </c>
      <c r="G23" s="85">
        <f>'Samenvatting mixen'!B51</f>
        <v>3.2821235226595556E-5</v>
      </c>
      <c r="H23" s="85">
        <f>'Samenvatting mixen'!B62</f>
        <v>1.7808289296488317E-4</v>
      </c>
      <c r="I23" s="85">
        <f>'Samenvatting mixen'!B73</f>
        <v>2.8936030398781527E-3</v>
      </c>
      <c r="J23" s="308">
        <f>'[4]Control panel'!F6</f>
        <v>3.3196657987390124E-5</v>
      </c>
      <c r="L23" s="210"/>
      <c r="M23" s="210"/>
      <c r="N23" s="210"/>
      <c r="O23" s="210"/>
      <c r="P23" s="210"/>
      <c r="Q23" s="210"/>
      <c r="R23" s="210"/>
    </row>
    <row r="24" spans="1:18">
      <c r="A24" s="210"/>
      <c r="B24" s="356" t="s">
        <v>8</v>
      </c>
      <c r="C24" s="318">
        <f>'Samenvatting mixen'!B8</f>
        <v>5.4937266403263518E-2</v>
      </c>
      <c r="D24" s="323">
        <f>'Samenvatting mixen'!B19</f>
        <v>2.5254391686127226E-2</v>
      </c>
      <c r="E24" s="85">
        <f>'Samenvatting mixen'!B30</f>
        <v>1.677817707621187E-3</v>
      </c>
      <c r="F24" s="85">
        <f>'Samenvatting mixen'!B41</f>
        <v>3.3884336998753976E-2</v>
      </c>
      <c r="G24" s="85">
        <f>'Samenvatting mixen'!B52</f>
        <v>5.6499982623495601E-5</v>
      </c>
      <c r="H24" s="85">
        <f>'Samenvatting mixen'!B63</f>
        <v>2.564489860338996E-4</v>
      </c>
      <c r="I24" s="85">
        <f>'Samenvatting mixen'!B74</f>
        <v>1.9587393313640106E-3</v>
      </c>
      <c r="J24" s="308">
        <f>'[4]Control panel'!F7</f>
        <v>4.8644439396432552E-5</v>
      </c>
      <c r="L24" s="210"/>
      <c r="M24" s="210"/>
      <c r="N24" s="210"/>
      <c r="O24" s="210"/>
      <c r="P24" s="210"/>
      <c r="Q24" s="210"/>
      <c r="R24" s="210"/>
    </row>
    <row r="25" spans="1:18">
      <c r="A25" s="210"/>
      <c r="B25" s="356" t="s">
        <v>9</v>
      </c>
      <c r="C25" s="318">
        <f>'Samenvatting mixen'!B9</f>
        <v>2.2503673046712587E-2</v>
      </c>
      <c r="D25" s="323">
        <f>'Samenvatting mixen'!B20</f>
        <v>0.19937901187906307</v>
      </c>
      <c r="E25" s="85">
        <f>'Samenvatting mixen'!B31</f>
        <v>0.19346840744270685</v>
      </c>
      <c r="F25" s="85">
        <f>'Samenvatting mixen'!B42</f>
        <v>6.3345782262113653E-2</v>
      </c>
      <c r="G25" s="85">
        <f>'Samenvatting mixen'!B53</f>
        <v>4.1755075717608028E-5</v>
      </c>
      <c r="H25" s="85">
        <f>'Samenvatting mixen'!B64</f>
        <v>1.3266771859855406E-4</v>
      </c>
      <c r="I25" s="85">
        <f>'Samenvatting mixen'!B75</f>
        <v>5.0076100481880492E-2</v>
      </c>
      <c r="J25" s="308">
        <f>'[4]Control panel'!F8</f>
        <v>2.3467442398853234E-4</v>
      </c>
      <c r="L25" s="210"/>
      <c r="M25" s="210"/>
      <c r="N25" s="210"/>
      <c r="O25" s="210"/>
      <c r="P25" s="210"/>
      <c r="Q25" s="210"/>
      <c r="R25" s="210"/>
    </row>
    <row r="26" spans="1:18">
      <c r="A26" s="210"/>
      <c r="B26" s="356" t="s">
        <v>10</v>
      </c>
      <c r="C26" s="318">
        <f>'Samenvatting mixen'!B10</f>
        <v>5.6767380601991033E-2</v>
      </c>
      <c r="D26" s="323">
        <f>'Samenvatting mixen'!B21</f>
        <v>2.549361968294718E-2</v>
      </c>
      <c r="E26" s="85">
        <f>'Samenvatting mixen'!B32</f>
        <v>5.0365343344510854E-3</v>
      </c>
      <c r="F26" s="85">
        <f>'Samenvatting mixen'!B43</f>
        <v>1.8918343350395002E-2</v>
      </c>
      <c r="G26" s="85">
        <f>'Samenvatting mixen'!B54</f>
        <v>1.6800676560255187E-4</v>
      </c>
      <c r="H26" s="85">
        <f>'Samenvatting mixen'!B65</f>
        <v>8.7616171604620083E-2</v>
      </c>
      <c r="I26" s="85">
        <f>'Samenvatting mixen'!B76</f>
        <v>3.237305465508386E-2</v>
      </c>
      <c r="J26" s="308">
        <f>'[4]Control panel'!F9</f>
        <v>1.5994064696340217E-4</v>
      </c>
      <c r="L26" s="210"/>
      <c r="M26" s="210"/>
      <c r="N26" s="210"/>
      <c r="O26" s="210"/>
      <c r="P26" s="210"/>
      <c r="Q26" s="210"/>
      <c r="R26" s="210"/>
    </row>
    <row r="27" spans="1:18">
      <c r="A27" s="210"/>
      <c r="B27" s="357" t="s">
        <v>11</v>
      </c>
      <c r="C27" s="319">
        <f>'Samenvatting mixen'!B11</f>
        <v>6.0886331172249931E-2</v>
      </c>
      <c r="D27" s="324">
        <f>'Samenvatting mixen'!B22</f>
        <v>4.0039560743981373E-3</v>
      </c>
      <c r="E27" s="309">
        <f>'Samenvatting mixen'!B33</f>
        <v>7.0784981664355267E-4</v>
      </c>
      <c r="F27" s="309">
        <f>'Samenvatting mixen'!B44</f>
        <v>1.1299893064296632E-2</v>
      </c>
      <c r="G27" s="309">
        <f>'Samenvatting mixen'!B55</f>
        <v>5.1330197202964345E-5</v>
      </c>
      <c r="H27" s="309">
        <f>'Samenvatting mixen'!B66</f>
        <v>2.041875006144596E-4</v>
      </c>
      <c r="I27" s="309">
        <f>'Samenvatting mixen'!B77</f>
        <v>0.142972414138931</v>
      </c>
      <c r="J27" s="310">
        <f>'[4]Control panel'!F10</f>
        <v>4.6821388640572115E-5</v>
      </c>
      <c r="L27" s="210"/>
      <c r="M27" s="210"/>
      <c r="N27" s="210"/>
      <c r="O27" s="210"/>
      <c r="P27" s="210"/>
      <c r="Q27" s="210"/>
      <c r="R27" s="210"/>
    </row>
    <row r="28" spans="1:18">
      <c r="A28" s="210"/>
      <c r="B28" s="210"/>
      <c r="C28" s="210"/>
      <c r="D28" s="210"/>
      <c r="E28" s="210"/>
      <c r="F28" s="210"/>
      <c r="G28" s="210"/>
      <c r="H28" s="210"/>
      <c r="I28" s="210"/>
      <c r="J28" s="210"/>
      <c r="L28" s="210"/>
      <c r="M28" s="210"/>
      <c r="N28" s="210"/>
      <c r="O28" s="210"/>
      <c r="P28" s="210"/>
      <c r="Q28" s="210"/>
      <c r="R28" s="210"/>
    </row>
    <row r="29" spans="1:18">
      <c r="A29" s="210"/>
      <c r="B29" s="210"/>
      <c r="C29" s="210"/>
      <c r="D29" s="210"/>
      <c r="E29" s="210"/>
      <c r="F29" s="210"/>
      <c r="G29" s="210"/>
      <c r="H29" s="210"/>
      <c r="I29" s="210"/>
      <c r="J29" s="210"/>
      <c r="L29" s="210"/>
      <c r="M29" s="210"/>
      <c r="N29" s="210"/>
      <c r="O29" s="210"/>
      <c r="P29" s="210"/>
      <c r="Q29" s="210"/>
      <c r="R29" s="210"/>
    </row>
    <row r="30" spans="1:18">
      <c r="A30" s="210"/>
      <c r="B30" s="210"/>
      <c r="C30" s="210"/>
      <c r="D30" s="210"/>
      <c r="E30" s="210"/>
      <c r="F30" s="210"/>
      <c r="G30" s="210"/>
      <c r="H30" s="210"/>
      <c r="I30" s="210"/>
      <c r="J30" s="210"/>
      <c r="L30" s="210"/>
      <c r="M30" s="210"/>
      <c r="N30" s="210"/>
      <c r="O30" s="210"/>
      <c r="P30" s="210"/>
      <c r="Q30" s="210"/>
      <c r="R30" s="210"/>
    </row>
    <row r="31" spans="1:18">
      <c r="A31" s="210"/>
      <c r="B31" s="210"/>
      <c r="C31" s="210"/>
      <c r="D31" s="210"/>
      <c r="E31" s="210"/>
      <c r="F31" s="210"/>
      <c r="G31" s="210"/>
      <c r="H31" s="210"/>
      <c r="I31" s="210"/>
      <c r="J31" s="210"/>
      <c r="L31" s="210"/>
      <c r="M31" s="210"/>
      <c r="N31" s="210"/>
      <c r="O31" s="210"/>
      <c r="P31" s="210"/>
      <c r="Q31" s="210"/>
      <c r="R31" s="210"/>
    </row>
    <row r="32" spans="1:18">
      <c r="A32" s="210"/>
      <c r="B32" s="210"/>
      <c r="C32" s="210"/>
      <c r="D32" s="210"/>
      <c r="E32" s="210"/>
      <c r="F32" s="210"/>
      <c r="G32" s="210"/>
      <c r="H32" s="210"/>
      <c r="I32" s="210"/>
      <c r="J32" s="210"/>
      <c r="L32" s="210"/>
      <c r="M32" s="210"/>
      <c r="N32" s="210"/>
      <c r="O32" s="210"/>
      <c r="P32" s="210"/>
      <c r="Q32" s="210"/>
      <c r="R32" s="210"/>
    </row>
    <row r="33" spans="1:18">
      <c r="A33" s="210"/>
      <c r="B33" s="210"/>
      <c r="C33" s="210"/>
      <c r="D33" s="210"/>
      <c r="E33" s="210"/>
      <c r="F33" s="210"/>
      <c r="G33" s="210"/>
      <c r="H33" s="210"/>
      <c r="I33" s="210"/>
      <c r="J33" s="210"/>
      <c r="L33" s="210"/>
      <c r="M33" s="210"/>
      <c r="N33" s="210"/>
      <c r="O33" s="210"/>
      <c r="P33" s="210"/>
      <c r="Q33" s="210"/>
      <c r="R33" s="210"/>
    </row>
    <row r="34" spans="1:18">
      <c r="A34" s="210"/>
      <c r="B34" s="210"/>
      <c r="C34" s="210"/>
      <c r="D34" s="210"/>
      <c r="E34" s="210"/>
      <c r="F34" s="210"/>
      <c r="G34" s="210"/>
      <c r="H34" s="210"/>
      <c r="I34" s="210"/>
      <c r="J34" s="210"/>
      <c r="L34" s="210"/>
      <c r="M34" s="210"/>
      <c r="N34" s="210"/>
      <c r="O34" s="210"/>
      <c r="P34" s="210"/>
      <c r="Q34" s="210"/>
      <c r="R34" s="210"/>
    </row>
    <row r="35" spans="1:18">
      <c r="A35" s="210"/>
      <c r="B35" s="210"/>
      <c r="C35" s="210"/>
      <c r="D35" s="210"/>
      <c r="E35" s="210"/>
      <c r="F35" s="210"/>
      <c r="G35" s="210"/>
      <c r="H35" s="210"/>
      <c r="I35" s="210"/>
      <c r="J35" s="210"/>
      <c r="L35" s="210"/>
      <c r="M35" s="210"/>
      <c r="N35" s="210"/>
      <c r="O35" s="210"/>
      <c r="P35" s="210"/>
      <c r="Q35" s="210"/>
      <c r="R35" s="210"/>
    </row>
    <row r="36" spans="1:18">
      <c r="A36" s="210"/>
      <c r="B36" s="210"/>
      <c r="C36" s="210"/>
      <c r="D36" s="210"/>
      <c r="E36" s="210"/>
      <c r="F36" s="210"/>
      <c r="G36" s="210"/>
      <c r="H36" s="210"/>
      <c r="I36" s="210"/>
      <c r="J36" s="210"/>
      <c r="L36" s="210"/>
      <c r="M36" s="210"/>
      <c r="N36" s="210"/>
      <c r="O36" s="210"/>
      <c r="P36" s="210"/>
      <c r="Q36" s="210"/>
      <c r="R36" s="210"/>
    </row>
    <row r="37" spans="1:18">
      <c r="A37" s="210"/>
      <c r="B37" s="210"/>
      <c r="C37" s="210"/>
      <c r="D37" s="210"/>
      <c r="E37" s="210"/>
      <c r="F37" s="210"/>
      <c r="G37" s="210"/>
      <c r="H37" s="210"/>
      <c r="I37" s="210"/>
      <c r="J37" s="210"/>
      <c r="L37" s="210"/>
      <c r="M37" s="210"/>
      <c r="N37" s="210"/>
      <c r="O37" s="210"/>
      <c r="P37" s="210"/>
      <c r="Q37" s="210"/>
      <c r="R37" s="210"/>
    </row>
    <row r="38" spans="1:18">
      <c r="A38" s="210"/>
      <c r="B38" s="210"/>
      <c r="C38" s="210"/>
      <c r="D38" s="210"/>
      <c r="E38" s="210"/>
      <c r="F38" s="210"/>
      <c r="G38" s="210"/>
      <c r="H38" s="210"/>
      <c r="I38" s="210"/>
      <c r="J38" s="210"/>
      <c r="L38" s="210"/>
      <c r="M38" s="210"/>
      <c r="N38" s="210"/>
      <c r="O38" s="210"/>
      <c r="P38" s="210"/>
      <c r="Q38" s="210"/>
      <c r="R38" s="210"/>
    </row>
    <row r="39" spans="1:18">
      <c r="A39" s="210"/>
      <c r="B39" s="210"/>
      <c r="C39" s="210"/>
      <c r="D39" s="210"/>
      <c r="E39" s="210"/>
      <c r="F39" s="210"/>
      <c r="G39" s="210"/>
      <c r="H39" s="210"/>
      <c r="I39" s="210"/>
      <c r="J39" s="210"/>
      <c r="L39" s="210"/>
      <c r="M39" s="210"/>
      <c r="N39" s="210"/>
      <c r="O39" s="210"/>
      <c r="P39" s="210"/>
      <c r="Q39" s="210"/>
      <c r="R39" s="210"/>
    </row>
    <row r="40" spans="1:18">
      <c r="A40" s="210"/>
      <c r="B40" s="210"/>
      <c r="C40" s="210"/>
      <c r="D40" s="210"/>
      <c r="E40" s="210"/>
      <c r="F40" s="210"/>
      <c r="G40" s="210"/>
      <c r="H40" s="210"/>
      <c r="I40" s="210"/>
      <c r="J40" s="210"/>
      <c r="L40" s="210"/>
      <c r="M40" s="210"/>
      <c r="N40" s="210"/>
      <c r="O40" s="210"/>
      <c r="P40" s="210"/>
      <c r="Q40" s="210"/>
      <c r="R40" s="210"/>
    </row>
    <row r="41" spans="1:18">
      <c r="A41" s="210"/>
      <c r="B41" s="210"/>
      <c r="C41" s="210"/>
      <c r="D41" s="210"/>
      <c r="E41" s="210"/>
      <c r="F41" s="210"/>
      <c r="G41" s="210"/>
      <c r="H41" s="210"/>
      <c r="I41" s="210"/>
      <c r="J41" s="210"/>
      <c r="L41" s="210"/>
      <c r="M41" s="210"/>
      <c r="N41" s="210"/>
      <c r="O41" s="210"/>
      <c r="P41" s="210"/>
      <c r="Q41" s="210"/>
      <c r="R41" s="210"/>
    </row>
    <row r="42" spans="1:18">
      <c r="A42" s="210"/>
      <c r="B42" s="210"/>
      <c r="C42" s="210"/>
      <c r="D42" s="210"/>
      <c r="E42" s="210"/>
      <c r="F42" s="210"/>
      <c r="G42" s="210"/>
      <c r="H42" s="210"/>
      <c r="I42" s="210"/>
      <c r="J42" s="210"/>
      <c r="L42" s="210"/>
      <c r="M42" s="210"/>
      <c r="N42" s="210"/>
      <c r="O42" s="210"/>
      <c r="P42" s="210"/>
      <c r="Q42" s="210"/>
      <c r="R42" s="210"/>
    </row>
    <row r="43" spans="1:18">
      <c r="A43" s="210"/>
      <c r="B43" s="210"/>
      <c r="C43" s="210"/>
      <c r="D43" s="210"/>
      <c r="E43" s="210"/>
      <c r="F43" s="210"/>
      <c r="G43" s="210"/>
      <c r="H43" s="210"/>
      <c r="I43" s="210"/>
      <c r="J43" s="210"/>
      <c r="L43" s="210"/>
      <c r="M43" s="210"/>
      <c r="N43" s="210"/>
      <c r="O43" s="210"/>
      <c r="P43" s="210"/>
      <c r="Q43" s="210"/>
      <c r="R43" s="210"/>
    </row>
    <row r="44" spans="1:18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L44" s="210"/>
      <c r="M44" s="210"/>
      <c r="N44" s="210"/>
      <c r="O44" s="210"/>
      <c r="P44" s="210"/>
      <c r="Q44" s="210"/>
      <c r="R44" s="210"/>
    </row>
    <row r="45" spans="1:18">
      <c r="A45" s="210"/>
      <c r="B45" s="210"/>
      <c r="C45" s="210"/>
      <c r="D45" s="210"/>
      <c r="E45" s="210"/>
      <c r="F45" s="210"/>
      <c r="G45" s="210"/>
      <c r="H45" s="210"/>
      <c r="I45" s="210"/>
      <c r="J45" s="210"/>
      <c r="L45" s="210"/>
      <c r="M45" s="210"/>
      <c r="N45" s="210"/>
      <c r="O45" s="210"/>
      <c r="P45" s="210"/>
      <c r="Q45" s="210"/>
      <c r="R45" s="210"/>
    </row>
    <row r="46" spans="1:18">
      <c r="A46" s="210"/>
      <c r="B46" s="210"/>
      <c r="C46" s="210"/>
      <c r="D46" s="210"/>
      <c r="E46" s="210"/>
      <c r="F46" s="210"/>
      <c r="G46" s="210"/>
      <c r="H46" s="210"/>
      <c r="I46" s="210"/>
      <c r="J46" s="210"/>
      <c r="L46" s="210"/>
      <c r="M46" s="210"/>
      <c r="N46" s="210"/>
      <c r="O46" s="210"/>
      <c r="P46" s="210"/>
      <c r="Q46" s="210"/>
      <c r="R46" s="210"/>
    </row>
    <row r="47" spans="1:18">
      <c r="A47" s="210"/>
      <c r="B47" s="210"/>
      <c r="C47" s="210"/>
      <c r="D47" s="210"/>
      <c r="E47" s="210"/>
      <c r="F47" s="210"/>
      <c r="G47" s="210"/>
      <c r="H47" s="210"/>
      <c r="I47" s="210"/>
      <c r="J47" s="210"/>
      <c r="L47" s="210"/>
      <c r="M47" s="210"/>
      <c r="N47" s="210"/>
      <c r="O47" s="210"/>
      <c r="P47" s="210"/>
      <c r="Q47" s="210"/>
      <c r="R47" s="210"/>
    </row>
    <row r="48" spans="1:18">
      <c r="A48" s="210"/>
      <c r="B48" s="210"/>
      <c r="C48" s="387" t="s">
        <v>135</v>
      </c>
      <c r="D48" s="388"/>
      <c r="E48" s="387" t="s">
        <v>134</v>
      </c>
      <c r="F48" s="388"/>
      <c r="G48" s="388"/>
      <c r="H48" s="389"/>
      <c r="I48" s="210"/>
      <c r="J48" s="210"/>
      <c r="L48" s="210"/>
      <c r="M48" s="210"/>
      <c r="N48" s="210"/>
      <c r="O48" s="210"/>
      <c r="P48" s="210"/>
      <c r="Q48" s="210"/>
      <c r="R48" s="210"/>
    </row>
    <row r="49" spans="1:18" ht="51.75">
      <c r="A49" s="210"/>
      <c r="B49" s="314"/>
      <c r="C49" s="328" t="s">
        <v>136</v>
      </c>
      <c r="D49" s="329" t="s">
        <v>137</v>
      </c>
      <c r="E49" s="329"/>
      <c r="F49" s="329"/>
      <c r="G49" s="328" t="s">
        <v>139</v>
      </c>
      <c r="H49" s="329" t="s">
        <v>138</v>
      </c>
      <c r="I49" s="307" t="s">
        <v>140</v>
      </c>
      <c r="J49" s="336" t="s">
        <v>141</v>
      </c>
      <c r="K49" s="336" t="s">
        <v>142</v>
      </c>
      <c r="L49" s="210"/>
      <c r="M49" s="210"/>
      <c r="N49" s="210"/>
      <c r="O49" s="210"/>
      <c r="P49" s="210"/>
      <c r="Q49" s="210"/>
      <c r="R49" s="210"/>
    </row>
    <row r="50" spans="1:18">
      <c r="A50" s="210"/>
      <c r="B50" s="315" t="s">
        <v>4</v>
      </c>
      <c r="C50" s="337">
        <v>4.4499999999999998E-2</v>
      </c>
      <c r="D50" s="337">
        <v>9.3000000000000096E-3</v>
      </c>
      <c r="E50" s="85"/>
      <c r="F50" s="85"/>
      <c r="G50" s="337">
        <v>-8.7300000000000003E-2</v>
      </c>
      <c r="H50" s="337">
        <f>+Scenarios!C24</f>
        <v>-3.2445168309994665E-3</v>
      </c>
      <c r="I50" s="351">
        <v>0.1023</v>
      </c>
      <c r="J50" s="352">
        <f t="shared" ref="J50:J57" si="1">+G50/I50</f>
        <v>-0.85337243401759533</v>
      </c>
      <c r="K50" s="331">
        <f t="shared" ref="K50:K57" si="2">+H50/I50</f>
        <v>-3.1715707047893123E-2</v>
      </c>
      <c r="L50" s="210"/>
      <c r="M50" s="210"/>
      <c r="N50" s="210"/>
      <c r="O50" s="210"/>
      <c r="P50" s="210"/>
      <c r="Q50" s="210"/>
      <c r="R50" s="210"/>
    </row>
    <row r="51" spans="1:18">
      <c r="A51" s="210"/>
      <c r="B51" s="315" t="s">
        <v>5</v>
      </c>
      <c r="C51" s="318">
        <v>8.5371817899603325E-2</v>
      </c>
      <c r="D51" s="318">
        <v>5.6265360838678849E-2</v>
      </c>
      <c r="E51" s="85"/>
      <c r="F51" s="85"/>
      <c r="G51" s="318">
        <v>-4.6468851830414513E-2</v>
      </c>
      <c r="H51" s="318">
        <f>+Scenarios!C25</f>
        <v>3.2492969125133414E-2</v>
      </c>
      <c r="I51" s="318">
        <f t="shared" ref="I51:I57" si="3">+J4</f>
        <v>0.15853561014014847</v>
      </c>
      <c r="J51" s="353">
        <f t="shared" si="1"/>
        <v>-0.29311302230038522</v>
      </c>
      <c r="K51" s="331">
        <f t="shared" si="2"/>
        <v>0.20495691218149042</v>
      </c>
      <c r="L51" s="210"/>
      <c r="M51" s="210"/>
      <c r="N51" s="210"/>
      <c r="O51" s="210"/>
      <c r="P51" s="210"/>
      <c r="Q51" s="210"/>
      <c r="R51" s="210"/>
    </row>
    <row r="52" spans="1:18">
      <c r="A52" s="210"/>
      <c r="B52" s="315" t="s">
        <v>6</v>
      </c>
      <c r="C52" s="318">
        <v>0.14294511515742836</v>
      </c>
      <c r="D52" s="318">
        <v>4.8236186870114238E-2</v>
      </c>
      <c r="E52" s="85"/>
      <c r="F52" s="85"/>
      <c r="G52" s="318">
        <v>1.1104445427410514E-2</v>
      </c>
      <c r="H52" s="318">
        <f>+Scenarios!C26</f>
        <v>1.45681608513176E-2</v>
      </c>
      <c r="I52" s="318">
        <f t="shared" si="3"/>
        <v>0.16217253275473525</v>
      </c>
      <c r="J52" s="353">
        <f t="shared" si="1"/>
        <v>6.8473034482383871E-2</v>
      </c>
      <c r="K52" s="331">
        <f>+H52/I52</f>
        <v>8.9831247029668326E-2</v>
      </c>
      <c r="L52" s="210"/>
      <c r="M52" s="210"/>
      <c r="N52" s="210"/>
      <c r="O52" s="210"/>
      <c r="P52" s="210"/>
      <c r="Q52" s="210"/>
      <c r="R52" s="210"/>
    </row>
    <row r="53" spans="1:18">
      <c r="A53" s="210"/>
      <c r="B53" s="315" t="s">
        <v>7</v>
      </c>
      <c r="C53" s="318">
        <v>7.3688794074914882E-2</v>
      </c>
      <c r="D53" s="318">
        <v>4.4755655663184818E-2</v>
      </c>
      <c r="E53" s="85"/>
      <c r="F53" s="85"/>
      <c r="G53" s="318">
        <v>-5.8151875655102964E-2</v>
      </c>
      <c r="H53" s="318">
        <f>+Scenarios!C27</f>
        <v>-1.272492445230269E-2</v>
      </c>
      <c r="I53" s="318">
        <f t="shared" si="3"/>
        <v>0.28718972670468956</v>
      </c>
      <c r="J53" s="353">
        <f t="shared" si="1"/>
        <v>-0.20248591870731911</v>
      </c>
      <c r="K53" s="331">
        <f>+H53/I53</f>
        <v>-4.4308424950685758E-2</v>
      </c>
      <c r="L53" s="210"/>
      <c r="M53" s="210"/>
      <c r="N53" s="210"/>
      <c r="O53" s="210"/>
      <c r="P53" s="210"/>
      <c r="Q53" s="210"/>
      <c r="R53" s="210"/>
    </row>
    <row r="54" spans="1:18">
      <c r="A54" s="210"/>
      <c r="B54" s="315" t="s">
        <v>8</v>
      </c>
      <c r="C54" s="318">
        <v>8.8200075364801303E-2</v>
      </c>
      <c r="D54" s="318">
        <v>0.11547766137672615</v>
      </c>
      <c r="E54" s="85"/>
      <c r="F54" s="85"/>
      <c r="G54" s="318">
        <v>-4.3640594365216501E-2</v>
      </c>
      <c r="H54" s="318">
        <f>+Scenarios!C28</f>
        <v>5.7893485302571407E-2</v>
      </c>
      <c r="I54" s="318">
        <f t="shared" si="3"/>
        <v>0.29616397669669142</v>
      </c>
      <c r="J54" s="353">
        <f t="shared" si="1"/>
        <v>-0.14735281060164138</v>
      </c>
      <c r="K54" s="331">
        <f t="shared" si="2"/>
        <v>0.19547780911201601</v>
      </c>
      <c r="L54" s="210"/>
      <c r="M54" s="210"/>
      <c r="N54" s="210"/>
      <c r="O54" s="210"/>
      <c r="P54" s="210"/>
      <c r="Q54" s="210"/>
      <c r="R54" s="210"/>
    </row>
    <row r="55" spans="1:18">
      <c r="B55" s="315" t="s">
        <v>9</v>
      </c>
      <c r="C55" s="318">
        <v>9.6125190679341666E-2</v>
      </c>
      <c r="D55" s="318">
        <v>8.8245130245983364E-2</v>
      </c>
      <c r="E55" s="85"/>
      <c r="F55" s="85"/>
      <c r="G55" s="318">
        <v>-3.571547905067618E-2</v>
      </c>
      <c r="H55" s="318">
        <f>+Scenarios!C29</f>
        <v>7.1858480605475325E-2</v>
      </c>
      <c r="I55" s="318">
        <f t="shared" si="3"/>
        <v>0.32648216646211403</v>
      </c>
      <c r="J55" s="353">
        <f t="shared" si="1"/>
        <v>-0.1093948849877554</v>
      </c>
      <c r="K55" s="331">
        <f t="shared" si="2"/>
        <v>0.22009925192595167</v>
      </c>
      <c r="L55" s="210"/>
      <c r="M55" s="210"/>
      <c r="N55" s="210"/>
      <c r="O55" s="210"/>
      <c r="P55" s="210"/>
      <c r="Q55" s="210"/>
      <c r="R55" s="210"/>
    </row>
    <row r="56" spans="1:18">
      <c r="B56" s="315" t="s">
        <v>10</v>
      </c>
      <c r="C56" s="318">
        <v>6.2658557549145399E-2</v>
      </c>
      <c r="D56" s="318">
        <v>3.2952299000522406E-2</v>
      </c>
      <c r="E56" s="85"/>
      <c r="F56" s="85"/>
      <c r="G56" s="318">
        <v>-6.9182112180872446E-2</v>
      </c>
      <c r="H56" s="318">
        <f>+Scenarios!C30</f>
        <v>1.8730269708989476E-2</v>
      </c>
      <c r="I56" s="318">
        <f t="shared" si="3"/>
        <v>0.16076897495152093</v>
      </c>
      <c r="J56" s="353">
        <f t="shared" si="1"/>
        <v>-0.43032004279267166</v>
      </c>
      <c r="K56" s="331">
        <f t="shared" si="2"/>
        <v>0.11650425534303178</v>
      </c>
      <c r="L56" s="210"/>
      <c r="M56" s="210"/>
      <c r="N56" s="210"/>
      <c r="O56" s="210"/>
      <c r="P56" s="210"/>
      <c r="Q56" s="210"/>
      <c r="R56" s="210"/>
    </row>
    <row r="57" spans="1:18">
      <c r="B57" s="316" t="s">
        <v>11</v>
      </c>
      <c r="C57" s="319">
        <v>7.3464510927495008E-2</v>
      </c>
      <c r="D57" s="319">
        <v>3.9406691481015818E-2</v>
      </c>
      <c r="E57" s="309"/>
      <c r="F57" s="309"/>
      <c r="G57" s="319">
        <v>-5.8376158802522837E-2</v>
      </c>
      <c r="H57" s="319">
        <f>+Scenarios!C31</f>
        <v>-5.9825766089863959E-3</v>
      </c>
      <c r="I57" s="319">
        <f t="shared" si="3"/>
        <v>0.20064050365322861</v>
      </c>
      <c r="J57" s="354">
        <f t="shared" si="1"/>
        <v>-0.29094902444730519</v>
      </c>
      <c r="K57" s="334">
        <f t="shared" si="2"/>
        <v>-2.9817392301437873E-2</v>
      </c>
      <c r="L57" s="210"/>
      <c r="M57" s="210"/>
      <c r="N57" s="210"/>
      <c r="O57" s="210"/>
      <c r="P57" s="210"/>
      <c r="Q57" s="210"/>
      <c r="R57" s="210"/>
    </row>
    <row r="58" spans="1:18">
      <c r="B58" s="84"/>
      <c r="C58" s="84"/>
      <c r="D58" s="84"/>
      <c r="E58" s="98"/>
      <c r="F58" s="98"/>
      <c r="G58" s="84"/>
      <c r="H58" s="84"/>
      <c r="I58" s="84"/>
      <c r="J58" s="84"/>
      <c r="L58" s="210"/>
      <c r="M58" s="210"/>
      <c r="N58" s="210"/>
      <c r="O58" s="210"/>
      <c r="P58" s="210"/>
      <c r="Q58" s="210"/>
      <c r="R58" s="210"/>
    </row>
    <row r="59" spans="1:18">
      <c r="B59" s="210"/>
      <c r="C59" s="210"/>
      <c r="D59" s="210"/>
      <c r="E59" s="210"/>
      <c r="F59" s="210"/>
      <c r="G59" s="210"/>
      <c r="H59" s="210"/>
      <c r="I59" s="210"/>
      <c r="J59" s="210"/>
      <c r="L59" s="210"/>
      <c r="M59" s="210"/>
      <c r="N59" s="210"/>
      <c r="O59" s="210"/>
      <c r="P59" s="210"/>
      <c r="Q59" s="210"/>
      <c r="R59" s="210"/>
    </row>
    <row r="60" spans="1:18">
      <c r="B60" s="210"/>
      <c r="C60" s="210"/>
      <c r="D60" s="210"/>
      <c r="E60" s="210"/>
      <c r="F60" s="210"/>
      <c r="G60" s="210"/>
      <c r="H60" s="210"/>
      <c r="I60" s="210"/>
      <c r="J60" s="210"/>
      <c r="L60" s="210"/>
      <c r="M60" s="210"/>
      <c r="N60" s="210"/>
      <c r="O60" s="210"/>
      <c r="P60" s="210"/>
      <c r="Q60" s="210"/>
      <c r="R60" s="210"/>
    </row>
    <row r="61" spans="1:18">
      <c r="B61" s="210"/>
      <c r="C61" s="210"/>
      <c r="D61" s="210"/>
      <c r="E61" s="210"/>
      <c r="F61" s="210"/>
      <c r="G61" s="210"/>
      <c r="H61" s="210"/>
      <c r="I61" s="210"/>
      <c r="J61" s="210"/>
      <c r="L61" s="210"/>
      <c r="M61" s="210"/>
      <c r="N61" s="210"/>
      <c r="O61" s="210"/>
      <c r="P61" s="210"/>
      <c r="Q61" s="210"/>
      <c r="R61" s="210"/>
    </row>
    <row r="62" spans="1:18">
      <c r="B62" s="210"/>
      <c r="C62" s="210"/>
      <c r="D62" s="210"/>
      <c r="E62" s="210"/>
      <c r="F62" s="210"/>
      <c r="G62" s="210"/>
      <c r="H62" s="210"/>
      <c r="I62" s="210"/>
      <c r="J62" s="210"/>
      <c r="L62" s="210"/>
      <c r="M62" s="210"/>
      <c r="N62" s="210"/>
      <c r="O62" s="210"/>
      <c r="P62" s="210"/>
      <c r="Q62" s="210"/>
      <c r="R62" s="210"/>
    </row>
    <row r="63" spans="1:18">
      <c r="B63" s="210"/>
      <c r="C63" s="210"/>
      <c r="D63" s="210"/>
      <c r="E63" s="210"/>
      <c r="F63" s="210"/>
      <c r="G63" s="210"/>
      <c r="H63" s="210"/>
      <c r="I63" s="210"/>
      <c r="J63" s="210"/>
      <c r="L63" s="210"/>
      <c r="M63" s="210"/>
      <c r="N63" s="210"/>
      <c r="O63" s="210"/>
      <c r="P63" s="210"/>
      <c r="Q63" s="210"/>
      <c r="R63" s="210"/>
    </row>
    <row r="64" spans="1:18">
      <c r="B64" s="210"/>
      <c r="C64" s="210"/>
      <c r="D64" s="210"/>
      <c r="E64" s="210"/>
      <c r="F64" s="210"/>
      <c r="G64" s="210"/>
      <c r="H64" s="210"/>
      <c r="I64" s="210"/>
      <c r="J64" s="210"/>
      <c r="L64" s="210"/>
      <c r="M64" s="210"/>
      <c r="N64" s="210"/>
      <c r="O64" s="210"/>
      <c r="P64" s="210"/>
      <c r="Q64" s="210"/>
      <c r="R64" s="210"/>
    </row>
    <row r="65" spans="2:13">
      <c r="B65" s="210"/>
      <c r="C65" s="210"/>
      <c r="D65" s="210"/>
      <c r="E65" s="210"/>
      <c r="F65" s="210"/>
      <c r="G65" s="210"/>
      <c r="H65" s="210"/>
      <c r="I65" s="210"/>
      <c r="J65" s="210"/>
      <c r="L65" s="210"/>
      <c r="M65" s="210"/>
    </row>
    <row r="66" spans="2:13">
      <c r="B66" s="210"/>
      <c r="C66" s="210"/>
      <c r="D66" s="210"/>
      <c r="E66" s="210"/>
      <c r="F66" s="210"/>
      <c r="G66" s="210"/>
      <c r="H66" s="210"/>
      <c r="I66" s="210"/>
      <c r="J66" s="210"/>
      <c r="L66" s="210"/>
      <c r="M66" s="210"/>
    </row>
    <row r="67" spans="2:13">
      <c r="B67" s="210"/>
      <c r="C67" s="210"/>
      <c r="D67" s="210"/>
      <c r="E67" s="210"/>
      <c r="F67" s="210"/>
      <c r="G67" s="210"/>
      <c r="H67" s="210"/>
      <c r="I67" s="210"/>
      <c r="J67" s="210"/>
      <c r="L67" s="210"/>
      <c r="M67" s="210"/>
    </row>
    <row r="68" spans="2:13">
      <c r="B68" s="210"/>
      <c r="C68" s="210"/>
      <c r="D68" s="210"/>
      <c r="E68" s="210"/>
      <c r="F68" s="210"/>
      <c r="G68" s="210"/>
      <c r="H68" s="210"/>
      <c r="I68" s="210"/>
      <c r="J68" s="210"/>
      <c r="L68" s="210"/>
      <c r="M68" s="210"/>
    </row>
    <row r="69" spans="2:13">
      <c r="B69" s="210"/>
      <c r="C69" s="210"/>
      <c r="D69" s="210"/>
      <c r="E69" s="210"/>
      <c r="F69" s="210"/>
      <c r="G69" s="210"/>
      <c r="H69" s="210"/>
      <c r="I69" s="210"/>
      <c r="J69" s="210"/>
      <c r="L69" s="210"/>
      <c r="M69" s="210"/>
    </row>
    <row r="70" spans="2:13">
      <c r="B70" s="210"/>
      <c r="C70" s="210"/>
      <c r="D70" s="210"/>
      <c r="E70" s="210"/>
      <c r="F70" s="210"/>
      <c r="G70" s="210"/>
      <c r="H70" s="210"/>
      <c r="I70" s="210"/>
      <c r="J70" s="210"/>
      <c r="L70" s="210"/>
      <c r="M70" s="210"/>
    </row>
    <row r="71" spans="2:13">
      <c r="B71" s="210"/>
      <c r="C71" s="210"/>
      <c r="D71" s="210"/>
      <c r="E71" s="210"/>
      <c r="F71" s="210"/>
      <c r="G71" s="210"/>
      <c r="H71" s="210"/>
      <c r="I71" s="210"/>
      <c r="J71" s="210"/>
      <c r="L71" s="210"/>
      <c r="M71" s="210"/>
    </row>
    <row r="72" spans="2:13">
      <c r="B72" s="210"/>
      <c r="C72" s="210"/>
      <c r="D72" s="210"/>
      <c r="E72" s="210"/>
      <c r="F72" s="210"/>
      <c r="G72" s="210"/>
      <c r="H72" s="210"/>
      <c r="I72" s="210"/>
      <c r="J72" s="210"/>
      <c r="L72" s="210"/>
      <c r="M72" s="210"/>
    </row>
    <row r="73" spans="2:13">
      <c r="B73" s="210"/>
      <c r="C73" s="210"/>
      <c r="D73" s="210"/>
      <c r="E73" s="210"/>
      <c r="F73" s="210"/>
      <c r="G73" s="210"/>
      <c r="H73" s="210"/>
      <c r="I73" s="210"/>
      <c r="J73" s="210"/>
      <c r="L73" s="210"/>
      <c r="M73" s="210"/>
    </row>
    <row r="74" spans="2:13">
      <c r="B74" s="210"/>
      <c r="C74" s="210"/>
      <c r="D74" s="210"/>
      <c r="E74" s="210"/>
      <c r="F74" s="210"/>
      <c r="G74" s="210"/>
      <c r="H74" s="210"/>
      <c r="I74" s="210"/>
      <c r="J74" s="210"/>
      <c r="L74" s="210"/>
      <c r="M74" s="210"/>
    </row>
    <row r="75" spans="2:13">
      <c r="B75" s="210"/>
      <c r="C75" s="210"/>
      <c r="D75" s="210"/>
      <c r="E75" s="210"/>
      <c r="F75" s="210"/>
      <c r="G75" s="210"/>
      <c r="H75" s="210"/>
      <c r="I75" s="210"/>
      <c r="J75" s="210"/>
      <c r="L75" s="210"/>
      <c r="M75" s="210"/>
    </row>
    <row r="76" spans="2:13">
      <c r="B76" s="210"/>
      <c r="C76" s="210"/>
      <c r="D76" s="210"/>
      <c r="E76" s="210"/>
      <c r="F76" s="210"/>
      <c r="G76" s="210"/>
      <c r="H76" s="210"/>
      <c r="I76" s="210"/>
      <c r="J76" s="210"/>
      <c r="L76" s="210"/>
      <c r="M76" s="210"/>
    </row>
    <row r="77" spans="2:13">
      <c r="B77" s="210"/>
      <c r="C77" s="210"/>
      <c r="D77" s="210"/>
      <c r="E77" s="210"/>
      <c r="F77" s="210"/>
      <c r="G77" s="210"/>
      <c r="H77" s="210"/>
      <c r="I77" s="210"/>
      <c r="J77" s="210"/>
      <c r="L77" s="210"/>
      <c r="M77" s="210"/>
    </row>
    <row r="78" spans="2:13">
      <c r="B78" s="210"/>
      <c r="C78" s="210"/>
      <c r="D78" s="210"/>
      <c r="E78" s="210"/>
      <c r="F78" s="210"/>
      <c r="G78" s="210"/>
      <c r="H78" s="210"/>
      <c r="I78" s="210"/>
      <c r="J78" s="210"/>
      <c r="L78" s="210"/>
      <c r="M78" s="210"/>
    </row>
    <row r="79" spans="2:13">
      <c r="M79" s="210"/>
    </row>
  </sheetData>
  <mergeCells count="2">
    <mergeCell ref="C48:D48"/>
    <mergeCell ref="E48:H48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Control panel</vt:lpstr>
      <vt:lpstr>Scenarios</vt:lpstr>
      <vt:lpstr>Absolute visies</vt:lpstr>
      <vt:lpstr>Restricties</vt:lpstr>
      <vt:lpstr>Optimalisatie</vt:lpstr>
      <vt:lpstr>Samenvatting mixen</vt:lpstr>
      <vt:lpstr>Samenvatting mixen - return</vt:lpstr>
      <vt:lpstr>output IC</vt:lpstr>
      <vt:lpstr>Sheet1</vt:lpstr>
      <vt:lpstr>aan_uit</vt:lpstr>
      <vt:lpstr>k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jjn</cp:lastModifiedBy>
  <cp:lastPrinted>2012-10-17T06:43:27Z</cp:lastPrinted>
  <dcterms:created xsi:type="dcterms:W3CDTF">2012-01-02T14:02:34Z</dcterms:created>
  <dcterms:modified xsi:type="dcterms:W3CDTF">2013-02-15T13:54:57Z</dcterms:modified>
</cp:coreProperties>
</file>