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055" yWindow="-60" windowWidth="14595" windowHeight="12555" activeTab="7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  <externalReference r:id="rId13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H35" i="7"/>
  <c r="G35"/>
  <c r="F35"/>
  <c r="E35"/>
  <c r="D35"/>
  <c r="C35"/>
  <c r="I14" i="11"/>
  <c r="H14"/>
  <c r="G14"/>
  <c r="F14"/>
  <c r="E14"/>
  <c r="D14"/>
  <c r="C3"/>
  <c r="J3"/>
  <c r="C32"/>
  <c r="C4"/>
  <c r="J4"/>
  <c r="C33"/>
  <c r="C5"/>
  <c r="J5"/>
  <c r="C34"/>
  <c r="C6"/>
  <c r="J6"/>
  <c r="C35"/>
  <c r="C7"/>
  <c r="J7"/>
  <c r="C36"/>
  <c r="C8"/>
  <c r="J8"/>
  <c r="C37"/>
  <c r="C9"/>
  <c r="J9"/>
  <c r="C38"/>
  <c r="C10"/>
  <c r="J10"/>
  <c r="C39"/>
  <c r="C41"/>
  <c r="I3"/>
  <c r="I32"/>
  <c r="I4"/>
  <c r="I33"/>
  <c r="I5"/>
  <c r="I34"/>
  <c r="I6"/>
  <c r="I35"/>
  <c r="I7"/>
  <c r="I36"/>
  <c r="I8"/>
  <c r="I37"/>
  <c r="I9"/>
  <c r="I38"/>
  <c r="I10"/>
  <c r="I39"/>
  <c r="I41"/>
  <c r="H3"/>
  <c r="H32"/>
  <c r="H4"/>
  <c r="H33"/>
  <c r="H5"/>
  <c r="H34"/>
  <c r="H6"/>
  <c r="H35"/>
  <c r="H7"/>
  <c r="H36"/>
  <c r="H8"/>
  <c r="H37"/>
  <c r="H9"/>
  <c r="H38"/>
  <c r="H10"/>
  <c r="H39"/>
  <c r="H41"/>
  <c r="G3"/>
  <c r="G32"/>
  <c r="G4"/>
  <c r="G33"/>
  <c r="G5"/>
  <c r="G34"/>
  <c r="G6"/>
  <c r="G35"/>
  <c r="G7"/>
  <c r="G36"/>
  <c r="G8"/>
  <c r="G37"/>
  <c r="G9"/>
  <c r="G38"/>
  <c r="G10"/>
  <c r="G39"/>
  <c r="G41"/>
  <c r="F3"/>
  <c r="F32"/>
  <c r="F4"/>
  <c r="F33"/>
  <c r="F5"/>
  <c r="F34"/>
  <c r="F6"/>
  <c r="F35"/>
  <c r="F7"/>
  <c r="F36"/>
  <c r="F8"/>
  <c r="F37"/>
  <c r="F9"/>
  <c r="F38"/>
  <c r="F10"/>
  <c r="F39"/>
  <c r="F41"/>
  <c r="E3"/>
  <c r="E32"/>
  <c r="E4"/>
  <c r="E33"/>
  <c r="E5"/>
  <c r="E34"/>
  <c r="E6"/>
  <c r="E35"/>
  <c r="E7"/>
  <c r="E36"/>
  <c r="E8"/>
  <c r="E37"/>
  <c r="E9"/>
  <c r="E38"/>
  <c r="E10"/>
  <c r="E39"/>
  <c r="E41"/>
  <c r="D3"/>
  <c r="D32"/>
  <c r="D4"/>
  <c r="D33"/>
  <c r="D5"/>
  <c r="D34"/>
  <c r="D6"/>
  <c r="D35"/>
  <c r="D7"/>
  <c r="D36"/>
  <c r="D8"/>
  <c r="D37"/>
  <c r="D9"/>
  <c r="D38"/>
  <c r="D10"/>
  <c r="D39"/>
  <c r="D41"/>
  <c r="C23" i="1"/>
  <c r="C12"/>
  <c r="C33" i="7"/>
  <c r="E33"/>
  <c r="B31"/>
  <c r="B30"/>
  <c r="B29"/>
  <c r="B28"/>
  <c r="B27"/>
  <c r="B26"/>
  <c r="B25"/>
  <c r="B24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D33" i="7"/>
  <c r="E12" i="11"/>
  <c r="F12"/>
  <c r="F33" i="7"/>
  <c r="G12" i="11"/>
  <c r="J71"/>
  <c r="H71"/>
  <c r="K71"/>
  <c r="I73"/>
  <c r="J73"/>
  <c r="I74"/>
  <c r="I75"/>
  <c r="J75"/>
  <c r="I76"/>
  <c r="I77"/>
  <c r="I78"/>
  <c r="I72"/>
  <c r="J72"/>
  <c r="H75"/>
  <c r="H72"/>
  <c r="H73"/>
  <c r="H74"/>
  <c r="H76"/>
  <c r="H77"/>
  <c r="H78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7" i="11"/>
  <c r="F10" i="9"/>
  <c r="Q11" i="11"/>
  <c r="N11"/>
  <c r="R11"/>
  <c r="F9" i="9"/>
  <c r="Q10" i="11"/>
  <c r="N10"/>
  <c r="R10"/>
  <c r="F8" i="9"/>
  <c r="Q9" i="11"/>
  <c r="N9"/>
  <c r="R9"/>
  <c r="F7" i="9"/>
  <c r="Q8" i="11"/>
  <c r="N8"/>
  <c r="R8"/>
  <c r="F6" i="9"/>
  <c r="Q7" i="11"/>
  <c r="N7"/>
  <c r="R7"/>
  <c r="F5" i="9"/>
  <c r="Q6" i="11"/>
  <c r="N6"/>
  <c r="R6"/>
  <c r="F4" i="9"/>
  <c r="Q5" i="11"/>
  <c r="N5"/>
  <c r="R5"/>
  <c r="F3" i="9"/>
  <c r="Q4" i="11"/>
  <c r="N4"/>
  <c r="R4"/>
  <c r="P11"/>
  <c r="P10"/>
  <c r="P9"/>
  <c r="P8"/>
  <c r="P7"/>
  <c r="P6"/>
  <c r="P5"/>
  <c r="P4"/>
  <c r="O11"/>
  <c r="O10"/>
  <c r="O9"/>
  <c r="O8"/>
  <c r="O6"/>
  <c r="O5"/>
  <c r="O4"/>
  <c r="B35" i="7"/>
  <c r="C14" i="11"/>
  <c r="B33" i="7"/>
  <c r="G33"/>
  <c r="H33"/>
  <c r="I33"/>
  <c r="J12" i="11"/>
  <c r="H12"/>
  <c r="I12"/>
  <c r="D12"/>
  <c r="C12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76" i="11"/>
  <c r="K76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72" i="11"/>
  <c r="H28" i="1"/>
  <c r="F30"/>
  <c r="D32"/>
  <c r="K33"/>
  <c r="J77" i="11"/>
  <c r="K77"/>
  <c r="K78"/>
  <c r="J78"/>
  <c r="K74"/>
  <c r="J74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75" i="11"/>
  <c r="K73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I24" i="7"/>
  <c r="I25"/>
  <c r="I26"/>
  <c r="I27"/>
  <c r="I28"/>
  <c r="I29"/>
  <c r="I30"/>
  <c r="I31"/>
  <c r="I35"/>
  <c r="J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<sst xmlns="http://schemas.openxmlformats.org/spreadsheetml/2006/main" count="451" uniqueCount="151">
  <si>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</si>
  <si>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</si>
  <si>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</si>
  <si>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</si>
  <si>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</si>
  <si>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</si>
  <si>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</si>
  <si>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</si>
  <si>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</si>
  <si>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</si>
  <si>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</si>
  <si>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</si>
  <si>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</si>
  <si>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</si>
  <si>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</si>
  <si>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</si>
  <si>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</si>
  <si>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</si>
  <si>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</si>
  <si>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</si>
  <si>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</si>
  <si>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</si>
  <si>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</si>
  <si>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</si>
  <si>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</si>
  <si>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</si>
  <si>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</si>
  <si>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</si>
  <si>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</si>
  <si>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</si>
  <si>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</si>
  <si>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</si>
  <si>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</si>
  <si>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</si>
  <si>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</si>
  <si>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</si>
  <si>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</si>
  <si>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</si>
  <si>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</si>
  <si>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</si>
  <si>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</si>
  <si>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</si>
  <si>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</si>
  <si>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</si>
  <si>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</si>
  <si>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</si>
  <si>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</si>
  <si>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</si>
  <si>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</si>
  <si>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</si>
  <si>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</si>
  <si>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</si>
  <si>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</si>
  <si>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</si>
  <si>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</si>
  <si>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</si>
  <si>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</si>
  <si>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</si>
  <si>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</si>
  <si>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</si>
  <si>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</si>
  <si>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</si>
  <si>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</si>
  <si>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</si>
  <si>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</si>
  <si>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</si>
  <si>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</si>
  <si>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</si>
  <si>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</si>
  <si>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</si>
  <si>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</si>
  <si>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</si>
  <si>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</si>
  <si>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</si>
  <si>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</si>
  <si>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</si>
  <si>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</si>
  <si>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</si>
  <si>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</si>
  <si>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</si>
  <si>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</si>
  <si>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</si>
  <si>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</si>
  <si>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</si>
  <si>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</si>
  <si>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</si>
  <si>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</si>
  <si>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</si>
  <si>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</si>
  <si>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</si>
  <si>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</si>
  <si>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</si>
  <si>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</si>
  <si>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</si>
  <si>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</si>
  <si>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</si>
  <si>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</si>
  <si>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</si>
  <si>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</si>
  <si>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</si>
  <si>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</si>
  <si>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</si>
  <si>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</si>
  <si>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</si>
  <si>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</si>
  <si>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</si>
  <si>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</si>
  <si>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</si>
  <si>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</si>
  <si>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</si>
  <si>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</si>
  <si>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</si>
  <si>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</si>
  <si>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</si>
  <si>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</si>
  <si>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</si>
  <si>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</si>
  <si>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</si>
  <si>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</si>
  <si>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</si>
  <si>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</si>
  <si>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</si>
  <si>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</si>
  <si>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</si>
  <si>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</si>
  <si>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</si>
  <si>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</si>
  <si>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</si>
  <si>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</si>
  <si>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</si>
  <si>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</si>
  <si>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</si>
  <si>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</si>
  <si>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</si>
  <si>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</si>
  <si>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</si>
  <si>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</si>
  <si>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</si>
  <si>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</si>
  <si>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</si>
  <si>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</si>
  <si>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</si>
  <si>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</si>
  <si>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</si>
  <si>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</si>
  <si>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</si>
  <si>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</si>
  <si>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</si>
  <si>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</si>
  <si>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Information Ratio</t>
  </si>
  <si>
    <t>hoogste IR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</si>
</sst>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7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164" fontId="79" fillId="3" borderId="0" xfId="1" applyNumberFormat="1" applyFont="1" applyFill="1"/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164" fontId="7" fillId="3" borderId="0" xfId="0" applyNumberFormat="1" applyFont="1" applyFill="1"/>
    <xf numFmtId="164" fontId="0" fillId="3" borderId="0" xfId="1" applyNumberFormat="1" applyFont="1" applyFill="1" applyBorder="1"/>
    <xf numFmtId="9" fontId="10" fillId="3" borderId="0" xfId="0" applyNumberFormat="1" applyFont="1" applyFill="1" applyBorder="1" applyAlignment="1">
      <alignment horizontal="center"/>
    </xf>
    <xf numFmtId="10" fontId="10" fillId="3" borderId="0" xfId="0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 textRotation="90"/>
    </xf>
    <xf numFmtId="9" fontId="10" fillId="3" borderId="29" xfId="0" applyNumberFormat="1" applyFont="1" applyFill="1" applyBorder="1" applyAlignment="1">
      <alignment horizontal="center" textRotation="90"/>
    </xf>
    <xf numFmtId="4" fontId="7" fillId="3" borderId="34" xfId="3" applyNumberFormat="1" applyFont="1" applyFill="1" applyBorder="1" applyAlignment="1">
      <alignment horizontal="center"/>
    </xf>
    <xf numFmtId="4" fontId="7" fillId="3" borderId="35" xfId="3" applyNumberFormat="1" applyFont="1" applyFill="1" applyBorder="1" applyAlignment="1">
      <alignment horizontal="center"/>
    </xf>
    <xf numFmtId="4" fontId="7" fillId="3" borderId="36" xfId="3" applyNumberFormat="1" applyFont="1" applyFill="1" applyBorder="1" applyAlignment="1">
      <alignment horizontal="center"/>
    </xf>
    <xf numFmtId="4" fontId="7" fillId="3" borderId="23" xfId="3" applyNumberFormat="1" applyFont="1" applyFill="1" applyBorder="1" applyAlignment="1">
      <alignment horizontal="center"/>
    </xf>
    <xf numFmtId="4" fontId="7" fillId="3" borderId="0" xfId="3" applyNumberFormat="1" applyFont="1" applyFill="1" applyBorder="1" applyAlignment="1">
      <alignment horizontal="center"/>
    </xf>
    <xf numFmtId="4" fontId="7" fillId="3" borderId="31" xfId="3" applyNumberFormat="1" applyFont="1" applyFill="1" applyBorder="1" applyAlignment="1">
      <alignment horizontal="center"/>
    </xf>
    <xf numFmtId="4" fontId="7" fillId="3" borderId="26" xfId="3" applyNumberFormat="1" applyFont="1" applyFill="1" applyBorder="1" applyAlignment="1">
      <alignment horizontal="center"/>
    </xf>
    <xf numFmtId="4" fontId="7" fillId="3" borderId="32" xfId="3" applyNumberFormat="1" applyFont="1" applyFill="1" applyBorder="1" applyAlignment="1">
      <alignment horizontal="center"/>
    </xf>
    <xf numFmtId="4" fontId="7" fillId="3" borderId="33" xfId="3" applyNumberFormat="1" applyFont="1" applyFill="1" applyBorder="1" applyAlignment="1">
      <alignment horizontal="center"/>
    </xf>
    <xf numFmtId="4" fontId="7" fillId="3" borderId="25" xfId="3" applyNumberFormat="1" applyFont="1" applyFill="1" applyBorder="1" applyAlignment="1">
      <alignment horizontal="center"/>
    </xf>
    <xf numFmtId="0" fontId="10" fillId="3" borderId="30" xfId="0" applyFont="1" applyFill="1" applyBorder="1" applyAlignment="1">
      <alignment vertical="top"/>
    </xf>
    <xf numFmtId="10" fontId="80" fillId="3" borderId="4" xfId="0" applyNumberFormat="1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43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73"/>
          <c:w val="0.5562682138416909"/>
          <c:h val="0.69258218413305073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872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319E-4"/>
                  <c:y val="-8.3464566929133954E-2"/>
                </c:manualLayout>
              </c:layout>
              <c:showVal val="1"/>
            </c:dLbl>
            <c:dLbl>
              <c:idx val="5"/>
              <c:layout>
                <c:manualLayout>
                  <c:x val="2.6391177018773297E-2"/>
                  <c:y val="0.1104023014072394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0.5749562087748783</c:v>
                </c:pt>
                <c:pt idx="1">
                  <c:v>0.18662957132386238</c:v>
                </c:pt>
                <c:pt idx="2">
                  <c:v>1.4936469358747012E-2</c:v>
                </c:pt>
                <c:pt idx="3">
                  <c:v>1.4328809728656456E-3</c:v>
                </c:pt>
                <c:pt idx="4">
                  <c:v>5.2846761358585265E-2</c:v>
                </c:pt>
                <c:pt idx="5">
                  <c:v>0.13485822296871094</c:v>
                </c:pt>
                <c:pt idx="6">
                  <c:v>3.0875885888498746E-2</c:v>
                </c:pt>
                <c:pt idx="7">
                  <c:v>3.4639993538513945E-3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23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0.54714806916725012</c:v>
                </c:pt>
                <c:pt idx="1">
                  <c:v>0.12763544493243639</c:v>
                </c:pt>
                <c:pt idx="2">
                  <c:v>5.6802310341193176E-3</c:v>
                </c:pt>
                <c:pt idx="3">
                  <c:v>2.5126859617450768E-4</c:v>
                </c:pt>
                <c:pt idx="4">
                  <c:v>2.6161342967578174E-2</c:v>
                </c:pt>
                <c:pt idx="5">
                  <c:v>0.11370157864389133</c:v>
                </c:pt>
                <c:pt idx="6">
                  <c:v>1.2460701684223623E-2</c:v>
                </c:pt>
                <c:pt idx="7">
                  <c:v>8.1840163442420031E-4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2.7808139607628179E-2</c:v>
                </c:pt>
                <c:pt idx="1">
                  <c:v>5.8994126391425983E-2</c:v>
                </c:pt>
                <c:pt idx="2">
                  <c:v>9.2562383246276945E-3</c:v>
                </c:pt>
                <c:pt idx="3">
                  <c:v>1.1816123766911378E-3</c:v>
                </c:pt>
                <c:pt idx="4">
                  <c:v>2.668541839100709E-2</c:v>
                </c:pt>
                <c:pt idx="5">
                  <c:v>2.1156644324819618E-2</c:v>
                </c:pt>
                <c:pt idx="6">
                  <c:v>1.8415184204275122E-2</c:v>
                </c:pt>
                <c:pt idx="7">
                  <c:v>2.6455977194271944E-3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2.8019349024796303E-2</c:v>
                </c:pt>
                <c:pt idx="1">
                  <c:v>5.3606942102864236E-2</c:v>
                </c:pt>
                <c:pt idx="2">
                  <c:v>6.7364503819415458E-3</c:v>
                </c:pt>
                <c:pt idx="3">
                  <c:v>6.4614732216968147E-4</c:v>
                </c:pt>
                <c:pt idx="4">
                  <c:v>2.3100317565888401E-2</c:v>
                </c:pt>
                <c:pt idx="5">
                  <c:v>2.0825315884248768E-2</c:v>
                </c:pt>
                <c:pt idx="6">
                  <c:v>1.4141635270953294E-2</c:v>
                </c:pt>
                <c:pt idx="7">
                  <c:v>1.499157203524787E-3</c:v>
                </c:pt>
              </c:numCache>
            </c:numRef>
          </c:val>
        </c:ser>
        <c:overlap val="100"/>
        <c:axId val="343623936"/>
        <c:axId val="34366297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43623936"/>
        <c:axId val="343662976"/>
      </c:lineChart>
      <c:catAx>
        <c:axId val="343623936"/>
        <c:scaling>
          <c:orientation val="minMax"/>
        </c:scaling>
        <c:axPos val="b"/>
        <c:tickLblPos val="nextTo"/>
        <c:crossAx val="343662976"/>
        <c:crosses val="autoZero"/>
        <c:auto val="1"/>
        <c:lblAlgn val="ctr"/>
        <c:lblOffset val="100"/>
      </c:catAx>
      <c:valAx>
        <c:axId val="343662976"/>
        <c:scaling>
          <c:orientation val="minMax"/>
        </c:scaling>
        <c:axPos val="l"/>
        <c:majorGridlines/>
        <c:numFmt formatCode="0%" sourceLinked="0"/>
        <c:tickLblPos val="nextTo"/>
        <c:crossAx val="34362393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96312960"/>
        <c:axId val="396314496"/>
      </c:barChart>
      <c:catAx>
        <c:axId val="396312960"/>
        <c:scaling>
          <c:orientation val="minMax"/>
        </c:scaling>
        <c:axPos val="b"/>
        <c:tickLblPos val="nextTo"/>
        <c:crossAx val="396314496"/>
        <c:crosses val="autoZero"/>
        <c:auto val="1"/>
        <c:lblAlgn val="ctr"/>
        <c:lblOffset val="100"/>
      </c:catAx>
      <c:valAx>
        <c:axId val="396314496"/>
        <c:scaling>
          <c:orientation val="minMax"/>
        </c:scaling>
        <c:axPos val="l"/>
        <c:majorGridlines/>
        <c:numFmt formatCode="0.0%" sourceLinked="1"/>
        <c:tickLblPos val="nextTo"/>
        <c:crossAx val="3963129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871"/>
          <c:y val="0.30999086720262059"/>
          <c:w val="0.27290015295627634"/>
          <c:h val="0.50313982945017632"/>
        </c:manualLayout>
      </c:layout>
    </c:legend>
    <c:plotVisOnly val="1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0.28403257460666398</c:v>
                </c:pt>
                <c:pt idx="1">
                  <c:v>9.2786708420521044E-3</c:v>
                </c:pt>
                <c:pt idx="2">
                  <c:v>3.0039866257030597E-4</c:v>
                </c:pt>
                <c:pt idx="3">
                  <c:v>3.8668125810088834E-2</c:v>
                </c:pt>
                <c:pt idx="4">
                  <c:v>0.22428296757374544</c:v>
                </c:pt>
                <c:pt idx="5">
                  <c:v>1.9375499202091338E-2</c:v>
                </c:pt>
                <c:pt idx="6">
                  <c:v>9.774246434712734E-4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0.14294929032261683</c:v>
                </c:pt>
                <c:pt idx="1">
                  <c:v>2.5937319094747856E-2</c:v>
                </c:pt>
                <c:pt idx="2">
                  <c:v>3.1021650728612331E-3</c:v>
                </c:pt>
                <c:pt idx="3">
                  <c:v>8.9651551926705125E-2</c:v>
                </c:pt>
                <c:pt idx="4">
                  <c:v>0.10119054239111891</c:v>
                </c:pt>
                <c:pt idx="5">
                  <c:v>5.2998775686103367E-2</c:v>
                </c:pt>
                <c:pt idx="6">
                  <c:v>7.254694165162643E-3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0.15217448721705507</c:v>
                </c:pt>
                <c:pt idx="1">
                  <c:v>2.7095064640558081E-2</c:v>
                </c:pt>
                <c:pt idx="2">
                  <c:v>3.4896248327981505E-3</c:v>
                </c:pt>
                <c:pt idx="3">
                  <c:v>8.8051160103802345E-2</c:v>
                </c:pt>
                <c:pt idx="4">
                  <c:v>0.10232324676868892</c:v>
                </c:pt>
                <c:pt idx="5">
                  <c:v>5.5617808549081882E-2</c:v>
                </c:pt>
                <c:pt idx="6">
                  <c:v>7.0990254529988001E-3</c:v>
                </c:pt>
              </c:numCache>
            </c:numRef>
          </c:val>
        </c:ser>
        <c:overlap val="100"/>
        <c:axId val="396394496"/>
        <c:axId val="39639641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96394496"/>
        <c:axId val="396396416"/>
      </c:lineChart>
      <c:catAx>
        <c:axId val="396394496"/>
        <c:scaling>
          <c:orientation val="minMax"/>
        </c:scaling>
        <c:axPos val="b"/>
        <c:numFmt formatCode="General" sourceLinked="1"/>
        <c:tickLblPos val="nextTo"/>
        <c:crossAx val="396396416"/>
        <c:crosses val="autoZero"/>
        <c:auto val="1"/>
        <c:lblAlgn val="ctr"/>
        <c:lblOffset val="100"/>
      </c:catAx>
      <c:valAx>
        <c:axId val="396396416"/>
        <c:scaling>
          <c:orientation val="minMax"/>
        </c:scaling>
        <c:axPos val="l"/>
        <c:majorGridlines/>
        <c:numFmt formatCode="0%" sourceLinked="0"/>
        <c:tickLblPos val="nextTo"/>
        <c:crossAx val="39639449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96564736"/>
        <c:axId val="396681216"/>
      </c:barChart>
      <c:catAx>
        <c:axId val="396564736"/>
        <c:scaling>
          <c:orientation val="minMax"/>
        </c:scaling>
        <c:axPos val="b"/>
        <c:tickLblPos val="nextTo"/>
        <c:crossAx val="396681216"/>
        <c:crosses val="autoZero"/>
        <c:auto val="1"/>
        <c:lblAlgn val="ctr"/>
        <c:lblOffset val="100"/>
      </c:catAx>
      <c:valAx>
        <c:axId val="396681216"/>
        <c:scaling>
          <c:orientation val="minMax"/>
        </c:scaling>
        <c:axPos val="l"/>
        <c:majorGridlines/>
        <c:numFmt formatCode="0.0%" sourceLinked="1"/>
        <c:tickLblPos val="nextTo"/>
        <c:crossAx val="396564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9600218722659682"/>
          <c:y val="0.21878129039840444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0.54045609847011733</c:v>
                </c:pt>
                <c:pt idx="1">
                  <c:v>4.6757011358724551E-2</c:v>
                </c:pt>
                <c:pt idx="2">
                  <c:v>4.5865746399639182E-2</c:v>
                </c:pt>
                <c:pt idx="3">
                  <c:v>6.9831550110757118E-2</c:v>
                </c:pt>
                <c:pt idx="4">
                  <c:v>4.1674723609566276E-2</c:v>
                </c:pt>
                <c:pt idx="5">
                  <c:v>1.2928511675215838E-2</c:v>
                </c:pt>
                <c:pt idx="6">
                  <c:v>2.8721691486864168E-2</c:v>
                </c:pt>
                <c:pt idx="7">
                  <c:v>3.2607596871767411E-2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1.0913148650793292E-2</c:v>
                </c:pt>
                <c:pt idx="1">
                  <c:v>3.8633202468638855E-2</c:v>
                </c:pt>
                <c:pt idx="2">
                  <c:v>3.5139671934984781E-2</c:v>
                </c:pt>
                <c:pt idx="3">
                  <c:v>1.7308919382128057E-2</c:v>
                </c:pt>
                <c:pt idx="4">
                  <c:v>1.3262542793697242E-2</c:v>
                </c:pt>
                <c:pt idx="5">
                  <c:v>9.5751613714967487E-3</c:v>
                </c:pt>
                <c:pt idx="6">
                  <c:v>2.8045689115126865E-2</c:v>
                </c:pt>
                <c:pt idx="7">
                  <c:v>2.8278734300482521E-2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1.0266547751632382E-2</c:v>
                </c:pt>
                <c:pt idx="1">
                  <c:v>3.4639214860695863E-2</c:v>
                </c:pt>
                <c:pt idx="2">
                  <c:v>3.1887715400090277E-2</c:v>
                </c:pt>
                <c:pt idx="3">
                  <c:v>1.6545227880896768E-2</c:v>
                </c:pt>
                <c:pt idx="4">
                  <c:v>1.5326591238028583E-2</c:v>
                </c:pt>
                <c:pt idx="5">
                  <c:v>9.6834024065061627E-3</c:v>
                </c:pt>
                <c:pt idx="6">
                  <c:v>2.4466024369114089E-2</c:v>
                </c:pt>
                <c:pt idx="7">
                  <c:v>2.6976631861505014E-2</c:v>
                </c:pt>
              </c:numCache>
            </c:numRef>
          </c:val>
        </c:ser>
        <c:gapWidth val="100"/>
        <c:overlap val="100"/>
        <c:axId val="55166848"/>
        <c:axId val="55168384"/>
      </c:barChart>
      <c:catAx>
        <c:axId val="55166848"/>
        <c:scaling>
          <c:orientation val="minMax"/>
        </c:scaling>
        <c:axPos val="l"/>
        <c:numFmt formatCode="0%" sourceLinked="1"/>
        <c:tickLblPos val="nextTo"/>
        <c:crossAx val="55168384"/>
        <c:crosses val="autoZero"/>
        <c:auto val="1"/>
        <c:lblAlgn val="ctr"/>
        <c:lblOffset val="100"/>
      </c:catAx>
      <c:valAx>
        <c:axId val="55168384"/>
        <c:scaling>
          <c:orientation val="minMax"/>
        </c:scaling>
        <c:axPos val="b"/>
        <c:majorGridlines/>
        <c:numFmt formatCode="0%" sourceLinked="0"/>
        <c:tickLblPos val="nextTo"/>
        <c:crossAx val="55166848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0.54714806916725012</c:v>
                </c:pt>
                <c:pt idx="1">
                  <c:v>0.12763544493243639</c:v>
                </c:pt>
                <c:pt idx="2">
                  <c:v>5.6802310341193176E-3</c:v>
                </c:pt>
                <c:pt idx="3">
                  <c:v>2.5126859617450768E-4</c:v>
                </c:pt>
                <c:pt idx="4">
                  <c:v>2.6161342967578174E-2</c:v>
                </c:pt>
                <c:pt idx="5">
                  <c:v>0.11370157864389133</c:v>
                </c:pt>
                <c:pt idx="6">
                  <c:v>1.2460701684223623E-2</c:v>
                </c:pt>
                <c:pt idx="7">
                  <c:v>8.1840163442420031E-4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2.7808139607628179E-2</c:v>
                </c:pt>
                <c:pt idx="1">
                  <c:v>5.8994126391425983E-2</c:v>
                </c:pt>
                <c:pt idx="2">
                  <c:v>9.2562383246276945E-3</c:v>
                </c:pt>
                <c:pt idx="3">
                  <c:v>1.1816123766911378E-3</c:v>
                </c:pt>
                <c:pt idx="4">
                  <c:v>2.668541839100709E-2</c:v>
                </c:pt>
                <c:pt idx="5">
                  <c:v>2.1156644324819618E-2</c:v>
                </c:pt>
                <c:pt idx="6">
                  <c:v>1.8415184204275122E-2</c:v>
                </c:pt>
                <c:pt idx="7">
                  <c:v>2.6455977194271944E-3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2.8019349024796303E-2</c:v>
                </c:pt>
                <c:pt idx="1">
                  <c:v>5.3606942102864236E-2</c:v>
                </c:pt>
                <c:pt idx="2">
                  <c:v>6.7364503819415458E-3</c:v>
                </c:pt>
                <c:pt idx="3">
                  <c:v>6.4614732216968147E-4</c:v>
                </c:pt>
                <c:pt idx="4">
                  <c:v>2.3100317565888401E-2</c:v>
                </c:pt>
                <c:pt idx="5">
                  <c:v>2.0825315884248768E-2</c:v>
                </c:pt>
                <c:pt idx="6">
                  <c:v>1.4141635270953294E-2</c:v>
                </c:pt>
                <c:pt idx="7">
                  <c:v>1.499157203524787E-3</c:v>
                </c:pt>
              </c:numCache>
            </c:numRef>
          </c:val>
        </c:ser>
        <c:gapWidth val="100"/>
        <c:overlap val="100"/>
        <c:axId val="54944128"/>
        <c:axId val="54945664"/>
      </c:barChart>
      <c:catAx>
        <c:axId val="54944128"/>
        <c:scaling>
          <c:orientation val="minMax"/>
        </c:scaling>
        <c:axPos val="l"/>
        <c:numFmt formatCode="0%" sourceLinked="1"/>
        <c:tickLblPos val="nextTo"/>
        <c:crossAx val="54945664"/>
        <c:crosses val="autoZero"/>
        <c:auto val="1"/>
        <c:lblAlgn val="ctr"/>
        <c:lblOffset val="100"/>
      </c:catAx>
      <c:valAx>
        <c:axId val="54945664"/>
        <c:scaling>
          <c:orientation val="minMax"/>
        </c:scaling>
        <c:axPos val="b"/>
        <c:majorGridlines/>
        <c:numFmt formatCode="0%" sourceLinked="0"/>
        <c:tickLblPos val="nextTo"/>
        <c:crossAx val="549441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0.54714806916725012</c:v>
                </c:pt>
                <c:pt idx="1">
                  <c:v>0.12763544493243639</c:v>
                </c:pt>
                <c:pt idx="2">
                  <c:v>5.6802310341193176E-3</c:v>
                </c:pt>
                <c:pt idx="3">
                  <c:v>2.5126859617450768E-4</c:v>
                </c:pt>
                <c:pt idx="4">
                  <c:v>2.6161342967578174E-2</c:v>
                </c:pt>
                <c:pt idx="5">
                  <c:v>0.11370157864389133</c:v>
                </c:pt>
                <c:pt idx="6">
                  <c:v>1.2460701684223623E-2</c:v>
                </c:pt>
                <c:pt idx="7">
                  <c:v>8.1840163442420031E-4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2.7808139607628179E-2</c:v>
                </c:pt>
                <c:pt idx="1">
                  <c:v>5.8994126391425983E-2</c:v>
                </c:pt>
                <c:pt idx="2">
                  <c:v>9.2562383246276945E-3</c:v>
                </c:pt>
                <c:pt idx="3">
                  <c:v>1.1816123766911378E-3</c:v>
                </c:pt>
                <c:pt idx="4">
                  <c:v>2.668541839100709E-2</c:v>
                </c:pt>
                <c:pt idx="5">
                  <c:v>2.1156644324819618E-2</c:v>
                </c:pt>
                <c:pt idx="6">
                  <c:v>1.8415184204275122E-2</c:v>
                </c:pt>
                <c:pt idx="7">
                  <c:v>2.6455977194271944E-3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2.8019349024796303E-2</c:v>
                </c:pt>
                <c:pt idx="1">
                  <c:v>5.3606942102864236E-2</c:v>
                </c:pt>
                <c:pt idx="2">
                  <c:v>6.7364503819415458E-3</c:v>
                </c:pt>
                <c:pt idx="3">
                  <c:v>6.4614732216968147E-4</c:v>
                </c:pt>
                <c:pt idx="4">
                  <c:v>2.3100317565888401E-2</c:v>
                </c:pt>
                <c:pt idx="5">
                  <c:v>2.0825315884248768E-2</c:v>
                </c:pt>
                <c:pt idx="6">
                  <c:v>1.4141635270953294E-2</c:v>
                </c:pt>
                <c:pt idx="7">
                  <c:v>1.499157203524787E-3</c:v>
                </c:pt>
              </c:numCache>
            </c:numRef>
          </c:val>
        </c:ser>
        <c:gapWidth val="100"/>
        <c:overlap val="100"/>
        <c:axId val="54963200"/>
        <c:axId val="55313152"/>
      </c:barChart>
      <c:catAx>
        <c:axId val="54963200"/>
        <c:scaling>
          <c:orientation val="minMax"/>
        </c:scaling>
        <c:axPos val="l"/>
        <c:numFmt formatCode="0%" sourceLinked="1"/>
        <c:tickLblPos val="nextTo"/>
        <c:crossAx val="55313152"/>
        <c:crosses val="autoZero"/>
        <c:auto val="1"/>
        <c:lblAlgn val="ctr"/>
        <c:lblOffset val="100"/>
      </c:catAx>
      <c:valAx>
        <c:axId val="55313152"/>
        <c:scaling>
          <c:orientation val="minMax"/>
        </c:scaling>
        <c:axPos val="b"/>
        <c:majorGridlines/>
        <c:numFmt formatCode="0%" sourceLinked="0"/>
        <c:tickLblPos val="nextTo"/>
        <c:crossAx val="549632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0.48221556051732301</c:v>
                </c:pt>
                <c:pt idx="1">
                  <c:v>0.31098204076122105</c:v>
                </c:pt>
                <c:pt idx="2">
                  <c:v>2.4598822319072703E-3</c:v>
                </c:pt>
                <c:pt idx="3">
                  <c:v>2.0305495539164053E-3</c:v>
                </c:pt>
                <c:pt idx="4">
                  <c:v>1.3252922402653841E-2</c:v>
                </c:pt>
                <c:pt idx="5">
                  <c:v>3.9491191388218876E-2</c:v>
                </c:pt>
                <c:pt idx="6">
                  <c:v>7.8922602013887927E-3</c:v>
                </c:pt>
                <c:pt idx="7">
                  <c:v>3.3790541981335341E-3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2.0026617712396944E-2</c:v>
                </c:pt>
                <c:pt idx="1">
                  <c:v>4.3807581817772001E-2</c:v>
                </c:pt>
                <c:pt idx="2">
                  <c:v>5.047974767916432E-3</c:v>
                </c:pt>
                <c:pt idx="3">
                  <c:v>5.9814369619873697E-3</c:v>
                </c:pt>
                <c:pt idx="4">
                  <c:v>2.0631414596100135E-2</c:v>
                </c:pt>
                <c:pt idx="5">
                  <c:v>2.3854590873894778E-2</c:v>
                </c:pt>
                <c:pt idx="6">
                  <c:v>1.1026083149006209E-2</c:v>
                </c:pt>
                <c:pt idx="7">
                  <c:v>7.9208388661630991E-3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1.6803171473159795E-2</c:v>
                </c:pt>
                <c:pt idx="1">
                  <c:v>4.4639655066568251E-2</c:v>
                </c:pt>
                <c:pt idx="2">
                  <c:v>3.047835085875506E-3</c:v>
                </c:pt>
                <c:pt idx="3">
                  <c:v>3.7176893432472515E-3</c:v>
                </c:pt>
                <c:pt idx="4">
                  <c:v>1.6470210340389417E-2</c:v>
                </c:pt>
                <c:pt idx="5">
                  <c:v>2.3440079004092937E-2</c:v>
                </c:pt>
                <c:pt idx="6">
                  <c:v>7.7103062499491622E-3</c:v>
                </c:pt>
                <c:pt idx="7">
                  <c:v>5.0296675573246255E-3</c:v>
                </c:pt>
              </c:numCache>
            </c:numRef>
          </c:val>
        </c:ser>
        <c:gapWidth val="100"/>
        <c:overlap val="100"/>
        <c:axId val="55350784"/>
        <c:axId val="55352320"/>
      </c:barChart>
      <c:catAx>
        <c:axId val="55350784"/>
        <c:scaling>
          <c:orientation val="minMax"/>
        </c:scaling>
        <c:axPos val="l"/>
        <c:tickLblPos val="nextTo"/>
        <c:crossAx val="55352320"/>
        <c:crosses val="autoZero"/>
        <c:auto val="1"/>
        <c:lblAlgn val="ctr"/>
        <c:lblOffset val="100"/>
      </c:catAx>
      <c:valAx>
        <c:axId val="55352320"/>
        <c:scaling>
          <c:orientation val="minMax"/>
        </c:scaling>
        <c:axPos val="b"/>
        <c:majorGridlines/>
        <c:numFmt formatCode="0%" sourceLinked="0"/>
        <c:tickLblPos val="nextTo"/>
        <c:crossAx val="553507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0.99931780465692999</c:v>
                </c:pt>
                <c:pt idx="1">
                  <c:v>1.0429872640552892E-6</c:v>
                </c:pt>
                <c:pt idx="2">
                  <c:v>1.0974472695264296E-6</c:v>
                </c:pt>
                <c:pt idx="3">
                  <c:v>2.7601941922940682E-7</c:v>
                </c:pt>
                <c:pt idx="4">
                  <c:v>4.3091737891626107E-7</c:v>
                </c:pt>
                <c:pt idx="5">
                  <c:v>3.0794709335900696E-7</c:v>
                </c:pt>
                <c:pt idx="6">
                  <c:v>6.5723379232597564E-6</c:v>
                </c:pt>
                <c:pt idx="7">
                  <c:v>6.8720279996447941E-7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1.9991764956739377E-4</c:v>
                </c:pt>
                <c:pt idx="1">
                  <c:v>6.4814411771369856E-5</c:v>
                </c:pt>
                <c:pt idx="2">
                  <c:v>6.4909590824126478E-5</c:v>
                </c:pt>
                <c:pt idx="3">
                  <c:v>3.2545215807366153E-5</c:v>
                </c:pt>
                <c:pt idx="4">
                  <c:v>5.606906524457934E-5</c:v>
                </c:pt>
                <c:pt idx="5">
                  <c:v>4.144712862424902E-5</c:v>
                </c:pt>
                <c:pt idx="6">
                  <c:v>1.6143442767929211E-4</c:v>
                </c:pt>
                <c:pt idx="7">
                  <c:v>5.0642994402999865E-5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2.2606787588907995E-4</c:v>
                </c:pt>
                <c:pt idx="1">
                  <c:v>1.604901106129299E-5</c:v>
                </c:pt>
                <c:pt idx="2">
                  <c:v>1.9298015876799201E-5</c:v>
                </c:pt>
                <c:pt idx="3">
                  <c:v>1.2288995435604105E-6</c:v>
                </c:pt>
                <c:pt idx="4">
                  <c:v>7.5731162380136773E-6</c:v>
                </c:pt>
                <c:pt idx="5">
                  <c:v>2.7293249588101933E-6</c:v>
                </c:pt>
                <c:pt idx="6">
                  <c:v>6.382730843334684E-5</c:v>
                </c:pt>
                <c:pt idx="7">
                  <c:v>9.8885208145407498E-6</c:v>
                </c:pt>
              </c:numCache>
            </c:numRef>
          </c:val>
        </c:ser>
        <c:gapWidth val="100"/>
        <c:overlap val="100"/>
        <c:axId val="55455744"/>
        <c:axId val="55457280"/>
      </c:barChart>
      <c:catAx>
        <c:axId val="55455744"/>
        <c:scaling>
          <c:orientation val="minMax"/>
        </c:scaling>
        <c:axPos val="l"/>
        <c:tickLblPos val="nextTo"/>
        <c:crossAx val="55457280"/>
        <c:crosses val="autoZero"/>
        <c:auto val="1"/>
        <c:lblAlgn val="ctr"/>
        <c:lblOffset val="100"/>
      </c:catAx>
      <c:valAx>
        <c:axId val="55457280"/>
        <c:scaling>
          <c:orientation val="minMax"/>
        </c:scaling>
        <c:axPos val="b"/>
        <c:majorGridlines/>
        <c:numFmt formatCode="0%" sourceLinked="0"/>
        <c:tickLblPos val="nextTo"/>
        <c:crossAx val="554557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0.90959526434573212</c:v>
                </c:pt>
                <c:pt idx="1">
                  <c:v>5.3239154391964945E-6</c:v>
                </c:pt>
                <c:pt idx="2">
                  <c:v>4.6196730692603174E-5</c:v>
                </c:pt>
                <c:pt idx="3">
                  <c:v>9.661664333100948E-7</c:v>
                </c:pt>
                <c:pt idx="4">
                  <c:v>1.6511004576110284E-6</c:v>
                </c:pt>
                <c:pt idx="5">
                  <c:v>4.2553612459991924E-7</c:v>
                </c:pt>
                <c:pt idx="6">
                  <c:v>8.6613925123170454E-2</c:v>
                </c:pt>
                <c:pt idx="7">
                  <c:v>2.6356546255662357E-6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8.0505396979624333E-4</c:v>
                </c:pt>
                <c:pt idx="1">
                  <c:v>2.3713128602497564E-4</c:v>
                </c:pt>
                <c:pt idx="2">
                  <c:v>9.2347104948303684E-4</c:v>
                </c:pt>
                <c:pt idx="3">
                  <c:v>1.7711672653157308E-4</c:v>
                </c:pt>
                <c:pt idx="4">
                  <c:v>2.5479788557628859E-4</c:v>
                </c:pt>
                <c:pt idx="5">
                  <c:v>1.3224218247395413E-4</c:v>
                </c:pt>
                <c:pt idx="6">
                  <c:v>1.0022464814496285E-3</c:v>
                </c:pt>
                <c:pt idx="7">
                  <c:v>2.0155184598889337E-4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5.5250667094985939E-4</c:v>
                </c:pt>
                <c:pt idx="1">
                  <c:v>8.3996965362757614E-5</c:v>
                </c:pt>
                <c:pt idx="2">
                  <c:v>5.3205882513799002E-4</c:v>
                </c:pt>
                <c:pt idx="3">
                  <c:v>3.3318783405972806E-5</c:v>
                </c:pt>
                <c:pt idx="4">
                  <c:v>9.2910911144304784E-5</c:v>
                </c:pt>
                <c:pt idx="5">
                  <c:v>1.0721150577684647E-5</c:v>
                </c:pt>
                <c:pt idx="6">
                  <c:v>1.0231888585233301E-3</c:v>
                </c:pt>
                <c:pt idx="7">
                  <c:v>6.8311954136359267E-5</c:v>
                </c:pt>
              </c:numCache>
            </c:numRef>
          </c:val>
        </c:ser>
        <c:gapWidth val="100"/>
        <c:overlap val="100"/>
        <c:axId val="55490816"/>
        <c:axId val="55500800"/>
      </c:barChart>
      <c:catAx>
        <c:axId val="55490816"/>
        <c:scaling>
          <c:orientation val="minMax"/>
        </c:scaling>
        <c:axPos val="l"/>
        <c:tickLblPos val="nextTo"/>
        <c:crossAx val="55500800"/>
        <c:crosses val="autoZero"/>
        <c:auto val="1"/>
        <c:lblAlgn val="ctr"/>
        <c:lblOffset val="100"/>
      </c:catAx>
      <c:valAx>
        <c:axId val="55500800"/>
        <c:scaling>
          <c:orientation val="minMax"/>
        </c:scaling>
        <c:axPos val="b"/>
        <c:majorGridlines/>
        <c:numFmt formatCode="0%" sourceLinked="0"/>
        <c:tickLblPos val="nextTo"/>
        <c:crossAx val="554908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0.74659048455063393</c:v>
                </c:pt>
                <c:pt idx="1">
                  <c:v>4.4624039680647536E-4</c:v>
                </c:pt>
                <c:pt idx="2">
                  <c:v>5.1174023303065183E-3</c:v>
                </c:pt>
                <c:pt idx="3">
                  <c:v>1.2907178347474162E-5</c:v>
                </c:pt>
                <c:pt idx="4">
                  <c:v>2.7108429391002652E-4</c:v>
                </c:pt>
                <c:pt idx="5">
                  <c:v>0.16339629983999532</c:v>
                </c:pt>
                <c:pt idx="6">
                  <c:v>1.2613832892028715E-3</c:v>
                </c:pt>
                <c:pt idx="7">
                  <c:v>9.0112776773304418E-5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3.6690231062246781E-2</c:v>
                </c:pt>
                <c:pt idx="1">
                  <c:v>1.4615322598156633E-3</c:v>
                </c:pt>
                <c:pt idx="2">
                  <c:v>8.4777929629730724E-3</c:v>
                </c:pt>
                <c:pt idx="3">
                  <c:v>3.127999574476748E-4</c:v>
                </c:pt>
                <c:pt idx="4">
                  <c:v>1.4067334137111605E-3</c:v>
                </c:pt>
                <c:pt idx="5">
                  <c:v>3.0072107602711534E-2</c:v>
                </c:pt>
                <c:pt idx="6">
                  <c:v>3.7751510452482141E-3</c:v>
                </c:pt>
                <c:pt idx="7">
                  <c:v>6.1773703987024831E-4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3.2937529832975931E-2</c:v>
                </c:pt>
                <c:pt idx="1">
                  <c:v>8.5072359533659562E-4</c:v>
                </c:pt>
                <c:pt idx="2">
                  <c:v>5.0885203158326803E-3</c:v>
                </c:pt>
                <c:pt idx="3">
                  <c:v>8.9761812965714221E-5</c:v>
                </c:pt>
                <c:pt idx="4">
                  <c:v>7.596232678956634E-4</c:v>
                </c:pt>
                <c:pt idx="5">
                  <c:v>3.4085076309123913E-2</c:v>
                </c:pt>
                <c:pt idx="6">
                  <c:v>1.5962329603130005E-3</c:v>
                </c:pt>
                <c:pt idx="7">
                  <c:v>3.0297316433658492E-4</c:v>
                </c:pt>
              </c:numCache>
            </c:numRef>
          </c:val>
        </c:ser>
        <c:gapWidth val="100"/>
        <c:overlap val="100"/>
        <c:axId val="63128320"/>
        <c:axId val="63129856"/>
      </c:barChart>
      <c:catAx>
        <c:axId val="63128320"/>
        <c:scaling>
          <c:orientation val="minMax"/>
        </c:scaling>
        <c:axPos val="l"/>
        <c:numFmt formatCode="0%" sourceLinked="1"/>
        <c:tickLblPos val="nextTo"/>
        <c:crossAx val="63129856"/>
        <c:crosses val="autoZero"/>
        <c:auto val="1"/>
        <c:lblAlgn val="ctr"/>
        <c:lblOffset val="100"/>
      </c:catAx>
      <c:valAx>
        <c:axId val="63129856"/>
        <c:scaling>
          <c:orientation val="minMax"/>
        </c:scaling>
        <c:axPos val="b"/>
        <c:majorGridlines/>
        <c:numFmt formatCode="0%" sourceLinked="0"/>
        <c:tickLblPos val="nextTo"/>
        <c:crossAx val="631283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0.73339422303277468</c:v>
                </c:pt>
                <c:pt idx="1">
                  <c:v>4.7981671404336646E-3</c:v>
                </c:pt>
                <c:pt idx="2">
                  <c:v>1.817380098889378E-3</c:v>
                </c:pt>
                <c:pt idx="3">
                  <c:v>2.1152357814109167E-4</c:v>
                </c:pt>
                <c:pt idx="4">
                  <c:v>1.2034398533330801E-4</c:v>
                </c:pt>
                <c:pt idx="5">
                  <c:v>3.9041996584103802E-2</c:v>
                </c:pt>
                <c:pt idx="6">
                  <c:v>8.5551150091976377E-3</c:v>
                </c:pt>
                <c:pt idx="7">
                  <c:v>0.118080976125847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8.7097959435802341E-3</c:v>
                </c:pt>
                <c:pt idx="1">
                  <c:v>1.389642826892756E-2</c:v>
                </c:pt>
                <c:pt idx="2">
                  <c:v>7.1100938682564022E-3</c:v>
                </c:pt>
                <c:pt idx="3">
                  <c:v>2.6820794617370609E-3</c:v>
                </c:pt>
                <c:pt idx="4">
                  <c:v>1.8383953460307026E-3</c:v>
                </c:pt>
                <c:pt idx="5">
                  <c:v>1.103410389777669E-2</c:v>
                </c:pt>
                <c:pt idx="6">
                  <c:v>2.3817939645886223E-2</c:v>
                </c:pt>
                <c:pt idx="7">
                  <c:v>2.4891438013083994E-2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8.0049157237335189E-3</c:v>
                </c:pt>
                <c:pt idx="1">
                  <c:v>8.177990511628163E-3</c:v>
                </c:pt>
                <c:pt idx="2">
                  <c:v>4.573040684950248E-3</c:v>
                </c:pt>
                <c:pt idx="3">
                  <c:v>1.1329665817917771E-3</c:v>
                </c:pt>
                <c:pt idx="4">
                  <c:v>9.4867301142463221E-4</c:v>
                </c:pt>
                <c:pt idx="5">
                  <c:v>1.279045145026983E-2</c:v>
                </c:pt>
                <c:pt idx="6">
                  <c:v>1.7609176527782683E-2</c:v>
                </c:pt>
                <c:pt idx="7">
                  <c:v>2.217798538389934E-2</c:v>
                </c:pt>
              </c:numCache>
            </c:numRef>
          </c:val>
        </c:ser>
        <c:gapWidth val="100"/>
        <c:overlap val="100"/>
        <c:axId val="63175680"/>
        <c:axId val="63185664"/>
      </c:barChart>
      <c:catAx>
        <c:axId val="63175680"/>
        <c:scaling>
          <c:orientation val="minMax"/>
        </c:scaling>
        <c:axPos val="l"/>
        <c:tickLblPos val="nextTo"/>
        <c:crossAx val="63185664"/>
        <c:crosses val="autoZero"/>
        <c:auto val="1"/>
        <c:lblAlgn val="ctr"/>
        <c:lblOffset val="100"/>
      </c:catAx>
      <c:valAx>
        <c:axId val="63185664"/>
        <c:scaling>
          <c:orientation val="minMax"/>
        </c:scaling>
        <c:axPos val="b"/>
        <c:majorGridlines/>
        <c:numFmt formatCode="0%" sourceLinked="0"/>
        <c:tickLblPos val="nextTo"/>
        <c:crossAx val="631756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63481728"/>
        <c:axId val="63483264"/>
      </c:barChart>
      <c:catAx>
        <c:axId val="63481728"/>
        <c:scaling>
          <c:orientation val="minMax"/>
        </c:scaling>
        <c:axPos val="l"/>
        <c:tickLblPos val="nextTo"/>
        <c:crossAx val="63483264"/>
        <c:crosses val="autoZero"/>
        <c:auto val="1"/>
        <c:lblAlgn val="ctr"/>
        <c:lblOffset val="100"/>
      </c:catAx>
      <c:valAx>
        <c:axId val="63483264"/>
        <c:scaling>
          <c:orientation val="minMax"/>
        </c:scaling>
        <c:axPos val="b"/>
        <c:majorGridlines/>
        <c:numFmt formatCode="0%" sourceLinked="0"/>
        <c:tickLblPos val="nextTo"/>
        <c:crossAx val="634817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0.28403257460666398</c:v>
                </c:pt>
                <c:pt idx="1">
                  <c:v>9.2786708420521044E-3</c:v>
                </c:pt>
                <c:pt idx="2">
                  <c:v>3.0039866257030597E-4</c:v>
                </c:pt>
                <c:pt idx="3">
                  <c:v>3.8668125810088834E-2</c:v>
                </c:pt>
                <c:pt idx="4">
                  <c:v>0.22428296757374544</c:v>
                </c:pt>
                <c:pt idx="5">
                  <c:v>1.9375499202091338E-2</c:v>
                </c:pt>
                <c:pt idx="6">
                  <c:v>9.774246434712734E-4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0.14294929032261683</c:v>
                </c:pt>
                <c:pt idx="1">
                  <c:v>2.5937319094747856E-2</c:v>
                </c:pt>
                <c:pt idx="2">
                  <c:v>3.1021650728612331E-3</c:v>
                </c:pt>
                <c:pt idx="3">
                  <c:v>8.9651551926705125E-2</c:v>
                </c:pt>
                <c:pt idx="4">
                  <c:v>0.10119054239111891</c:v>
                </c:pt>
                <c:pt idx="5">
                  <c:v>5.2998775686103367E-2</c:v>
                </c:pt>
                <c:pt idx="6">
                  <c:v>7.254694165162643E-3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0.15217448721705507</c:v>
                </c:pt>
                <c:pt idx="1">
                  <c:v>2.7095064640558081E-2</c:v>
                </c:pt>
                <c:pt idx="2">
                  <c:v>3.4896248327981505E-3</c:v>
                </c:pt>
                <c:pt idx="3">
                  <c:v>8.8051160103802345E-2</c:v>
                </c:pt>
                <c:pt idx="4">
                  <c:v>0.10232324676868892</c:v>
                </c:pt>
                <c:pt idx="5">
                  <c:v>5.5617808549081882E-2</c:v>
                </c:pt>
                <c:pt idx="6">
                  <c:v>7.0990254529988001E-3</c:v>
                </c:pt>
              </c:numCache>
            </c:numRef>
          </c:val>
        </c:ser>
        <c:gapWidth val="101"/>
        <c:overlap val="100"/>
        <c:axId val="63390080"/>
        <c:axId val="63391616"/>
      </c:barChart>
      <c:catAx>
        <c:axId val="63390080"/>
        <c:scaling>
          <c:orientation val="minMax"/>
        </c:scaling>
        <c:axPos val="l"/>
        <c:tickLblPos val="nextTo"/>
        <c:crossAx val="63391616"/>
        <c:crosses val="autoZero"/>
        <c:auto val="1"/>
        <c:lblAlgn val="ctr"/>
        <c:lblOffset val="100"/>
      </c:catAx>
      <c:valAx>
        <c:axId val="63391616"/>
        <c:scaling>
          <c:orientation val="minMax"/>
        </c:scaling>
        <c:axPos val="b"/>
        <c:majorGridlines/>
        <c:numFmt formatCode="0%" sourceLinked="0"/>
        <c:tickLblPos val="nextTo"/>
        <c:crossAx val="633900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63425152"/>
        <c:axId val="63242624"/>
      </c:barChart>
      <c:catAx>
        <c:axId val="63425152"/>
        <c:scaling>
          <c:orientation val="minMax"/>
        </c:scaling>
        <c:axPos val="l"/>
        <c:tickLblPos val="nextTo"/>
        <c:crossAx val="63242624"/>
        <c:crosses val="autoZero"/>
        <c:auto val="1"/>
        <c:lblAlgn val="ctr"/>
        <c:lblOffset val="100"/>
      </c:catAx>
      <c:valAx>
        <c:axId val="63242624"/>
        <c:scaling>
          <c:orientation val="minMax"/>
        </c:scaling>
        <c:axPos val="b"/>
        <c:majorGridlines/>
        <c:numFmt formatCode="0%" sourceLinked="0"/>
        <c:tickLblPos val="nextTo"/>
        <c:crossAx val="634251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63284352"/>
        <c:axId val="63285888"/>
      </c:barChart>
      <c:catAx>
        <c:axId val="63284352"/>
        <c:scaling>
          <c:orientation val="minMax"/>
        </c:scaling>
        <c:axPos val="l"/>
        <c:tickLblPos val="nextTo"/>
        <c:crossAx val="63285888"/>
        <c:crosses val="autoZero"/>
        <c:auto val="1"/>
        <c:lblAlgn val="ctr"/>
        <c:lblOffset val="100"/>
      </c:catAx>
      <c:valAx>
        <c:axId val="63285888"/>
        <c:scaling>
          <c:orientation val="minMax"/>
        </c:scaling>
        <c:axPos val="b"/>
        <c:majorGridlines/>
        <c:numFmt formatCode="0%" sourceLinked="0"/>
        <c:tickLblPos val="nextTo"/>
        <c:crossAx val="632843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63307136"/>
        <c:axId val="64627840"/>
      </c:barChart>
      <c:catAx>
        <c:axId val="63307136"/>
        <c:scaling>
          <c:orientation val="minMax"/>
        </c:scaling>
        <c:axPos val="l"/>
        <c:tickLblPos val="nextTo"/>
        <c:crossAx val="64627840"/>
        <c:crosses val="autoZero"/>
        <c:auto val="1"/>
        <c:lblAlgn val="ctr"/>
        <c:lblOffset val="100"/>
      </c:catAx>
      <c:valAx>
        <c:axId val="64627840"/>
        <c:scaling>
          <c:orientation val="minMax"/>
        </c:scaling>
        <c:axPos val="b"/>
        <c:majorGridlines/>
        <c:numFmt formatCode="0%" sourceLinked="0"/>
        <c:tickLblPos val="nextTo"/>
        <c:crossAx val="633071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0.28403257460666398</c:v>
                </c:pt>
                <c:pt idx="1">
                  <c:v>9.2786708420521044E-3</c:v>
                </c:pt>
                <c:pt idx="2">
                  <c:v>3.0039866257030597E-4</c:v>
                </c:pt>
                <c:pt idx="3">
                  <c:v>3.8668125810088834E-2</c:v>
                </c:pt>
                <c:pt idx="4">
                  <c:v>0.22428296757374544</c:v>
                </c:pt>
                <c:pt idx="5">
                  <c:v>1.9375499202091338E-2</c:v>
                </c:pt>
                <c:pt idx="6">
                  <c:v>9.774246434712734E-4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0.14294929032261683</c:v>
                </c:pt>
                <c:pt idx="1">
                  <c:v>2.5937319094747856E-2</c:v>
                </c:pt>
                <c:pt idx="2">
                  <c:v>3.1021650728612331E-3</c:v>
                </c:pt>
                <c:pt idx="3">
                  <c:v>8.9651551926705125E-2</c:v>
                </c:pt>
                <c:pt idx="4">
                  <c:v>0.10119054239111891</c:v>
                </c:pt>
                <c:pt idx="5">
                  <c:v>5.2998775686103367E-2</c:v>
                </c:pt>
                <c:pt idx="6">
                  <c:v>7.254694165162643E-3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0.15217448721705507</c:v>
                </c:pt>
                <c:pt idx="1">
                  <c:v>2.7095064640558081E-2</c:v>
                </c:pt>
                <c:pt idx="2">
                  <c:v>3.4896248327981505E-3</c:v>
                </c:pt>
                <c:pt idx="3">
                  <c:v>8.8051160103802345E-2</c:v>
                </c:pt>
                <c:pt idx="4">
                  <c:v>0.10232324676868892</c:v>
                </c:pt>
                <c:pt idx="5">
                  <c:v>5.5617808549081882E-2</c:v>
                </c:pt>
                <c:pt idx="6">
                  <c:v>7.0990254529988001E-3</c:v>
                </c:pt>
              </c:numCache>
            </c:numRef>
          </c:val>
        </c:ser>
        <c:gapWidth val="100"/>
        <c:overlap val="100"/>
        <c:axId val="64673664"/>
        <c:axId val="64675200"/>
      </c:barChart>
      <c:catAx>
        <c:axId val="64673664"/>
        <c:scaling>
          <c:orientation val="minMax"/>
        </c:scaling>
        <c:axPos val="l"/>
        <c:tickLblPos val="nextTo"/>
        <c:crossAx val="64675200"/>
        <c:crosses val="autoZero"/>
        <c:auto val="1"/>
        <c:lblAlgn val="ctr"/>
        <c:lblOffset val="100"/>
      </c:catAx>
      <c:valAx>
        <c:axId val="64675200"/>
        <c:scaling>
          <c:orientation val="minMax"/>
        </c:scaling>
        <c:axPos val="b"/>
        <c:majorGridlines/>
        <c:numFmt formatCode="0%" sourceLinked="0"/>
        <c:tickLblPos val="nextTo"/>
        <c:crossAx val="646736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0.42698186492928081</c:v>
                </c:pt>
                <c:pt idx="1">
                  <c:v>3.521598993679996E-2</c:v>
                </c:pt>
                <c:pt idx="2">
                  <c:v>3.402563735431539E-3</c:v>
                </c:pt>
                <c:pt idx="3">
                  <c:v>0.12831967773679395</c:v>
                </c:pt>
                <c:pt idx="4">
                  <c:v>0.32547350996486435</c:v>
                </c:pt>
                <c:pt idx="5">
                  <c:v>7.2374274888194701E-2</c:v>
                </c:pt>
                <c:pt idx="6">
                  <c:v>8.2321188086339168E-3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65413504"/>
        <c:axId val="65415040"/>
      </c:barChart>
      <c:catAx>
        <c:axId val="65413504"/>
        <c:scaling>
          <c:orientation val="minMax"/>
        </c:scaling>
        <c:axPos val="l"/>
        <c:tickLblPos val="nextTo"/>
        <c:crossAx val="65415040"/>
        <c:crosses val="autoZero"/>
        <c:auto val="1"/>
        <c:lblAlgn val="ctr"/>
        <c:lblOffset val="100"/>
      </c:catAx>
      <c:valAx>
        <c:axId val="65415040"/>
        <c:scaling>
          <c:orientation val="minMax"/>
        </c:scaling>
        <c:axPos val="b"/>
        <c:majorGridlines/>
        <c:numFmt formatCode="0%" sourceLinked="0"/>
        <c:tickLblPos val="nextTo"/>
        <c:crossAx val="654135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817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65460864"/>
        <c:axId val="65466752"/>
      </c:barChart>
      <c:catAx>
        <c:axId val="65460864"/>
        <c:scaling>
          <c:orientation val="minMax"/>
        </c:scaling>
        <c:axPos val="l"/>
        <c:tickLblPos val="nextTo"/>
        <c:crossAx val="65466752"/>
        <c:crosses val="autoZero"/>
        <c:auto val="1"/>
        <c:lblAlgn val="ctr"/>
        <c:lblOffset val="100"/>
      </c:catAx>
      <c:valAx>
        <c:axId val="65466752"/>
        <c:scaling>
          <c:orientation val="minMax"/>
        </c:scaling>
        <c:axPos val="b"/>
        <c:majorGridlines/>
        <c:numFmt formatCode="0%" sourceLinked="0"/>
        <c:tickLblPos val="nextTo"/>
        <c:crossAx val="654608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92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21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0.54714806916725012</c:v>
                </c:pt>
                <c:pt idx="1">
                  <c:v>0.12763544493243639</c:v>
                </c:pt>
                <c:pt idx="2">
                  <c:v>5.6802310341193176E-3</c:v>
                </c:pt>
                <c:pt idx="3">
                  <c:v>2.5126859617450768E-4</c:v>
                </c:pt>
                <c:pt idx="4">
                  <c:v>2.6161342967578174E-2</c:v>
                </c:pt>
                <c:pt idx="5">
                  <c:v>0.11370157864389133</c:v>
                </c:pt>
                <c:pt idx="6">
                  <c:v>1.2460701684223623E-2</c:v>
                </c:pt>
                <c:pt idx="7">
                  <c:v>8.1840163442420031E-4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2.7808139607628179E-2</c:v>
                </c:pt>
                <c:pt idx="1">
                  <c:v>5.8994126391425983E-2</c:v>
                </c:pt>
                <c:pt idx="2">
                  <c:v>9.2562383246276945E-3</c:v>
                </c:pt>
                <c:pt idx="3">
                  <c:v>1.1816123766911378E-3</c:v>
                </c:pt>
                <c:pt idx="4">
                  <c:v>2.668541839100709E-2</c:v>
                </c:pt>
                <c:pt idx="5">
                  <c:v>2.1156644324819618E-2</c:v>
                </c:pt>
                <c:pt idx="6">
                  <c:v>1.8415184204275122E-2</c:v>
                </c:pt>
                <c:pt idx="7">
                  <c:v>2.6455977194271944E-3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2.8019349024796303E-2</c:v>
                </c:pt>
                <c:pt idx="1">
                  <c:v>5.3606942102864236E-2</c:v>
                </c:pt>
                <c:pt idx="2">
                  <c:v>6.7364503819415458E-3</c:v>
                </c:pt>
                <c:pt idx="3">
                  <c:v>6.4614732216968147E-4</c:v>
                </c:pt>
                <c:pt idx="4">
                  <c:v>2.3100317565888401E-2</c:v>
                </c:pt>
                <c:pt idx="5">
                  <c:v>2.0825315884248768E-2</c:v>
                </c:pt>
                <c:pt idx="6">
                  <c:v>1.4141635270953294E-2</c:v>
                </c:pt>
                <c:pt idx="7">
                  <c:v>1.499157203524787E-3</c:v>
                </c:pt>
              </c:numCache>
            </c:numRef>
          </c:val>
        </c:ser>
        <c:overlap val="100"/>
        <c:axId val="65669376"/>
        <c:axId val="6567974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65669376"/>
        <c:axId val="65679744"/>
      </c:lineChart>
      <c:catAx>
        <c:axId val="65669376"/>
        <c:scaling>
          <c:orientation val="minMax"/>
        </c:scaling>
        <c:axPos val="b"/>
        <c:tickLblPos val="nextTo"/>
        <c:crossAx val="65679744"/>
        <c:crosses val="autoZero"/>
        <c:auto val="1"/>
        <c:lblAlgn val="ctr"/>
        <c:lblOffset val="100"/>
      </c:catAx>
      <c:valAx>
        <c:axId val="65679744"/>
        <c:scaling>
          <c:orientation val="minMax"/>
        </c:scaling>
        <c:axPos val="l"/>
        <c:majorGridlines/>
        <c:numFmt formatCode="0%" sourceLinked="0"/>
        <c:tickLblPos val="nextTo"/>
        <c:crossAx val="6566937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3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0.28403257460666398</c:v>
                </c:pt>
                <c:pt idx="1">
                  <c:v>9.2786708420521044E-3</c:v>
                </c:pt>
                <c:pt idx="2">
                  <c:v>3.0039866257030597E-4</c:v>
                </c:pt>
                <c:pt idx="3">
                  <c:v>3.8668125810088834E-2</c:v>
                </c:pt>
                <c:pt idx="4">
                  <c:v>0.22428296757374544</c:v>
                </c:pt>
                <c:pt idx="5">
                  <c:v>1.9375499202091338E-2</c:v>
                </c:pt>
                <c:pt idx="6">
                  <c:v>9.774246434712734E-4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0.14294929032261683</c:v>
                </c:pt>
                <c:pt idx="1">
                  <c:v>2.5937319094747856E-2</c:v>
                </c:pt>
                <c:pt idx="2">
                  <c:v>3.1021650728612331E-3</c:v>
                </c:pt>
                <c:pt idx="3">
                  <c:v>8.9651551926705125E-2</c:v>
                </c:pt>
                <c:pt idx="4">
                  <c:v>0.10119054239111891</c:v>
                </c:pt>
                <c:pt idx="5">
                  <c:v>5.2998775686103367E-2</c:v>
                </c:pt>
                <c:pt idx="6">
                  <c:v>7.254694165162643E-3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0.15217448721705507</c:v>
                </c:pt>
                <c:pt idx="1">
                  <c:v>2.7095064640558081E-2</c:v>
                </c:pt>
                <c:pt idx="2">
                  <c:v>3.4896248327981505E-3</c:v>
                </c:pt>
                <c:pt idx="3">
                  <c:v>8.8051160103802345E-2</c:v>
                </c:pt>
                <c:pt idx="4">
                  <c:v>0.10232324676868892</c:v>
                </c:pt>
                <c:pt idx="5">
                  <c:v>5.5617808549081882E-2</c:v>
                </c:pt>
                <c:pt idx="6">
                  <c:v>7.0990254529988001E-3</c:v>
                </c:pt>
              </c:numCache>
            </c:numRef>
          </c:val>
        </c:ser>
        <c:overlap val="100"/>
        <c:axId val="65718144"/>
        <c:axId val="6572851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65718144"/>
        <c:axId val="65728512"/>
      </c:lineChart>
      <c:catAx>
        <c:axId val="65718144"/>
        <c:scaling>
          <c:orientation val="minMax"/>
        </c:scaling>
        <c:axPos val="b"/>
        <c:numFmt formatCode="General" sourceLinked="1"/>
        <c:tickLblPos val="nextTo"/>
        <c:crossAx val="65728512"/>
        <c:crosses val="autoZero"/>
        <c:auto val="1"/>
        <c:lblAlgn val="ctr"/>
        <c:lblOffset val="100"/>
      </c:catAx>
      <c:valAx>
        <c:axId val="65728512"/>
        <c:scaling>
          <c:orientation val="minMax"/>
        </c:scaling>
        <c:axPos val="l"/>
        <c:majorGridlines/>
        <c:numFmt formatCode="0%" sourceLinked="0"/>
        <c:tickLblPos val="nextTo"/>
        <c:crossAx val="6571814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79"/>
          <c:w val="0.5562682138416909"/>
          <c:h val="0.692582184133050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179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0.5749562087748783</c:v>
                </c:pt>
                <c:pt idx="1">
                  <c:v>0.18662957132386238</c:v>
                </c:pt>
                <c:pt idx="2">
                  <c:v>1.4936469358747012E-2</c:v>
                </c:pt>
                <c:pt idx="3">
                  <c:v>1.4328809728656456E-3</c:v>
                </c:pt>
                <c:pt idx="4">
                  <c:v>5.2846761358585265E-2</c:v>
                </c:pt>
                <c:pt idx="5">
                  <c:v>0.13485822296871094</c:v>
                </c:pt>
                <c:pt idx="6">
                  <c:v>3.0875885888498746E-2</c:v>
                </c:pt>
                <c:pt idx="7">
                  <c:v>3.4639993538513945E-3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IC'!$C$70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IC'!$B$71:$B$78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IC'!$C$71:$C$78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IC'!$D$70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IC'!$B$71:$B$78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IC'!$D$71:$D$78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46961024"/>
        <c:axId val="346962560"/>
      </c:barChart>
      <c:catAx>
        <c:axId val="346961024"/>
        <c:scaling>
          <c:orientation val="minMax"/>
        </c:scaling>
        <c:axPos val="l"/>
        <c:tickLblPos val="nextTo"/>
        <c:crossAx val="346962560"/>
        <c:crosses val="autoZero"/>
        <c:auto val="1"/>
        <c:lblAlgn val="ctr"/>
        <c:lblOffset val="100"/>
      </c:catAx>
      <c:valAx>
        <c:axId val="346962560"/>
        <c:scaling>
          <c:orientation val="minMax"/>
        </c:scaling>
        <c:axPos val="b"/>
        <c:majorGridlines/>
        <c:numFmt formatCode="0.0%" sourceLinked="1"/>
        <c:tickLblPos val="nextTo"/>
        <c:crossAx val="346961024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IC'!$G$70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IC'!$B$71:$B$78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IC'!$G$71:$G$78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IC'!$H$70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IC'!$B$71:$B$78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IC'!$H$71:$H$78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347660288"/>
        <c:axId val="347670400"/>
      </c:barChart>
      <c:catAx>
        <c:axId val="347660288"/>
        <c:scaling>
          <c:orientation val="minMax"/>
        </c:scaling>
        <c:axPos val="l"/>
        <c:tickLblPos val="none"/>
        <c:crossAx val="347670400"/>
        <c:crosses val="autoZero"/>
        <c:auto val="1"/>
        <c:lblAlgn val="ctr"/>
        <c:lblOffset val="100"/>
      </c:catAx>
      <c:valAx>
        <c:axId val="347670400"/>
        <c:scaling>
          <c:orientation val="minMax"/>
        </c:scaling>
        <c:axPos val="b"/>
        <c:majorGridlines/>
        <c:numFmt formatCode="0.0%" sourceLinked="1"/>
        <c:tickLblPos val="nextTo"/>
        <c:crossAx val="347660288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IC'!$J$70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IC'!$B$71:$B$78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IC'!$J$71:$J$78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IC'!$K$70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IC'!$B$71:$B$78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IC'!$K$71:$K$78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0.22009925192595167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347925888"/>
        <c:axId val="352056832"/>
      </c:barChart>
      <c:catAx>
        <c:axId val="347925888"/>
        <c:scaling>
          <c:orientation val="minMax"/>
        </c:scaling>
        <c:axPos val="l"/>
        <c:tickLblPos val="high"/>
        <c:crossAx val="352056832"/>
        <c:crosses val="autoZero"/>
        <c:auto val="1"/>
        <c:lblAlgn val="ctr"/>
        <c:lblOffset val="100"/>
      </c:catAx>
      <c:valAx>
        <c:axId val="352056832"/>
        <c:scaling>
          <c:orientation val="minMax"/>
        </c:scaling>
        <c:axPos val="b"/>
        <c:majorGridlines/>
        <c:numFmt formatCode="#,##0.00_ ;\-#,##0.00\ " sourceLinked="1"/>
        <c:tickLblPos val="nextTo"/>
        <c:crossAx val="347925888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351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"/>
          <c:y val="5.1400554097404488E-2"/>
          <c:w val="0.82164348206474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IC'!$I$71:$I$78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IC'!$H$71:$H$78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344725760"/>
        <c:axId val="344781184"/>
      </c:scatterChart>
      <c:valAx>
        <c:axId val="34472576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12"/>
            </c:manualLayout>
          </c:layout>
        </c:title>
        <c:numFmt formatCode="0%" sourceLinked="0"/>
        <c:tickLblPos val="nextTo"/>
        <c:crossAx val="344781184"/>
        <c:crosses val="autoZero"/>
        <c:crossBetween val="midCat"/>
      </c:valAx>
      <c:valAx>
        <c:axId val="3447811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44725760"/>
        <c:crosses val="autoZero"/>
        <c:crossBetween val="midCat"/>
      </c:valAx>
    </c:plotArea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3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3"/>
          <c:y val="5.1400554097404488E-2"/>
          <c:w val="0.821643482064746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14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13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1E-2"/>
                  <c:y val="-6.7336991255980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IC'!$I$71:$I$78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344933120"/>
        <c:axId val="344976768"/>
      </c:scatterChart>
      <c:valAx>
        <c:axId val="34493312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34"/>
            </c:manualLayout>
          </c:layout>
        </c:title>
        <c:numFmt formatCode="0%" sourceLinked="0"/>
        <c:tickLblPos val="nextTo"/>
        <c:crossAx val="344976768"/>
        <c:crosses val="autoZero"/>
        <c:crossBetween val="midCat"/>
      </c:valAx>
      <c:valAx>
        <c:axId val="3449767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44933120"/>
        <c:crosses val="autoZero"/>
        <c:crossBetween val="midCat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chart" Target="../charts/chart30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4" Type="http://schemas.openxmlformats.org/officeDocument/2006/relationships/image" Target="../media/image1.png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299678</xdr:colOff>
      <xdr:row>57</xdr:row>
      <xdr:rowOff>27295</xdr:rowOff>
    </xdr:from>
    <xdr:to>
      <xdr:col>32</xdr:col>
      <xdr:colOff>127107</xdr:colOff>
      <xdr:row>74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20</xdr:row>
      <xdr:rowOff>81643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4003</xdr:colOff>
      <xdr:row>6</xdr:row>
      <xdr:rowOff>150079</xdr:rowOff>
    </xdr:from>
    <xdr:to>
      <xdr:col>35</xdr:col>
      <xdr:colOff>404612</xdr:colOff>
      <xdr:row>13</xdr:row>
      <xdr:rowOff>118302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29</xdr:col>
      <xdr:colOff>362591</xdr:colOff>
      <xdr:row>2</xdr:row>
      <xdr:rowOff>20812</xdr:rowOff>
    </xdr:from>
    <xdr:to>
      <xdr:col>35</xdr:col>
      <xdr:colOff>224198</xdr:colOff>
      <xdr:row>5</xdr:row>
      <xdr:rowOff>48185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23521948" y="415419"/>
          <a:ext cx="3535535" cy="63969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</xdr:col>
      <xdr:colOff>0</xdr:colOff>
      <xdr:row>50</xdr:row>
      <xdr:rowOff>51546</xdr:rowOff>
    </xdr:from>
    <xdr:to>
      <xdr:col>4</xdr:col>
      <xdr:colOff>319368</xdr:colOff>
      <xdr:row>67</xdr:row>
      <xdr:rowOff>125505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280146</xdr:colOff>
      <xdr:row>50</xdr:row>
      <xdr:rowOff>0</xdr:rowOff>
    </xdr:from>
    <xdr:to>
      <xdr:col>10</xdr:col>
      <xdr:colOff>276224</xdr:colOff>
      <xdr:row>65</xdr:row>
      <xdr:rowOff>145678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280147</xdr:colOff>
      <xdr:row>50</xdr:row>
      <xdr:rowOff>33619</xdr:rowOff>
    </xdr:from>
    <xdr:to>
      <xdr:col>12</xdr:col>
      <xdr:colOff>989480</xdr:colOff>
      <xdr:row>66</xdr:row>
      <xdr:rowOff>44823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1114985</xdr:colOff>
      <xdr:row>19</xdr:row>
      <xdr:rowOff>81642</xdr:rowOff>
    </xdr:from>
    <xdr:to>
      <xdr:col>17</xdr:col>
      <xdr:colOff>707571</xdr:colOff>
      <xdr:row>35</xdr:row>
      <xdr:rowOff>165642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1047749</xdr:colOff>
      <xdr:row>36</xdr:row>
      <xdr:rowOff>158802</xdr:rowOff>
    </xdr:from>
    <xdr:to>
      <xdr:col>18</xdr:col>
      <xdr:colOff>0</xdr:colOff>
      <xdr:row>48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update_overzicht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E34" sqref="E34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5" t="s">
        <v>93</v>
      </c>
      <c r="D1" s="365"/>
      <c r="E1" s="366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299">
        <v>0</v>
      </c>
      <c r="D3" s="218">
        <v>1</v>
      </c>
      <c r="E3" s="145">
        <v>0.99</v>
      </c>
      <c r="F3" s="144">
        <f>'Samenvatting mixen'!B81</f>
        <v>0.5749562087748783</v>
      </c>
      <c r="G3" s="144">
        <f>+F3-B3</f>
        <v>1.9436182203240837E-2</v>
      </c>
      <c r="H3" s="301"/>
    </row>
    <row r="4" spans="1:24">
      <c r="A4" s="143" t="str">
        <f>Scenarios!A5</f>
        <v>High Yield</v>
      </c>
      <c r="B4" s="218">
        <v>9.7772401711769694E-2</v>
      </c>
      <c r="C4" s="299">
        <v>0</v>
      </c>
      <c r="D4" s="357">
        <v>1</v>
      </c>
      <c r="E4" s="145">
        <v>0.99</v>
      </c>
      <c r="F4" s="144">
        <f>'Samenvatting mixen'!B82</f>
        <v>0.18662957132386238</v>
      </c>
      <c r="G4" s="144">
        <f t="shared" ref="G4:G10" si="0">+F4-B4</f>
        <v>8.8857169612092682E-2</v>
      </c>
      <c r="H4" s="302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299">
        <v>0</v>
      </c>
      <c r="D5" s="218">
        <v>1</v>
      </c>
      <c r="E5" s="145">
        <v>0.99</v>
      </c>
      <c r="F5" s="144">
        <f>'Samenvatting mixen'!B83</f>
        <v>1.4936469358747012E-2</v>
      </c>
      <c r="G5" s="144">
        <f t="shared" si="0"/>
        <v>-7.9826722174663189E-2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57">
        <v>0.10281340879516217</v>
      </c>
      <c r="C6" s="299">
        <v>0</v>
      </c>
      <c r="D6" s="357">
        <v>1</v>
      </c>
      <c r="E6" s="145">
        <v>0.99</v>
      </c>
      <c r="F6" s="144">
        <f>'Samenvatting mixen'!B84</f>
        <v>1.4328809728656456E-3</v>
      </c>
      <c r="G6" s="144">
        <f t="shared" si="0"/>
        <v>-0.10138052782229652</v>
      </c>
      <c r="H6" s="301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57">
        <v>5.1014363077869621E-2</v>
      </c>
      <c r="C7" s="299">
        <v>0</v>
      </c>
      <c r="D7" s="357">
        <v>1</v>
      </c>
      <c r="E7" s="145">
        <v>0.99</v>
      </c>
      <c r="F7" s="144">
        <f>'Samenvatting mixen'!B85</f>
        <v>5.2846761358585265E-2</v>
      </c>
      <c r="G7" s="144">
        <f t="shared" si="0"/>
        <v>1.8323982807156441E-3</v>
      </c>
      <c r="H7" s="301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357">
        <v>2.0731266317763185E-2</v>
      </c>
      <c r="C8" s="299">
        <v>0</v>
      </c>
      <c r="D8" s="357">
        <v>1</v>
      </c>
      <c r="E8" s="145">
        <v>0.99</v>
      </c>
      <c r="F8" s="144">
        <f>'Samenvatting mixen'!B86</f>
        <v>0.13485822296871094</v>
      </c>
      <c r="G8" s="144">
        <f t="shared" si="0"/>
        <v>0.11412695665094776</v>
      </c>
      <c r="H8" s="301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299">
        <v>0</v>
      </c>
      <c r="D9" s="357">
        <v>1</v>
      </c>
      <c r="E9" s="145">
        <v>0.99</v>
      </c>
      <c r="F9" s="144">
        <f>'Samenvatting mixen'!B87</f>
        <v>3.0875885888498746E-2</v>
      </c>
      <c r="G9" s="144">
        <f t="shared" si="0"/>
        <v>2.4101737280448482E-4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0">
        <v>0</v>
      </c>
      <c r="D10" s="219">
        <v>1</v>
      </c>
      <c r="E10" s="147">
        <v>0.99</v>
      </c>
      <c r="F10" s="146">
        <f>'Samenvatting mixen'!B88</f>
        <v>3.4639993538513945E-3</v>
      </c>
      <c r="G10" s="146">
        <f t="shared" si="0"/>
        <v>-4.3286474122842131E-2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364"/>
    </row>
    <row r="15" spans="1:24">
      <c r="A15" s="334" t="s">
        <v>143</v>
      </c>
      <c r="B15" s="329">
        <f t="array" ref="B15">+MMULT(TRANSPOSE(F3:F10),MMULT(k,F3:F10))^(0.5)</f>
        <v>9.8730683695618507E-2</v>
      </c>
      <c r="C15" s="332"/>
      <c r="D15" s="332"/>
      <c r="E15" s="332"/>
      <c r="F15" s="138"/>
    </row>
    <row r="16" spans="1:24">
      <c r="A16" s="165"/>
      <c r="B16" s="217"/>
      <c r="C16" s="217"/>
      <c r="D16" s="217"/>
      <c r="E16" s="217"/>
      <c r="F16" s="138"/>
    </row>
    <row r="17" spans="1:6">
      <c r="A17" s="165"/>
      <c r="B17" s="163"/>
      <c r="C17" s="163"/>
      <c r="D17" s="163"/>
      <c r="E17" s="163"/>
      <c r="F17" s="138"/>
    </row>
    <row r="18" spans="1:6">
      <c r="A18" s="165"/>
      <c r="B18" s="163"/>
      <c r="C18" s="163"/>
      <c r="D18" s="163"/>
      <c r="E18" s="163"/>
      <c r="F18" s="138"/>
    </row>
    <row r="19" spans="1:6">
      <c r="A19" s="165"/>
      <c r="B19" s="163"/>
      <c r="C19" s="163"/>
      <c r="D19" s="163"/>
      <c r="E19" s="163"/>
      <c r="F19" s="138"/>
    </row>
    <row r="20" spans="1:6">
      <c r="A20" s="165"/>
      <c r="B20" s="163"/>
      <c r="C20" s="163"/>
      <c r="D20" s="163"/>
      <c r="E20" s="163"/>
      <c r="F20" s="138"/>
    </row>
    <row r="21" spans="1:6">
      <c r="A21" s="165"/>
      <c r="B21" s="165"/>
      <c r="C21" s="165"/>
      <c r="D21" s="165"/>
      <c r="E21" s="165"/>
      <c r="F21" s="138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357">
        <f>B11</f>
        <v>9.982328688488358E-2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67" t="s">
        <v>98</v>
      </c>
      <c r="C200" s="365"/>
      <c r="D200" s="365"/>
      <c r="E200" s="366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F52" sqref="F52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69" t="s">
        <v>117</v>
      </c>
      <c r="F2" s="369"/>
      <c r="G2" s="369"/>
      <c r="H2" s="369"/>
      <c r="I2" s="369"/>
      <c r="J2" s="369"/>
      <c r="K2" s="369"/>
      <c r="L2" s="370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68"/>
      <c r="H17" s="368"/>
      <c r="I17" s="368"/>
      <c r="J17" s="368"/>
    </row>
    <row r="18" spans="1:24">
      <c r="D18" s="98"/>
      <c r="E18" s="98"/>
      <c r="S18" s="84"/>
      <c r="T18" s="368"/>
      <c r="U18" s="368"/>
      <c r="V18" s="368"/>
      <c r="W18" s="368"/>
      <c r="X18" s="368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58">
        <v>-3.2445168309994665E-3</v>
      </c>
      <c r="D24" s="358">
        <v>-1.0761362748873404E-3</v>
      </c>
      <c r="E24" s="358">
        <v>-3.4179872754884488E-3</v>
      </c>
      <c r="F24" s="358">
        <v>-2.5720358328627513E-2</v>
      </c>
      <c r="G24" s="358">
        <v>-0.26287574291051119</v>
      </c>
      <c r="H24" s="359">
        <v>-3.2441343963196256E-3</v>
      </c>
      <c r="I24" s="362">
        <f>SUMPRODUCT(C24:H24,$C$33:$H$33)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58">
        <v>3.2492969125133414E-2</v>
      </c>
      <c r="D25" s="358">
        <v>-8.65324500372157E-2</v>
      </c>
      <c r="E25" s="358">
        <v>5.1526244290784291E-2</v>
      </c>
      <c r="F25" s="358">
        <v>-0.43934344866388231</v>
      </c>
      <c r="G25" s="358">
        <v>-0.41627425662388229</v>
      </c>
      <c r="H25" s="359">
        <v>0.27529934429078429</v>
      </c>
      <c r="I25" s="178">
        <f t="shared" ref="I25:I31" si="1">SUMPRODUCT(C25:H25,$C$33:$H$33)</f>
        <v>3.2492969125133414E-2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358">
        <v>1.45681608513176E-2</v>
      </c>
      <c r="D26" s="358">
        <v>-2.1111513867647543E-2</v>
      </c>
      <c r="E26" s="358">
        <v>3.2357333960853253E-3</v>
      </c>
      <c r="F26" s="358">
        <v>-0.41802644813429485</v>
      </c>
      <c r="G26" s="358">
        <v>-0.17149574156312622</v>
      </c>
      <c r="H26" s="359">
        <v>0.25817653707968463</v>
      </c>
      <c r="I26" s="178">
        <f t="shared" si="1"/>
        <v>1.45681608513176E-2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358">
        <v>-1.272492445230269E-2</v>
      </c>
      <c r="D27" s="358">
        <v>-0.19311368459773193</v>
      </c>
      <c r="E27" s="358">
        <v>4.3944352615336905E-2</v>
      </c>
      <c r="F27" s="358">
        <v>-0.5992014650452413</v>
      </c>
      <c r="G27" s="358">
        <v>-0.47126055414190038</v>
      </c>
      <c r="H27" s="359">
        <v>0.40935864013329615</v>
      </c>
      <c r="I27" s="178">
        <f t="shared" si="1"/>
        <v>-1.272492445230269E-2</v>
      </c>
      <c r="J27" s="76"/>
    </row>
    <row r="28" spans="1:24">
      <c r="A28" s="18" t="s">
        <v>8</v>
      </c>
      <c r="B28" s="21">
        <f t="shared" si="0"/>
        <v>5.6149706770970371E-2</v>
      </c>
      <c r="C28" s="358">
        <v>5.7893485302571407E-2</v>
      </c>
      <c r="D28" s="358">
        <v>-6.9261756645690273E-2</v>
      </c>
      <c r="E28" s="358">
        <v>7.474963400472559E-2</v>
      </c>
      <c r="F28" s="358">
        <v>-0.42661422498990775</v>
      </c>
      <c r="G28" s="358">
        <v>-0.26558788944909251</v>
      </c>
      <c r="H28" s="359">
        <v>0.37672139820686834</v>
      </c>
      <c r="I28" s="178">
        <f t="shared" si="1"/>
        <v>5.7893485302571407E-2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358">
        <v>7.1858480605475325E-2</v>
      </c>
      <c r="D29" s="358">
        <v>1.202667991596415E-2</v>
      </c>
      <c r="E29" s="358">
        <v>8.5249207175964209E-2</v>
      </c>
      <c r="F29" s="358">
        <v>-0.52128297967070236</v>
      </c>
      <c r="G29" s="358">
        <v>-0.54077311463070243</v>
      </c>
      <c r="H29" s="359">
        <v>0.621322616702631</v>
      </c>
      <c r="I29" s="178">
        <f t="shared" si="1"/>
        <v>7.1858480605475325E-2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358">
        <v>1.8730269708989476E-2</v>
      </c>
      <c r="D30" s="358">
        <v>-4.6790508294452839E-2</v>
      </c>
      <c r="E30" s="358">
        <v>1.8215216611987023E-2</v>
      </c>
      <c r="F30" s="358">
        <v>-0.25630468560846492</v>
      </c>
      <c r="G30" s="358">
        <v>-6.931471876793301E-3</v>
      </c>
      <c r="H30" s="359">
        <v>0.28021842301080391</v>
      </c>
      <c r="I30" s="178">
        <f t="shared" si="1"/>
        <v>1.8730269708989476E-2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360">
        <v>-5.9825766089863959E-3</v>
      </c>
      <c r="D31" s="360">
        <v>-0.13956067047136589</v>
      </c>
      <c r="E31" s="360">
        <v>2.7964399001126676E-2</v>
      </c>
      <c r="F31" s="360">
        <v>-0.45200242221105646</v>
      </c>
      <c r="G31" s="360">
        <v>-0.48031312669988807</v>
      </c>
      <c r="H31" s="361">
        <v>0.41038049782760322</v>
      </c>
      <c r="I31" s="363">
        <f t="shared" si="1"/>
        <v>-5.9825766089863959E-3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3">
        <f>Optimalisatie!B15</f>
        <v>0</v>
      </c>
      <c r="C35" s="406">
        <f>SUMPRODUCT(C24:C31,'Samenvatting mixen'!B15:B22)</f>
        <v>1.7705837618820958E-2</v>
      </c>
      <c r="D35" s="406">
        <f>SUMPRODUCT(D24:D31,'Samenvatting mixen'!B26:B33)</f>
        <v>5.182093192055647E-4</v>
      </c>
      <c r="E35" s="406">
        <f>SUMPRODUCT(E24:E31,'Samenvatting mixen'!B37:B44)</f>
        <v>2.5534310319992669E-2</v>
      </c>
      <c r="F35" s="406">
        <f>SUMPRODUCT(F24:F31,'Samenvatting mixen'!B48:B55)</f>
        <v>-2.5896279411558993E-2</v>
      </c>
      <c r="G35" s="406">
        <f>SUMPRODUCT(G24:G31,'Samenvatting mixen'!B59:B66)</f>
        <v>-0.24051854106639986</v>
      </c>
      <c r="H35" s="406">
        <f>SUMPRODUCT(H24:H31,'Samenvatting mixen'!B70:B77)</f>
        <v>0.10582444002230627</v>
      </c>
      <c r="I35" s="304">
        <f>SUMPRODUCT(I24:I31,'Samenvatting mixen'!B81:B88)</f>
        <v>1.7705837618820958E-2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389"/>
      <c r="D52" s="389"/>
      <c r="E52" s="389"/>
      <c r="F52" s="389"/>
      <c r="G52" s="389"/>
      <c r="H52" s="389"/>
      <c r="I52" s="292"/>
    </row>
    <row r="53" spans="1:9">
      <c r="A53" s="292"/>
      <c r="B53" s="292"/>
      <c r="C53" s="389"/>
      <c r="D53" s="389"/>
      <c r="E53" s="389"/>
      <c r="F53" s="389"/>
      <c r="G53" s="389"/>
      <c r="H53" s="389"/>
      <c r="I53" s="292"/>
    </row>
    <row r="54" spans="1:9">
      <c r="A54" s="292"/>
      <c r="B54" s="292"/>
      <c r="C54" s="389"/>
      <c r="D54" s="389"/>
      <c r="E54" s="389"/>
      <c r="F54" s="389"/>
      <c r="G54" s="389"/>
      <c r="H54" s="389"/>
      <c r="I54" s="292"/>
    </row>
    <row r="55" spans="1:9">
      <c r="A55" s="292"/>
      <c r="B55" s="292"/>
      <c r="C55" s="389"/>
      <c r="D55" s="389"/>
      <c r="E55" s="389"/>
      <c r="F55" s="389"/>
      <c r="G55" s="389"/>
      <c r="H55" s="389"/>
      <c r="I55" s="292"/>
    </row>
    <row r="56" spans="1:9">
      <c r="A56" s="292"/>
      <c r="B56" s="292"/>
      <c r="C56" s="389"/>
      <c r="D56" s="389"/>
      <c r="E56" s="389"/>
      <c r="F56" s="389"/>
      <c r="G56" s="389"/>
      <c r="H56" s="389"/>
      <c r="I56" s="292"/>
    </row>
    <row r="57" spans="1:9">
      <c r="C57" s="389"/>
      <c r="D57" s="389"/>
      <c r="E57" s="389"/>
      <c r="F57" s="389"/>
      <c r="G57" s="389"/>
      <c r="H57" s="389"/>
      <c r="I57" s="292"/>
    </row>
    <row r="58" spans="1:9">
      <c r="C58" s="389"/>
      <c r="D58" s="389"/>
      <c r="E58" s="389"/>
      <c r="F58" s="389"/>
      <c r="G58" s="389"/>
      <c r="H58" s="389"/>
      <c r="I58" s="292"/>
    </row>
    <row r="59" spans="1:9">
      <c r="C59" s="389"/>
      <c r="D59" s="389"/>
      <c r="E59" s="389"/>
      <c r="F59" s="389"/>
      <c r="G59" s="389"/>
      <c r="H59" s="389"/>
      <c r="I59" s="292"/>
    </row>
    <row r="60" spans="1:9">
      <c r="C60" s="389"/>
      <c r="D60" s="389"/>
      <c r="E60" s="389"/>
      <c r="F60" s="389"/>
      <c r="G60" s="389"/>
      <c r="H60" s="389"/>
      <c r="I60" s="292"/>
    </row>
    <row r="61" spans="1:9">
      <c r="C61" s="389"/>
      <c r="D61" s="389"/>
      <c r="E61" s="389"/>
      <c r="F61" s="389"/>
      <c r="G61" s="389"/>
      <c r="H61" s="389"/>
      <c r="I61" s="292"/>
    </row>
    <row r="62" spans="1:9">
      <c r="C62" s="389"/>
      <c r="I62" s="292"/>
    </row>
    <row r="63" spans="1:9">
      <c r="C63" s="389"/>
    </row>
    <row r="64" spans="1:9">
      <c r="C64" s="389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topLeftCell="A16" workbookViewId="0">
      <selection activeCell="D80" sqref="D80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2" t="s">
        <v>3</v>
      </c>
      <c r="E3" s="372"/>
      <c r="F3" s="372"/>
      <c r="G3" s="372"/>
      <c r="H3" s="372"/>
      <c r="I3" s="372"/>
      <c r="J3" s="372"/>
      <c r="K3" s="373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2" spans="1:21">
      <c r="C12" s="36">
        <f>SUMPRODUCT(B4:B11,C4:C11)</f>
        <v>7.2107094488680079E-2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1" t="s">
        <v>3</v>
      </c>
      <c r="E14" s="372"/>
      <c r="F14" s="372"/>
      <c r="G14" s="372"/>
      <c r="H14" s="372"/>
      <c r="I14" s="372"/>
      <c r="J14" s="372"/>
      <c r="K14" s="373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7.1858480605475325E-2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3" spans="1:12">
      <c r="C23" s="36">
        <f>SUMPRODUCT(B15:B22,C15:C22)</f>
        <v>4.6135782248023782E-2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71" t="s">
        <v>3</v>
      </c>
      <c r="E25" s="372"/>
      <c r="F25" s="372"/>
      <c r="G25" s="372"/>
      <c r="H25" s="372"/>
      <c r="I25" s="372"/>
      <c r="J25" s="372"/>
      <c r="K25" s="373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71" t="s">
        <v>3</v>
      </c>
      <c r="E36" s="372"/>
      <c r="F36" s="372"/>
      <c r="G36" s="372"/>
      <c r="H36" s="372"/>
      <c r="I36" s="372"/>
      <c r="J36" s="372"/>
      <c r="K36" s="373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4.3944352615336905E-2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7.474963400472559E-2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1.8215216611987023E-2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74" t="s">
        <v>3</v>
      </c>
      <c r="E47" s="375"/>
      <c r="F47" s="375"/>
      <c r="G47" s="375"/>
      <c r="H47" s="375"/>
      <c r="I47" s="375"/>
      <c r="J47" s="375"/>
      <c r="K47" s="376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71" t="s">
        <v>3</v>
      </c>
      <c r="E58" s="372"/>
      <c r="F58" s="372"/>
      <c r="G58" s="372"/>
      <c r="H58" s="372"/>
      <c r="I58" s="372"/>
      <c r="J58" s="372"/>
      <c r="K58" s="373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71" t="s">
        <v>3</v>
      </c>
      <c r="E69" s="372"/>
      <c r="F69" s="372"/>
      <c r="G69" s="372"/>
      <c r="H69" s="372"/>
      <c r="I69" s="372"/>
      <c r="J69" s="372"/>
      <c r="K69" s="373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77" t="s">
        <v>16</v>
      </c>
      <c r="D2" s="378"/>
      <c r="E2" s="379" t="s">
        <v>17</v>
      </c>
      <c r="F2" s="380"/>
      <c r="G2" s="381" t="s">
        <v>33</v>
      </c>
      <c r="H2" s="382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D45" sqref="D45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9.982328688488358E-2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9.982328688488358E-2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61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9.982328688488358E-2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61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9.982328688488358E-2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61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9.982328688488358E-2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61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9.982328688488358E-2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61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9.982328688488358E-2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9.982328688488358E-2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48" workbookViewId="0">
      <selection activeCell="C12" sqref="C12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3" t="s">
        <v>64</v>
      </c>
      <c r="E2" s="384"/>
      <c r="F2" s="385"/>
      <c r="G2" s="383" t="s">
        <v>65</v>
      </c>
      <c r="H2" s="384"/>
      <c r="I2" s="384"/>
      <c r="J2" s="384"/>
      <c r="K2" s="384"/>
      <c r="L2" s="384"/>
      <c r="M2" s="384"/>
      <c r="N2" s="384"/>
      <c r="O2" s="385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0.38842610847061643</v>
      </c>
      <c r="H3" s="272">
        <v>0.28196528107481589</v>
      </c>
      <c r="I3" s="272">
        <v>0.15781326873153034</v>
      </c>
      <c r="J3" s="272">
        <v>8.9311685439999455E-2</v>
      </c>
      <c r="K3" s="272">
        <v>5.8981550206079758E-2</v>
      </c>
      <c r="L3" s="272">
        <v>2.3479565825963222E-2</v>
      </c>
      <c r="M3" s="272">
        <v>2.2540250995795041E-5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0.55136924712091062</v>
      </c>
      <c r="C4" s="54">
        <v>1.557691429457278E-2</v>
      </c>
      <c r="D4" s="55">
        <v>0.54045609847011733</v>
      </c>
      <c r="E4" s="1">
        <v>0.55102193916426312</v>
      </c>
      <c r="F4" s="56">
        <v>0.561635794872543</v>
      </c>
      <c r="G4" s="2">
        <v>-3.0840564248265305E-2</v>
      </c>
      <c r="H4" s="2">
        <v>-0.13820992096646412</v>
      </c>
      <c r="I4" s="2">
        <v>3.6511276324048041E-2</v>
      </c>
      <c r="J4" s="2">
        <v>0.89886968391617295</v>
      </c>
      <c r="K4" s="2">
        <v>0.24953425987748459</v>
      </c>
      <c r="L4" s="2">
        <v>0.1282620011102428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0.54045609847011733</v>
      </c>
      <c r="T4" s="52">
        <f>B4-D4</f>
        <v>1.0913148650793292E-2</v>
      </c>
      <c r="U4" s="52">
        <f>F4-B4</f>
        <v>1.0266547751632382E-2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8.5390213827363406E-2</v>
      </c>
      <c r="C5" s="54">
        <v>4.8129488839309176E-2</v>
      </c>
      <c r="D5" s="55">
        <v>4.6757011358724551E-2</v>
      </c>
      <c r="E5" s="1">
        <v>8.1969477076114461E-2</v>
      </c>
      <c r="F5" s="56">
        <v>0.12002942868805927</v>
      </c>
      <c r="G5" s="2">
        <v>1</v>
      </c>
      <c r="H5" s="2">
        <v>0.65633821435896267</v>
      </c>
      <c r="I5" s="2">
        <v>0.12870740571641887</v>
      </c>
      <c r="J5" s="2">
        <v>-0.54920273464462477</v>
      </c>
      <c r="K5" s="2">
        <v>2.9038285451132736E-2</v>
      </c>
      <c r="L5" s="2">
        <v>-0.12604119922834531</v>
      </c>
      <c r="M5" s="2">
        <v>0.18338653237393812</v>
      </c>
      <c r="N5" s="2">
        <v>0.99999999999818279</v>
      </c>
      <c r="O5" s="57"/>
      <c r="R5" s="51" t="str">
        <f t="shared" ref="R5:R11" si="0">A5</f>
        <v>High Yield</v>
      </c>
      <c r="S5" s="52">
        <f t="shared" ref="S5:S11" si="1">D5</f>
        <v>4.6757011358724551E-2</v>
      </c>
      <c r="T5" s="52">
        <f t="shared" ref="T5:T11" si="2">B5-D5</f>
        <v>3.8633202468638855E-2</v>
      </c>
      <c r="U5" s="52">
        <f t="shared" ref="U5:U11" si="3">F5-B5</f>
        <v>3.4639214860695863E-2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8.1005418334623963E-2</v>
      </c>
      <c r="C6" s="54">
        <v>4.6598083439187407E-2</v>
      </c>
      <c r="D6" s="55">
        <v>4.5865746399639182E-2</v>
      </c>
      <c r="E6" s="1">
        <v>7.5063866015439074E-2</v>
      </c>
      <c r="F6" s="56">
        <v>0.11289313373471424</v>
      </c>
      <c r="G6" s="2">
        <v>-0.82765166704142579</v>
      </c>
      <c r="H6" s="2">
        <v>1</v>
      </c>
      <c r="I6" s="2">
        <v>0.1414273160050285</v>
      </c>
      <c r="J6" s="2">
        <v>-0.54527293904984697</v>
      </c>
      <c r="K6" s="2">
        <v>4.2054605643540896E-2</v>
      </c>
      <c r="L6" s="2">
        <v>-0.12054512512169437</v>
      </c>
      <c r="M6" s="2">
        <v>0.1449010803718378</v>
      </c>
      <c r="N6" s="2">
        <v>0.99999999999809641</v>
      </c>
      <c r="O6" s="57"/>
      <c r="R6" s="51" t="str">
        <f t="shared" si="0"/>
        <v>Emerging market debt</v>
      </c>
      <c r="S6" s="52">
        <f t="shared" si="1"/>
        <v>4.5865746399639182E-2</v>
      </c>
      <c r="T6" s="52">
        <f t="shared" si="2"/>
        <v>3.5139671934984781E-2</v>
      </c>
      <c r="U6" s="52">
        <f t="shared" si="3"/>
        <v>3.1887715400090277E-2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8.7140469492885175E-2</v>
      </c>
      <c r="C7" s="54">
        <v>2.3016557552947882E-2</v>
      </c>
      <c r="D7" s="55">
        <v>6.9831550110757118E-2</v>
      </c>
      <c r="E7" s="1">
        <v>8.7324469284577461E-2</v>
      </c>
      <c r="F7" s="56">
        <v>0.10368569737378194</v>
      </c>
      <c r="G7" s="2">
        <v>4.6961066111160736E-2</v>
      </c>
      <c r="H7" s="2">
        <v>0.38747550748473469</v>
      </c>
      <c r="I7" s="2">
        <v>-0.1637259801439295</v>
      </c>
      <c r="J7" s="2">
        <v>1</v>
      </c>
      <c r="K7" s="2">
        <v>-0.6767933456108105</v>
      </c>
      <c r="L7" s="2">
        <v>-0.2622097693501092</v>
      </c>
      <c r="M7" s="2">
        <v>-0.537734086597218</v>
      </c>
      <c r="N7" s="2">
        <v>0.99999999999657418</v>
      </c>
      <c r="O7" s="57"/>
      <c r="R7" s="51" t="str">
        <f t="shared" si="0"/>
        <v>Aandelen ontwikkeld</v>
      </c>
      <c r="S7" s="52">
        <f t="shared" si="1"/>
        <v>6.9831550110757118E-2</v>
      </c>
      <c r="T7" s="52">
        <f t="shared" si="2"/>
        <v>1.7308919382128057E-2</v>
      </c>
      <c r="U7" s="52">
        <f t="shared" si="3"/>
        <v>1.6545227880896768E-2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5.4937266403263518E-2</v>
      </c>
      <c r="C8" s="54">
        <v>2.020443450449378E-2</v>
      </c>
      <c r="D8" s="55">
        <v>4.1674723609566276E-2</v>
      </c>
      <c r="E8" s="1">
        <v>5.4790744058679001E-2</v>
      </c>
      <c r="F8" s="56">
        <v>7.0263857641292102E-2</v>
      </c>
      <c r="G8" s="2">
        <v>-2.0683809215110815E-2</v>
      </c>
      <c r="H8" s="2">
        <v>-0.32579299456417238</v>
      </c>
      <c r="I8" s="2">
        <v>-0.19491928852342932</v>
      </c>
      <c r="J8" s="2">
        <v>0.14749765419108385</v>
      </c>
      <c r="K8" s="2">
        <v>1</v>
      </c>
      <c r="L8" s="2">
        <v>-0.36687664976780432</v>
      </c>
      <c r="M8" s="2">
        <v>-0.52534853570071771</v>
      </c>
      <c r="N8" s="2">
        <v>0.9999999999966015</v>
      </c>
      <c r="O8" s="57"/>
      <c r="R8" s="51" t="str">
        <f t="shared" si="0"/>
        <v>Aandelen opkomend</v>
      </c>
      <c r="S8" s="52">
        <f t="shared" si="1"/>
        <v>4.1674723609566276E-2</v>
      </c>
      <c r="T8" s="52">
        <f t="shared" si="2"/>
        <v>1.3262542793697242E-2</v>
      </c>
      <c r="U8" s="52">
        <f t="shared" si="3"/>
        <v>1.5326591238028583E-2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2.2503673046712587E-2</v>
      </c>
      <c r="C9" s="54">
        <v>1.2442451361832137E-2</v>
      </c>
      <c r="D9" s="55">
        <v>1.2928511675215838E-2</v>
      </c>
      <c r="E9" s="1">
        <v>2.2231051576160739E-2</v>
      </c>
      <c r="F9" s="56">
        <v>3.218707545321875E-2</v>
      </c>
      <c r="G9" s="2">
        <v>1.2247242798040689E-2</v>
      </c>
      <c r="H9" s="2">
        <v>3.0491898302112066E-4</v>
      </c>
      <c r="I9" s="2">
        <v>-3.6015356410725258E-2</v>
      </c>
      <c r="J9" s="2">
        <v>-4.1559313788618872E-2</v>
      </c>
      <c r="K9" s="2">
        <v>7.719170860997468E-2</v>
      </c>
      <c r="L9" s="2">
        <v>1</v>
      </c>
      <c r="M9" s="2">
        <v>-0.4093962614763349</v>
      </c>
      <c r="N9" s="2">
        <v>0.99999999999685829</v>
      </c>
      <c r="O9" s="57"/>
      <c r="R9" s="51" t="str">
        <f t="shared" si="0"/>
        <v>Commodities</v>
      </c>
      <c r="S9" s="52">
        <f t="shared" si="1"/>
        <v>1.2928511675215838E-2</v>
      </c>
      <c r="T9" s="52">
        <f t="shared" si="2"/>
        <v>9.5751613714967487E-3</v>
      </c>
      <c r="U9" s="52">
        <f t="shared" si="3"/>
        <v>9.6834024065061627E-3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5.6767380601991033E-2</v>
      </c>
      <c r="C10" s="54">
        <v>3.3553857590458654E-2</v>
      </c>
      <c r="D10" s="55">
        <v>2.8721691486864168E-2</v>
      </c>
      <c r="E10" s="1">
        <v>5.2772333613786623E-2</v>
      </c>
      <c r="F10" s="56">
        <v>8.1233404971105122E-2</v>
      </c>
      <c r="G10" s="2">
        <v>-9.0796514125248917E-2</v>
      </c>
      <c r="H10" s="2">
        <v>-0.71088749453045785</v>
      </c>
      <c r="I10" s="2">
        <v>-0.91198537296741156</v>
      </c>
      <c r="J10" s="2">
        <v>-0.63614281799426453</v>
      </c>
      <c r="K10" s="2">
        <v>-0.41272298417177056</v>
      </c>
      <c r="L10" s="2">
        <v>-0.1060418817978139</v>
      </c>
      <c r="M10" s="2">
        <v>0.22488920919427327</v>
      </c>
      <c r="N10" s="2">
        <v>0.99999999999827416</v>
      </c>
      <c r="O10" s="57"/>
      <c r="R10" s="51" t="str">
        <f t="shared" si="0"/>
        <v>Hedge funds</v>
      </c>
      <c r="S10" s="52">
        <f t="shared" si="1"/>
        <v>2.8721691486864168E-2</v>
      </c>
      <c r="T10" s="52">
        <f t="shared" si="2"/>
        <v>2.8045689115126865E-2</v>
      </c>
      <c r="U10" s="52">
        <f t="shared" si="3"/>
        <v>2.4466024369114089E-2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6.0886331172249931E-2</v>
      </c>
      <c r="C11" s="62">
        <v>3.6512799239895186E-2</v>
      </c>
      <c r="D11" s="63">
        <v>3.2607596871767411E-2</v>
      </c>
      <c r="E11" s="61">
        <v>5.7346315512002047E-2</v>
      </c>
      <c r="F11" s="64">
        <v>8.7862963033754946E-2</v>
      </c>
      <c r="G11" s="65">
        <v>-8.9235754279150509E-2</v>
      </c>
      <c r="H11" s="65">
        <v>-0.86922823076562605</v>
      </c>
      <c r="I11" s="65">
        <v>1</v>
      </c>
      <c r="J11" s="65">
        <v>-0.27418953262989881</v>
      </c>
      <c r="K11" s="65">
        <v>-0.30830252979955119</v>
      </c>
      <c r="L11" s="65">
        <v>-0.14654737584447328</v>
      </c>
      <c r="M11" s="65">
        <v>-8.0697938169888503E-2</v>
      </c>
      <c r="N11" s="65">
        <v>0.99999999999759237</v>
      </c>
      <c r="O11" s="66"/>
      <c r="R11" s="51" t="str">
        <f t="shared" si="0"/>
        <v>Onroerend goed</v>
      </c>
      <c r="S11" s="52">
        <f t="shared" si="1"/>
        <v>3.2607596871767411E-2</v>
      </c>
      <c r="T11" s="52">
        <f t="shared" si="2"/>
        <v>2.8278734300482521E-2</v>
      </c>
      <c r="U11" s="52">
        <f t="shared" si="3"/>
        <v>2.6976631861505014E-2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3" t="s">
        <v>64</v>
      </c>
      <c r="E13" s="384"/>
      <c r="F13" s="385"/>
      <c r="G13" s="383" t="s">
        <v>65</v>
      </c>
      <c r="H13" s="384"/>
      <c r="I13" s="384"/>
      <c r="J13" s="384"/>
      <c r="K13" s="384"/>
      <c r="L13" s="384"/>
      <c r="M13" s="384"/>
      <c r="N13" s="384"/>
      <c r="O13" s="385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0.78288534526636833</v>
      </c>
      <c r="H14" s="272">
        <v>0.13908474210171262</v>
      </c>
      <c r="I14" s="272">
        <v>5.8746499216377757E-2</v>
      </c>
      <c r="J14" s="272">
        <v>1.6509262497875654E-2</v>
      </c>
      <c r="K14" s="272">
        <v>1.532088324554759E-3</v>
      </c>
      <c r="L14" s="272">
        <v>9.5684715138055765E-4</v>
      </c>
      <c r="M14" s="272">
        <v>2.8521544172999125E-4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0.5749562087748783</v>
      </c>
      <c r="C15" s="54">
        <v>3.937138298286641E-2</v>
      </c>
      <c r="D15" s="55">
        <v>0.54714806916725012</v>
      </c>
      <c r="E15" s="1">
        <v>0.575009528142161</v>
      </c>
      <c r="F15" s="56">
        <v>0.6029755577996746</v>
      </c>
      <c r="G15" s="2">
        <v>-0.49965455212613841</v>
      </c>
      <c r="H15" s="2">
        <v>-0.12265984663682064</v>
      </c>
      <c r="I15" s="2">
        <v>-0.38029769504626787</v>
      </c>
      <c r="J15" s="2">
        <v>-0.34957736254392352</v>
      </c>
      <c r="K15" s="2">
        <v>-0.58041606941262158</v>
      </c>
      <c r="L15" s="2">
        <v>-0.78690091265418283</v>
      </c>
      <c r="M15" s="2">
        <v>-0.16397719538018479</v>
      </c>
      <c r="N15" s="2">
        <v>0.99999999999977496</v>
      </c>
      <c r="O15" s="57"/>
      <c r="R15" s="51" t="str">
        <f>A15</f>
        <v>Nominale matching</v>
      </c>
      <c r="S15" s="52">
        <f>D15</f>
        <v>0.54714806916725012</v>
      </c>
      <c r="T15" s="52">
        <f>B15-D15</f>
        <v>2.7808139607628179E-2</v>
      </c>
      <c r="U15" s="52">
        <f>F15-B15</f>
        <v>2.8019349024796303E-2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0.18662957132386238</v>
      </c>
      <c r="C16" s="54">
        <v>7.6404726722852076E-2</v>
      </c>
      <c r="D16" s="55">
        <v>0.12763544493243639</v>
      </c>
      <c r="E16" s="1">
        <v>0.18241021723382514</v>
      </c>
      <c r="F16" s="56">
        <v>0.24023651342672661</v>
      </c>
      <c r="G16" s="2">
        <v>1</v>
      </c>
      <c r="H16" s="2">
        <v>-0.10190017637047161</v>
      </c>
      <c r="I16" s="2">
        <v>-0.23958805269313177</v>
      </c>
      <c r="J16" s="2">
        <v>-0.23794563390099657</v>
      </c>
      <c r="K16" s="2">
        <v>-0.21957409679919079</v>
      </c>
      <c r="L16" s="2">
        <v>4.3956218597894635E-2</v>
      </c>
      <c r="M16" s="2">
        <v>-0.14460060853656151</v>
      </c>
      <c r="N16" s="2">
        <v>0.99999999999987987</v>
      </c>
      <c r="O16" s="57"/>
      <c r="R16" s="51" t="str">
        <f t="shared" ref="R16:R22" si="5">A16</f>
        <v>High Yield</v>
      </c>
      <c r="S16" s="52">
        <f t="shared" ref="S16:S22" si="6">D16</f>
        <v>0.12763544493243639</v>
      </c>
      <c r="T16" s="52">
        <f t="shared" ref="T16:T22" si="7">B16-D16</f>
        <v>5.8994126391425983E-2</v>
      </c>
      <c r="U16" s="52">
        <f t="shared" ref="U16:U22" si="8">F16-B16</f>
        <v>5.3606942102864236E-2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1.4936469358747012E-2</v>
      </c>
      <c r="C17" s="54">
        <v>1.1921464626245104E-2</v>
      </c>
      <c r="D17" s="55">
        <v>5.6802310341193176E-3</v>
      </c>
      <c r="E17" s="1">
        <v>1.1899390782992571E-2</v>
      </c>
      <c r="F17" s="56">
        <v>2.1672919740688558E-2</v>
      </c>
      <c r="G17" s="2">
        <v>2.4282294462597415E-3</v>
      </c>
      <c r="H17" s="2">
        <v>-3.1256013367566705E-2</v>
      </c>
      <c r="I17" s="2">
        <v>-8.7836054261671972E-2</v>
      </c>
      <c r="J17" s="2">
        <v>1</v>
      </c>
      <c r="K17" s="2">
        <v>-0.23631020677566941</v>
      </c>
      <c r="L17" s="2">
        <v>-8.4743642614435288E-2</v>
      </c>
      <c r="M17" s="2">
        <v>-0.1288345822557681</v>
      </c>
      <c r="N17" s="2">
        <v>0.99999999999986566</v>
      </c>
      <c r="O17" s="57"/>
      <c r="R17" s="51" t="str">
        <f t="shared" si="5"/>
        <v>Emerging market debt</v>
      </c>
      <c r="S17" s="52">
        <f t="shared" si="6"/>
        <v>5.6802310341193176E-3</v>
      </c>
      <c r="T17" s="52">
        <f t="shared" si="7"/>
        <v>9.2562383246276945E-3</v>
      </c>
      <c r="U17" s="52">
        <f t="shared" si="8"/>
        <v>6.7364503819415458E-3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1.4328809728656456E-3</v>
      </c>
      <c r="C18" s="54">
        <v>1.6131409585330404E-3</v>
      </c>
      <c r="D18" s="55">
        <v>2.5126859617450768E-4</v>
      </c>
      <c r="E18" s="1">
        <v>8.9052325255169619E-4</v>
      </c>
      <c r="F18" s="56">
        <v>2.079028295035327E-3</v>
      </c>
      <c r="G18" s="2">
        <v>1.8389790583998912E-4</v>
      </c>
      <c r="H18" s="2">
        <v>-4.0357331261283652E-3</v>
      </c>
      <c r="I18" s="2">
        <v>-3.1670447987909738E-3</v>
      </c>
      <c r="J18" s="2">
        <v>-1.5631248694044569E-2</v>
      </c>
      <c r="K18" s="2">
        <v>1.2333869470515154E-2</v>
      </c>
      <c r="L18" s="2">
        <v>-5.9388502674343001E-2</v>
      </c>
      <c r="M18" s="2">
        <v>1</v>
      </c>
      <c r="N18" s="2">
        <v>0.99999999999984102</v>
      </c>
      <c r="O18" s="57"/>
      <c r="R18" s="51" t="str">
        <f t="shared" si="5"/>
        <v>Aandelen ontwikkeld</v>
      </c>
      <c r="S18" s="52">
        <f t="shared" si="6"/>
        <v>2.5126859617450768E-4</v>
      </c>
      <c r="T18" s="52">
        <f t="shared" si="7"/>
        <v>1.1816123766911378E-3</v>
      </c>
      <c r="U18" s="52">
        <f t="shared" si="8"/>
        <v>6.4614732216968147E-4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5.2846761358585265E-2</v>
      </c>
      <c r="C19" s="54">
        <v>3.2946379121615674E-2</v>
      </c>
      <c r="D19" s="55">
        <v>2.6161342967578174E-2</v>
      </c>
      <c r="E19" s="1">
        <v>4.990145170836964E-2</v>
      </c>
      <c r="F19" s="56">
        <v>7.5947078924473665E-2</v>
      </c>
      <c r="G19" s="2">
        <v>-0.1990609901787323</v>
      </c>
      <c r="H19" s="2">
        <v>1</v>
      </c>
      <c r="I19" s="2">
        <v>-0.20844392175033002</v>
      </c>
      <c r="J19" s="2">
        <v>-0.12250708372554249</v>
      </c>
      <c r="K19" s="2">
        <v>8.124384531750381E-2</v>
      </c>
      <c r="L19" s="2">
        <v>0.72635649038697947</v>
      </c>
      <c r="M19" s="2">
        <v>-0.1253095000450257</v>
      </c>
      <c r="N19" s="2">
        <v>0.99999999999996469</v>
      </c>
      <c r="O19" s="57"/>
      <c r="R19" s="51" t="str">
        <f t="shared" si="5"/>
        <v>Aandelen opkomend</v>
      </c>
      <c r="S19" s="52">
        <f t="shared" si="6"/>
        <v>2.6161342967578174E-2</v>
      </c>
      <c r="T19" s="52">
        <f t="shared" si="7"/>
        <v>2.668541839100709E-2</v>
      </c>
      <c r="U19" s="52">
        <f t="shared" si="8"/>
        <v>2.3100317565888401E-2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0.13485822296871094</v>
      </c>
      <c r="C20" s="54">
        <v>3.262999102636481E-2</v>
      </c>
      <c r="D20" s="55">
        <v>0.11370157864389133</v>
      </c>
      <c r="E20" s="1">
        <v>0.13495505414461137</v>
      </c>
      <c r="F20" s="56">
        <v>0.15568353885295971</v>
      </c>
      <c r="G20" s="2">
        <v>-0.2939141603369046</v>
      </c>
      <c r="H20" s="2">
        <v>-0.81835382676135282</v>
      </c>
      <c r="I20" s="2">
        <v>-5.9063405066599239E-2</v>
      </c>
      <c r="J20" s="2">
        <v>-0.11983123042132569</v>
      </c>
      <c r="K20" s="2">
        <v>0.18718403732857872</v>
      </c>
      <c r="L20" s="2">
        <v>1</v>
      </c>
      <c r="M20" s="2">
        <v>-0.1238701515161147</v>
      </c>
      <c r="N20" s="2">
        <v>1</v>
      </c>
      <c r="O20" s="57"/>
      <c r="R20" s="51" t="str">
        <f t="shared" si="5"/>
        <v>Commodities</v>
      </c>
      <c r="S20" s="52">
        <f t="shared" si="6"/>
        <v>0.11370157864389133</v>
      </c>
      <c r="T20" s="52">
        <f t="shared" si="7"/>
        <v>2.1156644324819618E-2</v>
      </c>
      <c r="U20" s="52">
        <f t="shared" si="8"/>
        <v>2.0825315884248768E-2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3.0875885888498746E-2</v>
      </c>
      <c r="C21" s="54">
        <v>2.2035908194190316E-2</v>
      </c>
      <c r="D21" s="55">
        <v>1.2460701684223623E-2</v>
      </c>
      <c r="E21" s="1">
        <v>2.740177425242895E-2</v>
      </c>
      <c r="F21" s="56">
        <v>4.501752115945204E-2</v>
      </c>
      <c r="G21" s="2">
        <v>-9.0875114121744659E-3</v>
      </c>
      <c r="H21" s="2">
        <v>8.6118696929395083E-2</v>
      </c>
      <c r="I21" s="2">
        <v>1</v>
      </c>
      <c r="J21" s="2">
        <v>-0.13519653384738745</v>
      </c>
      <c r="K21" s="2">
        <v>-0.24446137912917976</v>
      </c>
      <c r="L21" s="2">
        <v>-0.10182078453910677</v>
      </c>
      <c r="M21" s="2">
        <v>-0.14228706689061019</v>
      </c>
      <c r="N21" s="2">
        <v>0.99999999999986289</v>
      </c>
      <c r="O21" s="57"/>
      <c r="R21" s="51" t="str">
        <f t="shared" si="5"/>
        <v>Hedge funds</v>
      </c>
      <c r="S21" s="52">
        <f t="shared" si="6"/>
        <v>1.2460701684223623E-2</v>
      </c>
      <c r="T21" s="52">
        <f t="shared" si="7"/>
        <v>1.8415184204275122E-2</v>
      </c>
      <c r="U21" s="52">
        <f t="shared" si="8"/>
        <v>1.4141635270953294E-2</v>
      </c>
    </row>
    <row r="22" spans="1:30">
      <c r="A22" s="60" t="str">
        <f t="shared" si="4"/>
        <v>Onroerend goed</v>
      </c>
      <c r="B22" s="286">
        <v>3.4639993538513945E-3</v>
      </c>
      <c r="C22" s="62">
        <v>3.5310670139697916E-3</v>
      </c>
      <c r="D22" s="63">
        <v>8.1840163442420031E-4</v>
      </c>
      <c r="E22" s="61">
        <v>2.6067452787881182E-3</v>
      </c>
      <c r="F22" s="64">
        <v>4.9631565573761815E-3</v>
      </c>
      <c r="G22" s="65">
        <v>-8.9491329815003374E-4</v>
      </c>
      <c r="H22" s="65">
        <v>-7.9131006670540883E-3</v>
      </c>
      <c r="I22" s="65">
        <v>-2.1603826383208544E-2</v>
      </c>
      <c r="J22" s="65">
        <v>-1.9310906866780244E-2</v>
      </c>
      <c r="K22" s="65">
        <v>1</v>
      </c>
      <c r="L22" s="65">
        <v>-0.73745886650310033</v>
      </c>
      <c r="M22" s="65">
        <v>-0.17112089537569752</v>
      </c>
      <c r="N22" s="65">
        <v>0.99999999999984635</v>
      </c>
      <c r="O22" s="66"/>
      <c r="R22" s="51" t="str">
        <f t="shared" si="5"/>
        <v>Onroerend goed</v>
      </c>
      <c r="S22" s="52">
        <f t="shared" si="6"/>
        <v>8.1840163442420031E-4</v>
      </c>
      <c r="T22" s="52">
        <f t="shared" si="7"/>
        <v>2.6455977194271944E-3</v>
      </c>
      <c r="U22" s="52">
        <f t="shared" si="8"/>
        <v>1.499157203524787E-3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3" t="s">
        <v>64</v>
      </c>
      <c r="E24" s="384"/>
      <c r="F24" s="385"/>
      <c r="G24" s="383" t="s">
        <v>65</v>
      </c>
      <c r="H24" s="384"/>
      <c r="I24" s="384"/>
      <c r="J24" s="384"/>
      <c r="K24" s="384"/>
      <c r="L24" s="384"/>
      <c r="M24" s="384"/>
      <c r="N24" s="384"/>
      <c r="O24" s="385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0.94253143676828777</v>
      </c>
      <c r="H25" s="272">
        <v>4.5324126294921552E-2</v>
      </c>
      <c r="I25" s="272">
        <v>9.0017233777434091E-3</v>
      </c>
      <c r="J25" s="272">
        <v>1.7047845267519346E-3</v>
      </c>
      <c r="K25" s="272">
        <v>1.108365325976024E-3</v>
      </c>
      <c r="L25" s="272">
        <v>2.4528668855294811E-4</v>
      </c>
      <c r="M25" s="272">
        <v>8.427701776902996E-5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0.78328071561288071</v>
      </c>
      <c r="C26" s="54">
        <v>4.4949055045451672E-2</v>
      </c>
      <c r="D26" s="55">
        <v>0.74659048455063393</v>
      </c>
      <c r="E26" s="1">
        <v>0.7779908362121255</v>
      </c>
      <c r="F26" s="56">
        <v>0.81621824544585664</v>
      </c>
      <c r="G26" s="68">
        <v>1</v>
      </c>
      <c r="H26" s="68">
        <v>-0.41129206286182196</v>
      </c>
      <c r="I26" s="68">
        <v>-0.33360597469587505</v>
      </c>
      <c r="J26" s="68">
        <v>-0.39848075457608606</v>
      </c>
      <c r="K26" s="68">
        <v>-7.1648585407850268E-2</v>
      </c>
      <c r="L26" s="68">
        <v>-0.16921503843522204</v>
      </c>
      <c r="M26" s="2">
        <v>-0.13330311921437113</v>
      </c>
      <c r="N26" s="2">
        <v>0.99999999999999867</v>
      </c>
      <c r="O26" s="69"/>
      <c r="R26" s="51" t="str">
        <f>A26</f>
        <v>Nominale matching</v>
      </c>
      <c r="S26" s="52">
        <f>D26</f>
        <v>0.74659048455063393</v>
      </c>
      <c r="T26" s="52">
        <f>B26-D26</f>
        <v>3.6690231062246781E-2</v>
      </c>
      <c r="U26" s="52">
        <f>F26-B26</f>
        <v>3.2937529832975931E-2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1.9077726566221387E-3</v>
      </c>
      <c r="C27" s="54">
        <v>2.1676205771686092E-3</v>
      </c>
      <c r="D27" s="55">
        <v>4.4624039680647536E-4</v>
      </c>
      <c r="E27" s="1">
        <v>1.1616677580811954E-3</v>
      </c>
      <c r="F27" s="56">
        <v>2.7584962519587343E-3</v>
      </c>
      <c r="G27" s="68">
        <v>-5.9821210230480721E-3</v>
      </c>
      <c r="H27" s="68">
        <v>-6.7988676808737871E-3</v>
      </c>
      <c r="I27" s="68">
        <v>4.1508685061550525E-2</v>
      </c>
      <c r="J27" s="68">
        <v>1</v>
      </c>
      <c r="K27" s="68">
        <v>-0.736993710699128</v>
      </c>
      <c r="L27" s="68">
        <v>-0.20537570976241074</v>
      </c>
      <c r="M27" s="2">
        <v>-0.12069117293910338</v>
      </c>
      <c r="N27" s="2">
        <v>0.9999999999999688</v>
      </c>
      <c r="O27" s="69"/>
      <c r="R27" s="51" t="str">
        <f t="shared" ref="R27:R33" si="10">A27</f>
        <v>High Yield</v>
      </c>
      <c r="S27" s="52">
        <f t="shared" ref="S27:S33" si="11">D27</f>
        <v>4.4624039680647536E-4</v>
      </c>
      <c r="T27" s="52">
        <f t="shared" ref="T27:T33" si="12">B27-D27</f>
        <v>1.4615322598156633E-3</v>
      </c>
      <c r="U27" s="52">
        <f t="shared" ref="U27:U33" si="13">F27-B27</f>
        <v>8.5072359533659562E-4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1.3595195293279591E-2</v>
      </c>
      <c r="C28" s="54">
        <v>1.1408837736874356E-2</v>
      </c>
      <c r="D28" s="55">
        <v>5.1174023303065183E-3</v>
      </c>
      <c r="E28" s="1">
        <v>1.1143586812791808E-2</v>
      </c>
      <c r="F28" s="56">
        <v>1.8683715609112271E-2</v>
      </c>
      <c r="G28" s="68">
        <v>-7.0744475668827939E-2</v>
      </c>
      <c r="H28" s="68">
        <v>1</v>
      </c>
      <c r="I28" s="68">
        <v>-0.33135843661495407</v>
      </c>
      <c r="J28" s="68">
        <v>-0.38520638333022578</v>
      </c>
      <c r="K28" s="68">
        <v>-6.7861721235359496E-2</v>
      </c>
      <c r="L28" s="68">
        <v>-0.16170762411988854</v>
      </c>
      <c r="M28" s="2">
        <v>-0.12971631821515744</v>
      </c>
      <c r="N28" s="2">
        <v>0.999999999999994</v>
      </c>
      <c r="O28" s="69"/>
      <c r="R28" s="51" t="str">
        <f t="shared" si="10"/>
        <v>Emerging market debt</v>
      </c>
      <c r="S28" s="52">
        <f t="shared" si="11"/>
        <v>5.1174023303065183E-3</v>
      </c>
      <c r="T28" s="52">
        <f t="shared" si="12"/>
        <v>8.4777929629730724E-3</v>
      </c>
      <c r="U28" s="52">
        <f t="shared" si="13"/>
        <v>5.0885203158326803E-3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3.2570713579514895E-4</v>
      </c>
      <c r="C29" s="54">
        <v>5.3462815314748026E-4</v>
      </c>
      <c r="D29" s="55">
        <v>1.2907178347474162E-5</v>
      </c>
      <c r="E29" s="1">
        <v>1.0874476476746103E-4</v>
      </c>
      <c r="F29" s="56">
        <v>4.1546894876086317E-4</v>
      </c>
      <c r="G29" s="68">
        <v>-9.5847666017417009E-4</v>
      </c>
      <c r="H29" s="68">
        <v>-4.2754131157911567E-3</v>
      </c>
      <c r="I29" s="68">
        <v>2.1678321038157001E-3</v>
      </c>
      <c r="J29" s="68">
        <v>-2.6868969170330561E-3</v>
      </c>
      <c r="K29" s="68">
        <v>1.7135858156221366E-2</v>
      </c>
      <c r="L29" s="68">
        <v>6.1081915770186235E-2</v>
      </c>
      <c r="M29" s="2">
        <v>1</v>
      </c>
      <c r="N29" s="2">
        <v>0.9999999999997029</v>
      </c>
      <c r="O29" s="69"/>
      <c r="R29" s="51" t="str">
        <f t="shared" si="10"/>
        <v>Aandelen ontwikkeld</v>
      </c>
      <c r="S29" s="52">
        <f t="shared" si="11"/>
        <v>1.2907178347474162E-5</v>
      </c>
      <c r="T29" s="52">
        <f t="shared" si="12"/>
        <v>3.127999574476748E-4</v>
      </c>
      <c r="U29" s="52">
        <f t="shared" si="13"/>
        <v>8.9761812965714221E-5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1.677817707621187E-3</v>
      </c>
      <c r="C30" s="54">
        <v>1.9972994912901281E-3</v>
      </c>
      <c r="D30" s="55">
        <v>2.7108429391002652E-4</v>
      </c>
      <c r="E30" s="1">
        <v>9.8295523034614557E-4</v>
      </c>
      <c r="F30" s="56">
        <v>2.4374409755168504E-3</v>
      </c>
      <c r="G30" s="68">
        <v>-5.1435288661773439E-3</v>
      </c>
      <c r="H30" s="68">
        <v>-8.1729549398597834E-3</v>
      </c>
      <c r="I30" s="68">
        <v>1.1432592347476862E-2</v>
      </c>
      <c r="J30" s="68">
        <v>0.6255631138541875</v>
      </c>
      <c r="K30" s="68">
        <v>1</v>
      </c>
      <c r="L30" s="68">
        <v>-0.18765738361768516</v>
      </c>
      <c r="M30" s="2">
        <v>-0.14409451695636932</v>
      </c>
      <c r="N30" s="2">
        <v>0.99999999999997402</v>
      </c>
      <c r="O30" s="69"/>
      <c r="R30" s="51" t="str">
        <f t="shared" si="10"/>
        <v>Aandelen opkomend</v>
      </c>
      <c r="S30" s="52">
        <f t="shared" si="11"/>
        <v>2.7108429391002652E-4</v>
      </c>
      <c r="T30" s="52">
        <f t="shared" si="12"/>
        <v>1.4067334137111605E-3</v>
      </c>
      <c r="U30" s="52">
        <f t="shared" si="13"/>
        <v>7.596232678956634E-4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0.19346840744270685</v>
      </c>
      <c r="C31" s="54">
        <v>3.9959253207484162E-2</v>
      </c>
      <c r="D31" s="55">
        <v>0.16339629983999532</v>
      </c>
      <c r="E31" s="1">
        <v>0.19581357387615095</v>
      </c>
      <c r="F31" s="56">
        <v>0.22755348375183077</v>
      </c>
      <c r="G31" s="68">
        <v>-0.8831119695235542</v>
      </c>
      <c r="H31" s="68">
        <v>-0.54513418024124916</v>
      </c>
      <c r="I31" s="68">
        <v>-0.38692846728538843</v>
      </c>
      <c r="J31" s="68">
        <v>-0.41431868087483714</v>
      </c>
      <c r="K31" s="68">
        <v>-7.4528776698736796E-2</v>
      </c>
      <c r="L31" s="68">
        <v>-0.17365418171938521</v>
      </c>
      <c r="M31" s="2">
        <v>-0.13453978068431904</v>
      </c>
      <c r="N31" s="2">
        <v>1</v>
      </c>
      <c r="O31" s="69"/>
      <c r="R31" s="51" t="str">
        <f t="shared" si="10"/>
        <v>Commodities</v>
      </c>
      <c r="S31" s="52">
        <f t="shared" si="11"/>
        <v>0.16339629983999532</v>
      </c>
      <c r="T31" s="52">
        <f t="shared" si="12"/>
        <v>3.0072107602711534E-2</v>
      </c>
      <c r="U31" s="52">
        <f t="shared" si="13"/>
        <v>3.4085076309123913E-2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5.0365343344510854E-3</v>
      </c>
      <c r="C32" s="54">
        <v>5.245285373496898E-3</v>
      </c>
      <c r="D32" s="55">
        <v>1.2613832892028715E-3</v>
      </c>
      <c r="E32" s="1">
        <v>3.5554014467704897E-3</v>
      </c>
      <c r="F32" s="56">
        <v>6.6327672947640859E-3</v>
      </c>
      <c r="G32" s="68">
        <v>-3.1236851366311436E-2</v>
      </c>
      <c r="H32" s="68">
        <v>-1.6419498041326468E-2</v>
      </c>
      <c r="I32" s="68">
        <v>1</v>
      </c>
      <c r="J32" s="68">
        <v>-0.46940008826334834</v>
      </c>
      <c r="K32" s="68">
        <v>-5.6136410602136901E-2</v>
      </c>
      <c r="L32" s="68">
        <v>-0.16347197811548092</v>
      </c>
      <c r="M32" s="2">
        <v>-0.13567093857541837</v>
      </c>
      <c r="N32" s="2">
        <v>0.99999999999999345</v>
      </c>
      <c r="O32" s="69"/>
      <c r="R32" s="51" t="str">
        <f t="shared" si="10"/>
        <v>Hedge funds</v>
      </c>
      <c r="S32" s="52">
        <f t="shared" si="11"/>
        <v>1.2613832892028715E-3</v>
      </c>
      <c r="T32" s="52">
        <f t="shared" si="12"/>
        <v>3.7751510452482141E-3</v>
      </c>
      <c r="U32" s="52">
        <f t="shared" si="13"/>
        <v>1.5962329603130005E-3</v>
      </c>
    </row>
    <row r="33" spans="1:30">
      <c r="A33" s="60" t="str">
        <f t="shared" si="9"/>
        <v>Onroerend goed</v>
      </c>
      <c r="B33" s="61">
        <v>7.0784981664355267E-4</v>
      </c>
      <c r="C33" s="62">
        <v>9.0525200038224214E-4</v>
      </c>
      <c r="D33" s="63">
        <v>9.0112776773304418E-5</v>
      </c>
      <c r="E33" s="61">
        <v>3.3469627245593097E-4</v>
      </c>
      <c r="F33" s="64">
        <v>1.0108229809801376E-3</v>
      </c>
      <c r="G33" s="70">
        <v>-2.8225768919066291E-3</v>
      </c>
      <c r="H33" s="70">
        <v>-7.9070231190752176E-3</v>
      </c>
      <c r="I33" s="70">
        <v>-3.2162309166200143E-3</v>
      </c>
      <c r="J33" s="70">
        <v>4.4529690107388713E-2</v>
      </c>
      <c r="K33" s="70">
        <v>-9.966653513003956E-3</v>
      </c>
      <c r="L33" s="70">
        <v>1</v>
      </c>
      <c r="M33" s="65">
        <v>-0.2019841534149947</v>
      </c>
      <c r="N33" s="65">
        <v>0.9999999999998912</v>
      </c>
      <c r="O33" s="71"/>
      <c r="R33" s="51" t="str">
        <f t="shared" si="10"/>
        <v>Onroerend goed</v>
      </c>
      <c r="S33" s="52">
        <f t="shared" si="11"/>
        <v>9.0112776773304418E-5</v>
      </c>
      <c r="T33" s="52">
        <f t="shared" si="12"/>
        <v>6.1773703987024831E-4</v>
      </c>
      <c r="U33" s="52">
        <f t="shared" si="13"/>
        <v>3.0297316433658492E-4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3" t="s">
        <v>64</v>
      </c>
      <c r="E35" s="384"/>
      <c r="F35" s="385"/>
      <c r="G35" s="383" t="s">
        <v>65</v>
      </c>
      <c r="H35" s="384"/>
      <c r="I35" s="384"/>
      <c r="J35" s="384"/>
      <c r="K35" s="384"/>
      <c r="L35" s="384"/>
      <c r="M35" s="384"/>
      <c r="N35" s="384"/>
      <c r="O35" s="385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0.78871922360021518</v>
      </c>
      <c r="H36" s="272">
        <v>0.13662749436942767</v>
      </c>
      <c r="I36" s="272">
        <v>3.7109636704326543E-2</v>
      </c>
      <c r="J36" s="272">
        <v>1.835975860828154E-2</v>
      </c>
      <c r="K36" s="272">
        <v>1.1232378418606914E-2</v>
      </c>
      <c r="L36" s="272">
        <v>6.5060368190501539E-3</v>
      </c>
      <c r="M36" s="272">
        <v>1.4454714800922197E-3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0.50224217822971995</v>
      </c>
      <c r="C37" s="54">
        <v>2.7294445320792882E-2</v>
      </c>
      <c r="D37" s="55">
        <v>0.48221556051732301</v>
      </c>
      <c r="E37" s="1">
        <v>0.49946483614639714</v>
      </c>
      <c r="F37" s="56">
        <v>0.51904534970287974</v>
      </c>
      <c r="G37" s="2">
        <v>-0.41577588942961302</v>
      </c>
      <c r="H37" s="2">
        <v>7.4810611568385782E-2</v>
      </c>
      <c r="I37" s="2">
        <v>-0.39688477319286342</v>
      </c>
      <c r="J37" s="2">
        <v>-0.15657973245735532</v>
      </c>
      <c r="K37" s="2">
        <v>0.15883071637327092</v>
      </c>
      <c r="L37" s="2">
        <v>-0.31760354056969914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0.48221556051732301</v>
      </c>
      <c r="T37" s="52">
        <f>B37-D37</f>
        <v>2.0026617712396944E-2</v>
      </c>
      <c r="U37" s="52">
        <f>F37-B37</f>
        <v>1.6803171473159795E-2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0.35478962257899305</v>
      </c>
      <c r="C38" s="54">
        <v>6.3800563928549756E-2</v>
      </c>
      <c r="D38" s="55">
        <v>0.31098204076122105</v>
      </c>
      <c r="E38" s="1">
        <v>0.35882680299595404</v>
      </c>
      <c r="F38" s="56">
        <v>0.3994292776455613</v>
      </c>
      <c r="G38" s="2">
        <v>1</v>
      </c>
      <c r="H38" s="2">
        <v>-0.14512687884780395</v>
      </c>
      <c r="I38" s="2">
        <v>-0.28155621835310529</v>
      </c>
      <c r="J38" s="2">
        <v>-0.23816705716560249</v>
      </c>
      <c r="K38" s="2">
        <v>-0.10999650438436739</v>
      </c>
      <c r="L38" s="2">
        <v>-0.15503126329848357</v>
      </c>
      <c r="M38" s="2">
        <v>8.5357946865055684E-2</v>
      </c>
      <c r="N38" s="2">
        <v>0.99999999999992051</v>
      </c>
      <c r="O38" s="57"/>
      <c r="R38" s="51" t="str">
        <f t="shared" ref="R38:R44" si="15">A38</f>
        <v>High Yield</v>
      </c>
      <c r="S38" s="52">
        <f t="shared" ref="S38:S44" si="16">D38</f>
        <v>0.31098204076122105</v>
      </c>
      <c r="T38" s="52">
        <f t="shared" ref="T38:T44" si="17">B38-D38</f>
        <v>4.3807581817772001E-2</v>
      </c>
      <c r="U38" s="52">
        <f t="shared" ref="U38:U44" si="18">F38-B38</f>
        <v>4.4639655066568251E-2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7.5078569998237024E-3</v>
      </c>
      <c r="C39" s="54">
        <v>6.2695299140085748E-3</v>
      </c>
      <c r="D39" s="55">
        <v>2.4598822319072703E-3</v>
      </c>
      <c r="E39" s="1">
        <v>6.1025756373224854E-3</v>
      </c>
      <c r="F39" s="56">
        <v>1.0555692085699208E-2</v>
      </c>
      <c r="G39" s="2">
        <v>8.9472545995746553E-4</v>
      </c>
      <c r="H39" s="2">
        <v>-5.8299802010407407E-3</v>
      </c>
      <c r="I39" s="2">
        <v>-3.2743705646323618E-2</v>
      </c>
      <c r="J39" s="2">
        <v>4.7078372381070981E-2</v>
      </c>
      <c r="K39" s="2">
        <v>8.5316912052404284E-2</v>
      </c>
      <c r="L39" s="2">
        <v>1</v>
      </c>
      <c r="M39" s="2">
        <v>0.25085944604141958</v>
      </c>
      <c r="N39" s="2">
        <v>0.99999999999992051</v>
      </c>
      <c r="O39" s="57"/>
      <c r="R39" s="51" t="str">
        <f t="shared" si="15"/>
        <v>Emerging market debt</v>
      </c>
      <c r="S39" s="52">
        <f t="shared" si="16"/>
        <v>2.4598822319072703E-3</v>
      </c>
      <c r="T39" s="52">
        <f t="shared" si="17"/>
        <v>5.047974767916432E-3</v>
      </c>
      <c r="U39" s="52">
        <f t="shared" si="18"/>
        <v>3.047835085875506E-3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8.011986515903775E-3</v>
      </c>
      <c r="C40" s="54">
        <v>7.9100345860492367E-3</v>
      </c>
      <c r="D40" s="55">
        <v>2.0305495539164053E-3</v>
      </c>
      <c r="E40" s="1">
        <v>5.5614344137194767E-3</v>
      </c>
      <c r="F40" s="56">
        <v>1.1729675859151027E-2</v>
      </c>
      <c r="G40" s="2">
        <v>-1.5068335803783662E-3</v>
      </c>
      <c r="H40" s="2">
        <v>-5.5364827147361007E-3</v>
      </c>
      <c r="I40" s="2">
        <v>3.1011494773012099E-2</v>
      </c>
      <c r="J40" s="2">
        <v>0.24105648262007101</v>
      </c>
      <c r="K40" s="2">
        <v>1</v>
      </c>
      <c r="L40" s="2">
        <v>-0.15699570299117893</v>
      </c>
      <c r="M40" s="2">
        <v>-0.47781938186171852</v>
      </c>
      <c r="N40" s="2">
        <v>0.99999999999987288</v>
      </c>
      <c r="O40" s="57"/>
      <c r="R40" s="51" t="str">
        <f t="shared" si="15"/>
        <v>Aandelen ontwikkeld</v>
      </c>
      <c r="S40" s="52">
        <f t="shared" si="16"/>
        <v>2.0305495539164053E-3</v>
      </c>
      <c r="T40" s="52">
        <f t="shared" si="17"/>
        <v>5.9814369619873697E-3</v>
      </c>
      <c r="U40" s="52">
        <f t="shared" si="18"/>
        <v>3.7176893432472515E-3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3.3884336998753976E-2</v>
      </c>
      <c r="C41" s="54">
        <v>2.6176398538210664E-2</v>
      </c>
      <c r="D41" s="55">
        <v>1.3252922402653841E-2</v>
      </c>
      <c r="E41" s="1">
        <v>2.6706570024498999E-2</v>
      </c>
      <c r="F41" s="56">
        <v>5.0354547339143393E-2</v>
      </c>
      <c r="G41" s="2">
        <v>-0.16893817798355004</v>
      </c>
      <c r="H41" s="2">
        <v>1</v>
      </c>
      <c r="I41" s="2">
        <v>-0.13190838951910655</v>
      </c>
      <c r="J41" s="2">
        <v>-0.29237827953004258</v>
      </c>
      <c r="K41" s="2">
        <v>-0.29037128067198192</v>
      </c>
      <c r="L41" s="2">
        <v>-3.6142182511190092E-2</v>
      </c>
      <c r="M41" s="2">
        <v>-0.53359228441493056</v>
      </c>
      <c r="N41" s="2">
        <v>0.99999999999986477</v>
      </c>
      <c r="O41" s="57"/>
      <c r="R41" s="51" t="str">
        <f t="shared" si="15"/>
        <v>Aandelen opkomend</v>
      </c>
      <c r="S41" s="52">
        <f t="shared" si="16"/>
        <v>1.3252922402653841E-2</v>
      </c>
      <c r="T41" s="52">
        <f t="shared" si="17"/>
        <v>2.0631414596100135E-2</v>
      </c>
      <c r="U41" s="52">
        <f t="shared" si="18"/>
        <v>1.6470210340389417E-2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6.3345782262113653E-2</v>
      </c>
      <c r="C42" s="54">
        <v>3.3139051000478731E-2</v>
      </c>
      <c r="D42" s="55">
        <v>3.9491191388218876E-2</v>
      </c>
      <c r="E42" s="1">
        <v>6.2487136209745484E-2</v>
      </c>
      <c r="F42" s="56">
        <v>8.678586126620659E-2</v>
      </c>
      <c r="G42" s="2">
        <v>-0.41142171175099029</v>
      </c>
      <c r="H42" s="2">
        <v>-0.83933776507164759</v>
      </c>
      <c r="I42" s="2">
        <v>-0.20653070137652105</v>
      </c>
      <c r="J42" s="2">
        <v>-0.33873552910488247</v>
      </c>
      <c r="K42" s="2">
        <v>-0.29992079219807843</v>
      </c>
      <c r="L42" s="2">
        <v>-3.6692281198863128E-2</v>
      </c>
      <c r="M42" s="2">
        <v>-0.57564627915233824</v>
      </c>
      <c r="N42" s="2">
        <v>0.99999999999986255</v>
      </c>
      <c r="O42" s="57"/>
      <c r="R42" s="51" t="str">
        <f t="shared" si="15"/>
        <v>Commodities</v>
      </c>
      <c r="S42" s="52">
        <f t="shared" si="16"/>
        <v>3.9491191388218876E-2</v>
      </c>
      <c r="T42" s="52">
        <f t="shared" si="17"/>
        <v>2.3854590873894778E-2</v>
      </c>
      <c r="U42" s="52">
        <f t="shared" si="18"/>
        <v>2.3440079004092937E-2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1.8918343350395002E-2</v>
      </c>
      <c r="C43" s="54">
        <v>1.449354081492692E-2</v>
      </c>
      <c r="D43" s="55">
        <v>7.8922602013887927E-3</v>
      </c>
      <c r="E43" s="1">
        <v>1.551744764950307E-2</v>
      </c>
      <c r="F43" s="56">
        <v>2.6628649600344164E-2</v>
      </c>
      <c r="G43" s="2">
        <v>9.6007684858659386E-3</v>
      </c>
      <c r="H43" s="2">
        <v>-5.213028538301856E-2</v>
      </c>
      <c r="I43" s="2">
        <v>1</v>
      </c>
      <c r="J43" s="2">
        <v>-0.26227425674325533</v>
      </c>
      <c r="K43" s="2">
        <v>-8.7909604610729136E-2</v>
      </c>
      <c r="L43" s="2">
        <v>-0.14153160651040336</v>
      </c>
      <c r="M43" s="2">
        <v>0.2547486041698438</v>
      </c>
      <c r="N43" s="2">
        <v>0.99999999999993094</v>
      </c>
      <c r="O43" s="57"/>
      <c r="R43" s="51" t="str">
        <f t="shared" si="15"/>
        <v>Hedge funds</v>
      </c>
      <c r="S43" s="52">
        <f t="shared" si="16"/>
        <v>7.8922602013887927E-3</v>
      </c>
      <c r="T43" s="52">
        <f t="shared" si="17"/>
        <v>1.1026083149006209E-2</v>
      </c>
      <c r="U43" s="52">
        <f t="shared" si="18"/>
        <v>7.7103062499491622E-3</v>
      </c>
    </row>
    <row r="44" spans="1:30">
      <c r="A44" s="60" t="str">
        <f t="shared" si="14"/>
        <v>Onroerend goed</v>
      </c>
      <c r="B44" s="61">
        <v>1.1299893064296632E-2</v>
      </c>
      <c r="C44" s="62">
        <v>1.0237036751756622E-2</v>
      </c>
      <c r="D44" s="63">
        <v>3.3790541981335341E-3</v>
      </c>
      <c r="E44" s="61">
        <v>8.3616457235650855E-3</v>
      </c>
      <c r="F44" s="64">
        <v>1.6329560621621258E-2</v>
      </c>
      <c r="G44" s="65">
        <v>-1.2852881201292191E-2</v>
      </c>
      <c r="H44" s="65">
        <v>-2.6849219350138159E-2</v>
      </c>
      <c r="I44" s="65">
        <v>1.8612293314911245E-2</v>
      </c>
      <c r="J44" s="65">
        <v>1</v>
      </c>
      <c r="K44" s="65">
        <v>-0.45594944656052144</v>
      </c>
      <c r="L44" s="65">
        <v>-0.15600342292016972</v>
      </c>
      <c r="M44" s="65">
        <v>-3.9080516475009756E-3</v>
      </c>
      <c r="N44" s="65">
        <v>0.99999999999990785</v>
      </c>
      <c r="O44" s="66"/>
      <c r="R44" s="51" t="str">
        <f t="shared" si="15"/>
        <v>Onroerend goed</v>
      </c>
      <c r="S44" s="52">
        <f t="shared" si="16"/>
        <v>3.3790541981335341E-3</v>
      </c>
      <c r="T44" s="52">
        <f t="shared" si="17"/>
        <v>7.9208388661630991E-3</v>
      </c>
      <c r="U44" s="52">
        <f t="shared" si="18"/>
        <v>5.0296675573246255E-3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3" t="s">
        <v>64</v>
      </c>
      <c r="E46" s="384"/>
      <c r="F46" s="385"/>
      <c r="G46" s="383" t="s">
        <v>65</v>
      </c>
      <c r="H46" s="384"/>
      <c r="I46" s="384"/>
      <c r="J46" s="384"/>
      <c r="K46" s="384"/>
      <c r="L46" s="384"/>
      <c r="M46" s="384"/>
      <c r="N46" s="384"/>
      <c r="O46" s="385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0.63167042455531885</v>
      </c>
      <c r="H47" s="272">
        <v>0.13894436854693715</v>
      </c>
      <c r="I47" s="272">
        <v>6.4216939609483936E-2</v>
      </c>
      <c r="J47" s="272">
        <v>5.8277039942024156E-2</v>
      </c>
      <c r="K47" s="272">
        <v>4.8245149523757469E-2</v>
      </c>
      <c r="L47" s="272">
        <v>3.477801692420901E-2</v>
      </c>
      <c r="M47" s="272">
        <v>2.3868060898269206E-2</v>
      </c>
      <c r="N47" s="272">
        <v>-2.2204460492503131E-16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0.99951772230649738</v>
      </c>
      <c r="C48" s="54">
        <v>2.7618248141322692E-4</v>
      </c>
      <c r="D48" s="55">
        <v>0.99931780465692999</v>
      </c>
      <c r="E48" s="1">
        <v>0.99953037398481459</v>
      </c>
      <c r="F48" s="56">
        <v>0.99974379018238646</v>
      </c>
      <c r="G48" s="68">
        <v>1</v>
      </c>
      <c r="H48" s="68">
        <v>0.67992005193047245</v>
      </c>
      <c r="I48" s="68">
        <v>5.1230485358276867E-3</v>
      </c>
      <c r="J48" s="68">
        <v>-8.9064462512594519E-2</v>
      </c>
      <c r="K48" s="68">
        <v>-0.1088936446023076</v>
      </c>
      <c r="L48" s="68">
        <v>-0.11233188417868123</v>
      </c>
      <c r="M48" s="2">
        <v>-9.5388669615706995E-2</v>
      </c>
      <c r="N48" s="2">
        <v>0.99999999999994738</v>
      </c>
      <c r="O48" s="69"/>
      <c r="R48" s="51" t="str">
        <f>A48</f>
        <v>Nominale matching</v>
      </c>
      <c r="S48" s="52">
        <f>D48</f>
        <v>0.99931780465692999</v>
      </c>
      <c r="T48" s="52">
        <f>B48-D48</f>
        <v>1.9991764956739377E-4</v>
      </c>
      <c r="U48" s="52">
        <f>F48-B48</f>
        <v>2.2606787588907995E-4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6.5857399035425149E-5</v>
      </c>
      <c r="C49" s="54">
        <v>1.0687487560494308E-4</v>
      </c>
      <c r="D49" s="55">
        <v>1.0429872640552892E-6</v>
      </c>
      <c r="E49" s="1">
        <v>1.6658760365540942E-5</v>
      </c>
      <c r="F49" s="56">
        <v>8.1906410096718138E-5</v>
      </c>
      <c r="G49" s="68">
        <v>-5.9543311663538795E-2</v>
      </c>
      <c r="H49" s="68">
        <v>-0.52564096339401689</v>
      </c>
      <c r="I49" s="68">
        <v>1</v>
      </c>
      <c r="J49" s="68">
        <v>-0.42129037186081575</v>
      </c>
      <c r="K49" s="68">
        <v>-0.35186332535343484</v>
      </c>
      <c r="L49" s="68">
        <v>-0.13069474319183236</v>
      </c>
      <c r="M49" s="2">
        <v>-0.12790447352817477</v>
      </c>
      <c r="N49" s="2">
        <v>0.99999999999996236</v>
      </c>
      <c r="O49" s="69"/>
      <c r="R49" s="51" t="str">
        <f t="shared" ref="R49:R55" si="20">A49</f>
        <v>High Yield</v>
      </c>
      <c r="S49" s="52">
        <f t="shared" ref="S49:S55" si="21">D49</f>
        <v>1.0429872640552892E-6</v>
      </c>
      <c r="T49" s="52">
        <f t="shared" ref="T49:T55" si="22">B49-D49</f>
        <v>6.4814411771369856E-5</v>
      </c>
      <c r="U49" s="52">
        <f t="shared" ref="U49:U55" si="23">F49-B49</f>
        <v>1.604901106129299E-5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6.6007038093652913E-5</v>
      </c>
      <c r="C50" s="54">
        <v>1.0645579748892662E-4</v>
      </c>
      <c r="D50" s="55">
        <v>1.0974472695264296E-6</v>
      </c>
      <c r="E50" s="1">
        <v>1.8301639810128035E-5</v>
      </c>
      <c r="F50" s="56">
        <v>8.5305053970452115E-5</v>
      </c>
      <c r="G50" s="68">
        <v>-5.8912369329685424E-2</v>
      </c>
      <c r="H50" s="68">
        <v>-0.51797181172287587</v>
      </c>
      <c r="I50" s="68">
        <v>-0.99062868831654949</v>
      </c>
      <c r="J50" s="68">
        <v>-0.48514247716621589</v>
      </c>
      <c r="K50" s="68">
        <v>-0.22282817025948243</v>
      </c>
      <c r="L50" s="68">
        <v>-0.2337542095924118</v>
      </c>
      <c r="M50" s="2">
        <v>-0.12550196637732827</v>
      </c>
      <c r="N50" s="2">
        <v>0.99999999999991795</v>
      </c>
      <c r="O50" s="69"/>
      <c r="R50" s="51" t="str">
        <f t="shared" si="20"/>
        <v>Emerging market debt</v>
      </c>
      <c r="S50" s="52">
        <f t="shared" si="21"/>
        <v>1.0974472695264296E-6</v>
      </c>
      <c r="T50" s="52">
        <f t="shared" si="22"/>
        <v>6.4909590824126478E-5</v>
      </c>
      <c r="U50" s="52">
        <f t="shared" si="23"/>
        <v>1.9298015876799201E-5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3.2821235226595556E-5</v>
      </c>
      <c r="C51" s="54">
        <v>6.1890540458705518E-5</v>
      </c>
      <c r="D51" s="55">
        <v>2.7601941922940682E-7</v>
      </c>
      <c r="E51" s="1">
        <v>6.1678407293092054E-6</v>
      </c>
      <c r="F51" s="56">
        <v>3.4050134770155967E-5</v>
      </c>
      <c r="G51" s="68">
        <v>-2.8888392110480538E-3</v>
      </c>
      <c r="H51" s="68">
        <v>-7.4553124080068936E-2</v>
      </c>
      <c r="I51" s="68">
        <v>-3.0797186778290589E-3</v>
      </c>
      <c r="J51" s="68">
        <v>1.4491540462355356E-3</v>
      </c>
      <c r="K51" s="68">
        <v>6.7144160727511865E-2</v>
      </c>
      <c r="L51" s="68">
        <v>0.1392073457584557</v>
      </c>
      <c r="M51" s="2">
        <v>1</v>
      </c>
      <c r="N51" s="2">
        <v>0.99999999999997014</v>
      </c>
      <c r="O51" s="69"/>
      <c r="R51" s="51" t="str">
        <f t="shared" si="20"/>
        <v>Aandelen ontwikkeld</v>
      </c>
      <c r="S51" s="52">
        <f t="shared" si="21"/>
        <v>2.7601941922940682E-7</v>
      </c>
      <c r="T51" s="52">
        <f t="shared" si="22"/>
        <v>3.2545215807366153E-5</v>
      </c>
      <c r="U51" s="52">
        <f t="shared" si="23"/>
        <v>1.2288995435604105E-6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5.6499982623495601E-5</v>
      </c>
      <c r="C52" s="54">
        <v>9.6933815694907251E-5</v>
      </c>
      <c r="D52" s="55">
        <v>4.3091737891626107E-7</v>
      </c>
      <c r="E52" s="1">
        <v>1.1749223743755259E-5</v>
      </c>
      <c r="F52" s="56">
        <v>6.4073098861509278E-5</v>
      </c>
      <c r="G52" s="68">
        <v>-4.9465870943181042E-2</v>
      </c>
      <c r="H52" s="68">
        <v>-0.28249069624936235</v>
      </c>
      <c r="I52" s="68">
        <v>-5.7752344792822499E-2</v>
      </c>
      <c r="J52" s="68">
        <v>1</v>
      </c>
      <c r="K52" s="68">
        <v>-0.32720049431034487</v>
      </c>
      <c r="L52" s="68">
        <v>-0.24891770126784826</v>
      </c>
      <c r="M52" s="2">
        <v>-0.10773269473207465</v>
      </c>
      <c r="N52" s="2">
        <v>0.99999999999999567</v>
      </c>
      <c r="O52" s="69"/>
      <c r="R52" s="51" t="str">
        <f t="shared" si="20"/>
        <v>Aandelen opkomend</v>
      </c>
      <c r="S52" s="52">
        <f t="shared" si="21"/>
        <v>4.3091737891626107E-7</v>
      </c>
      <c r="T52" s="52">
        <f t="shared" si="22"/>
        <v>5.606906524457934E-5</v>
      </c>
      <c r="U52" s="52">
        <f t="shared" si="23"/>
        <v>7.5731162380136773E-6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4.1755075717608028E-5</v>
      </c>
      <c r="C53" s="54">
        <v>7.4025520063019908E-5</v>
      </c>
      <c r="D53" s="55">
        <v>3.0794709335900696E-7</v>
      </c>
      <c r="E53" s="1">
        <v>7.1073502129320125E-6</v>
      </c>
      <c r="F53" s="56">
        <v>4.4484400676418222E-5</v>
      </c>
      <c r="G53" s="68">
        <v>-2.8268015581100987E-2</v>
      </c>
      <c r="H53" s="68">
        <v>-9.8568533822621027E-2</v>
      </c>
      <c r="I53" s="68">
        <v>-7.9219385681419285E-2</v>
      </c>
      <c r="J53" s="68">
        <v>6.7628285994258158E-2</v>
      </c>
      <c r="K53" s="68">
        <v>6.982300435609945E-2</v>
      </c>
      <c r="L53" s="68">
        <v>1</v>
      </c>
      <c r="M53" s="2">
        <v>-0.28393019206352865</v>
      </c>
      <c r="N53" s="2">
        <v>1</v>
      </c>
      <c r="O53" s="69"/>
      <c r="R53" s="51" t="str">
        <f t="shared" si="20"/>
        <v>Commodities</v>
      </c>
      <c r="S53" s="52">
        <f t="shared" si="21"/>
        <v>3.0794709335900696E-7</v>
      </c>
      <c r="T53" s="52">
        <f t="shared" si="22"/>
        <v>4.144712862424902E-5</v>
      </c>
      <c r="U53" s="52">
        <f t="shared" si="23"/>
        <v>2.7293249588101933E-6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1.6800676560255187E-4</v>
      </c>
      <c r="C54" s="54">
        <v>2.3089124414326447E-4</v>
      </c>
      <c r="D54" s="55">
        <v>6.5723379232597564E-6</v>
      </c>
      <c r="E54" s="1">
        <v>5.8487725243907854E-5</v>
      </c>
      <c r="F54" s="56">
        <v>2.3183407403589871E-4</v>
      </c>
      <c r="G54" s="68">
        <v>-0.76516906059910683</v>
      </c>
      <c r="H54" s="68">
        <v>1</v>
      </c>
      <c r="I54" s="68">
        <v>6.2461948739244667E-3</v>
      </c>
      <c r="J54" s="68">
        <v>-0.11536569490280259</v>
      </c>
      <c r="K54" s="68">
        <v>-0.12618153055803746</v>
      </c>
      <c r="L54" s="68">
        <v>-0.12661094679168519</v>
      </c>
      <c r="M54" s="2">
        <v>-8.3126051777462684E-2</v>
      </c>
      <c r="N54" s="2">
        <v>0.99999999999991973</v>
      </c>
      <c r="O54" s="69"/>
      <c r="R54" s="51" t="str">
        <f t="shared" si="20"/>
        <v>Hedge funds</v>
      </c>
      <c r="S54" s="52">
        <f t="shared" si="21"/>
        <v>6.5723379232597564E-6</v>
      </c>
      <c r="T54" s="52">
        <f t="shared" si="22"/>
        <v>1.6143442767929211E-4</v>
      </c>
      <c r="U54" s="52">
        <f t="shared" si="23"/>
        <v>6.382730843334684E-5</v>
      </c>
    </row>
    <row r="55" spans="1:36">
      <c r="A55" s="60" t="str">
        <f t="shared" si="19"/>
        <v>Onroerend goed</v>
      </c>
      <c r="B55" s="61">
        <v>5.1330197202964345E-5</v>
      </c>
      <c r="C55" s="62">
        <v>8.7315111350468329E-5</v>
      </c>
      <c r="D55" s="63">
        <v>6.8720279996447941E-7</v>
      </c>
      <c r="E55" s="61">
        <v>1.1049236563763996E-5</v>
      </c>
      <c r="F55" s="64">
        <v>6.1218718017505094E-5</v>
      </c>
      <c r="G55" s="70">
        <v>-3.5752532672357243E-2</v>
      </c>
      <c r="H55" s="70">
        <v>-0.18069492266148598</v>
      </c>
      <c r="I55" s="70">
        <v>0.11931089405883077</v>
      </c>
      <c r="J55" s="70">
        <v>4.1785566401871657E-2</v>
      </c>
      <c r="K55" s="70">
        <v>1</v>
      </c>
      <c r="L55" s="70">
        <v>-0.28689786073604867</v>
      </c>
      <c r="M55" s="65">
        <v>-0.17641595190573003</v>
      </c>
      <c r="N55" s="65">
        <v>0.9999999999999496</v>
      </c>
      <c r="O55" s="71"/>
      <c r="R55" s="51" t="str">
        <f t="shared" si="20"/>
        <v>Onroerend goed</v>
      </c>
      <c r="S55" s="52">
        <f t="shared" si="21"/>
        <v>6.8720279996447941E-7</v>
      </c>
      <c r="T55" s="52">
        <f t="shared" si="22"/>
        <v>5.0642994402999865E-5</v>
      </c>
      <c r="U55" s="52">
        <f t="shared" si="23"/>
        <v>9.8885208145407498E-6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3" t="s">
        <v>64</v>
      </c>
      <c r="E57" s="384"/>
      <c r="F57" s="385"/>
      <c r="G57" s="383" t="s">
        <v>65</v>
      </c>
      <c r="H57" s="384"/>
      <c r="I57" s="384"/>
      <c r="J57" s="384"/>
      <c r="K57" s="384"/>
      <c r="L57" s="384"/>
      <c r="M57" s="384"/>
      <c r="N57" s="384"/>
      <c r="O57" s="385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0.58557246205002744</v>
      </c>
      <c r="H58" s="272">
        <v>0.2677849361089617</v>
      </c>
      <c r="I58" s="272">
        <v>5.4024934790248058E-2</v>
      </c>
      <c r="J58" s="272">
        <v>3.3086911843915878E-2</v>
      </c>
      <c r="K58" s="272">
        <v>2.5688551774999735E-2</v>
      </c>
      <c r="L58" s="272">
        <v>2.1600094399689684E-2</v>
      </c>
      <c r="M58" s="272">
        <v>1.2242109032163273E-2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0.91040031831552837</v>
      </c>
      <c r="C59" s="54">
        <v>1.0309384190786669E-3</v>
      </c>
      <c r="D59" s="55">
        <v>0.90959526434573212</v>
      </c>
      <c r="E59" s="1">
        <v>0.91020330868110377</v>
      </c>
      <c r="F59" s="56">
        <v>0.91095282498647823</v>
      </c>
      <c r="G59" s="2">
        <v>-0.29267840963925429</v>
      </c>
      <c r="H59" s="2">
        <v>1</v>
      </c>
      <c r="I59" s="2">
        <v>-0.80024478078089145</v>
      </c>
      <c r="J59" s="2">
        <v>-1.6737582406700993E-2</v>
      </c>
      <c r="K59" s="2">
        <v>-0.1319801874505743</v>
      </c>
      <c r="L59" s="2">
        <v>-7.1121187675469322E-2</v>
      </c>
      <c r="M59" s="2">
        <v>-0.11374426552970818</v>
      </c>
      <c r="N59" s="2">
        <v>0.99999999999998379</v>
      </c>
      <c r="O59" s="69"/>
      <c r="R59" s="51" t="str">
        <f>A59</f>
        <v>Nominale matching</v>
      </c>
      <c r="S59" s="52">
        <f>D59</f>
        <v>0.90959526434573212</v>
      </c>
      <c r="T59" s="52">
        <f>B59-D59</f>
        <v>8.0505396979624333E-4</v>
      </c>
      <c r="U59" s="52">
        <f>F59-B59</f>
        <v>5.5250667094985939E-4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2.4245520146417212E-4</v>
      </c>
      <c r="C60" s="54">
        <v>3.9952963100400483E-4</v>
      </c>
      <c r="D60" s="55">
        <v>5.3239154391964945E-6</v>
      </c>
      <c r="E60" s="1">
        <v>6.0631447860123962E-5</v>
      </c>
      <c r="F60" s="56">
        <v>3.2645216682692974E-4</v>
      </c>
      <c r="G60" s="2">
        <v>1.2574763590286236E-2</v>
      </c>
      <c r="H60" s="2">
        <v>-3.653900230306201E-3</v>
      </c>
      <c r="I60" s="2">
        <v>0.74893860359933018</v>
      </c>
      <c r="J60" s="2">
        <v>1</v>
      </c>
      <c r="K60" s="2">
        <v>-0.4752893959404127</v>
      </c>
      <c r="L60" s="2">
        <v>-0.19847752694332652</v>
      </c>
      <c r="M60" s="2">
        <v>-0.14133740953364995</v>
      </c>
      <c r="N60" s="2">
        <v>0.99999999999998423</v>
      </c>
      <c r="O60" s="69"/>
      <c r="R60" s="51" t="str">
        <f t="shared" ref="R60:R66" si="25">A60</f>
        <v>High Yield</v>
      </c>
      <c r="S60" s="52">
        <f t="shared" ref="S60:S66" si="26">D60</f>
        <v>5.3239154391964945E-6</v>
      </c>
      <c r="T60" s="52">
        <f t="shared" ref="T60:T66" si="27">B60-D60</f>
        <v>2.3713128602497564E-4</v>
      </c>
      <c r="U60" s="52">
        <f t="shared" ref="U60:U66" si="28">F60-B60</f>
        <v>8.3996965362757614E-5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9.6966778017564003E-4</v>
      </c>
      <c r="C61" s="54">
        <v>1.2223040652990888E-3</v>
      </c>
      <c r="D61" s="55">
        <v>4.6196730692603174E-5</v>
      </c>
      <c r="E61" s="1">
        <v>5.0079865122370625E-4</v>
      </c>
      <c r="F61" s="56">
        <v>1.5017266053136301E-3</v>
      </c>
      <c r="G61" s="2">
        <v>-0.70032235365337581</v>
      </c>
      <c r="H61" s="2">
        <v>-0.76885698456421736</v>
      </c>
      <c r="I61" s="2">
        <v>-0.74541447372540248</v>
      </c>
      <c r="J61" s="2">
        <v>-7.5277139913826799E-2</v>
      </c>
      <c r="K61" s="2">
        <v>-0.17289095385509465</v>
      </c>
      <c r="L61" s="2">
        <v>-9.0276225637885871E-2</v>
      </c>
      <c r="M61" s="2">
        <v>-0.12658660400555605</v>
      </c>
      <c r="N61" s="2">
        <v>0.99999999999998646</v>
      </c>
      <c r="O61" s="69"/>
      <c r="R61" s="51" t="str">
        <f t="shared" si="25"/>
        <v>Emerging market debt</v>
      </c>
      <c r="S61" s="52">
        <f t="shared" si="26"/>
        <v>4.6196730692603174E-5</v>
      </c>
      <c r="T61" s="52">
        <f t="shared" si="27"/>
        <v>9.2347104948303684E-4</v>
      </c>
      <c r="U61" s="52">
        <f t="shared" si="28"/>
        <v>5.3205882513799002E-4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1.7808289296488317E-4</v>
      </c>
      <c r="C62" s="54">
        <v>3.1833217667634798E-4</v>
      </c>
      <c r="D62" s="55">
        <v>9.661664333100948E-7</v>
      </c>
      <c r="E62" s="1">
        <v>2.6064712252070314E-5</v>
      </c>
      <c r="F62" s="56">
        <v>2.1140167637085597E-4</v>
      </c>
      <c r="G62" s="2">
        <v>7.247786111382222E-3</v>
      </c>
      <c r="H62" s="2">
        <v>-2.3075340504508754E-2</v>
      </c>
      <c r="I62" s="2">
        <v>0.17745273285410107</v>
      </c>
      <c r="J62" s="2">
        <v>0.13528231546370303</v>
      </c>
      <c r="K62" s="2">
        <v>0.33180531277465447</v>
      </c>
      <c r="L62" s="2">
        <v>1</v>
      </c>
      <c r="M62" s="2">
        <v>-0.16482007075318689</v>
      </c>
      <c r="N62" s="2">
        <v>0.999999999999999</v>
      </c>
      <c r="O62" s="69"/>
      <c r="R62" s="51" t="str">
        <f t="shared" si="25"/>
        <v>Aandelen ontwikkeld</v>
      </c>
      <c r="S62" s="52">
        <f t="shared" si="26"/>
        <v>9.661664333100948E-7</v>
      </c>
      <c r="T62" s="52">
        <f t="shared" si="27"/>
        <v>1.7711672653157308E-4</v>
      </c>
      <c r="U62" s="52">
        <f t="shared" si="28"/>
        <v>3.3318783405972806E-5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2.564489860338996E-4</v>
      </c>
      <c r="C63" s="54">
        <v>4.3003569463960733E-4</v>
      </c>
      <c r="D63" s="55">
        <v>1.6511004576110284E-6</v>
      </c>
      <c r="E63" s="1">
        <v>5.1218597797573118E-5</v>
      </c>
      <c r="F63" s="56">
        <v>3.4935989717820438E-4</v>
      </c>
      <c r="G63" s="2">
        <v>-5.6065772454889924E-2</v>
      </c>
      <c r="H63" s="2">
        <v>6.6952453942922471E-2</v>
      </c>
      <c r="I63" s="2">
        <v>1</v>
      </c>
      <c r="J63" s="2">
        <v>-0.94846854425630867</v>
      </c>
      <c r="K63" s="2">
        <v>-0.3265027348130129</v>
      </c>
      <c r="L63" s="2">
        <v>-9.0452343486416273E-2</v>
      </c>
      <c r="M63" s="2">
        <v>-0.20353486651370858</v>
      </c>
      <c r="N63" s="2">
        <v>0.99999999999997924</v>
      </c>
      <c r="O63" s="69"/>
      <c r="R63" s="51" t="str">
        <f t="shared" si="25"/>
        <v>Aandelen opkomend</v>
      </c>
      <c r="S63" s="52">
        <f t="shared" si="26"/>
        <v>1.6511004576110284E-6</v>
      </c>
      <c r="T63" s="52">
        <f t="shared" si="27"/>
        <v>2.5479788557628859E-4</v>
      </c>
      <c r="U63" s="52">
        <f t="shared" si="28"/>
        <v>9.2910911144304784E-5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1.3266771859855406E-4</v>
      </c>
      <c r="C64" s="54">
        <v>2.3869618300325653E-4</v>
      </c>
      <c r="D64" s="55">
        <v>4.2553612459991924E-7</v>
      </c>
      <c r="E64" s="1">
        <v>2.4171818834641723E-5</v>
      </c>
      <c r="F64" s="56">
        <v>1.433888691762387E-4</v>
      </c>
      <c r="G64" s="2">
        <v>1.67356661310708E-2</v>
      </c>
      <c r="H64" s="2">
        <v>-1.1407115251795779E-2</v>
      </c>
      <c r="I64" s="2">
        <v>7.5892630143845979E-2</v>
      </c>
      <c r="J64" s="2">
        <v>-5.0631175426556499E-2</v>
      </c>
      <c r="K64" s="2">
        <v>-3.8842799648584773E-2</v>
      </c>
      <c r="L64" s="2">
        <v>3.4333452898909052E-2</v>
      </c>
      <c r="M64" s="2">
        <v>1</v>
      </c>
      <c r="N64" s="2">
        <v>1</v>
      </c>
      <c r="O64" s="69"/>
      <c r="R64" s="51" t="str">
        <f t="shared" si="25"/>
        <v>Commodities</v>
      </c>
      <c r="S64" s="52">
        <f t="shared" si="26"/>
        <v>4.2553612459991924E-7</v>
      </c>
      <c r="T64" s="52">
        <f t="shared" si="27"/>
        <v>1.3224218247395413E-4</v>
      </c>
      <c r="U64" s="52">
        <f t="shared" si="28"/>
        <v>1.0721150577684647E-5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8.7616171604620083E-2</v>
      </c>
      <c r="C65" s="54">
        <v>1.423288028594963E-3</v>
      </c>
      <c r="D65" s="55">
        <v>8.6613925123170454E-2</v>
      </c>
      <c r="E65" s="1">
        <v>8.7646812905970081E-2</v>
      </c>
      <c r="F65" s="56">
        <v>8.8639360463143413E-2</v>
      </c>
      <c r="G65" s="2">
        <v>1</v>
      </c>
      <c r="H65" s="2">
        <v>-0.24137907962274557</v>
      </c>
      <c r="I65" s="2">
        <v>-0.71538971043123112</v>
      </c>
      <c r="J65" s="2">
        <v>-0.12450642916959935</v>
      </c>
      <c r="K65" s="2">
        <v>-0.18629924106697809</v>
      </c>
      <c r="L65" s="2">
        <v>-8.8234678351421569E-2</v>
      </c>
      <c r="M65" s="2">
        <v>-0.14581416029535288</v>
      </c>
      <c r="N65" s="2">
        <v>0.99999999999999134</v>
      </c>
      <c r="O65" s="69"/>
      <c r="R65" s="51" t="str">
        <f t="shared" si="25"/>
        <v>Hedge funds</v>
      </c>
      <c r="S65" s="52">
        <f t="shared" si="26"/>
        <v>8.6613925123170454E-2</v>
      </c>
      <c r="T65" s="52">
        <f t="shared" si="27"/>
        <v>1.0022464814496285E-3</v>
      </c>
      <c r="U65" s="52">
        <f t="shared" si="28"/>
        <v>1.0231888585233301E-3</v>
      </c>
    </row>
    <row r="66" spans="1:36">
      <c r="A66" s="60" t="str">
        <f t="shared" si="24"/>
        <v>Onroerend goed</v>
      </c>
      <c r="B66" s="61">
        <v>2.041875006144596E-4</v>
      </c>
      <c r="C66" s="62">
        <v>3.4041848862041696E-4</v>
      </c>
      <c r="D66" s="63">
        <v>2.6356546255662357E-6</v>
      </c>
      <c r="E66" s="61">
        <v>5.0997763788292636E-5</v>
      </c>
      <c r="F66" s="64">
        <v>2.7249945475081886E-4</v>
      </c>
      <c r="G66" s="65">
        <v>1.250831991477501E-2</v>
      </c>
      <c r="H66" s="65">
        <v>-1.8580033769344095E-2</v>
      </c>
      <c r="I66" s="65">
        <v>0.25876499834025651</v>
      </c>
      <c r="J66" s="65">
        <v>8.0338555709284498E-2</v>
      </c>
      <c r="K66" s="65">
        <v>1</v>
      </c>
      <c r="L66" s="65">
        <v>-0.49577149080440597</v>
      </c>
      <c r="M66" s="65">
        <v>-0.10416262336885122</v>
      </c>
      <c r="N66" s="65">
        <v>0.99999999999998257</v>
      </c>
      <c r="O66" s="71"/>
      <c r="R66" s="51" t="str">
        <f t="shared" si="25"/>
        <v>Onroerend goed</v>
      </c>
      <c r="S66" s="52">
        <f t="shared" si="26"/>
        <v>2.6356546255662357E-6</v>
      </c>
      <c r="T66" s="52">
        <f t="shared" si="27"/>
        <v>2.0155184598889337E-4</v>
      </c>
      <c r="U66" s="52">
        <f t="shared" si="28"/>
        <v>6.8311954136359267E-5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0.55259014264862238</v>
      </c>
      <c r="H69" s="272">
        <v>0.28535413579288471</v>
      </c>
      <c r="I69" s="272">
        <v>0.11751609264074669</v>
      </c>
      <c r="J69" s="272">
        <v>3.4422360988265122E-2</v>
      </c>
      <c r="K69" s="272">
        <v>6.6266464743856002E-3</v>
      </c>
      <c r="L69" s="272">
        <v>2.8242089078042154E-3</v>
      </c>
      <c r="M69" s="272">
        <v>6.6641254729460364E-4</v>
      </c>
      <c r="N69" s="272">
        <v>1.1102230246251565E-16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0.74210401897635492</v>
      </c>
      <c r="C70" s="54">
        <v>1.2297692296716255E-2</v>
      </c>
      <c r="D70" s="55">
        <v>0.73339422303277468</v>
      </c>
      <c r="E70" s="1">
        <v>0.74175858282811602</v>
      </c>
      <c r="F70" s="56">
        <v>0.75010893470008844</v>
      </c>
      <c r="G70" s="68">
        <v>9.4401307148054229E-3</v>
      </c>
      <c r="H70" s="68">
        <v>-0.47388824526661594</v>
      </c>
      <c r="I70" s="68">
        <v>-0.37899268443827266</v>
      </c>
      <c r="J70" s="68">
        <v>-0.27241130861879131</v>
      </c>
      <c r="K70" s="68">
        <v>0.20177619706499839</v>
      </c>
      <c r="L70" s="68">
        <v>0.13338934615924863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0.73339422303277468</v>
      </c>
      <c r="T70" s="52">
        <f>B70-D70</f>
        <v>8.7097959435802341E-3</v>
      </c>
      <c r="U70" s="52">
        <f>F70-B70</f>
        <v>8.0049157237335189E-3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1.8694595409361223E-2</v>
      </c>
      <c r="C71" s="54">
        <v>1.7245139012676155E-2</v>
      </c>
      <c r="D71" s="55">
        <v>4.7981671404336646E-3</v>
      </c>
      <c r="E71" s="1">
        <v>1.435471332530891E-2</v>
      </c>
      <c r="F71" s="56">
        <v>2.6872585920989386E-2</v>
      </c>
      <c r="G71" s="68">
        <v>-8.4445900128290619E-2</v>
      </c>
      <c r="H71" s="68">
        <v>-0.22945302923980831</v>
      </c>
      <c r="I71" s="68">
        <v>1</v>
      </c>
      <c r="J71" s="68">
        <v>-0.16478367662694113</v>
      </c>
      <c r="K71" s="68">
        <v>-0.14338471100251046</v>
      </c>
      <c r="L71" s="68">
        <v>-5.973379081822517E-2</v>
      </c>
      <c r="M71" s="2">
        <v>0.18309794069472571</v>
      </c>
      <c r="N71" s="2">
        <v>0.99999999999993561</v>
      </c>
      <c r="O71" s="69"/>
      <c r="R71" s="51" t="str">
        <f t="shared" ref="R71:R77" si="30">A71</f>
        <v>High Yield</v>
      </c>
      <c r="S71" s="52">
        <f t="shared" ref="S71:S77" si="31">D71</f>
        <v>4.7981671404336646E-3</v>
      </c>
      <c r="T71" s="52">
        <f t="shared" ref="T71:T77" si="32">B71-D71</f>
        <v>1.389642826892756E-2</v>
      </c>
      <c r="U71" s="52">
        <f t="shared" ref="U71:U77" si="33">F71-B71</f>
        <v>8.177990511628163E-3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8.9274739671457801E-3</v>
      </c>
      <c r="C72" s="54">
        <v>9.2275057316660077E-3</v>
      </c>
      <c r="D72" s="55">
        <v>1.817380098889378E-3</v>
      </c>
      <c r="E72" s="1">
        <v>5.4645433390532652E-3</v>
      </c>
      <c r="F72" s="56">
        <v>1.3500514652096028E-2</v>
      </c>
      <c r="G72" s="68">
        <v>-1.1990627124513204E-2</v>
      </c>
      <c r="H72" s="68">
        <v>-8.3537751805722302E-2</v>
      </c>
      <c r="I72" s="68">
        <v>-5.3050740581287212E-2</v>
      </c>
      <c r="J72" s="68">
        <v>1</v>
      </c>
      <c r="K72" s="68">
        <v>-0.19239314374599725</v>
      </c>
      <c r="L72" s="68">
        <v>-0.10191756970633431</v>
      </c>
      <c r="M72" s="2">
        <v>0.17878956297374363</v>
      </c>
      <c r="N72" s="2">
        <v>0.99999999999993405</v>
      </c>
      <c r="O72" s="69"/>
      <c r="R72" s="51" t="str">
        <f t="shared" si="30"/>
        <v>Emerging market debt</v>
      </c>
      <c r="S72" s="52">
        <f t="shared" si="31"/>
        <v>1.817380098889378E-3</v>
      </c>
      <c r="T72" s="52">
        <f t="shared" si="32"/>
        <v>7.1100938682564022E-3</v>
      </c>
      <c r="U72" s="52">
        <f t="shared" si="33"/>
        <v>4.573040684950248E-3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2.8936030398781527E-3</v>
      </c>
      <c r="C73" s="54">
        <v>3.7251141641533856E-3</v>
      </c>
      <c r="D73" s="55">
        <v>2.1152357814109167E-4</v>
      </c>
      <c r="E73" s="1">
        <v>1.5284078852579835E-3</v>
      </c>
      <c r="F73" s="56">
        <v>4.0265696216699298E-3</v>
      </c>
      <c r="G73" s="68">
        <v>-3.3970180064476344E-3</v>
      </c>
      <c r="H73" s="68">
        <v>-2.5579905886276996E-2</v>
      </c>
      <c r="I73" s="68">
        <v>-1.5383877466865922E-2</v>
      </c>
      <c r="J73" s="68">
        <v>7.678475194867097E-3</v>
      </c>
      <c r="K73" s="68">
        <v>1</v>
      </c>
      <c r="L73" s="68">
        <v>-0.41850599903852442</v>
      </c>
      <c r="M73" s="2">
        <v>-0.42178337461606036</v>
      </c>
      <c r="N73" s="2">
        <v>0.99999999999989786</v>
      </c>
      <c r="O73" s="69"/>
      <c r="R73" s="51" t="str">
        <f t="shared" si="30"/>
        <v>Aandelen ontwikkeld</v>
      </c>
      <c r="S73" s="52">
        <f t="shared" si="31"/>
        <v>2.1152357814109167E-4</v>
      </c>
      <c r="T73" s="52">
        <f t="shared" si="32"/>
        <v>2.6820794617370609E-3</v>
      </c>
      <c r="U73" s="52">
        <f t="shared" si="33"/>
        <v>1.1329665817917771E-3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1.9587393313640106E-3</v>
      </c>
      <c r="C74" s="54">
        <v>2.600992407180704E-3</v>
      </c>
      <c r="D74" s="55">
        <v>1.2034398533330801E-4</v>
      </c>
      <c r="E74" s="1">
        <v>8.9191024594513794E-4</v>
      </c>
      <c r="F74" s="56">
        <v>2.9074123427886428E-3</v>
      </c>
      <c r="G74" s="68">
        <v>-9.4671647086847627E-4</v>
      </c>
      <c r="H74" s="68">
        <v>-1.5001430658312564E-2</v>
      </c>
      <c r="I74" s="68">
        <v>-2.9953259290631862E-2</v>
      </c>
      <c r="J74" s="68">
        <v>1.1425148483992785E-2</v>
      </c>
      <c r="K74" s="68">
        <v>0.12385799145773256</v>
      </c>
      <c r="L74" s="68">
        <v>1</v>
      </c>
      <c r="M74" s="2">
        <v>-0.47234351160355165</v>
      </c>
      <c r="N74" s="2">
        <v>0.99999999999990186</v>
      </c>
      <c r="O74" s="69"/>
      <c r="R74" s="51" t="str">
        <f t="shared" si="30"/>
        <v>Aandelen opkomend</v>
      </c>
      <c r="S74" s="52">
        <f t="shared" si="31"/>
        <v>1.2034398533330801E-4</v>
      </c>
      <c r="T74" s="52">
        <f t="shared" si="32"/>
        <v>1.8383953460307026E-3</v>
      </c>
      <c r="U74" s="52">
        <f t="shared" si="33"/>
        <v>9.4867301142463221E-4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5.0076100481880492E-2</v>
      </c>
      <c r="C75" s="54">
        <v>1.7382188674499352E-2</v>
      </c>
      <c r="D75" s="55">
        <v>3.9041996584103802E-2</v>
      </c>
      <c r="E75" s="1">
        <v>5.0444092400136267E-2</v>
      </c>
      <c r="F75" s="56">
        <v>6.2866551932150322E-2</v>
      </c>
      <c r="G75" s="68">
        <v>-0.33492116344313644</v>
      </c>
      <c r="H75" s="68">
        <v>-0.5470531103532208</v>
      </c>
      <c r="I75" s="68">
        <v>-0.33242312933302348</v>
      </c>
      <c r="J75" s="68">
        <v>-0.25237913367790388</v>
      </c>
      <c r="K75" s="68">
        <v>-0.57372856581139364</v>
      </c>
      <c r="L75" s="68">
        <v>-0.32309967144561841</v>
      </c>
      <c r="M75" s="2">
        <v>-0.60363199952753133</v>
      </c>
      <c r="N75" s="2">
        <v>0.99999999999987144</v>
      </c>
      <c r="O75" s="69"/>
      <c r="R75" s="51" t="str">
        <f t="shared" si="30"/>
        <v>Commodities</v>
      </c>
      <c r="S75" s="52">
        <f t="shared" si="31"/>
        <v>3.9041996584103802E-2</v>
      </c>
      <c r="T75" s="52">
        <f t="shared" si="32"/>
        <v>1.103410389777669E-2</v>
      </c>
      <c r="U75" s="52">
        <f t="shared" si="33"/>
        <v>1.279045145026983E-2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3.237305465508386E-2</v>
      </c>
      <c r="C76" s="54">
        <v>2.8885744729244146E-2</v>
      </c>
      <c r="D76" s="55">
        <v>8.5551150091976377E-3</v>
      </c>
      <c r="E76" s="1">
        <v>2.4232052490117784E-2</v>
      </c>
      <c r="F76" s="56">
        <v>4.9982231182866543E-2</v>
      </c>
      <c r="G76" s="68">
        <v>-0.57373870554154927</v>
      </c>
      <c r="H76" s="68">
        <v>1</v>
      </c>
      <c r="I76" s="68">
        <v>-0.10558784598792514</v>
      </c>
      <c r="J76" s="68">
        <v>-0.15611626675478493</v>
      </c>
      <c r="K76" s="68">
        <v>-0.134182533450767</v>
      </c>
      <c r="L76" s="68">
        <v>-7.2387429224353983E-2</v>
      </c>
      <c r="M76" s="2">
        <v>0.21080688611277842</v>
      </c>
      <c r="N76" s="2">
        <v>0.99999999999993672</v>
      </c>
      <c r="O76" s="69"/>
      <c r="R76" s="51" t="str">
        <f t="shared" si="30"/>
        <v>Hedge funds</v>
      </c>
      <c r="S76" s="52">
        <f t="shared" si="31"/>
        <v>8.5551150091976377E-3</v>
      </c>
      <c r="T76" s="52">
        <f t="shared" si="32"/>
        <v>2.3817939645886223E-2</v>
      </c>
      <c r="U76" s="52">
        <f t="shared" si="33"/>
        <v>1.7609176527782683E-2</v>
      </c>
    </row>
    <row r="77" spans="1:36">
      <c r="A77" s="60" t="str">
        <f t="shared" si="29"/>
        <v>Onroerend goed</v>
      </c>
      <c r="B77" s="61">
        <v>0.142972414138931</v>
      </c>
      <c r="C77" s="62">
        <v>3.4034854525069623E-2</v>
      </c>
      <c r="D77" s="63">
        <v>0.118080976125847</v>
      </c>
      <c r="E77" s="61">
        <v>0.14112047005579109</v>
      </c>
      <c r="F77" s="64">
        <v>0.16515039952283034</v>
      </c>
      <c r="G77" s="70">
        <v>1</v>
      </c>
      <c r="H77" s="70">
        <v>0.37451347320995787</v>
      </c>
      <c r="I77" s="70">
        <v>-8.4608462901994114E-2</v>
      </c>
      <c r="J77" s="70">
        <v>-0.17341323800043851</v>
      </c>
      <c r="K77" s="70">
        <v>-0.28194523451207609</v>
      </c>
      <c r="L77" s="70">
        <v>-0.15774488592620575</v>
      </c>
      <c r="M77" s="65">
        <v>-7.493550403424136E-2</v>
      </c>
      <c r="N77" s="65">
        <v>0.99999999999991396</v>
      </c>
      <c r="O77" s="71"/>
      <c r="R77" s="51" t="str">
        <f t="shared" si="30"/>
        <v>Onroerend goed</v>
      </c>
      <c r="S77" s="52">
        <f t="shared" si="31"/>
        <v>0.118080976125847</v>
      </c>
      <c r="T77" s="52">
        <f t="shared" si="32"/>
        <v>2.4891438013083994E-2</v>
      </c>
      <c r="U77" s="52">
        <f t="shared" si="33"/>
        <v>2.217798538389934E-2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3" t="s">
        <v>64</v>
      </c>
      <c r="E79" s="384"/>
      <c r="F79" s="385"/>
      <c r="G79" s="383" t="s">
        <v>65</v>
      </c>
      <c r="H79" s="384"/>
      <c r="I79" s="384"/>
      <c r="J79" s="384"/>
      <c r="K79" s="384"/>
      <c r="L79" s="384"/>
      <c r="M79" s="384"/>
      <c r="N79" s="384"/>
      <c r="O79" s="385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0.78288534526636833</v>
      </c>
      <c r="H80" s="272">
        <v>0.13908474210171262</v>
      </c>
      <c r="I80" s="272">
        <v>5.8746499216377757E-2</v>
      </c>
      <c r="J80" s="272">
        <v>1.6509262497875654E-2</v>
      </c>
      <c r="K80" s="272">
        <v>1.532088324554759E-3</v>
      </c>
      <c r="L80" s="272">
        <v>9.5684715138055765E-4</v>
      </c>
      <c r="M80" s="272">
        <v>2.8521544172999125E-4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0.5749562087748783</v>
      </c>
      <c r="C81" s="54">
        <v>3.937138298286641E-2</v>
      </c>
      <c r="D81" s="55">
        <v>0.54714806916725012</v>
      </c>
      <c r="E81" s="1">
        <v>0.575009528142161</v>
      </c>
      <c r="F81" s="56">
        <v>0.6029755577996746</v>
      </c>
      <c r="G81" s="2">
        <v>-0.49965455212613841</v>
      </c>
      <c r="H81" s="2">
        <v>-0.12265984663682064</v>
      </c>
      <c r="I81" s="2">
        <v>-0.38029769504626787</v>
      </c>
      <c r="J81" s="2">
        <v>-0.34957736254392352</v>
      </c>
      <c r="K81" s="2">
        <v>-0.58041606941262158</v>
      </c>
      <c r="L81" s="2">
        <v>-0.78690091265418283</v>
      </c>
      <c r="M81" s="2">
        <v>-0.16397719538018479</v>
      </c>
      <c r="N81" s="2">
        <v>0.99999999999977496</v>
      </c>
      <c r="O81" s="69"/>
      <c r="R81" s="51" t="str">
        <f>A81</f>
        <v>Nominale matching</v>
      </c>
      <c r="S81" s="52">
        <f>D81</f>
        <v>0.54714806916725012</v>
      </c>
      <c r="T81" s="52">
        <f>B81-D81</f>
        <v>2.7808139607628179E-2</v>
      </c>
      <c r="U81" s="52">
        <f>F81-B81</f>
        <v>2.8019349024796303E-2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0.18662957132386238</v>
      </c>
      <c r="C82" s="54">
        <v>7.6404726722852076E-2</v>
      </c>
      <c r="D82" s="55">
        <v>0.12763544493243639</v>
      </c>
      <c r="E82" s="1">
        <v>0.18241021723382514</v>
      </c>
      <c r="F82" s="56">
        <v>0.24023651342672661</v>
      </c>
      <c r="G82" s="2">
        <v>1</v>
      </c>
      <c r="H82" s="2">
        <v>-0.10190017637047161</v>
      </c>
      <c r="I82" s="2">
        <v>-0.23958805269313177</v>
      </c>
      <c r="J82" s="2">
        <v>-0.23794563390099657</v>
      </c>
      <c r="K82" s="2">
        <v>-0.21957409679919079</v>
      </c>
      <c r="L82" s="2">
        <v>4.3956218597894635E-2</v>
      </c>
      <c r="M82" s="2">
        <v>-0.14460060853656151</v>
      </c>
      <c r="N82" s="2">
        <v>0.99999999999987987</v>
      </c>
      <c r="O82" s="69"/>
      <c r="R82" s="51" t="str">
        <f t="shared" ref="R82:R88" si="35">A82</f>
        <v>High Yield</v>
      </c>
      <c r="S82" s="52">
        <f t="shared" ref="S82:S88" si="36">D82</f>
        <v>0.12763544493243639</v>
      </c>
      <c r="T82" s="52">
        <f t="shared" ref="T82:T88" si="37">B82-D82</f>
        <v>5.8994126391425983E-2</v>
      </c>
      <c r="U82" s="52">
        <f t="shared" ref="U82:U88" si="38">F82-B82</f>
        <v>5.3606942102864236E-2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1.4936469358747012E-2</v>
      </c>
      <c r="C83" s="54">
        <v>1.1921464626245104E-2</v>
      </c>
      <c r="D83" s="55">
        <v>5.6802310341193176E-3</v>
      </c>
      <c r="E83" s="1">
        <v>1.1899390782992571E-2</v>
      </c>
      <c r="F83" s="56">
        <v>2.1672919740688558E-2</v>
      </c>
      <c r="G83" s="2">
        <v>2.4282294462597415E-3</v>
      </c>
      <c r="H83" s="2">
        <v>-3.1256013367566705E-2</v>
      </c>
      <c r="I83" s="2">
        <v>-8.7836054261671972E-2</v>
      </c>
      <c r="J83" s="2">
        <v>1</v>
      </c>
      <c r="K83" s="2">
        <v>-0.23631020677566941</v>
      </c>
      <c r="L83" s="2">
        <v>-8.4743642614435288E-2</v>
      </c>
      <c r="M83" s="2">
        <v>-0.1288345822557681</v>
      </c>
      <c r="N83" s="2">
        <v>0.99999999999986566</v>
      </c>
      <c r="O83" s="69"/>
      <c r="R83" s="51" t="str">
        <f t="shared" si="35"/>
        <v>Emerging market debt</v>
      </c>
      <c r="S83" s="52">
        <f t="shared" si="36"/>
        <v>5.6802310341193176E-3</v>
      </c>
      <c r="T83" s="52">
        <f t="shared" si="37"/>
        <v>9.2562383246276945E-3</v>
      </c>
      <c r="U83" s="52">
        <f t="shared" si="38"/>
        <v>6.7364503819415458E-3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1.4328809728656456E-3</v>
      </c>
      <c r="C84" s="54">
        <v>1.6131409585330404E-3</v>
      </c>
      <c r="D84" s="55">
        <v>2.5126859617450768E-4</v>
      </c>
      <c r="E84" s="1">
        <v>8.9052325255169619E-4</v>
      </c>
      <c r="F84" s="56">
        <v>2.079028295035327E-3</v>
      </c>
      <c r="G84" s="2">
        <v>1.8389790583998912E-4</v>
      </c>
      <c r="H84" s="2">
        <v>-4.0357331261283652E-3</v>
      </c>
      <c r="I84" s="2">
        <v>-3.1670447987909738E-3</v>
      </c>
      <c r="J84" s="2">
        <v>-1.5631248694044569E-2</v>
      </c>
      <c r="K84" s="2">
        <v>1.2333869470515154E-2</v>
      </c>
      <c r="L84" s="2">
        <v>-5.9388502674343001E-2</v>
      </c>
      <c r="M84" s="2">
        <v>1</v>
      </c>
      <c r="N84" s="2">
        <v>0.99999999999984102</v>
      </c>
      <c r="O84" s="69"/>
      <c r="R84" s="51" t="str">
        <f t="shared" si="35"/>
        <v>Aandelen ontwikkeld</v>
      </c>
      <c r="S84" s="52">
        <f t="shared" si="36"/>
        <v>2.5126859617450768E-4</v>
      </c>
      <c r="T84" s="52">
        <f t="shared" si="37"/>
        <v>1.1816123766911378E-3</v>
      </c>
      <c r="U84" s="52">
        <f t="shared" si="38"/>
        <v>6.4614732216968147E-4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5.2846761358585265E-2</v>
      </c>
      <c r="C85" s="54">
        <v>3.2946379121615674E-2</v>
      </c>
      <c r="D85" s="55">
        <v>2.6161342967578174E-2</v>
      </c>
      <c r="E85" s="1">
        <v>4.990145170836964E-2</v>
      </c>
      <c r="F85" s="56">
        <v>7.5947078924473665E-2</v>
      </c>
      <c r="G85" s="2">
        <v>-0.1990609901787323</v>
      </c>
      <c r="H85" s="2">
        <v>1</v>
      </c>
      <c r="I85" s="2">
        <v>-0.20844392175033002</v>
      </c>
      <c r="J85" s="2">
        <v>-0.12250708372554249</v>
      </c>
      <c r="K85" s="2">
        <v>8.124384531750381E-2</v>
      </c>
      <c r="L85" s="2">
        <v>0.72635649038697947</v>
      </c>
      <c r="M85" s="2">
        <v>-0.1253095000450257</v>
      </c>
      <c r="N85" s="2">
        <v>0.99999999999996469</v>
      </c>
      <c r="O85" s="69"/>
      <c r="R85" s="51" t="str">
        <f t="shared" si="35"/>
        <v>Aandelen opkomend</v>
      </c>
      <c r="S85" s="52">
        <f t="shared" si="36"/>
        <v>2.6161342967578174E-2</v>
      </c>
      <c r="T85" s="52">
        <f t="shared" si="37"/>
        <v>2.668541839100709E-2</v>
      </c>
      <c r="U85" s="52">
        <f t="shared" si="38"/>
        <v>2.3100317565888401E-2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0.13485822296871094</v>
      </c>
      <c r="C86" s="54">
        <v>3.262999102636481E-2</v>
      </c>
      <c r="D86" s="55">
        <v>0.11370157864389133</v>
      </c>
      <c r="E86" s="1">
        <v>0.13495505414461137</v>
      </c>
      <c r="F86" s="56">
        <v>0.15568353885295971</v>
      </c>
      <c r="G86" s="2">
        <v>-0.2939141603369046</v>
      </c>
      <c r="H86" s="2">
        <v>-0.81835382676135282</v>
      </c>
      <c r="I86" s="2">
        <v>-5.9063405066599239E-2</v>
      </c>
      <c r="J86" s="2">
        <v>-0.11983123042132569</v>
      </c>
      <c r="K86" s="2">
        <v>0.18718403732857872</v>
      </c>
      <c r="L86" s="2">
        <v>1</v>
      </c>
      <c r="M86" s="2">
        <v>-0.1238701515161147</v>
      </c>
      <c r="N86" s="2">
        <v>1</v>
      </c>
      <c r="O86" s="69"/>
      <c r="R86" s="51" t="str">
        <f t="shared" si="35"/>
        <v>Commodities</v>
      </c>
      <c r="S86" s="52">
        <f t="shared" si="36"/>
        <v>0.11370157864389133</v>
      </c>
      <c r="T86" s="52">
        <f t="shared" si="37"/>
        <v>2.1156644324819618E-2</v>
      </c>
      <c r="U86" s="52">
        <f t="shared" si="38"/>
        <v>2.0825315884248768E-2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3.0875885888498746E-2</v>
      </c>
      <c r="C87" s="54">
        <v>2.2035908194190316E-2</v>
      </c>
      <c r="D87" s="55">
        <v>1.2460701684223623E-2</v>
      </c>
      <c r="E87" s="1">
        <v>2.740177425242895E-2</v>
      </c>
      <c r="F87" s="56">
        <v>4.501752115945204E-2</v>
      </c>
      <c r="G87" s="2">
        <v>-9.0875114121744659E-3</v>
      </c>
      <c r="H87" s="2">
        <v>8.6118696929395083E-2</v>
      </c>
      <c r="I87" s="2">
        <v>1</v>
      </c>
      <c r="J87" s="2">
        <v>-0.13519653384738745</v>
      </c>
      <c r="K87" s="2">
        <v>-0.24446137912917976</v>
      </c>
      <c r="L87" s="2">
        <v>-0.10182078453910677</v>
      </c>
      <c r="M87" s="2">
        <v>-0.14228706689061019</v>
      </c>
      <c r="N87" s="2">
        <v>0.99999999999986289</v>
      </c>
      <c r="O87" s="69"/>
      <c r="R87" s="51" t="str">
        <f t="shared" si="35"/>
        <v>Hedge funds</v>
      </c>
      <c r="S87" s="52">
        <f t="shared" si="36"/>
        <v>1.2460701684223623E-2</v>
      </c>
      <c r="T87" s="52">
        <f t="shared" si="37"/>
        <v>1.8415184204275122E-2</v>
      </c>
      <c r="U87" s="52">
        <f t="shared" si="38"/>
        <v>1.4141635270953294E-2</v>
      </c>
    </row>
    <row r="88" spans="1:36">
      <c r="A88" s="60" t="str">
        <f t="shared" si="34"/>
        <v>Onroerend goed</v>
      </c>
      <c r="B88" s="286">
        <v>3.4639993538513945E-3</v>
      </c>
      <c r="C88" s="62">
        <v>3.5310670139697916E-3</v>
      </c>
      <c r="D88" s="63">
        <v>8.1840163442420031E-4</v>
      </c>
      <c r="E88" s="61">
        <v>2.6067452787881182E-3</v>
      </c>
      <c r="F88" s="64">
        <v>4.9631565573761815E-3</v>
      </c>
      <c r="G88" s="65">
        <v>-8.9491329815003374E-4</v>
      </c>
      <c r="H88" s="65">
        <v>-7.9131006670540883E-3</v>
      </c>
      <c r="I88" s="65">
        <v>-2.1603826383208544E-2</v>
      </c>
      <c r="J88" s="65">
        <v>-1.9310906866780244E-2</v>
      </c>
      <c r="K88" s="65">
        <v>1</v>
      </c>
      <c r="L88" s="65">
        <v>-0.73745886650310033</v>
      </c>
      <c r="M88" s="65">
        <v>-0.17112089537569752</v>
      </c>
      <c r="N88" s="65">
        <v>0.99999999999984635</v>
      </c>
      <c r="O88" s="71"/>
      <c r="R88" s="51" t="str">
        <f t="shared" si="35"/>
        <v>Onroerend goed</v>
      </c>
      <c r="S88" s="52">
        <f t="shared" si="36"/>
        <v>8.1840163442420031E-4</v>
      </c>
      <c r="T88" s="52">
        <f t="shared" si="37"/>
        <v>2.6455977194271944E-3</v>
      </c>
      <c r="U88" s="52">
        <f t="shared" si="38"/>
        <v>1.499157203524787E-3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workbookViewId="0">
      <selection activeCell="U13" sqref="U13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3" t="s">
        <v>64</v>
      </c>
      <c r="E2" s="384"/>
      <c r="F2" s="385"/>
      <c r="G2" s="383" t="s">
        <v>65</v>
      </c>
      <c r="H2" s="384"/>
      <c r="I2" s="384"/>
      <c r="J2" s="384"/>
      <c r="K2" s="384"/>
      <c r="L2" s="384"/>
      <c r="M2" s="384"/>
      <c r="N2" s="385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0.4019162038467341</v>
      </c>
      <c r="H3" s="272">
        <v>0.28717855631880496</v>
      </c>
      <c r="I3" s="272">
        <v>0.16433637684678171</v>
      </c>
      <c r="J3" s="272">
        <v>7.2396135998920252E-2</v>
      </c>
      <c r="K3" s="272">
        <v>5.1596540237879851E-2</v>
      </c>
      <c r="L3" s="272">
        <v>2.2576186750875804E-2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0.1893061302676414</v>
      </c>
      <c r="C4" s="118">
        <v>0.10533421867518726</v>
      </c>
      <c r="D4" s="119">
        <v>7.7523703679179226E-2</v>
      </c>
      <c r="E4" s="117">
        <v>0.18387052233614809</v>
      </c>
      <c r="F4" s="120">
        <v>0.30757538367744763</v>
      </c>
      <c r="G4" s="2">
        <v>1</v>
      </c>
      <c r="H4" s="2">
        <v>0.65867260180023679</v>
      </c>
      <c r="I4" s="2">
        <v>0.13051974151461609</v>
      </c>
      <c r="J4" s="2">
        <v>-0.3131327418941664</v>
      </c>
      <c r="K4" s="2">
        <v>-0.18674721697475849</v>
      </c>
      <c r="L4" s="2">
        <v>-0.20457021444179743</v>
      </c>
      <c r="M4" s="2">
        <v>0.99999999999999867</v>
      </c>
      <c r="N4" s="57"/>
      <c r="O4" s="72"/>
      <c r="Q4" s="72" t="str">
        <f>A4</f>
        <v>High Yield</v>
      </c>
      <c r="R4" s="72">
        <f>D4</f>
        <v>7.7523703679179226E-2</v>
      </c>
      <c r="S4" s="52">
        <f>B4-D4</f>
        <v>0.11178242658846217</v>
      </c>
      <c r="T4" s="52">
        <f>F4-B4</f>
        <v>0.11826925340980624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0.17988745412157112</v>
      </c>
      <c r="C5" s="118">
        <v>0.10220273456865829</v>
      </c>
      <c r="D5" s="119">
        <v>7.2101864904390994E-2</v>
      </c>
      <c r="E5" s="117">
        <v>0.1665383286011983</v>
      </c>
      <c r="F5" s="120">
        <v>0.28724148377336972</v>
      </c>
      <c r="G5" s="2">
        <v>-0.84429570871613868</v>
      </c>
      <c r="H5" s="2">
        <v>1</v>
      </c>
      <c r="I5" s="2">
        <v>0.15283936823980876</v>
      </c>
      <c r="J5" s="2">
        <v>-0.31056204761571471</v>
      </c>
      <c r="K5" s="2">
        <v>-0.1639753568977857</v>
      </c>
      <c r="L5" s="2">
        <v>-0.18865805169705321</v>
      </c>
      <c r="M5" s="2">
        <v>0.99999999999999878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7.2101864904390994E-2</v>
      </c>
      <c r="S5" s="52">
        <f t="shared" ref="S5:S10" si="2">B5-D5</f>
        <v>0.10778558921718012</v>
      </c>
      <c r="T5" s="52">
        <f t="shared" ref="T5:T10" si="3">F5-B5</f>
        <v>0.1073540296517986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0.19511936248529493</v>
      </c>
      <c r="C6" s="118">
        <v>5.4342647784118514E-2</v>
      </c>
      <c r="D6" s="119">
        <v>0.13836433077278346</v>
      </c>
      <c r="E6" s="117">
        <v>0.19545652883993458</v>
      </c>
      <c r="F6" s="120">
        <v>0.24968573802132732</v>
      </c>
      <c r="G6" s="2">
        <v>4.1783086166723125E-2</v>
      </c>
      <c r="H6" s="2">
        <v>0.41520813468600481</v>
      </c>
      <c r="I6" s="2">
        <v>-0.15169401682241132</v>
      </c>
      <c r="J6" s="2">
        <v>1</v>
      </c>
      <c r="K6" s="2">
        <v>0.1041345564085364</v>
      </c>
      <c r="L6" s="2">
        <v>-9.2378366234371262E-2</v>
      </c>
      <c r="M6" s="2">
        <v>1</v>
      </c>
      <c r="N6" s="57"/>
      <c r="O6" s="72"/>
      <c r="Q6" s="72" t="str">
        <f t="shared" si="0"/>
        <v>Aandelen ontwikkeld</v>
      </c>
      <c r="R6" s="72">
        <f t="shared" si="1"/>
        <v>0.13836433077278346</v>
      </c>
      <c r="S6" s="52">
        <f t="shared" si="2"/>
        <v>5.6755031712511478E-2</v>
      </c>
      <c r="T6" s="52">
        <f t="shared" si="3"/>
        <v>5.4566375536032385E-2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0.12322751596492687</v>
      </c>
      <c r="C7" s="118">
        <v>4.689203838391201E-2</v>
      </c>
      <c r="D7" s="119">
        <v>7.3678396828209328E-2</v>
      </c>
      <c r="E7" s="117">
        <v>0.12349391342067817</v>
      </c>
      <c r="F7" s="120">
        <v>0.17169586521140665</v>
      </c>
      <c r="G7" s="2">
        <v>-2.213792600727249E-2</v>
      </c>
      <c r="H7" s="2">
        <v>-0.33660223770512415</v>
      </c>
      <c r="I7" s="2">
        <v>-0.1952520490032989</v>
      </c>
      <c r="J7" s="2">
        <v>-0.26059620347352913</v>
      </c>
      <c r="K7" s="2">
        <v>1</v>
      </c>
      <c r="L7" s="2">
        <v>-0.14417050967310163</v>
      </c>
      <c r="M7" s="2">
        <v>0.99999999999999956</v>
      </c>
      <c r="N7" s="57"/>
      <c r="O7" s="72"/>
      <c r="Q7" s="72" t="str">
        <f t="shared" si="0"/>
        <v>Aandelen opkomend</v>
      </c>
      <c r="R7" s="72">
        <f t="shared" si="1"/>
        <v>7.3678396828209328E-2</v>
      </c>
      <c r="S7" s="52">
        <f t="shared" si="2"/>
        <v>4.9549119136717543E-2</v>
      </c>
      <c r="T7" s="52">
        <f t="shared" si="3"/>
        <v>4.8468349246479775E-2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5.0285538433716956E-2</v>
      </c>
      <c r="C8" s="118">
        <v>2.8032283153565561E-2</v>
      </c>
      <c r="D8" s="119">
        <v>2.0173423169925982E-2</v>
      </c>
      <c r="E8" s="117">
        <v>4.9187616478122823E-2</v>
      </c>
      <c r="F8" s="120">
        <v>8.0453498710918364E-2</v>
      </c>
      <c r="G8" s="2">
        <v>1.1060550110331654E-2</v>
      </c>
      <c r="H8" s="2">
        <v>-2.1100044111946169E-3</v>
      </c>
      <c r="I8" s="2">
        <v>-3.639793009048601E-2</v>
      </c>
      <c r="J8" s="2">
        <v>-8.1314363825982908E-2</v>
      </c>
      <c r="K8" s="2">
        <v>-5.5614469388555132E-2</v>
      </c>
      <c r="L8" s="2">
        <v>1</v>
      </c>
      <c r="M8" s="2">
        <v>0.99999999999999967</v>
      </c>
      <c r="N8" s="57"/>
      <c r="O8" s="72"/>
      <c r="Q8" s="72" t="str">
        <f t="shared" si="0"/>
        <v>Commodities</v>
      </c>
      <c r="R8" s="72">
        <f t="shared" si="1"/>
        <v>2.0173423169925982E-2</v>
      </c>
      <c r="S8" s="52">
        <f t="shared" si="2"/>
        <v>3.0112115263790974E-2</v>
      </c>
      <c r="T8" s="52">
        <f t="shared" si="3"/>
        <v>3.0167960277201408E-2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0.12610530136449027</v>
      </c>
      <c r="C9" s="118">
        <v>7.3983093130255778E-2</v>
      </c>
      <c r="D9" s="119">
        <v>4.4880843106858817E-2</v>
      </c>
      <c r="E9" s="117">
        <v>0.11757619972976338</v>
      </c>
      <c r="F9" s="120">
        <v>0.20613313426049545</v>
      </c>
      <c r="G9" s="2">
        <v>-9.860460124459676E-2</v>
      </c>
      <c r="H9" s="2">
        <v>-0.78606999012079504</v>
      </c>
      <c r="I9" s="2">
        <v>-0.90001511383822863</v>
      </c>
      <c r="J9" s="2">
        <v>-0.11609547359624797</v>
      </c>
      <c r="K9" s="2">
        <v>-0.50328967449373385</v>
      </c>
      <c r="L9" s="2">
        <v>-0.22104707539925386</v>
      </c>
      <c r="M9" s="2">
        <v>0.99999999999999889</v>
      </c>
      <c r="N9" s="57"/>
      <c r="O9" s="72"/>
      <c r="Q9" s="72" t="str">
        <f t="shared" si="0"/>
        <v>Hedge funds</v>
      </c>
      <c r="R9" s="72">
        <f t="shared" si="1"/>
        <v>4.4880843106858817E-2</v>
      </c>
      <c r="S9" s="52">
        <f t="shared" si="2"/>
        <v>8.1224458257631457E-2</v>
      </c>
      <c r="T9" s="52">
        <f t="shared" si="3"/>
        <v>8.002783289600518E-2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0.13606869736235841</v>
      </c>
      <c r="C10" s="122">
        <v>8.209915604933421E-2</v>
      </c>
      <c r="D10" s="123">
        <v>4.5840528997215114E-2</v>
      </c>
      <c r="E10" s="121">
        <v>0.12995807882156671</v>
      </c>
      <c r="F10" s="124">
        <v>0.22591056184951297</v>
      </c>
      <c r="G10" s="65">
        <v>-8.7805400309046655E-2</v>
      </c>
      <c r="H10" s="65">
        <v>-0.94909850424912778</v>
      </c>
      <c r="I10" s="65">
        <v>1</v>
      </c>
      <c r="J10" s="65">
        <v>8.1700830405640315E-2</v>
      </c>
      <c r="K10" s="65">
        <v>-0.19450783865370361</v>
      </c>
      <c r="L10" s="65">
        <v>-0.14917578255442346</v>
      </c>
      <c r="M10" s="65">
        <v>0.99999999999999867</v>
      </c>
      <c r="N10" s="66"/>
      <c r="O10" s="72"/>
      <c r="Q10" s="72" t="str">
        <f t="shared" si="0"/>
        <v>Onroerend goed</v>
      </c>
      <c r="R10" s="72">
        <f t="shared" si="1"/>
        <v>4.5840528997215114E-2</v>
      </c>
      <c r="S10" s="52">
        <f t="shared" si="2"/>
        <v>9.0228168365143302E-2</v>
      </c>
      <c r="T10" s="52">
        <f t="shared" si="3"/>
        <v>8.984186448715456E-2</v>
      </c>
      <c r="U10" s="52"/>
      <c r="V10" s="52"/>
      <c r="W10" s="52"/>
    </row>
    <row r="12" spans="1:23">
      <c r="A12" s="48" t="s">
        <v>68</v>
      </c>
      <c r="D12" s="383" t="s">
        <v>64</v>
      </c>
      <c r="E12" s="384"/>
      <c r="F12" s="385"/>
      <c r="G12" s="383" t="s">
        <v>65</v>
      </c>
      <c r="H12" s="384"/>
      <c r="I12" s="384"/>
      <c r="J12" s="384"/>
      <c r="K12" s="384"/>
      <c r="L12" s="384"/>
      <c r="M12" s="384"/>
      <c r="N12" s="385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0.69872757643327954</v>
      </c>
      <c r="H13" s="272">
        <v>0.20450528385180278</v>
      </c>
      <c r="I13" s="272">
        <v>7.2636274250971855E-2</v>
      </c>
      <c r="J13" s="272">
        <v>2.1797499542421606E-2</v>
      </c>
      <c r="K13" s="272">
        <v>1.9355591487772994E-3</v>
      </c>
      <c r="L13" s="272">
        <v>3.9780677274536824E-4</v>
      </c>
      <c r="M13" s="272">
        <v>2.2204460492503131E-16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0.42698186492928081</v>
      </c>
      <c r="C14" s="118">
        <v>0.14350331353313256</v>
      </c>
      <c r="D14" s="119">
        <v>0.28403257460666398</v>
      </c>
      <c r="E14" s="117">
        <v>0.42580048747918925</v>
      </c>
      <c r="F14" s="120">
        <v>0.57915635214633587</v>
      </c>
      <c r="G14" s="2">
        <v>1</v>
      </c>
      <c r="H14" s="2">
        <v>-0.17633282861224703</v>
      </c>
      <c r="I14" s="2">
        <v>-0.20846731395724991</v>
      </c>
      <c r="J14" s="2">
        <v>-0.2605654845050473</v>
      </c>
      <c r="K14" s="2">
        <v>-0.21563505505085226</v>
      </c>
      <c r="L14" s="2">
        <v>-0.16496878958959219</v>
      </c>
      <c r="M14" s="2">
        <v>0.99999999999996902</v>
      </c>
      <c r="N14" s="57"/>
      <c r="Q14" s="51" t="str">
        <f t="shared" ref="Q14:Q20" si="4">A14</f>
        <v>High Yield</v>
      </c>
      <c r="R14" s="72">
        <f>D14</f>
        <v>0.28403257460666398</v>
      </c>
      <c r="S14" s="52">
        <f>B14-D14</f>
        <v>0.14294929032261683</v>
      </c>
      <c r="T14" s="52">
        <f>F14-B14</f>
        <v>0.15217448721705507</v>
      </c>
      <c r="U14" s="52"/>
    </row>
    <row r="15" spans="1:23">
      <c r="A15" s="59" t="str">
        <f t="shared" ref="A15:A20" si="5">A5</f>
        <v>Emerging market debt</v>
      </c>
      <c r="B15" s="117">
        <v>3.521598993679996E-2</v>
      </c>
      <c r="C15" s="118">
        <v>2.7920676172135894E-2</v>
      </c>
      <c r="D15" s="119">
        <v>9.2786708420521044E-3</v>
      </c>
      <c r="E15" s="117">
        <v>2.7619265165039278E-2</v>
      </c>
      <c r="F15" s="120">
        <v>6.2311054577358041E-2</v>
      </c>
      <c r="G15" s="2">
        <v>-1.5610033936718313E-2</v>
      </c>
      <c r="H15" s="2">
        <v>-2.9460689174447569E-2</v>
      </c>
      <c r="I15" s="2">
        <v>-0.12039168068552222</v>
      </c>
      <c r="J15" s="2">
        <v>1</v>
      </c>
      <c r="K15" s="2">
        <v>-0.18415530717092379</v>
      </c>
      <c r="L15" s="2">
        <v>-0.14635050567628391</v>
      </c>
      <c r="M15" s="2">
        <v>0.99999999999996969</v>
      </c>
      <c r="N15" s="57"/>
      <c r="Q15" s="51" t="str">
        <f t="shared" si="4"/>
        <v>Emerging market debt</v>
      </c>
      <c r="R15" s="72">
        <f t="shared" ref="R15:R20" si="6">D15</f>
        <v>9.2786708420521044E-3</v>
      </c>
      <c r="S15" s="52">
        <f t="shared" ref="S15:S20" si="7">B15-D15</f>
        <v>2.5937319094747856E-2</v>
      </c>
      <c r="T15" s="52">
        <f t="shared" ref="T15:T20" si="8">F15-B15</f>
        <v>2.7095064640558081E-2</v>
      </c>
      <c r="U15" s="52"/>
    </row>
    <row r="16" spans="1:23">
      <c r="A16" s="59" t="str">
        <f t="shared" si="5"/>
        <v>Aandelen ontwikkeld</v>
      </c>
      <c r="B16" s="117">
        <v>3.402563735431539E-3</v>
      </c>
      <c r="C16" s="118">
        <v>3.8416584159971703E-3</v>
      </c>
      <c r="D16" s="119">
        <v>3.0039866257030597E-4</v>
      </c>
      <c r="E16" s="117">
        <v>2.1523020826513051E-3</v>
      </c>
      <c r="F16" s="120">
        <v>6.8921885682296895E-3</v>
      </c>
      <c r="G16" s="2">
        <v>-1.2966722400597627E-3</v>
      </c>
      <c r="H16" s="2">
        <v>-4.1342578951898152E-3</v>
      </c>
      <c r="I16" s="2">
        <v>-3.9198413524423699E-3</v>
      </c>
      <c r="J16" s="2">
        <v>-1.6892642437647255E-2</v>
      </c>
      <c r="K16" s="2">
        <v>2.9798472318195983E-2</v>
      </c>
      <c r="L16" s="2">
        <v>1</v>
      </c>
      <c r="M16" s="2">
        <v>1</v>
      </c>
      <c r="N16" s="57"/>
      <c r="Q16" s="51" t="str">
        <f t="shared" si="4"/>
        <v>Aandelen ontwikkeld</v>
      </c>
      <c r="R16" s="72">
        <f t="shared" si="6"/>
        <v>3.0039866257030597E-4</v>
      </c>
      <c r="S16" s="52">
        <f t="shared" si="7"/>
        <v>3.1021650728612331E-3</v>
      </c>
      <c r="T16" s="52">
        <f t="shared" si="8"/>
        <v>3.4896248327981505E-3</v>
      </c>
      <c r="U16" s="52"/>
    </row>
    <row r="17" spans="1:24">
      <c r="A17" s="59" t="str">
        <f t="shared" si="5"/>
        <v>Aandelen opkomend</v>
      </c>
      <c r="B17" s="117">
        <v>0.12831967773679395</v>
      </c>
      <c r="C17" s="118">
        <v>8.548843504576277E-2</v>
      </c>
      <c r="D17" s="119">
        <v>3.8668125810088834E-2</v>
      </c>
      <c r="E17" s="117">
        <v>0.1167052640711444</v>
      </c>
      <c r="F17" s="120">
        <v>0.2163708378405963</v>
      </c>
      <c r="G17" s="2">
        <v>-0.32390646475646584</v>
      </c>
      <c r="H17" s="2">
        <v>1</v>
      </c>
      <c r="I17" s="2">
        <v>-0.36517924996021028</v>
      </c>
      <c r="J17" s="2">
        <v>-0.27324970328712017</v>
      </c>
      <c r="K17" s="2">
        <v>-0.21869264064576013</v>
      </c>
      <c r="L17" s="2">
        <v>-0.16386240511216246</v>
      </c>
      <c r="M17" s="2">
        <v>0.99999999999996902</v>
      </c>
      <c r="N17" s="57"/>
      <c r="Q17" s="51" t="str">
        <f t="shared" si="4"/>
        <v>Aandelen opkomend</v>
      </c>
      <c r="R17" s="72">
        <f t="shared" si="6"/>
        <v>3.8668125810088834E-2</v>
      </c>
      <c r="S17" s="52">
        <f t="shared" si="7"/>
        <v>8.9651551926705125E-2</v>
      </c>
      <c r="T17" s="52">
        <f t="shared" si="8"/>
        <v>8.8051160103802345E-2</v>
      </c>
      <c r="U17" s="52"/>
    </row>
    <row r="18" spans="1:24">
      <c r="A18" s="59" t="str">
        <f t="shared" si="5"/>
        <v>Commodities</v>
      </c>
      <c r="B18" s="117">
        <v>0.32547350996486435</v>
      </c>
      <c r="C18" s="118">
        <v>0.10373885531440932</v>
      </c>
      <c r="D18" s="119">
        <v>0.22428296757374544</v>
      </c>
      <c r="E18" s="117">
        <v>0.31562815721725557</v>
      </c>
      <c r="F18" s="120">
        <v>0.42779675673355327</v>
      </c>
      <c r="G18" s="2">
        <v>-0.58260243103830955</v>
      </c>
      <c r="H18" s="2">
        <v>-0.86837953831492887</v>
      </c>
      <c r="I18" s="2">
        <v>-0.27587285407983309</v>
      </c>
      <c r="J18" s="2">
        <v>-0.30709451031110119</v>
      </c>
      <c r="K18" s="2">
        <v>-0.22777794168781751</v>
      </c>
      <c r="L18" s="2">
        <v>-0.16911416278022892</v>
      </c>
      <c r="M18" s="2">
        <v>0.99999999999996825</v>
      </c>
      <c r="N18" s="57"/>
      <c r="Q18" s="51" t="str">
        <f t="shared" si="4"/>
        <v>Commodities</v>
      </c>
      <c r="R18" s="72">
        <f t="shared" si="6"/>
        <v>0.22428296757374544</v>
      </c>
      <c r="S18" s="52">
        <f t="shared" si="7"/>
        <v>0.10119054239111891</v>
      </c>
      <c r="T18" s="52">
        <f t="shared" si="8"/>
        <v>0.10232324676868892</v>
      </c>
      <c r="U18" s="52"/>
    </row>
    <row r="19" spans="1:24">
      <c r="A19" s="59" t="str">
        <f t="shared" si="5"/>
        <v>Hedge funds</v>
      </c>
      <c r="B19" s="117">
        <v>7.2374274888194701E-2</v>
      </c>
      <c r="C19" s="118">
        <v>5.0651555959069366E-2</v>
      </c>
      <c r="D19" s="119">
        <v>1.9375499202091338E-2</v>
      </c>
      <c r="E19" s="117">
        <v>6.509553604741794E-2</v>
      </c>
      <c r="F19" s="120">
        <v>0.12799208343727658</v>
      </c>
      <c r="G19" s="2">
        <v>-7.253126889419298E-2</v>
      </c>
      <c r="H19" s="2">
        <v>8.5116070871598545E-2</v>
      </c>
      <c r="I19" s="2">
        <v>1</v>
      </c>
      <c r="J19" s="2">
        <v>-0.11910246277454162</v>
      </c>
      <c r="K19" s="2">
        <v>-0.18353752776285079</v>
      </c>
      <c r="L19" s="2">
        <v>-0.15971222352680478</v>
      </c>
      <c r="M19" s="2">
        <v>0.99999999999996925</v>
      </c>
      <c r="N19" s="57"/>
      <c r="Q19" s="51" t="str">
        <f t="shared" si="4"/>
        <v>Hedge funds</v>
      </c>
      <c r="R19" s="72">
        <f t="shared" si="6"/>
        <v>1.9375499202091338E-2</v>
      </c>
      <c r="S19" s="52">
        <f t="shared" si="7"/>
        <v>5.2998775686103367E-2</v>
      </c>
      <c r="T19" s="52">
        <f t="shared" si="8"/>
        <v>5.5617808549081882E-2</v>
      </c>
      <c r="U19" s="52"/>
    </row>
    <row r="20" spans="1:24">
      <c r="A20" s="60" t="str">
        <f t="shared" si="5"/>
        <v>Onroerend goed</v>
      </c>
      <c r="B20" s="121">
        <v>8.2321188086339168E-3</v>
      </c>
      <c r="C20" s="122">
        <v>8.3798767570436687E-3</v>
      </c>
      <c r="D20" s="123">
        <v>9.774246434712734E-4</v>
      </c>
      <c r="E20" s="121">
        <v>6.3799237322212689E-3</v>
      </c>
      <c r="F20" s="124">
        <v>1.5331144261632717E-2</v>
      </c>
      <c r="G20" s="65">
        <v>-4.0531291342534156E-3</v>
      </c>
      <c r="H20" s="65">
        <v>-6.8087568747865817E-3</v>
      </c>
      <c r="I20" s="65">
        <v>-2.6169059964742197E-2</v>
      </c>
      <c r="J20" s="65">
        <v>-2.3095196684542622E-2</v>
      </c>
      <c r="K20" s="65">
        <v>1</v>
      </c>
      <c r="L20" s="65">
        <v>-0.19599191331495702</v>
      </c>
      <c r="M20" s="65">
        <v>0.99999999999997646</v>
      </c>
      <c r="N20" s="66"/>
      <c r="Q20" s="51" t="str">
        <f t="shared" si="4"/>
        <v>Onroerend goed</v>
      </c>
      <c r="R20" s="72">
        <f t="shared" si="6"/>
        <v>9.774246434712734E-4</v>
      </c>
      <c r="S20" s="52">
        <f t="shared" si="7"/>
        <v>7.254694165162643E-3</v>
      </c>
      <c r="T20" s="52">
        <f t="shared" si="8"/>
        <v>7.0990254529988001E-3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3" t="s">
        <v>64</v>
      </c>
      <c r="E22" s="384"/>
      <c r="F22" s="385"/>
      <c r="G22" s="383" t="s">
        <v>65</v>
      </c>
      <c r="H22" s="384"/>
      <c r="I22" s="384"/>
      <c r="J22" s="384"/>
      <c r="K22" s="384"/>
      <c r="L22" s="384"/>
      <c r="M22" s="384"/>
      <c r="N22" s="385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0.79864726178174439</v>
      </c>
      <c r="H23" s="272">
        <v>0.14623123708459629</v>
      </c>
      <c r="I23" s="272">
        <v>3.0458412026499015E-2</v>
      </c>
      <c r="J23" s="272">
        <v>1.8848968624525231E-2</v>
      </c>
      <c r="K23" s="272">
        <v>4.2693044848112205E-3</v>
      </c>
      <c r="L23" s="272">
        <v>1.544815997827631E-3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8.9024622978396261E-3</v>
      </c>
      <c r="C24" s="118">
        <v>9.7367605357514108E-3</v>
      </c>
      <c r="D24" s="119">
        <v>9.7331828190076893E-4</v>
      </c>
      <c r="E24" s="117">
        <v>5.8622029058235069E-3</v>
      </c>
      <c r="F24" s="120">
        <v>1.6236974241075536E-2</v>
      </c>
      <c r="G24" s="2">
        <v>-5.2336785313406228E-3</v>
      </c>
      <c r="H24" s="2">
        <v>5.5860232859309723E-2</v>
      </c>
      <c r="I24" s="2">
        <v>1</v>
      </c>
      <c r="J24" s="2">
        <v>-0.81650879157803202</v>
      </c>
      <c r="K24" s="2">
        <v>-0.23684379692571131</v>
      </c>
      <c r="L24" s="2">
        <v>-0.1364224400182979</v>
      </c>
      <c r="M24" s="2">
        <v>0.99999999999997202</v>
      </c>
      <c r="N24" s="57"/>
      <c r="O24" s="67"/>
      <c r="Q24" s="51" t="str">
        <f t="shared" ref="Q24:Q30" si="9">A24</f>
        <v>High Yield</v>
      </c>
      <c r="R24" s="72">
        <f>D24</f>
        <v>9.7331828190076893E-4</v>
      </c>
      <c r="S24" s="52">
        <f>B24-D24</f>
        <v>7.929144015938857E-3</v>
      </c>
      <c r="T24" s="52">
        <f>F24-B24</f>
        <v>7.3345119432359097E-3</v>
      </c>
      <c r="U24" s="52"/>
    </row>
    <row r="25" spans="1:24">
      <c r="A25" s="59" t="str">
        <f t="shared" ref="A25:A30" si="10">A5</f>
        <v>Emerging market debt</v>
      </c>
      <c r="B25" s="117">
        <v>6.1478749105533186E-2</v>
      </c>
      <c r="C25" s="118">
        <v>4.5405273726367788E-2</v>
      </c>
      <c r="D25" s="119">
        <v>1.7159244375471998E-2</v>
      </c>
      <c r="E25" s="117">
        <v>5.327746594279513E-2</v>
      </c>
      <c r="F25" s="120">
        <v>0.10751989875447848</v>
      </c>
      <c r="G25" s="2">
        <v>1</v>
      </c>
      <c r="H25" s="2">
        <v>-0.54498602317085687</v>
      </c>
      <c r="I25" s="2">
        <v>-0.52614224829872092</v>
      </c>
      <c r="J25" s="2">
        <v>-6.9329002747351931E-2</v>
      </c>
      <c r="K25" s="2">
        <v>-0.19485070633366386</v>
      </c>
      <c r="L25" s="2">
        <v>-0.14902737406571287</v>
      </c>
      <c r="M25" s="2">
        <v>0.9999999999999708</v>
      </c>
      <c r="N25" s="57"/>
      <c r="O25" s="67"/>
      <c r="Q25" s="51" t="str">
        <f t="shared" si="9"/>
        <v>Emerging market debt</v>
      </c>
      <c r="R25" s="72">
        <f t="shared" ref="R25:R30" si="11">D25</f>
        <v>1.7159244375471998E-2</v>
      </c>
      <c r="S25" s="52">
        <f t="shared" ref="S25:S30" si="12">B25-D25</f>
        <v>4.4319504730061188E-2</v>
      </c>
      <c r="T25" s="52">
        <f t="shared" ref="T25:T30" si="13">F25-B25</f>
        <v>4.6041149648945297E-2</v>
      </c>
      <c r="U25" s="52"/>
      <c r="X25" s="51"/>
    </row>
    <row r="26" spans="1:24">
      <c r="A26" s="59" t="str">
        <f t="shared" si="10"/>
        <v>Aandelen ontwikkeld</v>
      </c>
      <c r="B26" s="117">
        <v>1.5320871687334739E-3</v>
      </c>
      <c r="C26" s="118">
        <v>2.5273241871881071E-3</v>
      </c>
      <c r="D26" s="119">
        <v>1.6123355805191399E-5</v>
      </c>
      <c r="E26" s="117">
        <v>5.5431097235591619E-4</v>
      </c>
      <c r="F26" s="120">
        <v>2.7104335647145199E-3</v>
      </c>
      <c r="G26" s="2">
        <v>-5.2282004754491546E-3</v>
      </c>
      <c r="H26" s="2">
        <v>1.3574083986097321E-3</v>
      </c>
      <c r="I26" s="2">
        <v>-3.8675860143411438E-3</v>
      </c>
      <c r="J26" s="2">
        <v>1.9816745159330084E-2</v>
      </c>
      <c r="K26" s="2">
        <v>8.1813539315327463E-2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1.6123355805191399E-5</v>
      </c>
      <c r="S26" s="52">
        <f t="shared" si="12"/>
        <v>1.5159638129282826E-3</v>
      </c>
      <c r="T26" s="52">
        <f t="shared" si="13"/>
        <v>1.178346395981046E-3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7.8028364818515817E-3</v>
      </c>
      <c r="C27" s="118">
        <v>9.0649832243677123E-3</v>
      </c>
      <c r="D27" s="119">
        <v>3.8766894616157349E-4</v>
      </c>
      <c r="E27" s="117">
        <v>4.4834099721580162E-3</v>
      </c>
      <c r="F27" s="120">
        <v>1.4955505384291929E-2</v>
      </c>
      <c r="G27" s="2">
        <v>-7.1038713649903013E-3</v>
      </c>
      <c r="H27" s="2">
        <v>3.1546057127626724E-2</v>
      </c>
      <c r="I27" s="2">
        <v>0.69595197554503263</v>
      </c>
      <c r="J27" s="2">
        <v>1</v>
      </c>
      <c r="K27" s="2">
        <v>-0.24140044709454464</v>
      </c>
      <c r="L27" s="2">
        <v>-0.16174146659298205</v>
      </c>
      <c r="M27" s="2">
        <v>0.99999999999997258</v>
      </c>
      <c r="N27" s="57"/>
      <c r="O27" s="67"/>
      <c r="P27" s="72"/>
      <c r="Q27" s="51" t="str">
        <f t="shared" si="9"/>
        <v>Aandelen opkomend</v>
      </c>
      <c r="R27" s="72">
        <f t="shared" si="11"/>
        <v>3.8766894616157349E-4</v>
      </c>
      <c r="S27" s="52">
        <f t="shared" si="12"/>
        <v>7.4151675356900083E-3</v>
      </c>
      <c r="T27" s="52">
        <f t="shared" si="13"/>
        <v>7.1526689024403473E-3</v>
      </c>
      <c r="U27" s="52"/>
      <c r="V27" s="52"/>
      <c r="W27" s="52"/>
    </row>
    <row r="28" spans="1:24">
      <c r="A28" s="59" t="str">
        <f t="shared" si="10"/>
        <v>Commodities</v>
      </c>
      <c r="B28" s="117">
        <v>0.89428289701351427</v>
      </c>
      <c r="C28" s="118">
        <v>4.4679061224825754E-2</v>
      </c>
      <c r="D28" s="119">
        <v>0.84973198999984012</v>
      </c>
      <c r="E28" s="117">
        <v>0.89723566507248764</v>
      </c>
      <c r="F28" s="120">
        <v>0.93944594090809663</v>
      </c>
      <c r="G28" s="2">
        <v>-0.9823558512637619</v>
      </c>
      <c r="H28" s="2">
        <v>-0.54451071561742292</v>
      </c>
      <c r="I28" s="2">
        <v>-0.55371546212727074</v>
      </c>
      <c r="J28" s="2">
        <v>-7.4304166541022357E-2</v>
      </c>
      <c r="K28" s="2">
        <v>-0.20882274321403743</v>
      </c>
      <c r="L28" s="2">
        <v>-0.15412152675784407</v>
      </c>
      <c r="M28" s="2">
        <v>0.9999999999999718</v>
      </c>
      <c r="N28" s="57"/>
      <c r="O28" s="67"/>
      <c r="P28" s="72"/>
      <c r="Q28" s="51" t="str">
        <f t="shared" si="9"/>
        <v>Commodities</v>
      </c>
      <c r="R28" s="72">
        <f t="shared" si="11"/>
        <v>0.84973198999984012</v>
      </c>
      <c r="S28" s="52">
        <f t="shared" si="12"/>
        <v>4.4550907013674146E-2</v>
      </c>
      <c r="T28" s="52">
        <f t="shared" si="13"/>
        <v>4.5163043894582366E-2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2.2716338351636719E-2</v>
      </c>
      <c r="C29" s="118">
        <v>2.1407436233595908E-2</v>
      </c>
      <c r="D29" s="119">
        <v>3.7704170688989506E-3</v>
      </c>
      <c r="E29" s="117">
        <v>1.6949212730774647E-2</v>
      </c>
      <c r="F29" s="120">
        <v>4.1487141710006101E-2</v>
      </c>
      <c r="G29" s="2">
        <v>1.0614124095847572E-2</v>
      </c>
      <c r="H29" s="2">
        <v>1</v>
      </c>
      <c r="I29" s="2">
        <v>-0.66609318412257812</v>
      </c>
      <c r="J29" s="2">
        <v>-6.4208661223977032E-2</v>
      </c>
      <c r="K29" s="2">
        <v>-0.19989584574737271</v>
      </c>
      <c r="L29" s="2">
        <v>-0.15359350877686431</v>
      </c>
      <c r="M29" s="2">
        <v>0.99999999999997147</v>
      </c>
      <c r="N29" s="57"/>
      <c r="O29" s="67"/>
      <c r="P29" s="72"/>
      <c r="Q29" s="51" t="str">
        <f t="shared" si="9"/>
        <v>Hedge funds</v>
      </c>
      <c r="R29" s="72">
        <f t="shared" si="11"/>
        <v>3.7704170688989506E-3</v>
      </c>
      <c r="S29" s="52">
        <f t="shared" si="12"/>
        <v>1.8945921282737768E-2</v>
      </c>
      <c r="T29" s="52">
        <f t="shared" si="13"/>
        <v>1.8770803358369382E-2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3.2846295808913852E-3</v>
      </c>
      <c r="C30" s="122">
        <v>4.1187050655235842E-3</v>
      </c>
      <c r="D30" s="123">
        <v>1.5819886252651036E-4</v>
      </c>
      <c r="E30" s="121">
        <v>1.6663459413799099E-3</v>
      </c>
      <c r="F30" s="124">
        <v>6.6818058143059012E-3</v>
      </c>
      <c r="G30" s="65">
        <v>-1.0692522460304429E-2</v>
      </c>
      <c r="H30" s="65">
        <v>7.3304040273365406E-4</v>
      </c>
      <c r="I30" s="65">
        <v>5.3866505017877243E-2</v>
      </c>
      <c r="J30" s="65">
        <v>4.5338769310521356E-3</v>
      </c>
      <c r="K30" s="65">
        <v>1</v>
      </c>
      <c r="L30" s="65">
        <v>-0.24509368378832636</v>
      </c>
      <c r="M30" s="65">
        <v>0.99999999999997247</v>
      </c>
      <c r="N30" s="66"/>
      <c r="O30" s="67"/>
      <c r="P30" s="72"/>
      <c r="Q30" s="51" t="str">
        <f t="shared" si="9"/>
        <v>Onroerend goed</v>
      </c>
      <c r="R30" s="72">
        <f t="shared" si="11"/>
        <v>1.5819886252651036E-4</v>
      </c>
      <c r="S30" s="52">
        <f t="shared" si="12"/>
        <v>3.1264307183648749E-3</v>
      </c>
      <c r="T30" s="52">
        <f t="shared" si="13"/>
        <v>3.397176233414516E-3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3" t="s">
        <v>64</v>
      </c>
      <c r="E32" s="384"/>
      <c r="F32" s="385"/>
      <c r="G32" s="383" t="s">
        <v>65</v>
      </c>
      <c r="H32" s="384"/>
      <c r="I32" s="384"/>
      <c r="J32" s="384"/>
      <c r="K32" s="384"/>
      <c r="L32" s="384"/>
      <c r="M32" s="384"/>
      <c r="N32" s="385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0.68211044534340559</v>
      </c>
      <c r="H33" s="272">
        <v>0.21024420254495846</v>
      </c>
      <c r="I33" s="272">
        <v>5.4105574613200758E-2</v>
      </c>
      <c r="J33" s="272">
        <v>2.8287946278246379E-2</v>
      </c>
      <c r="K33" s="272">
        <v>1.591760861571434E-2</v>
      </c>
      <c r="L33" s="272">
        <v>9.3342226044745846E-3</v>
      </c>
      <c r="M33" s="272">
        <v>-2.2204460492503131E-16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0.70812365034059077</v>
      </c>
      <c r="C34" s="118">
        <v>9.3058089562554305E-2</v>
      </c>
      <c r="D34" s="119">
        <v>0.61239230310119175</v>
      </c>
      <c r="E34" s="117">
        <v>0.71023069930578342</v>
      </c>
      <c r="F34" s="120">
        <v>0.8044382288535703</v>
      </c>
      <c r="G34" s="2">
        <v>1</v>
      </c>
      <c r="H34" s="2">
        <v>-0.25458519502059751</v>
      </c>
      <c r="I34" s="2">
        <v>-0.33219887936279152</v>
      </c>
      <c r="J34" s="2">
        <v>-0.27279914559158369</v>
      </c>
      <c r="K34" s="2">
        <v>-0.16919807037536788</v>
      </c>
      <c r="L34" s="2">
        <v>-0.13568924623576148</v>
      </c>
      <c r="M34" s="2">
        <v>0.99999999999999978</v>
      </c>
      <c r="N34" s="57"/>
      <c r="O34" s="67"/>
      <c r="Q34" s="51" t="str">
        <f t="shared" ref="Q34:Q40" si="15">A34</f>
        <v>High Yield</v>
      </c>
      <c r="R34" s="72">
        <f>D34</f>
        <v>0.61239230310119175</v>
      </c>
      <c r="S34" s="52">
        <f>B34-D34</f>
        <v>9.5731347239399023E-2</v>
      </c>
      <c r="T34" s="52">
        <f>F34-B34</f>
        <v>9.6314578512979532E-2</v>
      </c>
      <c r="U34" s="52"/>
    </row>
    <row r="35" spans="1:24">
      <c r="A35" s="59" t="str">
        <f t="shared" si="14"/>
        <v>Emerging market debt</v>
      </c>
      <c r="B35" s="117">
        <v>1.5082431977586928E-2</v>
      </c>
      <c r="C35" s="118">
        <v>1.252090118023712E-2</v>
      </c>
      <c r="D35" s="119">
        <v>2.7946565716081835E-3</v>
      </c>
      <c r="E35" s="117">
        <v>1.2181450924488725E-2</v>
      </c>
      <c r="F35" s="120">
        <v>2.7219805893536276E-2</v>
      </c>
      <c r="G35" s="2">
        <v>-7.0238363455568829E-3</v>
      </c>
      <c r="H35" s="2">
        <v>-3.5740563645160531E-3</v>
      </c>
      <c r="I35" s="2">
        <v>-3.7349095796939846E-2</v>
      </c>
      <c r="J35" s="2">
        <v>6.2529272730784735E-2</v>
      </c>
      <c r="K35" s="2">
        <v>0.19998713506301602</v>
      </c>
      <c r="L35" s="2">
        <v>1</v>
      </c>
      <c r="M35" s="2">
        <v>0.99999999999999678</v>
      </c>
      <c r="N35" s="57"/>
      <c r="O35" s="67"/>
      <c r="Q35" s="51" t="str">
        <f t="shared" si="15"/>
        <v>Emerging market debt</v>
      </c>
      <c r="R35" s="72">
        <f t="shared" ref="R35:R40" si="16">D35</f>
        <v>2.7946565716081835E-3</v>
      </c>
      <c r="S35" s="52">
        <f t="shared" ref="S35:S40" si="17">B35-D35</f>
        <v>1.2287775405978744E-2</v>
      </c>
      <c r="T35" s="52">
        <f t="shared" ref="T35:T40" si="18">F35-B35</f>
        <v>1.2137373915949348E-2</v>
      </c>
      <c r="U35" s="52"/>
    </row>
    <row r="36" spans="1:24">
      <c r="A36" s="59" t="str">
        <f t="shared" si="14"/>
        <v>Aandelen ontwikkeld</v>
      </c>
      <c r="B36" s="117">
        <v>1.6157337299592563E-2</v>
      </c>
      <c r="C36" s="118">
        <v>1.5987934145464216E-2</v>
      </c>
      <c r="D36" s="119">
        <v>2.0775934428418331E-3</v>
      </c>
      <c r="E36" s="117">
        <v>1.1304967923447127E-2</v>
      </c>
      <c r="F36" s="120">
        <v>3.1969316051371752E-2</v>
      </c>
      <c r="G36" s="2">
        <v>-5.8488044332055348E-3</v>
      </c>
      <c r="H36" s="2">
        <v>-6.3997751447694108E-3</v>
      </c>
      <c r="I36" s="2">
        <v>7.5067989849937913E-2</v>
      </c>
      <c r="J36" s="2">
        <v>0.22225017819447682</v>
      </c>
      <c r="K36" s="2">
        <v>1</v>
      </c>
      <c r="L36" s="2">
        <v>-0.35566276439386757</v>
      </c>
      <c r="M36" s="2">
        <v>0.99999999999999678</v>
      </c>
      <c r="N36" s="57"/>
      <c r="O36" s="67"/>
      <c r="Q36" s="51" t="str">
        <f t="shared" si="15"/>
        <v>Aandelen ontwikkeld</v>
      </c>
      <c r="R36" s="72">
        <f t="shared" si="16"/>
        <v>2.0775934428418331E-3</v>
      </c>
      <c r="S36" s="52">
        <f t="shared" si="17"/>
        <v>1.407974385675073E-2</v>
      </c>
      <c r="T36" s="52">
        <f t="shared" si="18"/>
        <v>1.5811978751779188E-2</v>
      </c>
      <c r="U36" s="52"/>
    </row>
    <row r="37" spans="1:24">
      <c r="A37" s="59" t="str">
        <f t="shared" si="14"/>
        <v>Aandelen opkomend</v>
      </c>
      <c r="B37" s="117">
        <v>6.9668708296684076E-2</v>
      </c>
      <c r="C37" s="118">
        <v>5.5940396606249235E-2</v>
      </c>
      <c r="D37" s="119">
        <v>1.645975756546526E-2</v>
      </c>
      <c r="E37" s="117">
        <v>5.3807791859985993E-2</v>
      </c>
      <c r="F37" s="120">
        <v>0.12821205641834982</v>
      </c>
      <c r="G37" s="2">
        <v>-0.23361236655061987</v>
      </c>
      <c r="H37" s="2">
        <v>1</v>
      </c>
      <c r="I37" s="2">
        <v>-0.34996970415038064</v>
      </c>
      <c r="J37" s="2">
        <v>-0.2924246037048715</v>
      </c>
      <c r="K37" s="2">
        <v>-0.16462434050194966</v>
      </c>
      <c r="L37" s="2">
        <v>-0.13939836111903606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1.645975756546526E-2</v>
      </c>
      <c r="S37" s="52">
        <f t="shared" si="17"/>
        <v>5.3208950731218813E-2</v>
      </c>
      <c r="T37" s="52">
        <f t="shared" si="18"/>
        <v>5.8543348121665742E-2</v>
      </c>
      <c r="U37" s="52"/>
      <c r="X37" s="51"/>
    </row>
    <row r="38" spans="1:24">
      <c r="A38" s="59" t="str">
        <f t="shared" si="14"/>
        <v>Commodities</v>
      </c>
      <c r="B38" s="117">
        <v>0.13044764694681479</v>
      </c>
      <c r="C38" s="118">
        <v>7.3793687848373826E-2</v>
      </c>
      <c r="D38" s="119">
        <v>5.0434992797911832E-2</v>
      </c>
      <c r="E38" s="117">
        <v>0.12539469461109218</v>
      </c>
      <c r="F38" s="120">
        <v>0.20322832499270319</v>
      </c>
      <c r="G38" s="2">
        <v>-0.6926848678800207</v>
      </c>
      <c r="H38" s="2">
        <v>-0.70330056636618443</v>
      </c>
      <c r="I38" s="2">
        <v>-0.40360247533900512</v>
      </c>
      <c r="J38" s="2">
        <v>-0.33071454358361563</v>
      </c>
      <c r="K38" s="2">
        <v>-0.16744295027034456</v>
      </c>
      <c r="L38" s="2">
        <v>-0.14594385768065302</v>
      </c>
      <c r="M38" s="2">
        <v>0.99999999999999978</v>
      </c>
      <c r="N38" s="57"/>
      <c r="O38" s="67"/>
      <c r="P38" s="72"/>
      <c r="Q38" s="51" t="str">
        <f t="shared" si="15"/>
        <v>Commodities</v>
      </c>
      <c r="R38" s="72">
        <f t="shared" si="16"/>
        <v>5.0434992797911832E-2</v>
      </c>
      <c r="S38" s="52">
        <f t="shared" si="17"/>
        <v>8.0012654148902962E-2</v>
      </c>
      <c r="T38" s="52">
        <f t="shared" si="18"/>
        <v>7.2780678045888392E-2</v>
      </c>
      <c r="U38" s="52"/>
      <c r="V38" s="52"/>
      <c r="W38" s="52"/>
    </row>
    <row r="39" spans="1:24">
      <c r="A39" s="59" t="str">
        <f t="shared" si="14"/>
        <v>Hedge funds</v>
      </c>
      <c r="B39" s="117">
        <v>3.774289812529516E-2</v>
      </c>
      <c r="C39" s="118">
        <v>2.829314472217391E-2</v>
      </c>
      <c r="D39" s="119">
        <v>9.7234850478918125E-3</v>
      </c>
      <c r="E39" s="117">
        <v>3.0793862548481044E-2</v>
      </c>
      <c r="F39" s="120">
        <v>6.652849886735264E-2</v>
      </c>
      <c r="G39" s="2">
        <v>-2.7341787598130402E-2</v>
      </c>
      <c r="H39" s="2">
        <v>-1.7401914891799038E-2</v>
      </c>
      <c r="I39" s="2">
        <v>1</v>
      </c>
      <c r="J39" s="2">
        <v>-0.38884115804518921</v>
      </c>
      <c r="K39" s="2">
        <v>-0.22629904676189724</v>
      </c>
      <c r="L39" s="2">
        <v>-8.1922567398278259E-2</v>
      </c>
      <c r="M39" s="2">
        <v>0.99999999999999856</v>
      </c>
      <c r="N39" s="57"/>
      <c r="O39" s="67"/>
      <c r="P39" s="72"/>
      <c r="Q39" s="51" t="str">
        <f t="shared" si="15"/>
        <v>Hedge funds</v>
      </c>
      <c r="R39" s="72">
        <f t="shared" si="16"/>
        <v>9.7234850478918125E-3</v>
      </c>
      <c r="S39" s="52">
        <f t="shared" si="17"/>
        <v>2.8019413077403348E-2</v>
      </c>
      <c r="T39" s="52">
        <f t="shared" si="18"/>
        <v>2.8785600742057479E-2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2.2777327013435635E-2</v>
      </c>
      <c r="C40" s="122">
        <v>2.0608592340988403E-2</v>
      </c>
      <c r="D40" s="123">
        <v>4.2673088400998404E-3</v>
      </c>
      <c r="E40" s="121">
        <v>1.7109716292567332E-2</v>
      </c>
      <c r="F40" s="124">
        <v>4.217125446319693E-2</v>
      </c>
      <c r="G40" s="65">
        <v>-3.3488337192466938E-2</v>
      </c>
      <c r="H40" s="65">
        <v>-1.4738492212134387E-2</v>
      </c>
      <c r="I40" s="65">
        <v>4.8052164799180529E-2</v>
      </c>
      <c r="J40" s="65">
        <v>1</v>
      </c>
      <c r="K40" s="65">
        <v>-0.47242272715345374</v>
      </c>
      <c r="L40" s="65">
        <v>-0.14138320317240297</v>
      </c>
      <c r="M40" s="65">
        <v>0.99999999999999878</v>
      </c>
      <c r="N40" s="66"/>
      <c r="O40" s="67"/>
      <c r="P40" s="72"/>
      <c r="Q40" s="51" t="str">
        <f t="shared" si="15"/>
        <v>Onroerend goed</v>
      </c>
      <c r="R40" s="72">
        <f t="shared" si="16"/>
        <v>4.2673088400998404E-3</v>
      </c>
      <c r="S40" s="52">
        <f t="shared" si="17"/>
        <v>1.8510018173335793E-2</v>
      </c>
      <c r="T40" s="52">
        <f t="shared" si="18"/>
        <v>1.9393927449761296E-2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3" t="s">
        <v>64</v>
      </c>
      <c r="E42" s="384"/>
      <c r="F42" s="385"/>
      <c r="G42" s="383" t="s">
        <v>65</v>
      </c>
      <c r="H42" s="384"/>
      <c r="I42" s="384"/>
      <c r="J42" s="384"/>
      <c r="K42" s="384"/>
      <c r="L42" s="384"/>
      <c r="M42" s="384"/>
      <c r="N42" s="385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0.33833423899328452</v>
      </c>
      <c r="H43" s="272">
        <v>0.16247693266523189</v>
      </c>
      <c r="I43" s="272">
        <v>0.14564419486255686</v>
      </c>
      <c r="J43" s="272">
        <v>0.14329383072031099</v>
      </c>
      <c r="K43" s="272">
        <v>0.12506300570125795</v>
      </c>
      <c r="L43" s="272">
        <v>8.5187797057357351E-2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0.14008097345741705</v>
      </c>
      <c r="C44" s="118">
        <v>0.19889061404208824</v>
      </c>
      <c r="D44" s="119">
        <v>3.6395984093867494E-4</v>
      </c>
      <c r="E44" s="117">
        <v>4.6826300060116503E-2</v>
      </c>
      <c r="F44" s="120">
        <v>0.31471151596177016</v>
      </c>
      <c r="G44" s="2">
        <v>-0.22358750748056261</v>
      </c>
      <c r="H44" s="2">
        <v>-0.92495277943767029</v>
      </c>
      <c r="I44" s="2">
        <v>-0.75471767151767633</v>
      </c>
      <c r="J44" s="2">
        <v>-0.67113873424235759</v>
      </c>
      <c r="K44" s="2">
        <v>-0.12924420331013131</v>
      </c>
      <c r="L44" s="2">
        <v>-0.11186811081252428</v>
      </c>
      <c r="M44" s="2">
        <v>0.99999999999974221</v>
      </c>
      <c r="N44" s="57"/>
      <c r="O44" s="67"/>
      <c r="Q44" s="51" t="str">
        <f t="shared" ref="Q44:Q50" si="19">A44</f>
        <v>High Yield</v>
      </c>
      <c r="R44" s="72">
        <f>D44</f>
        <v>3.6395984093867494E-4</v>
      </c>
      <c r="S44" s="52">
        <f>B44-D44</f>
        <v>0.13971701361647837</v>
      </c>
      <c r="T44" s="52">
        <f>F44-B44</f>
        <v>0.17463054250435311</v>
      </c>
      <c r="U44" s="52"/>
    </row>
    <row r="45" spans="1:24">
      <c r="A45" s="59" t="str">
        <f t="shared" ref="A45:A50" si="20">A5</f>
        <v>Emerging market debt</v>
      </c>
      <c r="B45" s="117">
        <v>0.14362901399592667</v>
      </c>
      <c r="C45" s="118">
        <v>0.20174979636232082</v>
      </c>
      <c r="D45" s="119">
        <v>5.6322545765322E-4</v>
      </c>
      <c r="E45" s="117">
        <v>4.8217062418334997E-2</v>
      </c>
      <c r="F45" s="120">
        <v>0.32046336445088935</v>
      </c>
      <c r="G45" s="2">
        <v>-0.26420829270363444</v>
      </c>
      <c r="H45" s="2">
        <v>1</v>
      </c>
      <c r="I45" s="2">
        <v>-0.86974804662237704</v>
      </c>
      <c r="J45" s="2">
        <v>0.28202020573363445</v>
      </c>
      <c r="K45" s="2">
        <v>-0.23994960222790954</v>
      </c>
      <c r="L45" s="2">
        <v>-0.11860046554351131</v>
      </c>
      <c r="M45" s="2">
        <v>0.99999999999891998</v>
      </c>
      <c r="N45" s="57"/>
      <c r="O45" s="67"/>
      <c r="Q45" s="51" t="str">
        <f t="shared" si="19"/>
        <v>Emerging market debt</v>
      </c>
      <c r="R45" s="72">
        <f t="shared" ref="R45:R50" si="21">D45</f>
        <v>5.6322545765322E-4</v>
      </c>
      <c r="S45" s="52">
        <f t="shared" ref="S45:S50" si="22">B45-D45</f>
        <v>0.14306578853827345</v>
      </c>
      <c r="T45" s="52">
        <f t="shared" ref="T45:T50" si="23">F45-B45</f>
        <v>0.17683435045496268</v>
      </c>
      <c r="U45" s="52"/>
    </row>
    <row r="46" spans="1:24">
      <c r="A46" s="59" t="str">
        <f t="shared" si="20"/>
        <v>Aandelen ontwikkeld</v>
      </c>
      <c r="B46" s="117">
        <v>8.2907614162785387E-2</v>
      </c>
      <c r="C46" s="118">
        <v>0.14792816028093031</v>
      </c>
      <c r="D46" s="119">
        <v>7.1639402696013698E-5</v>
      </c>
      <c r="E46" s="117">
        <v>1.6743612900003244E-2</v>
      </c>
      <c r="F46" s="120">
        <v>0.16255279051749066</v>
      </c>
      <c r="G46" s="2">
        <v>-7.9788108573428274E-2</v>
      </c>
      <c r="H46" s="2">
        <v>2.0416385222968132E-2</v>
      </c>
      <c r="I46" s="2">
        <v>0.11280276983603334</v>
      </c>
      <c r="J46" s="2">
        <v>1.9040864147434115E-2</v>
      </c>
      <c r="K46" s="2">
        <v>0.22625093481184685</v>
      </c>
      <c r="L46" s="2">
        <v>1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7.1639402696013698E-5</v>
      </c>
      <c r="S46" s="52">
        <f t="shared" si="22"/>
        <v>8.2835974760089373E-2</v>
      </c>
      <c r="T46" s="52">
        <f t="shared" si="23"/>
        <v>7.9645176354705277E-2</v>
      </c>
      <c r="U46" s="52"/>
    </row>
    <row r="47" spans="1:24">
      <c r="A47" s="59" t="str">
        <f t="shared" si="20"/>
        <v>Aandelen opkomend</v>
      </c>
      <c r="B47" s="117">
        <v>0.12434922155337359</v>
      </c>
      <c r="C47" s="118">
        <v>0.19025286615899256</v>
      </c>
      <c r="D47" s="119">
        <v>2.1951336314716854E-4</v>
      </c>
      <c r="E47" s="117">
        <v>2.6427156326807907E-2</v>
      </c>
      <c r="F47" s="120">
        <v>0.30519722554558204</v>
      </c>
      <c r="G47" s="2">
        <v>-0.15144857785541679</v>
      </c>
      <c r="H47" s="2">
        <v>0.42887306537292974</v>
      </c>
      <c r="I47" s="2">
        <v>1</v>
      </c>
      <c r="J47" s="2">
        <v>-0.73067516759741202</v>
      </c>
      <c r="K47" s="2">
        <v>-0.37312853799647622</v>
      </c>
      <c r="L47" s="2">
        <v>-0.16604048369366489</v>
      </c>
      <c r="M47" s="2">
        <v>0.99999999999903066</v>
      </c>
      <c r="N47" s="57"/>
      <c r="O47" s="67"/>
      <c r="Q47" s="51" t="str">
        <f t="shared" si="19"/>
        <v>Aandelen opkomend</v>
      </c>
      <c r="R47" s="72">
        <f t="shared" si="21"/>
        <v>2.1951336314716854E-4</v>
      </c>
      <c r="S47" s="52">
        <f t="shared" si="22"/>
        <v>0.12412970819022642</v>
      </c>
      <c r="T47" s="52">
        <f t="shared" si="23"/>
        <v>0.18084800399220846</v>
      </c>
      <c r="U47" s="52"/>
    </row>
    <row r="48" spans="1:24">
      <c r="A48" s="59" t="str">
        <f t="shared" si="20"/>
        <v>Commodities</v>
      </c>
      <c r="B48" s="117">
        <v>9.9986004257382299E-2</v>
      </c>
      <c r="C48" s="118">
        <v>0.17399969414439717</v>
      </c>
      <c r="D48" s="119">
        <v>1.6823967215296896E-4</v>
      </c>
      <c r="E48" s="117">
        <v>1.8966998159761921E-2</v>
      </c>
      <c r="F48" s="120">
        <v>0.2240550373593172</v>
      </c>
      <c r="G48" s="2">
        <v>-0.12099388451656257</v>
      </c>
      <c r="H48" s="2">
        <v>3.5733330604043004E-2</v>
      </c>
      <c r="I48" s="2">
        <v>0.21141107047351684</v>
      </c>
      <c r="J48" s="2">
        <v>0.11192375354662754</v>
      </c>
      <c r="K48" s="2">
        <v>1</v>
      </c>
      <c r="L48" s="2">
        <v>-0.39322461257704094</v>
      </c>
      <c r="M48" s="2">
        <v>0.99999999999922062</v>
      </c>
      <c r="N48" s="57"/>
      <c r="O48" s="67"/>
      <c r="Q48" s="51" t="str">
        <f t="shared" si="19"/>
        <v>Commodities</v>
      </c>
      <c r="R48" s="72">
        <f t="shared" si="21"/>
        <v>1.6823967215296896E-4</v>
      </c>
      <c r="S48" s="52">
        <f t="shared" si="22"/>
        <v>9.9817764585229327E-2</v>
      </c>
      <c r="T48" s="52">
        <f t="shared" si="23"/>
        <v>0.1240690331019349</v>
      </c>
      <c r="U48" s="52"/>
    </row>
    <row r="49" spans="1:27">
      <c r="A49" s="59" t="str">
        <f t="shared" si="20"/>
        <v>Hedge funds</v>
      </c>
      <c r="B49" s="117">
        <v>0.28743174006114053</v>
      </c>
      <c r="C49" s="118">
        <v>0.28701655932790215</v>
      </c>
      <c r="D49" s="119">
        <v>6.291924264022467E-3</v>
      </c>
      <c r="E49" s="117">
        <v>0.19337184887765896</v>
      </c>
      <c r="F49" s="120">
        <v>0.61571034691581228</v>
      </c>
      <c r="G49" s="2">
        <v>1</v>
      </c>
      <c r="H49" s="2">
        <v>3.3370319560945459E-2</v>
      </c>
      <c r="I49" s="2">
        <v>-0.14179577775957705</v>
      </c>
      <c r="J49" s="2">
        <v>-1.1170921587976949E-2</v>
      </c>
      <c r="K49" s="2">
        <v>-7.5151402129797901E-2</v>
      </c>
      <c r="L49" s="2">
        <v>-7.1485130217832427E-2</v>
      </c>
      <c r="M49" s="2">
        <v>0.999999999998756</v>
      </c>
      <c r="N49" s="57"/>
      <c r="O49" s="67"/>
      <c r="Q49" s="51" t="str">
        <f t="shared" si="19"/>
        <v>Hedge funds</v>
      </c>
      <c r="R49" s="72">
        <f t="shared" si="21"/>
        <v>6.291924264022467E-3</v>
      </c>
      <c r="S49" s="52">
        <f t="shared" si="22"/>
        <v>0.28113981579711805</v>
      </c>
      <c r="T49" s="52">
        <f t="shared" si="23"/>
        <v>0.32827860685467175</v>
      </c>
      <c r="U49" s="52"/>
      <c r="X49" s="51"/>
    </row>
    <row r="50" spans="1:27">
      <c r="A50" s="60" t="str">
        <f t="shared" si="20"/>
        <v>Onroerend goed</v>
      </c>
      <c r="B50" s="121">
        <v>0.12161543251149302</v>
      </c>
      <c r="C50" s="122">
        <v>0.19107739866351217</v>
      </c>
      <c r="D50" s="123">
        <v>2.1032383615705061E-4</v>
      </c>
      <c r="E50" s="121">
        <v>3.1512197240716563E-2</v>
      </c>
      <c r="F50" s="124">
        <v>0.29196380331787675</v>
      </c>
      <c r="G50" s="65">
        <v>-0.15997362886980801</v>
      </c>
      <c r="H50" s="65">
        <v>-0.59344032132215907</v>
      </c>
      <c r="I50" s="65">
        <v>0.44204765559010356</v>
      </c>
      <c r="J50" s="65">
        <v>1</v>
      </c>
      <c r="K50" s="65">
        <v>-0.40877718914768524</v>
      </c>
      <c r="L50" s="65">
        <v>-0.1387811971562026</v>
      </c>
      <c r="M50" s="65">
        <v>0.9999999999995467</v>
      </c>
      <c r="N50" s="66"/>
      <c r="O50" s="67"/>
      <c r="P50" s="72"/>
      <c r="Q50" s="51" t="str">
        <f t="shared" si="19"/>
        <v>Onroerend goed</v>
      </c>
      <c r="R50" s="72">
        <f t="shared" si="21"/>
        <v>2.1032383615705061E-4</v>
      </c>
      <c r="S50" s="52">
        <f t="shared" si="22"/>
        <v>0.12140510867533598</v>
      </c>
      <c r="T50" s="52">
        <f t="shared" si="23"/>
        <v>0.17034837080638371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3" t="s">
        <v>64</v>
      </c>
      <c r="E52" s="384"/>
      <c r="F52" s="385"/>
      <c r="G52" s="383" t="s">
        <v>65</v>
      </c>
      <c r="H52" s="384"/>
      <c r="I52" s="384"/>
      <c r="J52" s="384"/>
      <c r="K52" s="384"/>
      <c r="L52" s="384"/>
      <c r="M52" s="384"/>
      <c r="N52" s="385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0.774898069587862</v>
      </c>
      <c r="H53" s="272">
        <v>9.3375418960238266E-2</v>
      </c>
      <c r="I53" s="272">
        <v>4.7764661810299591E-2</v>
      </c>
      <c r="J53" s="272">
        <v>3.6574022890180524E-2</v>
      </c>
      <c r="K53" s="272">
        <v>3.0028351662853559E-2</v>
      </c>
      <c r="L53" s="272">
        <v>1.7359475088565723E-2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2.6995283983559759E-3</v>
      </c>
      <c r="C54" s="118">
        <v>4.4369482154805453E-3</v>
      </c>
      <c r="D54" s="119">
        <v>9.0091634382478374E-6</v>
      </c>
      <c r="E54" s="117">
        <v>6.8142849730365126E-4</v>
      </c>
      <c r="F54" s="120">
        <v>5.6700035938417742E-3</v>
      </c>
      <c r="G54" s="2">
        <v>-6.2594804003576771E-3</v>
      </c>
      <c r="H54" s="2">
        <v>-0.59966218677516248</v>
      </c>
      <c r="I54" s="2">
        <v>-0.86780507472349211</v>
      </c>
      <c r="J54" s="2">
        <v>-0.69531444911328244</v>
      </c>
      <c r="K54" s="2">
        <v>-0.21550313924113873</v>
      </c>
      <c r="L54" s="2">
        <v>-0.16586047419694191</v>
      </c>
      <c r="M54" s="2">
        <v>0.99999999999999845</v>
      </c>
      <c r="N54" s="57"/>
      <c r="O54" s="67"/>
      <c r="P54" s="72"/>
      <c r="Q54" s="51" t="str">
        <f t="shared" ref="Q54:Q60" si="25">A54</f>
        <v>High Yield</v>
      </c>
      <c r="R54" s="72">
        <f>D54</f>
        <v>9.0091634382478374E-6</v>
      </c>
      <c r="S54" s="52">
        <f>B54-D54</f>
        <v>2.6905192349177282E-3</v>
      </c>
      <c r="T54" s="52">
        <f>F54-B54</f>
        <v>2.9704751954857983E-3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1.0798494293707502E-2</v>
      </c>
      <c r="C55" s="118">
        <v>1.358270078227408E-2</v>
      </c>
      <c r="D55" s="119">
        <v>1.1077505439822777E-4</v>
      </c>
      <c r="E55" s="117">
        <v>5.6409414452007287E-3</v>
      </c>
      <c r="F55" s="120">
        <v>2.3541835295091226E-2</v>
      </c>
      <c r="G55" s="2">
        <v>-0.94014755416640194</v>
      </c>
      <c r="H55" s="2">
        <v>1</v>
      </c>
      <c r="I55" s="2">
        <v>8.9133751307108294E-2</v>
      </c>
      <c r="J55" s="2">
        <v>-0.18674767702870862</v>
      </c>
      <c r="K55" s="2">
        <v>-8.6161847218881676E-2</v>
      </c>
      <c r="L55" s="2">
        <v>-0.12885759966823773</v>
      </c>
      <c r="M55" s="2">
        <v>1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1.1077505439822777E-4</v>
      </c>
      <c r="S55" s="52">
        <f t="shared" ref="S55:S60" si="27">B55-D55</f>
        <v>1.0687719239309274E-2</v>
      </c>
      <c r="T55" s="52">
        <f t="shared" ref="T55:T60" si="28">F55-B55</f>
        <v>1.2743341001383725E-2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1.9822064696863656E-3</v>
      </c>
      <c r="C56" s="118">
        <v>3.5358469027447484E-3</v>
      </c>
      <c r="D56" s="119">
        <v>1.6321501928185519E-6</v>
      </c>
      <c r="E56" s="117">
        <v>2.9118786865388568E-4</v>
      </c>
      <c r="F56" s="120">
        <v>4.1585183705586289E-3</v>
      </c>
      <c r="G56" s="2">
        <v>-1.0788390510230041E-2</v>
      </c>
      <c r="H56" s="2">
        <v>-0.17943155878544215</v>
      </c>
      <c r="I56" s="2">
        <v>-0.19158486333283636</v>
      </c>
      <c r="J56" s="2">
        <v>0.3878688468909478</v>
      </c>
      <c r="K56" s="2">
        <v>1</v>
      </c>
      <c r="L56" s="2">
        <v>-0.21595666877594158</v>
      </c>
      <c r="M56" s="2">
        <v>0.99999999999999933</v>
      </c>
      <c r="N56" s="57"/>
      <c r="O56" s="67"/>
      <c r="Q56" s="51" t="str">
        <f t="shared" si="25"/>
        <v>Aandelen ontwikkeld</v>
      </c>
      <c r="R56" s="72">
        <f t="shared" si="26"/>
        <v>1.6321501928185519E-6</v>
      </c>
      <c r="S56" s="52">
        <f t="shared" si="27"/>
        <v>1.9805743194935472E-3</v>
      </c>
      <c r="T56" s="52">
        <f t="shared" si="28"/>
        <v>2.1763119008722633E-3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2.8659865792323809E-3</v>
      </c>
      <c r="C57" s="118">
        <v>4.8114003053216468E-3</v>
      </c>
      <c r="D57" s="119">
        <v>2.6944486895544232E-6</v>
      </c>
      <c r="E57" s="117">
        <v>5.6646977642831877E-4</v>
      </c>
      <c r="F57" s="120">
        <v>6.3558774547274009E-3</v>
      </c>
      <c r="G57" s="2">
        <v>-4.4051147584664073E-2</v>
      </c>
      <c r="H57" s="2">
        <v>-0.79173108346595966</v>
      </c>
      <c r="I57" s="2">
        <v>1</v>
      </c>
      <c r="J57" s="2">
        <v>-0.3199131792429637</v>
      </c>
      <c r="K57" s="2">
        <v>-8.0848396127780248E-2</v>
      </c>
      <c r="L57" s="2">
        <v>-0.20324266577287883</v>
      </c>
      <c r="M57" s="2">
        <v>0.99999999999999989</v>
      </c>
      <c r="N57" s="57"/>
      <c r="O57" s="67"/>
      <c r="Q57" s="51" t="str">
        <f t="shared" si="25"/>
        <v>Aandelen opkomend</v>
      </c>
      <c r="R57" s="72">
        <f t="shared" si="26"/>
        <v>2.6944486895544232E-6</v>
      </c>
      <c r="S57" s="52">
        <f t="shared" si="27"/>
        <v>2.8632921305428265E-3</v>
      </c>
      <c r="T57" s="52">
        <f t="shared" si="28"/>
        <v>3.4898908754950201E-3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1.4771024259273814E-3</v>
      </c>
      <c r="C58" s="118">
        <v>2.6498290764599016E-3</v>
      </c>
      <c r="D58" s="119">
        <v>5.6631026702354599E-7</v>
      </c>
      <c r="E58" s="117">
        <v>2.7253003984780859E-4</v>
      </c>
      <c r="F58" s="120">
        <v>3.090897838414223E-3</v>
      </c>
      <c r="G58" s="2">
        <v>6.7869014313594826E-3</v>
      </c>
      <c r="H58" s="2">
        <v>-7.9516633025963845E-2</v>
      </c>
      <c r="I58" s="2">
        <v>2.1512728768105949E-2</v>
      </c>
      <c r="J58" s="2">
        <v>-1.6140838464607074E-3</v>
      </c>
      <c r="K58" s="2">
        <v>5.5404807822979851E-2</v>
      </c>
      <c r="L58" s="2">
        <v>1</v>
      </c>
      <c r="M58" s="2">
        <v>0.99999999999999722</v>
      </c>
      <c r="N58" s="57"/>
      <c r="O58" s="67"/>
      <c r="Q58" s="51" t="str">
        <f t="shared" si="25"/>
        <v>Commodities</v>
      </c>
      <c r="R58" s="72">
        <f t="shared" si="26"/>
        <v>5.6631026702354599E-7</v>
      </c>
      <c r="S58" s="52">
        <f t="shared" si="27"/>
        <v>1.4765361156603579E-3</v>
      </c>
      <c r="T58" s="52">
        <f t="shared" si="28"/>
        <v>1.6137954124868417E-3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0.97790353409338471</v>
      </c>
      <c r="C59" s="118">
        <v>1.4278303709786614E-2</v>
      </c>
      <c r="D59" s="119">
        <v>0.96405006368400703</v>
      </c>
      <c r="E59" s="117">
        <v>0.97951160838196549</v>
      </c>
      <c r="F59" s="120">
        <v>0.99241043095092851</v>
      </c>
      <c r="G59" s="2">
        <v>1</v>
      </c>
      <c r="H59" s="2">
        <v>0.89874497435508061</v>
      </c>
      <c r="I59" s="2">
        <v>0.11926040000240057</v>
      </c>
      <c r="J59" s="2">
        <v>-0.18427945765953313</v>
      </c>
      <c r="K59" s="2">
        <v>-7.8794381633346566E-2</v>
      </c>
      <c r="L59" s="2">
        <v>-0.14105664793212047</v>
      </c>
      <c r="M59" s="2">
        <v>0.99999999999999944</v>
      </c>
      <c r="N59" s="57"/>
      <c r="O59" s="67"/>
      <c r="Q59" s="51" t="str">
        <f t="shared" si="25"/>
        <v>Hedge funds</v>
      </c>
      <c r="R59" s="72">
        <f t="shared" si="26"/>
        <v>0.96405006368400703</v>
      </c>
      <c r="S59" s="52">
        <f t="shared" si="27"/>
        <v>1.3853470409377677E-2</v>
      </c>
      <c r="T59" s="52">
        <f t="shared" si="28"/>
        <v>1.4506896857543805E-2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2.2731477397045759E-3</v>
      </c>
      <c r="C60" s="122">
        <v>3.7833674268584446E-3</v>
      </c>
      <c r="D60" s="123">
        <v>4.0112150440200787E-6</v>
      </c>
      <c r="E60" s="121">
        <v>5.6958771120678615E-4</v>
      </c>
      <c r="F60" s="124">
        <v>4.8131206969539621E-3</v>
      </c>
      <c r="G60" s="65">
        <v>-5.5403287697053322E-3</v>
      </c>
      <c r="H60" s="65">
        <v>-0.24840351230255323</v>
      </c>
      <c r="I60" s="65">
        <v>-0.17051694202128775</v>
      </c>
      <c r="J60" s="65">
        <v>1</v>
      </c>
      <c r="K60" s="65">
        <v>-0.59409704360183235</v>
      </c>
      <c r="L60" s="65">
        <v>-0.14502594365387744</v>
      </c>
      <c r="M60" s="65">
        <v>0.99999999999999978</v>
      </c>
      <c r="N60" s="66"/>
      <c r="O60" s="67"/>
      <c r="Q60" s="51" t="str">
        <f t="shared" si="25"/>
        <v>Onroerend goed</v>
      </c>
      <c r="R60" s="72">
        <f t="shared" si="26"/>
        <v>4.0112150440200787E-6</v>
      </c>
      <c r="S60" s="52">
        <f t="shared" si="27"/>
        <v>2.269136524660556E-3</v>
      </c>
      <c r="T60" s="52">
        <f t="shared" si="28"/>
        <v>2.5399729572493862E-3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3" t="s">
        <v>64</v>
      </c>
      <c r="E62" s="384"/>
      <c r="F62" s="385"/>
      <c r="G62" s="383" t="s">
        <v>65</v>
      </c>
      <c r="H62" s="384"/>
      <c r="I62" s="384"/>
      <c r="J62" s="384"/>
      <c r="K62" s="384"/>
      <c r="L62" s="384"/>
      <c r="M62" s="384"/>
      <c r="N62" s="385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0.59278251009823757</v>
      </c>
      <c r="H63" s="272">
        <v>0.2438311244396465</v>
      </c>
      <c r="I63" s="272">
        <v>0.11563329119334043</v>
      </c>
      <c r="J63" s="272">
        <v>3.8236490060534534E-2</v>
      </c>
      <c r="K63" s="272">
        <v>6.5365261892761373E-3</v>
      </c>
      <c r="L63" s="272">
        <v>2.980058018963283E-3</v>
      </c>
      <c r="M63" s="272">
        <v>-2.2204460492503131E-16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7.1955839170805364E-2</v>
      </c>
      <c r="C64" s="118">
        <v>6.5548615287200601E-2</v>
      </c>
      <c r="D64" s="119">
        <v>8.4753556683931988E-3</v>
      </c>
      <c r="E64" s="117">
        <v>5.5083789895810129E-2</v>
      </c>
      <c r="F64" s="120">
        <v>0.13307721014733195</v>
      </c>
      <c r="G64" s="2">
        <v>-9.7006558748822483E-2</v>
      </c>
      <c r="H64" s="2">
        <v>-0.45226786493948656</v>
      </c>
      <c r="I64" s="2">
        <v>1</v>
      </c>
      <c r="J64" s="2">
        <v>-0.20613403399779742</v>
      </c>
      <c r="K64" s="2">
        <v>-0.19557502063363796</v>
      </c>
      <c r="L64" s="2">
        <v>-0.12827019813073998</v>
      </c>
      <c r="M64" s="2">
        <v>0.99999999999999489</v>
      </c>
      <c r="N64" s="57"/>
      <c r="O64" s="67"/>
      <c r="Q64" s="51" t="str">
        <f t="shared" ref="Q64:Q70" si="32">A64</f>
        <v>High Yield</v>
      </c>
      <c r="R64" s="72">
        <f>D64</f>
        <v>8.4753556683931988E-3</v>
      </c>
      <c r="S64" s="52">
        <f>B64-D64</f>
        <v>6.3480483502412172E-2</v>
      </c>
      <c r="T64" s="52">
        <f>F64-B64</f>
        <v>6.112137097652659E-2</v>
      </c>
      <c r="U64" s="52"/>
    </row>
    <row r="65" spans="1:24">
      <c r="A65" s="59" t="str">
        <f t="shared" si="31"/>
        <v>Emerging market debt</v>
      </c>
      <c r="B65" s="117">
        <v>3.4701827524090685E-2</v>
      </c>
      <c r="C65" s="118">
        <v>3.5879972033659904E-2</v>
      </c>
      <c r="D65" s="119">
        <v>3.2089670703715025E-3</v>
      </c>
      <c r="E65" s="117">
        <v>2.1384046280172098E-2</v>
      </c>
      <c r="F65" s="120">
        <v>7.1084029503028251E-2</v>
      </c>
      <c r="G65" s="2">
        <v>-1.0137626560866985E-2</v>
      </c>
      <c r="H65" s="2">
        <v>-0.11534518546934189</v>
      </c>
      <c r="I65" s="2">
        <v>-0.10150258915859448</v>
      </c>
      <c r="J65" s="2">
        <v>1</v>
      </c>
      <c r="K65" s="2">
        <v>-0.23784672087063222</v>
      </c>
      <c r="L65" s="2">
        <v>-0.16920700081063619</v>
      </c>
      <c r="M65" s="2">
        <v>0.99999999999999334</v>
      </c>
      <c r="N65" s="57"/>
      <c r="O65" s="67"/>
      <c r="Q65" s="51" t="str">
        <f t="shared" si="32"/>
        <v>Emerging market debt</v>
      </c>
      <c r="R65" s="72">
        <f t="shared" ref="R65:R70" si="33">D65</f>
        <v>3.2089670703715025E-3</v>
      </c>
      <c r="S65" s="52">
        <f t="shared" ref="S65:S70" si="34">B65-D65</f>
        <v>3.1492860453719185E-2</v>
      </c>
      <c r="T65" s="52">
        <f t="shared" ref="T65:T70" si="35">F65-B65</f>
        <v>3.6382201978937566E-2</v>
      </c>
      <c r="U65" s="52"/>
    </row>
    <row r="66" spans="1:24">
      <c r="A66" s="59" t="str">
        <f t="shared" si="31"/>
        <v>Aandelen ontwikkeld</v>
      </c>
      <c r="B66" s="117">
        <v>1.1374890378775865E-2</v>
      </c>
      <c r="C66" s="118">
        <v>1.4879528922179057E-2</v>
      </c>
      <c r="D66" s="119">
        <v>1.5806726159073439E-4</v>
      </c>
      <c r="E66" s="117">
        <v>5.9835733673497728E-3</v>
      </c>
      <c r="F66" s="120">
        <v>2.2368674397356344E-2</v>
      </c>
      <c r="G66" s="2">
        <v>-8.9997978536420322E-4</v>
      </c>
      <c r="H66" s="2">
        <v>-2.8320320218265697E-2</v>
      </c>
      <c r="I66" s="2">
        <v>-1.8670158280215104E-2</v>
      </c>
      <c r="J66" s="2">
        <v>1.9033628794655838E-2</v>
      </c>
      <c r="K66" s="2">
        <v>1</v>
      </c>
      <c r="L66" s="2">
        <v>-0.22656714812426029</v>
      </c>
      <c r="M66" s="2">
        <v>1</v>
      </c>
      <c r="N66" s="57"/>
      <c r="O66" s="67"/>
      <c r="Q66" s="51" t="str">
        <f t="shared" si="32"/>
        <v>Aandelen ontwikkeld</v>
      </c>
      <c r="R66" s="72">
        <f t="shared" si="33"/>
        <v>1.5806726159073439E-4</v>
      </c>
      <c r="S66" s="52">
        <f t="shared" si="34"/>
        <v>1.121682311718513E-2</v>
      </c>
      <c r="T66" s="52">
        <f t="shared" si="35"/>
        <v>1.0993784018580479E-2</v>
      </c>
      <c r="U66" s="52"/>
    </row>
    <row r="67" spans="1:24">
      <c r="A67" s="59" t="str">
        <f t="shared" si="31"/>
        <v>Aandelen opkomend</v>
      </c>
      <c r="B67" s="117">
        <v>7.7151884442902153E-3</v>
      </c>
      <c r="C67" s="118">
        <v>1.0370239352218993E-2</v>
      </c>
      <c r="D67" s="119">
        <v>1.3347015598507306E-4</v>
      </c>
      <c r="E67" s="117">
        <v>3.352350121289694E-3</v>
      </c>
      <c r="F67" s="120">
        <v>1.7639616498119397E-2</v>
      </c>
      <c r="G67" s="2">
        <v>1.1860617021805817E-3</v>
      </c>
      <c r="H67" s="2">
        <v>-1.5850532092498745E-2</v>
      </c>
      <c r="I67" s="2">
        <v>-3.8152697746968438E-2</v>
      </c>
      <c r="J67" s="2">
        <v>1.2560470182693916E-2</v>
      </c>
      <c r="K67" s="2">
        <v>6.091689511270855E-2</v>
      </c>
      <c r="L67" s="2">
        <v>1</v>
      </c>
      <c r="M67" s="2">
        <v>0.99999999999999845</v>
      </c>
      <c r="N67" s="57"/>
      <c r="O67" s="67"/>
      <c r="Q67" s="51" t="str">
        <f t="shared" si="32"/>
        <v>Aandelen opkomend</v>
      </c>
      <c r="R67" s="72">
        <f t="shared" si="33"/>
        <v>1.3347015598507306E-4</v>
      </c>
      <c r="S67" s="52">
        <f t="shared" si="34"/>
        <v>7.5817182883051422E-3</v>
      </c>
      <c r="T67" s="52">
        <f t="shared" si="35"/>
        <v>9.9244280538291815E-3</v>
      </c>
      <c r="U67" s="52"/>
    </row>
    <row r="68" spans="1:24">
      <c r="A68" s="59" t="str">
        <f t="shared" si="31"/>
        <v>Commodities</v>
      </c>
      <c r="B68" s="117">
        <v>0.19700783381867154</v>
      </c>
      <c r="C68" s="118">
        <v>7.5639132473333898E-2</v>
      </c>
      <c r="D68" s="119">
        <v>0.1226275537649839</v>
      </c>
      <c r="E68" s="117">
        <v>0.19516724762562443</v>
      </c>
      <c r="F68" s="120">
        <v>0.2720537384184446</v>
      </c>
      <c r="G68" s="2">
        <v>-0.27450844385148654</v>
      </c>
      <c r="H68" s="2">
        <v>-0.75464434232900679</v>
      </c>
      <c r="I68" s="2">
        <v>-0.68821472778103876</v>
      </c>
      <c r="J68" s="2">
        <v>-0.39789860523570525</v>
      </c>
      <c r="K68" s="2">
        <v>-0.23513240889440046</v>
      </c>
      <c r="L68" s="2">
        <v>-0.17687159648609801</v>
      </c>
      <c r="M68" s="2">
        <v>0.99999999999999456</v>
      </c>
      <c r="N68" s="57"/>
      <c r="O68" s="67"/>
      <c r="Q68" s="51" t="str">
        <f t="shared" si="32"/>
        <v>Commodities</v>
      </c>
      <c r="R68" s="72">
        <f t="shared" si="33"/>
        <v>0.1226275537649839</v>
      </c>
      <c r="S68" s="52">
        <f t="shared" si="34"/>
        <v>7.4380280053687645E-2</v>
      </c>
      <c r="T68" s="52">
        <f t="shared" si="35"/>
        <v>7.5045904599773061E-2</v>
      </c>
      <c r="U68" s="52"/>
    </row>
    <row r="69" spans="1:24">
      <c r="A69" s="59" t="str">
        <f t="shared" si="31"/>
        <v>Hedge funds</v>
      </c>
      <c r="B69" s="117">
        <v>0.12261170182661704</v>
      </c>
      <c r="C69" s="118">
        <v>0.105928292064672</v>
      </c>
      <c r="D69" s="119">
        <v>1.2475079576170467E-2</v>
      </c>
      <c r="E69" s="117">
        <v>9.5996607696946401E-2</v>
      </c>
      <c r="F69" s="120">
        <v>0.23811810749435167</v>
      </c>
      <c r="G69" s="2">
        <v>-0.6186334527556403</v>
      </c>
      <c r="H69" s="2">
        <v>1</v>
      </c>
      <c r="I69" s="2">
        <v>-3.7405062316501529E-2</v>
      </c>
      <c r="J69" s="2">
        <v>-0.19057955212465641</v>
      </c>
      <c r="K69" s="2">
        <v>-0.18982764760702064</v>
      </c>
      <c r="L69" s="2">
        <v>-0.14517365490215237</v>
      </c>
      <c r="M69" s="2">
        <v>0.99999999999999489</v>
      </c>
      <c r="N69" s="57"/>
      <c r="O69" s="67"/>
      <c r="Q69" s="51" t="str">
        <f t="shared" si="32"/>
        <v>Hedge funds</v>
      </c>
      <c r="R69" s="72">
        <f t="shared" si="33"/>
        <v>1.2475079576170467E-2</v>
      </c>
      <c r="S69" s="52">
        <f t="shared" si="34"/>
        <v>0.11013662225044657</v>
      </c>
      <c r="T69" s="52">
        <f t="shared" si="35"/>
        <v>0.11550640566773462</v>
      </c>
      <c r="U69" s="52"/>
      <c r="X69" s="51"/>
    </row>
    <row r="70" spans="1:24">
      <c r="A70" s="60" t="str">
        <f t="shared" si="31"/>
        <v>Onroerend goed</v>
      </c>
      <c r="B70" s="121">
        <v>0.55463271883674892</v>
      </c>
      <c r="C70" s="122">
        <v>0.1296861908410531</v>
      </c>
      <c r="D70" s="123">
        <v>0.43029176546889841</v>
      </c>
      <c r="E70" s="121">
        <v>0.54538002066130242</v>
      </c>
      <c r="F70" s="124">
        <v>0.68510104786833437</v>
      </c>
      <c r="G70" s="65">
        <v>1</v>
      </c>
      <c r="H70" s="65">
        <v>0.36642824504859944</v>
      </c>
      <c r="I70" s="65">
        <v>-0.11605476471668204</v>
      </c>
      <c r="J70" s="65">
        <v>-0.23698190761918991</v>
      </c>
      <c r="K70" s="65">
        <v>-0.20253509710702264</v>
      </c>
      <c r="L70" s="65">
        <v>-0.15391040154611646</v>
      </c>
      <c r="M70" s="65">
        <v>0.99999999999999534</v>
      </c>
      <c r="N70" s="66"/>
      <c r="O70" s="67"/>
      <c r="P70" s="72"/>
      <c r="Q70" s="51" t="str">
        <f t="shared" si="32"/>
        <v>Onroerend goed</v>
      </c>
      <c r="R70" s="72">
        <f t="shared" si="33"/>
        <v>0.43029176546889841</v>
      </c>
      <c r="S70" s="52">
        <f t="shared" si="34"/>
        <v>0.1243409533678505</v>
      </c>
      <c r="T70" s="52">
        <f t="shared" si="35"/>
        <v>0.13046832903158545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3" t="s">
        <v>64</v>
      </c>
      <c r="E72" s="384"/>
      <c r="F72" s="385"/>
      <c r="G72" s="383" t="s">
        <v>65</v>
      </c>
      <c r="H72" s="384"/>
      <c r="I72" s="384"/>
      <c r="J72" s="384"/>
      <c r="K72" s="384"/>
      <c r="L72" s="384"/>
      <c r="M72" s="384"/>
      <c r="N72" s="385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0.69872757643327954</v>
      </c>
      <c r="H73" s="272">
        <v>0.20450528385180278</v>
      </c>
      <c r="I73" s="272">
        <v>7.2636274250971855E-2</v>
      </c>
      <c r="J73" s="272">
        <v>2.1797499542421606E-2</v>
      </c>
      <c r="K73" s="272">
        <v>1.9355591487772994E-3</v>
      </c>
      <c r="L73" s="272">
        <v>3.9780677274536824E-4</v>
      </c>
      <c r="M73" s="272">
        <v>2.2204460492503131E-16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0.42698186492928081</v>
      </c>
      <c r="C74" s="118">
        <v>0.14350331353313256</v>
      </c>
      <c r="D74" s="119">
        <v>0.28403257460666398</v>
      </c>
      <c r="E74" s="117">
        <v>0.42580048747918925</v>
      </c>
      <c r="F74" s="120">
        <v>0.57915635214633587</v>
      </c>
      <c r="G74" s="2">
        <v>1</v>
      </c>
      <c r="H74" s="2">
        <v>-0.17633282861224703</v>
      </c>
      <c r="I74" s="2">
        <v>-0.20846731395724991</v>
      </c>
      <c r="J74" s="2">
        <v>-0.2605654845050473</v>
      </c>
      <c r="K74" s="2">
        <v>-0.21563505505085226</v>
      </c>
      <c r="L74" s="2">
        <v>-0.16496878958959219</v>
      </c>
      <c r="M74" s="2">
        <v>0.99999999999996902</v>
      </c>
      <c r="N74" s="57"/>
      <c r="O74" s="67"/>
      <c r="P74" s="72"/>
      <c r="Q74" s="51" t="str">
        <f t="shared" ref="Q74:Q80" si="37">A74</f>
        <v>High Yield</v>
      </c>
      <c r="R74" s="72">
        <f>D74</f>
        <v>0.28403257460666398</v>
      </c>
      <c r="S74" s="52">
        <f>B74-D74</f>
        <v>0.14294929032261683</v>
      </c>
      <c r="T74" s="52">
        <f>F74-B74</f>
        <v>0.15217448721705507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3.521598993679996E-2</v>
      </c>
      <c r="C75" s="118">
        <v>2.7920676172135894E-2</v>
      </c>
      <c r="D75" s="119">
        <v>9.2786708420521044E-3</v>
      </c>
      <c r="E75" s="117">
        <v>2.7619265165039278E-2</v>
      </c>
      <c r="F75" s="120">
        <v>6.2311054577358041E-2</v>
      </c>
      <c r="G75" s="2">
        <v>-1.5610033936718313E-2</v>
      </c>
      <c r="H75" s="2">
        <v>-2.9460689174447569E-2</v>
      </c>
      <c r="I75" s="2">
        <v>-0.12039168068552222</v>
      </c>
      <c r="J75" s="2">
        <v>1</v>
      </c>
      <c r="K75" s="2">
        <v>-0.18415530717092379</v>
      </c>
      <c r="L75" s="2">
        <v>-0.14635050567628391</v>
      </c>
      <c r="M75" s="2">
        <v>0.99999999999996969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9.2786708420521044E-3</v>
      </c>
      <c r="S75" s="52">
        <f t="shared" ref="S75:S80" si="39">B75-D75</f>
        <v>2.5937319094747856E-2</v>
      </c>
      <c r="T75" s="52">
        <f t="shared" ref="T75:T80" si="40">F75-B75</f>
        <v>2.7095064640558081E-2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3.402563735431539E-3</v>
      </c>
      <c r="C76" s="118">
        <v>3.8416584159971703E-3</v>
      </c>
      <c r="D76" s="119">
        <v>3.0039866257030597E-4</v>
      </c>
      <c r="E76" s="117">
        <v>2.1523020826513051E-3</v>
      </c>
      <c r="F76" s="120">
        <v>6.8921885682296895E-3</v>
      </c>
      <c r="G76" s="2">
        <v>-1.2966722400597627E-3</v>
      </c>
      <c r="H76" s="2">
        <v>-4.1342578951898152E-3</v>
      </c>
      <c r="I76" s="2">
        <v>-3.9198413524423699E-3</v>
      </c>
      <c r="J76" s="2">
        <v>-1.6892642437647255E-2</v>
      </c>
      <c r="K76" s="2">
        <v>2.9798472318195983E-2</v>
      </c>
      <c r="L76" s="2">
        <v>1</v>
      </c>
      <c r="M76" s="2">
        <v>1</v>
      </c>
      <c r="N76" s="57"/>
      <c r="O76" s="67"/>
      <c r="Q76" s="51" t="str">
        <f t="shared" si="37"/>
        <v>Aandelen ontwikkeld</v>
      </c>
      <c r="R76" s="72">
        <f t="shared" si="38"/>
        <v>3.0039866257030597E-4</v>
      </c>
      <c r="S76" s="52">
        <f t="shared" si="39"/>
        <v>3.1021650728612331E-3</v>
      </c>
      <c r="T76" s="52">
        <f t="shared" si="40"/>
        <v>3.4896248327981505E-3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0.12831967773679395</v>
      </c>
      <c r="C77" s="118">
        <v>8.548843504576277E-2</v>
      </c>
      <c r="D77" s="119">
        <v>3.8668125810088834E-2</v>
      </c>
      <c r="E77" s="117">
        <v>0.1167052640711444</v>
      </c>
      <c r="F77" s="120">
        <v>0.2163708378405963</v>
      </c>
      <c r="G77" s="2">
        <v>-0.32390646475646584</v>
      </c>
      <c r="H77" s="2">
        <v>1</v>
      </c>
      <c r="I77" s="2">
        <v>-0.36517924996021028</v>
      </c>
      <c r="J77" s="2">
        <v>-0.27324970328712017</v>
      </c>
      <c r="K77" s="2">
        <v>-0.21869264064576013</v>
      </c>
      <c r="L77" s="2">
        <v>-0.16386240511216246</v>
      </c>
      <c r="M77" s="2">
        <v>0.99999999999996902</v>
      </c>
      <c r="N77" s="57"/>
      <c r="O77" s="67"/>
      <c r="Q77" s="51" t="str">
        <f t="shared" si="37"/>
        <v>Aandelen opkomend</v>
      </c>
      <c r="R77" s="72">
        <f t="shared" si="38"/>
        <v>3.8668125810088834E-2</v>
      </c>
      <c r="S77" s="52">
        <f t="shared" si="39"/>
        <v>8.9651551926705125E-2</v>
      </c>
      <c r="T77" s="52">
        <f t="shared" si="40"/>
        <v>8.8051160103802345E-2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0.32547350996486435</v>
      </c>
      <c r="C78" s="118">
        <v>0.10373885531440932</v>
      </c>
      <c r="D78" s="119">
        <v>0.22428296757374544</v>
      </c>
      <c r="E78" s="117">
        <v>0.31562815721725557</v>
      </c>
      <c r="F78" s="120">
        <v>0.42779675673355327</v>
      </c>
      <c r="G78" s="2">
        <v>-0.58260243103830955</v>
      </c>
      <c r="H78" s="2">
        <v>-0.86837953831492887</v>
      </c>
      <c r="I78" s="2">
        <v>-0.27587285407983309</v>
      </c>
      <c r="J78" s="2">
        <v>-0.30709451031110119</v>
      </c>
      <c r="K78" s="2">
        <v>-0.22777794168781751</v>
      </c>
      <c r="L78" s="2">
        <v>-0.16911416278022892</v>
      </c>
      <c r="M78" s="2">
        <v>0.99999999999996825</v>
      </c>
      <c r="N78" s="57"/>
      <c r="O78" s="67"/>
      <c r="Q78" s="51" t="str">
        <f t="shared" si="37"/>
        <v>Commodities</v>
      </c>
      <c r="R78" s="72">
        <f t="shared" si="38"/>
        <v>0.22428296757374544</v>
      </c>
      <c r="S78" s="52">
        <f t="shared" si="39"/>
        <v>0.10119054239111891</v>
      </c>
      <c r="T78" s="52">
        <f t="shared" si="40"/>
        <v>0.10232324676868892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7.2374274888194701E-2</v>
      </c>
      <c r="C79" s="118">
        <v>5.0651555959069366E-2</v>
      </c>
      <c r="D79" s="119">
        <v>1.9375499202091338E-2</v>
      </c>
      <c r="E79" s="117">
        <v>6.509553604741794E-2</v>
      </c>
      <c r="F79" s="120">
        <v>0.12799208343727658</v>
      </c>
      <c r="G79" s="2">
        <v>-7.253126889419298E-2</v>
      </c>
      <c r="H79" s="2">
        <v>8.5116070871598545E-2</v>
      </c>
      <c r="I79" s="2">
        <v>1</v>
      </c>
      <c r="J79" s="2">
        <v>-0.11910246277454162</v>
      </c>
      <c r="K79" s="2">
        <v>-0.18353752776285079</v>
      </c>
      <c r="L79" s="2">
        <v>-0.15971222352680478</v>
      </c>
      <c r="M79" s="2">
        <v>0.99999999999996925</v>
      </c>
      <c r="N79" s="57"/>
      <c r="O79" s="67"/>
      <c r="Q79" s="51" t="str">
        <f t="shared" si="37"/>
        <v>Hedge funds</v>
      </c>
      <c r="R79" s="72">
        <f t="shared" si="38"/>
        <v>1.9375499202091338E-2</v>
      </c>
      <c r="S79" s="52">
        <f t="shared" si="39"/>
        <v>5.2998775686103367E-2</v>
      </c>
      <c r="T79" s="52">
        <f t="shared" si="40"/>
        <v>5.5617808549081882E-2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8.2321188086339168E-3</v>
      </c>
      <c r="C80" s="122">
        <v>8.3798767570436687E-3</v>
      </c>
      <c r="D80" s="123">
        <v>9.774246434712734E-4</v>
      </c>
      <c r="E80" s="121">
        <v>6.3799237322212689E-3</v>
      </c>
      <c r="F80" s="124">
        <v>1.5331144261632717E-2</v>
      </c>
      <c r="G80" s="65">
        <v>-4.0531291342534156E-3</v>
      </c>
      <c r="H80" s="65">
        <v>-6.8087568747865817E-3</v>
      </c>
      <c r="I80" s="65">
        <v>-2.6169059964742197E-2</v>
      </c>
      <c r="J80" s="65">
        <v>-2.3095196684542622E-2</v>
      </c>
      <c r="K80" s="65">
        <v>1</v>
      </c>
      <c r="L80" s="65">
        <v>-0.19599191331495702</v>
      </c>
      <c r="M80" s="65">
        <v>0.99999999999997646</v>
      </c>
      <c r="N80" s="66"/>
      <c r="O80" s="67"/>
      <c r="Q80" s="51" t="str">
        <f t="shared" si="37"/>
        <v>Onroerend goed</v>
      </c>
      <c r="R80" s="72">
        <f t="shared" si="38"/>
        <v>9.774246434712734E-4</v>
      </c>
      <c r="S80" s="52">
        <f t="shared" si="39"/>
        <v>7.254694165162643E-3</v>
      </c>
      <c r="T80" s="52">
        <f t="shared" si="40"/>
        <v>7.0990254529988001E-3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99"/>
  <sheetViews>
    <sheetView tabSelected="1" topLeftCell="G1" zoomScale="70" zoomScaleNormal="70" workbookViewId="0">
      <selection activeCell="AH34" sqref="AH34"/>
    </sheetView>
  </sheetViews>
  <sheetFormatPr defaultRowHeight="15" outlineLevelCol="1"/>
  <cols>
    <col min="1" max="1" width="9.140625" style="331"/>
    <col min="2" max="2" width="22.28515625" style="331" bestFit="1" customWidth="1"/>
    <col min="3" max="3" width="12.7109375" style="331" customWidth="1"/>
    <col min="4" max="4" width="23.85546875" style="331" bestFit="1" customWidth="1"/>
    <col min="5" max="5" width="15.85546875" style="331" bestFit="1" customWidth="1" outlineLevel="1"/>
    <col min="6" max="6" width="12.7109375" style="331" customWidth="1" outlineLevel="1"/>
    <col min="7" max="10" width="12.7109375" style="331" customWidth="1"/>
    <col min="11" max="11" width="21" style="210" customWidth="1"/>
    <col min="12" max="12" width="18.140625" style="331" bestFit="1" customWidth="1"/>
    <col min="13" max="13" width="26.85546875" style="331" customWidth="1"/>
    <col min="14" max="15" width="9.140625" style="331"/>
    <col min="16" max="16" width="9.7109375" style="331" bestFit="1" customWidth="1"/>
    <col min="17" max="17" width="9.140625" style="331"/>
    <col min="18" max="18" width="10.85546875" style="331" customWidth="1"/>
    <col min="19" max="37" width="9.140625" style="210"/>
    <col min="38" max="16384" width="9.140625" style="331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 ht="15.75">
      <c r="A2" s="210"/>
      <c r="B2" s="354" t="s">
        <v>115</v>
      </c>
      <c r="C2" s="316" t="s">
        <v>70</v>
      </c>
      <c r="D2" s="305" t="s">
        <v>112</v>
      </c>
      <c r="E2" s="305" t="s">
        <v>147</v>
      </c>
      <c r="F2" s="305" t="s">
        <v>148</v>
      </c>
      <c r="G2" s="305" t="s">
        <v>113</v>
      </c>
      <c r="H2" s="305" t="s">
        <v>114</v>
      </c>
      <c r="I2" s="305" t="s">
        <v>128</v>
      </c>
      <c r="J2" s="316" t="s">
        <v>130</v>
      </c>
      <c r="L2" s="210"/>
      <c r="M2" s="344" t="s">
        <v>131</v>
      </c>
      <c r="N2" s="345" t="s">
        <v>132</v>
      </c>
      <c r="O2" s="345" t="s">
        <v>91</v>
      </c>
      <c r="P2" s="345" t="s">
        <v>92</v>
      </c>
      <c r="Q2" s="345" t="s">
        <v>133</v>
      </c>
      <c r="R2" s="346" t="s">
        <v>145</v>
      </c>
    </row>
    <row r="3" spans="1:18" ht="15.75">
      <c r="A3" s="210"/>
      <c r="B3" s="355" t="s">
        <v>4</v>
      </c>
      <c r="C3" s="317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7">
        <f>Scenarios!D4</f>
        <v>4.345014939985381E-2</v>
      </c>
      <c r="L3" s="210"/>
      <c r="M3" s="347"/>
      <c r="N3" s="348"/>
      <c r="O3" s="348"/>
      <c r="P3" s="348"/>
      <c r="Q3" s="348"/>
      <c r="R3" s="349"/>
    </row>
    <row r="4" spans="1:18" ht="15.75">
      <c r="A4" s="210"/>
      <c r="B4" s="355" t="s">
        <v>5</v>
      </c>
      <c r="C4" s="317">
        <f>+Scenarios!B25</f>
        <v>0.03</v>
      </c>
      <c r="D4" s="85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85">
        <f>+Scenarios!H25</f>
        <v>0.27529934429078429</v>
      </c>
      <c r="J4" s="317">
        <f>Scenarios!D5</f>
        <v>0.15853561014014847</v>
      </c>
      <c r="L4" s="210"/>
      <c r="M4" s="342" t="s">
        <v>4</v>
      </c>
      <c r="N4" s="337">
        <f>+'Control panel'!$B3</f>
        <v>0.55552002657163746</v>
      </c>
      <c r="O4" s="337">
        <f>+'Control panel'!$C3</f>
        <v>0</v>
      </c>
      <c r="P4" s="337">
        <f>+'Control panel'!$D3</f>
        <v>1</v>
      </c>
      <c r="Q4" s="337">
        <f>+'Control panel'!$F3</f>
        <v>0.5749562087748783</v>
      </c>
      <c r="R4" s="339">
        <f t="shared" ref="R4:R11" si="0">+Q4-N4</f>
        <v>1.9436182203240837E-2</v>
      </c>
    </row>
    <row r="5" spans="1:18" ht="15.75">
      <c r="A5" s="210"/>
      <c r="B5" s="355" t="s">
        <v>6</v>
      </c>
      <c r="C5" s="317">
        <f>+Scenarios!B26</f>
        <v>3.1398195419985959E-2</v>
      </c>
      <c r="D5" s="85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85">
        <f>+Scenarios!H26</f>
        <v>0.25817653707968463</v>
      </c>
      <c r="J5" s="317">
        <f>Scenarios!D6</f>
        <v>0.16217253275473525</v>
      </c>
      <c r="L5" s="210"/>
      <c r="M5" s="342" t="s">
        <v>5</v>
      </c>
      <c r="N5" s="337">
        <f>+'Control panel'!$B4</f>
        <v>9.7772401711769694E-2</v>
      </c>
      <c r="O5" s="337">
        <f>+'Control panel'!$C4</f>
        <v>0</v>
      </c>
      <c r="P5" s="337">
        <f>+'Control panel'!$D4</f>
        <v>1</v>
      </c>
      <c r="Q5" s="337">
        <f>+'Control panel'!$F4</f>
        <v>0.18662957132386238</v>
      </c>
      <c r="R5" s="339">
        <f t="shared" si="0"/>
        <v>8.8857169612092682E-2</v>
      </c>
    </row>
    <row r="6" spans="1:18" ht="15.75">
      <c r="A6" s="210"/>
      <c r="B6" s="355" t="s">
        <v>7</v>
      </c>
      <c r="C6" s="317">
        <f>+Scenarios!B27</f>
        <v>5.6592124614748239E-2</v>
      </c>
      <c r="D6" s="85">
        <f>+Scenarios!C27</f>
        <v>-1.272492445230269E-2</v>
      </c>
      <c r="E6" s="85">
        <f>+Scenarios!D27</f>
        <v>-0.19311368459773193</v>
      </c>
      <c r="F6" s="85">
        <f>+Scenarios!E27</f>
        <v>4.3944352615336905E-2</v>
      </c>
      <c r="G6" s="85">
        <f>+Scenarios!F27</f>
        <v>-0.5992014650452413</v>
      </c>
      <c r="H6" s="85">
        <f>+Scenarios!G27</f>
        <v>-0.47126055414190038</v>
      </c>
      <c r="I6" s="85">
        <f>+Scenarios!H27</f>
        <v>0.40935864013329615</v>
      </c>
      <c r="J6" s="317">
        <f>Scenarios!D7</f>
        <v>0.28718972670468956</v>
      </c>
      <c r="L6" s="210"/>
      <c r="M6" s="342" t="s">
        <v>6</v>
      </c>
      <c r="N6" s="337">
        <f>+'Control panel'!$B5</f>
        <v>9.4763191533410202E-2</v>
      </c>
      <c r="O6" s="337">
        <f>+'Control panel'!$C5</f>
        <v>0</v>
      </c>
      <c r="P6" s="337">
        <f>+'Control panel'!$D5</f>
        <v>1</v>
      </c>
      <c r="Q6" s="337">
        <f>+'Control panel'!$F5</f>
        <v>1.4936469358747012E-2</v>
      </c>
      <c r="R6" s="340">
        <f t="shared" si="0"/>
        <v>-7.9826722174663189E-2</v>
      </c>
    </row>
    <row r="7" spans="1:18" ht="15.75">
      <c r="A7" s="210"/>
      <c r="B7" s="355" t="s">
        <v>8</v>
      </c>
      <c r="C7" s="317">
        <f>+Scenarios!B28</f>
        <v>5.6149706770970371E-2</v>
      </c>
      <c r="D7" s="85">
        <f>+Scenarios!C28</f>
        <v>5.7893485302571407E-2</v>
      </c>
      <c r="E7" s="85">
        <f>+Scenarios!D28</f>
        <v>-6.9261756645690273E-2</v>
      </c>
      <c r="F7" s="85">
        <f>+Scenarios!E28</f>
        <v>7.474963400472559E-2</v>
      </c>
      <c r="G7" s="85">
        <f>+Scenarios!F28</f>
        <v>-0.42661422498990775</v>
      </c>
      <c r="H7" s="85">
        <f>+Scenarios!G28</f>
        <v>-0.26558788944909251</v>
      </c>
      <c r="I7" s="85">
        <f>+Scenarios!H28</f>
        <v>0.37672139820686834</v>
      </c>
      <c r="J7" s="317">
        <f>Scenarios!D8</f>
        <v>0.29616397669669142</v>
      </c>
      <c r="L7" s="210"/>
      <c r="M7" s="342" t="s">
        <v>7</v>
      </c>
      <c r="N7" s="337">
        <f>+'Control panel'!$B6</f>
        <v>0.10281340879516217</v>
      </c>
      <c r="O7" s="337">
        <f>+'Control panel'!$C6</f>
        <v>0</v>
      </c>
      <c r="P7" s="337">
        <f>+'Control panel'!$D6</f>
        <v>1</v>
      </c>
      <c r="Q7" s="337">
        <f>+'Control panel'!$F6</f>
        <v>1.4328809728656456E-3</v>
      </c>
      <c r="R7" s="340">
        <f t="shared" si="0"/>
        <v>-0.10138052782229652</v>
      </c>
    </row>
    <row r="8" spans="1:18" ht="15.75">
      <c r="A8" s="210"/>
      <c r="B8" s="355" t="s">
        <v>9</v>
      </c>
      <c r="C8" s="317">
        <f>+Scenarios!B29</f>
        <v>5.16958277280853E-2</v>
      </c>
      <c r="D8" s="85">
        <f>+Scenarios!C29</f>
        <v>7.1858480605475325E-2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85">
        <f>+Scenarios!H29</f>
        <v>0.621322616702631</v>
      </c>
      <c r="J8" s="317">
        <f>Scenarios!D9</f>
        <v>0.32648216646211403</v>
      </c>
      <c r="L8" s="210"/>
      <c r="M8" s="342" t="s">
        <v>8</v>
      </c>
      <c r="N8" s="337">
        <f>+'Control panel'!$B7</f>
        <v>5.1014363077869621E-2</v>
      </c>
      <c r="O8" s="337">
        <f>+'Control panel'!$C7</f>
        <v>0</v>
      </c>
      <c r="P8" s="337">
        <f>+'Control panel'!$D7</f>
        <v>1</v>
      </c>
      <c r="Q8" s="337">
        <f>+'Control panel'!$F7</f>
        <v>5.2846761358585265E-2</v>
      </c>
      <c r="R8" s="339">
        <f t="shared" si="0"/>
        <v>1.8323982807156441E-3</v>
      </c>
    </row>
    <row r="9" spans="1:18" ht="15.75">
      <c r="A9" s="210"/>
      <c r="B9" s="355" t="s">
        <v>10</v>
      </c>
      <c r="C9" s="317">
        <f>+Scenarios!B30</f>
        <v>2.8296106893951258E-2</v>
      </c>
      <c r="D9" s="85">
        <f>+Scenarios!C30</f>
        <v>1.8730269708989476E-2</v>
      </c>
      <c r="E9" s="85">
        <f>+Scenarios!D30</f>
        <v>-4.6790508294452839E-2</v>
      </c>
      <c r="F9" s="85">
        <f>+Scenarios!E30</f>
        <v>1.8215216611987023E-2</v>
      </c>
      <c r="G9" s="85">
        <f>+Scenarios!F30</f>
        <v>-0.25630468560846492</v>
      </c>
      <c r="H9" s="85">
        <f>+Scenarios!G30</f>
        <v>-6.931471876793301E-3</v>
      </c>
      <c r="I9" s="85">
        <f>+Scenarios!H30</f>
        <v>0.28021842301080391</v>
      </c>
      <c r="J9" s="317">
        <f>Scenarios!D10</f>
        <v>0.16076897495152093</v>
      </c>
      <c r="L9" s="210"/>
      <c r="M9" s="342" t="s">
        <v>9</v>
      </c>
      <c r="N9" s="337">
        <f>+'Control panel'!$B8</f>
        <v>2.0731266317763185E-2</v>
      </c>
      <c r="O9" s="337">
        <f>+'Control panel'!$C8</f>
        <v>0</v>
      </c>
      <c r="P9" s="337">
        <f>+'Control panel'!$D8</f>
        <v>1</v>
      </c>
      <c r="Q9" s="337">
        <f>+'Control panel'!$F8</f>
        <v>0.13485822296871094</v>
      </c>
      <c r="R9" s="340">
        <f t="shared" si="0"/>
        <v>0.11412695665094776</v>
      </c>
    </row>
    <row r="10" spans="1:18" ht="15.75">
      <c r="A10" s="210"/>
      <c r="B10" s="356" t="s">
        <v>11</v>
      </c>
      <c r="C10" s="318">
        <f>+Scenarios!B31</f>
        <v>3.9623116873055711E-2</v>
      </c>
      <c r="D10" s="308">
        <f>+Scenarios!C31</f>
        <v>-5.9825766089863959E-3</v>
      </c>
      <c r="E10" s="308">
        <f>+Scenarios!D31</f>
        <v>-0.13956067047136589</v>
      </c>
      <c r="F10" s="308">
        <f>+Scenarios!E31</f>
        <v>2.7964399001126676E-2</v>
      </c>
      <c r="G10" s="308">
        <f>+Scenarios!F31</f>
        <v>-0.45200242221105646</v>
      </c>
      <c r="H10" s="308">
        <f>+Scenarios!G31</f>
        <v>-0.48031312669988807</v>
      </c>
      <c r="I10" s="308">
        <f>+Scenarios!H31</f>
        <v>0.41038049782760322</v>
      </c>
      <c r="J10" s="318">
        <f>Scenarios!D11</f>
        <v>0.20064050365322861</v>
      </c>
      <c r="L10" s="210"/>
      <c r="M10" s="342" t="s">
        <v>10</v>
      </c>
      <c r="N10" s="337">
        <f>+'Control panel'!$B9</f>
        <v>3.0634868515694261E-2</v>
      </c>
      <c r="O10" s="337">
        <f>+'Control panel'!$C9</f>
        <v>0</v>
      </c>
      <c r="P10" s="337">
        <f>+'Control panel'!$D9</f>
        <v>1</v>
      </c>
      <c r="Q10" s="337">
        <f>+'Control panel'!$F9</f>
        <v>3.0875885888498746E-2</v>
      </c>
      <c r="R10" s="339">
        <f t="shared" si="0"/>
        <v>2.4101737280448482E-4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2" t="s">
        <v>11</v>
      </c>
      <c r="N11" s="337">
        <f>+'Control panel'!$B10</f>
        <v>4.6750473476693526E-2</v>
      </c>
      <c r="O11" s="337">
        <f>+'Control panel'!$C10</f>
        <v>0</v>
      </c>
      <c r="P11" s="337">
        <f>+'Control panel'!$D10</f>
        <v>1</v>
      </c>
      <c r="Q11" s="337">
        <f>+'Control panel'!$F10</f>
        <v>3.4639993538513945E-3</v>
      </c>
      <c r="R11" s="339">
        <f t="shared" si="0"/>
        <v>-4.3286474122842131E-2</v>
      </c>
    </row>
    <row r="12" spans="1:18" ht="15.75">
      <c r="A12" s="210"/>
      <c r="B12" s="319" t="s">
        <v>123</v>
      </c>
      <c r="C12" s="324">
        <f>+Scenarios!B33</f>
        <v>0</v>
      </c>
      <c r="D12" s="310">
        <f>+Scenarios!C33</f>
        <v>1</v>
      </c>
      <c r="E12" s="310">
        <f>+Scenarios!D33</f>
        <v>0</v>
      </c>
      <c r="F12" s="310">
        <f>+Scenarios!E33</f>
        <v>0</v>
      </c>
      <c r="G12" s="310">
        <f>+Scenarios!F33</f>
        <v>0</v>
      </c>
      <c r="H12" s="310">
        <f>+Scenarios!G33</f>
        <v>0</v>
      </c>
      <c r="I12" s="325">
        <f>+Scenarios!H33</f>
        <v>0</v>
      </c>
      <c r="J12" s="326">
        <f>+Scenarios!I33</f>
        <v>1</v>
      </c>
      <c r="L12" s="210"/>
      <c r="M12" s="343"/>
      <c r="N12" s="338"/>
      <c r="O12" s="338"/>
      <c r="P12" s="338"/>
      <c r="Q12" s="338"/>
      <c r="R12" s="341"/>
    </row>
    <row r="13" spans="1:18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210"/>
      <c r="N13" s="210"/>
      <c r="O13" s="210"/>
      <c r="P13" s="210"/>
      <c r="Q13" s="210"/>
      <c r="R13" s="210"/>
    </row>
    <row r="14" spans="1:18">
      <c r="A14" s="210"/>
      <c r="B14" s="319" t="s">
        <v>129</v>
      </c>
      <c r="C14" s="324">
        <f>+Scenarios!B35</f>
        <v>0</v>
      </c>
      <c r="D14" s="311">
        <f>SUMPRODUCT(D3:D10,D20:D27)</f>
        <v>1.7705837618820958E-2</v>
      </c>
      <c r="E14" s="311">
        <f t="shared" ref="E14:I14" si="1">SUMPRODUCT(E3:E10,E20:E27)</f>
        <v>5.182093192055647E-4</v>
      </c>
      <c r="F14" s="311">
        <f t="shared" si="1"/>
        <v>2.5534310319992669E-2</v>
      </c>
      <c r="G14" s="311">
        <f t="shared" si="1"/>
        <v>-2.5896279411558993E-2</v>
      </c>
      <c r="H14" s="311">
        <f t="shared" si="1"/>
        <v>-0.24051854106639986</v>
      </c>
      <c r="I14" s="312">
        <f t="shared" si="1"/>
        <v>0.10582444002230627</v>
      </c>
      <c r="J14" s="320">
        <f>+Scenarios!I35</f>
        <v>1.7705837618820958E-2</v>
      </c>
      <c r="L14" s="210"/>
      <c r="M14" s="210"/>
      <c r="N14" s="210"/>
      <c r="O14" s="210"/>
      <c r="P14" s="210"/>
      <c r="Q14" s="210"/>
      <c r="R14" s="210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4" t="s">
        <v>101</v>
      </c>
      <c r="C19" s="316" t="s">
        <v>70</v>
      </c>
      <c r="D19" s="321" t="s">
        <v>112</v>
      </c>
      <c r="E19" s="305" t="s">
        <v>147</v>
      </c>
      <c r="F19" s="305" t="s">
        <v>148</v>
      </c>
      <c r="G19" s="305" t="s">
        <v>113</v>
      </c>
      <c r="H19" s="305" t="s">
        <v>114</v>
      </c>
      <c r="I19" s="305" t="s">
        <v>128</v>
      </c>
      <c r="J19" s="306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5" t="s">
        <v>4</v>
      </c>
      <c r="C20" s="317">
        <f>'Samenvatting mixen'!B4</f>
        <v>0.55136924712091062</v>
      </c>
      <c r="D20" s="322">
        <f>'Samenvatting mixen'!B15</f>
        <v>0.5749562087748783</v>
      </c>
      <c r="E20" s="85">
        <f>'Samenvatting mixen'!B26</f>
        <v>0.78328071561288071</v>
      </c>
      <c r="F20" s="85">
        <f>'Samenvatting mixen'!B37</f>
        <v>0.50224217822971995</v>
      </c>
      <c r="G20" s="85">
        <f>'Samenvatting mixen'!B48</f>
        <v>0.99951772230649738</v>
      </c>
      <c r="H20" s="85">
        <f>'Samenvatting mixen'!B59</f>
        <v>0.91040031831552837</v>
      </c>
      <c r="I20" s="85">
        <f>'Samenvatting mixen'!B70</f>
        <v>0.74210401897635492</v>
      </c>
      <c r="J20" s="307">
        <f>'[4]Control panel'!F3</f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5" t="s">
        <v>5</v>
      </c>
      <c r="C21" s="317">
        <f>'Samenvatting mixen'!B5</f>
        <v>8.5390213827363406E-2</v>
      </c>
      <c r="D21" s="322">
        <f>'Samenvatting mixen'!B16</f>
        <v>0.18662957132386238</v>
      </c>
      <c r="E21" s="85">
        <f>'Samenvatting mixen'!B27</f>
        <v>1.9077726566221387E-3</v>
      </c>
      <c r="F21" s="85">
        <f>'Samenvatting mixen'!B38</f>
        <v>0.35478962257899305</v>
      </c>
      <c r="G21" s="85">
        <f>'Samenvatting mixen'!B49</f>
        <v>6.5857399035425149E-5</v>
      </c>
      <c r="H21" s="85">
        <f>'Samenvatting mixen'!B60</f>
        <v>2.4245520146417212E-4</v>
      </c>
      <c r="I21" s="85">
        <f>'Samenvatting mixen'!B71</f>
        <v>1.8694595409361223E-2</v>
      </c>
      <c r="J21" s="307">
        <f>'[4]Control panel'!F4</f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5" t="s">
        <v>6</v>
      </c>
      <c r="C22" s="317">
        <f>'Samenvatting mixen'!B6</f>
        <v>8.1005418334623963E-2</v>
      </c>
      <c r="D22" s="322">
        <f>'Samenvatting mixen'!B17</f>
        <v>1.4936469358747012E-2</v>
      </c>
      <c r="E22" s="85">
        <f>'Samenvatting mixen'!B28</f>
        <v>1.3595195293279591E-2</v>
      </c>
      <c r="F22" s="85">
        <f>'Samenvatting mixen'!B39</f>
        <v>7.5078569998237024E-3</v>
      </c>
      <c r="G22" s="85">
        <f>'Samenvatting mixen'!B50</f>
        <v>6.6007038093652913E-5</v>
      </c>
      <c r="H22" s="85">
        <f>'Samenvatting mixen'!B61</f>
        <v>9.6966778017564003E-4</v>
      </c>
      <c r="I22" s="85">
        <f>'Samenvatting mixen'!B72</f>
        <v>8.9274739671457801E-3</v>
      </c>
      <c r="J22" s="307">
        <f>'[4]Control panel'!F5</f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5" t="s">
        <v>7</v>
      </c>
      <c r="C23" s="317">
        <f>'Samenvatting mixen'!B7</f>
        <v>8.7140469492885175E-2</v>
      </c>
      <c r="D23" s="322">
        <f>'Samenvatting mixen'!B18</f>
        <v>1.4328809728656456E-3</v>
      </c>
      <c r="E23" s="85">
        <f>'Samenvatting mixen'!B29</f>
        <v>3.2570713579514895E-4</v>
      </c>
      <c r="F23" s="85">
        <f>'Samenvatting mixen'!B40</f>
        <v>8.011986515903775E-3</v>
      </c>
      <c r="G23" s="85">
        <f>'Samenvatting mixen'!B51</f>
        <v>3.2821235226595556E-5</v>
      </c>
      <c r="H23" s="85">
        <f>'Samenvatting mixen'!B62</f>
        <v>1.7808289296488317E-4</v>
      </c>
      <c r="I23" s="85">
        <f>'Samenvatting mixen'!B73</f>
        <v>2.8936030398781527E-3</v>
      </c>
      <c r="J23" s="307">
        <f>'[4]Control panel'!F6</f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5" t="s">
        <v>8</v>
      </c>
      <c r="C24" s="317">
        <f>'Samenvatting mixen'!B8</f>
        <v>5.4937266403263518E-2</v>
      </c>
      <c r="D24" s="322">
        <f>'Samenvatting mixen'!B19</f>
        <v>5.2846761358585265E-2</v>
      </c>
      <c r="E24" s="85">
        <f>'Samenvatting mixen'!B30</f>
        <v>1.677817707621187E-3</v>
      </c>
      <c r="F24" s="85">
        <f>'Samenvatting mixen'!B41</f>
        <v>3.3884336998753976E-2</v>
      </c>
      <c r="G24" s="85">
        <f>'Samenvatting mixen'!B52</f>
        <v>5.6499982623495601E-5</v>
      </c>
      <c r="H24" s="85">
        <f>'Samenvatting mixen'!B63</f>
        <v>2.564489860338996E-4</v>
      </c>
      <c r="I24" s="85">
        <f>'Samenvatting mixen'!B74</f>
        <v>1.9587393313640106E-3</v>
      </c>
      <c r="J24" s="307">
        <f>'[4]Control panel'!F7</f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5" t="s">
        <v>9</v>
      </c>
      <c r="C25" s="317">
        <f>'Samenvatting mixen'!B9</f>
        <v>2.2503673046712587E-2</v>
      </c>
      <c r="D25" s="322">
        <f>'Samenvatting mixen'!B20</f>
        <v>0.13485822296871094</v>
      </c>
      <c r="E25" s="85">
        <f>'Samenvatting mixen'!B31</f>
        <v>0.19346840744270685</v>
      </c>
      <c r="F25" s="85">
        <f>'Samenvatting mixen'!B42</f>
        <v>6.3345782262113653E-2</v>
      </c>
      <c r="G25" s="85">
        <f>'Samenvatting mixen'!B53</f>
        <v>4.1755075717608028E-5</v>
      </c>
      <c r="H25" s="85">
        <f>'Samenvatting mixen'!B64</f>
        <v>1.3266771859855406E-4</v>
      </c>
      <c r="I25" s="85">
        <f>'Samenvatting mixen'!B75</f>
        <v>5.0076100481880492E-2</v>
      </c>
      <c r="J25" s="307">
        <f>'[4]Control panel'!F8</f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5" t="s">
        <v>10</v>
      </c>
      <c r="C26" s="317">
        <f>'Samenvatting mixen'!B10</f>
        <v>5.6767380601991033E-2</v>
      </c>
      <c r="D26" s="322">
        <f>'Samenvatting mixen'!B21</f>
        <v>3.0875885888498746E-2</v>
      </c>
      <c r="E26" s="85">
        <f>'Samenvatting mixen'!B32</f>
        <v>5.0365343344510854E-3</v>
      </c>
      <c r="F26" s="85">
        <f>'Samenvatting mixen'!B43</f>
        <v>1.8918343350395002E-2</v>
      </c>
      <c r="G26" s="85">
        <f>'Samenvatting mixen'!B54</f>
        <v>1.6800676560255187E-4</v>
      </c>
      <c r="H26" s="85">
        <f>'Samenvatting mixen'!B65</f>
        <v>8.7616171604620083E-2</v>
      </c>
      <c r="I26" s="85">
        <f>'Samenvatting mixen'!B76</f>
        <v>3.237305465508386E-2</v>
      </c>
      <c r="J26" s="307">
        <f>'[4]Control panel'!F9</f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6" t="s">
        <v>11</v>
      </c>
      <c r="C27" s="318">
        <f>'Samenvatting mixen'!B11</f>
        <v>6.0886331172249931E-2</v>
      </c>
      <c r="D27" s="323">
        <f>'Samenvatting mixen'!B22</f>
        <v>3.4639993538513945E-3</v>
      </c>
      <c r="E27" s="308">
        <f>'Samenvatting mixen'!B33</f>
        <v>7.0784981664355267E-4</v>
      </c>
      <c r="F27" s="308">
        <f>'Samenvatting mixen'!B44</f>
        <v>1.1299893064296632E-2</v>
      </c>
      <c r="G27" s="308">
        <f>'Samenvatting mixen'!B55</f>
        <v>5.1330197202964345E-5</v>
      </c>
      <c r="H27" s="308">
        <f>'Samenvatting mixen'!B66</f>
        <v>2.041875006144596E-4</v>
      </c>
      <c r="I27" s="308">
        <f>'Samenvatting mixen'!B77</f>
        <v>0.142972414138931</v>
      </c>
      <c r="J27" s="309">
        <f>'[4]Control panel'!F10</f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84"/>
      <c r="C28" s="85"/>
      <c r="D28" s="85"/>
      <c r="E28" s="85"/>
      <c r="F28" s="85"/>
      <c r="G28" s="85"/>
      <c r="H28" s="85"/>
      <c r="I28" s="85"/>
      <c r="J28" s="85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313" t="s">
        <v>149</v>
      </c>
      <c r="C30" s="391"/>
      <c r="D30" s="392"/>
      <c r="E30" s="392"/>
      <c r="F30" s="392"/>
      <c r="G30" s="392"/>
      <c r="H30" s="392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313" t="s">
        <v>149</v>
      </c>
      <c r="C31" s="316" t="s">
        <v>70</v>
      </c>
      <c r="D31" s="321" t="s">
        <v>112</v>
      </c>
      <c r="E31" s="305" t="s">
        <v>147</v>
      </c>
      <c r="F31" s="305" t="s">
        <v>148</v>
      </c>
      <c r="G31" s="305" t="s">
        <v>113</v>
      </c>
      <c r="H31" s="305" t="s">
        <v>114</v>
      </c>
      <c r="I31" s="305" t="s">
        <v>128</v>
      </c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314" t="s">
        <v>4</v>
      </c>
      <c r="C32" s="398">
        <f>+C3/$J3</f>
        <v>0</v>
      </c>
      <c r="D32" s="395">
        <f>+D3/$J3</f>
        <v>-7.4672167433568887E-2</v>
      </c>
      <c r="E32" s="396">
        <f>+E3/$J3</f>
        <v>-2.4767147863730042E-2</v>
      </c>
      <c r="F32" s="396">
        <f>+F3/$J3</f>
        <v>-7.8664568999156276E-2</v>
      </c>
      <c r="G32" s="396">
        <f>+G3/$J3</f>
        <v>-0.59195097563264187</v>
      </c>
      <c r="H32" s="396">
        <f>+H3/$J3</f>
        <v>-6.0500538327584126</v>
      </c>
      <c r="I32" s="397">
        <f>+I3/$J3</f>
        <v>-7.4663365745079369E-2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314" t="s">
        <v>5</v>
      </c>
      <c r="C33" s="398">
        <f t="shared" ref="C33:C39" si="2">+C4/$J4</f>
        <v>0.18923193327656437</v>
      </c>
      <c r="D33" s="398">
        <f>+D4/$J4</f>
        <v>0.20495691218149042</v>
      </c>
      <c r="E33" s="399">
        <f>+E4/$J4</f>
        <v>-0.54582342705666809</v>
      </c>
      <c r="F33" s="399">
        <f>+F4/$J4</f>
        <v>0.32501369405418834</v>
      </c>
      <c r="G33" s="399">
        <f>+G4/$J4</f>
        <v>-2.771260338768649</v>
      </c>
      <c r="H33" s="399">
        <f>+H4/$J4</f>
        <v>-2.6257460784733979</v>
      </c>
      <c r="I33" s="400">
        <f>+I4/$J4</f>
        <v>1.7365142383305208</v>
      </c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314" t="s">
        <v>6</v>
      </c>
      <c r="C34" s="398">
        <f t="shared" si="2"/>
        <v>0.19360982335690363</v>
      </c>
      <c r="D34" s="398">
        <f>+D5/$J5</f>
        <v>8.9831247029668326E-2</v>
      </c>
      <c r="E34" s="399">
        <f>+E5/$J5</f>
        <v>-0.13017934362273262</v>
      </c>
      <c r="F34" s="399">
        <f>+F5/$J5</f>
        <v>1.9952413279374189E-2</v>
      </c>
      <c r="G34" s="399">
        <f>+G5/$J5</f>
        <v>-2.5776649167001984</v>
      </c>
      <c r="H34" s="399">
        <f>+H5/$J5</f>
        <v>-1.0574894444208447</v>
      </c>
      <c r="I34" s="400">
        <f>+I5/$J5</f>
        <v>1.591986834602521</v>
      </c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14" t="s">
        <v>7</v>
      </c>
      <c r="C35" s="398">
        <f t="shared" si="2"/>
        <v>0.19705483641112478</v>
      </c>
      <c r="D35" s="398">
        <f>+D6/$J6</f>
        <v>-4.4308424950685758E-2</v>
      </c>
      <c r="E35" s="399">
        <f>+E6/$J6</f>
        <v>-0.67242546177950924</v>
      </c>
      <c r="F35" s="399">
        <f>+F6/$J6</f>
        <v>0.15301505774447097</v>
      </c>
      <c r="G35" s="399">
        <f>+G6/$J6</f>
        <v>-2.0864307087885008</v>
      </c>
      <c r="H35" s="399">
        <f>+H6/$J6</f>
        <v>-1.6409380640084195</v>
      </c>
      <c r="I35" s="400">
        <f>+I6/$J6</f>
        <v>1.4253944416132616</v>
      </c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14" t="s">
        <v>8</v>
      </c>
      <c r="C36" s="398">
        <f t="shared" si="2"/>
        <v>0.18958992716549936</v>
      </c>
      <c r="D36" s="398">
        <f>+D7/$J7</f>
        <v>0.19547780911201601</v>
      </c>
      <c r="E36" s="399">
        <f>+E7/$J7</f>
        <v>-0.23386286684225235</v>
      </c>
      <c r="F36" s="399">
        <f>+F7/$J7</f>
        <v>0.25239272796933865</v>
      </c>
      <c r="G36" s="399">
        <f>+G7/$J7</f>
        <v>-1.4404662908305474</v>
      </c>
      <c r="H36" s="399">
        <f>+H7/$J7</f>
        <v>-0.89675960058129345</v>
      </c>
      <c r="I36" s="400">
        <f>+I7/$J7</f>
        <v>1.2720027682255148</v>
      </c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14" t="s">
        <v>9</v>
      </c>
      <c r="C37" s="398">
        <f t="shared" si="2"/>
        <v>0.15834196485609342</v>
      </c>
      <c r="D37" s="398">
        <f>+D8/$J8</f>
        <v>0.22009925192595167</v>
      </c>
      <c r="E37" s="399">
        <f>+E8/$J8</f>
        <v>3.6837172597480185E-2</v>
      </c>
      <c r="F37" s="399">
        <f>+F8/$J8</f>
        <v>0.26111443727465211</v>
      </c>
      <c r="G37" s="399">
        <f>+G8/$J8</f>
        <v>-1.5966660149297729</v>
      </c>
      <c r="H37" s="399">
        <f>+H8/$J8</f>
        <v>-1.6563634102613545</v>
      </c>
      <c r="I37" s="400">
        <f>+I8/$J8</f>
        <v>1.9030828649402849</v>
      </c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14" t="s">
        <v>10</v>
      </c>
      <c r="C38" s="398">
        <f t="shared" si="2"/>
        <v>0.17600477270246828</v>
      </c>
      <c r="D38" s="398">
        <f>+D9/$J9</f>
        <v>0.11650425534303178</v>
      </c>
      <c r="E38" s="399">
        <f>+E9/$J9</f>
        <v>-0.29104190226106924</v>
      </c>
      <c r="F38" s="399">
        <f>+F9/$J9</f>
        <v>0.11330057069456174</v>
      </c>
      <c r="G38" s="399">
        <f>+G9/$J9</f>
        <v>-1.5942422080239818</v>
      </c>
      <c r="H38" s="399">
        <f>+H9/$J9</f>
        <v>-4.3114486976628737E-2</v>
      </c>
      <c r="I38" s="400">
        <f>+I9/$J9</f>
        <v>1.742988179748626</v>
      </c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15" t="s">
        <v>11</v>
      </c>
      <c r="C39" s="404">
        <f t="shared" si="2"/>
        <v>0.19748314099897404</v>
      </c>
      <c r="D39" s="401">
        <f>+D10/$J10</f>
        <v>-2.9817392301437873E-2</v>
      </c>
      <c r="E39" s="402">
        <f>+E10/$J10</f>
        <v>-0.69557575828543405</v>
      </c>
      <c r="F39" s="402">
        <f>+F10/$J10</f>
        <v>0.13937564196638064</v>
      </c>
      <c r="G39" s="402">
        <f>+G10/$J10</f>
        <v>-2.2527974859565854</v>
      </c>
      <c r="H39" s="402">
        <f>+H10/$J10</f>
        <v>-2.3938991278153079</v>
      </c>
      <c r="I39" s="403">
        <f>+I10/$J10</f>
        <v>2.0453522113205658</v>
      </c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 ht="94.5" customHeight="1">
      <c r="A41" s="210"/>
      <c r="B41" s="405" t="s">
        <v>150</v>
      </c>
      <c r="C41" s="393" t="str">
        <f ca="1">OFFSET($B$31,MATCH(MAX(C32:C39),C32:C39,0),0)</f>
        <v>Onroerend goed</v>
      </c>
      <c r="D41" s="393" t="str">
        <f ca="1">OFFSET($B$31,MATCH(MAX(D32:D39),D32:D39,0),0)</f>
        <v>Commodities</v>
      </c>
      <c r="E41" s="393" t="str">
        <f ca="1">OFFSET($B$31,MATCH(MAX(E32:E39),E32:E39,0),0)</f>
        <v>Commodities</v>
      </c>
      <c r="F41" s="393" t="str">
        <f ca="1">OFFSET($B$31,MATCH(MAX(F32:F39),F32:F39,0),0)</f>
        <v>High Yield</v>
      </c>
      <c r="G41" s="393" t="str">
        <f ca="1">OFFSET($B$31,MATCH(MAX(G32:G39),G32:G39,0),0)</f>
        <v>Nominale matching</v>
      </c>
      <c r="H41" s="393" t="str">
        <f ca="1">OFFSET($B$31,MATCH(MAX(H32:H39),H32:H39,0),0)</f>
        <v>Hedge funds</v>
      </c>
      <c r="I41" s="394" t="str">
        <f ca="1">OFFSET($B$31,MATCH(MAX(I32:I39),I32:I39,0),0)</f>
        <v>Onroerend goed</v>
      </c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>
      <c r="A49" s="210"/>
      <c r="B49" s="210"/>
      <c r="C49" s="210"/>
      <c r="D49" s="390"/>
      <c r="E49" s="390"/>
      <c r="F49" s="390"/>
      <c r="G49" s="390"/>
      <c r="H49" s="390"/>
      <c r="I49" s="390"/>
      <c r="J49" s="390"/>
      <c r="L49" s="210"/>
      <c r="M49" s="210"/>
      <c r="N49" s="210"/>
      <c r="O49" s="210"/>
      <c r="P49" s="210"/>
      <c r="Q49" s="210"/>
      <c r="R49" s="210"/>
    </row>
    <row r="50" spans="1:18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  <c r="N50" s="210"/>
      <c r="O50" s="210"/>
      <c r="P50" s="210"/>
      <c r="Q50" s="210"/>
      <c r="R50" s="210"/>
    </row>
    <row r="51" spans="1:18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  <c r="N51" s="210"/>
      <c r="O51" s="210"/>
      <c r="P51" s="210"/>
      <c r="Q51" s="210"/>
      <c r="R51" s="210"/>
    </row>
    <row r="52" spans="1:18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  <c r="N52" s="210"/>
      <c r="O52" s="210"/>
      <c r="P52" s="210"/>
      <c r="Q52" s="210"/>
      <c r="R52" s="210"/>
    </row>
    <row r="53" spans="1:18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M68" s="210"/>
      <c r="N68" s="210"/>
      <c r="O68" s="210"/>
      <c r="P68" s="210"/>
      <c r="Q68" s="210"/>
      <c r="R68" s="210"/>
    </row>
    <row r="69" spans="1:18">
      <c r="A69" s="210"/>
      <c r="B69" s="210"/>
      <c r="C69" s="386" t="s">
        <v>135</v>
      </c>
      <c r="D69" s="387"/>
      <c r="E69" s="386" t="s">
        <v>134</v>
      </c>
      <c r="F69" s="387"/>
      <c r="G69" s="387"/>
      <c r="H69" s="388"/>
      <c r="I69" s="210"/>
      <c r="J69" s="210"/>
      <c r="L69" s="210"/>
      <c r="M69" s="210"/>
      <c r="N69" s="210"/>
      <c r="O69" s="210"/>
      <c r="P69" s="210"/>
      <c r="Q69" s="210"/>
      <c r="R69" s="210"/>
    </row>
    <row r="70" spans="1:18" ht="51.75">
      <c r="A70" s="210"/>
      <c r="B70" s="313"/>
      <c r="C70" s="327" t="s">
        <v>136</v>
      </c>
      <c r="D70" s="328" t="s">
        <v>137</v>
      </c>
      <c r="E70" s="328"/>
      <c r="F70" s="328"/>
      <c r="G70" s="327" t="s">
        <v>139</v>
      </c>
      <c r="H70" s="328" t="s">
        <v>138</v>
      </c>
      <c r="I70" s="306" t="s">
        <v>140</v>
      </c>
      <c r="J70" s="335" t="s">
        <v>141</v>
      </c>
      <c r="K70" s="335" t="s">
        <v>142</v>
      </c>
      <c r="L70" s="210"/>
      <c r="M70" s="210"/>
      <c r="N70" s="210"/>
      <c r="O70" s="210"/>
      <c r="P70" s="210"/>
      <c r="Q70" s="210"/>
      <c r="R70" s="210"/>
    </row>
    <row r="71" spans="1:18">
      <c r="A71" s="210"/>
      <c r="B71" s="314" t="s">
        <v>4</v>
      </c>
      <c r="C71" s="336">
        <v>4.4499999999999998E-2</v>
      </c>
      <c r="D71" s="336">
        <v>9.3000000000000096E-3</v>
      </c>
      <c r="E71" s="85"/>
      <c r="F71" s="85"/>
      <c r="G71" s="336">
        <v>-8.7300000000000003E-2</v>
      </c>
      <c r="H71" s="336">
        <f>+Scenarios!C24</f>
        <v>-3.2445168309994665E-3</v>
      </c>
      <c r="I71" s="350">
        <v>0.1023</v>
      </c>
      <c r="J71" s="351">
        <f t="shared" ref="J71:J78" si="3">+G71/I71</f>
        <v>-0.85337243401759533</v>
      </c>
      <c r="K71" s="330">
        <f t="shared" ref="K71:K78" si="4">+H71/I71</f>
        <v>-3.1715707047893123E-2</v>
      </c>
      <c r="L71" s="210"/>
      <c r="M71" s="210"/>
      <c r="N71" s="210"/>
      <c r="O71" s="210"/>
      <c r="P71" s="210"/>
      <c r="Q71" s="210"/>
      <c r="R71" s="210"/>
    </row>
    <row r="72" spans="1:18">
      <c r="A72" s="210"/>
      <c r="B72" s="314" t="s">
        <v>5</v>
      </c>
      <c r="C72" s="317">
        <v>8.5371817899603325E-2</v>
      </c>
      <c r="D72" s="317">
        <v>5.6265360838678849E-2</v>
      </c>
      <c r="E72" s="85"/>
      <c r="F72" s="85"/>
      <c r="G72" s="317">
        <v>-4.6468851830414513E-2</v>
      </c>
      <c r="H72" s="317">
        <f>+Scenarios!C25</f>
        <v>3.2492969125133414E-2</v>
      </c>
      <c r="I72" s="317">
        <f>+J4</f>
        <v>0.15853561014014847</v>
      </c>
      <c r="J72" s="352">
        <f t="shared" si="3"/>
        <v>-0.29311302230038522</v>
      </c>
      <c r="K72" s="330">
        <f t="shared" si="4"/>
        <v>0.20495691218149042</v>
      </c>
      <c r="L72" s="210"/>
      <c r="M72" s="210"/>
      <c r="N72" s="210"/>
      <c r="O72" s="210"/>
      <c r="P72" s="210"/>
      <c r="Q72" s="210"/>
      <c r="R72" s="210"/>
    </row>
    <row r="73" spans="1:18">
      <c r="A73" s="210"/>
      <c r="B73" s="314" t="s">
        <v>6</v>
      </c>
      <c r="C73" s="317">
        <v>0.14294511515742836</v>
      </c>
      <c r="D73" s="317">
        <v>4.8236186870114238E-2</v>
      </c>
      <c r="E73" s="85"/>
      <c r="F73" s="85"/>
      <c r="G73" s="317">
        <v>1.1104445427410514E-2</v>
      </c>
      <c r="H73" s="317">
        <f>+Scenarios!C26</f>
        <v>1.45681608513176E-2</v>
      </c>
      <c r="I73" s="317">
        <f>+J5</f>
        <v>0.16217253275473525</v>
      </c>
      <c r="J73" s="352">
        <f t="shared" si="3"/>
        <v>6.8473034482383871E-2</v>
      </c>
      <c r="K73" s="330">
        <f>+H73/I73</f>
        <v>8.9831247029668326E-2</v>
      </c>
      <c r="L73" s="210"/>
      <c r="M73" s="210"/>
      <c r="N73" s="210"/>
      <c r="O73" s="210"/>
      <c r="P73" s="210"/>
      <c r="Q73" s="210"/>
      <c r="R73" s="210"/>
    </row>
    <row r="74" spans="1:18">
      <c r="A74" s="210"/>
      <c r="B74" s="314" t="s">
        <v>7</v>
      </c>
      <c r="C74" s="317">
        <v>7.3688794074914882E-2</v>
      </c>
      <c r="D74" s="317">
        <v>4.4755655663184818E-2</v>
      </c>
      <c r="E74" s="85"/>
      <c r="F74" s="85"/>
      <c r="G74" s="317">
        <v>-5.8151875655102964E-2</v>
      </c>
      <c r="H74" s="317">
        <f>+Scenarios!C27</f>
        <v>-1.272492445230269E-2</v>
      </c>
      <c r="I74" s="317">
        <f>+J6</f>
        <v>0.28718972670468956</v>
      </c>
      <c r="J74" s="352">
        <f t="shared" si="3"/>
        <v>-0.20248591870731911</v>
      </c>
      <c r="K74" s="330">
        <f>+H74/I74</f>
        <v>-4.4308424950685758E-2</v>
      </c>
      <c r="L74" s="210"/>
      <c r="M74" s="210"/>
      <c r="N74" s="210"/>
      <c r="O74" s="210"/>
      <c r="P74" s="210"/>
      <c r="Q74" s="210"/>
      <c r="R74" s="210"/>
    </row>
    <row r="75" spans="1:18">
      <c r="B75" s="314" t="s">
        <v>8</v>
      </c>
      <c r="C75" s="317">
        <v>8.8200075364801303E-2</v>
      </c>
      <c r="D75" s="317">
        <v>0.11547766137672615</v>
      </c>
      <c r="E75" s="85"/>
      <c r="F75" s="85"/>
      <c r="G75" s="317">
        <v>-4.3640594365216501E-2</v>
      </c>
      <c r="H75" s="317">
        <f>+Scenarios!C28</f>
        <v>5.7893485302571407E-2</v>
      </c>
      <c r="I75" s="317">
        <f>+J7</f>
        <v>0.29616397669669142</v>
      </c>
      <c r="J75" s="352">
        <f t="shared" si="3"/>
        <v>-0.14735281060164138</v>
      </c>
      <c r="K75" s="330">
        <f t="shared" si="4"/>
        <v>0.19547780911201601</v>
      </c>
      <c r="L75" s="210"/>
      <c r="M75" s="210"/>
      <c r="N75" s="210"/>
      <c r="O75" s="210"/>
      <c r="P75" s="210"/>
      <c r="Q75" s="210"/>
      <c r="R75" s="210"/>
    </row>
    <row r="76" spans="1:18">
      <c r="B76" s="314" t="s">
        <v>9</v>
      </c>
      <c r="C76" s="317">
        <v>9.6125190679341666E-2</v>
      </c>
      <c r="D76" s="317">
        <v>8.8245130245983364E-2</v>
      </c>
      <c r="E76" s="85"/>
      <c r="F76" s="85"/>
      <c r="G76" s="317">
        <v>-3.571547905067618E-2</v>
      </c>
      <c r="H76" s="317">
        <f>+Scenarios!C29</f>
        <v>7.1858480605475325E-2</v>
      </c>
      <c r="I76" s="317">
        <f>+J8</f>
        <v>0.32648216646211403</v>
      </c>
      <c r="J76" s="352">
        <f t="shared" si="3"/>
        <v>-0.1093948849877554</v>
      </c>
      <c r="K76" s="330">
        <f t="shared" si="4"/>
        <v>0.22009925192595167</v>
      </c>
      <c r="L76" s="210"/>
      <c r="M76" s="210"/>
      <c r="N76" s="210"/>
      <c r="O76" s="210"/>
      <c r="P76" s="210"/>
      <c r="Q76" s="210"/>
      <c r="R76" s="210"/>
    </row>
    <row r="77" spans="1:18">
      <c r="B77" s="314" t="s">
        <v>10</v>
      </c>
      <c r="C77" s="317">
        <v>6.2658557549145399E-2</v>
      </c>
      <c r="D77" s="317">
        <v>3.2952299000522406E-2</v>
      </c>
      <c r="E77" s="85"/>
      <c r="F77" s="85"/>
      <c r="G77" s="317">
        <v>-6.9182112180872446E-2</v>
      </c>
      <c r="H77" s="317">
        <f>+Scenarios!C30</f>
        <v>1.8730269708989476E-2</v>
      </c>
      <c r="I77" s="317">
        <f>+J9</f>
        <v>0.16076897495152093</v>
      </c>
      <c r="J77" s="352">
        <f t="shared" si="3"/>
        <v>-0.43032004279267166</v>
      </c>
      <c r="K77" s="330">
        <f t="shared" si="4"/>
        <v>0.11650425534303178</v>
      </c>
      <c r="L77" s="210"/>
      <c r="M77" s="210"/>
      <c r="N77" s="210"/>
      <c r="O77" s="210"/>
      <c r="P77" s="210"/>
      <c r="Q77" s="210"/>
      <c r="R77" s="210"/>
    </row>
    <row r="78" spans="1:18">
      <c r="B78" s="315" t="s">
        <v>11</v>
      </c>
      <c r="C78" s="318">
        <v>7.3464510927495008E-2</v>
      </c>
      <c r="D78" s="318">
        <v>3.9406691481015818E-2</v>
      </c>
      <c r="E78" s="308"/>
      <c r="F78" s="308"/>
      <c r="G78" s="318">
        <v>-5.8376158802522837E-2</v>
      </c>
      <c r="H78" s="318">
        <f>+Scenarios!C31</f>
        <v>-5.9825766089863959E-3</v>
      </c>
      <c r="I78" s="318">
        <f>+J10</f>
        <v>0.20064050365322861</v>
      </c>
      <c r="J78" s="353">
        <f t="shared" si="3"/>
        <v>-0.29094902444730519</v>
      </c>
      <c r="K78" s="333">
        <f t="shared" si="4"/>
        <v>-2.9817392301437873E-2</v>
      </c>
      <c r="L78" s="210"/>
      <c r="M78" s="210"/>
      <c r="N78" s="210"/>
      <c r="O78" s="210"/>
      <c r="P78" s="210"/>
      <c r="Q78" s="210"/>
      <c r="R78" s="210"/>
    </row>
    <row r="79" spans="1:18">
      <c r="B79" s="84"/>
      <c r="C79" s="84"/>
      <c r="D79" s="84"/>
      <c r="E79" s="98"/>
      <c r="F79" s="98"/>
      <c r="G79" s="84"/>
      <c r="H79" s="84"/>
      <c r="I79" s="84"/>
      <c r="J79" s="84"/>
      <c r="L79" s="210"/>
      <c r="M79" s="210"/>
      <c r="N79" s="210"/>
      <c r="O79" s="210"/>
      <c r="P79" s="210"/>
      <c r="Q79" s="210"/>
      <c r="R79" s="210"/>
    </row>
    <row r="80" spans="1:18">
      <c r="B80" s="210"/>
      <c r="C80" s="210"/>
      <c r="D80" s="210"/>
      <c r="E80" s="210"/>
      <c r="F80" s="210"/>
      <c r="G80" s="210"/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2:18">
      <c r="B81" s="210"/>
      <c r="C81" s="210"/>
      <c r="D81" s="210"/>
      <c r="E81" s="210"/>
      <c r="F81" s="210"/>
      <c r="G81" s="210"/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2:18">
      <c r="B82" s="210"/>
      <c r="C82" s="210"/>
      <c r="D82" s="210"/>
      <c r="E82" s="210"/>
      <c r="F82" s="210"/>
      <c r="G82" s="210"/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2:18"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2:18"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2:18"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</row>
    <row r="86" spans="2:18"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</row>
    <row r="87" spans="2:18"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</row>
    <row r="88" spans="2:18"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</row>
    <row r="89" spans="2:18"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</row>
    <row r="90" spans="2:18"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</row>
    <row r="91" spans="2:18"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</row>
    <row r="92" spans="2:18"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</row>
    <row r="93" spans="2:18"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</row>
    <row r="94" spans="2:18"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</row>
    <row r="95" spans="2:18"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</row>
    <row r="96" spans="2:18"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</row>
    <row r="97" spans="2:13"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</row>
    <row r="98" spans="2:13"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</row>
    <row r="99" spans="2:13">
      <c r="M99" s="210"/>
    </row>
  </sheetData>
  <mergeCells count="2">
    <mergeCell ref="C69:D69"/>
    <mergeCell ref="E69:H69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2013-02-15T14:46:52Z</dcterms:modified>
</cp:coreProperties>
</file>