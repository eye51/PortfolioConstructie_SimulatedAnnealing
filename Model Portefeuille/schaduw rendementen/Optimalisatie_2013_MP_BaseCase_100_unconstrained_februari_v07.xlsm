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firstSheet="1" activeTab="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heet1" sheetId="12" r:id="rId10"/>
    <sheet name="base_up_PE_neutral" sheetId="14" r:id="rId11"/>
    <sheet name="equilibrium" sheetId="15" r:id="rId12"/>
  </sheets>
  <externalReferences>
    <externalReference r:id="rId13"/>
    <externalReference r:id="rId14"/>
  </externalReferences>
  <definedNames>
    <definedName name="aan_uit">Optimalisatie!$B$101:$B$102</definedName>
    <definedName name="k">'Absolute visies'!$N$4:$U$11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</definedNames>
  <calcPr calcId="125725" concurrentCalc="0"/>
</workbook>
</file>

<file path=xl/calcChain.xml><?xml version="1.0" encoding="utf-8"?>
<calcChain xmlns="http://schemas.openxmlformats.org/spreadsheetml/2006/main">
  <c r="E33" i="7"/>
  <c r="C33"/>
  <c r="B33"/>
  <c r="D33"/>
  <c r="F33"/>
  <c r="G33"/>
  <c r="H33"/>
  <c r="I31"/>
  <c r="B17" i="13"/>
  <c r="I29" i="7"/>
  <c r="B15" i="13"/>
  <c r="I28" i="7"/>
  <c r="B14" i="13"/>
  <c r="I27" i="7"/>
  <c r="B13" i="13"/>
  <c r="I26" i="7"/>
  <c r="B12" i="13"/>
  <c r="I25" i="7"/>
  <c r="B11" i="13"/>
  <c r="I24" i="7"/>
  <c r="B10" i="13"/>
  <c r="I30" i="7"/>
  <c r="B16" i="13"/>
  <c r="A121" i="12"/>
  <c r="A120"/>
  <c r="A119"/>
  <c r="A118"/>
  <c r="A117"/>
  <c r="A116"/>
  <c r="A115"/>
  <c r="A114"/>
  <c r="A110"/>
  <c r="A109"/>
  <c r="A108"/>
  <c r="A107"/>
  <c r="A106"/>
  <c r="A105"/>
  <c r="A104"/>
  <c r="A103"/>
  <c r="A99"/>
  <c r="A98"/>
  <c r="A97"/>
  <c r="A96"/>
  <c r="A95"/>
  <c r="A94"/>
  <c r="A93"/>
  <c r="A92"/>
  <c r="A88"/>
  <c r="A87"/>
  <c r="A86"/>
  <c r="A85"/>
  <c r="A84"/>
  <c r="A83"/>
  <c r="A82"/>
  <c r="A81"/>
  <c r="A77"/>
  <c r="A76"/>
  <c r="A75"/>
  <c r="A74"/>
  <c r="A73"/>
  <c r="A72"/>
  <c r="A71"/>
  <c r="A70"/>
  <c r="A66"/>
  <c r="A65"/>
  <c r="A64"/>
  <c r="A63"/>
  <c r="A62"/>
  <c r="A61"/>
  <c r="A60"/>
  <c r="A59"/>
  <c r="A55"/>
  <c r="A54"/>
  <c r="A53"/>
  <c r="A52"/>
  <c r="A51"/>
  <c r="A50"/>
  <c r="A49"/>
  <c r="A48"/>
  <c r="A44"/>
  <c r="A43"/>
  <c r="A42"/>
  <c r="A41"/>
  <c r="A40"/>
  <c r="A39"/>
  <c r="A38"/>
  <c r="A37"/>
  <c r="A27"/>
  <c r="A28"/>
  <c r="A29"/>
  <c r="A30"/>
  <c r="A31"/>
  <c r="A32"/>
  <c r="A33"/>
  <c r="A26"/>
  <c r="B31" i="7"/>
  <c r="B30"/>
  <c r="B29"/>
  <c r="B28"/>
  <c r="B27"/>
  <c r="B26"/>
  <c r="B25"/>
  <c r="B24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I33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<sst xmlns="http://schemas.openxmlformats.org/spreadsheetml/2006/main" count="551" uniqueCount="165">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</sst>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[2]Evaluatie!$B$2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55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6"/>
          <c:w val="0.5562682138416909"/>
          <c:h val="0.692582184133050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889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341E-4"/>
                  <c:y val="-8.3464566929133982E-2"/>
                </c:manualLayout>
              </c:layout>
              <c:showVal val="1"/>
            </c:dLbl>
            <c:dLbl>
              <c:idx val="5"/>
              <c:layout>
                <c:manualLayout>
                  <c:x val="2.6391177018773308E-2"/>
                  <c:y val="0.11040230140723943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26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'[1]Samenvatting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'[1]Samenvatting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'[1]Samenvatting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314775424"/>
        <c:axId val="31478988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14775424"/>
        <c:axId val="314789888"/>
      </c:lineChart>
      <c:catAx>
        <c:axId val="314775424"/>
        <c:scaling>
          <c:orientation val="minMax"/>
        </c:scaling>
        <c:axPos val="b"/>
        <c:tickLblPos val="nextTo"/>
        <c:crossAx val="314789888"/>
        <c:crosses val="autoZero"/>
        <c:auto val="1"/>
        <c:lblAlgn val="ctr"/>
        <c:lblOffset val="100"/>
      </c:catAx>
      <c:valAx>
        <c:axId val="314789888"/>
        <c:scaling>
          <c:orientation val="minMax"/>
        </c:scaling>
        <c:axPos val="l"/>
        <c:majorGridlines/>
        <c:numFmt formatCode="0%" sourceLinked="0"/>
        <c:tickLblPos val="nextTo"/>
        <c:crossAx val="31477542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14859904"/>
        <c:axId val="314861440"/>
      </c:barChart>
      <c:catAx>
        <c:axId val="314859904"/>
        <c:scaling>
          <c:orientation val="minMax"/>
        </c:scaling>
        <c:axPos val="b"/>
        <c:tickLblPos val="nextTo"/>
        <c:crossAx val="314861440"/>
        <c:crosses val="autoZero"/>
        <c:auto val="1"/>
        <c:lblAlgn val="ctr"/>
        <c:lblOffset val="100"/>
      </c:catAx>
      <c:valAx>
        <c:axId val="314861440"/>
        <c:scaling>
          <c:orientation val="minMax"/>
        </c:scaling>
        <c:axPos val="l"/>
        <c:majorGridlines/>
        <c:numFmt formatCode="0.0%" sourceLinked="1"/>
        <c:tickLblPos val="nextTo"/>
        <c:crossAx val="3148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82"/>
          <c:y val="0.30999086720262076"/>
          <c:w val="0.27290015295627634"/>
          <c:h val="0.50313982945017643"/>
        </c:manualLayout>
      </c:layout>
    </c:legend>
    <c:plotVisOnly val="1"/>
  </c:chart>
  <c:printSettings>
    <c:headerFooter/>
    <c:pageMargins b="0.75000000000000777" l="0.70000000000000062" r="0.70000000000000062" t="0.750000000000007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2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'[1]Samenvatting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'[1]Samenvatting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'[1]Samenvatting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15048320"/>
        <c:axId val="315050240"/>
      </c:barChart>
      <c:lineChart>
        <c:grouping val="standard"/>
        <c:ser>
          <c:idx val="3"/>
          <c:order val="3"/>
          <c:tx>
            <c:strRef>
              <c:f>'[1]Control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15048320"/>
        <c:axId val="315050240"/>
      </c:lineChart>
      <c:catAx>
        <c:axId val="315048320"/>
        <c:scaling>
          <c:orientation val="minMax"/>
        </c:scaling>
        <c:axPos val="b"/>
        <c:numFmt formatCode="General" sourceLinked="1"/>
        <c:tickLblPos val="nextTo"/>
        <c:crossAx val="315050240"/>
        <c:crosses val="autoZero"/>
        <c:auto val="1"/>
        <c:lblAlgn val="ctr"/>
        <c:lblOffset val="100"/>
      </c:catAx>
      <c:valAx>
        <c:axId val="315050240"/>
        <c:scaling>
          <c:orientation val="minMax"/>
        </c:scaling>
        <c:axPos val="l"/>
        <c:majorGridlines/>
        <c:numFmt formatCode="0%" sourceLinked="0"/>
        <c:tickLblPos val="nextTo"/>
        <c:crossAx val="31504832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261312896"/>
        <c:axId val="261314432"/>
      </c:barChart>
      <c:catAx>
        <c:axId val="261312896"/>
        <c:scaling>
          <c:orientation val="minMax"/>
        </c:scaling>
        <c:axPos val="b"/>
        <c:tickLblPos val="nextTo"/>
        <c:crossAx val="261314432"/>
        <c:crosses val="autoZero"/>
        <c:auto val="1"/>
        <c:lblAlgn val="ctr"/>
        <c:lblOffset val="100"/>
      </c:catAx>
      <c:valAx>
        <c:axId val="261314432"/>
        <c:scaling>
          <c:orientation val="minMax"/>
        </c:scaling>
        <c:axPos val="l"/>
        <c:majorGridlines/>
        <c:numFmt formatCode="0.0%" sourceLinked="1"/>
        <c:tickLblPos val="nextTo"/>
        <c:crossAx val="261312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261328256"/>
        <c:axId val="261735552"/>
      </c:barChart>
      <c:catAx>
        <c:axId val="261328256"/>
        <c:scaling>
          <c:orientation val="minMax"/>
        </c:scaling>
        <c:axPos val="l"/>
        <c:tickLblPos val="nextTo"/>
        <c:crossAx val="261735552"/>
        <c:crosses val="autoZero"/>
        <c:auto val="1"/>
        <c:lblAlgn val="ctr"/>
        <c:lblOffset val="100"/>
      </c:catAx>
      <c:valAx>
        <c:axId val="261735552"/>
        <c:scaling>
          <c:orientation val="minMax"/>
        </c:scaling>
        <c:axPos val="b"/>
        <c:majorGridlines/>
        <c:numFmt formatCode="0%" sourceLinked="0"/>
        <c:tickLblPos val="nextTo"/>
        <c:crossAx val="2613282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261760896"/>
        <c:axId val="261762432"/>
      </c:barChart>
      <c:catAx>
        <c:axId val="261760896"/>
        <c:scaling>
          <c:orientation val="minMax"/>
        </c:scaling>
        <c:axPos val="l"/>
        <c:tickLblPos val="nextTo"/>
        <c:crossAx val="261762432"/>
        <c:crosses val="autoZero"/>
        <c:auto val="1"/>
        <c:lblAlgn val="ctr"/>
        <c:lblOffset val="100"/>
      </c:catAx>
      <c:valAx>
        <c:axId val="261762432"/>
        <c:scaling>
          <c:orientation val="minMax"/>
        </c:scaling>
        <c:axPos val="b"/>
        <c:majorGridlines/>
        <c:numFmt formatCode="0%" sourceLinked="0"/>
        <c:tickLblPos val="nextTo"/>
        <c:crossAx val="2617608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261800320"/>
        <c:axId val="261801856"/>
      </c:barChart>
      <c:catAx>
        <c:axId val="261800320"/>
        <c:scaling>
          <c:orientation val="minMax"/>
        </c:scaling>
        <c:axPos val="l"/>
        <c:tickLblPos val="nextTo"/>
        <c:crossAx val="261801856"/>
        <c:crosses val="autoZero"/>
        <c:auto val="1"/>
        <c:lblAlgn val="ctr"/>
        <c:lblOffset val="100"/>
      </c:catAx>
      <c:valAx>
        <c:axId val="261801856"/>
        <c:scaling>
          <c:orientation val="minMax"/>
        </c:scaling>
        <c:axPos val="b"/>
        <c:majorGridlines/>
        <c:numFmt formatCode="0%" sourceLinked="0"/>
        <c:tickLblPos val="nextTo"/>
        <c:crossAx val="2618003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68622976"/>
        <c:axId val="68624768"/>
      </c:barChart>
      <c:catAx>
        <c:axId val="68622976"/>
        <c:scaling>
          <c:orientation val="minMax"/>
        </c:scaling>
        <c:axPos val="l"/>
        <c:tickLblPos val="nextTo"/>
        <c:crossAx val="68624768"/>
        <c:crosses val="autoZero"/>
        <c:auto val="1"/>
        <c:lblAlgn val="ctr"/>
        <c:lblOffset val="100"/>
      </c:catAx>
      <c:valAx>
        <c:axId val="68624768"/>
        <c:scaling>
          <c:orientation val="minMax"/>
        </c:scaling>
        <c:axPos val="b"/>
        <c:majorGridlines/>
        <c:numFmt formatCode="0%" sourceLinked="0"/>
        <c:tickLblPos val="nextTo"/>
        <c:crossAx val="686229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68666496"/>
        <c:axId val="68668032"/>
      </c:barChart>
      <c:catAx>
        <c:axId val="68666496"/>
        <c:scaling>
          <c:orientation val="minMax"/>
        </c:scaling>
        <c:axPos val="l"/>
        <c:tickLblPos val="nextTo"/>
        <c:crossAx val="68668032"/>
        <c:crosses val="autoZero"/>
        <c:auto val="1"/>
        <c:lblAlgn val="ctr"/>
        <c:lblOffset val="100"/>
      </c:catAx>
      <c:valAx>
        <c:axId val="68668032"/>
        <c:scaling>
          <c:orientation val="minMax"/>
        </c:scaling>
        <c:axPos val="b"/>
        <c:majorGridlines/>
        <c:numFmt formatCode="0%" sourceLinked="0"/>
        <c:tickLblPos val="nextTo"/>
        <c:crossAx val="686664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0"/>
        <c:overlap val="100"/>
        <c:axId val="68676992"/>
        <c:axId val="261837952"/>
      </c:barChart>
      <c:catAx>
        <c:axId val="68676992"/>
        <c:scaling>
          <c:orientation val="minMax"/>
        </c:scaling>
        <c:axPos val="l"/>
        <c:tickLblPos val="nextTo"/>
        <c:crossAx val="261837952"/>
        <c:crosses val="autoZero"/>
        <c:auto val="1"/>
        <c:lblAlgn val="ctr"/>
        <c:lblOffset val="100"/>
      </c:catAx>
      <c:valAx>
        <c:axId val="261837952"/>
        <c:scaling>
          <c:orientation val="minMax"/>
        </c:scaling>
        <c:axPos val="b"/>
        <c:majorGridlines/>
        <c:numFmt formatCode="0%" sourceLinked="0"/>
        <c:tickLblPos val="nextTo"/>
        <c:crossAx val="68676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0.23577701527791628</c:v>
                </c:pt>
                <c:pt idx="1">
                  <c:v>4.516169010955897E-2</c:v>
                </c:pt>
                <c:pt idx="2">
                  <c:v>4.7456005134116032E-3</c:v>
                </c:pt>
                <c:pt idx="3">
                  <c:v>7.156538990643746E-2</c:v>
                </c:pt>
                <c:pt idx="4">
                  <c:v>0.56125939804848646</c:v>
                </c:pt>
                <c:pt idx="5">
                  <c:v>7.0276101674922875E-2</c:v>
                </c:pt>
                <c:pt idx="6">
                  <c:v>1.1214804469266095E-2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261928832"/>
        <c:axId val="261930368"/>
      </c:barChart>
      <c:catAx>
        <c:axId val="261928832"/>
        <c:scaling>
          <c:orientation val="minMax"/>
        </c:scaling>
        <c:axPos val="l"/>
        <c:tickLblPos val="nextTo"/>
        <c:crossAx val="261930368"/>
        <c:crosses val="autoZero"/>
        <c:auto val="1"/>
        <c:lblAlgn val="ctr"/>
        <c:lblOffset val="100"/>
      </c:catAx>
      <c:valAx>
        <c:axId val="261930368"/>
        <c:scaling>
          <c:orientation val="minMax"/>
        </c:scaling>
        <c:axPos val="b"/>
        <c:majorGridlines/>
        <c:numFmt formatCode="0%" sourceLinked="0"/>
        <c:tickLblPos val="nextTo"/>
        <c:crossAx val="2619288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28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261968256"/>
        <c:axId val="261969792"/>
      </c:barChart>
      <c:catAx>
        <c:axId val="261968256"/>
        <c:scaling>
          <c:orientation val="minMax"/>
        </c:scaling>
        <c:axPos val="l"/>
        <c:tickLblPos val="nextTo"/>
        <c:crossAx val="261969792"/>
        <c:crosses val="autoZero"/>
        <c:auto val="1"/>
        <c:lblAlgn val="ctr"/>
        <c:lblOffset val="100"/>
      </c:catAx>
      <c:valAx>
        <c:axId val="261969792"/>
        <c:scaling>
          <c:orientation val="minMax"/>
        </c:scaling>
        <c:axPos val="b"/>
        <c:majorGridlines/>
        <c:numFmt formatCode="0%" sourceLinked="0"/>
        <c:tickLblPos val="nextTo"/>
        <c:crossAx val="2619682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14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6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262111232"/>
        <c:axId val="26211315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262111232"/>
        <c:axId val="262113152"/>
      </c:lineChart>
      <c:catAx>
        <c:axId val="262111232"/>
        <c:scaling>
          <c:orientation val="minMax"/>
        </c:scaling>
        <c:axPos val="b"/>
        <c:tickLblPos val="nextTo"/>
        <c:crossAx val="262113152"/>
        <c:crosses val="autoZero"/>
        <c:auto val="1"/>
        <c:lblAlgn val="ctr"/>
        <c:lblOffset val="100"/>
      </c:catAx>
      <c:valAx>
        <c:axId val="262113152"/>
        <c:scaling>
          <c:orientation val="minMax"/>
        </c:scaling>
        <c:axPos val="l"/>
        <c:majorGridlines/>
        <c:numFmt formatCode="0%" sourceLinked="0"/>
        <c:tickLblPos val="nextTo"/>
        <c:crossAx val="26211123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8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262139264"/>
        <c:axId val="26214553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262139264"/>
        <c:axId val="262145536"/>
      </c:lineChart>
      <c:catAx>
        <c:axId val="262139264"/>
        <c:scaling>
          <c:orientation val="minMax"/>
        </c:scaling>
        <c:axPos val="b"/>
        <c:numFmt formatCode="General" sourceLinked="1"/>
        <c:tickLblPos val="nextTo"/>
        <c:crossAx val="262145536"/>
        <c:crosses val="autoZero"/>
        <c:auto val="1"/>
        <c:lblAlgn val="ctr"/>
        <c:lblOffset val="100"/>
      </c:catAx>
      <c:valAx>
        <c:axId val="262145536"/>
        <c:scaling>
          <c:orientation val="minMax"/>
        </c:scaling>
        <c:axPos val="l"/>
        <c:majorGridlines/>
        <c:numFmt formatCode="0%" sourceLinked="0"/>
        <c:tickLblPos val="nextTo"/>
        <c:crossAx val="26213926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3"/>
          <c:w val="0.5562682138416909"/>
          <c:h val="0.69258218413304995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262209536"/>
        <c:axId val="262211072"/>
      </c:barChart>
      <c:catAx>
        <c:axId val="262209536"/>
        <c:scaling>
          <c:orientation val="minMax"/>
        </c:scaling>
        <c:axPos val="l"/>
        <c:tickLblPos val="nextTo"/>
        <c:crossAx val="262211072"/>
        <c:crosses val="autoZero"/>
        <c:auto val="1"/>
        <c:lblAlgn val="ctr"/>
        <c:lblOffset val="100"/>
      </c:catAx>
      <c:valAx>
        <c:axId val="262211072"/>
        <c:scaling>
          <c:orientation val="minMax"/>
        </c:scaling>
        <c:axPos val="b"/>
        <c:majorGridlines/>
        <c:numFmt formatCode="0.0%" sourceLinked="1"/>
        <c:tickLblPos val="nextTo"/>
        <c:crossAx val="262209536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3"/>
          <c:y val="5.1400554097404488E-2"/>
          <c:w val="0.821643482064746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262252800"/>
        <c:axId val="262271360"/>
      </c:scatterChart>
      <c:valAx>
        <c:axId val="26225280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34"/>
            </c:manualLayout>
          </c:layout>
        </c:title>
        <c:numFmt formatCode="0%" sourceLinked="0"/>
        <c:tickLblPos val="nextTo"/>
        <c:crossAx val="262271360"/>
        <c:crosses val="autoZero"/>
        <c:crossBetween val="midCat"/>
      </c:valAx>
      <c:valAx>
        <c:axId val="2622713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62252800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6"/>
          <c:y val="5.1400554097404488E-2"/>
          <c:w val="0.82164348206474624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25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24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21E-2"/>
                  <c:y val="-6.73369912559802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262300800"/>
        <c:axId val="262302720"/>
      </c:scatterChart>
      <c:valAx>
        <c:axId val="26230080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57"/>
            </c:manualLayout>
          </c:layout>
        </c:title>
        <c:numFmt formatCode="0%" sourceLinked="0"/>
        <c:tickLblPos val="nextTo"/>
        <c:crossAx val="262302720"/>
        <c:crosses val="autoZero"/>
        <c:crossBetween val="midCat"/>
      </c:valAx>
      <c:valAx>
        <c:axId val="2623027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262300800"/>
        <c:crosses val="autoZero"/>
        <c:crossBetween val="midCat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262356352"/>
        <c:axId val="262362240"/>
      </c:barChart>
      <c:catAx>
        <c:axId val="262356352"/>
        <c:scaling>
          <c:orientation val="minMax"/>
        </c:scaling>
        <c:axPos val="l"/>
        <c:tickLblPos val="none"/>
        <c:crossAx val="262362240"/>
        <c:crosses val="autoZero"/>
        <c:auto val="1"/>
        <c:lblAlgn val="ctr"/>
        <c:lblOffset val="100"/>
      </c:catAx>
      <c:valAx>
        <c:axId val="262362240"/>
        <c:scaling>
          <c:orientation val="minMax"/>
        </c:scaling>
        <c:axPos val="b"/>
        <c:majorGridlines/>
        <c:numFmt formatCode="0.0%" sourceLinked="1"/>
        <c:tickLblPos val="nextTo"/>
        <c:crossAx val="262356352"/>
        <c:crosses val="autoZero"/>
        <c:crossBetween val="between"/>
      </c:valAx>
    </c:plotArea>
    <c:legend>
      <c:legendPos val="b"/>
      <c:layout/>
    </c:legend>
    <c:plotVisOnly val="1"/>
  </c:chart>
  <c:spPr>
    <a:noFill/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0.29109111037387625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262395392"/>
        <c:axId val="262396928"/>
      </c:barChart>
      <c:catAx>
        <c:axId val="262395392"/>
        <c:scaling>
          <c:orientation val="minMax"/>
        </c:scaling>
        <c:axPos val="l"/>
        <c:tickLblPos val="high"/>
        <c:crossAx val="262396928"/>
        <c:crosses val="autoZero"/>
        <c:auto val="1"/>
        <c:lblAlgn val="ctr"/>
        <c:lblOffset val="100"/>
      </c:catAx>
      <c:valAx>
        <c:axId val="262396928"/>
        <c:scaling>
          <c:orientation val="minMax"/>
        </c:scaling>
        <c:axPos val="b"/>
        <c:majorGridlines/>
        <c:numFmt formatCode="#,##0.00_ ;\-#,##0.00\ " sourceLinked="1"/>
        <c:tickLblPos val="nextTo"/>
        <c:crossAx val="262395392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301717</xdr:colOff>
      <xdr:row>2</xdr:row>
      <xdr:rowOff>156883</xdr:rowOff>
    </xdr:from>
    <xdr:to>
      <xdr:col>16</xdr:col>
      <xdr:colOff>153798</xdr:colOff>
      <xdr:row>15</xdr:row>
      <xdr:rowOff>122145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219913</xdr:colOff>
      <xdr:row>22</xdr:row>
      <xdr:rowOff>1121</xdr:rowOff>
    </xdr:from>
    <xdr:to>
      <xdr:col>17</xdr:col>
      <xdr:colOff>46782</xdr:colOff>
      <xdr:row>30</xdr:row>
      <xdr:rowOff>129429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32</xdr:row>
      <xdr:rowOff>132648</xdr:rowOff>
    </xdr:from>
    <xdr:to>
      <xdr:col>15</xdr:col>
      <xdr:colOff>547267</xdr:colOff>
      <xdr:row>50</xdr:row>
      <xdr:rowOff>32916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257173</xdr:colOff>
      <xdr:row>12</xdr:row>
      <xdr:rowOff>123265</xdr:rowOff>
    </xdr:from>
    <xdr:to>
      <xdr:col>23</xdr:col>
      <xdr:colOff>1275508</xdr:colOff>
      <xdr:row>29</xdr:row>
      <xdr:rowOff>46226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105894</xdr:colOff>
      <xdr:row>32</xdr:row>
      <xdr:rowOff>130969</xdr:rowOff>
    </xdr:from>
    <xdr:to>
      <xdr:col>23</xdr:col>
      <xdr:colOff>992280</xdr:colOff>
      <xdr:row>50</xdr:row>
      <xdr:rowOff>145536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schaduw%20rendementen\Optimalisatie_2013_MP_BaseCase_100_unconstrained_februari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A3" t="str">
            <v>Nominale matching</v>
          </cell>
          <cell r="B3">
            <v>0.55552002657163746</v>
          </cell>
        </row>
        <row r="4">
          <cell r="A4" t="str">
            <v>High Yield</v>
          </cell>
          <cell r="B4">
            <v>9.7772401711769694E-2</v>
          </cell>
          <cell r="W4" t="str">
            <v>High Yield</v>
          </cell>
          <cell r="X4">
            <v>0.21997031937711767</v>
          </cell>
        </row>
        <row r="5">
          <cell r="A5" t="str">
            <v>Emerging market debt</v>
          </cell>
          <cell r="B5">
            <v>9.4763191533410202E-2</v>
          </cell>
          <cell r="W5" t="str">
            <v>Emerging market debt</v>
          </cell>
          <cell r="X5">
            <v>0.2132001376855808</v>
          </cell>
        </row>
        <row r="6">
          <cell r="A6" t="str">
            <v>Aandelen ontwikkeld</v>
          </cell>
          <cell r="B6">
            <v>0.10281340879516217</v>
          </cell>
          <cell r="W6" t="str">
            <v>Aandelen ontwikkeld</v>
          </cell>
          <cell r="X6">
            <v>0.23131167868406277</v>
          </cell>
        </row>
        <row r="7">
          <cell r="A7" t="str">
            <v>Aandelen opkomend</v>
          </cell>
          <cell r="B7">
            <v>5.1014363077869621E-2</v>
          </cell>
          <cell r="W7" t="str">
            <v>Aandelen opkomend</v>
          </cell>
          <cell r="X7">
            <v>0.11477314193569998</v>
          </cell>
        </row>
        <row r="8">
          <cell r="A8" t="str">
            <v>Commodities</v>
          </cell>
          <cell r="B8">
            <v>2.0731266317763185E-2</v>
          </cell>
          <cell r="W8" t="str">
            <v>Commodities</v>
          </cell>
          <cell r="X8">
            <v>4.6641620673837786E-2</v>
          </cell>
        </row>
        <row r="9">
          <cell r="A9" t="str">
            <v>Hedge funds</v>
          </cell>
          <cell r="B9">
            <v>3.0634868515694261E-2</v>
          </cell>
          <cell r="W9" t="str">
            <v>Hedge funds</v>
          </cell>
          <cell r="X9">
            <v>6.8922944445396303E-2</v>
          </cell>
        </row>
        <row r="10">
          <cell r="A10" t="str">
            <v>Onroerend goed</v>
          </cell>
          <cell r="B10">
            <v>4.6750473476693526E-2</v>
          </cell>
          <cell r="W10" t="str">
            <v>Onroerend goed</v>
          </cell>
          <cell r="X10">
            <v>0.10518015719830481</v>
          </cell>
        </row>
      </sheetData>
      <sheetData sheetId="1">
        <row r="23">
          <cell r="B23" t="str">
            <v>Evenwicht</v>
          </cell>
          <cell r="C23" t="str">
            <v>Base Case</v>
          </cell>
          <cell r="D23" t="str">
            <v>Base - muddle down</v>
          </cell>
          <cell r="E23" t="str">
            <v>Base - muddle up</v>
          </cell>
          <cell r="F23" t="str">
            <v>Bear case</v>
          </cell>
          <cell r="G23" t="str">
            <v>Tail risk</v>
          </cell>
          <cell r="H23" t="str">
            <v>Bull case</v>
          </cell>
        </row>
        <row r="24">
          <cell r="A24" t="str">
            <v>Nominale matching</v>
          </cell>
          <cell r="B24">
            <v>0</v>
          </cell>
          <cell r="C24">
            <v>-3.2445168309994665E-3</v>
          </cell>
          <cell r="D24">
            <v>-1.0761362748873404E-3</v>
          </cell>
          <cell r="E24">
            <v>-3.4179872754884488E-3</v>
          </cell>
          <cell r="F24">
            <v>-2.5720358328627513E-2</v>
          </cell>
          <cell r="G24">
            <v>-0.26287574291051119</v>
          </cell>
          <cell r="H24">
            <v>-3.2441343963196256E-3</v>
          </cell>
        </row>
        <row r="25">
          <cell r="A25" t="str">
            <v>High Yield</v>
          </cell>
          <cell r="B25">
            <v>0.03</v>
          </cell>
          <cell r="C25">
            <v>3.2492969125133414E-2</v>
          </cell>
          <cell r="D25">
            <v>-8.65324500372157E-2</v>
          </cell>
          <cell r="E25">
            <v>5.1526244290784291E-2</v>
          </cell>
          <cell r="F25">
            <v>-0.43934344866388231</v>
          </cell>
          <cell r="G25">
            <v>-0.41627425662388229</v>
          </cell>
          <cell r="H25">
            <v>0.27529934429078429</v>
          </cell>
        </row>
        <row r="26">
          <cell r="A26" t="str">
            <v>Emerging market debt</v>
          </cell>
          <cell r="B26">
            <v>3.1398195419985959E-2</v>
          </cell>
          <cell r="C26">
            <v>1.45681608513176E-2</v>
          </cell>
          <cell r="D26">
            <v>-2.1111513867647543E-2</v>
          </cell>
          <cell r="E26">
            <v>3.2357333960853253E-3</v>
          </cell>
          <cell r="F26">
            <v>-0.41802644813429485</v>
          </cell>
          <cell r="G26">
            <v>-0.17149574156312622</v>
          </cell>
          <cell r="H26">
            <v>0.25817653707968463</v>
          </cell>
        </row>
        <row r="27">
          <cell r="A27" t="str">
            <v>Aandelen ontwikkeld</v>
          </cell>
          <cell r="B27">
            <v>5.6592124614748239E-2</v>
          </cell>
          <cell r="C27">
            <v>-1.272492445230269E-2</v>
          </cell>
          <cell r="D27">
            <v>-0.19311368459773193</v>
          </cell>
          <cell r="E27">
            <v>4.3944352615336905E-2</v>
          </cell>
          <cell r="F27">
            <v>-0.5992014650452413</v>
          </cell>
          <cell r="G27">
            <v>-0.47126055414190038</v>
          </cell>
          <cell r="H27">
            <v>0.40935864013329615</v>
          </cell>
        </row>
        <row r="28">
          <cell r="A28" t="str">
            <v>Aandelen opkomend</v>
          </cell>
          <cell r="B28">
            <v>5.6149706770970371E-2</v>
          </cell>
          <cell r="C28">
            <v>5.7893485302571407E-2</v>
          </cell>
          <cell r="D28">
            <v>-6.9261756645690273E-2</v>
          </cell>
          <cell r="E28">
            <v>7.474963400472559E-2</v>
          </cell>
          <cell r="F28">
            <v>-0.42661422498990775</v>
          </cell>
          <cell r="G28">
            <v>-0.26558788944909251</v>
          </cell>
          <cell r="H28">
            <v>0.37672139820686834</v>
          </cell>
        </row>
        <row r="29">
          <cell r="A29" t="str">
            <v>Commodities</v>
          </cell>
          <cell r="B29">
            <v>5.16958277280853E-2</v>
          </cell>
          <cell r="C29">
            <v>9.5036056352725468E-2</v>
          </cell>
          <cell r="D29">
            <v>1.202667991596415E-2</v>
          </cell>
          <cell r="E29">
            <v>8.5249207175964209E-2</v>
          </cell>
          <cell r="F29">
            <v>-0.52128297967070236</v>
          </cell>
          <cell r="G29">
            <v>-0.54077311463070243</v>
          </cell>
          <cell r="H29">
            <v>0.621322616702631</v>
          </cell>
        </row>
        <row r="30">
          <cell r="A30" t="str">
            <v>Hedge funds</v>
          </cell>
          <cell r="B30">
            <v>2.8296106893951258E-2</v>
          </cell>
          <cell r="C30">
            <v>1.8730269708989476E-2</v>
          </cell>
          <cell r="D30">
            <v>-4.6790508294452839E-2</v>
          </cell>
          <cell r="E30">
            <v>1.8215216611987023E-2</v>
          </cell>
          <cell r="F30">
            <v>-0.25630468560846492</v>
          </cell>
          <cell r="G30">
            <v>-6.931471876793301E-3</v>
          </cell>
          <cell r="H30">
            <v>0.28021842301080391</v>
          </cell>
        </row>
        <row r="31">
          <cell r="A31" t="str">
            <v>Onroerend goed</v>
          </cell>
          <cell r="B31">
            <v>3.9623116873055711E-2</v>
          </cell>
          <cell r="C31">
            <v>-5.9825766089863959E-3</v>
          </cell>
          <cell r="D31">
            <v>-0.13956067047136589</v>
          </cell>
          <cell r="E31">
            <v>2.7964399001126676E-2</v>
          </cell>
          <cell r="F31">
            <v>-0.45200242221105646</v>
          </cell>
          <cell r="G31">
            <v>-0.48031312669988807</v>
          </cell>
          <cell r="H31">
            <v>0.41038049782760322</v>
          </cell>
        </row>
      </sheetData>
      <sheetData sheetId="2"/>
      <sheetData sheetId="3"/>
      <sheetData sheetId="4"/>
      <sheetData sheetId="5">
        <row r="81">
          <cell r="A81" t="str">
            <v>Nominale matching</v>
          </cell>
          <cell r="B81">
            <v>0.63884131311996284</v>
          </cell>
          <cell r="R81" t="str">
            <v>Nominale matching</v>
          </cell>
          <cell r="S81">
            <v>0.6155766536146553</v>
          </cell>
          <cell r="T81">
            <v>2.3264659505307539E-2</v>
          </cell>
          <cell r="U81">
            <v>2.5469073703273115E-2</v>
          </cell>
        </row>
        <row r="82">
          <cell r="A82" t="str">
            <v>High Yield</v>
          </cell>
          <cell r="B82">
            <v>8.9152415993890524E-2</v>
          </cell>
          <cell r="R82" t="str">
            <v>High Yield</v>
          </cell>
          <cell r="S82">
            <v>4.3600169544033028E-2</v>
          </cell>
          <cell r="T82">
            <v>4.5552246449857496E-2</v>
          </cell>
          <cell r="U82">
            <v>3.5505679862123427E-2</v>
          </cell>
        </row>
        <row r="83">
          <cell r="A83" t="str">
            <v>Emerging market debt</v>
          </cell>
          <cell r="B83">
            <v>1.6180596839274166E-2</v>
          </cell>
          <cell r="R83" t="str">
            <v>Emerging market debt</v>
          </cell>
          <cell r="S83">
            <v>5.6764861630027308E-3</v>
          </cell>
          <cell r="T83">
            <v>1.0504110676271435E-2</v>
          </cell>
          <cell r="U83">
            <v>7.8986671797606212E-3</v>
          </cell>
        </row>
        <row r="84">
          <cell r="A84" t="str">
            <v>Aandelen ontwikkeld</v>
          </cell>
          <cell r="B84">
            <v>1.6946947243372027E-3</v>
          </cell>
          <cell r="R84" t="str">
            <v>Aandelen ontwikkeld</v>
          </cell>
          <cell r="S84">
            <v>2.6526515614317753E-4</v>
          </cell>
          <cell r="T84">
            <v>1.4294295681940251E-3</v>
          </cell>
          <cell r="U84">
            <v>7.6412078842370834E-4</v>
          </cell>
        </row>
        <row r="85">
          <cell r="A85" t="str">
            <v>Aandelen opkomend</v>
          </cell>
          <cell r="B85">
            <v>2.5254391686127226E-2</v>
          </cell>
          <cell r="R85" t="str">
            <v>Aandelen opkomend</v>
          </cell>
          <cell r="S85">
            <v>1.0406197405009143E-2</v>
          </cell>
          <cell r="T85">
            <v>1.4848194281118082E-2</v>
          </cell>
          <cell r="U85">
            <v>1.0451153245888245E-2</v>
          </cell>
        </row>
        <row r="86">
          <cell r="A86" t="str">
            <v>Commodities</v>
          </cell>
          <cell r="B86">
            <v>0.19937901187906307</v>
          </cell>
          <cell r="R86" t="str">
            <v>Commodities</v>
          </cell>
          <cell r="S86">
            <v>0.18484038086021393</v>
          </cell>
          <cell r="T86">
            <v>1.4538631018849141E-2</v>
          </cell>
          <cell r="U86">
            <v>1.6290792499770418E-2</v>
          </cell>
        </row>
        <row r="87">
          <cell r="A87" t="str">
            <v>Hedge funds</v>
          </cell>
          <cell r="B87">
            <v>2.549361968294718E-2</v>
          </cell>
          <cell r="R87" t="str">
            <v>Hedge funds</v>
          </cell>
          <cell r="S87">
            <v>1.0498635837818742E-2</v>
          </cell>
          <cell r="T87">
            <v>1.4994983845128438E-2</v>
          </cell>
          <cell r="U87">
            <v>1.0453162302715389E-2</v>
          </cell>
        </row>
        <row r="88">
          <cell r="A88" t="str">
            <v>Onroerend goed</v>
          </cell>
          <cell r="B88">
            <v>4.0039560743981373E-3</v>
          </cell>
          <cell r="R88" t="str">
            <v>Onroerend goed</v>
          </cell>
          <cell r="S88">
            <v>1.1170785589746234E-3</v>
          </cell>
          <cell r="T88">
            <v>2.8868775154235141E-3</v>
          </cell>
          <cell r="U88">
            <v>1.6099696953074429E-3</v>
          </cell>
        </row>
      </sheetData>
      <sheetData sheetId="6">
        <row r="74">
          <cell r="Q74" t="str">
            <v>High Yield</v>
          </cell>
          <cell r="R74">
            <v>9.5304615523685604E-2</v>
          </cell>
          <cell r="S74">
            <v>0.14047239975423068</v>
          </cell>
          <cell r="T74">
            <v>0.13510486839856617</v>
          </cell>
        </row>
        <row r="75">
          <cell r="Q75" t="str">
            <v>Emerging market debt</v>
          </cell>
          <cell r="R75">
            <v>1.0080629740565394E-2</v>
          </cell>
          <cell r="S75">
            <v>3.5081060368993576E-2</v>
          </cell>
          <cell r="T75">
            <v>3.4737076271140803E-2</v>
          </cell>
        </row>
        <row r="76">
          <cell r="Q76" t="str">
            <v>Aandelen ontwikkeld</v>
          </cell>
          <cell r="R76">
            <v>3.1098054798629564E-4</v>
          </cell>
          <cell r="S76">
            <v>4.4346199654253073E-3</v>
          </cell>
          <cell r="T76">
            <v>5.1868663386499597E-3</v>
          </cell>
        </row>
        <row r="77">
          <cell r="Q77" t="str">
            <v>Aandelen opkomend</v>
          </cell>
          <cell r="R77">
            <v>1.521987083539175E-2</v>
          </cell>
          <cell r="S77">
            <v>5.6345519071045708E-2</v>
          </cell>
          <cell r="T77">
            <v>5.5521269307930998E-2</v>
          </cell>
        </row>
        <row r="78">
          <cell r="Q78" t="str">
            <v>Commodities</v>
          </cell>
          <cell r="R78">
            <v>0.45501853734259429</v>
          </cell>
          <cell r="S78">
            <v>0.10624086070589217</v>
          </cell>
          <cell r="T78">
            <v>0.10838077196627249</v>
          </cell>
        </row>
        <row r="79">
          <cell r="Q79" t="str">
            <v>Hedge funds</v>
          </cell>
          <cell r="R79">
            <v>1.9868438206004254E-2</v>
          </cell>
          <cell r="S79">
            <v>5.0407663468918618E-2</v>
          </cell>
          <cell r="T79">
            <v>5.1161979778295952E-2</v>
          </cell>
        </row>
        <row r="80">
          <cell r="Q80" t="str">
            <v>Onroerend goed</v>
          </cell>
          <cell r="R80">
            <v>1.7409154601443391E-3</v>
          </cell>
          <cell r="S80">
            <v>9.4738890091217564E-3</v>
          </cell>
          <cell r="T80">
            <v>1.0694456382009851E-2</v>
          </cell>
        </row>
      </sheetData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</sheetData>
      <sheetData sheetId="1">
        <row r="47">
          <cell r="B47" t="str">
            <v>Matching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P54" sqref="P54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77" t="s">
        <v>93</v>
      </c>
      <c r="D1" s="377"/>
      <c r="E1" s="378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299">
        <v>0</v>
      </c>
      <c r="D3" s="218">
        <v>1</v>
      </c>
      <c r="E3" s="145">
        <v>0.99</v>
      </c>
      <c r="F3" s="144">
        <f>'Samenvatting mixen'!B81</f>
        <v>0.63884131311996284</v>
      </c>
      <c r="G3" s="144">
        <f>+F3-B3</f>
        <v>8.332128654832538E-2</v>
      </c>
      <c r="H3" s="301"/>
    </row>
    <row r="4" spans="1:24">
      <c r="A4" s="143" t="str">
        <f>Scenarios!A5</f>
        <v>High Yield</v>
      </c>
      <c r="B4" s="218">
        <v>9.7772401711769694E-2</v>
      </c>
      <c r="C4" s="299">
        <v>0</v>
      </c>
      <c r="D4" s="358">
        <v>1</v>
      </c>
      <c r="E4" s="145">
        <v>0.99</v>
      </c>
      <c r="F4" s="144">
        <f>'Samenvatting mixen'!B82</f>
        <v>8.9152415993890524E-2</v>
      </c>
      <c r="G4" s="144">
        <f t="shared" ref="G4:G10" si="0">+F4-B4</f>
        <v>-8.6199857178791695E-3</v>
      </c>
      <c r="H4" s="302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299">
        <v>0</v>
      </c>
      <c r="D5" s="218">
        <v>1</v>
      </c>
      <c r="E5" s="145">
        <v>0.99</v>
      </c>
      <c r="F5" s="144">
        <f>'Samenvatting mixen'!B83</f>
        <v>1.6180596839274166E-2</v>
      </c>
      <c r="G5" s="144">
        <f t="shared" si="0"/>
        <v>-7.8582594694136032E-2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58">
        <v>0.10281340879516217</v>
      </c>
      <c r="C6" s="299">
        <v>0</v>
      </c>
      <c r="D6" s="358">
        <v>1</v>
      </c>
      <c r="E6" s="145">
        <v>0.99</v>
      </c>
      <c r="F6" s="144">
        <f>'Samenvatting mixen'!B84</f>
        <v>1.6946947243372027E-3</v>
      </c>
      <c r="G6" s="144">
        <f t="shared" si="0"/>
        <v>-0.10111871407082497</v>
      </c>
      <c r="H6" s="301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58">
        <v>5.1014363077869621E-2</v>
      </c>
      <c r="C7" s="299">
        <v>0</v>
      </c>
      <c r="D7" s="358">
        <v>1</v>
      </c>
      <c r="E7" s="145">
        <v>0.99</v>
      </c>
      <c r="F7" s="144">
        <f>'Samenvatting mixen'!B85</f>
        <v>2.5254391686127226E-2</v>
      </c>
      <c r="G7" s="144">
        <f t="shared" si="0"/>
        <v>-2.5759971391742395E-2</v>
      </c>
      <c r="H7" s="301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358">
        <v>2.0731266317763185E-2</v>
      </c>
      <c r="C8" s="299">
        <v>0</v>
      </c>
      <c r="D8" s="358">
        <v>1</v>
      </c>
      <c r="E8" s="145">
        <v>0.99</v>
      </c>
      <c r="F8" s="144">
        <f>'Samenvatting mixen'!B86</f>
        <v>0.19937901187906307</v>
      </c>
      <c r="G8" s="144">
        <f t="shared" si="0"/>
        <v>0.17864774556129989</v>
      </c>
      <c r="H8" s="301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299">
        <v>0</v>
      </c>
      <c r="D9" s="358">
        <v>1</v>
      </c>
      <c r="E9" s="145">
        <v>0.99</v>
      </c>
      <c r="F9" s="144">
        <f>'Samenvatting mixen'!B87</f>
        <v>2.549361968294718E-2</v>
      </c>
      <c r="G9" s="144">
        <f t="shared" si="0"/>
        <v>-5.1412488327470807E-3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0">
        <v>0</v>
      </c>
      <c r="D10" s="219">
        <v>1</v>
      </c>
      <c r="E10" s="147">
        <v>0.99</v>
      </c>
      <c r="F10" s="146">
        <f>'Samenvatting mixen'!B88</f>
        <v>4.0039560743981373E-3</v>
      </c>
      <c r="G10" s="146">
        <f t="shared" si="0"/>
        <v>-4.2746517402295389E-2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9.8976863778565766E-2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9.982328688488358E-2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9" t="s">
        <v>98</v>
      </c>
      <c r="C200" s="377"/>
      <c r="D200" s="377"/>
      <c r="E200" s="378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F51" sqref="F5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81" t="s">
        <v>117</v>
      </c>
      <c r="F2" s="381"/>
      <c r="G2" s="381"/>
      <c r="H2" s="381"/>
      <c r="I2" s="381"/>
      <c r="J2" s="381"/>
      <c r="K2" s="381"/>
      <c r="L2" s="382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0"/>
      <c r="H17" s="380"/>
      <c r="I17" s="380"/>
      <c r="J17" s="380"/>
    </row>
    <row r="18" spans="1:24">
      <c r="D18" s="98"/>
      <c r="E18" s="98"/>
      <c r="S18" s="84"/>
      <c r="T18" s="380"/>
      <c r="U18" s="380"/>
      <c r="V18" s="380"/>
      <c r="W18" s="380"/>
      <c r="X18" s="380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+SUMPRODUCT(B24:H24,$B$33:$H$33)</f>
        <v>0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59">
        <v>3.2492969125133414E-2</v>
      </c>
      <c r="D25" s="359">
        <v>-8.65324500372157E-2</v>
      </c>
      <c r="E25" s="359">
        <v>5.1526244290784291E-2</v>
      </c>
      <c r="F25" s="359">
        <v>-0.43934344866388231</v>
      </c>
      <c r="G25" s="359">
        <v>-0.41627425662388229</v>
      </c>
      <c r="H25" s="360">
        <v>0.27529934429078429</v>
      </c>
      <c r="I25" s="178">
        <f t="shared" ref="I25:I31" si="1">+SUMPRODUCT(B25:H25,$B$33:$H$33)</f>
        <v>0.03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359">
        <v>1.45681608513176E-2</v>
      </c>
      <c r="D26" s="359">
        <v>-2.1111513867647543E-2</v>
      </c>
      <c r="E26" s="359">
        <v>3.2357333960853253E-3</v>
      </c>
      <c r="F26" s="359">
        <v>-0.41802644813429485</v>
      </c>
      <c r="G26" s="359">
        <v>-0.17149574156312622</v>
      </c>
      <c r="H26" s="360">
        <v>0.25817653707968463</v>
      </c>
      <c r="I26" s="178">
        <f t="shared" si="1"/>
        <v>3.1398195419985959E-2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359">
        <v>-1.272492445230269E-2</v>
      </c>
      <c r="D27" s="359">
        <v>-0.19311368459773193</v>
      </c>
      <c r="E27" s="359">
        <v>6.8398505331446036E-2</v>
      </c>
      <c r="F27" s="359">
        <v>-0.5992014650452413</v>
      </c>
      <c r="G27" s="359">
        <v>-0.47126055414190038</v>
      </c>
      <c r="H27" s="360">
        <v>0.40935864013329615</v>
      </c>
      <c r="I27" s="178">
        <f t="shared" si="1"/>
        <v>5.6592124614748239E-2</v>
      </c>
      <c r="J27" s="76"/>
    </row>
    <row r="28" spans="1:24">
      <c r="A28" s="18" t="s">
        <v>8</v>
      </c>
      <c r="B28" s="21">
        <f t="shared" si="0"/>
        <v>5.6149706770970371E-2</v>
      </c>
      <c r="C28" s="359">
        <v>5.7893485302571407E-2</v>
      </c>
      <c r="D28" s="359">
        <v>-6.9261756645690273E-2</v>
      </c>
      <c r="E28" s="359">
        <v>7.3553356497680716E-2</v>
      </c>
      <c r="F28" s="359">
        <v>-0.42661422498990775</v>
      </c>
      <c r="G28" s="359">
        <v>-0.26558788944909251</v>
      </c>
      <c r="H28" s="360">
        <v>0.37672139820686834</v>
      </c>
      <c r="I28" s="178">
        <f t="shared" si="1"/>
        <v>5.6149706770970371E-2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359">
        <v>9.5036056352725468E-2</v>
      </c>
      <c r="D29" s="359">
        <v>1.202667991596415E-2</v>
      </c>
      <c r="E29" s="359">
        <v>8.5249207175964209E-2</v>
      </c>
      <c r="F29" s="359">
        <v>-0.52128297967070236</v>
      </c>
      <c r="G29" s="359">
        <v>-0.54077311463070243</v>
      </c>
      <c r="H29" s="360">
        <v>0.621322616702631</v>
      </c>
      <c r="I29" s="178">
        <f t="shared" si="1"/>
        <v>5.16958277280853E-2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359">
        <v>1.8730269708989476E-2</v>
      </c>
      <c r="D30" s="359">
        <v>-4.6790508294452839E-2</v>
      </c>
      <c r="E30" s="359">
        <v>1.8099625028703631E-2</v>
      </c>
      <c r="F30" s="359">
        <v>-0.25630468560846492</v>
      </c>
      <c r="G30" s="359">
        <v>-6.931471876793301E-3</v>
      </c>
      <c r="H30" s="360">
        <v>0.28021842301080391</v>
      </c>
      <c r="I30" s="178">
        <f t="shared" si="1"/>
        <v>2.8296106893951258E-2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361">
        <v>-5.9825766089863959E-3</v>
      </c>
      <c r="D31" s="361">
        <v>-0.13956067047136589</v>
      </c>
      <c r="E31" s="361">
        <v>2.7964399001126676E-2</v>
      </c>
      <c r="F31" s="361">
        <v>-0.45200242221105646</v>
      </c>
      <c r="G31" s="361">
        <v>-0.48031312669988807</v>
      </c>
      <c r="H31" s="362">
        <v>0.41038049782760322</v>
      </c>
      <c r="I31" s="364">
        <f t="shared" si="1"/>
        <v>3.9623116873055711E-2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1</v>
      </c>
      <c r="C33" s="290">
        <f>Optimalisatie!C13</f>
        <v>0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2.1902060143614423E-2</v>
      </c>
      <c r="D35" s="303">
        <f>SUMPRODUCT(D24:D31,'Control panel'!$F$3:$F$10)</f>
        <v>-1.0173873121557951E-2</v>
      </c>
      <c r="E35" s="303">
        <f>SUMPRODUCT(E24:E31,'Control panel'!$F$3:$F$10)</f>
        <v>2.2006249517185879E-2</v>
      </c>
      <c r="F35" s="303">
        <f>SUMPRODUCT(F24:F31,'Control panel'!$F$3:$F$10)</f>
        <v>-0.18642983852989264</v>
      </c>
      <c r="G35" s="303">
        <f>SUMPRODUCT(G24:G31,'Control panel'!$F$3:$F$10)</f>
        <v>-0.32524721751339963</v>
      </c>
      <c r="H35" s="303">
        <f>SUMPRODUCT(H24:H31,'Control panel'!$F$3:$F$10)</f>
        <v>0.16952178948964705</v>
      </c>
      <c r="I35" s="305">
        <f>SUMPRODUCT(I24:I31,'Control panel'!$F$3:$F$10)</f>
        <v>1.5883629542115963E-2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C4" sqref="C4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4" t="s">
        <v>3</v>
      </c>
      <c r="E3" s="384"/>
      <c r="F3" s="384"/>
      <c r="G3" s="384"/>
      <c r="H3" s="384"/>
      <c r="I3" s="384"/>
      <c r="J3" s="384"/>
      <c r="K3" s="385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3" t="s">
        <v>3</v>
      </c>
      <c r="E14" s="384"/>
      <c r="F14" s="384"/>
      <c r="G14" s="384"/>
      <c r="H14" s="384"/>
      <c r="I14" s="384"/>
      <c r="J14" s="384"/>
      <c r="K14" s="385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9.5036056352725468E-2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3" t="s">
        <v>3</v>
      </c>
      <c r="E25" s="384"/>
      <c r="F25" s="384"/>
      <c r="G25" s="384"/>
      <c r="H25" s="384"/>
      <c r="I25" s="384"/>
      <c r="J25" s="384"/>
      <c r="K25" s="385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3" t="s">
        <v>3</v>
      </c>
      <c r="E36" s="384"/>
      <c r="F36" s="384"/>
      <c r="G36" s="384"/>
      <c r="H36" s="384"/>
      <c r="I36" s="384"/>
      <c r="J36" s="384"/>
      <c r="K36" s="385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6.8398505331446036E-2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7.3553356497680716E-2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1.8099625028703631E-2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86" t="s">
        <v>3</v>
      </c>
      <c r="E47" s="387"/>
      <c r="F47" s="387"/>
      <c r="G47" s="387"/>
      <c r="H47" s="387"/>
      <c r="I47" s="387"/>
      <c r="J47" s="387"/>
      <c r="K47" s="388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3" t="s">
        <v>3</v>
      </c>
      <c r="E58" s="384"/>
      <c r="F58" s="384"/>
      <c r="G58" s="384"/>
      <c r="H58" s="384"/>
      <c r="I58" s="384"/>
      <c r="J58" s="384"/>
      <c r="K58" s="385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3" t="s">
        <v>3</v>
      </c>
      <c r="E69" s="384"/>
      <c r="F69" s="384"/>
      <c r="G69" s="384"/>
      <c r="H69" s="384"/>
      <c r="I69" s="384"/>
      <c r="J69" s="384"/>
      <c r="K69" s="385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G34" sqref="G34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9" t="s">
        <v>16</v>
      </c>
      <c r="D2" s="390"/>
      <c r="E2" s="391" t="s">
        <v>17</v>
      </c>
      <c r="F2" s="392"/>
      <c r="G2" s="393" t="s">
        <v>33</v>
      </c>
      <c r="H2" s="394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I40" sqref="I40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1</v>
      </c>
      <c r="C13" s="261">
        <v>0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9.982328688488358E-2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9.982328688488358E-2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9.982328688488358E-2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9.982328688488358E-2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9.982328688488358E-2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9.982328688488358E-2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9.982328688488358E-2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9.982328688488358E-2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tabSelected="1" workbookViewId="0">
      <selection activeCell="D36" sqref="D36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65" t="s">
        <v>149</v>
      </c>
      <c r="C2" s="366" t="s">
        <v>150</v>
      </c>
    </row>
    <row r="3" spans="1:17" ht="15.75" thickBot="1">
      <c r="A3" s="206" t="s">
        <v>151</v>
      </c>
      <c r="B3" s="367">
        <v>0.1</v>
      </c>
      <c r="C3" s="368">
        <v>0.2</v>
      </c>
    </row>
    <row r="5" spans="1:17" ht="15.75" thickBot="1"/>
    <row r="6" spans="1:17" ht="15.75" thickBot="1">
      <c r="A6" s="369" t="s">
        <v>152</v>
      </c>
      <c r="B6" s="370">
        <v>10</v>
      </c>
    </row>
    <row r="7" spans="1:17" ht="15.75" thickBot="1">
      <c r="A7" s="369" t="s">
        <v>164</v>
      </c>
      <c r="B7" s="370">
        <v>8</v>
      </c>
    </row>
    <row r="8" spans="1:17" ht="15.75" thickBot="1">
      <c r="A8" s="79"/>
    </row>
    <row r="9" spans="1:17" ht="15.75" thickBot="1">
      <c r="A9" s="371"/>
      <c r="B9" s="291" t="s">
        <v>30</v>
      </c>
      <c r="C9" s="291" t="s">
        <v>48</v>
      </c>
      <c r="G9" s="369" t="s">
        <v>153</v>
      </c>
      <c r="H9" s="369" t="s">
        <v>154</v>
      </c>
      <c r="I9" s="369" t="s">
        <v>155</v>
      </c>
      <c r="J9" s="369" t="s">
        <v>156</v>
      </c>
      <c r="K9" s="369" t="s">
        <v>157</v>
      </c>
      <c r="L9" s="369" t="s">
        <v>158</v>
      </c>
      <c r="M9" s="369" t="s">
        <v>159</v>
      </c>
      <c r="N9" s="369" t="s">
        <v>160</v>
      </c>
      <c r="O9" s="369" t="s">
        <v>161</v>
      </c>
      <c r="P9" s="369" t="s">
        <v>162</v>
      </c>
      <c r="Q9" s="369" t="s">
        <v>163</v>
      </c>
    </row>
    <row r="10" spans="1:17">
      <c r="A10" s="14" t="s">
        <v>4</v>
      </c>
      <c r="B10" s="373">
        <f>Scenarios!I24</f>
        <v>0</v>
      </c>
      <c r="C10" s="15">
        <v>0</v>
      </c>
      <c r="F10" s="372" t="s">
        <v>4</v>
      </c>
      <c r="G10" s="372">
        <v>0</v>
      </c>
      <c r="H10" s="372">
        <v>0</v>
      </c>
      <c r="I10" s="372">
        <v>0</v>
      </c>
      <c r="J10" s="372">
        <v>0</v>
      </c>
      <c r="K10" s="372">
        <v>0</v>
      </c>
      <c r="L10" s="372">
        <v>0</v>
      </c>
      <c r="M10" s="372">
        <v>0</v>
      </c>
      <c r="N10" s="372">
        <v>0</v>
      </c>
      <c r="O10" s="372">
        <v>0</v>
      </c>
      <c r="P10" s="372">
        <v>0</v>
      </c>
      <c r="Q10" s="372">
        <v>0</v>
      </c>
    </row>
    <row r="11" spans="1:17">
      <c r="A11" s="18" t="s">
        <v>5</v>
      </c>
      <c r="B11" s="373">
        <f>Scenarios!I25</f>
        <v>0.03</v>
      </c>
      <c r="C11" s="19">
        <v>0</v>
      </c>
      <c r="F11" s="373" t="s">
        <v>5</v>
      </c>
      <c r="G11" s="373">
        <v>0.03</v>
      </c>
      <c r="H11" s="373">
        <v>0.03</v>
      </c>
      <c r="I11" s="373">
        <v>0.03</v>
      </c>
      <c r="J11" s="373">
        <v>0.03</v>
      </c>
      <c r="K11" s="373">
        <v>0.03</v>
      </c>
      <c r="L11" s="373">
        <v>0.03</v>
      </c>
      <c r="M11" s="373">
        <v>0.03</v>
      </c>
      <c r="N11" s="373">
        <v>0.03</v>
      </c>
      <c r="O11" s="373">
        <v>0.03</v>
      </c>
      <c r="P11" s="373">
        <v>0.03</v>
      </c>
      <c r="Q11" s="373">
        <v>0.03</v>
      </c>
    </row>
    <row r="12" spans="1:17">
      <c r="A12" s="18" t="s">
        <v>6</v>
      </c>
      <c r="B12" s="373">
        <f>Scenarios!I26</f>
        <v>3.1398195419985959E-2</v>
      </c>
      <c r="C12" s="19">
        <v>0</v>
      </c>
      <c r="F12" s="373" t="s">
        <v>6</v>
      </c>
      <c r="G12" s="373">
        <v>3.1398195419985959E-2</v>
      </c>
      <c r="H12" s="373">
        <v>3.1398195419985959E-2</v>
      </c>
      <c r="I12" s="373">
        <v>3.1398195419985959E-2</v>
      </c>
      <c r="J12" s="373">
        <v>3.1398195419985959E-2</v>
      </c>
      <c r="K12" s="373">
        <v>3.1398195419985959E-2</v>
      </c>
      <c r="L12" s="373">
        <v>3.1398195419985959E-2</v>
      </c>
      <c r="M12" s="373">
        <v>3.1398195419985959E-2</v>
      </c>
      <c r="N12" s="373">
        <v>3.1398195419985959E-2</v>
      </c>
      <c r="O12" s="373">
        <v>3.1398195419985959E-2</v>
      </c>
      <c r="P12" s="373">
        <v>3.1398195419985959E-2</v>
      </c>
      <c r="Q12" s="373">
        <v>3.1398195419985959E-2</v>
      </c>
    </row>
    <row r="13" spans="1:17">
      <c r="A13" s="18" t="s">
        <v>7</v>
      </c>
      <c r="B13" s="373">
        <f>Scenarios!I27</f>
        <v>5.6592124614748239E-2</v>
      </c>
      <c r="C13" s="19">
        <v>0</v>
      </c>
      <c r="F13" s="373" t="s">
        <v>7</v>
      </c>
      <c r="G13" s="373">
        <v>0.1</v>
      </c>
      <c r="H13" s="373">
        <v>0.11</v>
      </c>
      <c r="I13" s="373">
        <v>0.12000000000000001</v>
      </c>
      <c r="J13" s="373">
        <v>0.13</v>
      </c>
      <c r="K13" s="373">
        <v>0.14000000000000001</v>
      </c>
      <c r="L13" s="373">
        <v>0.15</v>
      </c>
      <c r="M13" s="373">
        <v>0.16</v>
      </c>
      <c r="N13" s="373">
        <v>0.17</v>
      </c>
      <c r="O13" s="373">
        <v>0.18</v>
      </c>
      <c r="P13" s="373">
        <v>0.19</v>
      </c>
      <c r="Q13" s="373">
        <v>0.2</v>
      </c>
    </row>
    <row r="14" spans="1:17">
      <c r="A14" s="18" t="s">
        <v>8</v>
      </c>
      <c r="B14" s="373">
        <f>Scenarios!I28</f>
        <v>5.6149706770970371E-2</v>
      </c>
      <c r="C14" s="19">
        <v>1</v>
      </c>
      <c r="F14" s="373" t="s">
        <v>8</v>
      </c>
      <c r="G14" s="373">
        <v>0.1</v>
      </c>
      <c r="H14" s="373">
        <v>0.11</v>
      </c>
      <c r="I14" s="373">
        <v>0.12000000000000001</v>
      </c>
      <c r="J14" s="373">
        <v>0.13</v>
      </c>
      <c r="K14" s="373">
        <v>0.14000000000000001</v>
      </c>
      <c r="L14" s="373">
        <v>0.15</v>
      </c>
      <c r="M14" s="373">
        <v>0.16</v>
      </c>
      <c r="N14" s="373">
        <v>0.17</v>
      </c>
      <c r="O14" s="373">
        <v>0.18</v>
      </c>
      <c r="P14" s="373">
        <v>0.19</v>
      </c>
      <c r="Q14" s="373">
        <v>0.2</v>
      </c>
    </row>
    <row r="15" spans="1:17">
      <c r="A15" s="18" t="s">
        <v>9</v>
      </c>
      <c r="B15" s="373">
        <f>Scenarios!I29</f>
        <v>5.16958277280853E-2</v>
      </c>
      <c r="C15" s="19">
        <v>0</v>
      </c>
      <c r="F15" s="373" t="s">
        <v>9</v>
      </c>
      <c r="G15" s="373">
        <v>5.16958277280853E-2</v>
      </c>
      <c r="H15" s="373">
        <v>5.16958277280853E-2</v>
      </c>
      <c r="I15" s="373">
        <v>5.16958277280853E-2</v>
      </c>
      <c r="J15" s="373">
        <v>5.16958277280853E-2</v>
      </c>
      <c r="K15" s="373">
        <v>5.16958277280853E-2</v>
      </c>
      <c r="L15" s="373">
        <v>5.16958277280853E-2</v>
      </c>
      <c r="M15" s="373">
        <v>5.16958277280853E-2</v>
      </c>
      <c r="N15" s="373">
        <v>5.16958277280853E-2</v>
      </c>
      <c r="O15" s="373">
        <v>5.16958277280853E-2</v>
      </c>
      <c r="P15" s="373">
        <v>5.16958277280853E-2</v>
      </c>
      <c r="Q15" s="373">
        <v>5.16958277280853E-2</v>
      </c>
    </row>
    <row r="16" spans="1:17">
      <c r="A16" s="18" t="s">
        <v>10</v>
      </c>
      <c r="B16" s="373">
        <f>Scenarios!I30</f>
        <v>2.8296106893951258E-2</v>
      </c>
      <c r="C16" s="19">
        <v>0</v>
      </c>
      <c r="F16" s="373" t="s">
        <v>10</v>
      </c>
      <c r="G16" s="373">
        <v>2.8296106893951258E-2</v>
      </c>
      <c r="H16" s="373">
        <v>2.8296106893951258E-2</v>
      </c>
      <c r="I16" s="373">
        <v>2.8296106893951258E-2</v>
      </c>
      <c r="J16" s="373">
        <v>2.8296106893951258E-2</v>
      </c>
      <c r="K16" s="373">
        <v>2.8296106893951258E-2</v>
      </c>
      <c r="L16" s="373">
        <v>2.8296106893951258E-2</v>
      </c>
      <c r="M16" s="373">
        <v>2.8296106893951258E-2</v>
      </c>
      <c r="N16" s="373">
        <v>2.8296106893951258E-2</v>
      </c>
      <c r="O16" s="373">
        <v>2.8296106893951258E-2</v>
      </c>
      <c r="P16" s="373">
        <v>2.8296106893951258E-2</v>
      </c>
      <c r="Q16" s="373">
        <v>2.8296106893951258E-2</v>
      </c>
    </row>
    <row r="17" spans="1:17" ht="15.75" thickBot="1">
      <c r="A17" s="374" t="s">
        <v>11</v>
      </c>
      <c r="B17" s="373">
        <f>Scenarios!I31</f>
        <v>3.9623116873055711E-2</v>
      </c>
      <c r="C17" s="376">
        <v>0</v>
      </c>
      <c r="F17" s="375" t="s">
        <v>11</v>
      </c>
      <c r="G17" s="375">
        <v>3.9623116873055711E-2</v>
      </c>
      <c r="H17" s="375">
        <v>3.9623116873055711E-2</v>
      </c>
      <c r="I17" s="375">
        <v>3.9623116873055711E-2</v>
      </c>
      <c r="J17" s="375">
        <v>3.9623116873055711E-2</v>
      </c>
      <c r="K17" s="375">
        <v>3.9623116873055711E-2</v>
      </c>
      <c r="L17" s="375">
        <v>3.9623116873055711E-2</v>
      </c>
      <c r="M17" s="375">
        <v>3.9623116873055711E-2</v>
      </c>
      <c r="N17" s="375">
        <v>3.9623116873055711E-2</v>
      </c>
      <c r="O17" s="375">
        <v>3.9623116873055711E-2</v>
      </c>
      <c r="P17" s="375">
        <v>3.9623116873055711E-2</v>
      </c>
      <c r="Q17" s="375">
        <v>3.9623116873055711E-2</v>
      </c>
    </row>
    <row r="20" spans="1:17" ht="15.75" thickBot="1"/>
    <row r="21" spans="1:17">
      <c r="F21" s="372"/>
      <c r="G21" s="72">
        <v>0.64830585599218105</v>
      </c>
      <c r="H21" s="72">
        <v>0.65273119272685742</v>
      </c>
      <c r="I21" s="72">
        <v>0.65602475272254301</v>
      </c>
      <c r="J21" s="72">
        <v>0.65869864752261875</v>
      </c>
      <c r="K21" s="72">
        <v>0.65980949157446445</v>
      </c>
      <c r="L21" s="72">
        <v>0.66277145171705465</v>
      </c>
      <c r="M21" s="72">
        <v>0.66379830340209134</v>
      </c>
      <c r="N21" s="72">
        <v>0.6644652200310095</v>
      </c>
      <c r="O21" s="72">
        <v>0.66679746380970761</v>
      </c>
      <c r="P21" s="72">
        <v>0.66765118047510918</v>
      </c>
      <c r="Q21" s="72">
        <v>0.66803748118421447</v>
      </c>
    </row>
    <row r="22" spans="1:17">
      <c r="F22" s="373"/>
      <c r="G22" s="72">
        <v>2.2417195533197348E-2</v>
      </c>
      <c r="H22" s="72">
        <v>2.1877387556514548E-2</v>
      </c>
      <c r="I22" s="72">
        <v>1.9651672407697902E-2</v>
      </c>
      <c r="J22" s="72">
        <v>1.7211827038446221E-2</v>
      </c>
      <c r="K22" s="72">
        <v>1.7128429546077049E-2</v>
      </c>
      <c r="L22" s="72">
        <v>1.496412147426658E-2</v>
      </c>
      <c r="M22" s="72">
        <v>1.4433948409661088E-2</v>
      </c>
      <c r="N22" s="72">
        <v>1.4175394238207439E-2</v>
      </c>
      <c r="O22" s="72">
        <v>1.2850736231164582E-2</v>
      </c>
      <c r="P22" s="72">
        <v>1.2316400522307182E-2</v>
      </c>
      <c r="Q22" s="72">
        <v>1.3443926482220295E-2</v>
      </c>
    </row>
    <row r="23" spans="1:17">
      <c r="F23" s="373"/>
      <c r="G23" s="72">
        <v>2.0773596052931689E-2</v>
      </c>
      <c r="H23" s="72">
        <v>1.7160310851450492E-2</v>
      </c>
      <c r="I23" s="72">
        <v>1.6571293975728433E-2</v>
      </c>
      <c r="J23" s="72">
        <v>1.5561125798495114E-2</v>
      </c>
      <c r="K23" s="72">
        <v>1.4413903107230029E-2</v>
      </c>
      <c r="L23" s="72">
        <v>1.33138972447201E-2</v>
      </c>
      <c r="M23" s="72">
        <v>1.1314358285879181E-2</v>
      </c>
      <c r="N23" s="72">
        <v>1.2791809385989563E-2</v>
      </c>
      <c r="O23" s="72">
        <v>1.134624256979188E-2</v>
      </c>
      <c r="P23" s="72">
        <v>1.0650196350221497E-2</v>
      </c>
      <c r="Q23" s="72">
        <v>1.0285811755654276E-2</v>
      </c>
    </row>
    <row r="24" spans="1:17">
      <c r="F24" s="373"/>
      <c r="G24" s="72">
        <v>0.16317941014349474</v>
      </c>
      <c r="H24" s="72">
        <v>0.16883653460470924</v>
      </c>
      <c r="I24" s="72">
        <v>0.16714624190663308</v>
      </c>
      <c r="J24" s="72">
        <v>0.16680251147610914</v>
      </c>
      <c r="K24" s="72">
        <v>0.17133500731815415</v>
      </c>
      <c r="L24" s="72">
        <v>0.17395497094172371</v>
      </c>
      <c r="M24" s="72">
        <v>0.16941595802547008</v>
      </c>
      <c r="N24" s="72">
        <v>0.17553803930492179</v>
      </c>
      <c r="O24" s="72">
        <v>0.17785139847987366</v>
      </c>
      <c r="P24" s="72">
        <v>0.17722197789919703</v>
      </c>
      <c r="Q24" s="72">
        <v>0.17289910384310514</v>
      </c>
    </row>
    <row r="25" spans="1:17">
      <c r="F25" s="373"/>
      <c r="G25" s="72">
        <v>0.10352241326570276</v>
      </c>
      <c r="H25" s="72">
        <v>0.10181431096499875</v>
      </c>
      <c r="I25" s="72">
        <v>0.10714110082044621</v>
      </c>
      <c r="J25" s="72">
        <v>0.10975985621037677</v>
      </c>
      <c r="K25" s="72">
        <v>0.10710815096721689</v>
      </c>
      <c r="L25" s="72">
        <v>0.10706555047559994</v>
      </c>
      <c r="M25" s="72">
        <v>0.11316715472441648</v>
      </c>
      <c r="N25" s="72">
        <v>0.10732317293591319</v>
      </c>
      <c r="O25" s="72">
        <v>0.10735685290109741</v>
      </c>
      <c r="P25" s="72">
        <v>0.10930120135970697</v>
      </c>
      <c r="Q25" s="72">
        <v>0.11305503270308218</v>
      </c>
    </row>
    <row r="26" spans="1:17">
      <c r="F26" s="373"/>
      <c r="G26" s="72">
        <v>6.2584709688595528E-3</v>
      </c>
      <c r="H26" s="72">
        <v>5.6303328056901804E-3</v>
      </c>
      <c r="I26" s="72">
        <v>5.1353393951497567E-3</v>
      </c>
      <c r="J26" s="72">
        <v>4.5271875918509565E-3</v>
      </c>
      <c r="K26" s="72">
        <v>4.2346645973486592E-3</v>
      </c>
      <c r="L26" s="72">
        <v>4.0772364076044473E-3</v>
      </c>
      <c r="M26" s="72">
        <v>3.5364000513237589E-3</v>
      </c>
      <c r="N26" s="72">
        <v>3.6807698358501907E-3</v>
      </c>
      <c r="O26" s="72">
        <v>3.3736688961760754E-3</v>
      </c>
      <c r="P26" s="72">
        <v>3.2667487711065747E-3</v>
      </c>
      <c r="Q26" s="72">
        <v>3.2827382125600749E-3</v>
      </c>
    </row>
    <row r="27" spans="1:17">
      <c r="F27" s="373"/>
      <c r="G27" s="72">
        <v>2.4135614482784295E-2</v>
      </c>
      <c r="H27" s="72">
        <v>2.0492784918044883E-2</v>
      </c>
      <c r="I27" s="72">
        <v>1.8409497329581491E-2</v>
      </c>
      <c r="J27" s="72">
        <v>1.7645171061335903E-2</v>
      </c>
      <c r="K27" s="72">
        <v>1.7335016592853265E-2</v>
      </c>
      <c r="L27" s="72">
        <v>1.5359149081788362E-2</v>
      </c>
      <c r="M27" s="72">
        <v>1.6557107249191218E-2</v>
      </c>
      <c r="N27" s="72">
        <v>1.4400876671060945E-2</v>
      </c>
      <c r="O27" s="72">
        <v>1.3839508994151047E-2</v>
      </c>
      <c r="P27" s="72">
        <v>1.358330014243442E-2</v>
      </c>
      <c r="Q27" s="72">
        <v>1.2521741913034751E-2</v>
      </c>
    </row>
    <row r="28" spans="1:17" ht="15.75" thickBot="1">
      <c r="F28" s="375"/>
      <c r="G28" s="72">
        <v>1.140744356084882E-2</v>
      </c>
      <c r="H28" s="72">
        <v>1.1457145571733341E-2</v>
      </c>
      <c r="I28" s="72">
        <v>9.9201014422203165E-3</v>
      </c>
      <c r="J28" s="72">
        <v>9.7936733007678838E-3</v>
      </c>
      <c r="K28" s="72">
        <v>8.6353362966557438E-3</v>
      </c>
      <c r="L28" s="72">
        <v>8.4936226572424074E-3</v>
      </c>
      <c r="M28" s="72">
        <v>7.7767698519673979E-3</v>
      </c>
      <c r="N28" s="72">
        <v>7.624717597046791E-3</v>
      </c>
      <c r="O28" s="72">
        <v>6.5841281180373341E-3</v>
      </c>
      <c r="P28" s="72">
        <v>6.0089944799167792E-3</v>
      </c>
      <c r="Q28" s="72">
        <v>6.4741639061287335E-3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47" workbookViewId="0">
      <selection activeCell="B96" sqref="B96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6"/>
      <c r="O2" s="397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0.38842610847061654</v>
      </c>
      <c r="H3" s="272">
        <v>0.28196528107481589</v>
      </c>
      <c r="I3" s="272">
        <v>0.15781326873153034</v>
      </c>
      <c r="J3" s="272">
        <v>8.9311685439999455E-2</v>
      </c>
      <c r="K3" s="272">
        <v>5.8981550206079758E-2</v>
      </c>
      <c r="L3" s="272">
        <v>2.3479565825963222E-2</v>
      </c>
      <c r="M3" s="272">
        <v>2.2540250995795041E-5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0.55136924712091062</v>
      </c>
      <c r="C4" s="54">
        <v>1.557691429457278E-2</v>
      </c>
      <c r="D4" s="55">
        <v>0.54045609847011733</v>
      </c>
      <c r="E4" s="1">
        <v>0.55102193916426312</v>
      </c>
      <c r="F4" s="56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0.54045609847011733</v>
      </c>
      <c r="T4" s="52">
        <f>B4-D4</f>
        <v>1.0913148650793292E-2</v>
      </c>
      <c r="U4" s="52">
        <f>F4-B4</f>
        <v>1.0266547751632382E-2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8.5390213827363406E-2</v>
      </c>
      <c r="C5" s="54">
        <v>4.8129488839309176E-2</v>
      </c>
      <c r="D5" s="55">
        <v>4.6757011358724551E-2</v>
      </c>
      <c r="E5" s="1">
        <v>8.1969477076114461E-2</v>
      </c>
      <c r="F5" s="56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7"/>
      <c r="R5" s="51" t="str">
        <f t="shared" ref="R5:R11" si="0">A5</f>
        <v>High Yield</v>
      </c>
      <c r="S5" s="52">
        <f t="shared" ref="S5:S11" si="1">D5</f>
        <v>4.6757011358724551E-2</v>
      </c>
      <c r="T5" s="52">
        <f t="shared" ref="T5:T11" si="2">B5-D5</f>
        <v>3.8633202468638855E-2</v>
      </c>
      <c r="U5" s="52">
        <f t="shared" ref="U5:U11" si="3">F5-B5</f>
        <v>3.4639214860695863E-2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8.1005418334623963E-2</v>
      </c>
      <c r="C6" s="54">
        <v>4.6598083439187407E-2</v>
      </c>
      <c r="D6" s="55">
        <v>4.5865746399639182E-2</v>
      </c>
      <c r="E6" s="1">
        <v>7.5063866015439074E-2</v>
      </c>
      <c r="F6" s="56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7"/>
      <c r="R6" s="51" t="str">
        <f t="shared" si="0"/>
        <v>Emerging market debt</v>
      </c>
      <c r="S6" s="52">
        <f t="shared" si="1"/>
        <v>4.5865746399639182E-2</v>
      </c>
      <c r="T6" s="52">
        <f t="shared" si="2"/>
        <v>3.5139671934984781E-2</v>
      </c>
      <c r="U6" s="52">
        <f t="shared" si="3"/>
        <v>3.1887715400090277E-2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8.7140469492885175E-2</v>
      </c>
      <c r="C7" s="54">
        <v>2.3016557552947882E-2</v>
      </c>
      <c r="D7" s="55">
        <v>6.9831550110757118E-2</v>
      </c>
      <c r="E7" s="1">
        <v>8.7324469284577461E-2</v>
      </c>
      <c r="F7" s="56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7"/>
      <c r="R7" s="51" t="str">
        <f t="shared" si="0"/>
        <v>Aandelen ontwikkeld</v>
      </c>
      <c r="S7" s="52">
        <f t="shared" si="1"/>
        <v>6.9831550110757118E-2</v>
      </c>
      <c r="T7" s="52">
        <f t="shared" si="2"/>
        <v>1.7308919382128057E-2</v>
      </c>
      <c r="U7" s="52">
        <f t="shared" si="3"/>
        <v>1.6545227880896768E-2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5.4937266403263518E-2</v>
      </c>
      <c r="C8" s="54">
        <v>2.020443450449378E-2</v>
      </c>
      <c r="D8" s="55">
        <v>4.1674723609566276E-2</v>
      </c>
      <c r="E8" s="1">
        <v>5.4790744058679001E-2</v>
      </c>
      <c r="F8" s="56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7"/>
      <c r="R8" s="51" t="str">
        <f t="shared" si="0"/>
        <v>Aandelen opkomend</v>
      </c>
      <c r="S8" s="52">
        <f t="shared" si="1"/>
        <v>4.1674723609566276E-2</v>
      </c>
      <c r="T8" s="52">
        <f t="shared" si="2"/>
        <v>1.3262542793697242E-2</v>
      </c>
      <c r="U8" s="52">
        <f t="shared" si="3"/>
        <v>1.5326591238028583E-2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2.2503673046712587E-2</v>
      </c>
      <c r="C9" s="54">
        <v>1.2442451361832137E-2</v>
      </c>
      <c r="D9" s="55">
        <v>1.2928511675215838E-2</v>
      </c>
      <c r="E9" s="1">
        <v>2.2231051576160739E-2</v>
      </c>
      <c r="F9" s="56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7"/>
      <c r="R9" s="51" t="str">
        <f t="shared" si="0"/>
        <v>Commodities</v>
      </c>
      <c r="S9" s="52">
        <f t="shared" si="1"/>
        <v>1.2928511675215838E-2</v>
      </c>
      <c r="T9" s="52">
        <f t="shared" si="2"/>
        <v>9.5751613714967487E-3</v>
      </c>
      <c r="U9" s="52">
        <f t="shared" si="3"/>
        <v>9.6834024065061627E-3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5.6767380601991033E-2</v>
      </c>
      <c r="C10" s="54">
        <v>3.3553857590458654E-2</v>
      </c>
      <c r="D10" s="55">
        <v>2.8721691486864168E-2</v>
      </c>
      <c r="E10" s="1">
        <v>5.2772333613786623E-2</v>
      </c>
      <c r="F10" s="56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7"/>
      <c r="R10" s="51" t="str">
        <f t="shared" si="0"/>
        <v>Hedge funds</v>
      </c>
      <c r="S10" s="52">
        <f t="shared" si="1"/>
        <v>2.8721691486864168E-2</v>
      </c>
      <c r="T10" s="52">
        <f t="shared" si="2"/>
        <v>2.8045689115126865E-2</v>
      </c>
      <c r="U10" s="52">
        <f t="shared" si="3"/>
        <v>2.4466024369114089E-2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6.0886331172249931E-2</v>
      </c>
      <c r="C11" s="62">
        <v>3.6512799239895186E-2</v>
      </c>
      <c r="D11" s="63">
        <v>3.2607596871767411E-2</v>
      </c>
      <c r="E11" s="61">
        <v>5.7346315512002047E-2</v>
      </c>
      <c r="F11" s="64">
        <v>8.7862963033754946E-2</v>
      </c>
      <c r="G11" s="65">
        <v>-8.9235754279150828E-2</v>
      </c>
      <c r="H11" s="65">
        <v>-0.86922823076562494</v>
      </c>
      <c r="I11" s="65">
        <v>1</v>
      </c>
      <c r="J11" s="65">
        <v>-0.27418953262989837</v>
      </c>
      <c r="K11" s="65">
        <v>-0.30830252979955092</v>
      </c>
      <c r="L11" s="65">
        <v>-0.14654737584447319</v>
      </c>
      <c r="M11" s="65">
        <v>-8.0697938169871614E-2</v>
      </c>
      <c r="N11" s="65">
        <v>0.99999999999766809</v>
      </c>
      <c r="O11" s="66"/>
      <c r="R11" s="51" t="str">
        <f t="shared" si="0"/>
        <v>Onroerend goed</v>
      </c>
      <c r="S11" s="52">
        <f t="shared" si="1"/>
        <v>3.2607596871767411E-2</v>
      </c>
      <c r="T11" s="52">
        <f t="shared" si="2"/>
        <v>2.8278734300482521E-2</v>
      </c>
      <c r="U11" s="52">
        <f t="shared" si="3"/>
        <v>2.6976631861505014E-2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95" t="s">
        <v>64</v>
      </c>
      <c r="E13" s="396"/>
      <c r="F13" s="397"/>
      <c r="G13" s="395" t="s">
        <v>65</v>
      </c>
      <c r="H13" s="396"/>
      <c r="I13" s="396"/>
      <c r="J13" s="396"/>
      <c r="K13" s="396"/>
      <c r="L13" s="396"/>
      <c r="M13" s="396"/>
      <c r="N13" s="396"/>
      <c r="O13" s="397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0.793870753850349</v>
      </c>
      <c r="H14" s="272">
        <v>9.0032283068141039E-2</v>
      </c>
      <c r="I14" s="272">
        <v>7.4079883375709032E-2</v>
      </c>
      <c r="J14" s="272">
        <v>3.7381924491545204E-2</v>
      </c>
      <c r="K14" s="272">
        <v>2.9660592285682963E-3</v>
      </c>
      <c r="L14" s="272">
        <v>1.0855006994477945E-3</v>
      </c>
      <c r="M14" s="272">
        <v>5.8359528623763701E-4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0.63884131311996284</v>
      </c>
      <c r="C15" s="54">
        <v>3.3388435170532221E-2</v>
      </c>
      <c r="D15" s="55">
        <v>0.6155766536146553</v>
      </c>
      <c r="E15" s="1">
        <v>0.64262510968805775</v>
      </c>
      <c r="F15" s="56">
        <v>0.66431038682323595</v>
      </c>
      <c r="G15" s="2">
        <v>-0.56042177567045171</v>
      </c>
      <c r="H15" s="2">
        <v>0.18313749683766231</v>
      </c>
      <c r="I15" s="2">
        <v>-0.47652219504931431</v>
      </c>
      <c r="J15" s="2">
        <v>-0.33421197790326884</v>
      </c>
      <c r="K15" s="2">
        <v>-0.2548593858775865</v>
      </c>
      <c r="L15" s="2">
        <v>-0.69817593933227184</v>
      </c>
      <c r="M15" s="2">
        <v>-0.41375795201160609</v>
      </c>
      <c r="N15" s="2">
        <v>1</v>
      </c>
      <c r="O15" s="57"/>
      <c r="R15" s="51" t="str">
        <f>A15</f>
        <v>Nominale matching</v>
      </c>
      <c r="S15" s="52">
        <f>D15</f>
        <v>0.6155766536146553</v>
      </c>
      <c r="T15" s="52">
        <f>B15-D15</f>
        <v>2.3264659505307539E-2</v>
      </c>
      <c r="U15" s="52">
        <f>F15-B15</f>
        <v>2.5469073703273115E-2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8.9152415993890524E-2</v>
      </c>
      <c r="C16" s="54">
        <v>5.7583447950149025E-2</v>
      </c>
      <c r="D16" s="55">
        <v>4.3600169544033028E-2</v>
      </c>
      <c r="E16" s="1">
        <v>7.9182136751944354E-2</v>
      </c>
      <c r="F16" s="56">
        <v>0.12465809585601395</v>
      </c>
      <c r="G16" s="2">
        <v>1</v>
      </c>
      <c r="H16" s="2">
        <v>2.0851454662755609E-2</v>
      </c>
      <c r="I16" s="2">
        <v>-0.36798307719795231</v>
      </c>
      <c r="J16" s="2">
        <v>-0.21894270330411147</v>
      </c>
      <c r="K16" s="2">
        <v>-0.19361879854251043</v>
      </c>
      <c r="L16" s="2">
        <v>-4.1759760950414823E-2</v>
      </c>
      <c r="M16" s="2">
        <v>-0.18754647272114583</v>
      </c>
      <c r="N16" s="2">
        <v>0.99999999999999012</v>
      </c>
      <c r="O16" s="57"/>
      <c r="R16" s="51" t="str">
        <f t="shared" ref="R16:R22" si="5">A16</f>
        <v>High Yield</v>
      </c>
      <c r="S16" s="52">
        <f t="shared" ref="S16:S22" si="6">D16</f>
        <v>4.3600169544033028E-2</v>
      </c>
      <c r="T16" s="52">
        <f t="shared" ref="T16:T22" si="7">B16-D16</f>
        <v>4.5552246449857496E-2</v>
      </c>
      <c r="U16" s="52">
        <f t="shared" ref="U16:U22" si="8">F16-B16</f>
        <v>3.5505679862123427E-2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1.6180596839274166E-2</v>
      </c>
      <c r="C17" s="54">
        <v>1.3773782145671732E-2</v>
      </c>
      <c r="D17" s="55">
        <v>5.6764861630027308E-3</v>
      </c>
      <c r="E17" s="1">
        <v>1.2286490051609988E-2</v>
      </c>
      <c r="F17" s="56">
        <v>2.4079264019034787E-2</v>
      </c>
      <c r="G17" s="2">
        <v>-2.9331494303368628E-2</v>
      </c>
      <c r="H17" s="2">
        <v>-0.10731640699813987</v>
      </c>
      <c r="I17" s="2">
        <v>-0.13785581233579336</v>
      </c>
      <c r="J17" s="2">
        <v>1</v>
      </c>
      <c r="K17" s="2">
        <v>-0.13082800369604561</v>
      </c>
      <c r="L17" s="2">
        <v>-8.3879614338137301E-2</v>
      </c>
      <c r="M17" s="2">
        <v>-0.18020642906483089</v>
      </c>
      <c r="N17" s="2">
        <v>0.99999999999998956</v>
      </c>
      <c r="O17" s="57"/>
      <c r="R17" s="51" t="str">
        <f t="shared" si="5"/>
        <v>Emerging market debt</v>
      </c>
      <c r="S17" s="52">
        <f t="shared" si="6"/>
        <v>5.6764861630027308E-3</v>
      </c>
      <c r="T17" s="52">
        <f t="shared" si="7"/>
        <v>1.0504110676271435E-2</v>
      </c>
      <c r="U17" s="52">
        <f t="shared" si="8"/>
        <v>7.8986671797606212E-3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1.6946947243372027E-3</v>
      </c>
      <c r="C18" s="54">
        <v>1.8565137754232542E-3</v>
      </c>
      <c r="D18" s="55">
        <v>2.6526515614317753E-4</v>
      </c>
      <c r="E18" s="1">
        <v>9.7234691477604768E-4</v>
      </c>
      <c r="F18" s="56">
        <v>2.458815512760911E-3</v>
      </c>
      <c r="G18" s="2">
        <v>2.9943116588051274E-4</v>
      </c>
      <c r="H18" s="2">
        <v>6.5101509433286879E-3</v>
      </c>
      <c r="I18" s="2">
        <v>-9.0710263254931509E-3</v>
      </c>
      <c r="J18" s="2">
        <v>-1.4644759010299688E-2</v>
      </c>
      <c r="K18" s="2">
        <v>4.8428116128048657E-3</v>
      </c>
      <c r="L18" s="2">
        <v>-0.51720555602717433</v>
      </c>
      <c r="M18" s="2">
        <v>1</v>
      </c>
      <c r="N18" s="2">
        <v>0.99999999999997169</v>
      </c>
      <c r="O18" s="57"/>
      <c r="R18" s="51" t="str">
        <f t="shared" si="5"/>
        <v>Aandelen ontwikkeld</v>
      </c>
      <c r="S18" s="52">
        <f t="shared" si="6"/>
        <v>2.6526515614317753E-4</v>
      </c>
      <c r="T18" s="52">
        <f t="shared" si="7"/>
        <v>1.4294295681940251E-3</v>
      </c>
      <c r="U18" s="52">
        <f t="shared" si="8"/>
        <v>7.6412078842370834E-4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2.5254391686127226E-2</v>
      </c>
      <c r="C19" s="54">
        <v>1.9812412621961473E-2</v>
      </c>
      <c r="D19" s="55">
        <v>1.0406197405009143E-2</v>
      </c>
      <c r="E19" s="1">
        <v>2.0416540295551868E-2</v>
      </c>
      <c r="F19" s="56">
        <v>3.5705544932015471E-2</v>
      </c>
      <c r="G19" s="2">
        <v>-7.9343405454464944E-2</v>
      </c>
      <c r="H19" s="2">
        <v>1</v>
      </c>
      <c r="I19" s="2">
        <v>0.49663292229024469</v>
      </c>
      <c r="J19" s="2">
        <v>-2.4880744397344962E-2</v>
      </c>
      <c r="K19" s="2">
        <v>-0.14047120614789432</v>
      </c>
      <c r="L19" s="2">
        <v>0.50912100049277142</v>
      </c>
      <c r="M19" s="2">
        <v>3.785558898329322E-3</v>
      </c>
      <c r="N19" s="2">
        <v>0.99999999999998068</v>
      </c>
      <c r="O19" s="57"/>
      <c r="R19" s="51" t="str">
        <f t="shared" si="5"/>
        <v>Aandelen opkomend</v>
      </c>
      <c r="S19" s="52">
        <f t="shared" si="6"/>
        <v>1.0406197405009143E-2</v>
      </c>
      <c r="T19" s="52">
        <f t="shared" si="7"/>
        <v>1.4848194281118082E-2</v>
      </c>
      <c r="U19" s="52">
        <f t="shared" si="8"/>
        <v>1.0451153245888245E-2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0.19937901187906307</v>
      </c>
      <c r="C20" s="54">
        <v>2.1342483309186477E-2</v>
      </c>
      <c r="D20" s="55">
        <v>0.18484038086021393</v>
      </c>
      <c r="E20" s="1">
        <v>0.19966034838295904</v>
      </c>
      <c r="F20" s="56">
        <v>0.21566980437883349</v>
      </c>
      <c r="G20" s="2">
        <v>-0.31360110137459635</v>
      </c>
      <c r="H20" s="2">
        <v>-0.4707788425245143</v>
      </c>
      <c r="I20" s="2">
        <v>-0.48573585137353353</v>
      </c>
      <c r="J20" s="2">
        <v>-0.17880579092965412</v>
      </c>
      <c r="K20" s="2">
        <v>-0.11011845482494245</v>
      </c>
      <c r="L20" s="2">
        <v>1</v>
      </c>
      <c r="M20" s="2">
        <v>0.16963842895057998</v>
      </c>
      <c r="N20" s="2">
        <v>0.99999999999997446</v>
      </c>
      <c r="O20" s="57"/>
      <c r="R20" s="51" t="str">
        <f t="shared" si="5"/>
        <v>Commodities</v>
      </c>
      <c r="S20" s="52">
        <f t="shared" si="6"/>
        <v>0.18484038086021393</v>
      </c>
      <c r="T20" s="52">
        <f t="shared" si="7"/>
        <v>1.4538631018849141E-2</v>
      </c>
      <c r="U20" s="52">
        <f t="shared" si="8"/>
        <v>1.6290792499770418E-2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2.549361968294718E-2</v>
      </c>
      <c r="C21" s="54">
        <v>1.9237734565573303E-2</v>
      </c>
      <c r="D21" s="55">
        <v>1.0498635837818742E-2</v>
      </c>
      <c r="E21" s="1">
        <v>2.1157849483218812E-2</v>
      </c>
      <c r="F21" s="56">
        <v>3.5946781985662569E-2</v>
      </c>
      <c r="G21" s="2">
        <v>-1.6063822806494415E-2</v>
      </c>
      <c r="H21" s="2">
        <v>-0.64485774199312718</v>
      </c>
      <c r="I21" s="2">
        <v>1</v>
      </c>
      <c r="J21" s="2">
        <v>-0.17759067296206404</v>
      </c>
      <c r="K21" s="2">
        <v>-0.17494696252382047</v>
      </c>
      <c r="L21" s="2">
        <v>-0.1321286758796176</v>
      </c>
      <c r="M21" s="2">
        <v>-0.20506775725583351</v>
      </c>
      <c r="N21" s="2">
        <v>0.9999999999999909</v>
      </c>
      <c r="O21" s="57"/>
      <c r="R21" s="51" t="str">
        <f t="shared" si="5"/>
        <v>Hedge funds</v>
      </c>
      <c r="S21" s="52">
        <f t="shared" si="6"/>
        <v>1.0498635837818742E-2</v>
      </c>
      <c r="T21" s="52">
        <f t="shared" si="7"/>
        <v>1.4994983845128438E-2</v>
      </c>
      <c r="U21" s="52">
        <f t="shared" si="8"/>
        <v>1.0453162302715389E-2</v>
      </c>
    </row>
    <row r="22" spans="1:30">
      <c r="A22" s="60" t="str">
        <f t="shared" si="4"/>
        <v>Onroerend goed</v>
      </c>
      <c r="B22" s="286">
        <v>4.0039560743981373E-3</v>
      </c>
      <c r="C22" s="62">
        <v>3.9239983059554326E-3</v>
      </c>
      <c r="D22" s="63">
        <v>1.1170785589746234E-3</v>
      </c>
      <c r="E22" s="61">
        <v>2.5873946688405852E-3</v>
      </c>
      <c r="F22" s="64">
        <v>5.6139257697055802E-3</v>
      </c>
      <c r="G22" s="65">
        <v>-1.5378315565043159E-3</v>
      </c>
      <c r="H22" s="65">
        <v>1.2453889072035726E-2</v>
      </c>
      <c r="I22" s="65">
        <v>-1.946496000815728E-2</v>
      </c>
      <c r="J22" s="65">
        <v>-5.0923351493256573E-2</v>
      </c>
      <c r="K22" s="65">
        <v>1</v>
      </c>
      <c r="L22" s="65">
        <v>-3.5971453965138046E-2</v>
      </c>
      <c r="M22" s="65">
        <v>-0.18684537679546892</v>
      </c>
      <c r="N22" s="65">
        <v>0.99999999999998468</v>
      </c>
      <c r="O22" s="66"/>
      <c r="R22" s="51" t="str">
        <f t="shared" si="5"/>
        <v>Onroerend goed</v>
      </c>
      <c r="S22" s="52">
        <f t="shared" si="6"/>
        <v>1.1170785589746234E-3</v>
      </c>
      <c r="T22" s="52">
        <f t="shared" si="7"/>
        <v>2.8868775154235141E-3</v>
      </c>
      <c r="U22" s="52">
        <f t="shared" si="8"/>
        <v>1.6099696953074429E-3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95" t="s">
        <v>64</v>
      </c>
      <c r="E24" s="396"/>
      <c r="F24" s="397"/>
      <c r="G24" s="395" t="s">
        <v>65</v>
      </c>
      <c r="H24" s="396"/>
      <c r="I24" s="396"/>
      <c r="J24" s="396"/>
      <c r="K24" s="396"/>
      <c r="L24" s="396"/>
      <c r="M24" s="396"/>
      <c r="N24" s="396"/>
      <c r="O24" s="397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0.94253143676828777</v>
      </c>
      <c r="H25" s="272">
        <v>4.532412629492133E-2</v>
      </c>
      <c r="I25" s="272">
        <v>9.0017233777434091E-3</v>
      </c>
      <c r="J25" s="272">
        <v>1.7047845267519346E-3</v>
      </c>
      <c r="K25" s="272">
        <v>1.108365325975913E-3</v>
      </c>
      <c r="L25" s="272">
        <v>2.4528668855272606E-4</v>
      </c>
      <c r="M25" s="272">
        <v>8.427701776902996E-5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0.78328071561288071</v>
      </c>
      <c r="C26" s="54">
        <v>4.4949055045451672E-2</v>
      </c>
      <c r="D26" s="55">
        <v>0.74659048455063393</v>
      </c>
      <c r="E26" s="1">
        <v>0.7779908362121255</v>
      </c>
      <c r="F26" s="56">
        <v>0.81621824544585664</v>
      </c>
      <c r="G26" s="68">
        <v>1</v>
      </c>
      <c r="H26" s="68">
        <v>-0.41129206286182252</v>
      </c>
      <c r="I26" s="68">
        <v>-0.33360597469587644</v>
      </c>
      <c r="J26" s="68">
        <v>-0.39848075457609228</v>
      </c>
      <c r="K26" s="68">
        <v>-7.1648585407850213E-2</v>
      </c>
      <c r="L26" s="68">
        <v>-0.16921503843523203</v>
      </c>
      <c r="M26" s="2">
        <v>-0.13330311921438928</v>
      </c>
      <c r="N26" s="2">
        <v>0.99999999999999944</v>
      </c>
      <c r="O26" s="69"/>
      <c r="R26" s="51" t="str">
        <f>A26</f>
        <v>Nominale matching</v>
      </c>
      <c r="S26" s="52">
        <f>D26</f>
        <v>0.74659048455063393</v>
      </c>
      <c r="T26" s="52">
        <f>B26-D26</f>
        <v>3.6690231062246781E-2</v>
      </c>
      <c r="U26" s="52">
        <f>F26-B26</f>
        <v>3.2937529832975931E-2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1.9077726566221387E-3</v>
      </c>
      <c r="C27" s="54">
        <v>2.1676205771686092E-3</v>
      </c>
      <c r="D27" s="55">
        <v>4.4624039680647536E-4</v>
      </c>
      <c r="E27" s="1">
        <v>1.1616677580811954E-3</v>
      </c>
      <c r="F27" s="56">
        <v>2.7584962519587343E-3</v>
      </c>
      <c r="G27" s="68">
        <v>-5.982121023048079E-3</v>
      </c>
      <c r="H27" s="68">
        <v>-6.7988676808736544E-3</v>
      </c>
      <c r="I27" s="68">
        <v>4.1508685061550414E-2</v>
      </c>
      <c r="J27" s="68">
        <v>1</v>
      </c>
      <c r="K27" s="68">
        <v>-0.73699371069913255</v>
      </c>
      <c r="L27" s="68">
        <v>-0.20537570976242411</v>
      </c>
      <c r="M27" s="2">
        <v>-0.12069117293912303</v>
      </c>
      <c r="N27" s="2">
        <v>0.99999999999998557</v>
      </c>
      <c r="O27" s="69"/>
      <c r="R27" s="51" t="str">
        <f t="shared" ref="R27:R33" si="10">A27</f>
        <v>High Yield</v>
      </c>
      <c r="S27" s="52">
        <f t="shared" ref="S27:S33" si="11">D27</f>
        <v>4.4624039680647536E-4</v>
      </c>
      <c r="T27" s="52">
        <f t="shared" ref="T27:T33" si="12">B27-D27</f>
        <v>1.4615322598156633E-3</v>
      </c>
      <c r="U27" s="52">
        <f t="shared" ref="U27:U33" si="13">F27-B27</f>
        <v>8.5072359533659562E-4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1.3595195293279591E-2</v>
      </c>
      <c r="C28" s="54">
        <v>1.1408837736874356E-2</v>
      </c>
      <c r="D28" s="55">
        <v>5.1174023303065183E-3</v>
      </c>
      <c r="E28" s="1">
        <v>1.1143586812791808E-2</v>
      </c>
      <c r="F28" s="56">
        <v>1.8683715609112271E-2</v>
      </c>
      <c r="G28" s="68">
        <v>-7.0744475668827952E-2</v>
      </c>
      <c r="H28" s="68">
        <v>1</v>
      </c>
      <c r="I28" s="68">
        <v>-0.33135843661495584</v>
      </c>
      <c r="J28" s="68">
        <v>-0.38520638333023183</v>
      </c>
      <c r="K28" s="68">
        <v>-6.7861721235359676E-2</v>
      </c>
      <c r="L28" s="68">
        <v>-0.1617076241198987</v>
      </c>
      <c r="M28" s="2">
        <v>-0.12971631821517587</v>
      </c>
      <c r="N28" s="2">
        <v>0.99999999999999734</v>
      </c>
      <c r="O28" s="69"/>
      <c r="R28" s="51" t="str">
        <f t="shared" si="10"/>
        <v>Emerging market debt</v>
      </c>
      <c r="S28" s="52">
        <f t="shared" si="11"/>
        <v>5.1174023303065183E-3</v>
      </c>
      <c r="T28" s="52">
        <f t="shared" si="12"/>
        <v>8.4777929629730724E-3</v>
      </c>
      <c r="U28" s="52">
        <f t="shared" si="13"/>
        <v>5.0885203158326803E-3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3.2570713579514895E-4</v>
      </c>
      <c r="C29" s="54">
        <v>5.3462815314748026E-4</v>
      </c>
      <c r="D29" s="55">
        <v>1.2907178347474162E-5</v>
      </c>
      <c r="E29" s="1">
        <v>1.0874476476746103E-4</v>
      </c>
      <c r="F29" s="56">
        <v>4.1546894876086317E-4</v>
      </c>
      <c r="G29" s="68">
        <v>-9.5847666017417053E-4</v>
      </c>
      <c r="H29" s="68">
        <v>-4.2754131157911575E-3</v>
      </c>
      <c r="I29" s="68">
        <v>2.16783210381577E-3</v>
      </c>
      <c r="J29" s="68">
        <v>-2.6868969170335691E-3</v>
      </c>
      <c r="K29" s="68">
        <v>1.71358581562218E-2</v>
      </c>
      <c r="L29" s="68">
        <v>6.1081915770190898E-2</v>
      </c>
      <c r="M29" s="2">
        <v>1</v>
      </c>
      <c r="N29" s="2">
        <v>0.99999999999986688</v>
      </c>
      <c r="O29" s="69"/>
      <c r="R29" s="51" t="str">
        <f t="shared" si="10"/>
        <v>Aandelen ontwikkeld</v>
      </c>
      <c r="S29" s="52">
        <f t="shared" si="11"/>
        <v>1.2907178347474162E-5</v>
      </c>
      <c r="T29" s="52">
        <f t="shared" si="12"/>
        <v>3.127999574476748E-4</v>
      </c>
      <c r="U29" s="52">
        <f t="shared" si="13"/>
        <v>8.9761812965714221E-5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1.677817707621187E-3</v>
      </c>
      <c r="C30" s="54">
        <v>1.9972994912901281E-3</v>
      </c>
      <c r="D30" s="55">
        <v>2.7108429391002652E-4</v>
      </c>
      <c r="E30" s="1">
        <v>9.8295523034614557E-4</v>
      </c>
      <c r="F30" s="56">
        <v>2.4374409755168504E-3</v>
      </c>
      <c r="G30" s="68">
        <v>-5.1435288661773456E-3</v>
      </c>
      <c r="H30" s="68">
        <v>-8.1729549398597851E-3</v>
      </c>
      <c r="I30" s="68">
        <v>1.1432592347476983E-2</v>
      </c>
      <c r="J30" s="68">
        <v>0.62556311385419017</v>
      </c>
      <c r="K30" s="68">
        <v>1</v>
      </c>
      <c r="L30" s="68">
        <v>-0.18765738361769826</v>
      </c>
      <c r="M30" s="2">
        <v>-0.14409451695638989</v>
      </c>
      <c r="N30" s="2">
        <v>0.99999999999998912</v>
      </c>
      <c r="O30" s="69"/>
      <c r="R30" s="51" t="str">
        <f t="shared" si="10"/>
        <v>Aandelen opkomend</v>
      </c>
      <c r="S30" s="52">
        <f t="shared" si="11"/>
        <v>2.7108429391002652E-4</v>
      </c>
      <c r="T30" s="52">
        <f t="shared" si="12"/>
        <v>1.4067334137111605E-3</v>
      </c>
      <c r="U30" s="52">
        <f t="shared" si="13"/>
        <v>7.596232678956634E-4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0.19346840744270685</v>
      </c>
      <c r="C31" s="54">
        <v>3.9959253207484162E-2</v>
      </c>
      <c r="D31" s="55">
        <v>0.16339629983999532</v>
      </c>
      <c r="E31" s="1">
        <v>0.19581357387615095</v>
      </c>
      <c r="F31" s="56">
        <v>0.22755348375183077</v>
      </c>
      <c r="G31" s="68">
        <v>-0.8831119695235542</v>
      </c>
      <c r="H31" s="68">
        <v>-0.54513418024124971</v>
      </c>
      <c r="I31" s="68">
        <v>-0.38692846728538988</v>
      </c>
      <c r="J31" s="68">
        <v>-0.4143186808748433</v>
      </c>
      <c r="K31" s="68">
        <v>-7.4528776698736657E-2</v>
      </c>
      <c r="L31" s="68">
        <v>-0.17365418171939517</v>
      </c>
      <c r="M31" s="2">
        <v>-0.13453978068433703</v>
      </c>
      <c r="N31" s="2">
        <v>1</v>
      </c>
      <c r="O31" s="69"/>
      <c r="R31" s="51" t="str">
        <f t="shared" si="10"/>
        <v>Commodities</v>
      </c>
      <c r="S31" s="52">
        <f t="shared" si="11"/>
        <v>0.16339629983999532</v>
      </c>
      <c r="T31" s="52">
        <f t="shared" si="12"/>
        <v>3.0072107602711534E-2</v>
      </c>
      <c r="U31" s="52">
        <f t="shared" si="13"/>
        <v>3.4085076309123913E-2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5.0365343344510854E-3</v>
      </c>
      <c r="C32" s="54">
        <v>5.245285373496898E-3</v>
      </c>
      <c r="D32" s="55">
        <v>1.2613832892028715E-3</v>
      </c>
      <c r="E32" s="1">
        <v>3.5554014467704897E-3</v>
      </c>
      <c r="F32" s="56">
        <v>6.6327672947640859E-3</v>
      </c>
      <c r="G32" s="68">
        <v>-3.1236851366311446E-2</v>
      </c>
      <c r="H32" s="68">
        <v>-1.6419498041326402E-2</v>
      </c>
      <c r="I32" s="68">
        <v>1</v>
      </c>
      <c r="J32" s="68">
        <v>-0.46940008826335683</v>
      </c>
      <c r="K32" s="68">
        <v>-5.613641060213697E-2</v>
      </c>
      <c r="L32" s="68">
        <v>-0.16347197811549152</v>
      </c>
      <c r="M32" s="2">
        <v>-0.13567093857543708</v>
      </c>
      <c r="N32" s="2">
        <v>0.99999999999999867</v>
      </c>
      <c r="O32" s="69"/>
      <c r="R32" s="51" t="str">
        <f t="shared" si="10"/>
        <v>Hedge funds</v>
      </c>
      <c r="S32" s="52">
        <f t="shared" si="11"/>
        <v>1.2613832892028715E-3</v>
      </c>
      <c r="T32" s="52">
        <f t="shared" si="12"/>
        <v>3.7751510452482141E-3</v>
      </c>
      <c r="U32" s="52">
        <f t="shared" si="13"/>
        <v>1.5962329603130005E-3</v>
      </c>
    </row>
    <row r="33" spans="1:30">
      <c r="A33" s="60" t="str">
        <f t="shared" si="9"/>
        <v>Onroerend goed</v>
      </c>
      <c r="B33" s="61">
        <v>7.0784981664355267E-4</v>
      </c>
      <c r="C33" s="62">
        <v>9.0525200038224214E-4</v>
      </c>
      <c r="D33" s="63">
        <v>9.0112776773304418E-5</v>
      </c>
      <c r="E33" s="61">
        <v>3.3469627245593097E-4</v>
      </c>
      <c r="F33" s="64">
        <v>1.0108229809801376E-3</v>
      </c>
      <c r="G33" s="70">
        <v>-2.8225768919066304E-3</v>
      </c>
      <c r="H33" s="70">
        <v>-7.907023119075221E-3</v>
      </c>
      <c r="I33" s="70">
        <v>-3.2162309166199974E-3</v>
      </c>
      <c r="J33" s="70">
        <v>4.4529690107389198E-2</v>
      </c>
      <c r="K33" s="70">
        <v>-9.9666535130040323E-3</v>
      </c>
      <c r="L33" s="70">
        <v>1</v>
      </c>
      <c r="M33" s="65">
        <v>-0.20198415341502848</v>
      </c>
      <c r="N33" s="65">
        <v>0.99999999999995148</v>
      </c>
      <c r="O33" s="71"/>
      <c r="R33" s="51" t="str">
        <f t="shared" si="10"/>
        <v>Onroerend goed</v>
      </c>
      <c r="S33" s="52">
        <f t="shared" si="11"/>
        <v>9.0112776773304418E-5</v>
      </c>
      <c r="T33" s="52">
        <f t="shared" si="12"/>
        <v>6.1773703987024831E-4</v>
      </c>
      <c r="U33" s="52">
        <f t="shared" si="13"/>
        <v>3.0297316433658492E-4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95" t="s">
        <v>64</v>
      </c>
      <c r="E35" s="396"/>
      <c r="F35" s="397"/>
      <c r="G35" s="395" t="s">
        <v>65</v>
      </c>
      <c r="H35" s="396"/>
      <c r="I35" s="396"/>
      <c r="J35" s="396"/>
      <c r="K35" s="396"/>
      <c r="L35" s="396"/>
      <c r="M35" s="396"/>
      <c r="N35" s="396"/>
      <c r="O35" s="397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0.78871922360021518</v>
      </c>
      <c r="H36" s="272">
        <v>0.13662749436942745</v>
      </c>
      <c r="I36" s="272">
        <v>3.7109636704326543E-2</v>
      </c>
      <c r="J36" s="272">
        <v>1.8359758608281651E-2</v>
      </c>
      <c r="K36" s="272">
        <v>1.1232378418607136E-2</v>
      </c>
      <c r="L36" s="272">
        <v>6.5060368190501539E-3</v>
      </c>
      <c r="M36" s="272">
        <v>1.4454714800923307E-3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0.50224217822971995</v>
      </c>
      <c r="C37" s="54">
        <v>2.7294445320792882E-2</v>
      </c>
      <c r="D37" s="55">
        <v>0.48221556051732301</v>
      </c>
      <c r="E37" s="1">
        <v>0.49946483614639714</v>
      </c>
      <c r="F37" s="56">
        <v>0.51904534970287974</v>
      </c>
      <c r="G37" s="2">
        <v>-0.41577588942961319</v>
      </c>
      <c r="H37" s="2">
        <v>7.481061156838513E-2</v>
      </c>
      <c r="I37" s="2">
        <v>-0.39688477319286353</v>
      </c>
      <c r="J37" s="2">
        <v>-0.15657973245735549</v>
      </c>
      <c r="K37" s="2">
        <v>0.1588307163732709</v>
      </c>
      <c r="L37" s="2">
        <v>-0.31760354056969964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0.48221556051732301</v>
      </c>
      <c r="T37" s="52">
        <f>B37-D37</f>
        <v>2.0026617712396944E-2</v>
      </c>
      <c r="U37" s="52">
        <f>F37-B37</f>
        <v>1.6803171473159795E-2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0.35478962257899305</v>
      </c>
      <c r="C38" s="54">
        <v>6.3800563928549756E-2</v>
      </c>
      <c r="D38" s="55">
        <v>0.31098204076122105</v>
      </c>
      <c r="E38" s="1">
        <v>0.35882680299595404</v>
      </c>
      <c r="F38" s="56">
        <v>0.3994292776455613</v>
      </c>
      <c r="G38" s="2">
        <v>1</v>
      </c>
      <c r="H38" s="2">
        <v>-0.14512687884780417</v>
      </c>
      <c r="I38" s="2">
        <v>-0.28155621835310524</v>
      </c>
      <c r="J38" s="2">
        <v>-0.23816705716560296</v>
      </c>
      <c r="K38" s="2">
        <v>-0.10999650438436712</v>
      </c>
      <c r="L38" s="2">
        <v>-0.15503126329848343</v>
      </c>
      <c r="M38" s="2">
        <v>8.5357946865054463E-2</v>
      </c>
      <c r="N38" s="2">
        <v>0.99999999999991684</v>
      </c>
      <c r="O38" s="57"/>
      <c r="R38" s="51" t="str">
        <f t="shared" ref="R38:R44" si="15">A38</f>
        <v>High Yield</v>
      </c>
      <c r="S38" s="52">
        <f t="shared" ref="S38:S44" si="16">D38</f>
        <v>0.31098204076122105</v>
      </c>
      <c r="T38" s="52">
        <f t="shared" ref="T38:T44" si="17">B38-D38</f>
        <v>4.3807581817772001E-2</v>
      </c>
      <c r="U38" s="52">
        <f t="shared" ref="U38:U44" si="18">F38-B38</f>
        <v>4.4639655066568251E-2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7.5078569998237024E-3</v>
      </c>
      <c r="C39" s="54">
        <v>6.2695299140085748E-3</v>
      </c>
      <c r="D39" s="55">
        <v>2.4598822319072703E-3</v>
      </c>
      <c r="E39" s="1">
        <v>6.1025756373224854E-3</v>
      </c>
      <c r="F39" s="56">
        <v>1.0555692085699208E-2</v>
      </c>
      <c r="G39" s="2">
        <v>8.9472545995746542E-4</v>
      </c>
      <c r="H39" s="2">
        <v>-5.8299802010407138E-3</v>
      </c>
      <c r="I39" s="2">
        <v>-3.2743705646323458E-2</v>
      </c>
      <c r="J39" s="2">
        <v>4.707837238107121E-2</v>
      </c>
      <c r="K39" s="2">
        <v>8.531691205240409E-2</v>
      </c>
      <c r="L39" s="2">
        <v>1</v>
      </c>
      <c r="M39" s="2">
        <v>0.25085944604142024</v>
      </c>
      <c r="N39" s="2">
        <v>0.99999999999991651</v>
      </c>
      <c r="O39" s="57"/>
      <c r="R39" s="51" t="str">
        <f t="shared" si="15"/>
        <v>Emerging market debt</v>
      </c>
      <c r="S39" s="52">
        <f t="shared" si="16"/>
        <v>2.4598822319072703E-3</v>
      </c>
      <c r="T39" s="52">
        <f t="shared" si="17"/>
        <v>5.047974767916432E-3</v>
      </c>
      <c r="U39" s="52">
        <f t="shared" si="18"/>
        <v>3.047835085875506E-3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8.011986515903775E-3</v>
      </c>
      <c r="C40" s="54">
        <v>7.9100345860492367E-3</v>
      </c>
      <c r="D40" s="55">
        <v>2.0305495539164053E-3</v>
      </c>
      <c r="E40" s="1">
        <v>5.5614344137194767E-3</v>
      </c>
      <c r="F40" s="56">
        <v>1.1729675859151027E-2</v>
      </c>
      <c r="G40" s="2">
        <v>-1.506833580378366E-3</v>
      </c>
      <c r="H40" s="2">
        <v>-5.5364827147361042E-3</v>
      </c>
      <c r="I40" s="2">
        <v>3.1011494773012047E-2</v>
      </c>
      <c r="J40" s="2">
        <v>0.24105648262007182</v>
      </c>
      <c r="K40" s="2">
        <v>1</v>
      </c>
      <c r="L40" s="2">
        <v>-0.15699570299117846</v>
      </c>
      <c r="M40" s="2">
        <v>-0.47781938186171946</v>
      </c>
      <c r="N40" s="2">
        <v>0.99999999999986666</v>
      </c>
      <c r="O40" s="57"/>
      <c r="R40" s="51" t="str">
        <f t="shared" si="15"/>
        <v>Aandelen ontwikkeld</v>
      </c>
      <c r="S40" s="52">
        <f t="shared" si="16"/>
        <v>2.0305495539164053E-3</v>
      </c>
      <c r="T40" s="52">
        <f t="shared" si="17"/>
        <v>5.9814369619873697E-3</v>
      </c>
      <c r="U40" s="52">
        <f t="shared" si="18"/>
        <v>3.7176893432472515E-3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3.3884336998753976E-2</v>
      </c>
      <c r="C41" s="54">
        <v>2.6176398538210664E-2</v>
      </c>
      <c r="D41" s="55">
        <v>1.3252922402653841E-2</v>
      </c>
      <c r="E41" s="1">
        <v>2.6706570024498999E-2</v>
      </c>
      <c r="F41" s="56">
        <v>5.0354547339143393E-2</v>
      </c>
      <c r="G41" s="2">
        <v>-0.16893817798355004</v>
      </c>
      <c r="H41" s="2">
        <v>1</v>
      </c>
      <c r="I41" s="2">
        <v>-0.13190838951910661</v>
      </c>
      <c r="J41" s="2">
        <v>-0.29237827953004314</v>
      </c>
      <c r="K41" s="2">
        <v>-0.29037128067198154</v>
      </c>
      <c r="L41" s="2">
        <v>-3.6142182511189516E-2</v>
      </c>
      <c r="M41" s="2">
        <v>-0.53359228441493245</v>
      </c>
      <c r="N41" s="2">
        <v>0.99999999999985867</v>
      </c>
      <c r="O41" s="57"/>
      <c r="R41" s="51" t="str">
        <f t="shared" si="15"/>
        <v>Aandelen opkomend</v>
      </c>
      <c r="S41" s="52">
        <f t="shared" si="16"/>
        <v>1.3252922402653841E-2</v>
      </c>
      <c r="T41" s="52">
        <f t="shared" si="17"/>
        <v>2.0631414596100135E-2</v>
      </c>
      <c r="U41" s="52">
        <f t="shared" si="18"/>
        <v>1.6470210340389417E-2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6.3345782262113653E-2</v>
      </c>
      <c r="C42" s="54">
        <v>3.3139051000478731E-2</v>
      </c>
      <c r="D42" s="55">
        <v>3.9491191388218876E-2</v>
      </c>
      <c r="E42" s="1">
        <v>6.2487136209745484E-2</v>
      </c>
      <c r="F42" s="56">
        <v>8.678586126620659E-2</v>
      </c>
      <c r="G42" s="2">
        <v>-0.41142171175099024</v>
      </c>
      <c r="H42" s="2">
        <v>-0.83933776507164748</v>
      </c>
      <c r="I42" s="2">
        <v>-0.20653070137652096</v>
      </c>
      <c r="J42" s="2">
        <v>-0.33873552910488325</v>
      </c>
      <c r="K42" s="2">
        <v>-0.29992079219807799</v>
      </c>
      <c r="L42" s="2">
        <v>-3.6692281198862281E-2</v>
      </c>
      <c r="M42" s="2">
        <v>-0.57564627915234079</v>
      </c>
      <c r="N42" s="2">
        <v>0.99999999999985612</v>
      </c>
      <c r="O42" s="57"/>
      <c r="R42" s="51" t="str">
        <f t="shared" si="15"/>
        <v>Commodities</v>
      </c>
      <c r="S42" s="52">
        <f t="shared" si="16"/>
        <v>3.9491191388218876E-2</v>
      </c>
      <c r="T42" s="52">
        <f t="shared" si="17"/>
        <v>2.3854590873894778E-2</v>
      </c>
      <c r="U42" s="52">
        <f t="shared" si="18"/>
        <v>2.3440079004092937E-2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1.8918343350395002E-2</v>
      </c>
      <c r="C43" s="54">
        <v>1.449354081492692E-2</v>
      </c>
      <c r="D43" s="55">
        <v>7.8922602013887927E-3</v>
      </c>
      <c r="E43" s="1">
        <v>1.551744764950307E-2</v>
      </c>
      <c r="F43" s="56">
        <v>2.6628649600344164E-2</v>
      </c>
      <c r="G43" s="2">
        <v>9.6007684858659369E-3</v>
      </c>
      <c r="H43" s="2">
        <v>-5.2130285383018234E-2</v>
      </c>
      <c r="I43" s="2">
        <v>1</v>
      </c>
      <c r="J43" s="2">
        <v>-0.26227425674325561</v>
      </c>
      <c r="K43" s="2">
        <v>-8.7909604610728997E-2</v>
      </c>
      <c r="L43" s="2">
        <v>-0.14153160651040353</v>
      </c>
      <c r="M43" s="2">
        <v>0.2547486041698428</v>
      </c>
      <c r="N43" s="2">
        <v>0.99999999999992806</v>
      </c>
      <c r="O43" s="57"/>
      <c r="R43" s="51" t="str">
        <f t="shared" si="15"/>
        <v>Hedge funds</v>
      </c>
      <c r="S43" s="52">
        <f t="shared" si="16"/>
        <v>7.8922602013887927E-3</v>
      </c>
      <c r="T43" s="52">
        <f t="shared" si="17"/>
        <v>1.1026083149006209E-2</v>
      </c>
      <c r="U43" s="52">
        <f t="shared" si="18"/>
        <v>7.7103062499491622E-3</v>
      </c>
    </row>
    <row r="44" spans="1:30">
      <c r="A44" s="60" t="str">
        <f t="shared" si="14"/>
        <v>Onroerend goed</v>
      </c>
      <c r="B44" s="61">
        <v>1.1299893064296632E-2</v>
      </c>
      <c r="C44" s="62">
        <v>1.0237036751756622E-2</v>
      </c>
      <c r="D44" s="63">
        <v>3.3790541981335341E-3</v>
      </c>
      <c r="E44" s="61">
        <v>8.3616457235650855E-3</v>
      </c>
      <c r="F44" s="64">
        <v>1.6329560621621258E-2</v>
      </c>
      <c r="G44" s="65">
        <v>-1.285288120129219E-2</v>
      </c>
      <c r="H44" s="65">
        <v>-2.6849219350138082E-2</v>
      </c>
      <c r="I44" s="65">
        <v>1.8612293314911193E-2</v>
      </c>
      <c r="J44" s="65">
        <v>1</v>
      </c>
      <c r="K44" s="65">
        <v>-0.45594944656052211</v>
      </c>
      <c r="L44" s="65">
        <v>-0.15600342292016972</v>
      </c>
      <c r="M44" s="65">
        <v>-3.9080516475019965E-3</v>
      </c>
      <c r="N44" s="65">
        <v>0.99999999999990485</v>
      </c>
      <c r="O44" s="66"/>
      <c r="R44" s="51" t="str">
        <f t="shared" si="15"/>
        <v>Onroerend goed</v>
      </c>
      <c r="S44" s="52">
        <f t="shared" si="16"/>
        <v>3.3790541981335341E-3</v>
      </c>
      <c r="T44" s="52">
        <f t="shared" si="17"/>
        <v>7.9208388661630991E-3</v>
      </c>
      <c r="U44" s="52">
        <f t="shared" si="18"/>
        <v>5.0296675573246255E-3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95" t="s">
        <v>64</v>
      </c>
      <c r="E46" s="396"/>
      <c r="F46" s="397"/>
      <c r="G46" s="395" t="s">
        <v>65</v>
      </c>
      <c r="H46" s="396"/>
      <c r="I46" s="396"/>
      <c r="J46" s="396"/>
      <c r="K46" s="396"/>
      <c r="L46" s="396"/>
      <c r="M46" s="396"/>
      <c r="N46" s="396"/>
      <c r="O46" s="397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0.63167042455531885</v>
      </c>
      <c r="H47" s="272">
        <v>0.13894436854693715</v>
      </c>
      <c r="I47" s="272">
        <v>6.421693960948438E-2</v>
      </c>
      <c r="J47" s="272">
        <v>5.8277039942023934E-2</v>
      </c>
      <c r="K47" s="272">
        <v>4.8245149523757469E-2</v>
      </c>
      <c r="L47" s="272">
        <v>3.4778016924208788E-2</v>
      </c>
      <c r="M47" s="272">
        <v>2.3868060898269206E-2</v>
      </c>
      <c r="N47" s="272">
        <v>-2.2204460492503131E-16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0.99951772230649738</v>
      </c>
      <c r="C48" s="54">
        <v>2.7618248141322692E-4</v>
      </c>
      <c r="D48" s="55">
        <v>0.99931780465692999</v>
      </c>
      <c r="E48" s="1">
        <v>0.99953037398481459</v>
      </c>
      <c r="F48" s="56">
        <v>0.99974379018238646</v>
      </c>
      <c r="G48" s="68">
        <v>1</v>
      </c>
      <c r="H48" s="68">
        <v>0.67992005193047256</v>
      </c>
      <c r="I48" s="68">
        <v>5.1230485358227619E-3</v>
      </c>
      <c r="J48" s="68">
        <v>-8.9064462512594172E-2</v>
      </c>
      <c r="K48" s="68">
        <v>-0.10889364460230755</v>
      </c>
      <c r="L48" s="68">
        <v>-0.1123318841786814</v>
      </c>
      <c r="M48" s="2">
        <v>-9.5388669615706967E-2</v>
      </c>
      <c r="N48" s="2">
        <v>0.99999999999994638</v>
      </c>
      <c r="O48" s="69"/>
      <c r="R48" s="51" t="str">
        <f>A48</f>
        <v>Nominale matching</v>
      </c>
      <c r="S48" s="52">
        <f>D48</f>
        <v>0.99931780465692999</v>
      </c>
      <c r="T48" s="52">
        <f>B48-D48</f>
        <v>1.9991764956739377E-4</v>
      </c>
      <c r="U48" s="52">
        <f>F48-B48</f>
        <v>2.2606787588907995E-4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6.5857399035425149E-5</v>
      </c>
      <c r="C49" s="54">
        <v>1.0687487560494308E-4</v>
      </c>
      <c r="D49" s="55">
        <v>1.0429872640552892E-6</v>
      </c>
      <c r="E49" s="1">
        <v>1.6658760365540942E-5</v>
      </c>
      <c r="F49" s="56">
        <v>8.1906410096718138E-5</v>
      </c>
      <c r="G49" s="68">
        <v>-5.9543311663538802E-2</v>
      </c>
      <c r="H49" s="68">
        <v>-0.52564096339401656</v>
      </c>
      <c r="I49" s="68">
        <v>1</v>
      </c>
      <c r="J49" s="68">
        <v>-0.42129037186085516</v>
      </c>
      <c r="K49" s="68">
        <v>-0.3518633253534349</v>
      </c>
      <c r="L49" s="68">
        <v>-0.13069474319183239</v>
      </c>
      <c r="M49" s="2">
        <v>-0.12790447352817486</v>
      </c>
      <c r="N49" s="2">
        <v>0.99999999999996159</v>
      </c>
      <c r="O49" s="69"/>
      <c r="R49" s="51" t="str">
        <f t="shared" ref="R49:R55" si="20">A49</f>
        <v>High Yield</v>
      </c>
      <c r="S49" s="52">
        <f t="shared" ref="S49:S55" si="21">D49</f>
        <v>1.0429872640552892E-6</v>
      </c>
      <c r="T49" s="52">
        <f t="shared" ref="T49:T55" si="22">B49-D49</f>
        <v>6.4814411771369856E-5</v>
      </c>
      <c r="U49" s="52">
        <f t="shared" ref="U49:U55" si="23">F49-B49</f>
        <v>1.604901106129299E-5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6.6007038093652913E-5</v>
      </c>
      <c r="C50" s="54">
        <v>1.0645579748892662E-4</v>
      </c>
      <c r="D50" s="55">
        <v>1.0974472695264296E-6</v>
      </c>
      <c r="E50" s="1">
        <v>1.8301639810128035E-5</v>
      </c>
      <c r="F50" s="56">
        <v>8.5305053970452115E-5</v>
      </c>
      <c r="G50" s="68">
        <v>-5.8912369329685403E-2</v>
      </c>
      <c r="H50" s="68">
        <v>-0.51797181172287599</v>
      </c>
      <c r="I50" s="68">
        <v>-0.99062868831660089</v>
      </c>
      <c r="J50" s="68">
        <v>-0.48514247716617237</v>
      </c>
      <c r="K50" s="68">
        <v>-0.22282817025948354</v>
      </c>
      <c r="L50" s="68">
        <v>-0.23375420959241247</v>
      </c>
      <c r="M50" s="2">
        <v>-0.12550196637732813</v>
      </c>
      <c r="N50" s="2">
        <v>0.99999999999991684</v>
      </c>
      <c r="O50" s="69"/>
      <c r="R50" s="51" t="str">
        <f t="shared" si="20"/>
        <v>Emerging market debt</v>
      </c>
      <c r="S50" s="52">
        <f t="shared" si="21"/>
        <v>1.0974472695264296E-6</v>
      </c>
      <c r="T50" s="52">
        <f t="shared" si="22"/>
        <v>6.4909590824126478E-5</v>
      </c>
      <c r="U50" s="52">
        <f t="shared" si="23"/>
        <v>1.9298015876799201E-5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3.2821235226595556E-5</v>
      </c>
      <c r="C51" s="54">
        <v>6.1890540458705518E-5</v>
      </c>
      <c r="D51" s="55">
        <v>2.7601941922940682E-7</v>
      </c>
      <c r="E51" s="1">
        <v>6.1678407293092054E-6</v>
      </c>
      <c r="F51" s="56">
        <v>3.4050134770155967E-5</v>
      </c>
      <c r="G51" s="68">
        <v>-2.8888392110480547E-3</v>
      </c>
      <c r="H51" s="68">
        <v>-7.4553124080068922E-2</v>
      </c>
      <c r="I51" s="68">
        <v>-3.0797186778291669E-3</v>
      </c>
      <c r="J51" s="68">
        <v>1.4491540462356011E-3</v>
      </c>
      <c r="K51" s="68">
        <v>6.7144160727511434E-2</v>
      </c>
      <c r="L51" s="68">
        <v>0.13920734575845539</v>
      </c>
      <c r="M51" s="2">
        <v>1</v>
      </c>
      <c r="N51" s="2">
        <v>0.99999999999996936</v>
      </c>
      <c r="O51" s="69"/>
      <c r="R51" s="51" t="str">
        <f t="shared" si="20"/>
        <v>Aandelen ontwikkeld</v>
      </c>
      <c r="S51" s="52">
        <f t="shared" si="21"/>
        <v>2.7601941922940682E-7</v>
      </c>
      <c r="T51" s="52">
        <f t="shared" si="22"/>
        <v>3.2545215807366153E-5</v>
      </c>
      <c r="U51" s="52">
        <f t="shared" si="23"/>
        <v>1.2288995435604105E-6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5.6499982623495601E-5</v>
      </c>
      <c r="C52" s="54">
        <v>9.6933815694907251E-5</v>
      </c>
      <c r="D52" s="55">
        <v>4.3091737891626107E-7</v>
      </c>
      <c r="E52" s="1">
        <v>1.1749223743755259E-5</v>
      </c>
      <c r="F52" s="56">
        <v>6.4073098861509278E-5</v>
      </c>
      <c r="G52" s="68">
        <v>-4.9465870943181042E-2</v>
      </c>
      <c r="H52" s="68">
        <v>-0.28249069624936241</v>
      </c>
      <c r="I52" s="68">
        <v>-5.775234479276567E-2</v>
      </c>
      <c r="J52" s="68">
        <v>1</v>
      </c>
      <c r="K52" s="68">
        <v>-0.32720049431034243</v>
      </c>
      <c r="L52" s="68">
        <v>-0.24891770126784879</v>
      </c>
      <c r="M52" s="2">
        <v>-0.10773269473207477</v>
      </c>
      <c r="N52" s="2">
        <v>0.999999999999995</v>
      </c>
      <c r="O52" s="69"/>
      <c r="R52" s="51" t="str">
        <f t="shared" si="20"/>
        <v>Aandelen opkomend</v>
      </c>
      <c r="S52" s="52">
        <f t="shared" si="21"/>
        <v>4.3091737891626107E-7</v>
      </c>
      <c r="T52" s="52">
        <f t="shared" si="22"/>
        <v>5.606906524457934E-5</v>
      </c>
      <c r="U52" s="52">
        <f t="shared" si="23"/>
        <v>7.5731162380136773E-6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4.1755075717608028E-5</v>
      </c>
      <c r="C53" s="54">
        <v>7.4025520063019908E-5</v>
      </c>
      <c r="D53" s="55">
        <v>3.0794709335900696E-7</v>
      </c>
      <c r="E53" s="1">
        <v>7.1073502129320125E-6</v>
      </c>
      <c r="F53" s="56">
        <v>4.4484400676418222E-5</v>
      </c>
      <c r="G53" s="68">
        <v>-2.8268015581100984E-2</v>
      </c>
      <c r="H53" s="68">
        <v>-9.8568533822621027E-2</v>
      </c>
      <c r="I53" s="68">
        <v>-7.9219385681417898E-2</v>
      </c>
      <c r="J53" s="68">
        <v>6.7628285994260892E-2</v>
      </c>
      <c r="K53" s="68">
        <v>6.9823004356098381E-2</v>
      </c>
      <c r="L53" s="68">
        <v>1</v>
      </c>
      <c r="M53" s="2">
        <v>-0.28393019206352849</v>
      </c>
      <c r="N53" s="2">
        <v>1</v>
      </c>
      <c r="O53" s="69"/>
      <c r="R53" s="51" t="str">
        <f t="shared" si="20"/>
        <v>Commodities</v>
      </c>
      <c r="S53" s="52">
        <f t="shared" si="21"/>
        <v>3.0794709335900696E-7</v>
      </c>
      <c r="T53" s="52">
        <f t="shared" si="22"/>
        <v>4.144712862424902E-5</v>
      </c>
      <c r="U53" s="52">
        <f t="shared" si="23"/>
        <v>2.7293249588101933E-6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1.6800676560255187E-4</v>
      </c>
      <c r="C54" s="54">
        <v>2.3089124414326447E-4</v>
      </c>
      <c r="D54" s="55">
        <v>6.5723379232597564E-6</v>
      </c>
      <c r="E54" s="1">
        <v>5.8487725243907854E-5</v>
      </c>
      <c r="F54" s="56">
        <v>2.3183407403589871E-4</v>
      </c>
      <c r="G54" s="68">
        <v>-0.7651690605991065</v>
      </c>
      <c r="H54" s="68">
        <v>1</v>
      </c>
      <c r="I54" s="68">
        <v>6.2461948739179988E-3</v>
      </c>
      <c r="J54" s="68">
        <v>-0.11536569490280223</v>
      </c>
      <c r="K54" s="68">
        <v>-0.12618153055803741</v>
      </c>
      <c r="L54" s="68">
        <v>-0.12661094679168539</v>
      </c>
      <c r="M54" s="2">
        <v>-8.3126051777462656E-2</v>
      </c>
      <c r="N54" s="2">
        <v>0.99999999999991873</v>
      </c>
      <c r="O54" s="69"/>
      <c r="R54" s="51" t="str">
        <f t="shared" si="20"/>
        <v>Hedge funds</v>
      </c>
      <c r="S54" s="52">
        <f t="shared" si="21"/>
        <v>6.5723379232597564E-6</v>
      </c>
      <c r="T54" s="52">
        <f t="shared" si="22"/>
        <v>1.6143442767929211E-4</v>
      </c>
      <c r="U54" s="52">
        <f t="shared" si="23"/>
        <v>6.382730843334684E-5</v>
      </c>
    </row>
    <row r="55" spans="1:36">
      <c r="A55" s="60" t="str">
        <f t="shared" si="19"/>
        <v>Onroerend goed</v>
      </c>
      <c r="B55" s="61">
        <v>5.1330197202964345E-5</v>
      </c>
      <c r="C55" s="62">
        <v>8.7315111350468329E-5</v>
      </c>
      <c r="D55" s="63">
        <v>6.8720279996447941E-7</v>
      </c>
      <c r="E55" s="61">
        <v>1.1049236563763996E-5</v>
      </c>
      <c r="F55" s="64">
        <v>6.1218718017505094E-5</v>
      </c>
      <c r="G55" s="70">
        <v>-3.575253267235725E-2</v>
      </c>
      <c r="H55" s="70">
        <v>-0.18069492266148604</v>
      </c>
      <c r="I55" s="70">
        <v>0.1193108940588361</v>
      </c>
      <c r="J55" s="70">
        <v>4.1785566401864378E-2</v>
      </c>
      <c r="K55" s="70">
        <v>1</v>
      </c>
      <c r="L55" s="70">
        <v>-0.28689786073604723</v>
      </c>
      <c r="M55" s="65">
        <v>-0.17641595190572995</v>
      </c>
      <c r="N55" s="65">
        <v>0.99999999999994826</v>
      </c>
      <c r="O55" s="71"/>
      <c r="R55" s="51" t="str">
        <f t="shared" si="20"/>
        <v>Onroerend goed</v>
      </c>
      <c r="S55" s="52">
        <f t="shared" si="21"/>
        <v>6.8720279996447941E-7</v>
      </c>
      <c r="T55" s="52">
        <f t="shared" si="22"/>
        <v>5.0642994402999865E-5</v>
      </c>
      <c r="U55" s="52">
        <f t="shared" si="23"/>
        <v>9.8885208145407498E-6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95" t="s">
        <v>64</v>
      </c>
      <c r="E57" s="396"/>
      <c r="F57" s="397"/>
      <c r="G57" s="395" t="s">
        <v>65</v>
      </c>
      <c r="H57" s="396"/>
      <c r="I57" s="396"/>
      <c r="J57" s="396"/>
      <c r="K57" s="396"/>
      <c r="L57" s="396"/>
      <c r="M57" s="396"/>
      <c r="N57" s="396"/>
      <c r="O57" s="397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0.58557246205002744</v>
      </c>
      <c r="H58" s="272">
        <v>0.2677849361089617</v>
      </c>
      <c r="I58" s="272">
        <v>5.4024934790248058E-2</v>
      </c>
      <c r="J58" s="272">
        <v>3.3086911843915878E-2</v>
      </c>
      <c r="K58" s="272">
        <v>2.5688551774999735E-2</v>
      </c>
      <c r="L58" s="272">
        <v>2.1600094399689684E-2</v>
      </c>
      <c r="M58" s="272">
        <v>1.2242109032163162E-2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0.91040031831552837</v>
      </c>
      <c r="C59" s="54">
        <v>1.0309384190786669E-3</v>
      </c>
      <c r="D59" s="55">
        <v>0.90959526434573212</v>
      </c>
      <c r="E59" s="1">
        <v>0.91020330868110377</v>
      </c>
      <c r="F59" s="56">
        <v>0.91095282498647823</v>
      </c>
      <c r="G59" s="2">
        <v>-0.29267840963925446</v>
      </c>
      <c r="H59" s="2">
        <v>1</v>
      </c>
      <c r="I59" s="2">
        <v>-0.80024478078089178</v>
      </c>
      <c r="J59" s="2">
        <v>-1.6737582406700893E-2</v>
      </c>
      <c r="K59" s="2">
        <v>-0.13198018745057433</v>
      </c>
      <c r="L59" s="2">
        <v>-7.1121187675469308E-2</v>
      </c>
      <c r="M59" s="2">
        <v>-0.11374426552970805</v>
      </c>
      <c r="N59" s="2">
        <v>0.99999999999998423</v>
      </c>
      <c r="O59" s="69"/>
      <c r="R59" s="51" t="str">
        <f>A59</f>
        <v>Nominale matching</v>
      </c>
      <c r="S59" s="52">
        <f>D59</f>
        <v>0.90959526434573212</v>
      </c>
      <c r="T59" s="52">
        <f>B59-D59</f>
        <v>8.0505396979624333E-4</v>
      </c>
      <c r="U59" s="52">
        <f>F59-B59</f>
        <v>5.5250667094985939E-4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2.4245520146417212E-4</v>
      </c>
      <c r="C60" s="54">
        <v>3.9952963100400483E-4</v>
      </c>
      <c r="D60" s="55">
        <v>5.3239154391964945E-6</v>
      </c>
      <c r="E60" s="1">
        <v>6.0631447860123962E-5</v>
      </c>
      <c r="F60" s="56">
        <v>3.2645216682692974E-4</v>
      </c>
      <c r="G60" s="2">
        <v>1.2574763590285956E-2</v>
      </c>
      <c r="H60" s="2">
        <v>-3.6539002303062015E-3</v>
      </c>
      <c r="I60" s="2">
        <v>0.74893860359933029</v>
      </c>
      <c r="J60" s="2">
        <v>1</v>
      </c>
      <c r="K60" s="2">
        <v>-0.4752893959404117</v>
      </c>
      <c r="L60" s="2">
        <v>-0.19847752694332635</v>
      </c>
      <c r="M60" s="2">
        <v>-0.14133740953364959</v>
      </c>
      <c r="N60" s="2">
        <v>0.99999999999998468</v>
      </c>
      <c r="O60" s="69"/>
      <c r="R60" s="51" t="str">
        <f t="shared" ref="R60:R66" si="25">A60</f>
        <v>High Yield</v>
      </c>
      <c r="S60" s="52">
        <f t="shared" ref="S60:S66" si="26">D60</f>
        <v>5.3239154391964945E-6</v>
      </c>
      <c r="T60" s="52">
        <f t="shared" ref="T60:T66" si="27">B60-D60</f>
        <v>2.3713128602497564E-4</v>
      </c>
      <c r="U60" s="52">
        <f t="shared" ref="U60:U66" si="28">F60-B60</f>
        <v>8.3996965362757614E-5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9.6966778017564003E-4</v>
      </c>
      <c r="C61" s="54">
        <v>1.2223040652990888E-3</v>
      </c>
      <c r="D61" s="55">
        <v>4.6196730692603174E-5</v>
      </c>
      <c r="E61" s="1">
        <v>5.0079865122370625E-4</v>
      </c>
      <c r="F61" s="56">
        <v>1.5017266053136301E-3</v>
      </c>
      <c r="G61" s="2">
        <v>-0.70032235365337592</v>
      </c>
      <c r="H61" s="2">
        <v>-0.76885698456421736</v>
      </c>
      <c r="I61" s="2">
        <v>-0.74541447372540282</v>
      </c>
      <c r="J61" s="2">
        <v>-7.5277139913826563E-2</v>
      </c>
      <c r="K61" s="2">
        <v>-0.17289095385509462</v>
      </c>
      <c r="L61" s="2">
        <v>-9.0276225637885857E-2</v>
      </c>
      <c r="M61" s="2">
        <v>-0.12658660400555594</v>
      </c>
      <c r="N61" s="2">
        <v>0.99999999999998679</v>
      </c>
      <c r="O61" s="69"/>
      <c r="R61" s="51" t="str">
        <f t="shared" si="25"/>
        <v>Emerging market debt</v>
      </c>
      <c r="S61" s="52">
        <f t="shared" si="26"/>
        <v>4.6196730692603174E-5</v>
      </c>
      <c r="T61" s="52">
        <f t="shared" si="27"/>
        <v>9.2347104948303684E-4</v>
      </c>
      <c r="U61" s="52">
        <f t="shared" si="28"/>
        <v>5.3205882513799002E-4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1.7808289296488317E-4</v>
      </c>
      <c r="C62" s="54">
        <v>3.1833217667634798E-4</v>
      </c>
      <c r="D62" s="55">
        <v>9.661664333100948E-7</v>
      </c>
      <c r="E62" s="1">
        <v>2.6064712252070314E-5</v>
      </c>
      <c r="F62" s="56">
        <v>2.1140167637085597E-4</v>
      </c>
      <c r="G62" s="2">
        <v>7.2477861113822151E-3</v>
      </c>
      <c r="H62" s="2">
        <v>-2.3075340504508771E-2</v>
      </c>
      <c r="I62" s="2">
        <v>0.1774527328541009</v>
      </c>
      <c r="J62" s="2">
        <v>0.13528231546370201</v>
      </c>
      <c r="K62" s="2">
        <v>0.33180531277465553</v>
      </c>
      <c r="L62" s="2">
        <v>1</v>
      </c>
      <c r="M62" s="2">
        <v>-0.16482007075318658</v>
      </c>
      <c r="N62" s="2">
        <v>1</v>
      </c>
      <c r="O62" s="69"/>
      <c r="R62" s="51" t="str">
        <f t="shared" si="25"/>
        <v>Aandelen ontwikkeld</v>
      </c>
      <c r="S62" s="52">
        <f t="shared" si="26"/>
        <v>9.661664333100948E-7</v>
      </c>
      <c r="T62" s="52">
        <f t="shared" si="27"/>
        <v>1.7711672653157308E-4</v>
      </c>
      <c r="U62" s="52">
        <f t="shared" si="28"/>
        <v>3.3318783405972806E-5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2.564489860338996E-4</v>
      </c>
      <c r="C63" s="54">
        <v>4.3003569463960733E-4</v>
      </c>
      <c r="D63" s="55">
        <v>1.6511004576110284E-6</v>
      </c>
      <c r="E63" s="1">
        <v>5.1218597797573118E-5</v>
      </c>
      <c r="F63" s="56">
        <v>3.4935989717820438E-4</v>
      </c>
      <c r="G63" s="2">
        <v>-5.6065772454889938E-2</v>
      </c>
      <c r="H63" s="2">
        <v>6.6952453942922457E-2</v>
      </c>
      <c r="I63" s="2">
        <v>1</v>
      </c>
      <c r="J63" s="2">
        <v>-0.94846854425630722</v>
      </c>
      <c r="K63" s="2">
        <v>-0.32650273481301417</v>
      </c>
      <c r="L63" s="2">
        <v>-9.0452343486416273E-2</v>
      </c>
      <c r="M63" s="2">
        <v>-0.20353486651370886</v>
      </c>
      <c r="N63" s="2">
        <v>0.99999999999997968</v>
      </c>
      <c r="O63" s="69"/>
      <c r="R63" s="51" t="str">
        <f t="shared" si="25"/>
        <v>Aandelen opkomend</v>
      </c>
      <c r="S63" s="52">
        <f t="shared" si="26"/>
        <v>1.6511004576110284E-6</v>
      </c>
      <c r="T63" s="52">
        <f t="shared" si="27"/>
        <v>2.5479788557628859E-4</v>
      </c>
      <c r="U63" s="52">
        <f t="shared" si="28"/>
        <v>9.2910911144304784E-5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1.3266771859855406E-4</v>
      </c>
      <c r="C64" s="54">
        <v>2.3869618300325653E-4</v>
      </c>
      <c r="D64" s="55">
        <v>4.2553612459991924E-7</v>
      </c>
      <c r="E64" s="1">
        <v>2.4171818834641723E-5</v>
      </c>
      <c r="F64" s="56">
        <v>1.433888691762387E-4</v>
      </c>
      <c r="G64" s="2">
        <v>1.6735666131070796E-2</v>
      </c>
      <c r="H64" s="2">
        <v>-1.140711525179579E-2</v>
      </c>
      <c r="I64" s="2">
        <v>7.5892630143845966E-2</v>
      </c>
      <c r="J64" s="2">
        <v>-5.0631175426556978E-2</v>
      </c>
      <c r="K64" s="2">
        <v>-3.8842799648584836E-2</v>
      </c>
      <c r="L64" s="2">
        <v>3.433345289890951E-2</v>
      </c>
      <c r="M64" s="2">
        <v>1</v>
      </c>
      <c r="N64" s="2">
        <v>0.99999999999999967</v>
      </c>
      <c r="O64" s="69"/>
      <c r="R64" s="51" t="str">
        <f t="shared" si="25"/>
        <v>Commodities</v>
      </c>
      <c r="S64" s="52">
        <f t="shared" si="26"/>
        <v>4.2553612459991924E-7</v>
      </c>
      <c r="T64" s="52">
        <f t="shared" si="27"/>
        <v>1.3224218247395413E-4</v>
      </c>
      <c r="U64" s="52">
        <f t="shared" si="28"/>
        <v>1.0721150577684647E-5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8.7616171604620083E-2</v>
      </c>
      <c r="C65" s="54">
        <v>1.423288028594963E-3</v>
      </c>
      <c r="D65" s="55">
        <v>8.6613925123170454E-2</v>
      </c>
      <c r="E65" s="1">
        <v>8.7646812905970081E-2</v>
      </c>
      <c r="F65" s="56">
        <v>8.8639360463143413E-2</v>
      </c>
      <c r="G65" s="2">
        <v>1</v>
      </c>
      <c r="H65" s="2">
        <v>-0.24137907962274566</v>
      </c>
      <c r="I65" s="2">
        <v>-0.71538971043123145</v>
      </c>
      <c r="J65" s="2">
        <v>-0.12450642916959904</v>
      </c>
      <c r="K65" s="2">
        <v>-0.18629924106697829</v>
      </c>
      <c r="L65" s="2">
        <v>-8.8234678351421542E-2</v>
      </c>
      <c r="M65" s="2">
        <v>-0.1458141602953528</v>
      </c>
      <c r="N65" s="2">
        <v>0.99999999999999134</v>
      </c>
      <c r="O65" s="69"/>
      <c r="R65" s="51" t="str">
        <f t="shared" si="25"/>
        <v>Hedge funds</v>
      </c>
      <c r="S65" s="52">
        <f t="shared" si="26"/>
        <v>8.6613925123170454E-2</v>
      </c>
      <c r="T65" s="52">
        <f t="shared" si="27"/>
        <v>1.0022464814496285E-3</v>
      </c>
      <c r="U65" s="52">
        <f t="shared" si="28"/>
        <v>1.0231888585233301E-3</v>
      </c>
    </row>
    <row r="66" spans="1:36">
      <c r="A66" s="60" t="str">
        <f t="shared" si="24"/>
        <v>Onroerend goed</v>
      </c>
      <c r="B66" s="61">
        <v>2.041875006144596E-4</v>
      </c>
      <c r="C66" s="62">
        <v>3.4041848862041696E-4</v>
      </c>
      <c r="D66" s="63">
        <v>2.6356546255662357E-6</v>
      </c>
      <c r="E66" s="61">
        <v>5.0997763788292636E-5</v>
      </c>
      <c r="F66" s="64">
        <v>2.7249945475081886E-4</v>
      </c>
      <c r="G66" s="65">
        <v>1.2508319914775004E-2</v>
      </c>
      <c r="H66" s="65">
        <v>-1.8580033769344112E-2</v>
      </c>
      <c r="I66" s="65">
        <v>0.25876499834025657</v>
      </c>
      <c r="J66" s="65">
        <v>8.033855570928318E-2</v>
      </c>
      <c r="K66" s="65">
        <v>1</v>
      </c>
      <c r="L66" s="65">
        <v>-0.4957714908044068</v>
      </c>
      <c r="M66" s="65">
        <v>-0.10416262336885089</v>
      </c>
      <c r="N66" s="65">
        <v>0.99999999999998201</v>
      </c>
      <c r="O66" s="71"/>
      <c r="R66" s="51" t="str">
        <f t="shared" si="25"/>
        <v>Onroerend goed</v>
      </c>
      <c r="S66" s="52">
        <f t="shared" si="26"/>
        <v>2.6356546255662357E-6</v>
      </c>
      <c r="T66" s="52">
        <f t="shared" si="27"/>
        <v>2.0155184598889337E-4</v>
      </c>
      <c r="U66" s="52">
        <f t="shared" si="28"/>
        <v>6.8311954136359267E-5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0.55259014264862238</v>
      </c>
      <c r="H69" s="272">
        <v>0.28535413579288471</v>
      </c>
      <c r="I69" s="272">
        <v>0.11751609264074669</v>
      </c>
      <c r="J69" s="272">
        <v>3.4422360988265122E-2</v>
      </c>
      <c r="K69" s="272">
        <v>6.6266464743856002E-3</v>
      </c>
      <c r="L69" s="272">
        <v>2.8242089078042154E-3</v>
      </c>
      <c r="M69" s="272">
        <v>6.6641254729460364E-4</v>
      </c>
      <c r="N69" s="272">
        <v>4.4408920985006262E-16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0.74210401897635492</v>
      </c>
      <c r="C70" s="54">
        <v>1.2297692296716255E-2</v>
      </c>
      <c r="D70" s="55">
        <v>0.73339422303277468</v>
      </c>
      <c r="E70" s="1">
        <v>0.74175858282811602</v>
      </c>
      <c r="F70" s="56">
        <v>0.75010893470008844</v>
      </c>
      <c r="G70" s="68">
        <v>9.4401307148054125E-3</v>
      </c>
      <c r="H70" s="68">
        <v>-0.47388824526661594</v>
      </c>
      <c r="I70" s="68">
        <v>-0.37899268443827289</v>
      </c>
      <c r="J70" s="68">
        <v>-0.27241130861879043</v>
      </c>
      <c r="K70" s="68">
        <v>0.20177619706499927</v>
      </c>
      <c r="L70" s="68">
        <v>0.13338934615924919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0.73339422303277468</v>
      </c>
      <c r="T70" s="52">
        <f>B70-D70</f>
        <v>8.7097959435802341E-3</v>
      </c>
      <c r="U70" s="52">
        <f>F70-B70</f>
        <v>8.0049157237335189E-3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1.8694595409361223E-2</v>
      </c>
      <c r="C71" s="54">
        <v>1.7245139012676155E-2</v>
      </c>
      <c r="D71" s="55">
        <v>4.7981671404336646E-3</v>
      </c>
      <c r="E71" s="1">
        <v>1.435471332530891E-2</v>
      </c>
      <c r="F71" s="56">
        <v>2.6872585920989386E-2</v>
      </c>
      <c r="G71" s="68">
        <v>-8.4445900128290924E-2</v>
      </c>
      <c r="H71" s="68">
        <v>-0.22945302923980851</v>
      </c>
      <c r="I71" s="68">
        <v>1</v>
      </c>
      <c r="J71" s="68">
        <v>-0.16478367662694124</v>
      </c>
      <c r="K71" s="68">
        <v>-0.14338471100251041</v>
      </c>
      <c r="L71" s="68">
        <v>-5.9733790818225441E-2</v>
      </c>
      <c r="M71" s="2">
        <v>0.18309794069472732</v>
      </c>
      <c r="N71" s="2">
        <v>0.99999999999993983</v>
      </c>
      <c r="O71" s="69"/>
      <c r="R71" s="51" t="str">
        <f t="shared" ref="R71:R77" si="30">A71</f>
        <v>High Yield</v>
      </c>
      <c r="S71" s="52">
        <f t="shared" ref="S71:S77" si="31">D71</f>
        <v>4.7981671404336646E-3</v>
      </c>
      <c r="T71" s="52">
        <f t="shared" ref="T71:T77" si="32">B71-D71</f>
        <v>1.389642826892756E-2</v>
      </c>
      <c r="U71" s="52">
        <f t="shared" ref="U71:U77" si="33">F71-B71</f>
        <v>8.177990511628163E-3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8.9274739671457801E-3</v>
      </c>
      <c r="C72" s="54">
        <v>9.2275057316660077E-3</v>
      </c>
      <c r="D72" s="55">
        <v>1.817380098889378E-3</v>
      </c>
      <c r="E72" s="1">
        <v>5.4645433390532652E-3</v>
      </c>
      <c r="F72" s="56">
        <v>1.3500514652096028E-2</v>
      </c>
      <c r="G72" s="68">
        <v>-1.1990627124513658E-2</v>
      </c>
      <c r="H72" s="68">
        <v>-8.3537751805722385E-2</v>
      </c>
      <c r="I72" s="68">
        <v>-5.305074058128631E-2</v>
      </c>
      <c r="J72" s="68">
        <v>1</v>
      </c>
      <c r="K72" s="68">
        <v>-0.19239314374599686</v>
      </c>
      <c r="L72" s="68">
        <v>-0.10191756970633468</v>
      </c>
      <c r="M72" s="2">
        <v>0.17878956297374513</v>
      </c>
      <c r="N72" s="2">
        <v>0.99999999999993749</v>
      </c>
      <c r="O72" s="69"/>
      <c r="R72" s="51" t="str">
        <f t="shared" si="30"/>
        <v>Emerging market debt</v>
      </c>
      <c r="S72" s="52">
        <f t="shared" si="31"/>
        <v>1.817380098889378E-3</v>
      </c>
      <c r="T72" s="52">
        <f t="shared" si="32"/>
        <v>7.1100938682564022E-3</v>
      </c>
      <c r="U72" s="52">
        <f t="shared" si="33"/>
        <v>4.573040684950248E-3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2.8936030398781527E-3</v>
      </c>
      <c r="C73" s="54">
        <v>3.7251141641533856E-3</v>
      </c>
      <c r="D73" s="55">
        <v>2.1152357814109167E-4</v>
      </c>
      <c r="E73" s="1">
        <v>1.5284078852579835E-3</v>
      </c>
      <c r="F73" s="56">
        <v>4.0265696216699298E-3</v>
      </c>
      <c r="G73" s="68">
        <v>-3.397018006447634E-3</v>
      </c>
      <c r="H73" s="68">
        <v>-2.5579905886276986E-2</v>
      </c>
      <c r="I73" s="68">
        <v>-1.5383877466865897E-2</v>
      </c>
      <c r="J73" s="68">
        <v>7.6784751948671039E-3</v>
      </c>
      <c r="K73" s="68">
        <v>1</v>
      </c>
      <c r="L73" s="68">
        <v>-0.4185059990385267</v>
      </c>
      <c r="M73" s="2">
        <v>-0.42178337461605814</v>
      </c>
      <c r="N73" s="2">
        <v>0.99999999999990585</v>
      </c>
      <c r="O73" s="69"/>
      <c r="R73" s="51" t="str">
        <f t="shared" si="30"/>
        <v>Aandelen ontwikkeld</v>
      </c>
      <c r="S73" s="52">
        <f t="shared" si="31"/>
        <v>2.1152357814109167E-4</v>
      </c>
      <c r="T73" s="52">
        <f t="shared" si="32"/>
        <v>2.6820794617370609E-3</v>
      </c>
      <c r="U73" s="52">
        <f t="shared" si="33"/>
        <v>1.1329665817917771E-3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1.9587393313640106E-3</v>
      </c>
      <c r="C74" s="54">
        <v>2.600992407180704E-3</v>
      </c>
      <c r="D74" s="55">
        <v>1.2034398533330801E-4</v>
      </c>
      <c r="E74" s="1">
        <v>8.9191024594513794E-4</v>
      </c>
      <c r="F74" s="56">
        <v>2.9074123427886428E-3</v>
      </c>
      <c r="G74" s="68">
        <v>-9.4671647086846976E-4</v>
      </c>
      <c r="H74" s="68">
        <v>-1.500143065831256E-2</v>
      </c>
      <c r="I74" s="68">
        <v>-2.9953259290631872E-2</v>
      </c>
      <c r="J74" s="68">
        <v>1.1425148483992807E-2</v>
      </c>
      <c r="K74" s="68">
        <v>0.12385799145773238</v>
      </c>
      <c r="L74" s="68">
        <v>1</v>
      </c>
      <c r="M74" s="2">
        <v>-0.47234351160355004</v>
      </c>
      <c r="N74" s="2">
        <v>0.9999999999999134</v>
      </c>
      <c r="O74" s="69"/>
      <c r="R74" s="51" t="str">
        <f t="shared" si="30"/>
        <v>Aandelen opkomend</v>
      </c>
      <c r="S74" s="52">
        <f t="shared" si="31"/>
        <v>1.2034398533330801E-4</v>
      </c>
      <c r="T74" s="52">
        <f t="shared" si="32"/>
        <v>1.8383953460307026E-3</v>
      </c>
      <c r="U74" s="52">
        <f t="shared" si="33"/>
        <v>9.4867301142463221E-4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5.0076100481880492E-2</v>
      </c>
      <c r="C75" s="54">
        <v>1.7382188674499352E-2</v>
      </c>
      <c r="D75" s="55">
        <v>3.9041996584103802E-2</v>
      </c>
      <c r="E75" s="1">
        <v>5.0444092400136267E-2</v>
      </c>
      <c r="F75" s="56">
        <v>6.2866551932150322E-2</v>
      </c>
      <c r="G75" s="68">
        <v>-0.33492116344313633</v>
      </c>
      <c r="H75" s="68">
        <v>-0.54705311035322068</v>
      </c>
      <c r="I75" s="68">
        <v>-0.33242312933302348</v>
      </c>
      <c r="J75" s="68">
        <v>-0.25237913367790321</v>
      </c>
      <c r="K75" s="68">
        <v>-0.57372856581139475</v>
      </c>
      <c r="L75" s="68">
        <v>-0.32309967144561963</v>
      </c>
      <c r="M75" s="2">
        <v>-0.603631999527528</v>
      </c>
      <c r="N75" s="2">
        <v>0.99999999999988221</v>
      </c>
      <c r="O75" s="69"/>
      <c r="R75" s="51" t="str">
        <f t="shared" si="30"/>
        <v>Commodities</v>
      </c>
      <c r="S75" s="52">
        <f t="shared" si="31"/>
        <v>3.9041996584103802E-2</v>
      </c>
      <c r="T75" s="52">
        <f t="shared" si="32"/>
        <v>1.103410389777669E-2</v>
      </c>
      <c r="U75" s="52">
        <f t="shared" si="33"/>
        <v>1.279045145026983E-2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3.237305465508386E-2</v>
      </c>
      <c r="C76" s="54">
        <v>2.8885744729244146E-2</v>
      </c>
      <c r="D76" s="55">
        <v>8.5551150091976377E-3</v>
      </c>
      <c r="E76" s="1">
        <v>2.4232052490117784E-2</v>
      </c>
      <c r="F76" s="56">
        <v>4.9982231182866543E-2</v>
      </c>
      <c r="G76" s="68">
        <v>-0.57373870554154915</v>
      </c>
      <c r="H76" s="68">
        <v>1</v>
      </c>
      <c r="I76" s="68">
        <v>-0.10558784598792503</v>
      </c>
      <c r="J76" s="68">
        <v>-0.15611626675478429</v>
      </c>
      <c r="K76" s="68">
        <v>-0.13418253345076703</v>
      </c>
      <c r="L76" s="68">
        <v>-7.238742922435433E-2</v>
      </c>
      <c r="M76" s="2">
        <v>0.21080688611278012</v>
      </c>
      <c r="N76" s="2">
        <v>0.99999999999994171</v>
      </c>
      <c r="O76" s="69"/>
      <c r="R76" s="51" t="str">
        <f t="shared" si="30"/>
        <v>Hedge funds</v>
      </c>
      <c r="S76" s="52">
        <f t="shared" si="31"/>
        <v>8.5551150091976377E-3</v>
      </c>
      <c r="T76" s="52">
        <f t="shared" si="32"/>
        <v>2.3817939645886223E-2</v>
      </c>
      <c r="U76" s="52">
        <f t="shared" si="33"/>
        <v>1.7609176527782683E-2</v>
      </c>
    </row>
    <row r="77" spans="1:36">
      <c r="A77" s="60" t="str">
        <f t="shared" si="29"/>
        <v>Onroerend goed</v>
      </c>
      <c r="B77" s="61">
        <v>0.142972414138931</v>
      </c>
      <c r="C77" s="62">
        <v>3.4034854525069623E-2</v>
      </c>
      <c r="D77" s="63">
        <v>0.118080976125847</v>
      </c>
      <c r="E77" s="61">
        <v>0.14112047005579109</v>
      </c>
      <c r="F77" s="64">
        <v>0.16515039952283034</v>
      </c>
      <c r="G77" s="70">
        <v>1</v>
      </c>
      <c r="H77" s="70">
        <v>0.3745134732099577</v>
      </c>
      <c r="I77" s="70">
        <v>-8.4608462901994058E-2</v>
      </c>
      <c r="J77" s="70">
        <v>-0.17341323800043834</v>
      </c>
      <c r="K77" s="70">
        <v>-0.28194523451207659</v>
      </c>
      <c r="L77" s="70">
        <v>-0.15774488592620645</v>
      </c>
      <c r="M77" s="65">
        <v>-7.4935504034239001E-2</v>
      </c>
      <c r="N77" s="65">
        <v>0.99999999999992095</v>
      </c>
      <c r="O77" s="71"/>
      <c r="R77" s="51" t="str">
        <f t="shared" si="30"/>
        <v>Onroerend goed</v>
      </c>
      <c r="S77" s="52">
        <f t="shared" si="31"/>
        <v>0.118080976125847</v>
      </c>
      <c r="T77" s="52">
        <f t="shared" si="32"/>
        <v>2.4891438013083994E-2</v>
      </c>
      <c r="U77" s="52">
        <f t="shared" si="33"/>
        <v>2.217798538389934E-2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95" t="s">
        <v>64</v>
      </c>
      <c r="E79" s="396"/>
      <c r="F79" s="397"/>
      <c r="G79" s="395" t="s">
        <v>65</v>
      </c>
      <c r="H79" s="396"/>
      <c r="I79" s="396"/>
      <c r="J79" s="396"/>
      <c r="K79" s="396"/>
      <c r="L79" s="396"/>
      <c r="M79" s="396"/>
      <c r="N79" s="396"/>
      <c r="O79" s="397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0.793870753850349</v>
      </c>
      <c r="H80" s="272">
        <v>9.0032283068141039E-2</v>
      </c>
      <c r="I80" s="272">
        <v>7.4079883375709032E-2</v>
      </c>
      <c r="J80" s="272">
        <v>3.7381924491545204E-2</v>
      </c>
      <c r="K80" s="272">
        <v>2.9660592285682963E-3</v>
      </c>
      <c r="L80" s="272">
        <v>1.0855006994477945E-3</v>
      </c>
      <c r="M80" s="272">
        <v>5.8359528623763701E-4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0.63884131311996284</v>
      </c>
      <c r="C81" s="54">
        <v>3.3388435170532221E-2</v>
      </c>
      <c r="D81" s="55">
        <v>0.6155766536146553</v>
      </c>
      <c r="E81" s="1">
        <v>0.64262510968805775</v>
      </c>
      <c r="F81" s="56">
        <v>0.66431038682323595</v>
      </c>
      <c r="G81" s="2">
        <v>-0.56042177567045171</v>
      </c>
      <c r="H81" s="2">
        <v>0.18313749683766231</v>
      </c>
      <c r="I81" s="2">
        <v>-0.47652219504931431</v>
      </c>
      <c r="J81" s="2">
        <v>-0.33421197790326884</v>
      </c>
      <c r="K81" s="2">
        <v>-0.2548593858775865</v>
      </c>
      <c r="L81" s="2">
        <v>-0.69817593933227184</v>
      </c>
      <c r="M81" s="2">
        <v>-0.41375795201160609</v>
      </c>
      <c r="N81" s="2">
        <v>1</v>
      </c>
      <c r="O81" s="69"/>
      <c r="R81" s="51" t="str">
        <f>A81</f>
        <v>Nominale matching</v>
      </c>
      <c r="S81" s="52">
        <f>D81</f>
        <v>0.6155766536146553</v>
      </c>
      <c r="T81" s="52">
        <f>B81-D81</f>
        <v>2.3264659505307539E-2</v>
      </c>
      <c r="U81" s="52">
        <f>F81-B81</f>
        <v>2.5469073703273115E-2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8.9152415993890524E-2</v>
      </c>
      <c r="C82" s="54">
        <v>5.7583447950149025E-2</v>
      </c>
      <c r="D82" s="55">
        <v>4.3600169544033028E-2</v>
      </c>
      <c r="E82" s="1">
        <v>7.9182136751944354E-2</v>
      </c>
      <c r="F82" s="56">
        <v>0.12465809585601395</v>
      </c>
      <c r="G82" s="2">
        <v>1</v>
      </c>
      <c r="H82" s="2">
        <v>2.0851454662755609E-2</v>
      </c>
      <c r="I82" s="2">
        <v>-0.36798307719795231</v>
      </c>
      <c r="J82" s="2">
        <v>-0.21894270330411147</v>
      </c>
      <c r="K82" s="2">
        <v>-0.19361879854251043</v>
      </c>
      <c r="L82" s="2">
        <v>-4.1759760950414823E-2</v>
      </c>
      <c r="M82" s="2">
        <v>-0.18754647272114583</v>
      </c>
      <c r="N82" s="2">
        <v>0.99999999999999012</v>
      </c>
      <c r="O82" s="69"/>
      <c r="R82" s="51" t="str">
        <f t="shared" ref="R82:R88" si="35">A82</f>
        <v>High Yield</v>
      </c>
      <c r="S82" s="52">
        <f t="shared" ref="S82:S88" si="36">D82</f>
        <v>4.3600169544033028E-2</v>
      </c>
      <c r="T82" s="52">
        <f t="shared" ref="T82:T88" si="37">B82-D82</f>
        <v>4.5552246449857496E-2</v>
      </c>
      <c r="U82" s="52">
        <f t="shared" ref="U82:U88" si="38">F82-B82</f>
        <v>3.5505679862123427E-2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1.6180596839274166E-2</v>
      </c>
      <c r="C83" s="54">
        <v>1.3773782145671732E-2</v>
      </c>
      <c r="D83" s="55">
        <v>5.6764861630027308E-3</v>
      </c>
      <c r="E83" s="1">
        <v>1.2286490051609988E-2</v>
      </c>
      <c r="F83" s="56">
        <v>2.4079264019034787E-2</v>
      </c>
      <c r="G83" s="2">
        <v>-2.9331494303368628E-2</v>
      </c>
      <c r="H83" s="2">
        <v>-0.10731640699813987</v>
      </c>
      <c r="I83" s="2">
        <v>-0.13785581233579336</v>
      </c>
      <c r="J83" s="2">
        <v>1</v>
      </c>
      <c r="K83" s="2">
        <v>-0.13082800369604561</v>
      </c>
      <c r="L83" s="2">
        <v>-8.3879614338137301E-2</v>
      </c>
      <c r="M83" s="2">
        <v>-0.18020642906483089</v>
      </c>
      <c r="N83" s="2">
        <v>0.99999999999998956</v>
      </c>
      <c r="O83" s="69"/>
      <c r="R83" s="51" t="str">
        <f t="shared" si="35"/>
        <v>Emerging market debt</v>
      </c>
      <c r="S83" s="52">
        <f t="shared" si="36"/>
        <v>5.6764861630027308E-3</v>
      </c>
      <c r="T83" s="52">
        <f t="shared" si="37"/>
        <v>1.0504110676271435E-2</v>
      </c>
      <c r="U83" s="52">
        <f t="shared" si="38"/>
        <v>7.8986671797606212E-3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1.6946947243372027E-3</v>
      </c>
      <c r="C84" s="54">
        <v>1.8565137754232542E-3</v>
      </c>
      <c r="D84" s="55">
        <v>2.6526515614317753E-4</v>
      </c>
      <c r="E84" s="1">
        <v>9.7234691477604768E-4</v>
      </c>
      <c r="F84" s="56">
        <v>2.458815512760911E-3</v>
      </c>
      <c r="G84" s="2">
        <v>2.9943116588051274E-4</v>
      </c>
      <c r="H84" s="2">
        <v>6.5101509433286879E-3</v>
      </c>
      <c r="I84" s="2">
        <v>-9.0710263254931509E-3</v>
      </c>
      <c r="J84" s="2">
        <v>-1.4644759010299688E-2</v>
      </c>
      <c r="K84" s="2">
        <v>4.8428116128048657E-3</v>
      </c>
      <c r="L84" s="2">
        <v>-0.51720555602717433</v>
      </c>
      <c r="M84" s="2">
        <v>1</v>
      </c>
      <c r="N84" s="2">
        <v>0.99999999999997169</v>
      </c>
      <c r="O84" s="69"/>
      <c r="R84" s="51" t="str">
        <f t="shared" si="35"/>
        <v>Aandelen ontwikkeld</v>
      </c>
      <c r="S84" s="52">
        <f t="shared" si="36"/>
        <v>2.6526515614317753E-4</v>
      </c>
      <c r="T84" s="52">
        <f t="shared" si="37"/>
        <v>1.4294295681940251E-3</v>
      </c>
      <c r="U84" s="52">
        <f t="shared" si="38"/>
        <v>7.6412078842370834E-4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2.5254391686127226E-2</v>
      </c>
      <c r="C85" s="54">
        <v>1.9812412621961473E-2</v>
      </c>
      <c r="D85" s="55">
        <v>1.0406197405009143E-2</v>
      </c>
      <c r="E85" s="1">
        <v>2.0416540295551868E-2</v>
      </c>
      <c r="F85" s="56">
        <v>3.5705544932015471E-2</v>
      </c>
      <c r="G85" s="2">
        <v>-7.9343405454464944E-2</v>
      </c>
      <c r="H85" s="2">
        <v>1</v>
      </c>
      <c r="I85" s="2">
        <v>0.49663292229024469</v>
      </c>
      <c r="J85" s="2">
        <v>-2.4880744397344962E-2</v>
      </c>
      <c r="K85" s="2">
        <v>-0.14047120614789432</v>
      </c>
      <c r="L85" s="2">
        <v>0.50912100049277142</v>
      </c>
      <c r="M85" s="2">
        <v>3.785558898329322E-3</v>
      </c>
      <c r="N85" s="2">
        <v>0.99999999999998068</v>
      </c>
      <c r="O85" s="69"/>
      <c r="R85" s="51" t="str">
        <f t="shared" si="35"/>
        <v>Aandelen opkomend</v>
      </c>
      <c r="S85" s="52">
        <f t="shared" si="36"/>
        <v>1.0406197405009143E-2</v>
      </c>
      <c r="T85" s="52">
        <f t="shared" si="37"/>
        <v>1.4848194281118082E-2</v>
      </c>
      <c r="U85" s="52">
        <f t="shared" si="38"/>
        <v>1.0451153245888245E-2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0.19937901187906307</v>
      </c>
      <c r="C86" s="54">
        <v>2.1342483309186477E-2</v>
      </c>
      <c r="D86" s="55">
        <v>0.18484038086021393</v>
      </c>
      <c r="E86" s="1">
        <v>0.19966034838295904</v>
      </c>
      <c r="F86" s="56">
        <v>0.21566980437883349</v>
      </c>
      <c r="G86" s="2">
        <v>-0.31360110137459635</v>
      </c>
      <c r="H86" s="2">
        <v>-0.4707788425245143</v>
      </c>
      <c r="I86" s="2">
        <v>-0.48573585137353353</v>
      </c>
      <c r="J86" s="2">
        <v>-0.17880579092965412</v>
      </c>
      <c r="K86" s="2">
        <v>-0.11011845482494245</v>
      </c>
      <c r="L86" s="2">
        <v>1</v>
      </c>
      <c r="M86" s="2">
        <v>0.16963842895057998</v>
      </c>
      <c r="N86" s="2">
        <v>0.99999999999997446</v>
      </c>
      <c r="O86" s="69"/>
      <c r="R86" s="51" t="str">
        <f t="shared" si="35"/>
        <v>Commodities</v>
      </c>
      <c r="S86" s="52">
        <f t="shared" si="36"/>
        <v>0.18484038086021393</v>
      </c>
      <c r="T86" s="52">
        <f t="shared" si="37"/>
        <v>1.4538631018849141E-2</v>
      </c>
      <c r="U86" s="52">
        <f t="shared" si="38"/>
        <v>1.6290792499770418E-2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2.549361968294718E-2</v>
      </c>
      <c r="C87" s="54">
        <v>1.9237734565573303E-2</v>
      </c>
      <c r="D87" s="55">
        <v>1.0498635837818742E-2</v>
      </c>
      <c r="E87" s="1">
        <v>2.1157849483218812E-2</v>
      </c>
      <c r="F87" s="56">
        <v>3.5946781985662569E-2</v>
      </c>
      <c r="G87" s="2">
        <v>-1.6063822806494415E-2</v>
      </c>
      <c r="H87" s="2">
        <v>-0.64485774199312718</v>
      </c>
      <c r="I87" s="2">
        <v>1</v>
      </c>
      <c r="J87" s="2">
        <v>-0.17759067296206404</v>
      </c>
      <c r="K87" s="2">
        <v>-0.17494696252382047</v>
      </c>
      <c r="L87" s="2">
        <v>-0.1321286758796176</v>
      </c>
      <c r="M87" s="2">
        <v>-0.20506775725583351</v>
      </c>
      <c r="N87" s="2">
        <v>0.9999999999999909</v>
      </c>
      <c r="O87" s="69"/>
      <c r="R87" s="51" t="str">
        <f t="shared" si="35"/>
        <v>Hedge funds</v>
      </c>
      <c r="S87" s="52">
        <f t="shared" si="36"/>
        <v>1.0498635837818742E-2</v>
      </c>
      <c r="T87" s="52">
        <f t="shared" si="37"/>
        <v>1.4994983845128438E-2</v>
      </c>
      <c r="U87" s="52">
        <f t="shared" si="38"/>
        <v>1.0453162302715389E-2</v>
      </c>
    </row>
    <row r="88" spans="1:36">
      <c r="A88" s="60" t="str">
        <f t="shared" si="34"/>
        <v>Onroerend goed</v>
      </c>
      <c r="B88" s="286">
        <v>4.0039560743981373E-3</v>
      </c>
      <c r="C88" s="62">
        <v>3.9239983059554326E-3</v>
      </c>
      <c r="D88" s="63">
        <v>1.1170785589746234E-3</v>
      </c>
      <c r="E88" s="61">
        <v>2.5873946688405852E-3</v>
      </c>
      <c r="F88" s="64">
        <v>5.6139257697055802E-3</v>
      </c>
      <c r="G88" s="65">
        <v>-1.5378315565043159E-3</v>
      </c>
      <c r="H88" s="65">
        <v>1.2453889072035726E-2</v>
      </c>
      <c r="I88" s="65">
        <v>-1.946496000815728E-2</v>
      </c>
      <c r="J88" s="65">
        <v>-5.0923351493256573E-2</v>
      </c>
      <c r="K88" s="65">
        <v>1</v>
      </c>
      <c r="L88" s="65">
        <v>-3.5971453965138046E-2</v>
      </c>
      <c r="M88" s="65">
        <v>-0.18684537679546892</v>
      </c>
      <c r="N88" s="65">
        <v>0.99999999999998468</v>
      </c>
      <c r="O88" s="71"/>
      <c r="R88" s="51" t="str">
        <f t="shared" si="35"/>
        <v>Onroerend goed</v>
      </c>
      <c r="S88" s="52">
        <f t="shared" si="36"/>
        <v>1.1170785589746234E-3</v>
      </c>
      <c r="T88" s="52">
        <f t="shared" si="37"/>
        <v>2.8868775154235141E-3</v>
      </c>
      <c r="U88" s="52">
        <f t="shared" si="38"/>
        <v>1.6099696953074429E-3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7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0.4019162038467341</v>
      </c>
      <c r="H3" s="272">
        <v>0.28717855631880496</v>
      </c>
      <c r="I3" s="272">
        <v>0.16433637684678171</v>
      </c>
      <c r="J3" s="272">
        <v>7.2396135998920252E-2</v>
      </c>
      <c r="K3" s="272">
        <v>5.1596540237880073E-2</v>
      </c>
      <c r="L3" s="272">
        <v>2.2576186750875804E-2</v>
      </c>
      <c r="M3" s="272">
        <v>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0.1893061302676414</v>
      </c>
      <c r="C4" s="118">
        <v>0.10533421867518726</v>
      </c>
      <c r="D4" s="119">
        <v>7.7523703679179226E-2</v>
      </c>
      <c r="E4" s="117">
        <v>0.18387052233614809</v>
      </c>
      <c r="F4" s="12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7"/>
      <c r="O4" s="72"/>
      <c r="Q4" s="72" t="str">
        <f>A4</f>
        <v>High Yield</v>
      </c>
      <c r="R4" s="72">
        <f>D4</f>
        <v>7.7523703679179226E-2</v>
      </c>
      <c r="S4" s="52">
        <f>B4-D4</f>
        <v>0.11178242658846217</v>
      </c>
      <c r="T4" s="52">
        <f>F4-B4</f>
        <v>0.11826925340980624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0.17988745412157112</v>
      </c>
      <c r="C5" s="118">
        <v>0.10220273456865829</v>
      </c>
      <c r="D5" s="119">
        <v>7.2101864904390994E-2</v>
      </c>
      <c r="E5" s="117">
        <v>0.1665383286011983</v>
      </c>
      <c r="F5" s="12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7.2101864904390994E-2</v>
      </c>
      <c r="S5" s="52">
        <f t="shared" ref="S5:S10" si="2">B5-D5</f>
        <v>0.10778558921718012</v>
      </c>
      <c r="T5" s="52">
        <f t="shared" ref="T5:T10" si="3">F5-B5</f>
        <v>0.1073540296517986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0.19511936248529493</v>
      </c>
      <c r="C6" s="118">
        <v>5.4342647784118514E-2</v>
      </c>
      <c r="D6" s="119">
        <v>0.13836433077278346</v>
      </c>
      <c r="E6" s="117">
        <v>0.19545652883993458</v>
      </c>
      <c r="F6" s="12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7"/>
      <c r="O6" s="72"/>
      <c r="Q6" s="72" t="str">
        <f t="shared" si="0"/>
        <v>Aandelen ontwikkeld</v>
      </c>
      <c r="R6" s="72">
        <f t="shared" si="1"/>
        <v>0.13836433077278346</v>
      </c>
      <c r="S6" s="52">
        <f t="shared" si="2"/>
        <v>5.6755031712511478E-2</v>
      </c>
      <c r="T6" s="52">
        <f t="shared" si="3"/>
        <v>5.4566375536032385E-2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0.12322751596492687</v>
      </c>
      <c r="C7" s="118">
        <v>4.689203838391201E-2</v>
      </c>
      <c r="D7" s="119">
        <v>7.3678396828209328E-2</v>
      </c>
      <c r="E7" s="117">
        <v>0.12349391342067817</v>
      </c>
      <c r="F7" s="12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7.3678396828209328E-2</v>
      </c>
      <c r="S7" s="52">
        <f t="shared" si="2"/>
        <v>4.9549119136717543E-2</v>
      </c>
      <c r="T7" s="52">
        <f t="shared" si="3"/>
        <v>4.8468349246479775E-2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5.0285538433716956E-2</v>
      </c>
      <c r="C8" s="118">
        <v>2.8032283153565561E-2</v>
      </c>
      <c r="D8" s="119">
        <v>2.0173423169925982E-2</v>
      </c>
      <c r="E8" s="117">
        <v>4.9187616478122823E-2</v>
      </c>
      <c r="F8" s="12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7"/>
      <c r="O8" s="72"/>
      <c r="Q8" s="72" t="str">
        <f t="shared" si="0"/>
        <v>Commodities</v>
      </c>
      <c r="R8" s="72">
        <f t="shared" si="1"/>
        <v>2.0173423169925982E-2</v>
      </c>
      <c r="S8" s="52">
        <f t="shared" si="2"/>
        <v>3.0112115263790974E-2</v>
      </c>
      <c r="T8" s="52">
        <f t="shared" si="3"/>
        <v>3.0167960277201408E-2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0.12610530136449027</v>
      </c>
      <c r="C9" s="118">
        <v>7.3983093130255778E-2</v>
      </c>
      <c r="D9" s="119">
        <v>4.4880843106858817E-2</v>
      </c>
      <c r="E9" s="117">
        <v>0.11757619972976338</v>
      </c>
      <c r="F9" s="12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7"/>
      <c r="O9" s="72"/>
      <c r="Q9" s="72" t="str">
        <f t="shared" si="0"/>
        <v>Hedge funds</v>
      </c>
      <c r="R9" s="72">
        <f t="shared" si="1"/>
        <v>4.4880843106858817E-2</v>
      </c>
      <c r="S9" s="52">
        <f t="shared" si="2"/>
        <v>8.1224458257631457E-2</v>
      </c>
      <c r="T9" s="52">
        <f t="shared" si="3"/>
        <v>8.002783289600518E-2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0.13606869736235841</v>
      </c>
      <c r="C10" s="122">
        <v>8.209915604933421E-2</v>
      </c>
      <c r="D10" s="123">
        <v>4.5840528997215114E-2</v>
      </c>
      <c r="E10" s="121">
        <v>0.12995807882156671</v>
      </c>
      <c r="F10" s="124">
        <v>0.22591056184951297</v>
      </c>
      <c r="G10" s="65">
        <v>-8.7805400309046558E-2</v>
      </c>
      <c r="H10" s="65">
        <v>-0.94909850424912778</v>
      </c>
      <c r="I10" s="65">
        <v>1</v>
      </c>
      <c r="J10" s="65">
        <v>8.1700830405640246E-2</v>
      </c>
      <c r="K10" s="65">
        <v>-0.19450783865370366</v>
      </c>
      <c r="L10" s="65">
        <v>-0.14917578255442313</v>
      </c>
      <c r="M10" s="65">
        <v>0.99999999999999878</v>
      </c>
      <c r="N10" s="66"/>
      <c r="O10" s="72"/>
      <c r="Q10" s="72" t="str">
        <f t="shared" si="0"/>
        <v>Onroerend goed</v>
      </c>
      <c r="R10" s="72">
        <f t="shared" si="1"/>
        <v>4.5840528997215114E-2</v>
      </c>
      <c r="S10" s="52">
        <f t="shared" si="2"/>
        <v>9.0228168365143302E-2</v>
      </c>
      <c r="T10" s="52">
        <f t="shared" si="3"/>
        <v>8.984186448715456E-2</v>
      </c>
      <c r="U10" s="52"/>
      <c r="V10" s="52"/>
      <c r="W10" s="52"/>
    </row>
    <row r="12" spans="1:23">
      <c r="A12" s="48" t="s">
        <v>68</v>
      </c>
      <c r="D12" s="395" t="s">
        <v>64</v>
      </c>
      <c r="E12" s="396"/>
      <c r="F12" s="397"/>
      <c r="G12" s="395" t="s">
        <v>65</v>
      </c>
      <c r="H12" s="396"/>
      <c r="I12" s="396"/>
      <c r="J12" s="396"/>
      <c r="K12" s="396"/>
      <c r="L12" s="396"/>
      <c r="M12" s="396"/>
      <c r="N12" s="397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0.74031071575333507</v>
      </c>
      <c r="H13" s="272">
        <v>0.11607118391386151</v>
      </c>
      <c r="I13" s="272">
        <v>9.1831107977294768E-2</v>
      </c>
      <c r="J13" s="272">
        <v>4.7024019388314242E-2</v>
      </c>
      <c r="K13" s="272">
        <v>3.9164348311543362E-3</v>
      </c>
      <c r="L13" s="272">
        <v>8.4653813603363659E-4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0.23577701527791628</v>
      </c>
      <c r="C14" s="118">
        <v>0.13282199227996005</v>
      </c>
      <c r="D14" s="119">
        <v>9.5304615523685604E-2</v>
      </c>
      <c r="E14" s="117">
        <v>0.22268813755612707</v>
      </c>
      <c r="F14" s="120">
        <v>0.37088188367648245</v>
      </c>
      <c r="G14" s="2">
        <v>1</v>
      </c>
      <c r="H14" s="2">
        <v>-0.3178125581149378</v>
      </c>
      <c r="I14" s="2">
        <v>-0.26093929604090943</v>
      </c>
      <c r="J14" s="2">
        <v>-0.2178555858011485</v>
      </c>
      <c r="K14" s="2">
        <v>-0.21634487347929382</v>
      </c>
      <c r="L14" s="2">
        <v>-0.16571505403912265</v>
      </c>
      <c r="M14" s="2">
        <v>0.99999999999999911</v>
      </c>
      <c r="N14" s="57"/>
      <c r="Q14" s="51" t="str">
        <f t="shared" ref="Q14:Q20" si="4">A14</f>
        <v>High Yield</v>
      </c>
      <c r="R14" s="72">
        <f>D14</f>
        <v>9.5304615523685604E-2</v>
      </c>
      <c r="S14" s="52">
        <f>B14-D14</f>
        <v>0.14047239975423068</v>
      </c>
      <c r="T14" s="52">
        <f>F14-B14</f>
        <v>0.13510486839856617</v>
      </c>
      <c r="U14" s="52"/>
    </row>
    <row r="15" spans="1:23">
      <c r="A15" s="59" t="str">
        <f t="shared" ref="A15:A20" si="5">A5</f>
        <v>Emerging market debt</v>
      </c>
      <c r="B15" s="117">
        <v>4.516169010955897E-2</v>
      </c>
      <c r="C15" s="118">
        <v>3.8584568524031665E-2</v>
      </c>
      <c r="D15" s="119">
        <v>1.0080629740565394E-2</v>
      </c>
      <c r="E15" s="117">
        <v>3.423862540832092E-2</v>
      </c>
      <c r="F15" s="120">
        <v>7.9898766380699773E-2</v>
      </c>
      <c r="G15" s="2">
        <v>-6.5836327054349164E-2</v>
      </c>
      <c r="H15" s="2">
        <v>-6.5658916872625678E-2</v>
      </c>
      <c r="I15" s="2">
        <v>-5.8103030101013066E-2</v>
      </c>
      <c r="J15" s="2">
        <v>1</v>
      </c>
      <c r="K15" s="2">
        <v>-0.15394509943874812</v>
      </c>
      <c r="L15" s="2">
        <v>-0.15031444380816866</v>
      </c>
      <c r="M15" s="2">
        <v>0.99999999999999756</v>
      </c>
      <c r="N15" s="57"/>
      <c r="Q15" s="51" t="str">
        <f t="shared" si="4"/>
        <v>Emerging market debt</v>
      </c>
      <c r="R15" s="72">
        <f t="shared" ref="R15:R20" si="6">D15</f>
        <v>1.0080629740565394E-2</v>
      </c>
      <c r="S15" s="52">
        <f t="shared" ref="S15:S20" si="7">B15-D15</f>
        <v>3.5081060368993576E-2</v>
      </c>
      <c r="T15" s="52">
        <f t="shared" ref="T15:T20" si="8">F15-B15</f>
        <v>3.4737076271140803E-2</v>
      </c>
      <c r="U15" s="52"/>
    </row>
    <row r="16" spans="1:23">
      <c r="A16" s="59" t="str">
        <f t="shared" si="5"/>
        <v>Aandelen ontwikkeld</v>
      </c>
      <c r="B16" s="117">
        <v>4.7456005134116032E-3</v>
      </c>
      <c r="C16" s="118">
        <v>5.2134525447881256E-3</v>
      </c>
      <c r="D16" s="119">
        <v>3.1098054798629564E-4</v>
      </c>
      <c r="E16" s="117">
        <v>2.7033708404513596E-3</v>
      </c>
      <c r="F16" s="120">
        <v>9.9324668520615628E-3</v>
      </c>
      <c r="G16" s="2">
        <v>-2.5149327874538405E-3</v>
      </c>
      <c r="H16" s="2">
        <v>1.1426874053082024E-4</v>
      </c>
      <c r="I16" s="2">
        <v>-9.9986750670455048E-3</v>
      </c>
      <c r="J16" s="2">
        <v>-1.4668075860528229E-2</v>
      </c>
      <c r="K16" s="2">
        <v>2.1944775684048883E-2</v>
      </c>
      <c r="L16" s="2">
        <v>1</v>
      </c>
      <c r="M16" s="2">
        <v>0.99999999999997502</v>
      </c>
      <c r="N16" s="57"/>
      <c r="Q16" s="51" t="str">
        <f t="shared" si="4"/>
        <v>Aandelen ontwikkeld</v>
      </c>
      <c r="R16" s="72">
        <f t="shared" si="6"/>
        <v>3.1098054798629564E-4</v>
      </c>
      <c r="S16" s="52">
        <f t="shared" si="7"/>
        <v>4.4346199654253073E-3</v>
      </c>
      <c r="T16" s="52">
        <f t="shared" si="8"/>
        <v>5.1868663386499597E-3</v>
      </c>
      <c r="U16" s="52"/>
    </row>
    <row r="17" spans="1:24">
      <c r="A17" s="59" t="str">
        <f t="shared" si="5"/>
        <v>Aandelen opkomend</v>
      </c>
      <c r="B17" s="117">
        <v>7.156538990643746E-2</v>
      </c>
      <c r="C17" s="118">
        <v>5.8315286195927483E-2</v>
      </c>
      <c r="D17" s="119">
        <v>1.521987083539175E-2</v>
      </c>
      <c r="E17" s="117">
        <v>5.6146977814044027E-2</v>
      </c>
      <c r="F17" s="120">
        <v>0.12708665921436846</v>
      </c>
      <c r="G17" s="2">
        <v>-0.10571152771286559</v>
      </c>
      <c r="H17" s="2">
        <v>1</v>
      </c>
      <c r="I17" s="2">
        <v>-0.24657858172836164</v>
      </c>
      <c r="J17" s="2">
        <v>-0.19972520517814984</v>
      </c>
      <c r="K17" s="2">
        <v>-0.22247239903104868</v>
      </c>
      <c r="L17" s="2">
        <v>-0.16738286858425239</v>
      </c>
      <c r="M17" s="2">
        <v>0.99999999999999989</v>
      </c>
      <c r="N17" s="57"/>
      <c r="Q17" s="51" t="str">
        <f t="shared" si="4"/>
        <v>Aandelen opkomend</v>
      </c>
      <c r="R17" s="72">
        <f t="shared" si="6"/>
        <v>1.521987083539175E-2</v>
      </c>
      <c r="S17" s="52">
        <f t="shared" si="7"/>
        <v>5.6345519071045708E-2</v>
      </c>
      <c r="T17" s="52">
        <f t="shared" si="8"/>
        <v>5.5521269307930998E-2</v>
      </c>
      <c r="U17" s="52"/>
    </row>
    <row r="18" spans="1:24">
      <c r="A18" s="59" t="str">
        <f t="shared" si="5"/>
        <v>Commodities</v>
      </c>
      <c r="B18" s="117">
        <v>0.56125939804848646</v>
      </c>
      <c r="C18" s="118">
        <v>0.10522143232304454</v>
      </c>
      <c r="D18" s="119">
        <v>0.45501853734259429</v>
      </c>
      <c r="E18" s="117">
        <v>0.55921941720482726</v>
      </c>
      <c r="F18" s="120">
        <v>0.66964017001475895</v>
      </c>
      <c r="G18" s="2">
        <v>-0.74848395598529527</v>
      </c>
      <c r="H18" s="2">
        <v>-0.55431001157431292</v>
      </c>
      <c r="I18" s="2">
        <v>-0.40077746930147407</v>
      </c>
      <c r="J18" s="2">
        <v>-0.33329289740875373</v>
      </c>
      <c r="K18" s="2">
        <v>-0.23754685744798706</v>
      </c>
      <c r="L18" s="2">
        <v>-0.1713564726326999</v>
      </c>
      <c r="M18" s="2">
        <v>1</v>
      </c>
      <c r="N18" s="57"/>
      <c r="Q18" s="51" t="str">
        <f t="shared" si="4"/>
        <v>Commodities</v>
      </c>
      <c r="R18" s="72">
        <f t="shared" si="6"/>
        <v>0.45501853734259429</v>
      </c>
      <c r="S18" s="52">
        <f t="shared" si="7"/>
        <v>0.10624086070589217</v>
      </c>
      <c r="T18" s="52">
        <f t="shared" si="8"/>
        <v>0.10838077196627249</v>
      </c>
      <c r="U18" s="52"/>
    </row>
    <row r="19" spans="1:24">
      <c r="A19" s="59" t="str">
        <f t="shared" si="5"/>
        <v>Hedge funds</v>
      </c>
      <c r="B19" s="117">
        <v>7.0276101674922875E-2</v>
      </c>
      <c r="C19" s="118">
        <v>5.2300212890738704E-2</v>
      </c>
      <c r="D19" s="119">
        <v>1.9868438206004254E-2</v>
      </c>
      <c r="E19" s="117">
        <v>5.9562621162508551E-2</v>
      </c>
      <c r="F19" s="120">
        <v>0.12143808145321883</v>
      </c>
      <c r="G19" s="2">
        <v>-6.9148852723331433E-2</v>
      </c>
      <c r="H19" s="2">
        <v>-6.2320301182087749E-2</v>
      </c>
      <c r="I19" s="2">
        <v>1</v>
      </c>
      <c r="J19" s="2">
        <v>-0.18293114738380392</v>
      </c>
      <c r="K19" s="2">
        <v>-0.19163554628696311</v>
      </c>
      <c r="L19" s="2">
        <v>-0.15638283997619587</v>
      </c>
      <c r="M19" s="2">
        <v>0.99999999999999967</v>
      </c>
      <c r="N19" s="57"/>
      <c r="Q19" s="51" t="str">
        <f t="shared" si="4"/>
        <v>Hedge funds</v>
      </c>
      <c r="R19" s="72">
        <f t="shared" si="6"/>
        <v>1.9868438206004254E-2</v>
      </c>
      <c r="S19" s="52">
        <f t="shared" si="7"/>
        <v>5.0407663468918618E-2</v>
      </c>
      <c r="T19" s="52">
        <f t="shared" si="8"/>
        <v>5.1161979778295952E-2</v>
      </c>
      <c r="U19" s="52"/>
    </row>
    <row r="20" spans="1:24">
      <c r="A20" s="60" t="str">
        <f t="shared" si="5"/>
        <v>Onroerend goed</v>
      </c>
      <c r="B20" s="121">
        <v>1.1214804469266095E-2</v>
      </c>
      <c r="C20" s="122">
        <v>1.1180791041482209E-2</v>
      </c>
      <c r="D20" s="123">
        <v>1.7409154601443391E-3</v>
      </c>
      <c r="E20" s="121">
        <v>7.2319193238043747E-3</v>
      </c>
      <c r="F20" s="124">
        <v>2.1909260851275945E-2</v>
      </c>
      <c r="G20" s="65">
        <v>-8.3044037367039289E-3</v>
      </c>
      <c r="H20" s="65">
        <v>-1.2480996566554162E-5</v>
      </c>
      <c r="I20" s="65">
        <v>-2.3602947761196716E-2</v>
      </c>
      <c r="J20" s="65">
        <v>-5.152708836761434E-2</v>
      </c>
      <c r="K20" s="65">
        <v>1</v>
      </c>
      <c r="L20" s="65">
        <v>-0.18884832095953816</v>
      </c>
      <c r="M20" s="65">
        <v>0.99999999999999234</v>
      </c>
      <c r="N20" s="66"/>
      <c r="Q20" s="51" t="str">
        <f t="shared" si="4"/>
        <v>Onroerend goed</v>
      </c>
      <c r="R20" s="72">
        <f t="shared" si="6"/>
        <v>1.7409154601443391E-3</v>
      </c>
      <c r="S20" s="52">
        <f t="shared" si="7"/>
        <v>9.4738890091217564E-3</v>
      </c>
      <c r="T20" s="52">
        <f t="shared" si="8"/>
        <v>1.0694456382009851E-2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95" t="s">
        <v>64</v>
      </c>
      <c r="E22" s="396"/>
      <c r="F22" s="397"/>
      <c r="G22" s="395" t="s">
        <v>65</v>
      </c>
      <c r="H22" s="396"/>
      <c r="I22" s="396"/>
      <c r="J22" s="396"/>
      <c r="K22" s="396"/>
      <c r="L22" s="396"/>
      <c r="M22" s="396"/>
      <c r="N22" s="397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0.79864726178174439</v>
      </c>
      <c r="H23" s="272">
        <v>0.14623123708459629</v>
      </c>
      <c r="I23" s="272">
        <v>3.0458412026499015E-2</v>
      </c>
      <c r="J23" s="272">
        <v>1.8848968624525231E-2</v>
      </c>
      <c r="K23" s="272">
        <v>4.2693044848112205E-3</v>
      </c>
      <c r="L23" s="272">
        <v>1.544815997827631E-3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8.9024622978396261E-3</v>
      </c>
      <c r="C24" s="118">
        <v>9.7367605357514108E-3</v>
      </c>
      <c r="D24" s="119">
        <v>9.7331828190076893E-4</v>
      </c>
      <c r="E24" s="117">
        <v>5.8622029058235069E-3</v>
      </c>
      <c r="F24" s="120">
        <v>1.6236974241075536E-2</v>
      </c>
      <c r="G24" s="2">
        <v>-5.2336785313407807E-3</v>
      </c>
      <c r="H24" s="2">
        <v>5.5860232859309751E-2</v>
      </c>
      <c r="I24" s="2">
        <v>1</v>
      </c>
      <c r="J24" s="2">
        <v>-0.81650879157803202</v>
      </c>
      <c r="K24" s="2">
        <v>-0.23684379692571134</v>
      </c>
      <c r="L24" s="2">
        <v>-0.13642244001829573</v>
      </c>
      <c r="M24" s="2">
        <v>0.99999999999998523</v>
      </c>
      <c r="N24" s="57"/>
      <c r="O24" s="67"/>
      <c r="Q24" s="51" t="str">
        <f t="shared" ref="Q24:Q30" si="9">A24</f>
        <v>High Yield</v>
      </c>
      <c r="R24" s="72">
        <f>D24</f>
        <v>9.7331828190076893E-4</v>
      </c>
      <c r="S24" s="52">
        <f>B24-D24</f>
        <v>7.929144015938857E-3</v>
      </c>
      <c r="T24" s="52">
        <f>F24-B24</f>
        <v>7.3345119432359097E-3</v>
      </c>
      <c r="U24" s="52"/>
    </row>
    <row r="25" spans="1:24">
      <c r="A25" s="59" t="str">
        <f t="shared" ref="A25:A30" si="10">A5</f>
        <v>Emerging market debt</v>
      </c>
      <c r="B25" s="117">
        <v>6.1478749105533186E-2</v>
      </c>
      <c r="C25" s="118">
        <v>4.5405273726367788E-2</v>
      </c>
      <c r="D25" s="119">
        <v>1.7159244375471998E-2</v>
      </c>
      <c r="E25" s="117">
        <v>5.327746594279513E-2</v>
      </c>
      <c r="F25" s="120">
        <v>0.10751989875447848</v>
      </c>
      <c r="G25" s="2">
        <v>1</v>
      </c>
      <c r="H25" s="2">
        <v>-0.5449860231708572</v>
      </c>
      <c r="I25" s="2">
        <v>-0.52614224829872092</v>
      </c>
      <c r="J25" s="2">
        <v>-6.9329002747351709E-2</v>
      </c>
      <c r="K25" s="2">
        <v>-0.1948507063336638</v>
      </c>
      <c r="L25" s="2">
        <v>-0.14902737406571065</v>
      </c>
      <c r="M25" s="2">
        <v>0.99999999999998412</v>
      </c>
      <c r="N25" s="57"/>
      <c r="O25" s="67"/>
      <c r="Q25" s="51" t="str">
        <f t="shared" si="9"/>
        <v>Emerging market debt</v>
      </c>
      <c r="R25" s="72">
        <f t="shared" ref="R25:R30" si="11">D25</f>
        <v>1.7159244375471998E-2</v>
      </c>
      <c r="S25" s="52">
        <f t="shared" ref="S25:S30" si="12">B25-D25</f>
        <v>4.4319504730061188E-2</v>
      </c>
      <c r="T25" s="52">
        <f t="shared" ref="T25:T30" si="13">F25-B25</f>
        <v>4.6041149648945297E-2</v>
      </c>
      <c r="U25" s="52"/>
      <c r="X25" s="51"/>
    </row>
    <row r="26" spans="1:24">
      <c r="A26" s="59" t="str">
        <f t="shared" si="10"/>
        <v>Aandelen ontwikkeld</v>
      </c>
      <c r="B26" s="117">
        <v>1.5320871687334739E-3</v>
      </c>
      <c r="C26" s="118">
        <v>2.5273241871881071E-3</v>
      </c>
      <c r="D26" s="119">
        <v>1.6123355805191399E-5</v>
      </c>
      <c r="E26" s="117">
        <v>5.5431097235591619E-4</v>
      </c>
      <c r="F26" s="120">
        <v>2.7104335647145199E-3</v>
      </c>
      <c r="G26" s="2">
        <v>-5.228200475449132E-3</v>
      </c>
      <c r="H26" s="2">
        <v>1.357408398609731E-3</v>
      </c>
      <c r="I26" s="2">
        <v>-3.8675860143410541E-3</v>
      </c>
      <c r="J26" s="2">
        <v>1.9816745159330042E-2</v>
      </c>
      <c r="K26" s="2">
        <v>8.1813539315327116E-2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1.6123355805191399E-5</v>
      </c>
      <c r="S26" s="52">
        <f t="shared" si="12"/>
        <v>1.5159638129282826E-3</v>
      </c>
      <c r="T26" s="52">
        <f t="shared" si="13"/>
        <v>1.178346395981046E-3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7.8028364818515817E-3</v>
      </c>
      <c r="C27" s="118">
        <v>9.0649832243677123E-3</v>
      </c>
      <c r="D27" s="119">
        <v>3.8766894616157349E-4</v>
      </c>
      <c r="E27" s="117">
        <v>4.4834099721580162E-3</v>
      </c>
      <c r="F27" s="120">
        <v>1.4955505384291929E-2</v>
      </c>
      <c r="G27" s="2">
        <v>-7.10387136499029E-3</v>
      </c>
      <c r="H27" s="2">
        <v>3.154605712762678E-2</v>
      </c>
      <c r="I27" s="2">
        <v>0.6959519755450323</v>
      </c>
      <c r="J27" s="2">
        <v>1</v>
      </c>
      <c r="K27" s="2">
        <v>-0.2414004470945445</v>
      </c>
      <c r="L27" s="2">
        <v>-0.1617414665929798</v>
      </c>
      <c r="M27" s="2">
        <v>0.99999999999998546</v>
      </c>
      <c r="N27" s="57"/>
      <c r="O27" s="67"/>
      <c r="P27" s="72"/>
      <c r="Q27" s="51" t="str">
        <f t="shared" si="9"/>
        <v>Aandelen opkomend</v>
      </c>
      <c r="R27" s="72">
        <f t="shared" si="11"/>
        <v>3.8766894616157349E-4</v>
      </c>
      <c r="S27" s="52">
        <f t="shared" si="12"/>
        <v>7.4151675356900083E-3</v>
      </c>
      <c r="T27" s="52">
        <f t="shared" si="13"/>
        <v>7.1526689024403473E-3</v>
      </c>
      <c r="U27" s="52"/>
      <c r="V27" s="52"/>
      <c r="W27" s="52"/>
    </row>
    <row r="28" spans="1:24">
      <c r="A28" s="59" t="str">
        <f t="shared" si="10"/>
        <v>Commodities</v>
      </c>
      <c r="B28" s="117">
        <v>0.89428289701351427</v>
      </c>
      <c r="C28" s="118">
        <v>4.4679061224825754E-2</v>
      </c>
      <c r="D28" s="119">
        <v>0.84973198999984012</v>
      </c>
      <c r="E28" s="117">
        <v>0.89723566507248764</v>
      </c>
      <c r="F28" s="120">
        <v>0.93944594090809663</v>
      </c>
      <c r="G28" s="2">
        <v>-0.9823558512637619</v>
      </c>
      <c r="H28" s="2">
        <v>-0.54451071561742337</v>
      </c>
      <c r="I28" s="2">
        <v>-0.55371546212727063</v>
      </c>
      <c r="J28" s="2">
        <v>-7.4304166541022135E-2</v>
      </c>
      <c r="K28" s="2">
        <v>-0.2088227432140374</v>
      </c>
      <c r="L28" s="2">
        <v>-0.15412152675784183</v>
      </c>
      <c r="M28" s="2">
        <v>0.99999999999998523</v>
      </c>
      <c r="N28" s="57"/>
      <c r="O28" s="67"/>
      <c r="P28" s="72"/>
      <c r="Q28" s="51" t="str">
        <f t="shared" si="9"/>
        <v>Commodities</v>
      </c>
      <c r="R28" s="72">
        <f t="shared" si="11"/>
        <v>0.84973198999984012</v>
      </c>
      <c r="S28" s="52">
        <f t="shared" si="12"/>
        <v>4.4550907013674146E-2</v>
      </c>
      <c r="T28" s="52">
        <f t="shared" si="13"/>
        <v>4.5163043894582366E-2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2.2716338351636719E-2</v>
      </c>
      <c r="C29" s="118">
        <v>2.1407436233595908E-2</v>
      </c>
      <c r="D29" s="119">
        <v>3.7704170688989506E-3</v>
      </c>
      <c r="E29" s="117">
        <v>1.6949212730774647E-2</v>
      </c>
      <c r="F29" s="120">
        <v>4.1487141710006101E-2</v>
      </c>
      <c r="G29" s="2">
        <v>1.0614124095847614E-2</v>
      </c>
      <c r="H29" s="2">
        <v>1</v>
      </c>
      <c r="I29" s="2">
        <v>-0.66609318412257834</v>
      </c>
      <c r="J29" s="2">
        <v>-6.4208661223976921E-2</v>
      </c>
      <c r="K29" s="2">
        <v>-0.19989584574737274</v>
      </c>
      <c r="L29" s="2">
        <v>-0.15359350877686212</v>
      </c>
      <c r="M29" s="2">
        <v>0.99999999999998523</v>
      </c>
      <c r="N29" s="57"/>
      <c r="O29" s="67"/>
      <c r="P29" s="72"/>
      <c r="Q29" s="51" t="str">
        <f t="shared" si="9"/>
        <v>Hedge funds</v>
      </c>
      <c r="R29" s="72">
        <f t="shared" si="11"/>
        <v>3.7704170688989506E-3</v>
      </c>
      <c r="S29" s="52">
        <f t="shared" si="12"/>
        <v>1.8945921282737768E-2</v>
      </c>
      <c r="T29" s="52">
        <f t="shared" si="13"/>
        <v>1.8770803358369382E-2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3.2846295808913852E-3</v>
      </c>
      <c r="C30" s="122">
        <v>4.1187050655235842E-3</v>
      </c>
      <c r="D30" s="123">
        <v>1.5819886252651036E-4</v>
      </c>
      <c r="E30" s="121">
        <v>1.6663459413799099E-3</v>
      </c>
      <c r="F30" s="124">
        <v>6.6818058143059012E-3</v>
      </c>
      <c r="G30" s="65">
        <v>-1.0692522460304426E-2</v>
      </c>
      <c r="H30" s="65">
        <v>7.3304040273365005E-4</v>
      </c>
      <c r="I30" s="65">
        <v>5.3866505017877257E-2</v>
      </c>
      <c r="J30" s="65">
        <v>4.5338769310520775E-3</v>
      </c>
      <c r="K30" s="65">
        <v>1</v>
      </c>
      <c r="L30" s="65">
        <v>-0.24509368378832344</v>
      </c>
      <c r="M30" s="65">
        <v>0.99999999999998779</v>
      </c>
      <c r="N30" s="66"/>
      <c r="O30" s="67"/>
      <c r="P30" s="72"/>
      <c r="Q30" s="51" t="str">
        <f t="shared" si="9"/>
        <v>Onroerend goed</v>
      </c>
      <c r="R30" s="72">
        <f t="shared" si="11"/>
        <v>1.5819886252651036E-4</v>
      </c>
      <c r="S30" s="52">
        <f t="shared" si="12"/>
        <v>3.1264307183648749E-3</v>
      </c>
      <c r="T30" s="52">
        <f t="shared" si="13"/>
        <v>3.397176233414516E-3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95" t="s">
        <v>64</v>
      </c>
      <c r="E32" s="396"/>
      <c r="F32" s="397"/>
      <c r="G32" s="395" t="s">
        <v>65</v>
      </c>
      <c r="H32" s="396"/>
      <c r="I32" s="396"/>
      <c r="J32" s="396"/>
      <c r="K32" s="396"/>
      <c r="L32" s="396"/>
      <c r="M32" s="396"/>
      <c r="N32" s="397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0.6821104453434057</v>
      </c>
      <c r="H33" s="272">
        <v>0.21024420254495857</v>
      </c>
      <c r="I33" s="272">
        <v>5.4105574613200758E-2</v>
      </c>
      <c r="J33" s="272">
        <v>2.8287946278246379E-2</v>
      </c>
      <c r="K33" s="272">
        <v>1.591760861571434E-2</v>
      </c>
      <c r="L33" s="272">
        <v>9.3342226044745846E-3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0.70812365034059077</v>
      </c>
      <c r="C34" s="118">
        <v>9.3058089562554305E-2</v>
      </c>
      <c r="D34" s="119">
        <v>0.61239230310119175</v>
      </c>
      <c r="E34" s="117">
        <v>0.71023069930578342</v>
      </c>
      <c r="F34" s="120">
        <v>0.8044382288535703</v>
      </c>
      <c r="G34" s="2">
        <v>1</v>
      </c>
      <c r="H34" s="2">
        <v>-0.25458519502059712</v>
      </c>
      <c r="I34" s="2">
        <v>-0.33219887936279097</v>
      </c>
      <c r="J34" s="2">
        <v>-0.27279914559158358</v>
      </c>
      <c r="K34" s="2">
        <v>-0.16919807037536766</v>
      </c>
      <c r="L34" s="2">
        <v>-0.13568924623576148</v>
      </c>
      <c r="M34" s="2">
        <v>0.99999999999999989</v>
      </c>
      <c r="N34" s="57"/>
      <c r="O34" s="67"/>
      <c r="Q34" s="51" t="str">
        <f t="shared" ref="Q34:Q40" si="15">A34</f>
        <v>High Yield</v>
      </c>
      <c r="R34" s="72">
        <f>D34</f>
        <v>0.61239230310119175</v>
      </c>
      <c r="S34" s="52">
        <f>B34-D34</f>
        <v>9.5731347239399023E-2</v>
      </c>
      <c r="T34" s="52">
        <f>F34-B34</f>
        <v>9.6314578512979532E-2</v>
      </c>
      <c r="U34" s="52"/>
    </row>
    <row r="35" spans="1:24">
      <c r="A35" s="59" t="str">
        <f t="shared" si="14"/>
        <v>Emerging market debt</v>
      </c>
      <c r="B35" s="117">
        <v>1.5082431977586928E-2</v>
      </c>
      <c r="C35" s="118">
        <v>1.252090118023712E-2</v>
      </c>
      <c r="D35" s="119">
        <v>2.7946565716081835E-3</v>
      </c>
      <c r="E35" s="117">
        <v>1.2181450924488725E-2</v>
      </c>
      <c r="F35" s="120">
        <v>2.7219805893536276E-2</v>
      </c>
      <c r="G35" s="2">
        <v>-7.0238363455568656E-3</v>
      </c>
      <c r="H35" s="2">
        <v>-3.574056364515498E-3</v>
      </c>
      <c r="I35" s="2">
        <v>-3.7349095796939749E-2</v>
      </c>
      <c r="J35" s="2">
        <v>6.2529272730784305E-2</v>
      </c>
      <c r="K35" s="2">
        <v>0.19998713506301535</v>
      </c>
      <c r="L35" s="2">
        <v>1</v>
      </c>
      <c r="M35" s="2">
        <v>0.99999999999999656</v>
      </c>
      <c r="N35" s="57"/>
      <c r="O35" s="67"/>
      <c r="Q35" s="51" t="str">
        <f t="shared" si="15"/>
        <v>Emerging market debt</v>
      </c>
      <c r="R35" s="72">
        <f t="shared" ref="R35:R40" si="16">D35</f>
        <v>2.7946565716081835E-3</v>
      </c>
      <c r="S35" s="52">
        <f t="shared" ref="S35:S40" si="17">B35-D35</f>
        <v>1.2287775405978744E-2</v>
      </c>
      <c r="T35" s="52">
        <f t="shared" ref="T35:T40" si="18">F35-B35</f>
        <v>1.2137373915949348E-2</v>
      </c>
      <c r="U35" s="52"/>
    </row>
    <row r="36" spans="1:24">
      <c r="A36" s="59" t="str">
        <f t="shared" si="14"/>
        <v>Aandelen ontwikkeld</v>
      </c>
      <c r="B36" s="117">
        <v>1.6157337299592563E-2</v>
      </c>
      <c r="C36" s="118">
        <v>1.5987934145464216E-2</v>
      </c>
      <c r="D36" s="119">
        <v>2.0775934428418331E-3</v>
      </c>
      <c r="E36" s="117">
        <v>1.1304967923447127E-2</v>
      </c>
      <c r="F36" s="120">
        <v>3.1969316051371752E-2</v>
      </c>
      <c r="G36" s="2">
        <v>-5.8488044332055365E-3</v>
      </c>
      <c r="H36" s="2">
        <v>-6.3997751447693232E-3</v>
      </c>
      <c r="I36" s="2">
        <v>7.5067989849938122E-2</v>
      </c>
      <c r="J36" s="2">
        <v>0.22225017819447679</v>
      </c>
      <c r="K36" s="2">
        <v>1</v>
      </c>
      <c r="L36" s="2">
        <v>-0.35566276439386618</v>
      </c>
      <c r="M36" s="2">
        <v>0.99999999999999545</v>
      </c>
      <c r="N36" s="57"/>
      <c r="O36" s="67"/>
      <c r="Q36" s="51" t="str">
        <f t="shared" si="15"/>
        <v>Aandelen ontwikkeld</v>
      </c>
      <c r="R36" s="72">
        <f t="shared" si="16"/>
        <v>2.0775934428418331E-3</v>
      </c>
      <c r="S36" s="52">
        <f t="shared" si="17"/>
        <v>1.407974385675073E-2</v>
      </c>
      <c r="T36" s="52">
        <f t="shared" si="18"/>
        <v>1.5811978751779188E-2</v>
      </c>
      <c r="U36" s="52"/>
    </row>
    <row r="37" spans="1:24">
      <c r="A37" s="59" t="str">
        <f t="shared" si="14"/>
        <v>Aandelen opkomend</v>
      </c>
      <c r="B37" s="117">
        <v>6.9668708296684076E-2</v>
      </c>
      <c r="C37" s="118">
        <v>5.5940396606249235E-2</v>
      </c>
      <c r="D37" s="119">
        <v>1.645975756546526E-2</v>
      </c>
      <c r="E37" s="117">
        <v>5.3807791859985993E-2</v>
      </c>
      <c r="F37" s="120">
        <v>0.12821205641834982</v>
      </c>
      <c r="G37" s="2">
        <v>-0.23361236655061987</v>
      </c>
      <c r="H37" s="2">
        <v>1</v>
      </c>
      <c r="I37" s="2">
        <v>-0.34996970415038026</v>
      </c>
      <c r="J37" s="2">
        <v>-0.29242460370487133</v>
      </c>
      <c r="K37" s="2">
        <v>-0.1646243405019493</v>
      </c>
      <c r="L37" s="2">
        <v>-0.139398361119036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1.645975756546526E-2</v>
      </c>
      <c r="S37" s="52">
        <f t="shared" si="17"/>
        <v>5.3208950731218813E-2</v>
      </c>
      <c r="T37" s="52">
        <f t="shared" si="18"/>
        <v>5.8543348121665742E-2</v>
      </c>
      <c r="U37" s="52"/>
      <c r="X37" s="51"/>
    </row>
    <row r="38" spans="1:24">
      <c r="A38" s="59" t="str">
        <f t="shared" si="14"/>
        <v>Commodities</v>
      </c>
      <c r="B38" s="117">
        <v>0.13044764694681479</v>
      </c>
      <c r="C38" s="118">
        <v>7.3793687848373826E-2</v>
      </c>
      <c r="D38" s="119">
        <v>5.0434992797911832E-2</v>
      </c>
      <c r="E38" s="117">
        <v>0.12539469461109218</v>
      </c>
      <c r="F38" s="120">
        <v>0.20322832499270319</v>
      </c>
      <c r="G38" s="2">
        <v>-0.69268486788002037</v>
      </c>
      <c r="H38" s="2">
        <v>-0.7033005663661841</v>
      </c>
      <c r="I38" s="2">
        <v>-0.40360247533900467</v>
      </c>
      <c r="J38" s="2">
        <v>-0.33071454358361579</v>
      </c>
      <c r="K38" s="2">
        <v>-0.1674429502703445</v>
      </c>
      <c r="L38" s="2">
        <v>-0.14594385768065316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5.0434992797911832E-2</v>
      </c>
      <c r="S38" s="52">
        <f t="shared" si="17"/>
        <v>8.0012654148902962E-2</v>
      </c>
      <c r="T38" s="52">
        <f t="shared" si="18"/>
        <v>7.2780678045888392E-2</v>
      </c>
      <c r="U38" s="52"/>
      <c r="V38" s="52"/>
      <c r="W38" s="52"/>
    </row>
    <row r="39" spans="1:24">
      <c r="A39" s="59" t="str">
        <f t="shared" si="14"/>
        <v>Hedge funds</v>
      </c>
      <c r="B39" s="117">
        <v>3.774289812529516E-2</v>
      </c>
      <c r="C39" s="118">
        <v>2.829314472217391E-2</v>
      </c>
      <c r="D39" s="119">
        <v>9.7234850478918125E-3</v>
      </c>
      <c r="E39" s="117">
        <v>3.0793862548481044E-2</v>
      </c>
      <c r="F39" s="120">
        <v>6.652849886735264E-2</v>
      </c>
      <c r="G39" s="2">
        <v>-2.7341787598130392E-2</v>
      </c>
      <c r="H39" s="2">
        <v>-1.7401914891798931E-2</v>
      </c>
      <c r="I39" s="2">
        <v>1</v>
      </c>
      <c r="J39" s="2">
        <v>-0.3888411580451881</v>
      </c>
      <c r="K39" s="2">
        <v>-0.22629904676189716</v>
      </c>
      <c r="L39" s="2">
        <v>-8.1922567398277718E-2</v>
      </c>
      <c r="M39" s="2">
        <v>0.99999999999999767</v>
      </c>
      <c r="N39" s="57"/>
      <c r="O39" s="67"/>
      <c r="P39" s="72"/>
      <c r="Q39" s="51" t="str">
        <f t="shared" si="15"/>
        <v>Hedge funds</v>
      </c>
      <c r="R39" s="72">
        <f t="shared" si="16"/>
        <v>9.7234850478918125E-3</v>
      </c>
      <c r="S39" s="52">
        <f t="shared" si="17"/>
        <v>2.8019413077403348E-2</v>
      </c>
      <c r="T39" s="52">
        <f t="shared" si="18"/>
        <v>2.8785600742057479E-2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2.2777327013435635E-2</v>
      </c>
      <c r="C40" s="122">
        <v>2.0608592340988403E-2</v>
      </c>
      <c r="D40" s="123">
        <v>4.2673088400998404E-3</v>
      </c>
      <c r="E40" s="121">
        <v>1.7109716292567332E-2</v>
      </c>
      <c r="F40" s="124">
        <v>4.217125446319693E-2</v>
      </c>
      <c r="G40" s="65">
        <v>-3.3488337192466931E-2</v>
      </c>
      <c r="H40" s="65">
        <v>-1.4738492212134401E-2</v>
      </c>
      <c r="I40" s="65">
        <v>4.8052164799180362E-2</v>
      </c>
      <c r="J40" s="65">
        <v>1</v>
      </c>
      <c r="K40" s="65">
        <v>-0.47242272715345296</v>
      </c>
      <c r="L40" s="65">
        <v>-0.1413832031724028</v>
      </c>
      <c r="M40" s="65">
        <v>0.99999999999999711</v>
      </c>
      <c r="N40" s="66"/>
      <c r="O40" s="67"/>
      <c r="P40" s="72"/>
      <c r="Q40" s="51" t="str">
        <f t="shared" si="15"/>
        <v>Onroerend goed</v>
      </c>
      <c r="R40" s="72">
        <f t="shared" si="16"/>
        <v>4.2673088400998404E-3</v>
      </c>
      <c r="S40" s="52">
        <f t="shared" si="17"/>
        <v>1.8510018173335793E-2</v>
      </c>
      <c r="T40" s="52">
        <f t="shared" si="18"/>
        <v>1.9393927449761296E-2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95" t="s">
        <v>64</v>
      </c>
      <c r="E42" s="396"/>
      <c r="F42" s="397"/>
      <c r="G42" s="395" t="s">
        <v>65</v>
      </c>
      <c r="H42" s="396"/>
      <c r="I42" s="396"/>
      <c r="J42" s="396"/>
      <c r="K42" s="396"/>
      <c r="L42" s="396"/>
      <c r="M42" s="396"/>
      <c r="N42" s="397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0.33833423899328452</v>
      </c>
      <c r="H43" s="272">
        <v>0.16247693266523155</v>
      </c>
      <c r="I43" s="272">
        <v>0.14564419486255697</v>
      </c>
      <c r="J43" s="272">
        <v>0.14329383072031165</v>
      </c>
      <c r="K43" s="272">
        <v>0.12506300570125783</v>
      </c>
      <c r="L43" s="272">
        <v>8.5187797057357351E-2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0.14008097345741705</v>
      </c>
      <c r="C44" s="118">
        <v>0.19889061404208824</v>
      </c>
      <c r="D44" s="119">
        <v>3.6395984093867494E-4</v>
      </c>
      <c r="E44" s="117">
        <v>4.6826300060116503E-2</v>
      </c>
      <c r="F44" s="120">
        <v>0.31471151596177016</v>
      </c>
      <c r="G44" s="2">
        <v>-0.22358750748056253</v>
      </c>
      <c r="H44" s="2">
        <v>-0.92495277943766641</v>
      </c>
      <c r="I44" s="2">
        <v>-0.75471767151771674</v>
      </c>
      <c r="J44" s="2">
        <v>-0.67113873424234438</v>
      </c>
      <c r="K44" s="2">
        <v>-0.12924420331013109</v>
      </c>
      <c r="L44" s="2">
        <v>-0.1118681108125244</v>
      </c>
      <c r="M44" s="2">
        <v>0.99999999999974154</v>
      </c>
      <c r="N44" s="57"/>
      <c r="O44" s="67"/>
      <c r="Q44" s="51" t="str">
        <f t="shared" ref="Q44:Q50" si="19">A44</f>
        <v>High Yield</v>
      </c>
      <c r="R44" s="72">
        <f>D44</f>
        <v>3.6395984093867494E-4</v>
      </c>
      <c r="S44" s="52">
        <f>B44-D44</f>
        <v>0.13971701361647837</v>
      </c>
      <c r="T44" s="52">
        <f>F44-B44</f>
        <v>0.17463054250435311</v>
      </c>
      <c r="U44" s="52"/>
    </row>
    <row r="45" spans="1:24">
      <c r="A45" s="59" t="str">
        <f t="shared" ref="A45:A50" si="20">A5</f>
        <v>Emerging market debt</v>
      </c>
      <c r="B45" s="117">
        <v>0.14362901399592667</v>
      </c>
      <c r="C45" s="118">
        <v>0.20174979636232082</v>
      </c>
      <c r="D45" s="119">
        <v>5.6322545765322E-4</v>
      </c>
      <c r="E45" s="117">
        <v>4.8217062418334997E-2</v>
      </c>
      <c r="F45" s="120">
        <v>0.32046336445088935</v>
      </c>
      <c r="G45" s="2">
        <v>-0.26420829270363455</v>
      </c>
      <c r="H45" s="2">
        <v>1</v>
      </c>
      <c r="I45" s="2">
        <v>-0.86974804662238858</v>
      </c>
      <c r="J45" s="2">
        <v>0.28202020573366016</v>
      </c>
      <c r="K45" s="2">
        <v>-0.23994960222790646</v>
      </c>
      <c r="L45" s="2">
        <v>-0.11860046554351096</v>
      </c>
      <c r="M45" s="2">
        <v>0.9999999999989192</v>
      </c>
      <c r="N45" s="57"/>
      <c r="O45" s="67"/>
      <c r="Q45" s="51" t="str">
        <f t="shared" si="19"/>
        <v>Emerging market debt</v>
      </c>
      <c r="R45" s="72">
        <f t="shared" ref="R45:R50" si="21">D45</f>
        <v>5.6322545765322E-4</v>
      </c>
      <c r="S45" s="52">
        <f t="shared" ref="S45:S50" si="22">B45-D45</f>
        <v>0.14306578853827345</v>
      </c>
      <c r="T45" s="52">
        <f t="shared" ref="T45:T50" si="23">F45-B45</f>
        <v>0.17683435045496268</v>
      </c>
      <c r="U45" s="52"/>
    </row>
    <row r="46" spans="1:24">
      <c r="A46" s="59" t="str">
        <f t="shared" si="20"/>
        <v>Aandelen ontwikkeld</v>
      </c>
      <c r="B46" s="117">
        <v>8.2907614162785387E-2</v>
      </c>
      <c r="C46" s="118">
        <v>0.14792816028093031</v>
      </c>
      <c r="D46" s="119">
        <v>7.1639402696013698E-5</v>
      </c>
      <c r="E46" s="117">
        <v>1.6743612900003244E-2</v>
      </c>
      <c r="F46" s="120">
        <v>0.16255279051749066</v>
      </c>
      <c r="G46" s="2">
        <v>-7.978810857342819E-2</v>
      </c>
      <c r="H46" s="2">
        <v>2.0416385222967428E-2</v>
      </c>
      <c r="I46" s="2">
        <v>0.11280276983603843</v>
      </c>
      <c r="J46" s="2">
        <v>1.9040864147430697E-2</v>
      </c>
      <c r="K46" s="2">
        <v>0.22625093481184691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7.1639402696013698E-5</v>
      </c>
      <c r="S46" s="52">
        <f t="shared" si="22"/>
        <v>8.2835974760089373E-2</v>
      </c>
      <c r="T46" s="52">
        <f t="shared" si="23"/>
        <v>7.9645176354705277E-2</v>
      </c>
      <c r="U46" s="52"/>
    </row>
    <row r="47" spans="1:24">
      <c r="A47" s="59" t="str">
        <f t="shared" si="20"/>
        <v>Aandelen opkomend</v>
      </c>
      <c r="B47" s="117">
        <v>0.12434922155337359</v>
      </c>
      <c r="C47" s="118">
        <v>0.19025286615899256</v>
      </c>
      <c r="D47" s="119">
        <v>2.1951336314716854E-4</v>
      </c>
      <c r="E47" s="117">
        <v>2.6427156326807907E-2</v>
      </c>
      <c r="F47" s="120">
        <v>0.30519722554558204</v>
      </c>
      <c r="G47" s="2">
        <v>-0.15144857785541674</v>
      </c>
      <c r="H47" s="2">
        <v>0.42887306537292719</v>
      </c>
      <c r="I47" s="2">
        <v>1</v>
      </c>
      <c r="J47" s="2">
        <v>-0.73067516759744267</v>
      </c>
      <c r="K47" s="2">
        <v>-0.37312853799648127</v>
      </c>
      <c r="L47" s="2">
        <v>-0.16604048369366495</v>
      </c>
      <c r="M47" s="2">
        <v>0.99999999999903011</v>
      </c>
      <c r="N47" s="57"/>
      <c r="O47" s="67"/>
      <c r="Q47" s="51" t="str">
        <f t="shared" si="19"/>
        <v>Aandelen opkomend</v>
      </c>
      <c r="R47" s="72">
        <f t="shared" si="21"/>
        <v>2.1951336314716854E-4</v>
      </c>
      <c r="S47" s="52">
        <f t="shared" si="22"/>
        <v>0.12412970819022642</v>
      </c>
      <c r="T47" s="52">
        <f t="shared" si="23"/>
        <v>0.18084800399220846</v>
      </c>
      <c r="U47" s="52"/>
    </row>
    <row r="48" spans="1:24">
      <c r="A48" s="59" t="str">
        <f t="shared" si="20"/>
        <v>Commodities</v>
      </c>
      <c r="B48" s="117">
        <v>9.9986004257382299E-2</v>
      </c>
      <c r="C48" s="118">
        <v>0.17399969414439717</v>
      </c>
      <c r="D48" s="119">
        <v>1.6823967215296896E-4</v>
      </c>
      <c r="E48" s="117">
        <v>1.8966998159761921E-2</v>
      </c>
      <c r="F48" s="120">
        <v>0.2240550373593172</v>
      </c>
      <c r="G48" s="2">
        <v>-0.12099388451656257</v>
      </c>
      <c r="H48" s="2">
        <v>3.573333060404231E-2</v>
      </c>
      <c r="I48" s="2">
        <v>0.21141107047353055</v>
      </c>
      <c r="J48" s="2">
        <v>0.11192375354661967</v>
      </c>
      <c r="K48" s="2">
        <v>1</v>
      </c>
      <c r="L48" s="2">
        <v>-0.39322461257704117</v>
      </c>
      <c r="M48" s="2">
        <v>0.9999999999992204</v>
      </c>
      <c r="N48" s="57"/>
      <c r="O48" s="67"/>
      <c r="Q48" s="51" t="str">
        <f t="shared" si="19"/>
        <v>Commodities</v>
      </c>
      <c r="R48" s="72">
        <f t="shared" si="21"/>
        <v>1.6823967215296896E-4</v>
      </c>
      <c r="S48" s="52">
        <f t="shared" si="22"/>
        <v>9.9817764585229327E-2</v>
      </c>
      <c r="T48" s="52">
        <f t="shared" si="23"/>
        <v>0.1240690331019349</v>
      </c>
      <c r="U48" s="52"/>
    </row>
    <row r="49" spans="1:27">
      <c r="A49" s="59" t="str">
        <f t="shared" si="20"/>
        <v>Hedge funds</v>
      </c>
      <c r="B49" s="117">
        <v>0.28743174006114053</v>
      </c>
      <c r="C49" s="118">
        <v>0.28701655932790215</v>
      </c>
      <c r="D49" s="119">
        <v>6.291924264022467E-3</v>
      </c>
      <c r="E49" s="117">
        <v>0.19337184887765896</v>
      </c>
      <c r="F49" s="120">
        <v>0.61571034691581228</v>
      </c>
      <c r="G49" s="2">
        <v>1</v>
      </c>
      <c r="H49" s="2">
        <v>3.3370319560945536E-2</v>
      </c>
      <c r="I49" s="2">
        <v>-0.14179577775958116</v>
      </c>
      <c r="J49" s="2">
        <v>-1.1170921587973451E-2</v>
      </c>
      <c r="K49" s="2">
        <v>-7.5151402129797498E-2</v>
      </c>
      <c r="L49" s="2">
        <v>-7.1485130217832205E-2</v>
      </c>
      <c r="M49" s="2">
        <v>0.99999999999875477</v>
      </c>
      <c r="N49" s="57"/>
      <c r="O49" s="67"/>
      <c r="Q49" s="51" t="str">
        <f t="shared" si="19"/>
        <v>Hedge funds</v>
      </c>
      <c r="R49" s="72">
        <f t="shared" si="21"/>
        <v>6.291924264022467E-3</v>
      </c>
      <c r="S49" s="52">
        <f t="shared" si="22"/>
        <v>0.28113981579711805</v>
      </c>
      <c r="T49" s="52">
        <f t="shared" si="23"/>
        <v>0.32827860685467175</v>
      </c>
      <c r="U49" s="52"/>
      <c r="X49" s="51"/>
    </row>
    <row r="50" spans="1:27">
      <c r="A50" s="60" t="str">
        <f t="shared" si="20"/>
        <v>Onroerend goed</v>
      </c>
      <c r="B50" s="121">
        <v>0.12161543251149302</v>
      </c>
      <c r="C50" s="122">
        <v>0.19107739866351217</v>
      </c>
      <c r="D50" s="123">
        <v>2.1032383615705061E-4</v>
      </c>
      <c r="E50" s="121">
        <v>3.1512197240716563E-2</v>
      </c>
      <c r="F50" s="124">
        <v>0.29196380331787675</v>
      </c>
      <c r="G50" s="65">
        <v>-0.15997362886980762</v>
      </c>
      <c r="H50" s="65">
        <v>-0.59344032132215851</v>
      </c>
      <c r="I50" s="65">
        <v>0.44204765559014086</v>
      </c>
      <c r="J50" s="65">
        <v>1</v>
      </c>
      <c r="K50" s="65">
        <v>-0.40877718914768446</v>
      </c>
      <c r="L50" s="65">
        <v>-0.13878119715620227</v>
      </c>
      <c r="M50" s="65">
        <v>0.99999999999954603</v>
      </c>
      <c r="N50" s="66"/>
      <c r="O50" s="67"/>
      <c r="P50" s="72"/>
      <c r="Q50" s="51" t="str">
        <f t="shared" si="19"/>
        <v>Onroerend goed</v>
      </c>
      <c r="R50" s="72">
        <f t="shared" si="21"/>
        <v>2.1032383615705061E-4</v>
      </c>
      <c r="S50" s="52">
        <f t="shared" si="22"/>
        <v>0.12140510867533598</v>
      </c>
      <c r="T50" s="52">
        <f t="shared" si="23"/>
        <v>0.17034837080638371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95" t="s">
        <v>64</v>
      </c>
      <c r="E52" s="396"/>
      <c r="F52" s="397"/>
      <c r="G52" s="395" t="s">
        <v>65</v>
      </c>
      <c r="H52" s="396"/>
      <c r="I52" s="396"/>
      <c r="J52" s="396"/>
      <c r="K52" s="396"/>
      <c r="L52" s="396"/>
      <c r="M52" s="396"/>
      <c r="N52" s="397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0.774898069587862</v>
      </c>
      <c r="H53" s="272">
        <v>9.3375418960238155E-2</v>
      </c>
      <c r="I53" s="272">
        <v>4.7764661810299591E-2</v>
      </c>
      <c r="J53" s="272">
        <v>3.6574022890180746E-2</v>
      </c>
      <c r="K53" s="272">
        <v>3.0028351662853559E-2</v>
      </c>
      <c r="L53" s="272">
        <v>1.7359475088565612E-2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2.6995283983559759E-3</v>
      </c>
      <c r="C54" s="118">
        <v>4.4369482154805453E-3</v>
      </c>
      <c r="D54" s="119">
        <v>9.0091634382478374E-6</v>
      </c>
      <c r="E54" s="117">
        <v>6.8142849730365126E-4</v>
      </c>
      <c r="F54" s="120">
        <v>5.6700035938417742E-3</v>
      </c>
      <c r="G54" s="2">
        <v>-6.2594804003576173E-3</v>
      </c>
      <c r="H54" s="2">
        <v>-0.59966218677516225</v>
      </c>
      <c r="I54" s="2">
        <v>-0.86780507472349278</v>
      </c>
      <c r="J54" s="2">
        <v>-0.69531444911328244</v>
      </c>
      <c r="K54" s="2">
        <v>-0.21550313924113801</v>
      </c>
      <c r="L54" s="2">
        <v>-0.16586047419694211</v>
      </c>
      <c r="M54" s="2">
        <v>0.999999999999998</v>
      </c>
      <c r="N54" s="57"/>
      <c r="O54" s="67"/>
      <c r="P54" s="72"/>
      <c r="Q54" s="51" t="str">
        <f t="shared" ref="Q54:Q60" si="25">A54</f>
        <v>High Yield</v>
      </c>
      <c r="R54" s="72">
        <f>D54</f>
        <v>9.0091634382478374E-6</v>
      </c>
      <c r="S54" s="52">
        <f>B54-D54</f>
        <v>2.6905192349177282E-3</v>
      </c>
      <c r="T54" s="52">
        <f>F54-B54</f>
        <v>2.9704751954857983E-3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1.0798494293707502E-2</v>
      </c>
      <c r="C55" s="118">
        <v>1.358270078227408E-2</v>
      </c>
      <c r="D55" s="119">
        <v>1.1077505439822777E-4</v>
      </c>
      <c r="E55" s="117">
        <v>5.6409414452007287E-3</v>
      </c>
      <c r="F55" s="120">
        <v>2.3541835295091226E-2</v>
      </c>
      <c r="G55" s="2">
        <v>-0.94014755416640239</v>
      </c>
      <c r="H55" s="2">
        <v>1</v>
      </c>
      <c r="I55" s="2">
        <v>8.9133751307108641E-2</v>
      </c>
      <c r="J55" s="2">
        <v>-0.18674767702870876</v>
      </c>
      <c r="K55" s="2">
        <v>-8.6161847218881454E-2</v>
      </c>
      <c r="L55" s="2">
        <v>-0.12885759966823807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1.1077505439822777E-4</v>
      </c>
      <c r="S55" s="52">
        <f t="shared" ref="S55:S60" si="27">B55-D55</f>
        <v>1.0687719239309274E-2</v>
      </c>
      <c r="T55" s="52">
        <f t="shared" ref="T55:T60" si="28">F55-B55</f>
        <v>1.2743341001383725E-2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1.9822064696863656E-3</v>
      </c>
      <c r="C56" s="118">
        <v>3.5358469027447484E-3</v>
      </c>
      <c r="D56" s="119">
        <v>1.6321501928185519E-6</v>
      </c>
      <c r="E56" s="117">
        <v>2.9118786865388568E-4</v>
      </c>
      <c r="F56" s="120">
        <v>4.1585183705586289E-3</v>
      </c>
      <c r="G56" s="2">
        <v>-1.0788390510230042E-2</v>
      </c>
      <c r="H56" s="2">
        <v>-0.17943155878544226</v>
      </c>
      <c r="I56" s="2">
        <v>-0.19158486333283606</v>
      </c>
      <c r="J56" s="2">
        <v>0.38786884689094836</v>
      </c>
      <c r="K56" s="2">
        <v>1</v>
      </c>
      <c r="L56" s="2">
        <v>-0.21595666877594119</v>
      </c>
      <c r="M56" s="2">
        <v>0.99999999999999878</v>
      </c>
      <c r="N56" s="57"/>
      <c r="O56" s="67"/>
      <c r="Q56" s="51" t="str">
        <f t="shared" si="25"/>
        <v>Aandelen ontwikkeld</v>
      </c>
      <c r="R56" s="72">
        <f t="shared" si="26"/>
        <v>1.6321501928185519E-6</v>
      </c>
      <c r="S56" s="52">
        <f t="shared" si="27"/>
        <v>1.9805743194935472E-3</v>
      </c>
      <c r="T56" s="52">
        <f t="shared" si="28"/>
        <v>2.1763119008722633E-3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2.8659865792323809E-3</v>
      </c>
      <c r="C57" s="118">
        <v>4.8114003053216468E-3</v>
      </c>
      <c r="D57" s="119">
        <v>2.6944486895544232E-6</v>
      </c>
      <c r="E57" s="117">
        <v>5.6646977642831877E-4</v>
      </c>
      <c r="F57" s="120">
        <v>6.3558774547274009E-3</v>
      </c>
      <c r="G57" s="2">
        <v>-4.4051147584664066E-2</v>
      </c>
      <c r="H57" s="2">
        <v>-0.79173108346596066</v>
      </c>
      <c r="I57" s="2">
        <v>1</v>
      </c>
      <c r="J57" s="2">
        <v>-0.3199131792429647</v>
      </c>
      <c r="K57" s="2">
        <v>-8.0848396127779706E-2</v>
      </c>
      <c r="L57" s="2">
        <v>-0.20324266577287894</v>
      </c>
      <c r="M57" s="2">
        <v>0.999999999999999</v>
      </c>
      <c r="N57" s="57"/>
      <c r="O57" s="67"/>
      <c r="Q57" s="51" t="str">
        <f t="shared" si="25"/>
        <v>Aandelen opkomend</v>
      </c>
      <c r="R57" s="72">
        <f t="shared" si="26"/>
        <v>2.6944486895544232E-6</v>
      </c>
      <c r="S57" s="52">
        <f t="shared" si="27"/>
        <v>2.8632921305428265E-3</v>
      </c>
      <c r="T57" s="52">
        <f t="shared" si="28"/>
        <v>3.4898908754950201E-3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1.4771024259273814E-3</v>
      </c>
      <c r="C58" s="118">
        <v>2.6498290764599016E-3</v>
      </c>
      <c r="D58" s="119">
        <v>5.6631026702354599E-7</v>
      </c>
      <c r="E58" s="117">
        <v>2.7253003984780859E-4</v>
      </c>
      <c r="F58" s="120">
        <v>3.090897838414223E-3</v>
      </c>
      <c r="G58" s="2">
        <v>6.7869014313594834E-3</v>
      </c>
      <c r="H58" s="2">
        <v>-7.9516633025963901E-2</v>
      </c>
      <c r="I58" s="2">
        <v>2.1512728768105855E-2</v>
      </c>
      <c r="J58" s="2">
        <v>-1.6140838464599714E-3</v>
      </c>
      <c r="K58" s="2">
        <v>5.5404807822978949E-2</v>
      </c>
      <c r="L58" s="2">
        <v>1</v>
      </c>
      <c r="M58" s="2">
        <v>0.999999999999998</v>
      </c>
      <c r="N58" s="57"/>
      <c r="O58" s="67"/>
      <c r="Q58" s="51" t="str">
        <f t="shared" si="25"/>
        <v>Commodities</v>
      </c>
      <c r="R58" s="72">
        <f t="shared" si="26"/>
        <v>5.6631026702354599E-7</v>
      </c>
      <c r="S58" s="52">
        <f t="shared" si="27"/>
        <v>1.4765361156603579E-3</v>
      </c>
      <c r="T58" s="52">
        <f t="shared" si="28"/>
        <v>1.6137954124868417E-3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0.97790353409338471</v>
      </c>
      <c r="C59" s="118">
        <v>1.4278303709786614E-2</v>
      </c>
      <c r="D59" s="119">
        <v>0.96405006368400703</v>
      </c>
      <c r="E59" s="117">
        <v>0.97951160838196549</v>
      </c>
      <c r="F59" s="120">
        <v>0.99241043095092851</v>
      </c>
      <c r="G59" s="2">
        <v>1</v>
      </c>
      <c r="H59" s="2">
        <v>0.89874497435508049</v>
      </c>
      <c r="I59" s="2">
        <v>0.11926040000240094</v>
      </c>
      <c r="J59" s="2">
        <v>-0.18427945765953341</v>
      </c>
      <c r="K59" s="2">
        <v>-7.879438163334633E-2</v>
      </c>
      <c r="L59" s="2">
        <v>-0.1410566479321208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0.96405006368400703</v>
      </c>
      <c r="S59" s="52">
        <f t="shared" si="27"/>
        <v>1.3853470409377677E-2</v>
      </c>
      <c r="T59" s="52">
        <f t="shared" si="28"/>
        <v>1.4506896857543805E-2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2.2731477397045759E-3</v>
      </c>
      <c r="C60" s="122">
        <v>3.7833674268584446E-3</v>
      </c>
      <c r="D60" s="123">
        <v>4.0112150440200787E-6</v>
      </c>
      <c r="E60" s="121">
        <v>5.6958771120678615E-4</v>
      </c>
      <c r="F60" s="124">
        <v>4.8131206969539621E-3</v>
      </c>
      <c r="G60" s="65">
        <v>-5.5403287697053443E-3</v>
      </c>
      <c r="H60" s="65">
        <v>-0.24840351230255381</v>
      </c>
      <c r="I60" s="65">
        <v>-0.1705169420212875</v>
      </c>
      <c r="J60" s="65">
        <v>1</v>
      </c>
      <c r="K60" s="65">
        <v>-0.59409704360183258</v>
      </c>
      <c r="L60" s="65">
        <v>-0.14502594365387836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4.0112150440200787E-6</v>
      </c>
      <c r="S60" s="52">
        <f t="shared" si="27"/>
        <v>2.269136524660556E-3</v>
      </c>
      <c r="T60" s="52">
        <f t="shared" si="28"/>
        <v>2.5399729572493862E-3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95" t="s">
        <v>64</v>
      </c>
      <c r="E62" s="396"/>
      <c r="F62" s="397"/>
      <c r="G62" s="395" t="s">
        <v>65</v>
      </c>
      <c r="H62" s="396"/>
      <c r="I62" s="396"/>
      <c r="J62" s="396"/>
      <c r="K62" s="396"/>
      <c r="L62" s="396"/>
      <c r="M62" s="396"/>
      <c r="N62" s="397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0.59278251009823768</v>
      </c>
      <c r="H63" s="272">
        <v>0.24383112443964661</v>
      </c>
      <c r="I63" s="272">
        <v>0.11563329119334065</v>
      </c>
      <c r="J63" s="272">
        <v>3.8236490060534645E-2</v>
      </c>
      <c r="K63" s="272">
        <v>6.5365261892761373E-3</v>
      </c>
      <c r="L63" s="272">
        <v>2.980058018963283E-3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7.1955839170805364E-2</v>
      </c>
      <c r="C64" s="118">
        <v>6.5548615287200601E-2</v>
      </c>
      <c r="D64" s="119">
        <v>8.4753556683931988E-3</v>
      </c>
      <c r="E64" s="117">
        <v>5.5083789895810129E-2</v>
      </c>
      <c r="F64" s="120">
        <v>0.13307721014733195</v>
      </c>
      <c r="G64" s="2">
        <v>-9.7006558748822441E-2</v>
      </c>
      <c r="H64" s="2">
        <v>-0.45226786493948634</v>
      </c>
      <c r="I64" s="2">
        <v>1</v>
      </c>
      <c r="J64" s="2">
        <v>-0.20613403399779873</v>
      </c>
      <c r="K64" s="2">
        <v>-0.19557502063363855</v>
      </c>
      <c r="L64" s="2">
        <v>-0.12827019813074081</v>
      </c>
      <c r="M64" s="2">
        <v>0.99999999999998845</v>
      </c>
      <c r="N64" s="57"/>
      <c r="O64" s="67"/>
      <c r="Q64" s="51" t="str">
        <f t="shared" ref="Q64:Q70" si="32">A64</f>
        <v>High Yield</v>
      </c>
      <c r="R64" s="72">
        <f>D64</f>
        <v>8.4753556683931988E-3</v>
      </c>
      <c r="S64" s="52">
        <f>B64-D64</f>
        <v>6.3480483502412172E-2</v>
      </c>
      <c r="T64" s="52">
        <f>F64-B64</f>
        <v>6.112137097652659E-2</v>
      </c>
      <c r="U64" s="52"/>
    </row>
    <row r="65" spans="1:24">
      <c r="A65" s="59" t="str">
        <f t="shared" si="31"/>
        <v>Emerging market debt</v>
      </c>
      <c r="B65" s="117">
        <v>3.4701827524090685E-2</v>
      </c>
      <c r="C65" s="118">
        <v>3.5879972033659904E-2</v>
      </c>
      <c r="D65" s="119">
        <v>3.2089670703715025E-3</v>
      </c>
      <c r="E65" s="117">
        <v>2.1384046280172098E-2</v>
      </c>
      <c r="F65" s="120">
        <v>7.1084029503028251E-2</v>
      </c>
      <c r="G65" s="2">
        <v>-1.0137626560866999E-2</v>
      </c>
      <c r="H65" s="2">
        <v>-0.11534518546934154</v>
      </c>
      <c r="I65" s="2">
        <v>-0.1015025891585942</v>
      </c>
      <c r="J65" s="2">
        <v>1</v>
      </c>
      <c r="K65" s="2">
        <v>-0.23784672087063402</v>
      </c>
      <c r="L65" s="2">
        <v>-0.16920700081063769</v>
      </c>
      <c r="M65" s="2">
        <v>0.99999999999999045</v>
      </c>
      <c r="N65" s="57"/>
      <c r="O65" s="67"/>
      <c r="Q65" s="51" t="str">
        <f t="shared" si="32"/>
        <v>Emerging market debt</v>
      </c>
      <c r="R65" s="72">
        <f t="shared" ref="R65:R70" si="33">D65</f>
        <v>3.2089670703715025E-3</v>
      </c>
      <c r="S65" s="52">
        <f t="shared" ref="S65:S70" si="34">B65-D65</f>
        <v>3.1492860453719185E-2</v>
      </c>
      <c r="T65" s="52">
        <f t="shared" ref="T65:T70" si="35">F65-B65</f>
        <v>3.6382201978937566E-2</v>
      </c>
      <c r="U65" s="52"/>
    </row>
    <row r="66" spans="1:24">
      <c r="A66" s="59" t="str">
        <f t="shared" si="31"/>
        <v>Aandelen ontwikkeld</v>
      </c>
      <c r="B66" s="117">
        <v>1.1374890378775865E-2</v>
      </c>
      <c r="C66" s="118">
        <v>1.4879528922179057E-2</v>
      </c>
      <c r="D66" s="119">
        <v>1.5806726159073439E-4</v>
      </c>
      <c r="E66" s="117">
        <v>5.9835733673497728E-3</v>
      </c>
      <c r="F66" s="120">
        <v>2.2368674397356344E-2</v>
      </c>
      <c r="G66" s="2">
        <v>-8.9997978536424052E-4</v>
      </c>
      <c r="H66" s="2">
        <v>-2.8320320218265409E-2</v>
      </c>
      <c r="I66" s="2">
        <v>-1.8670158280214691E-2</v>
      </c>
      <c r="J66" s="2">
        <v>1.9033628794656046E-2</v>
      </c>
      <c r="K66" s="2">
        <v>1</v>
      </c>
      <c r="L66" s="2">
        <v>-0.22656714812426257</v>
      </c>
      <c r="M66" s="2">
        <v>0.99999999999999645</v>
      </c>
      <c r="N66" s="57"/>
      <c r="O66" s="67"/>
      <c r="Q66" s="51" t="str">
        <f t="shared" si="32"/>
        <v>Aandelen ontwikkeld</v>
      </c>
      <c r="R66" s="72">
        <f t="shared" si="33"/>
        <v>1.5806726159073439E-4</v>
      </c>
      <c r="S66" s="52">
        <f t="shared" si="34"/>
        <v>1.121682311718513E-2</v>
      </c>
      <c r="T66" s="52">
        <f t="shared" si="35"/>
        <v>1.0993784018580479E-2</v>
      </c>
      <c r="U66" s="52"/>
    </row>
    <row r="67" spans="1:24">
      <c r="A67" s="59" t="str">
        <f t="shared" si="31"/>
        <v>Aandelen opkomend</v>
      </c>
      <c r="B67" s="117">
        <v>7.7151884442902153E-3</v>
      </c>
      <c r="C67" s="118">
        <v>1.0370239352218993E-2</v>
      </c>
      <c r="D67" s="119">
        <v>1.3347015598507306E-4</v>
      </c>
      <c r="E67" s="117">
        <v>3.352350121289694E-3</v>
      </c>
      <c r="F67" s="120">
        <v>1.7639616498119397E-2</v>
      </c>
      <c r="G67" s="2">
        <v>1.1860617021805882E-3</v>
      </c>
      <c r="H67" s="2">
        <v>-1.5850532092498766E-2</v>
      </c>
      <c r="I67" s="2">
        <v>-3.8152697746968403E-2</v>
      </c>
      <c r="J67" s="2">
        <v>1.2560470182694192E-2</v>
      </c>
      <c r="K67" s="2">
        <v>6.091689511270916E-2</v>
      </c>
      <c r="L67" s="2">
        <v>1</v>
      </c>
      <c r="M67" s="2">
        <v>1</v>
      </c>
      <c r="N67" s="57"/>
      <c r="O67" s="67"/>
      <c r="Q67" s="51" t="str">
        <f t="shared" si="32"/>
        <v>Aandelen opkomend</v>
      </c>
      <c r="R67" s="72">
        <f t="shared" si="33"/>
        <v>1.3347015598507306E-4</v>
      </c>
      <c r="S67" s="52">
        <f t="shared" si="34"/>
        <v>7.5817182883051422E-3</v>
      </c>
      <c r="T67" s="52">
        <f t="shared" si="35"/>
        <v>9.9244280538291815E-3</v>
      </c>
      <c r="U67" s="52"/>
    </row>
    <row r="68" spans="1:24">
      <c r="A68" s="59" t="str">
        <f t="shared" si="31"/>
        <v>Commodities</v>
      </c>
      <c r="B68" s="117">
        <v>0.19700783381867154</v>
      </c>
      <c r="C68" s="118">
        <v>7.5639132473333898E-2</v>
      </c>
      <c r="D68" s="119">
        <v>0.1226275537649839</v>
      </c>
      <c r="E68" s="117">
        <v>0.19516724762562443</v>
      </c>
      <c r="F68" s="120">
        <v>0.2720537384184446</v>
      </c>
      <c r="G68" s="2">
        <v>-0.27450844385148643</v>
      </c>
      <c r="H68" s="2">
        <v>-0.75464434232900779</v>
      </c>
      <c r="I68" s="2">
        <v>-0.68821472778103887</v>
      </c>
      <c r="J68" s="2">
        <v>-0.39789860523570625</v>
      </c>
      <c r="K68" s="2">
        <v>-0.23513240889440087</v>
      </c>
      <c r="L68" s="2">
        <v>-0.17687159648609868</v>
      </c>
      <c r="M68" s="2">
        <v>0.99999999999998668</v>
      </c>
      <c r="N68" s="57"/>
      <c r="O68" s="67"/>
      <c r="Q68" s="51" t="str">
        <f t="shared" si="32"/>
        <v>Commodities</v>
      </c>
      <c r="R68" s="72">
        <f t="shared" si="33"/>
        <v>0.1226275537649839</v>
      </c>
      <c r="S68" s="52">
        <f t="shared" si="34"/>
        <v>7.4380280053687645E-2</v>
      </c>
      <c r="T68" s="52">
        <f t="shared" si="35"/>
        <v>7.5045904599773061E-2</v>
      </c>
      <c r="U68" s="52"/>
    </row>
    <row r="69" spans="1:24">
      <c r="A69" s="59" t="str">
        <f t="shared" si="31"/>
        <v>Hedge funds</v>
      </c>
      <c r="B69" s="117">
        <v>0.12261170182661704</v>
      </c>
      <c r="C69" s="118">
        <v>0.105928292064672</v>
      </c>
      <c r="D69" s="119">
        <v>1.2475079576170467E-2</v>
      </c>
      <c r="E69" s="117">
        <v>9.5996607696946401E-2</v>
      </c>
      <c r="F69" s="120">
        <v>0.23811810749435167</v>
      </c>
      <c r="G69" s="2">
        <v>-0.61863345275564119</v>
      </c>
      <c r="H69" s="2">
        <v>1</v>
      </c>
      <c r="I69" s="2">
        <v>-3.7405062316502063E-2</v>
      </c>
      <c r="J69" s="2">
        <v>-0.19057955212465763</v>
      </c>
      <c r="K69" s="2">
        <v>-0.18982764760702098</v>
      </c>
      <c r="L69" s="2">
        <v>-0.14517365490215309</v>
      </c>
      <c r="M69" s="2">
        <v>0.99999999999998768</v>
      </c>
      <c r="N69" s="57"/>
      <c r="O69" s="67"/>
      <c r="Q69" s="51" t="str">
        <f t="shared" si="32"/>
        <v>Hedge funds</v>
      </c>
      <c r="R69" s="72">
        <f t="shared" si="33"/>
        <v>1.2475079576170467E-2</v>
      </c>
      <c r="S69" s="52">
        <f t="shared" si="34"/>
        <v>0.11013662225044657</v>
      </c>
      <c r="T69" s="52">
        <f t="shared" si="35"/>
        <v>0.11550640566773462</v>
      </c>
      <c r="U69" s="52"/>
      <c r="X69" s="51"/>
    </row>
    <row r="70" spans="1:24">
      <c r="A70" s="60" t="str">
        <f t="shared" si="31"/>
        <v>Onroerend goed</v>
      </c>
      <c r="B70" s="121">
        <v>0.55463271883674892</v>
      </c>
      <c r="C70" s="122">
        <v>0.1296861908410531</v>
      </c>
      <c r="D70" s="123">
        <v>0.43029176546889841</v>
      </c>
      <c r="E70" s="121">
        <v>0.54538002066130242</v>
      </c>
      <c r="F70" s="124">
        <v>0.68510104786833437</v>
      </c>
      <c r="G70" s="65">
        <v>1</v>
      </c>
      <c r="H70" s="65">
        <v>0.36642824504860044</v>
      </c>
      <c r="I70" s="65">
        <v>-0.1160547647166825</v>
      </c>
      <c r="J70" s="65">
        <v>-0.23698190761919108</v>
      </c>
      <c r="K70" s="65">
        <v>-0.20253509710702308</v>
      </c>
      <c r="L70" s="65">
        <v>-0.15391040154611726</v>
      </c>
      <c r="M70" s="65">
        <v>0.99999999999998812</v>
      </c>
      <c r="N70" s="66"/>
      <c r="O70" s="67"/>
      <c r="P70" s="72"/>
      <c r="Q70" s="51" t="str">
        <f t="shared" si="32"/>
        <v>Onroerend goed</v>
      </c>
      <c r="R70" s="72">
        <f t="shared" si="33"/>
        <v>0.43029176546889841</v>
      </c>
      <c r="S70" s="52">
        <f t="shared" si="34"/>
        <v>0.1243409533678505</v>
      </c>
      <c r="T70" s="52">
        <f t="shared" si="35"/>
        <v>0.13046832903158545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95" t="s">
        <v>64</v>
      </c>
      <c r="E72" s="396"/>
      <c r="F72" s="397"/>
      <c r="G72" s="395" t="s">
        <v>65</v>
      </c>
      <c r="H72" s="396"/>
      <c r="I72" s="396"/>
      <c r="J72" s="396"/>
      <c r="K72" s="396"/>
      <c r="L72" s="396"/>
      <c r="M72" s="396"/>
      <c r="N72" s="397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0.74031071575333507</v>
      </c>
      <c r="H73" s="272">
        <v>0.11607118391386151</v>
      </c>
      <c r="I73" s="272">
        <v>9.1831107977294768E-2</v>
      </c>
      <c r="J73" s="272">
        <v>4.7024019388314242E-2</v>
      </c>
      <c r="K73" s="272">
        <v>3.9164348311543362E-3</v>
      </c>
      <c r="L73" s="272">
        <v>8.4653813603363659E-4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0.23577701527791628</v>
      </c>
      <c r="C74" s="118">
        <v>0.13282199227996005</v>
      </c>
      <c r="D74" s="119">
        <v>9.5304615523685604E-2</v>
      </c>
      <c r="E74" s="117">
        <v>0.22268813755612707</v>
      </c>
      <c r="F74" s="120">
        <v>0.37088188367648245</v>
      </c>
      <c r="G74" s="2">
        <v>1</v>
      </c>
      <c r="H74" s="2">
        <v>-0.3178125581149378</v>
      </c>
      <c r="I74" s="2">
        <v>-0.26093929604090943</v>
      </c>
      <c r="J74" s="2">
        <v>-0.2178555858011485</v>
      </c>
      <c r="K74" s="2">
        <v>-0.21634487347929382</v>
      </c>
      <c r="L74" s="2">
        <v>-0.16571505403912265</v>
      </c>
      <c r="M74" s="2">
        <v>0.99999999999999911</v>
      </c>
      <c r="N74" s="57"/>
      <c r="O74" s="67"/>
      <c r="P74" s="72"/>
      <c r="Q74" s="51" t="str">
        <f t="shared" ref="Q74:Q80" si="37">A74</f>
        <v>High Yield</v>
      </c>
      <c r="R74" s="72">
        <f>D74</f>
        <v>9.5304615523685604E-2</v>
      </c>
      <c r="S74" s="52">
        <f>B74-D74</f>
        <v>0.14047239975423068</v>
      </c>
      <c r="T74" s="52">
        <f>F74-B74</f>
        <v>0.13510486839856617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4.516169010955897E-2</v>
      </c>
      <c r="C75" s="118">
        <v>3.8584568524031665E-2</v>
      </c>
      <c r="D75" s="119">
        <v>1.0080629740565394E-2</v>
      </c>
      <c r="E75" s="117">
        <v>3.423862540832092E-2</v>
      </c>
      <c r="F75" s="120">
        <v>7.9898766380699773E-2</v>
      </c>
      <c r="G75" s="2">
        <v>-6.5836327054349164E-2</v>
      </c>
      <c r="H75" s="2">
        <v>-6.5658916872625678E-2</v>
      </c>
      <c r="I75" s="2">
        <v>-5.8103030101013066E-2</v>
      </c>
      <c r="J75" s="2">
        <v>1</v>
      </c>
      <c r="K75" s="2">
        <v>-0.15394509943874812</v>
      </c>
      <c r="L75" s="2">
        <v>-0.15031444380816866</v>
      </c>
      <c r="M75" s="2">
        <v>0.99999999999999756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1.0080629740565394E-2</v>
      </c>
      <c r="S75" s="52">
        <f t="shared" ref="S75:S80" si="39">B75-D75</f>
        <v>3.5081060368993576E-2</v>
      </c>
      <c r="T75" s="52">
        <f t="shared" ref="T75:T80" si="40">F75-B75</f>
        <v>3.4737076271140803E-2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4.7456005134116032E-3</v>
      </c>
      <c r="C76" s="118">
        <v>5.2134525447881256E-3</v>
      </c>
      <c r="D76" s="119">
        <v>3.1098054798629564E-4</v>
      </c>
      <c r="E76" s="117">
        <v>2.7033708404513596E-3</v>
      </c>
      <c r="F76" s="120">
        <v>9.9324668520615628E-3</v>
      </c>
      <c r="G76" s="2">
        <v>-2.5149327874538405E-3</v>
      </c>
      <c r="H76" s="2">
        <v>1.1426874053082024E-4</v>
      </c>
      <c r="I76" s="2">
        <v>-9.9986750670455048E-3</v>
      </c>
      <c r="J76" s="2">
        <v>-1.4668075860528229E-2</v>
      </c>
      <c r="K76" s="2">
        <v>2.1944775684048883E-2</v>
      </c>
      <c r="L76" s="2">
        <v>1</v>
      </c>
      <c r="M76" s="2">
        <v>0.99999999999997502</v>
      </c>
      <c r="N76" s="57"/>
      <c r="O76" s="67"/>
      <c r="Q76" s="51" t="str">
        <f t="shared" si="37"/>
        <v>Aandelen ontwikkeld</v>
      </c>
      <c r="R76" s="72">
        <f t="shared" si="38"/>
        <v>3.1098054798629564E-4</v>
      </c>
      <c r="S76" s="52">
        <f t="shared" si="39"/>
        <v>4.4346199654253073E-3</v>
      </c>
      <c r="T76" s="52">
        <f t="shared" si="40"/>
        <v>5.1868663386499597E-3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7.156538990643746E-2</v>
      </c>
      <c r="C77" s="118">
        <v>5.8315286195927483E-2</v>
      </c>
      <c r="D77" s="119">
        <v>1.521987083539175E-2</v>
      </c>
      <c r="E77" s="117">
        <v>5.6146977814044027E-2</v>
      </c>
      <c r="F77" s="120">
        <v>0.12708665921436846</v>
      </c>
      <c r="G77" s="2">
        <v>-0.10571152771286559</v>
      </c>
      <c r="H77" s="2">
        <v>1</v>
      </c>
      <c r="I77" s="2">
        <v>-0.24657858172836164</v>
      </c>
      <c r="J77" s="2">
        <v>-0.19972520517814984</v>
      </c>
      <c r="K77" s="2">
        <v>-0.22247239903104868</v>
      </c>
      <c r="L77" s="2">
        <v>-0.16738286858425239</v>
      </c>
      <c r="M77" s="2">
        <v>0.99999999999999989</v>
      </c>
      <c r="N77" s="57"/>
      <c r="O77" s="67"/>
      <c r="Q77" s="51" t="str">
        <f t="shared" si="37"/>
        <v>Aandelen opkomend</v>
      </c>
      <c r="R77" s="72">
        <f t="shared" si="38"/>
        <v>1.521987083539175E-2</v>
      </c>
      <c r="S77" s="52">
        <f t="shared" si="39"/>
        <v>5.6345519071045708E-2</v>
      </c>
      <c r="T77" s="52">
        <f t="shared" si="40"/>
        <v>5.5521269307930998E-2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0.56125939804848646</v>
      </c>
      <c r="C78" s="118">
        <v>0.10522143232304454</v>
      </c>
      <c r="D78" s="119">
        <v>0.45501853734259429</v>
      </c>
      <c r="E78" s="117">
        <v>0.55921941720482726</v>
      </c>
      <c r="F78" s="120">
        <v>0.66964017001475895</v>
      </c>
      <c r="G78" s="2">
        <v>-0.74848395598529527</v>
      </c>
      <c r="H78" s="2">
        <v>-0.55431001157431292</v>
      </c>
      <c r="I78" s="2">
        <v>-0.40077746930147407</v>
      </c>
      <c r="J78" s="2">
        <v>-0.33329289740875373</v>
      </c>
      <c r="K78" s="2">
        <v>-0.23754685744798706</v>
      </c>
      <c r="L78" s="2">
        <v>-0.1713564726326999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0.45501853734259429</v>
      </c>
      <c r="S78" s="52">
        <f t="shared" si="39"/>
        <v>0.10624086070589217</v>
      </c>
      <c r="T78" s="52">
        <f t="shared" si="40"/>
        <v>0.10838077196627249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7.0276101674922875E-2</v>
      </c>
      <c r="C79" s="118">
        <v>5.2300212890738704E-2</v>
      </c>
      <c r="D79" s="119">
        <v>1.9868438206004254E-2</v>
      </c>
      <c r="E79" s="117">
        <v>5.9562621162508551E-2</v>
      </c>
      <c r="F79" s="120">
        <v>0.12143808145321883</v>
      </c>
      <c r="G79" s="2">
        <v>-6.9148852723331433E-2</v>
      </c>
      <c r="H79" s="2">
        <v>-6.2320301182087749E-2</v>
      </c>
      <c r="I79" s="2">
        <v>1</v>
      </c>
      <c r="J79" s="2">
        <v>-0.18293114738380392</v>
      </c>
      <c r="K79" s="2">
        <v>-0.19163554628696311</v>
      </c>
      <c r="L79" s="2">
        <v>-0.15638283997619587</v>
      </c>
      <c r="M79" s="2">
        <v>0.99999999999999967</v>
      </c>
      <c r="N79" s="57"/>
      <c r="O79" s="67"/>
      <c r="Q79" s="51" t="str">
        <f t="shared" si="37"/>
        <v>Hedge funds</v>
      </c>
      <c r="R79" s="72">
        <f t="shared" si="38"/>
        <v>1.9868438206004254E-2</v>
      </c>
      <c r="S79" s="52">
        <f t="shared" si="39"/>
        <v>5.0407663468918618E-2</v>
      </c>
      <c r="T79" s="52">
        <f t="shared" si="40"/>
        <v>5.1161979778295952E-2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1.1214804469266095E-2</v>
      </c>
      <c r="C80" s="122">
        <v>1.1180791041482209E-2</v>
      </c>
      <c r="D80" s="123">
        <v>1.7409154601443391E-3</v>
      </c>
      <c r="E80" s="121">
        <v>7.2319193238043747E-3</v>
      </c>
      <c r="F80" s="124">
        <v>2.1909260851275945E-2</v>
      </c>
      <c r="G80" s="65">
        <v>-8.3044037367039289E-3</v>
      </c>
      <c r="H80" s="65">
        <v>-1.2480996566554162E-5</v>
      </c>
      <c r="I80" s="65">
        <v>-2.3602947761196716E-2</v>
      </c>
      <c r="J80" s="65">
        <v>-5.152708836761434E-2</v>
      </c>
      <c r="K80" s="65">
        <v>1</v>
      </c>
      <c r="L80" s="65">
        <v>-0.18884832095953816</v>
      </c>
      <c r="M80" s="65">
        <v>0.99999999999999234</v>
      </c>
      <c r="N80" s="66"/>
      <c r="O80" s="67"/>
      <c r="Q80" s="51" t="str">
        <f t="shared" si="37"/>
        <v>Onroerend goed</v>
      </c>
      <c r="R80" s="72">
        <f t="shared" si="38"/>
        <v>1.7409154601443391E-3</v>
      </c>
      <c r="S80" s="52">
        <f t="shared" si="39"/>
        <v>9.4738890091217564E-3</v>
      </c>
      <c r="T80" s="52">
        <f t="shared" si="40"/>
        <v>1.0694456382009851E-2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topLeftCell="A55" zoomScale="85" zoomScaleNormal="85" workbookViewId="0">
      <selection activeCell="M37" sqref="M37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0.03</v>
      </c>
      <c r="D4" s="85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85">
        <f>+Scenarios!H25</f>
        <v>0.27529934429078429</v>
      </c>
      <c r="J4" s="318">
        <f>Scenarios!D5</f>
        <v>0.15853561014014847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3.1398195419985959E-2</v>
      </c>
      <c r="D5" s="85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85">
        <f>+Scenarios!H26</f>
        <v>0.25817653707968463</v>
      </c>
      <c r="J5" s="318">
        <f>Scenarios!D6</f>
        <v>0.16217253275473525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5.6592124614748239E-2</v>
      </c>
      <c r="D6" s="85">
        <f>+Scenarios!C27</f>
        <v>-1.272492445230269E-2</v>
      </c>
      <c r="E6" s="85">
        <f>+Scenarios!D27</f>
        <v>-0.19311368459773193</v>
      </c>
      <c r="F6" s="85">
        <f>+Scenarios!E27</f>
        <v>6.8398505331446036E-2</v>
      </c>
      <c r="G6" s="85">
        <f>+Scenarios!F27</f>
        <v>-0.5992014650452413</v>
      </c>
      <c r="H6" s="85">
        <f>+Scenarios!G27</f>
        <v>-0.47126055414190038</v>
      </c>
      <c r="I6" s="85">
        <f>+Scenarios!H27</f>
        <v>0.40935864013329615</v>
      </c>
      <c r="J6" s="318">
        <f>Scenarios!D7</f>
        <v>0.28718972670468956</v>
      </c>
      <c r="L6" s="210"/>
      <c r="M6" s="343" t="s">
        <v>4</v>
      </c>
      <c r="N6" s="338">
        <f>+'Control panel'!$B3</f>
        <v>0.55552002657163746</v>
      </c>
      <c r="O6" s="338">
        <f>+'Control panel'!$C3</f>
        <v>0</v>
      </c>
      <c r="P6" s="338">
        <f>+'Control panel'!$D3</f>
        <v>1</v>
      </c>
      <c r="Q6" s="338">
        <f>+'Control panel'!$F3</f>
        <v>0.63884131311996284</v>
      </c>
      <c r="R6" s="340">
        <f t="shared" ref="R6:R13" si="0">+Q6-N6</f>
        <v>8.332128654832538E-2</v>
      </c>
    </row>
    <row r="7" spans="1:18" ht="15.75">
      <c r="A7" s="210"/>
      <c r="B7" s="356" t="s">
        <v>8</v>
      </c>
      <c r="C7" s="318">
        <f>+Scenarios!B28</f>
        <v>5.6149706770970371E-2</v>
      </c>
      <c r="D7" s="85">
        <f>+Scenarios!C28</f>
        <v>5.7893485302571407E-2</v>
      </c>
      <c r="E7" s="85">
        <f>+Scenarios!D28</f>
        <v>-6.9261756645690273E-2</v>
      </c>
      <c r="F7" s="85">
        <f>+Scenarios!E28</f>
        <v>7.3553356497680716E-2</v>
      </c>
      <c r="G7" s="85">
        <f>+Scenarios!F28</f>
        <v>-0.42661422498990775</v>
      </c>
      <c r="H7" s="85">
        <f>+Scenarios!G28</f>
        <v>-0.26558788944909251</v>
      </c>
      <c r="I7" s="85">
        <f>+Scenarios!H28</f>
        <v>0.37672139820686834</v>
      </c>
      <c r="J7" s="318">
        <f>Scenarios!D8</f>
        <v>0.29616397669669142</v>
      </c>
      <c r="L7" s="210"/>
      <c r="M7" s="343" t="s">
        <v>5</v>
      </c>
      <c r="N7" s="338">
        <f>+'Control panel'!$B4</f>
        <v>9.7772401711769694E-2</v>
      </c>
      <c r="O7" s="338">
        <f>+'Control panel'!$C4</f>
        <v>0</v>
      </c>
      <c r="P7" s="338">
        <f>+'Control panel'!$D4</f>
        <v>1</v>
      </c>
      <c r="Q7" s="338">
        <f>+'Control panel'!$F4</f>
        <v>8.9152415993890524E-2</v>
      </c>
      <c r="R7" s="340">
        <f t="shared" si="0"/>
        <v>-8.6199857178791695E-3</v>
      </c>
    </row>
    <row r="8" spans="1:18" ht="15.75">
      <c r="A8" s="210"/>
      <c r="B8" s="356" t="s">
        <v>9</v>
      </c>
      <c r="C8" s="318">
        <f>+Scenarios!B29</f>
        <v>5.16958277280853E-2</v>
      </c>
      <c r="D8" s="85">
        <f>+Scenarios!C29</f>
        <v>9.5036056352725468E-2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85">
        <f>+Scenarios!H29</f>
        <v>0.621322616702631</v>
      </c>
      <c r="J8" s="318">
        <f>Scenarios!D9</f>
        <v>0.32648216646211403</v>
      </c>
      <c r="L8" s="210"/>
      <c r="M8" s="343" t="s">
        <v>6</v>
      </c>
      <c r="N8" s="338">
        <f>+'Control panel'!$B5</f>
        <v>9.4763191533410202E-2</v>
      </c>
      <c r="O8" s="338">
        <f>+'Control panel'!$C5</f>
        <v>0</v>
      </c>
      <c r="P8" s="338">
        <f>+'Control panel'!$D5</f>
        <v>1</v>
      </c>
      <c r="Q8" s="338">
        <f>+'Control panel'!$F5</f>
        <v>1.6180596839274166E-2</v>
      </c>
      <c r="R8" s="341">
        <f t="shared" si="0"/>
        <v>-7.8582594694136032E-2</v>
      </c>
    </row>
    <row r="9" spans="1:18" ht="15.75">
      <c r="A9" s="210"/>
      <c r="B9" s="356" t="s">
        <v>10</v>
      </c>
      <c r="C9" s="318">
        <f>+Scenarios!B30</f>
        <v>2.8296106893951258E-2</v>
      </c>
      <c r="D9" s="85">
        <f>+Scenarios!C30</f>
        <v>1.8730269708989476E-2</v>
      </c>
      <c r="E9" s="85">
        <f>+Scenarios!D30</f>
        <v>-4.6790508294452839E-2</v>
      </c>
      <c r="F9" s="85">
        <f>+Scenarios!E30</f>
        <v>1.8099625028703631E-2</v>
      </c>
      <c r="G9" s="85">
        <f>+Scenarios!F30</f>
        <v>-0.25630468560846492</v>
      </c>
      <c r="H9" s="85">
        <f>+Scenarios!G30</f>
        <v>-6.931471876793301E-3</v>
      </c>
      <c r="I9" s="85">
        <f>+Scenarios!H30</f>
        <v>0.28021842301080391</v>
      </c>
      <c r="J9" s="318">
        <f>Scenarios!D10</f>
        <v>0.16076897495152093</v>
      </c>
      <c r="L9" s="210"/>
      <c r="M9" s="343" t="s">
        <v>7</v>
      </c>
      <c r="N9" s="338">
        <f>+'Control panel'!$B6</f>
        <v>0.10281340879516217</v>
      </c>
      <c r="O9" s="338">
        <f>+'Control panel'!$C6</f>
        <v>0</v>
      </c>
      <c r="P9" s="338">
        <f>+'Control panel'!$D6</f>
        <v>1</v>
      </c>
      <c r="Q9" s="338">
        <f>+'Control panel'!$F6</f>
        <v>1.6946947243372027E-3</v>
      </c>
      <c r="R9" s="341">
        <f t="shared" si="0"/>
        <v>-0.10111871407082497</v>
      </c>
    </row>
    <row r="10" spans="1:18" ht="15.75">
      <c r="A10" s="210"/>
      <c r="B10" s="357" t="s">
        <v>11</v>
      </c>
      <c r="C10" s="319">
        <f>+Scenarios!B31</f>
        <v>3.9623116873055711E-2</v>
      </c>
      <c r="D10" s="309">
        <f>+Scenarios!C31</f>
        <v>-5.9825766089863959E-3</v>
      </c>
      <c r="E10" s="309">
        <f>+Scenarios!D31</f>
        <v>-0.13956067047136589</v>
      </c>
      <c r="F10" s="309">
        <f>+Scenarios!E31</f>
        <v>2.7964399001126676E-2</v>
      </c>
      <c r="G10" s="309">
        <f>+Scenarios!F31</f>
        <v>-0.45200242221105646</v>
      </c>
      <c r="H10" s="309">
        <f>+Scenarios!G31</f>
        <v>-0.48031312669988807</v>
      </c>
      <c r="I10" s="309">
        <f>+Scenarios!H31</f>
        <v>0.41038049782760322</v>
      </c>
      <c r="J10" s="319">
        <f>Scenarios!D11</f>
        <v>0.20064050365322861</v>
      </c>
      <c r="L10" s="210"/>
      <c r="M10" s="343" t="s">
        <v>8</v>
      </c>
      <c r="N10" s="338">
        <f>+'Control panel'!$B7</f>
        <v>5.1014363077869621E-2</v>
      </c>
      <c r="O10" s="338">
        <f>+'Control panel'!$C7</f>
        <v>0</v>
      </c>
      <c r="P10" s="338">
        <f>+'Control panel'!$D7</f>
        <v>1</v>
      </c>
      <c r="Q10" s="338">
        <f>+'Control panel'!$F7</f>
        <v>2.5254391686127226E-2</v>
      </c>
      <c r="R10" s="340">
        <f t="shared" si="0"/>
        <v>-2.5759971391742395E-2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2.0731266317763185E-2</v>
      </c>
      <c r="O11" s="338">
        <f>+'Control panel'!$C8</f>
        <v>0</v>
      </c>
      <c r="P11" s="338">
        <f>+'Control panel'!$D8</f>
        <v>1</v>
      </c>
      <c r="Q11" s="338">
        <f>+'Control panel'!$F8</f>
        <v>0.19937901187906307</v>
      </c>
      <c r="R11" s="341">
        <f t="shared" si="0"/>
        <v>0.17864774556129989</v>
      </c>
    </row>
    <row r="12" spans="1:18" ht="15.75">
      <c r="A12" s="210"/>
      <c r="B12" s="320" t="s">
        <v>123</v>
      </c>
      <c r="C12" s="325">
        <f>+Scenarios!B33</f>
        <v>1</v>
      </c>
      <c r="D12" s="311">
        <f>+Scenarios!C33</f>
        <v>0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3.0634868515694261E-2</v>
      </c>
      <c r="O12" s="338">
        <f>+'Control panel'!$C9</f>
        <v>0</v>
      </c>
      <c r="P12" s="338">
        <f>+'Control panel'!$D9</f>
        <v>1</v>
      </c>
      <c r="Q12" s="338">
        <f>+'Control panel'!$F9</f>
        <v>2.549361968294718E-2</v>
      </c>
      <c r="R12" s="340">
        <f t="shared" si="0"/>
        <v>-5.1412488327470807E-3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4.6750473476693526E-2</v>
      </c>
      <c r="O13" s="338">
        <f>+'Control panel'!$C10</f>
        <v>0</v>
      </c>
      <c r="P13" s="338">
        <f>+'Control panel'!$D10</f>
        <v>1</v>
      </c>
      <c r="Q13" s="338">
        <f>+'Control panel'!$F10</f>
        <v>4.0039560743981373E-3</v>
      </c>
      <c r="R13" s="340">
        <f t="shared" si="0"/>
        <v>-4.2746517402295389E-2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2.1902060143614423E-2</v>
      </c>
      <c r="E14" s="312">
        <f>+Scenarios!D35</f>
        <v>-1.0173873121557951E-2</v>
      </c>
      <c r="F14" s="312">
        <f>+Scenarios!E35</f>
        <v>2.2006249517185879E-2</v>
      </c>
      <c r="G14" s="312">
        <f>+Scenarios!F35</f>
        <v>-0.18642983852989264</v>
      </c>
      <c r="H14" s="312">
        <f>+Scenarios!G35</f>
        <v>-0.32524721751339963</v>
      </c>
      <c r="I14" s="313">
        <f>+Scenarios!H35</f>
        <v>0.16952178948964705</v>
      </c>
      <c r="J14" s="321">
        <f>+Scenarios!I35</f>
        <v>1.5883629542115963E-2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0.55136924712091062</v>
      </c>
      <c r="D20" s="323">
        <f>'Samenvatting mixen'!B15</f>
        <v>0.63884131311996284</v>
      </c>
      <c r="E20" s="85">
        <f>'Samenvatting mixen'!B26</f>
        <v>0.78328071561288071</v>
      </c>
      <c r="F20" s="85">
        <f>'Samenvatting mixen'!B37</f>
        <v>0.50224217822971995</v>
      </c>
      <c r="G20" s="85">
        <f>'Samenvatting mixen'!B48</f>
        <v>0.99951772230649738</v>
      </c>
      <c r="H20" s="85">
        <f>'Samenvatting mixen'!B59</f>
        <v>0.91040031831552837</v>
      </c>
      <c r="I20" s="85">
        <f>'Samenvatting mixen'!B70</f>
        <v>0.74210401897635492</v>
      </c>
      <c r="J20" s="308"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8.5390213827363406E-2</v>
      </c>
      <c r="D21" s="323">
        <f>'Samenvatting mixen'!B16</f>
        <v>8.9152415993890524E-2</v>
      </c>
      <c r="E21" s="85">
        <f>'Samenvatting mixen'!B27</f>
        <v>1.9077726566221387E-3</v>
      </c>
      <c r="F21" s="85">
        <f>'Samenvatting mixen'!B38</f>
        <v>0.35478962257899305</v>
      </c>
      <c r="G21" s="85">
        <f>'Samenvatting mixen'!B49</f>
        <v>6.5857399035425149E-5</v>
      </c>
      <c r="H21" s="85">
        <f>'Samenvatting mixen'!B60</f>
        <v>2.4245520146417212E-4</v>
      </c>
      <c r="I21" s="85">
        <f>'Samenvatting mixen'!B71</f>
        <v>1.8694595409361223E-2</v>
      </c>
      <c r="J21" s="308"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8.1005418334623963E-2</v>
      </c>
      <c r="D22" s="323">
        <f>'Samenvatting mixen'!B17</f>
        <v>1.6180596839274166E-2</v>
      </c>
      <c r="E22" s="85">
        <f>'Samenvatting mixen'!B28</f>
        <v>1.3595195293279591E-2</v>
      </c>
      <c r="F22" s="85">
        <f>'Samenvatting mixen'!B39</f>
        <v>7.5078569998237024E-3</v>
      </c>
      <c r="G22" s="85">
        <f>'Samenvatting mixen'!B50</f>
        <v>6.6007038093652913E-5</v>
      </c>
      <c r="H22" s="85">
        <f>'Samenvatting mixen'!B61</f>
        <v>9.6966778017564003E-4</v>
      </c>
      <c r="I22" s="85">
        <f>'Samenvatting mixen'!B72</f>
        <v>8.9274739671457801E-3</v>
      </c>
      <c r="J22" s="308"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8.7140469492885175E-2</v>
      </c>
      <c r="D23" s="323">
        <f>'Samenvatting mixen'!B18</f>
        <v>1.6946947243372027E-3</v>
      </c>
      <c r="E23" s="85">
        <f>'Samenvatting mixen'!B29</f>
        <v>3.2570713579514895E-4</v>
      </c>
      <c r="F23" s="85">
        <f>'Samenvatting mixen'!B40</f>
        <v>8.011986515903775E-3</v>
      </c>
      <c r="G23" s="85">
        <f>'Samenvatting mixen'!B51</f>
        <v>3.2821235226595556E-5</v>
      </c>
      <c r="H23" s="85">
        <f>'Samenvatting mixen'!B62</f>
        <v>1.7808289296488317E-4</v>
      </c>
      <c r="I23" s="85">
        <f>'Samenvatting mixen'!B73</f>
        <v>2.8936030398781527E-3</v>
      </c>
      <c r="J23" s="308"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5.4937266403263518E-2</v>
      </c>
      <c r="D24" s="323">
        <f>'Samenvatting mixen'!B19</f>
        <v>2.5254391686127226E-2</v>
      </c>
      <c r="E24" s="85">
        <f>'Samenvatting mixen'!B30</f>
        <v>1.677817707621187E-3</v>
      </c>
      <c r="F24" s="85">
        <f>'Samenvatting mixen'!B41</f>
        <v>3.3884336998753976E-2</v>
      </c>
      <c r="G24" s="85">
        <f>'Samenvatting mixen'!B52</f>
        <v>5.6499982623495601E-5</v>
      </c>
      <c r="H24" s="85">
        <f>'Samenvatting mixen'!B63</f>
        <v>2.564489860338996E-4</v>
      </c>
      <c r="I24" s="85">
        <f>'Samenvatting mixen'!B74</f>
        <v>1.9587393313640106E-3</v>
      </c>
      <c r="J24" s="308"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2.2503673046712587E-2</v>
      </c>
      <c r="D25" s="323">
        <f>'Samenvatting mixen'!B20</f>
        <v>0.19937901187906307</v>
      </c>
      <c r="E25" s="85">
        <f>'Samenvatting mixen'!B31</f>
        <v>0.19346840744270685</v>
      </c>
      <c r="F25" s="85">
        <f>'Samenvatting mixen'!B42</f>
        <v>6.3345782262113653E-2</v>
      </c>
      <c r="G25" s="85">
        <f>'Samenvatting mixen'!B53</f>
        <v>4.1755075717608028E-5</v>
      </c>
      <c r="H25" s="85">
        <f>'Samenvatting mixen'!B64</f>
        <v>1.3266771859855406E-4</v>
      </c>
      <c r="I25" s="85">
        <f>'Samenvatting mixen'!B75</f>
        <v>5.0076100481880492E-2</v>
      </c>
      <c r="J25" s="308"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5.6767380601991033E-2</v>
      </c>
      <c r="D26" s="323">
        <f>'Samenvatting mixen'!B21</f>
        <v>2.549361968294718E-2</v>
      </c>
      <c r="E26" s="85">
        <f>'Samenvatting mixen'!B32</f>
        <v>5.0365343344510854E-3</v>
      </c>
      <c r="F26" s="85">
        <f>'Samenvatting mixen'!B43</f>
        <v>1.8918343350395002E-2</v>
      </c>
      <c r="G26" s="85">
        <f>'Samenvatting mixen'!B54</f>
        <v>1.6800676560255187E-4</v>
      </c>
      <c r="H26" s="85">
        <f>'Samenvatting mixen'!B65</f>
        <v>8.7616171604620083E-2</v>
      </c>
      <c r="I26" s="85">
        <f>'Samenvatting mixen'!B76</f>
        <v>3.237305465508386E-2</v>
      </c>
      <c r="J26" s="308"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6.0886331172249931E-2</v>
      </c>
      <c r="D27" s="324">
        <f>'Samenvatting mixen'!B22</f>
        <v>4.0039560743981373E-3</v>
      </c>
      <c r="E27" s="309">
        <f>'Samenvatting mixen'!B33</f>
        <v>7.0784981664355267E-4</v>
      </c>
      <c r="F27" s="309">
        <f>'Samenvatting mixen'!B44</f>
        <v>1.1299893064296632E-2</v>
      </c>
      <c r="G27" s="309">
        <f>'Samenvatting mixen'!B55</f>
        <v>5.1330197202964345E-5</v>
      </c>
      <c r="H27" s="309">
        <f>'Samenvatting mixen'!B66</f>
        <v>2.041875006144596E-4</v>
      </c>
      <c r="I27" s="309">
        <f>'Samenvatting mixen'!B77</f>
        <v>0.142972414138931</v>
      </c>
      <c r="J27" s="310"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98" t="s">
        <v>135</v>
      </c>
      <c r="D48" s="399"/>
      <c r="E48" s="398" t="s">
        <v>134</v>
      </c>
      <c r="F48" s="399"/>
      <c r="G48" s="399"/>
      <c r="H48" s="40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-3.2445168309994665E-3</v>
      </c>
      <c r="I50" s="351">
        <v>0.1023</v>
      </c>
      <c r="J50" s="352">
        <f t="shared" ref="J50:J57" si="1">+G50/I50</f>
        <v>-0.85337243401759533</v>
      </c>
      <c r="K50" s="331">
        <f t="shared" ref="K50:K57" si="2">+H50/I50</f>
        <v>-3.1715707047893123E-2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3.2492969125133414E-2</v>
      </c>
      <c r="I51" s="318">
        <f t="shared" ref="I51:I57" si="3">+J4</f>
        <v>0.15853561014014847</v>
      </c>
      <c r="J51" s="353">
        <f t="shared" si="1"/>
        <v>-0.29311302230038522</v>
      </c>
      <c r="K51" s="331">
        <f t="shared" si="2"/>
        <v>0.20495691218149042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1.45681608513176E-2</v>
      </c>
      <c r="I52" s="318">
        <f t="shared" si="3"/>
        <v>0.16217253275473525</v>
      </c>
      <c r="J52" s="353">
        <f t="shared" si="1"/>
        <v>6.8473034482383871E-2</v>
      </c>
      <c r="K52" s="331">
        <f>+H52/I52</f>
        <v>8.9831247029668326E-2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-1.272492445230269E-2</v>
      </c>
      <c r="I53" s="318">
        <f t="shared" si="3"/>
        <v>0.28718972670468956</v>
      </c>
      <c r="J53" s="353">
        <f t="shared" si="1"/>
        <v>-0.20248591870731911</v>
      </c>
      <c r="K53" s="331">
        <f>+H53/I53</f>
        <v>-4.4308424950685758E-2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5.7893485302571407E-2</v>
      </c>
      <c r="I54" s="318">
        <f t="shared" si="3"/>
        <v>0.29616397669669142</v>
      </c>
      <c r="J54" s="353">
        <f t="shared" si="1"/>
        <v>-0.14735281060164138</v>
      </c>
      <c r="K54" s="331">
        <f t="shared" si="2"/>
        <v>0.19547780911201601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9.5036056352725468E-2</v>
      </c>
      <c r="I55" s="318">
        <f t="shared" si="3"/>
        <v>0.32648216646211403</v>
      </c>
      <c r="J55" s="353">
        <f t="shared" si="1"/>
        <v>-0.1093948849877554</v>
      </c>
      <c r="K55" s="331">
        <f t="shared" si="2"/>
        <v>0.29109111037387625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1.8730269708989476E-2</v>
      </c>
      <c r="I56" s="318">
        <f t="shared" si="3"/>
        <v>0.16076897495152093</v>
      </c>
      <c r="J56" s="353">
        <f t="shared" si="1"/>
        <v>-0.43032004279267166</v>
      </c>
      <c r="K56" s="331">
        <f t="shared" si="2"/>
        <v>0.11650425534303178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-5.9825766089863959E-3</v>
      </c>
      <c r="I57" s="319">
        <f t="shared" si="3"/>
        <v>0.20064050365322861</v>
      </c>
      <c r="J57" s="354">
        <f t="shared" si="1"/>
        <v>-0.29094902444730519</v>
      </c>
      <c r="K57" s="334">
        <f t="shared" si="2"/>
        <v>-2.9817392301437873E-2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3:N121"/>
  <sheetViews>
    <sheetView workbookViewId="0">
      <selection activeCell="R41" sqref="R41"/>
    </sheetView>
  </sheetViews>
  <sheetFormatPr defaultRowHeight="15"/>
  <sheetData>
    <row r="3" spans="2:14">
      <c r="G3">
        <v>0.7877107209047528</v>
      </c>
      <c r="H3">
        <v>6.7799787902673603E-2</v>
      </c>
      <c r="I3">
        <v>6.3348223150627492E-2</v>
      </c>
      <c r="J3">
        <v>5.2932169911349636E-2</v>
      </c>
      <c r="K3">
        <v>2.0045755144450506E-2</v>
      </c>
      <c r="L3">
        <v>7.0185233693301763E-3</v>
      </c>
      <c r="M3">
        <v>1.1448196168121205E-3</v>
      </c>
      <c r="N3">
        <v>-2.2204460492503131E-16</v>
      </c>
    </row>
    <row r="4" spans="2:14">
      <c r="B4" s="58">
        <v>0.64830585599218105</v>
      </c>
      <c r="C4">
        <v>1.360490754530419E-2</v>
      </c>
      <c r="D4">
        <v>0.63861267467332028</v>
      </c>
      <c r="E4">
        <v>0.64764311377106099</v>
      </c>
      <c r="F4">
        <v>0.65709973218522455</v>
      </c>
      <c r="G4">
        <v>-3.8522924145805316E-3</v>
      </c>
      <c r="H4">
        <v>1</v>
      </c>
      <c r="I4">
        <v>0.10454744392235046</v>
      </c>
      <c r="J4">
        <v>-4.5721933766748699E-2</v>
      </c>
      <c r="K4">
        <v>-0.16627997091470303</v>
      </c>
      <c r="L4">
        <v>3.1601804489572345E-2</v>
      </c>
      <c r="M4">
        <v>1</v>
      </c>
      <c r="N4">
        <v>0.99999999999996192</v>
      </c>
    </row>
    <row r="5" spans="2:14">
      <c r="B5" s="58">
        <v>2.2417195533197348E-2</v>
      </c>
      <c r="C5">
        <v>1.77113055589979E-2</v>
      </c>
      <c r="D5">
        <v>8.0187941057121084E-3</v>
      </c>
      <c r="E5">
        <v>1.9584464475750261E-2</v>
      </c>
      <c r="F5">
        <v>3.2375907786967945E-2</v>
      </c>
      <c r="G5">
        <v>-5.884768141834652E-3</v>
      </c>
      <c r="H5">
        <v>-0.57570396978123561</v>
      </c>
      <c r="I5">
        <v>-0.77391881299216458</v>
      </c>
      <c r="J5">
        <v>-0.75606140571319091</v>
      </c>
      <c r="K5">
        <v>-0.12611146739191367</v>
      </c>
      <c r="L5">
        <v>-9.4375140998661664E-2</v>
      </c>
      <c r="M5">
        <v>0.26978977278393979</v>
      </c>
      <c r="N5">
        <v>0.99999999999997613</v>
      </c>
    </row>
    <row r="6" spans="2:14">
      <c r="B6" s="58">
        <v>2.0773596052931689E-2</v>
      </c>
      <c r="C6">
        <v>1.7342841820967694E-2</v>
      </c>
      <c r="D6">
        <v>7.5955263126885773E-3</v>
      </c>
      <c r="E6">
        <v>1.6395000296380743E-2</v>
      </c>
      <c r="F6">
        <v>3.123186967192813E-2</v>
      </c>
      <c r="G6">
        <v>3.1225495793607356E-2</v>
      </c>
      <c r="H6">
        <v>-0.46829264653214131</v>
      </c>
      <c r="I6">
        <v>-0.45742685854765708</v>
      </c>
      <c r="J6">
        <v>1</v>
      </c>
      <c r="K6">
        <v>-0.12802514542987137</v>
      </c>
      <c r="L6">
        <v>-5.8183889508243269E-2</v>
      </c>
      <c r="M6">
        <v>0.240737762452995</v>
      </c>
      <c r="N6">
        <v>0.99999999999997924</v>
      </c>
    </row>
    <row r="7" spans="2:14">
      <c r="B7" s="58">
        <v>0.16317941014349474</v>
      </c>
      <c r="C7">
        <v>5.0555407782441733E-2</v>
      </c>
      <c r="D7">
        <v>0.12715719757084959</v>
      </c>
      <c r="E7">
        <v>0.16035964831162344</v>
      </c>
      <c r="F7">
        <v>0.20181256143741055</v>
      </c>
      <c r="G7">
        <v>1</v>
      </c>
      <c r="H7">
        <v>0.34641599748100432</v>
      </c>
      <c r="I7">
        <v>6.7333404369003938E-2</v>
      </c>
      <c r="J7">
        <v>-4.1286547185083004E-2</v>
      </c>
      <c r="K7">
        <v>-0.2293336806569394</v>
      </c>
      <c r="L7">
        <v>-0.30658455271413443</v>
      </c>
      <c r="M7">
        <v>-0.67574986101002432</v>
      </c>
      <c r="N7">
        <v>0.99999999999999989</v>
      </c>
    </row>
    <row r="8" spans="2:14">
      <c r="B8" s="58">
        <v>0.10352241326570276</v>
      </c>
      <c r="C8">
        <v>5.0134368215631789E-2</v>
      </c>
      <c r="D8">
        <v>6.3494817638747952E-2</v>
      </c>
      <c r="E8">
        <v>0.10411917322898155</v>
      </c>
      <c r="F8">
        <v>0.14094926371527347</v>
      </c>
      <c r="G8">
        <v>-0.99166001412694049</v>
      </c>
      <c r="H8">
        <v>0.34363490169549304</v>
      </c>
      <c r="I8">
        <v>4.4136813700257294E-2</v>
      </c>
      <c r="J8">
        <v>-3.5512530145600718E-3</v>
      </c>
      <c r="K8">
        <v>-0.23947072209921827</v>
      </c>
      <c r="L8">
        <v>-0.31784609191416358</v>
      </c>
      <c r="M8">
        <v>-0.67909478265896217</v>
      </c>
      <c r="N8">
        <v>1</v>
      </c>
    </row>
    <row r="9" spans="2:14">
      <c r="B9" s="58">
        <v>6.2584709688595528E-3</v>
      </c>
      <c r="C9">
        <v>6.1167303718432696E-3</v>
      </c>
      <c r="D9">
        <v>1.4149053832732861E-3</v>
      </c>
      <c r="E9">
        <v>4.6908149306738823E-3</v>
      </c>
      <c r="F9">
        <v>9.2471789971679957E-3</v>
      </c>
      <c r="G9">
        <v>-9.5077535199256189E-3</v>
      </c>
      <c r="H9">
        <v>5.6966034745882972E-2</v>
      </c>
      <c r="I9">
        <v>1.09224991741115E-2</v>
      </c>
      <c r="J9">
        <v>-3.4723988558328693E-2</v>
      </c>
      <c r="K9">
        <v>6.4638373246455726E-3</v>
      </c>
      <c r="L9">
        <v>1</v>
      </c>
      <c r="M9">
        <v>-0.40075861038530408</v>
      </c>
      <c r="N9">
        <v>0.99999999999999578</v>
      </c>
    </row>
    <row r="10" spans="2:14">
      <c r="B10" s="58">
        <v>2.4135614482784295E-2</v>
      </c>
      <c r="C10">
        <v>1.8432420122271295E-2</v>
      </c>
      <c r="D10">
        <v>9.8579375497153954E-3</v>
      </c>
      <c r="E10">
        <v>2.0261407060404312E-2</v>
      </c>
      <c r="F10">
        <v>3.4790222041096358E-2</v>
      </c>
      <c r="G10">
        <v>-1.3298109692261161E-2</v>
      </c>
      <c r="H10">
        <v>-0.80386400850367101</v>
      </c>
      <c r="I10">
        <v>1</v>
      </c>
      <c r="J10">
        <v>-0.11961141234839016</v>
      </c>
      <c r="K10">
        <v>-0.11724285083200002</v>
      </c>
      <c r="L10">
        <v>-7.8431697826150143E-2</v>
      </c>
      <c r="M10">
        <v>0.29443621753151661</v>
      </c>
      <c r="N10">
        <v>0.9999999999999768</v>
      </c>
    </row>
    <row r="11" spans="2:14">
      <c r="B11" s="58">
        <v>1.140744356084882E-2</v>
      </c>
      <c r="C11">
        <v>1.0520985101666857E-2</v>
      </c>
      <c r="D11">
        <v>3.3276518063644856E-3</v>
      </c>
      <c r="E11">
        <v>8.3602146677647839E-3</v>
      </c>
      <c r="F11">
        <v>1.631561007812149E-2</v>
      </c>
      <c r="G11">
        <v>-7.0225578980646483E-3</v>
      </c>
      <c r="H11">
        <v>0.10084369089466523</v>
      </c>
      <c r="I11">
        <v>4.4055103740975104E-3</v>
      </c>
      <c r="J11">
        <v>9.5654058630079912E-4</v>
      </c>
      <c r="K11">
        <v>1</v>
      </c>
      <c r="L11">
        <v>-0.17618043152822088</v>
      </c>
      <c r="M11">
        <v>-4.936049871410704E-2</v>
      </c>
      <c r="N11">
        <v>0.99999999999998546</v>
      </c>
    </row>
    <row r="14" spans="2:14">
      <c r="G14">
        <v>0.82244866789598503</v>
      </c>
      <c r="H14">
        <v>6.2419396101027202E-2</v>
      </c>
      <c r="I14">
        <v>4.9340071002834551E-2</v>
      </c>
      <c r="J14">
        <v>3.9998649704603984E-2</v>
      </c>
      <c r="K14">
        <v>1.8407138877181262E-2</v>
      </c>
      <c r="L14">
        <v>5.9919322830085386E-3</v>
      </c>
      <c r="M14">
        <v>1.3941441353531037E-3</v>
      </c>
      <c r="N14">
        <v>0</v>
      </c>
    </row>
    <row r="15" spans="2:14">
      <c r="B15" s="58">
        <v>0.65273119272685742</v>
      </c>
      <c r="C15">
        <v>1.3389391768000847E-2</v>
      </c>
      <c r="D15">
        <v>0.64267954610645939</v>
      </c>
      <c r="E15">
        <v>0.65290982026421385</v>
      </c>
      <c r="F15">
        <v>0.66180942316192171</v>
      </c>
      <c r="G15">
        <v>-7.5182879767127196E-3</v>
      </c>
      <c r="H15">
        <v>1</v>
      </c>
      <c r="I15">
        <v>-7.9956400723973781E-2</v>
      </c>
      <c r="J15">
        <v>-0.22971072023375624</v>
      </c>
      <c r="K15">
        <v>-0.1760229165029919</v>
      </c>
      <c r="L15">
        <v>4.2695302700224411E-2</v>
      </c>
      <c r="M15">
        <v>1</v>
      </c>
      <c r="N15">
        <v>0.99999999999991174</v>
      </c>
    </row>
    <row r="16" spans="2:14">
      <c r="B16" s="58">
        <v>2.1877387556514548E-2</v>
      </c>
      <c r="C16">
        <v>1.7367173993037645E-2</v>
      </c>
      <c r="D16">
        <v>7.6515630612504337E-3</v>
      </c>
      <c r="E16">
        <v>1.7711765582685952E-2</v>
      </c>
      <c r="F16">
        <v>3.1541012302390425E-2</v>
      </c>
      <c r="G16">
        <v>3.0972331322999598E-2</v>
      </c>
      <c r="H16">
        <v>-0.91302735816825109</v>
      </c>
      <c r="I16">
        <v>-0.92555268644693167</v>
      </c>
      <c r="J16">
        <v>-0.2352493816055031</v>
      </c>
      <c r="K16">
        <v>-0.12963146469553671</v>
      </c>
      <c r="L16">
        <v>-9.2434386878677346E-2</v>
      </c>
      <c r="M16">
        <v>0.28944211428906558</v>
      </c>
      <c r="N16">
        <v>0.99999999999994804</v>
      </c>
    </row>
    <row r="17" spans="1:14">
      <c r="B17" s="58">
        <v>1.7160310851450492E-2</v>
      </c>
      <c r="C17">
        <v>1.5031543661550871E-2</v>
      </c>
      <c r="D17">
        <v>5.4949113083258621E-3</v>
      </c>
      <c r="E17">
        <v>1.3170462120722311E-2</v>
      </c>
      <c r="F17">
        <v>2.3542151831425592E-2</v>
      </c>
      <c r="G17">
        <v>1.1910050260090744E-2</v>
      </c>
      <c r="H17">
        <v>-0.1470593300985914</v>
      </c>
      <c r="I17">
        <v>8.4111663187115521E-2</v>
      </c>
      <c r="J17">
        <v>1</v>
      </c>
      <c r="K17">
        <v>-0.19028816030660051</v>
      </c>
      <c r="L17">
        <v>-8.9491539443667667E-2</v>
      </c>
      <c r="M17">
        <v>0.22234168398190954</v>
      </c>
      <c r="N17">
        <v>0.99999999999995182</v>
      </c>
    </row>
    <row r="18" spans="1:14">
      <c r="B18" s="58">
        <v>0.16883653460470924</v>
      </c>
      <c r="C18">
        <v>5.3192056714400887E-2</v>
      </c>
      <c r="D18">
        <v>0.13275659313233923</v>
      </c>
      <c r="E18">
        <v>0.16832497909373184</v>
      </c>
      <c r="F18">
        <v>0.21178881158037571</v>
      </c>
      <c r="G18">
        <v>1</v>
      </c>
      <c r="H18">
        <v>0.34279717075101657</v>
      </c>
      <c r="I18">
        <v>1.1237615616288292E-2</v>
      </c>
      <c r="J18">
        <v>-0.12551073377567437</v>
      </c>
      <c r="K18">
        <v>-0.19197441629663367</v>
      </c>
      <c r="L18">
        <v>-0.31315379980858077</v>
      </c>
      <c r="M18">
        <v>-0.69206028563403532</v>
      </c>
      <c r="N18">
        <v>0.99999999999999922</v>
      </c>
    </row>
    <row r="19" spans="1:14">
      <c r="B19" s="58">
        <v>0.10181431096499875</v>
      </c>
      <c r="C19">
        <v>5.2526831496662138E-2</v>
      </c>
      <c r="D19">
        <v>6.2851888984642751E-2</v>
      </c>
      <c r="E19">
        <v>9.9760193505225803E-2</v>
      </c>
      <c r="F19">
        <v>0.13876090092571736</v>
      </c>
      <c r="G19">
        <v>-0.98751706434181385</v>
      </c>
      <c r="H19">
        <v>0.32797293175480902</v>
      </c>
      <c r="I19">
        <v>-4.3068467233262221E-2</v>
      </c>
      <c r="J19">
        <v>-0.11219285952448367</v>
      </c>
      <c r="K19">
        <v>-0.20997553192944518</v>
      </c>
      <c r="L19">
        <v>-0.32508387405990041</v>
      </c>
      <c r="M19">
        <v>-0.70173322047363396</v>
      </c>
      <c r="N19">
        <v>1</v>
      </c>
    </row>
    <row r="20" spans="1:14">
      <c r="B20" s="58">
        <v>5.6303328056901804E-3</v>
      </c>
      <c r="C20">
        <v>5.7793459283510158E-3</v>
      </c>
      <c r="D20">
        <v>1.324599911265786E-3</v>
      </c>
      <c r="E20">
        <v>3.7761861858210287E-3</v>
      </c>
      <c r="F20">
        <v>8.1183210744799877E-3</v>
      </c>
      <c r="G20">
        <v>-7.558462630628056E-3</v>
      </c>
      <c r="H20">
        <v>3.4142440381811412E-2</v>
      </c>
      <c r="I20">
        <v>-1.6912591746062387E-2</v>
      </c>
      <c r="J20">
        <v>-1.5539712821251066E-2</v>
      </c>
      <c r="K20">
        <v>-6.9142596556769206E-3</v>
      </c>
      <c r="L20">
        <v>1</v>
      </c>
      <c r="M20">
        <v>-0.41892342084532563</v>
      </c>
      <c r="N20">
        <v>0.99999999999997802</v>
      </c>
    </row>
    <row r="21" spans="1:14">
      <c r="B21" s="58">
        <v>2.0492784918044883E-2</v>
      </c>
      <c r="C21">
        <v>1.7038224147611854E-2</v>
      </c>
      <c r="D21">
        <v>6.8645177154195098E-3</v>
      </c>
      <c r="E21">
        <v>1.650888789624648E-2</v>
      </c>
      <c r="F21">
        <v>3.0176207980271597E-2</v>
      </c>
      <c r="G21">
        <v>-2.7222812153831558E-2</v>
      </c>
      <c r="H21">
        <v>-0.7390647219644999</v>
      </c>
      <c r="I21">
        <v>1</v>
      </c>
      <c r="J21">
        <v>-0.32267787305299633</v>
      </c>
      <c r="K21">
        <v>-9.519325061311365E-2</v>
      </c>
      <c r="L21">
        <v>-7.2656173833246782E-2</v>
      </c>
      <c r="M21">
        <v>0.29965637360979958</v>
      </c>
      <c r="N21">
        <v>0.99999999999994571</v>
      </c>
    </row>
    <row r="22" spans="1:14">
      <c r="B22" s="58">
        <v>1.1457145571733341E-2</v>
      </c>
      <c r="C22">
        <v>1.0421820522272035E-2</v>
      </c>
      <c r="D22">
        <v>3.3671210616202959E-3</v>
      </c>
      <c r="E22">
        <v>8.2835982195805478E-3</v>
      </c>
      <c r="F22">
        <v>1.7019503836998816E-2</v>
      </c>
      <c r="G22">
        <v>-1.306575448010467E-2</v>
      </c>
      <c r="H22">
        <v>9.4238867343703167E-2</v>
      </c>
      <c r="I22">
        <v>-2.9859132653172367E-2</v>
      </c>
      <c r="J22">
        <v>4.0881281013663895E-2</v>
      </c>
      <c r="K22">
        <v>1</v>
      </c>
      <c r="L22">
        <v>-0.14987552867614509</v>
      </c>
      <c r="M22">
        <v>1.276755072341288E-3</v>
      </c>
      <c r="N22">
        <v>0.99999999999996192</v>
      </c>
    </row>
    <row r="25" spans="1:14">
      <c r="G25">
        <v>0.86197901576218627</v>
      </c>
      <c r="H25">
        <v>5.0333239694085319E-2</v>
      </c>
      <c r="I25">
        <v>3.8503928448484603E-2</v>
      </c>
      <c r="J25">
        <v>3.1207594213329526E-2</v>
      </c>
      <c r="K25">
        <v>1.2225105162805061E-2</v>
      </c>
      <c r="L25">
        <v>4.4329694649490881E-3</v>
      </c>
      <c r="M25">
        <v>1.3181472541626826E-3</v>
      </c>
      <c r="N25">
        <v>0</v>
      </c>
    </row>
    <row r="26" spans="1:14">
      <c r="A26" s="52">
        <f>B26-B15</f>
        <v>3.293559995685591E-3</v>
      </c>
      <c r="B26">
        <v>0.65602475272254301</v>
      </c>
      <c r="C26">
        <v>1.2487779215260298E-2</v>
      </c>
      <c r="D26">
        <v>0.64742314472469775</v>
      </c>
      <c r="E26">
        <v>0.65636877802777405</v>
      </c>
      <c r="F26">
        <v>0.66421163187733312</v>
      </c>
      <c r="G26">
        <v>-1.321396378381545E-2</v>
      </c>
      <c r="H26">
        <v>-0.99528336032501041</v>
      </c>
      <c r="I26">
        <v>-0.24093951848521125</v>
      </c>
      <c r="J26">
        <v>-0.13909697388994791</v>
      </c>
      <c r="K26">
        <v>-0.16624469622152313</v>
      </c>
      <c r="L26">
        <v>4.1281397199638109E-2</v>
      </c>
      <c r="M26">
        <v>1</v>
      </c>
      <c r="N26">
        <v>1</v>
      </c>
    </row>
    <row r="27" spans="1:14">
      <c r="A27" s="52">
        <f t="shared" ref="A27:A33" si="0">B27-B16</f>
        <v>-2.2257151488166461E-3</v>
      </c>
      <c r="B27">
        <v>1.9651672407697902E-2</v>
      </c>
      <c r="C27">
        <v>1.5843881137802673E-2</v>
      </c>
      <c r="D27">
        <v>7.4121678270651324E-3</v>
      </c>
      <c r="E27">
        <v>1.6079951669322828E-2</v>
      </c>
      <c r="F27">
        <v>2.8265546967711004E-2</v>
      </c>
      <c r="G27">
        <v>1.8965332228861022E-2</v>
      </c>
      <c r="H27">
        <v>1</v>
      </c>
      <c r="I27">
        <v>-0.83234113368966534</v>
      </c>
      <c r="J27">
        <v>-0.19123835473661333</v>
      </c>
      <c r="K27">
        <v>-0.18331635637704272</v>
      </c>
      <c r="L27">
        <v>-7.0169757094212984E-2</v>
      </c>
      <c r="M27">
        <v>0.28967546294282892</v>
      </c>
      <c r="N27">
        <v>0.99999999999997014</v>
      </c>
    </row>
    <row r="28" spans="1:14">
      <c r="A28" s="52">
        <f t="shared" si="0"/>
        <v>-5.890168757220586E-4</v>
      </c>
      <c r="B28">
        <v>1.6571293975728433E-2</v>
      </c>
      <c r="C28">
        <v>1.3676330383303391E-2</v>
      </c>
      <c r="D28">
        <v>5.8015285195662462E-3</v>
      </c>
      <c r="E28">
        <v>1.326902133478355E-2</v>
      </c>
      <c r="F28">
        <v>2.4400800658367264E-2</v>
      </c>
      <c r="G28">
        <v>4.3099218535472238E-3</v>
      </c>
      <c r="H28">
        <v>0.22263526617571752</v>
      </c>
      <c r="I28">
        <v>0.24164286365145901</v>
      </c>
      <c r="J28">
        <v>1</v>
      </c>
      <c r="K28">
        <v>-0.10713675608173297</v>
      </c>
      <c r="L28">
        <v>-7.7890887879625961E-2</v>
      </c>
      <c r="M28">
        <v>0.22771548237783407</v>
      </c>
      <c r="N28">
        <v>0.99999999999996736</v>
      </c>
    </row>
    <row r="29" spans="1:14">
      <c r="A29" s="52">
        <f t="shared" si="0"/>
        <v>-1.6902926980761623E-3</v>
      </c>
      <c r="B29">
        <v>0.16714624190663308</v>
      </c>
      <c r="C29">
        <v>5.5052182111719937E-2</v>
      </c>
      <c r="D29">
        <v>0.1266312292112054</v>
      </c>
      <c r="E29">
        <v>0.16495396141337743</v>
      </c>
      <c r="F29">
        <v>0.21077251811958175</v>
      </c>
      <c r="G29">
        <v>1</v>
      </c>
      <c r="H29">
        <v>-0.33703509953630184</v>
      </c>
      <c r="I29">
        <v>-4.204390191237712E-2</v>
      </c>
      <c r="J29">
        <v>-8.2257701681923256E-2</v>
      </c>
      <c r="K29">
        <v>-0.2384369277064016</v>
      </c>
      <c r="L29">
        <v>-0.29232273074357007</v>
      </c>
      <c r="M29">
        <v>-0.70932412871949235</v>
      </c>
      <c r="N29">
        <v>0.99999999999992595</v>
      </c>
    </row>
    <row r="30" spans="1:14">
      <c r="A30" s="52">
        <f t="shared" si="0"/>
        <v>5.3267898554474613E-3</v>
      </c>
      <c r="B30">
        <v>0.10714110082044621</v>
      </c>
      <c r="C30">
        <v>5.4681087913492681E-2</v>
      </c>
      <c r="D30">
        <v>6.2092752495215071E-2</v>
      </c>
      <c r="E30">
        <v>0.10975551328514072</v>
      </c>
      <c r="F30">
        <v>0.14658766592399716</v>
      </c>
      <c r="G30">
        <v>-0.99350134713559213</v>
      </c>
      <c r="H30">
        <v>-0.31267584898980244</v>
      </c>
      <c r="I30">
        <v>-6.7578898145361582E-2</v>
      </c>
      <c r="J30">
        <v>-7.4114179976642491E-2</v>
      </c>
      <c r="K30">
        <v>-0.24016624477385909</v>
      </c>
      <c r="L30">
        <v>-0.29839796189409906</v>
      </c>
      <c r="M30">
        <v>-0.72427516549727333</v>
      </c>
      <c r="N30">
        <v>0.99999999999992484</v>
      </c>
    </row>
    <row r="31" spans="1:14">
      <c r="A31" s="52">
        <f t="shared" si="0"/>
        <v>-4.949934105404237E-4</v>
      </c>
      <c r="B31">
        <v>5.1353393951497567E-3</v>
      </c>
      <c r="C31">
        <v>5.1103529349589881E-3</v>
      </c>
      <c r="D31">
        <v>1.3027031969232653E-3</v>
      </c>
      <c r="E31">
        <v>3.6294423283246258E-3</v>
      </c>
      <c r="F31">
        <v>7.3329342344572637E-3</v>
      </c>
      <c r="G31">
        <v>-2.6738637825180823E-3</v>
      </c>
      <c r="H31">
        <v>-4.6425882170699415E-2</v>
      </c>
      <c r="I31">
        <v>-2.1601497786982147E-2</v>
      </c>
      <c r="J31">
        <v>-1.2266503547515703E-2</v>
      </c>
      <c r="K31">
        <v>8.9238206020279751E-2</v>
      </c>
      <c r="L31">
        <v>1</v>
      </c>
      <c r="M31">
        <v>-0.41240161265172509</v>
      </c>
      <c r="N31">
        <v>0.99999999999995048</v>
      </c>
    </row>
    <row r="32" spans="1:14">
      <c r="A32" s="52">
        <f t="shared" si="0"/>
        <v>-2.0832875884633922E-3</v>
      </c>
      <c r="B32">
        <v>1.8409497329581491E-2</v>
      </c>
      <c r="C32">
        <v>1.4773998470893951E-2</v>
      </c>
      <c r="D32">
        <v>7.1235268590799563E-3</v>
      </c>
      <c r="E32">
        <v>1.4830564057203312E-2</v>
      </c>
      <c r="F32">
        <v>2.6381773969673165E-2</v>
      </c>
      <c r="G32">
        <v>-1.3603673656917517E-2</v>
      </c>
      <c r="H32">
        <v>0.50123139404889838</v>
      </c>
      <c r="I32">
        <v>1</v>
      </c>
      <c r="J32">
        <v>-0.44513984074308688</v>
      </c>
      <c r="K32">
        <v>-0.15393722485972283</v>
      </c>
      <c r="L32">
        <v>-4.9873400941951827E-2</v>
      </c>
      <c r="M32">
        <v>0.33896111592302763</v>
      </c>
      <c r="N32">
        <v>0.99999999999997158</v>
      </c>
    </row>
    <row r="33" spans="1:14">
      <c r="A33" s="52">
        <f t="shared" si="0"/>
        <v>-1.5370441295130249E-3</v>
      </c>
      <c r="B33">
        <v>9.9201014422203165E-3</v>
      </c>
      <c r="C33">
        <v>8.4830461660258486E-3</v>
      </c>
      <c r="D33">
        <v>3.4207796391167574E-3</v>
      </c>
      <c r="E33">
        <v>7.6349139228330497E-3</v>
      </c>
      <c r="F33">
        <v>1.4458227200734287E-2</v>
      </c>
      <c r="G33">
        <v>-2.8240572356530425E-4</v>
      </c>
      <c r="H33">
        <v>-3.2446469202802315E-2</v>
      </c>
      <c r="I33">
        <v>-3.713791363186203E-2</v>
      </c>
      <c r="J33">
        <v>-5.5886445424270688E-2</v>
      </c>
      <c r="K33">
        <v>1</v>
      </c>
      <c r="L33">
        <v>-0.25262665864619005</v>
      </c>
      <c r="M33">
        <v>-1.0351154375301656E-2</v>
      </c>
      <c r="N33">
        <v>0.99999999999995792</v>
      </c>
    </row>
    <row r="36" spans="1:14">
      <c r="G36">
        <v>0.8646336220251013</v>
      </c>
      <c r="H36">
        <v>4.6689233098820115E-2</v>
      </c>
      <c r="I36">
        <v>3.88540962807985E-2</v>
      </c>
      <c r="J36">
        <v>2.9801169603174582E-2</v>
      </c>
      <c r="K36">
        <v>1.4295219495895073E-2</v>
      </c>
      <c r="L36">
        <v>4.2845363084567101E-3</v>
      </c>
      <c r="M36">
        <v>1.4421231877599361E-3</v>
      </c>
      <c r="N36">
        <v>0</v>
      </c>
    </row>
    <row r="37" spans="1:14">
      <c r="A37" s="52">
        <f>B37-B26</f>
        <v>2.6738948000757379E-3</v>
      </c>
      <c r="B37">
        <v>0.65869864752261875</v>
      </c>
      <c r="C37">
        <v>1.1926529881086435E-2</v>
      </c>
      <c r="D37">
        <v>0.65000107952083397</v>
      </c>
      <c r="E37">
        <v>0.6587164055747835</v>
      </c>
      <c r="F37">
        <v>0.66745152270407271</v>
      </c>
      <c r="G37">
        <v>-2.1826522168964857E-2</v>
      </c>
      <c r="H37">
        <v>1</v>
      </c>
      <c r="I37">
        <v>0.16173261313238788</v>
      </c>
      <c r="J37">
        <v>-0.17359302145789626</v>
      </c>
      <c r="K37">
        <v>-0.19507345085529101</v>
      </c>
      <c r="L37">
        <v>0.14821323900736638</v>
      </c>
      <c r="M37">
        <v>1</v>
      </c>
      <c r="N37">
        <v>0.99999999999987055</v>
      </c>
    </row>
    <row r="38" spans="1:14">
      <c r="A38" s="52">
        <f t="shared" ref="A38:A44" si="1">B38-B27</f>
        <v>-2.4398453692516808E-3</v>
      </c>
      <c r="B38">
        <v>1.7211827038446221E-2</v>
      </c>
      <c r="C38">
        <v>1.4631636279186984E-2</v>
      </c>
      <c r="D38">
        <v>5.8054374677814838E-3</v>
      </c>
      <c r="E38">
        <v>1.4242759793355713E-2</v>
      </c>
      <c r="F38">
        <v>2.39187196529702E-2</v>
      </c>
      <c r="G38">
        <v>1.5602908299951068E-2</v>
      </c>
      <c r="H38">
        <v>-0.65142514859987144</v>
      </c>
      <c r="I38">
        <v>-0.96668732479183472</v>
      </c>
      <c r="J38">
        <v>-0.51032905645764337</v>
      </c>
      <c r="K38">
        <v>-0.14840075531952882</v>
      </c>
      <c r="L38">
        <v>-5.5088006527994123E-2</v>
      </c>
      <c r="M38">
        <v>0.31403616096446596</v>
      </c>
      <c r="N38">
        <v>0.99999999999992151</v>
      </c>
    </row>
    <row r="39" spans="1:14">
      <c r="A39" s="52">
        <f t="shared" si="1"/>
        <v>-1.0101681772333188E-3</v>
      </c>
      <c r="B39">
        <v>1.5561125798495114E-2</v>
      </c>
      <c r="C39">
        <v>1.3223091357146688E-2</v>
      </c>
      <c r="D39">
        <v>4.9021920033559749E-3</v>
      </c>
      <c r="E39">
        <v>1.2014292659383967E-2</v>
      </c>
      <c r="F39">
        <v>2.2907641670440272E-2</v>
      </c>
      <c r="G39">
        <v>1.7263733383166512E-2</v>
      </c>
      <c r="H39">
        <v>-0.2258449508126146</v>
      </c>
      <c r="I39">
        <v>-0.31996059394415366</v>
      </c>
      <c r="J39">
        <v>1</v>
      </c>
      <c r="K39">
        <v>-0.14761944796240556</v>
      </c>
      <c r="L39">
        <v>-6.524551560385107E-2</v>
      </c>
      <c r="M39">
        <v>0.26347903109329779</v>
      </c>
      <c r="N39">
        <v>0.99999999999992439</v>
      </c>
    </row>
    <row r="40" spans="1:14">
      <c r="A40" s="52">
        <f t="shared" si="1"/>
        <v>-3.4373043052393637E-4</v>
      </c>
      <c r="B40">
        <v>0.16680251147610914</v>
      </c>
      <c r="C40">
        <v>5.4340718454367984E-2</v>
      </c>
      <c r="D40">
        <v>0.12966190593041721</v>
      </c>
      <c r="E40">
        <v>0.1669746735873274</v>
      </c>
      <c r="F40">
        <v>0.20365921899809175</v>
      </c>
      <c r="G40">
        <v>1</v>
      </c>
      <c r="H40">
        <v>0.33028483686538218</v>
      </c>
      <c r="I40">
        <v>9.3616000192147136E-2</v>
      </c>
      <c r="J40">
        <v>-8.8893474474375955E-2</v>
      </c>
      <c r="K40">
        <v>-0.20840213344233852</v>
      </c>
      <c r="L40">
        <v>-0.40653120236868284</v>
      </c>
      <c r="M40">
        <v>-0.64839211399241592</v>
      </c>
      <c r="N40">
        <v>0.99999999999999822</v>
      </c>
    </row>
    <row r="41" spans="1:14">
      <c r="A41" s="52">
        <f t="shared" si="1"/>
        <v>2.6187553899305605E-3</v>
      </c>
      <c r="B41">
        <v>0.10975985621037677</v>
      </c>
      <c r="C41">
        <v>5.4199192269435606E-2</v>
      </c>
      <c r="D41">
        <v>6.9160693208342935E-2</v>
      </c>
      <c r="E41">
        <v>0.10828001073522397</v>
      </c>
      <c r="F41">
        <v>0.14853719649709157</v>
      </c>
      <c r="G41">
        <v>-0.99790896030037812</v>
      </c>
      <c r="H41">
        <v>0.28914512036355228</v>
      </c>
      <c r="I41">
        <v>7.4365804401990365E-2</v>
      </c>
      <c r="J41">
        <v>-7.6344148437409332E-2</v>
      </c>
      <c r="K41">
        <v>-0.22789325238380723</v>
      </c>
      <c r="L41">
        <v>-0.40856007412400408</v>
      </c>
      <c r="M41">
        <v>-0.66191748665869887</v>
      </c>
      <c r="N41">
        <v>1</v>
      </c>
    </row>
    <row r="42" spans="1:14">
      <c r="A42" s="52">
        <f t="shared" si="1"/>
        <v>-6.0815180329880023E-4</v>
      </c>
      <c r="B42">
        <v>4.5271875918509565E-3</v>
      </c>
      <c r="C42">
        <v>4.7559402877411141E-3</v>
      </c>
      <c r="D42">
        <v>7.9051687514220556E-4</v>
      </c>
      <c r="E42">
        <v>2.8904248607639765E-3</v>
      </c>
      <c r="F42">
        <v>7.0811297985326829E-3</v>
      </c>
      <c r="G42">
        <v>8.8650146616593933E-4</v>
      </c>
      <c r="H42">
        <v>4.7438450171422973E-2</v>
      </c>
      <c r="I42">
        <v>-5.4847985939958915E-3</v>
      </c>
      <c r="J42">
        <v>-1.0181901761818908E-2</v>
      </c>
      <c r="K42">
        <v>1.2421765931932395E-2</v>
      </c>
      <c r="L42">
        <v>1</v>
      </c>
      <c r="M42">
        <v>-0.63179501167076135</v>
      </c>
      <c r="N42">
        <v>0.99999999999995781</v>
      </c>
    </row>
    <row r="43" spans="1:14">
      <c r="A43" s="52">
        <f t="shared" si="1"/>
        <v>-7.6432626824558814E-4</v>
      </c>
      <c r="B43">
        <v>1.7645171061335903E-2</v>
      </c>
      <c r="C43">
        <v>1.5310616308034165E-2</v>
      </c>
      <c r="D43">
        <v>5.8118223806887838E-3</v>
      </c>
      <c r="E43">
        <v>1.3915734525449379E-2</v>
      </c>
      <c r="F43">
        <v>2.4361848026589625E-2</v>
      </c>
      <c r="G43">
        <v>4.056804060248091E-3</v>
      </c>
      <c r="H43">
        <v>-0.91130678489246308</v>
      </c>
      <c r="I43">
        <v>1</v>
      </c>
      <c r="J43">
        <v>-0.13168617494804413</v>
      </c>
      <c r="K43">
        <v>-8.5032725968555073E-2</v>
      </c>
      <c r="L43">
        <v>-3.1005958527538364E-2</v>
      </c>
      <c r="M43">
        <v>0.3337622424585695</v>
      </c>
      <c r="N43">
        <v>0.99999999999991906</v>
      </c>
    </row>
    <row r="44" spans="1:14">
      <c r="A44" s="52">
        <f t="shared" si="1"/>
        <v>-1.2642814145243271E-4</v>
      </c>
      <c r="B44">
        <v>9.7936733007678838E-3</v>
      </c>
      <c r="C44">
        <v>9.236911599299057E-3</v>
      </c>
      <c r="D44">
        <v>2.6055804060062691E-3</v>
      </c>
      <c r="E44">
        <v>6.8470132549091726E-3</v>
      </c>
      <c r="F44">
        <v>1.4609687805324574E-2</v>
      </c>
      <c r="G44">
        <v>-1.8074464740188267E-2</v>
      </c>
      <c r="H44">
        <v>0.12170847690458819</v>
      </c>
      <c r="I44">
        <v>-3.7581700396540837E-2</v>
      </c>
      <c r="J44">
        <v>-8.9722224628118654E-3</v>
      </c>
      <c r="K44">
        <v>1</v>
      </c>
      <c r="L44">
        <v>-0.18178248185525578</v>
      </c>
      <c r="M44">
        <v>3.0827177805717903E-2</v>
      </c>
      <c r="N44">
        <v>0.9999999999999396</v>
      </c>
    </row>
    <row r="47" spans="1:14">
      <c r="G47">
        <v>0.88029647938835709</v>
      </c>
      <c r="H47">
        <v>4.5826753298129574E-2</v>
      </c>
      <c r="I47">
        <v>3.2700364599971277E-2</v>
      </c>
      <c r="J47">
        <v>2.5065396630431502E-2</v>
      </c>
      <c r="K47">
        <v>1.0764035305834807E-2</v>
      </c>
      <c r="L47">
        <v>3.8980914696261637E-3</v>
      </c>
      <c r="M47">
        <v>1.4488793076482542E-3</v>
      </c>
      <c r="N47">
        <v>0</v>
      </c>
    </row>
    <row r="48" spans="1:14">
      <c r="A48" s="52">
        <f>B48-B37</f>
        <v>1.1108440518456941E-3</v>
      </c>
      <c r="B48">
        <v>0.65980949157446445</v>
      </c>
      <c r="C48">
        <v>1.2095272898543657E-2</v>
      </c>
      <c r="D48">
        <v>0.65100761372716409</v>
      </c>
      <c r="E48">
        <v>0.66036767674991714</v>
      </c>
      <c r="F48">
        <v>0.66788556895445039</v>
      </c>
      <c r="G48">
        <v>1.2906201146687668E-2</v>
      </c>
      <c r="H48">
        <v>1</v>
      </c>
      <c r="I48">
        <v>7.3654407029557264E-2</v>
      </c>
      <c r="J48">
        <v>-0.25047920736031037</v>
      </c>
      <c r="K48">
        <v>-0.14601722325564029</v>
      </c>
      <c r="L48">
        <v>0.11411850187495721</v>
      </c>
      <c r="M48">
        <v>1</v>
      </c>
      <c r="N48">
        <v>0.99999999999990885</v>
      </c>
    </row>
    <row r="49" spans="1:14">
      <c r="A49" s="52">
        <f t="shared" ref="A49:A55" si="2">B49-B38</f>
        <v>-8.3397492369172155E-5</v>
      </c>
      <c r="B49">
        <v>1.7128429546077049E-2</v>
      </c>
      <c r="C49">
        <v>1.4299746117152417E-2</v>
      </c>
      <c r="D49">
        <v>5.7724889391251224E-3</v>
      </c>
      <c r="E49">
        <v>1.3509367199834449E-2</v>
      </c>
      <c r="F49">
        <v>2.4659089105404156E-2</v>
      </c>
      <c r="G49">
        <v>4.8782254050686764E-3</v>
      </c>
      <c r="H49">
        <v>-0.78636463138825796</v>
      </c>
      <c r="I49">
        <v>-0.86707682636678962</v>
      </c>
      <c r="J49">
        <v>-0.45986825623130834</v>
      </c>
      <c r="K49">
        <v>-0.11931596045226811</v>
      </c>
      <c r="L49">
        <v>-4.8468528374705798E-2</v>
      </c>
      <c r="M49">
        <v>0.33216149943772916</v>
      </c>
      <c r="N49">
        <v>0.99999999999994338</v>
      </c>
    </row>
    <row r="50" spans="1:14">
      <c r="A50" s="52">
        <f t="shared" si="2"/>
        <v>-1.1472226912650849E-3</v>
      </c>
      <c r="B50">
        <v>1.4413903107230029E-2</v>
      </c>
      <c r="C50">
        <v>1.2322143588385558E-2</v>
      </c>
      <c r="D50">
        <v>5.0811888759535462E-3</v>
      </c>
      <c r="E50">
        <v>1.170964821881456E-2</v>
      </c>
      <c r="F50">
        <v>2.0192641371189465E-2</v>
      </c>
      <c r="G50">
        <v>-2.1442739559195591E-2</v>
      </c>
      <c r="H50">
        <v>-0.10106805527084173</v>
      </c>
      <c r="I50">
        <v>-0.30306523927050927</v>
      </c>
      <c r="J50">
        <v>1</v>
      </c>
      <c r="K50">
        <v>-0.18611087667369283</v>
      </c>
      <c r="L50">
        <v>-3.699841074869701E-2</v>
      </c>
      <c r="M50">
        <v>0.25673146365168653</v>
      </c>
      <c r="N50">
        <v>0.9999999999999476</v>
      </c>
    </row>
    <row r="51" spans="1:14">
      <c r="A51" s="52">
        <f t="shared" si="2"/>
        <v>4.5324958420450145E-3</v>
      </c>
      <c r="B51">
        <v>0.17133500731815415</v>
      </c>
      <c r="C51">
        <v>5.5855055008541682E-2</v>
      </c>
      <c r="D51">
        <v>0.12948355854981775</v>
      </c>
      <c r="E51">
        <v>0.17312131729118246</v>
      </c>
      <c r="F51">
        <v>0.21135446698414195</v>
      </c>
      <c r="G51">
        <v>-0.99939215576830887</v>
      </c>
      <c r="H51">
        <v>0.29293521596914418</v>
      </c>
      <c r="I51">
        <v>5.033957102146603E-2</v>
      </c>
      <c r="J51">
        <v>-0.12425502212280577</v>
      </c>
      <c r="K51">
        <v>-0.22866758206557272</v>
      </c>
      <c r="L51">
        <v>-0.39582938304762488</v>
      </c>
      <c r="M51">
        <v>-0.66094399982337171</v>
      </c>
      <c r="N51">
        <v>0.99999999999999878</v>
      </c>
    </row>
    <row r="52" spans="1:14">
      <c r="A52" s="52">
        <f t="shared" si="2"/>
        <v>-2.6517052431598853E-3</v>
      </c>
      <c r="B52">
        <v>0.10710815096721689</v>
      </c>
      <c r="C52">
        <v>5.5876615517951651E-2</v>
      </c>
      <c r="D52">
        <v>6.5370888428298912E-2</v>
      </c>
      <c r="E52">
        <v>0.10536635022056337</v>
      </c>
      <c r="F52">
        <v>0.14896855722640462</v>
      </c>
      <c r="G52">
        <v>1</v>
      </c>
      <c r="H52">
        <v>0.28543360863837108</v>
      </c>
      <c r="I52">
        <v>4.2415132511168692E-2</v>
      </c>
      <c r="J52">
        <v>-9.7181938422213315E-2</v>
      </c>
      <c r="K52">
        <v>-0.23163269270254433</v>
      </c>
      <c r="L52">
        <v>-0.39302322699766312</v>
      </c>
      <c r="M52">
        <v>-0.67359645570402782</v>
      </c>
      <c r="N52">
        <v>1</v>
      </c>
    </row>
    <row r="53" spans="1:14">
      <c r="A53" s="52">
        <f t="shared" si="2"/>
        <v>-2.9252299450229727E-4</v>
      </c>
      <c r="B53">
        <v>4.2346645973486592E-3</v>
      </c>
      <c r="C53">
        <v>4.76091879554205E-3</v>
      </c>
      <c r="D53">
        <v>7.8713467400892386E-4</v>
      </c>
      <c r="E53">
        <v>2.5205684954338493E-3</v>
      </c>
      <c r="F53">
        <v>6.1452437550818615E-3</v>
      </c>
      <c r="G53">
        <v>-3.9932193795552502E-3</v>
      </c>
      <c r="H53">
        <v>8.0534551816470401E-2</v>
      </c>
      <c r="I53">
        <v>-1.8145134557110764E-2</v>
      </c>
      <c r="J53">
        <v>-3.5687858720787717E-2</v>
      </c>
      <c r="K53">
        <v>6.0297587303078215E-2</v>
      </c>
      <c r="L53">
        <v>1</v>
      </c>
      <c r="M53">
        <v>-0.61096624786290532</v>
      </c>
      <c r="N53">
        <v>0.99999999999997358</v>
      </c>
    </row>
    <row r="54" spans="1:14">
      <c r="A54" s="52">
        <f t="shared" si="2"/>
        <v>-3.1015446848263808E-4</v>
      </c>
      <c r="B54">
        <v>1.7335016592853265E-2</v>
      </c>
      <c r="C54">
        <v>1.4604182256696375E-2</v>
      </c>
      <c r="D54">
        <v>6.0045357441901818E-3</v>
      </c>
      <c r="E54">
        <v>1.295381520047497E-2</v>
      </c>
      <c r="F54">
        <v>2.6446720126806163E-2</v>
      </c>
      <c r="G54">
        <v>4.5474173683876752E-3</v>
      </c>
      <c r="H54">
        <v>-0.81241048194007226</v>
      </c>
      <c r="I54">
        <v>1</v>
      </c>
      <c r="J54">
        <v>-6.8279790147493954E-2</v>
      </c>
      <c r="K54">
        <v>-0.14855325215335699</v>
      </c>
      <c r="L54">
        <v>-1.6937657827925435E-3</v>
      </c>
      <c r="M54">
        <v>0.34261142588488908</v>
      </c>
      <c r="N54">
        <v>0.99999999999994127</v>
      </c>
    </row>
    <row r="55" spans="1:14">
      <c r="A55" s="52">
        <f t="shared" si="2"/>
        <v>-1.1583370041121401E-3</v>
      </c>
      <c r="B55">
        <v>8.6353362966557438E-3</v>
      </c>
      <c r="C55">
        <v>8.0433647842754804E-3</v>
      </c>
      <c r="D55">
        <v>2.3352374116954577E-3</v>
      </c>
      <c r="E55">
        <v>6.2423071067024202E-3</v>
      </c>
      <c r="F55">
        <v>1.2852590429537892E-2</v>
      </c>
      <c r="G55">
        <v>2.4962707869155133E-3</v>
      </c>
      <c r="H55">
        <v>4.0939792175183752E-2</v>
      </c>
      <c r="I55">
        <v>2.1878089632216824E-2</v>
      </c>
      <c r="J55">
        <v>3.5752073004919518E-2</v>
      </c>
      <c r="K55">
        <v>1</v>
      </c>
      <c r="L55">
        <v>-0.2381051869234527</v>
      </c>
      <c r="M55">
        <v>1.4002314416128233E-2</v>
      </c>
      <c r="N55">
        <v>0.99999999999995892</v>
      </c>
    </row>
    <row r="58" spans="1:14">
      <c r="G58">
        <v>0.89220054043362729</v>
      </c>
      <c r="H58">
        <v>3.8512771688488989E-2</v>
      </c>
      <c r="I58">
        <v>2.9155089592195815E-2</v>
      </c>
      <c r="J58">
        <v>2.407858170688415E-2</v>
      </c>
      <c r="K58">
        <v>1.1019461398293906E-2</v>
      </c>
      <c r="L58">
        <v>3.6957945888794752E-3</v>
      </c>
      <c r="M58">
        <v>1.3377605916234936E-3</v>
      </c>
      <c r="N58">
        <v>0</v>
      </c>
    </row>
    <row r="59" spans="1:14">
      <c r="A59" s="52">
        <f>B59-B48</f>
        <v>2.9619601425902031E-3</v>
      </c>
      <c r="B59">
        <v>0.66277145171705465</v>
      </c>
      <c r="C59">
        <v>1.0893113029663998E-2</v>
      </c>
      <c r="D59">
        <v>0.65452958967861441</v>
      </c>
      <c r="E59">
        <v>0.66277784767108616</v>
      </c>
      <c r="F59">
        <v>0.67095396537224428</v>
      </c>
      <c r="G59">
        <v>2.9346396664293012E-3</v>
      </c>
      <c r="H59">
        <v>1</v>
      </c>
      <c r="I59">
        <v>-8.0878574033497394E-2</v>
      </c>
      <c r="J59">
        <v>-0.12175042686757416</v>
      </c>
      <c r="K59">
        <v>-0.12110237679513787</v>
      </c>
      <c r="L59">
        <v>9.7170381183651636E-2</v>
      </c>
      <c r="M59">
        <v>1</v>
      </c>
      <c r="N59">
        <v>0.99999999999998557</v>
      </c>
    </row>
    <row r="60" spans="1:14">
      <c r="A60" s="52">
        <f t="shared" ref="A60:A66" si="3">B60-B49</f>
        <v>-2.1643080718104692E-3</v>
      </c>
      <c r="B60">
        <v>1.496412147426658E-2</v>
      </c>
      <c r="C60">
        <v>1.2669853605963094E-2</v>
      </c>
      <c r="D60">
        <v>5.5243420343624597E-3</v>
      </c>
      <c r="E60">
        <v>1.1898299441537216E-2</v>
      </c>
      <c r="F60">
        <v>2.1168177922060941E-2</v>
      </c>
      <c r="G60">
        <v>-5.2932637535405228E-3</v>
      </c>
      <c r="H60">
        <v>-0.54373195130599583</v>
      </c>
      <c r="I60">
        <v>1</v>
      </c>
      <c r="J60">
        <v>-0.2944813841498275</v>
      </c>
      <c r="K60">
        <v>-0.20665029024610335</v>
      </c>
      <c r="L60">
        <v>-7.2236140941206839E-2</v>
      </c>
      <c r="M60">
        <v>0.30723715536643809</v>
      </c>
      <c r="N60">
        <v>0.9999999999999819</v>
      </c>
    </row>
    <row r="61" spans="1:14">
      <c r="A61" s="52">
        <f t="shared" si="3"/>
        <v>-1.1000058625099292E-3</v>
      </c>
      <c r="B61">
        <v>1.33138972447201E-2</v>
      </c>
      <c r="C61">
        <v>1.1718545208646952E-2</v>
      </c>
      <c r="D61">
        <v>4.4862526902848168E-3</v>
      </c>
      <c r="E61">
        <v>9.8778698285787482E-3</v>
      </c>
      <c r="F61">
        <v>1.869017831942562E-2</v>
      </c>
      <c r="G61">
        <v>1.6969104190066059E-2</v>
      </c>
      <c r="H61">
        <v>-0.35400103700169228</v>
      </c>
      <c r="I61">
        <v>-7.3031593045177562E-2</v>
      </c>
      <c r="J61">
        <v>1</v>
      </c>
      <c r="K61">
        <v>-0.12214789586207372</v>
      </c>
      <c r="L61">
        <v>-5.5830232954968965E-2</v>
      </c>
      <c r="M61">
        <v>0.28756640576471115</v>
      </c>
      <c r="N61">
        <v>0.99999999999998779</v>
      </c>
    </row>
    <row r="62" spans="1:14">
      <c r="A62" s="52">
        <f t="shared" si="3"/>
        <v>2.61996362356956E-3</v>
      </c>
      <c r="B62">
        <v>0.17395497094172371</v>
      </c>
      <c r="C62">
        <v>5.4472519146250072E-2</v>
      </c>
      <c r="D62">
        <v>0.13393023096110662</v>
      </c>
      <c r="E62">
        <v>0.17402733749204216</v>
      </c>
      <c r="F62">
        <v>0.21433529566097131</v>
      </c>
      <c r="G62">
        <v>1</v>
      </c>
      <c r="H62">
        <v>0.32623005341902794</v>
      </c>
      <c r="I62">
        <v>-4.4811475887200795E-2</v>
      </c>
      <c r="J62">
        <v>-5.4196696785244143E-2</v>
      </c>
      <c r="K62">
        <v>-0.20490421554859806</v>
      </c>
      <c r="L62">
        <v>-0.34681034428604046</v>
      </c>
      <c r="M62">
        <v>-0.69212894460263297</v>
      </c>
      <c r="N62">
        <v>0.99999999999999012</v>
      </c>
    </row>
    <row r="63" spans="1:14">
      <c r="A63" s="52">
        <f t="shared" si="3"/>
        <v>-4.2600491616945346E-5</v>
      </c>
      <c r="B63">
        <v>0.10706555047559994</v>
      </c>
      <c r="C63">
        <v>5.3742310882153976E-2</v>
      </c>
      <c r="D63">
        <v>6.5506166533946059E-2</v>
      </c>
      <c r="E63">
        <v>0.10635323302649513</v>
      </c>
      <c r="F63">
        <v>0.14422879188751198</v>
      </c>
      <c r="G63">
        <v>-0.98627018679338152</v>
      </c>
      <c r="H63">
        <v>0.34652266522216818</v>
      </c>
      <c r="I63">
        <v>-3.5564707239639538E-2</v>
      </c>
      <c r="J63">
        <v>-2.7201418287524072E-2</v>
      </c>
      <c r="K63">
        <v>-0.20642799001206991</v>
      </c>
      <c r="L63">
        <v>-0.35789219220114521</v>
      </c>
      <c r="M63">
        <v>-0.69824133509682274</v>
      </c>
      <c r="N63">
        <v>0.99999999999999034</v>
      </c>
    </row>
    <row r="64" spans="1:14">
      <c r="A64" s="52">
        <f t="shared" si="3"/>
        <v>-1.5742818974421192E-4</v>
      </c>
      <c r="B64">
        <v>4.0772364076044473E-3</v>
      </c>
      <c r="C64">
        <v>4.446101445878493E-3</v>
      </c>
      <c r="D64">
        <v>7.2483330164676749E-4</v>
      </c>
      <c r="E64">
        <v>2.5369110656921299E-3</v>
      </c>
      <c r="F64">
        <v>5.7398777138017278E-3</v>
      </c>
      <c r="G64">
        <v>-7.8904905109211266E-3</v>
      </c>
      <c r="H64">
        <v>4.8011145219475117E-3</v>
      </c>
      <c r="I64">
        <v>-2.0593203956779119E-2</v>
      </c>
      <c r="J64">
        <v>-3.0267208276106187E-2</v>
      </c>
      <c r="K64">
        <v>-1.291452529806066E-3</v>
      </c>
      <c r="L64">
        <v>1</v>
      </c>
      <c r="M64">
        <v>-0.51960542641732477</v>
      </c>
      <c r="N64">
        <v>1</v>
      </c>
    </row>
    <row r="65" spans="1:14">
      <c r="A65" s="52">
        <f t="shared" si="3"/>
        <v>-1.9758675110649031E-3</v>
      </c>
      <c r="B65">
        <v>1.5359149081788362E-2</v>
      </c>
      <c r="C65">
        <v>1.2951826876624177E-2</v>
      </c>
      <c r="D65">
        <v>5.0526120668521208E-3</v>
      </c>
      <c r="E65">
        <v>1.2270549320150655E-2</v>
      </c>
      <c r="F65">
        <v>2.3004141859613837E-2</v>
      </c>
      <c r="G65">
        <v>-2.029435178303737E-2</v>
      </c>
      <c r="H65">
        <v>-0.77689958896319411</v>
      </c>
      <c r="I65">
        <v>-0.80573608998067048</v>
      </c>
      <c r="J65">
        <v>-0.4412335513225541</v>
      </c>
      <c r="K65">
        <v>-0.13747577900621571</v>
      </c>
      <c r="L65">
        <v>-9.73835725561122E-2</v>
      </c>
      <c r="M65">
        <v>0.33590273838691592</v>
      </c>
      <c r="N65">
        <v>0.99999999999998845</v>
      </c>
    </row>
    <row r="66" spans="1:14">
      <c r="A66" s="52">
        <f t="shared" si="3"/>
        <v>-1.4171363941333642E-4</v>
      </c>
      <c r="B66">
        <v>8.4936226572424074E-3</v>
      </c>
      <c r="C66">
        <v>7.884988646555454E-3</v>
      </c>
      <c r="D66">
        <v>2.1846912125513818E-3</v>
      </c>
      <c r="E66">
        <v>6.5645918498636966E-3</v>
      </c>
      <c r="F66">
        <v>1.2384235430753933E-2</v>
      </c>
      <c r="G66">
        <v>-1.5545101561492586E-4</v>
      </c>
      <c r="H66">
        <v>-2.9212558922629968E-3</v>
      </c>
      <c r="I66">
        <v>6.0615644142971659E-2</v>
      </c>
      <c r="J66">
        <v>-3.0869314311170348E-2</v>
      </c>
      <c r="K66">
        <v>1</v>
      </c>
      <c r="L66">
        <v>-0.16701789824418775</v>
      </c>
      <c r="M66">
        <v>-2.0730593401270141E-2</v>
      </c>
      <c r="N66">
        <v>0.99999999999999289</v>
      </c>
    </row>
    <row r="69" spans="1:14">
      <c r="G69">
        <v>0.90037962872511845</v>
      </c>
      <c r="H69">
        <v>4.0781262325809808E-2</v>
      </c>
      <c r="I69">
        <v>2.8082689681361406E-2</v>
      </c>
      <c r="J69">
        <v>1.7416384280047659E-2</v>
      </c>
      <c r="K69">
        <v>9.586588345295799E-3</v>
      </c>
      <c r="L69">
        <v>2.4029051398192225E-3</v>
      </c>
      <c r="M69">
        <v>1.3505415025480971E-3</v>
      </c>
      <c r="N69">
        <v>0</v>
      </c>
    </row>
    <row r="70" spans="1:14">
      <c r="A70" s="52">
        <f>B70-B59</f>
        <v>1.0268516850366893E-3</v>
      </c>
      <c r="B70">
        <v>0.66379830340209134</v>
      </c>
      <c r="C70">
        <v>1.1278131075058912E-2</v>
      </c>
      <c r="D70">
        <v>0.65566250518507085</v>
      </c>
      <c r="E70">
        <v>0.6638878692594431</v>
      </c>
      <c r="F70">
        <v>0.67225544264049963</v>
      </c>
      <c r="G70">
        <v>-2.4815369224963489E-2</v>
      </c>
      <c r="H70">
        <v>-0.75658122932546523</v>
      </c>
      <c r="I70">
        <v>-0.41004767452951707</v>
      </c>
      <c r="J70">
        <v>-0.20872163893287407</v>
      </c>
      <c r="K70">
        <v>-0.13359472651262747</v>
      </c>
      <c r="L70">
        <v>7.353089207545789E-2</v>
      </c>
      <c r="M70">
        <v>1</v>
      </c>
      <c r="N70">
        <v>1</v>
      </c>
    </row>
    <row r="71" spans="1:14">
      <c r="A71" s="52">
        <f t="shared" ref="A71:A77" si="4">B71-B60</f>
        <v>-5.301730646054912E-4</v>
      </c>
      <c r="B71">
        <v>1.4433948409661088E-2</v>
      </c>
      <c r="C71">
        <v>1.2334245587209726E-2</v>
      </c>
      <c r="D71">
        <v>5.0679088714952469E-3</v>
      </c>
      <c r="E71">
        <v>1.1256039633605455E-2</v>
      </c>
      <c r="F71">
        <v>2.0797402354917668E-2</v>
      </c>
      <c r="G71">
        <v>1.7179146003296404E-2</v>
      </c>
      <c r="H71">
        <v>0.18068472018054677</v>
      </c>
      <c r="I71">
        <v>1</v>
      </c>
      <c r="J71">
        <v>-0.50765724109228316</v>
      </c>
      <c r="K71">
        <v>-0.11560241361707507</v>
      </c>
      <c r="L71">
        <v>-9.5046838950557003E-2</v>
      </c>
      <c r="M71">
        <v>0.31337997852178195</v>
      </c>
      <c r="N71">
        <v>0.99999999999999889</v>
      </c>
    </row>
    <row r="72" spans="1:14">
      <c r="A72" s="52">
        <f t="shared" si="4"/>
        <v>-1.9995389588409185E-3</v>
      </c>
      <c r="B72">
        <v>1.1314358285879181E-2</v>
      </c>
      <c r="C72">
        <v>1.0237211422558474E-2</v>
      </c>
      <c r="D72">
        <v>3.1326547233925528E-3</v>
      </c>
      <c r="E72">
        <v>8.2910049512792683E-3</v>
      </c>
      <c r="F72">
        <v>1.6643667970519353E-2</v>
      </c>
      <c r="G72">
        <v>1.1955118456016434E-2</v>
      </c>
      <c r="H72">
        <v>8.3150225413734749E-2</v>
      </c>
      <c r="I72">
        <v>0.27565190033600573</v>
      </c>
      <c r="J72">
        <v>1</v>
      </c>
      <c r="K72">
        <v>-0.26780400844748814</v>
      </c>
      <c r="L72">
        <v>-9.1996766415414752E-2</v>
      </c>
      <c r="M72">
        <v>0.27920830467099261</v>
      </c>
      <c r="N72">
        <v>0.99999999999999289</v>
      </c>
    </row>
    <row r="73" spans="1:14">
      <c r="A73" s="52">
        <f t="shared" si="4"/>
        <v>-4.5390129162536375E-3</v>
      </c>
      <c r="B73">
        <v>0.16941595802547008</v>
      </c>
      <c r="C73">
        <v>5.6700778775676072E-2</v>
      </c>
      <c r="D73">
        <v>0.13023972858595081</v>
      </c>
      <c r="E73">
        <v>0.17183113209904055</v>
      </c>
      <c r="F73">
        <v>0.2100657645243249</v>
      </c>
      <c r="G73">
        <v>1</v>
      </c>
      <c r="H73">
        <v>-0.23084913784635552</v>
      </c>
      <c r="I73">
        <v>-0.173392912129614</v>
      </c>
      <c r="J73">
        <v>-0.11018910312772678</v>
      </c>
      <c r="K73">
        <v>-0.19380746866095747</v>
      </c>
      <c r="L73">
        <v>-0.32723220358865557</v>
      </c>
      <c r="M73">
        <v>-0.71694870308614111</v>
      </c>
      <c r="N73">
        <v>0.99999999999998579</v>
      </c>
    </row>
    <row r="74" spans="1:14">
      <c r="A74" s="52">
        <f t="shared" si="4"/>
        <v>6.1016042488165334E-3</v>
      </c>
      <c r="B74">
        <v>0.11316715472441648</v>
      </c>
      <c r="C74">
        <v>5.6361239440599301E-2</v>
      </c>
      <c r="D74">
        <v>7.23513510318817E-2</v>
      </c>
      <c r="E74">
        <v>0.10992910230667681</v>
      </c>
      <c r="F74">
        <v>0.15277829355105133</v>
      </c>
      <c r="G74">
        <v>-0.99433717669939758</v>
      </c>
      <c r="H74">
        <v>-0.21923744511924848</v>
      </c>
      <c r="I74">
        <v>-0.13777138183409512</v>
      </c>
      <c r="J74">
        <v>-9.960166205559913E-2</v>
      </c>
      <c r="K74">
        <v>-0.18888938543327602</v>
      </c>
      <c r="L74">
        <v>-0.34119722603791575</v>
      </c>
      <c r="M74">
        <v>-0.73721717168510392</v>
      </c>
      <c r="N74">
        <v>0.99999999999998634</v>
      </c>
    </row>
    <row r="75" spans="1:14">
      <c r="A75" s="52">
        <f t="shared" si="4"/>
        <v>-5.4083635628068838E-4</v>
      </c>
      <c r="B75">
        <v>3.5364000513237589E-3</v>
      </c>
      <c r="C75">
        <v>3.8196359378838756E-3</v>
      </c>
      <c r="D75">
        <v>7.1953306051924571E-4</v>
      </c>
      <c r="E75">
        <v>2.1031042281085847E-3</v>
      </c>
      <c r="F75">
        <v>4.9898166228379455E-3</v>
      </c>
      <c r="G75">
        <v>-6.6509308094418679E-3</v>
      </c>
      <c r="H75">
        <v>-3.5175787234360982E-2</v>
      </c>
      <c r="I75">
        <v>2.4937752613793E-2</v>
      </c>
      <c r="J75">
        <v>2.6296615175975878E-3</v>
      </c>
      <c r="K75">
        <v>2.1038242183461012E-2</v>
      </c>
      <c r="L75">
        <v>1</v>
      </c>
      <c r="M75">
        <v>-0.48827956493645014</v>
      </c>
      <c r="N75">
        <v>0.9999999999999849</v>
      </c>
    </row>
    <row r="76" spans="1:14">
      <c r="A76" s="52">
        <f t="shared" si="4"/>
        <v>1.1979581674028562E-3</v>
      </c>
      <c r="B76">
        <v>1.6557107249191218E-2</v>
      </c>
      <c r="C76">
        <v>1.4635211334701118E-2</v>
      </c>
      <c r="D76">
        <v>5.0397979293565608E-3</v>
      </c>
      <c r="E76">
        <v>1.2850948916700838E-2</v>
      </c>
      <c r="F76">
        <v>2.4922878267976716E-2</v>
      </c>
      <c r="G76">
        <v>-1.0104710935222135E-2</v>
      </c>
      <c r="H76">
        <v>1</v>
      </c>
      <c r="I76">
        <v>-0.58311252235173616</v>
      </c>
      <c r="J76">
        <v>-0.19393669568068514</v>
      </c>
      <c r="K76">
        <v>-0.12134023951203711</v>
      </c>
      <c r="L76">
        <v>-3.8658764405036287E-2</v>
      </c>
      <c r="M76">
        <v>0.33280872283735652</v>
      </c>
      <c r="N76">
        <v>0.99999999999999412</v>
      </c>
    </row>
    <row r="77" spans="1:14">
      <c r="A77" s="52">
        <f t="shared" si="4"/>
        <v>-7.1685280527500946E-4</v>
      </c>
      <c r="B77">
        <v>7.7767698519673979E-3</v>
      </c>
      <c r="C77">
        <v>7.6635037128138976E-3</v>
      </c>
      <c r="D77">
        <v>2.149342131321006E-3</v>
      </c>
      <c r="E77">
        <v>5.5026354931756727E-3</v>
      </c>
      <c r="F77">
        <v>1.1231869165494649E-2</v>
      </c>
      <c r="G77">
        <v>6.7739232097123398E-3</v>
      </c>
      <c r="H77">
        <v>-2.1991346068851149E-2</v>
      </c>
      <c r="I77">
        <v>3.7348378951596217E-3</v>
      </c>
      <c r="J77">
        <v>0.11747667937157409</v>
      </c>
      <c r="K77">
        <v>1</v>
      </c>
      <c r="L77">
        <v>-0.1793990926778754</v>
      </c>
      <c r="M77">
        <v>1.7048433677541219E-2</v>
      </c>
      <c r="N77">
        <v>0.99999999999999245</v>
      </c>
    </row>
    <row r="80" spans="1:14">
      <c r="G80">
        <v>0.90652576318536027</v>
      </c>
      <c r="H80">
        <v>3.1782495682611711E-2</v>
      </c>
      <c r="I80">
        <v>2.7480049279176133E-2</v>
      </c>
      <c r="J80">
        <v>2.069562442765005E-2</v>
      </c>
      <c r="K80">
        <v>9.0119062562338259E-3</v>
      </c>
      <c r="L80">
        <v>2.9799817458542321E-3</v>
      </c>
      <c r="M80">
        <v>1.5241794231102279E-3</v>
      </c>
      <c r="N80">
        <v>0</v>
      </c>
    </row>
    <row r="81" spans="1:14">
      <c r="A81" s="52">
        <f>B81-B70</f>
        <v>6.6691662891815717E-4</v>
      </c>
      <c r="B81">
        <v>0.6644652200310095</v>
      </c>
      <c r="C81">
        <v>1.0523457158363189E-2</v>
      </c>
      <c r="D81">
        <v>0.65667994024930576</v>
      </c>
      <c r="E81">
        <v>0.66428607685433716</v>
      </c>
      <c r="F81">
        <v>0.67156274586994602</v>
      </c>
      <c r="G81">
        <v>2.3239061859177929E-2</v>
      </c>
      <c r="H81">
        <v>1</v>
      </c>
      <c r="I81">
        <v>-0.33327068770071711</v>
      </c>
      <c r="J81">
        <v>4.4489675666876741E-2</v>
      </c>
      <c r="K81">
        <v>-0.13461146308290112</v>
      </c>
      <c r="L81">
        <v>0.2671009088203275</v>
      </c>
      <c r="M81">
        <v>1</v>
      </c>
      <c r="N81">
        <v>1</v>
      </c>
    </row>
    <row r="82" spans="1:14">
      <c r="A82" s="52">
        <f t="shared" ref="A82:A88" si="5">B82-B71</f>
        <v>-2.5855417145364927E-4</v>
      </c>
      <c r="B82">
        <v>1.4175394238207439E-2</v>
      </c>
      <c r="C82">
        <v>1.1620492561965205E-2</v>
      </c>
      <c r="D82">
        <v>4.9835644583133545E-3</v>
      </c>
      <c r="E82">
        <v>1.121773165735784E-2</v>
      </c>
      <c r="F82">
        <v>2.0295812290431051E-2</v>
      </c>
      <c r="G82">
        <v>-1.6043221864853636E-2</v>
      </c>
      <c r="H82">
        <v>-0.505613505422152</v>
      </c>
      <c r="I82">
        <v>0.46112763445257221</v>
      </c>
      <c r="J82">
        <v>1</v>
      </c>
      <c r="K82">
        <v>-0.13854608366881327</v>
      </c>
      <c r="L82">
        <v>-2.4951338981613128E-2</v>
      </c>
      <c r="M82">
        <v>0.34333496883207998</v>
      </c>
      <c r="N82">
        <v>0.99999999999998634</v>
      </c>
    </row>
    <row r="83" spans="1:14">
      <c r="A83" s="52">
        <f t="shared" si="5"/>
        <v>1.4774511001103812E-3</v>
      </c>
      <c r="B83">
        <v>1.2791809385989563E-2</v>
      </c>
      <c r="C83">
        <v>1.2028160679395109E-2</v>
      </c>
      <c r="D83">
        <v>3.5529645982723974E-3</v>
      </c>
      <c r="E83">
        <v>9.2061210722992597E-3</v>
      </c>
      <c r="F83">
        <v>1.8374281476759298E-2</v>
      </c>
      <c r="G83">
        <v>-7.2778206666685762E-3</v>
      </c>
      <c r="H83">
        <v>-0.16283103826008993</v>
      </c>
      <c r="I83">
        <v>1</v>
      </c>
      <c r="J83">
        <v>-0.72201579242731628</v>
      </c>
      <c r="K83">
        <v>-0.19780353137849535</v>
      </c>
      <c r="L83">
        <v>-4.4763801008192855E-2</v>
      </c>
      <c r="M83">
        <v>0.30770766289004664</v>
      </c>
      <c r="N83">
        <v>0.99999999999998457</v>
      </c>
    </row>
    <row r="84" spans="1:14">
      <c r="A84" s="52">
        <f t="shared" si="5"/>
        <v>6.1220812794517132E-3</v>
      </c>
      <c r="B84">
        <v>0.17553803930492179</v>
      </c>
      <c r="C84">
        <v>5.6699431715519957E-2</v>
      </c>
      <c r="D84">
        <v>0.13563635118322814</v>
      </c>
      <c r="E84">
        <v>0.18107484532360185</v>
      </c>
      <c r="F84">
        <v>0.21890690321997019</v>
      </c>
      <c r="G84">
        <v>-0.99796572896587155</v>
      </c>
      <c r="H84">
        <v>0.33150062145246739</v>
      </c>
      <c r="I84">
        <v>-0.15728139143183725</v>
      </c>
      <c r="J84">
        <v>2.4476317784102787E-2</v>
      </c>
      <c r="K84">
        <v>-0.201325879255768</v>
      </c>
      <c r="L84">
        <v>-0.48844131200876251</v>
      </c>
      <c r="M84">
        <v>-0.62673464154089775</v>
      </c>
      <c r="N84">
        <v>0.99999999999996003</v>
      </c>
    </row>
    <row r="85" spans="1:14">
      <c r="A85" s="52">
        <f t="shared" si="5"/>
        <v>-5.8439817885032885E-3</v>
      </c>
      <c r="B85">
        <v>0.10732317293591319</v>
      </c>
      <c r="C85">
        <v>5.6793331073690806E-2</v>
      </c>
      <c r="D85">
        <v>6.5974287057055631E-2</v>
      </c>
      <c r="E85">
        <v>0.10371894299077951</v>
      </c>
      <c r="F85">
        <v>0.14866431831591387</v>
      </c>
      <c r="G85">
        <v>1</v>
      </c>
      <c r="H85">
        <v>0.29701999129024498</v>
      </c>
      <c r="I85">
        <v>-0.13573687545775417</v>
      </c>
      <c r="J85">
        <v>3.3824176987370856E-2</v>
      </c>
      <c r="K85">
        <v>-0.20408845094929517</v>
      </c>
      <c r="L85">
        <v>-0.49072093098964004</v>
      </c>
      <c r="M85">
        <v>-0.64326531244233931</v>
      </c>
      <c r="N85">
        <v>0.9999999999999597</v>
      </c>
    </row>
    <row r="86" spans="1:14">
      <c r="A86" s="52">
        <f t="shared" si="5"/>
        <v>1.4436978452643176E-4</v>
      </c>
      <c r="B86">
        <v>3.6807698358501907E-3</v>
      </c>
      <c r="C86">
        <v>4.0174828848270191E-3</v>
      </c>
      <c r="D86">
        <v>6.8609562078284837E-4</v>
      </c>
      <c r="E86">
        <v>2.4706668839542707E-3</v>
      </c>
      <c r="F86">
        <v>5.3053868711733449E-3</v>
      </c>
      <c r="G86">
        <v>-3.0335503058033226E-3</v>
      </c>
      <c r="H86">
        <v>3.1654143951923758E-2</v>
      </c>
      <c r="I86">
        <v>1.5785492703602379E-2</v>
      </c>
      <c r="J86">
        <v>3.4050367217892041E-3</v>
      </c>
      <c r="K86">
        <v>6.3675316559714729E-2</v>
      </c>
      <c r="L86">
        <v>1</v>
      </c>
      <c r="M86">
        <v>-0.84753748334077639</v>
      </c>
      <c r="N86">
        <v>0.99999999999997558</v>
      </c>
    </row>
    <row r="87" spans="1:14">
      <c r="A87" s="52">
        <f t="shared" si="5"/>
        <v>-2.1562305781302731E-3</v>
      </c>
      <c r="B87">
        <v>1.4400876671060945E-2</v>
      </c>
      <c r="C87">
        <v>1.2897745711236632E-2</v>
      </c>
      <c r="D87">
        <v>4.3613327505395826E-3</v>
      </c>
      <c r="E87">
        <v>1.1101519432553381E-2</v>
      </c>
      <c r="F87">
        <v>2.08815188348426E-2</v>
      </c>
      <c r="G87">
        <v>-1.4739033904778221E-3</v>
      </c>
      <c r="H87">
        <v>-0.96809976914478202</v>
      </c>
      <c r="I87">
        <v>-0.84821095378237432</v>
      </c>
      <c r="J87">
        <v>-0.33480257668864039</v>
      </c>
      <c r="K87">
        <v>-0.18729990822444573</v>
      </c>
      <c r="L87">
        <v>1.709310843413234E-2</v>
      </c>
      <c r="M87">
        <v>0.35959210329038716</v>
      </c>
      <c r="N87">
        <v>0.9999999999999839</v>
      </c>
    </row>
    <row r="88" spans="1:14">
      <c r="A88" s="52">
        <f t="shared" si="5"/>
        <v>-1.5205225492060694E-4</v>
      </c>
      <c r="B88">
        <v>7.624717597046791E-3</v>
      </c>
      <c r="C88">
        <v>7.3643675938998426E-3</v>
      </c>
      <c r="D88">
        <v>1.9140814209826556E-3</v>
      </c>
      <c r="E88">
        <v>5.407222112334787E-3</v>
      </c>
      <c r="F88">
        <v>1.1465567357489114E-2</v>
      </c>
      <c r="G88">
        <v>2.5551633344974415E-3</v>
      </c>
      <c r="H88">
        <v>-2.3630443867610738E-2</v>
      </c>
      <c r="I88">
        <v>-2.4132187834926323E-3</v>
      </c>
      <c r="J88">
        <v>-4.9376838044183358E-2</v>
      </c>
      <c r="K88">
        <v>1</v>
      </c>
      <c r="L88">
        <v>-0.23531663426627086</v>
      </c>
      <c r="M88">
        <v>0.1069027023114464</v>
      </c>
      <c r="N88">
        <v>0.99999999999998035</v>
      </c>
    </row>
    <row r="91" spans="1:14">
      <c r="G91">
        <v>0.9196004939738871</v>
      </c>
      <c r="H91">
        <v>3.1091708153727193E-2</v>
      </c>
      <c r="I91">
        <v>2.2345981085626132E-2</v>
      </c>
      <c r="J91">
        <v>1.658986305302923E-2</v>
      </c>
      <c r="K91">
        <v>6.5423842486427297E-3</v>
      </c>
      <c r="L91">
        <v>2.4484015277256299E-3</v>
      </c>
      <c r="M91">
        <v>1.3811679573590974E-3</v>
      </c>
      <c r="N91">
        <v>0</v>
      </c>
    </row>
    <row r="92" spans="1:14">
      <c r="A92" s="52">
        <f>B92-B81</f>
        <v>2.3322437786981176E-3</v>
      </c>
      <c r="B92">
        <v>0.66679746380970761</v>
      </c>
      <c r="C92">
        <v>1.0634071714350605E-2</v>
      </c>
      <c r="D92">
        <v>0.65893635136578665</v>
      </c>
      <c r="E92">
        <v>0.66665470711273023</v>
      </c>
      <c r="F92">
        <v>0.67481013500973885</v>
      </c>
      <c r="G92">
        <v>-4.4978542247846916E-3</v>
      </c>
      <c r="H92">
        <v>1</v>
      </c>
      <c r="I92">
        <v>-0.12959736433602995</v>
      </c>
      <c r="J92">
        <v>-0.19049911789223489</v>
      </c>
      <c r="K92">
        <v>-0.13958900691768686</v>
      </c>
      <c r="L92">
        <v>0.30763564103254709</v>
      </c>
      <c r="M92">
        <v>1</v>
      </c>
      <c r="N92">
        <v>1</v>
      </c>
    </row>
    <row r="93" spans="1:14">
      <c r="A93" s="52">
        <f t="shared" ref="A93:A99" si="6">B93-B82</f>
        <v>-1.324658007042857E-3</v>
      </c>
      <c r="B93">
        <v>1.2850736231164582E-2</v>
      </c>
      <c r="C93">
        <v>1.1939297315078812E-2</v>
      </c>
      <c r="D93">
        <v>3.8919307315978865E-3</v>
      </c>
      <c r="E93">
        <v>9.6892543866120319E-3</v>
      </c>
      <c r="F93">
        <v>1.7882409222482028E-2</v>
      </c>
      <c r="G93">
        <v>7.9548536154738243E-3</v>
      </c>
      <c r="H93">
        <v>-0.54606259832863224</v>
      </c>
      <c r="I93">
        <v>1</v>
      </c>
      <c r="J93">
        <v>-0.34479531524866203</v>
      </c>
      <c r="K93">
        <v>-0.17800491489645831</v>
      </c>
      <c r="L93">
        <v>2.0559700855723881E-2</v>
      </c>
      <c r="M93">
        <v>0.35013019648855109</v>
      </c>
      <c r="N93">
        <v>0.99999999999997413</v>
      </c>
    </row>
    <row r="94" spans="1:14">
      <c r="A94" s="52">
        <f t="shared" si="6"/>
        <v>-1.4455668161976829E-3</v>
      </c>
      <c r="B94">
        <v>1.134624256979188E-2</v>
      </c>
      <c r="C94">
        <v>1.0216464211627436E-2</v>
      </c>
      <c r="D94">
        <v>3.3047353980753167E-3</v>
      </c>
      <c r="E94">
        <v>8.8409294070516987E-3</v>
      </c>
      <c r="F94">
        <v>1.6364054759037037E-2</v>
      </c>
      <c r="G94">
        <v>8.2737087078601033E-3</v>
      </c>
      <c r="H94">
        <v>-0.2137814829728818</v>
      </c>
      <c r="I94">
        <v>3.3903083745464968E-2</v>
      </c>
      <c r="J94">
        <v>1</v>
      </c>
      <c r="K94">
        <v>-0.23744399191587895</v>
      </c>
      <c r="L94">
        <v>-5.9405803918114217E-2</v>
      </c>
      <c r="M94">
        <v>0.30895276548295619</v>
      </c>
      <c r="N94">
        <v>0.99999999999997191</v>
      </c>
    </row>
    <row r="95" spans="1:14">
      <c r="A95" s="52">
        <f t="shared" si="6"/>
        <v>2.3133591749518734E-3</v>
      </c>
      <c r="B95">
        <v>0.17785139847987366</v>
      </c>
      <c r="C95">
        <v>5.9324796587890125E-2</v>
      </c>
      <c r="D95">
        <v>0.13632614267401344</v>
      </c>
      <c r="E95">
        <v>0.17883434470327655</v>
      </c>
      <c r="F95">
        <v>0.22611425011737352</v>
      </c>
      <c r="G95">
        <v>1</v>
      </c>
      <c r="H95">
        <v>0.31190716116536316</v>
      </c>
      <c r="I95">
        <v>-5.3524920565719961E-2</v>
      </c>
      <c r="J95">
        <v>-0.11282769274807448</v>
      </c>
      <c r="K95">
        <v>-0.16152009481758137</v>
      </c>
      <c r="L95">
        <v>-0.53469796595857566</v>
      </c>
      <c r="M95">
        <v>-0.62100503903470694</v>
      </c>
      <c r="N95">
        <v>0.99999999999992784</v>
      </c>
    </row>
    <row r="96" spans="1:14">
      <c r="A96" s="52">
        <f t="shared" si="6"/>
        <v>3.3679965184219007E-5</v>
      </c>
      <c r="B96">
        <v>0.10735685290109741</v>
      </c>
      <c r="C96">
        <v>5.8651759068872697E-2</v>
      </c>
      <c r="D96">
        <v>6.1553398445117175E-2</v>
      </c>
      <c r="E96">
        <v>0.10632352379282725</v>
      </c>
      <c r="F96">
        <v>0.14836964677726922</v>
      </c>
      <c r="G96">
        <v>-0.98856031299562375</v>
      </c>
      <c r="H96">
        <v>0.31884410198595836</v>
      </c>
      <c r="I96">
        <v>-3.1330247489240008E-2</v>
      </c>
      <c r="J96">
        <v>-0.1022750405464528</v>
      </c>
      <c r="K96">
        <v>-0.16365493974353007</v>
      </c>
      <c r="L96">
        <v>-0.54971391354664456</v>
      </c>
      <c r="M96">
        <v>-0.62675350246412032</v>
      </c>
      <c r="N96">
        <v>0.99999999999992673</v>
      </c>
    </row>
    <row r="97" spans="1:14">
      <c r="A97" s="52">
        <f t="shared" si="6"/>
        <v>-3.0710093967411525E-4</v>
      </c>
      <c r="B97">
        <v>3.3736688961760754E-3</v>
      </c>
      <c r="C97">
        <v>3.7602925497537661E-3</v>
      </c>
      <c r="D97">
        <v>5.2560666571426352E-4</v>
      </c>
      <c r="E97">
        <v>2.2560194725537988E-3</v>
      </c>
      <c r="F97">
        <v>4.9589627888797817E-3</v>
      </c>
      <c r="G97">
        <v>-7.3422883555342216E-3</v>
      </c>
      <c r="H97">
        <v>8.8394098921637399E-3</v>
      </c>
      <c r="I97">
        <v>-3.742537100120219E-2</v>
      </c>
      <c r="J97">
        <v>1.1747312397020733E-2</v>
      </c>
      <c r="K97">
        <v>1.3027491308825639E-2</v>
      </c>
      <c r="L97">
        <v>1</v>
      </c>
      <c r="M97">
        <v>-0.94159325927340465</v>
      </c>
      <c r="N97">
        <v>0.99999999999995992</v>
      </c>
    </row>
    <row r="98" spans="1:14">
      <c r="A98" s="52">
        <f t="shared" si="6"/>
        <v>-5.6136767690989804E-4</v>
      </c>
      <c r="B98">
        <v>1.3839508994151047E-2</v>
      </c>
      <c r="C98">
        <v>1.2489941235186933E-2</v>
      </c>
      <c r="D98">
        <v>3.9963175579522305E-3</v>
      </c>
      <c r="E98">
        <v>1.027911130398625E-2</v>
      </c>
      <c r="F98">
        <v>2.1134875798120303E-2</v>
      </c>
      <c r="G98">
        <v>-1.6254884155526894E-2</v>
      </c>
      <c r="H98">
        <v>-0.85964395567818619</v>
      </c>
      <c r="I98">
        <v>-0.8268826312875398</v>
      </c>
      <c r="J98">
        <v>-0.33166285118925443</v>
      </c>
      <c r="K98">
        <v>-0.1328145430176966</v>
      </c>
      <c r="L98">
        <v>-2.4292620506835599E-2</v>
      </c>
      <c r="M98">
        <v>0.39336135143781786</v>
      </c>
      <c r="N98">
        <v>0.9999999999999738</v>
      </c>
    </row>
    <row r="99" spans="1:14">
      <c r="A99" s="52">
        <f t="shared" si="6"/>
        <v>-1.0405894790094568E-3</v>
      </c>
      <c r="B99">
        <v>6.5841281180373341E-3</v>
      </c>
      <c r="C99">
        <v>6.5485434254020335E-3</v>
      </c>
      <c r="D99">
        <v>1.4243753929466039E-3</v>
      </c>
      <c r="E99">
        <v>4.821312907730713E-3</v>
      </c>
      <c r="F99">
        <v>9.2501788579011229E-3</v>
      </c>
      <c r="G99">
        <v>4.2677740813544448E-4</v>
      </c>
      <c r="H99">
        <v>-2.0102636063782341E-2</v>
      </c>
      <c r="I99">
        <v>4.485745093426622E-2</v>
      </c>
      <c r="J99">
        <v>7.0312705227654926E-2</v>
      </c>
      <c r="K99">
        <v>1</v>
      </c>
      <c r="L99">
        <v>-0.1600850379581466</v>
      </c>
      <c r="M99">
        <v>0.13690748736281186</v>
      </c>
      <c r="N99">
        <v>0.99999999999996847</v>
      </c>
    </row>
    <row r="102" spans="1:14">
      <c r="G102">
        <v>0.92760144726432603</v>
      </c>
      <c r="H102">
        <v>2.8035165451980038E-2</v>
      </c>
      <c r="I102">
        <v>1.9105604003524457E-2</v>
      </c>
      <c r="J102">
        <v>1.5760183647361092E-2</v>
      </c>
      <c r="K102">
        <v>5.6965069918489819E-3</v>
      </c>
      <c r="L102">
        <v>2.4915953578547034E-3</v>
      </c>
      <c r="M102">
        <v>1.3094972831024787E-3</v>
      </c>
      <c r="N102">
        <v>0</v>
      </c>
    </row>
    <row r="103" spans="1:14">
      <c r="A103" s="52">
        <f>B103-B92</f>
        <v>8.5371666540157154E-4</v>
      </c>
      <c r="B103">
        <v>0.66765118047510918</v>
      </c>
      <c r="C103">
        <v>1.0013780214724361E-2</v>
      </c>
      <c r="D103">
        <v>0.66036117098084324</v>
      </c>
      <c r="E103">
        <v>0.66715444995450324</v>
      </c>
      <c r="F103">
        <v>0.67483041200259652</v>
      </c>
      <c r="G103">
        <v>-1.0247992866858522E-2</v>
      </c>
      <c r="H103">
        <v>1</v>
      </c>
      <c r="I103">
        <v>-3.4736003440213256E-2</v>
      </c>
      <c r="J103">
        <v>-0.25124560192715883</v>
      </c>
      <c r="K103">
        <v>-0.21536028313788405</v>
      </c>
      <c r="L103">
        <v>0.15896772899236256</v>
      </c>
      <c r="M103">
        <v>1</v>
      </c>
      <c r="N103">
        <v>0.99999999999997025</v>
      </c>
    </row>
    <row r="104" spans="1:14">
      <c r="A104" s="52">
        <f t="shared" ref="A104:A110" si="7">B104-B93</f>
        <v>-5.3433570885740023E-4</v>
      </c>
      <c r="B104">
        <v>1.2316400522307182E-2</v>
      </c>
      <c r="C104">
        <v>1.1218724702692343E-2</v>
      </c>
      <c r="D104">
        <v>3.8774712899412823E-3</v>
      </c>
      <c r="E104">
        <v>9.282810493202176E-3</v>
      </c>
      <c r="F104">
        <v>1.6943977272672467E-2</v>
      </c>
      <c r="G104">
        <v>1.3079747496511883E-2</v>
      </c>
      <c r="H104">
        <v>-0.67069127844039256</v>
      </c>
      <c r="I104">
        <v>1</v>
      </c>
      <c r="J104">
        <v>-0.1682648915129592</v>
      </c>
      <c r="K104">
        <v>-0.18039265649263966</v>
      </c>
      <c r="L104">
        <v>-3.9940839150652468E-2</v>
      </c>
      <c r="M104">
        <v>0.37374194838777292</v>
      </c>
      <c r="N104">
        <v>0.99999999999997402</v>
      </c>
    </row>
    <row r="105" spans="1:14">
      <c r="A105" s="52">
        <f t="shared" si="7"/>
        <v>-6.9604621957038322E-4</v>
      </c>
      <c r="B105">
        <v>1.0650196350221497E-2</v>
      </c>
      <c r="C105">
        <v>9.8230753512392379E-3</v>
      </c>
      <c r="D105">
        <v>2.9008035786027716E-3</v>
      </c>
      <c r="E105">
        <v>8.0702640224263565E-3</v>
      </c>
      <c r="F105">
        <v>1.568057500199864E-2</v>
      </c>
      <c r="G105">
        <v>-1.5347559841836945E-3</v>
      </c>
      <c r="H105">
        <v>-8.4544843729982888E-2</v>
      </c>
      <c r="I105">
        <v>-0.12472082475463517</v>
      </c>
      <c r="J105">
        <v>1</v>
      </c>
      <c r="K105">
        <v>-0.14182591441265052</v>
      </c>
      <c r="L105">
        <v>-7.6665591398233895E-2</v>
      </c>
      <c r="M105">
        <v>0.2913853216321266</v>
      </c>
      <c r="N105">
        <v>0.99999999999998257</v>
      </c>
    </row>
    <row r="106" spans="1:14">
      <c r="A106" s="52">
        <f t="shared" si="7"/>
        <v>-6.2942058067663731E-4</v>
      </c>
      <c r="B106">
        <v>0.17722197789919703</v>
      </c>
      <c r="C106">
        <v>5.8429188210684213E-2</v>
      </c>
      <c r="D106">
        <v>0.13420664999852475</v>
      </c>
      <c r="E106">
        <v>0.17801299974576593</v>
      </c>
      <c r="F106">
        <v>0.22639655046144852</v>
      </c>
      <c r="G106">
        <v>1</v>
      </c>
      <c r="H106">
        <v>0.27701856312441986</v>
      </c>
      <c r="I106">
        <v>-1.9161765302780583E-2</v>
      </c>
      <c r="J106">
        <v>-0.1061599909777648</v>
      </c>
      <c r="K106">
        <v>-0.18059229423332265</v>
      </c>
      <c r="L106">
        <v>-0.40004275820283197</v>
      </c>
      <c r="M106">
        <v>-0.75190506533754653</v>
      </c>
      <c r="N106">
        <v>0.99999999999999944</v>
      </c>
    </row>
    <row r="107" spans="1:14">
      <c r="A107" s="52">
        <f t="shared" si="7"/>
        <v>1.9443484586095655E-3</v>
      </c>
      <c r="B107">
        <v>0.10930120135970697</v>
      </c>
      <c r="C107">
        <v>5.8116230540794622E-2</v>
      </c>
      <c r="D107">
        <v>6.3810486937088795E-2</v>
      </c>
      <c r="E107">
        <v>0.10870632637070671</v>
      </c>
      <c r="F107">
        <v>0.15097822955775222</v>
      </c>
      <c r="G107">
        <v>-0.99470056695549269</v>
      </c>
      <c r="H107">
        <v>0.26497561552546189</v>
      </c>
      <c r="I107">
        <v>-1.071515909744949E-4</v>
      </c>
      <c r="J107">
        <v>-0.10575515055016628</v>
      </c>
      <c r="K107">
        <v>-0.17922934136001334</v>
      </c>
      <c r="L107">
        <v>-0.40567485517588925</v>
      </c>
      <c r="M107">
        <v>-0.7630272255459557</v>
      </c>
      <c r="N107">
        <v>1</v>
      </c>
    </row>
    <row r="108" spans="1:14">
      <c r="A108" s="52">
        <f t="shared" si="7"/>
        <v>-1.0692012506950069E-4</v>
      </c>
      <c r="B108">
        <v>3.2667487711065747E-3</v>
      </c>
      <c r="C108">
        <v>3.8247401017633036E-3</v>
      </c>
      <c r="D108">
        <v>4.499519831690822E-4</v>
      </c>
      <c r="E108">
        <v>1.9695109793797334E-3</v>
      </c>
      <c r="F108">
        <v>4.794627688078334E-3</v>
      </c>
      <c r="G108">
        <v>-1.5412606240581997E-3</v>
      </c>
      <c r="H108">
        <v>-8.222476314859754E-3</v>
      </c>
      <c r="I108">
        <v>-1.1468245676046184E-2</v>
      </c>
      <c r="J108">
        <v>7.4711151182479322E-4</v>
      </c>
      <c r="K108">
        <v>4.6513051478622655E-2</v>
      </c>
      <c r="L108">
        <v>1</v>
      </c>
      <c r="M108">
        <v>-0.68504316050070724</v>
      </c>
      <c r="N108">
        <v>0.99999999999999944</v>
      </c>
    </row>
    <row r="109" spans="1:14">
      <c r="A109" s="52">
        <f t="shared" si="7"/>
        <v>-2.5620885171662687E-4</v>
      </c>
      <c r="B109">
        <v>1.358330014243442E-2</v>
      </c>
      <c r="C109">
        <v>1.1436668053797117E-2</v>
      </c>
      <c r="D109">
        <v>4.1915487852009457E-3</v>
      </c>
      <c r="E109">
        <v>1.1041702499966739E-2</v>
      </c>
      <c r="F109">
        <v>2.0026291141060699E-2</v>
      </c>
      <c r="G109">
        <v>-6.4175072085134602E-3</v>
      </c>
      <c r="H109">
        <v>-0.83439929153794357</v>
      </c>
      <c r="I109">
        <v>-0.83724001316932239</v>
      </c>
      <c r="J109">
        <v>-0.33810827274373867</v>
      </c>
      <c r="K109">
        <v>-0.14911256184211552</v>
      </c>
      <c r="L109">
        <v>-5.3375354575925876E-2</v>
      </c>
      <c r="M109">
        <v>0.39284514041286156</v>
      </c>
      <c r="N109">
        <v>0.99999999999998201</v>
      </c>
    </row>
    <row r="110" spans="1:14">
      <c r="A110" s="52">
        <f t="shared" si="7"/>
        <v>-5.751336381205549E-4</v>
      </c>
      <c r="B110">
        <v>6.0089944799167792E-3</v>
      </c>
      <c r="C110">
        <v>5.9928590787308765E-3</v>
      </c>
      <c r="D110">
        <v>1.2577103454656819E-3</v>
      </c>
      <c r="E110">
        <v>4.3809826288199322E-3</v>
      </c>
      <c r="F110">
        <v>8.7261766717904535E-3</v>
      </c>
      <c r="G110">
        <v>1.3623361425950165E-3</v>
      </c>
      <c r="H110">
        <v>5.5863711373293636E-2</v>
      </c>
      <c r="I110">
        <v>2.7434003933980225E-2</v>
      </c>
      <c r="J110">
        <v>-3.1213203800038326E-2</v>
      </c>
      <c r="K110">
        <v>1</v>
      </c>
      <c r="L110">
        <v>-0.18326833048883026</v>
      </c>
      <c r="M110">
        <v>0.14200304095150132</v>
      </c>
      <c r="N110">
        <v>0.99999999999998801</v>
      </c>
    </row>
    <row r="113" spans="1:14">
      <c r="G113">
        <v>0.92968285760062186</v>
      </c>
      <c r="H113">
        <v>2.6605227257478936E-2</v>
      </c>
      <c r="I113">
        <v>1.9592574668521157E-2</v>
      </c>
      <c r="J113">
        <v>1.4230269334552847E-2</v>
      </c>
      <c r="K113">
        <v>6.1931881743767514E-3</v>
      </c>
      <c r="L113">
        <v>2.3194161852316819E-3</v>
      </c>
      <c r="M113">
        <v>1.3764667792169893E-3</v>
      </c>
      <c r="N113">
        <v>-2.2204460492503131E-16</v>
      </c>
    </row>
    <row r="114" spans="1:14">
      <c r="A114" s="52">
        <f>B114-B103</f>
        <v>3.8630070910528058E-4</v>
      </c>
      <c r="B114">
        <v>0.66803748118421447</v>
      </c>
      <c r="C114">
        <v>1.0319426627623902E-2</v>
      </c>
      <c r="D114">
        <v>0.66095507708912715</v>
      </c>
      <c r="E114">
        <v>0.66849830167497504</v>
      </c>
      <c r="F114">
        <v>0.67506969978441744</v>
      </c>
      <c r="G114">
        <v>-1.7076714847202138E-2</v>
      </c>
      <c r="H114">
        <v>1</v>
      </c>
      <c r="I114">
        <v>3.7026139954617183E-2</v>
      </c>
      <c r="J114">
        <v>-0.17886888506638496</v>
      </c>
      <c r="K114">
        <v>-0.12654007177161258</v>
      </c>
      <c r="L114">
        <v>0.23254722197310185</v>
      </c>
      <c r="M114">
        <v>1</v>
      </c>
      <c r="N114">
        <v>1</v>
      </c>
    </row>
    <row r="115" spans="1:14">
      <c r="A115" s="52">
        <f t="shared" ref="A115:A121" si="8">B115-B104</f>
        <v>1.1275259599131133E-3</v>
      </c>
      <c r="B115">
        <v>1.3443926482220295E-2</v>
      </c>
      <c r="C115">
        <v>1.1289670295024404E-2</v>
      </c>
      <c r="D115">
        <v>4.5510917065237771E-3</v>
      </c>
      <c r="E115">
        <v>1.0906657860328696E-2</v>
      </c>
      <c r="F115">
        <v>1.9490968632776821E-2</v>
      </c>
      <c r="G115">
        <v>9.4354660138544957E-3</v>
      </c>
      <c r="H115">
        <v>-0.63700641278255843</v>
      </c>
      <c r="I115">
        <v>-0.91690821782652077</v>
      </c>
      <c r="J115">
        <v>-0.48113778260099305</v>
      </c>
      <c r="K115">
        <v>-0.12835795002867295</v>
      </c>
      <c r="L115">
        <v>-2.9923492207702698E-2</v>
      </c>
      <c r="M115">
        <v>0.38316364696371524</v>
      </c>
      <c r="N115">
        <v>0.99999999999997313</v>
      </c>
    </row>
    <row r="116" spans="1:14">
      <c r="A116" s="52">
        <f t="shared" si="8"/>
        <v>-3.6438459456722069E-4</v>
      </c>
      <c r="B116">
        <v>1.0285811755654276E-2</v>
      </c>
      <c r="C116">
        <v>9.6849958400965427E-3</v>
      </c>
      <c r="D116">
        <v>3.0537083215634309E-3</v>
      </c>
      <c r="E116">
        <v>7.561130180149562E-3</v>
      </c>
      <c r="F116">
        <v>1.4856564826631058E-2</v>
      </c>
      <c r="G116">
        <v>9.2739934304338009E-3</v>
      </c>
      <c r="H116">
        <v>-0.23785765762112343</v>
      </c>
      <c r="I116">
        <v>-0.20763589662895238</v>
      </c>
      <c r="J116">
        <v>1</v>
      </c>
      <c r="K116">
        <v>-0.1929171447071765</v>
      </c>
      <c r="L116">
        <v>-3.7532220402420068E-2</v>
      </c>
      <c r="M116">
        <v>0.35013088695502687</v>
      </c>
      <c r="N116">
        <v>0.99999999999997335</v>
      </c>
    </row>
    <row r="117" spans="1:14">
      <c r="A117" s="52">
        <f t="shared" si="8"/>
        <v>-4.3228740560918855E-3</v>
      </c>
      <c r="B117">
        <v>0.17289910384310514</v>
      </c>
      <c r="C117">
        <v>6.0245361848338307E-2</v>
      </c>
      <c r="D117">
        <v>0.12906847358021128</v>
      </c>
      <c r="E117">
        <v>0.17428080411152941</v>
      </c>
      <c r="F117">
        <v>0.21690194035904364</v>
      </c>
      <c r="G117">
        <v>1</v>
      </c>
      <c r="H117">
        <v>0.28344103714298291</v>
      </c>
      <c r="I117">
        <v>4.5568275213019836E-2</v>
      </c>
      <c r="J117">
        <v>-8.3189023933174192E-2</v>
      </c>
      <c r="K117">
        <v>-0.23094058085023078</v>
      </c>
      <c r="L117">
        <v>-0.45148246364203459</v>
      </c>
      <c r="M117">
        <v>-0.68155682000108297</v>
      </c>
      <c r="N117">
        <v>0.99999999999992806</v>
      </c>
    </row>
    <row r="118" spans="1:14">
      <c r="A118" s="52">
        <f t="shared" si="8"/>
        <v>3.7538313433752024E-3</v>
      </c>
      <c r="B118">
        <v>0.11305503270308218</v>
      </c>
      <c r="C118">
        <v>5.9627655435256617E-2</v>
      </c>
      <c r="D118">
        <v>6.820496090310374E-2</v>
      </c>
      <c r="E118">
        <v>0.11189052636733027</v>
      </c>
      <c r="F118">
        <v>0.15516442465232297</v>
      </c>
      <c r="G118">
        <v>-0.98983015160060006</v>
      </c>
      <c r="H118">
        <v>0.26606269110508951</v>
      </c>
      <c r="I118">
        <v>2.7164916801770439E-2</v>
      </c>
      <c r="J118">
        <v>-7.4481300618182783E-2</v>
      </c>
      <c r="K118">
        <v>-0.23263778418854353</v>
      </c>
      <c r="L118">
        <v>-0.46596024476042119</v>
      </c>
      <c r="M118">
        <v>-0.69799955750899423</v>
      </c>
      <c r="N118">
        <v>0.99999999999992728</v>
      </c>
    </row>
    <row r="119" spans="1:14">
      <c r="A119" s="52">
        <f t="shared" si="8"/>
        <v>1.5989441453500165E-5</v>
      </c>
      <c r="B119">
        <v>3.2827382125600749E-3</v>
      </c>
      <c r="C119">
        <v>3.7869149094216241E-3</v>
      </c>
      <c r="D119">
        <v>5.3467134293218354E-4</v>
      </c>
      <c r="E119">
        <v>1.9270697725850493E-3</v>
      </c>
      <c r="F119">
        <v>4.5613049828956698E-3</v>
      </c>
      <c r="G119">
        <v>-4.7511004039363239E-3</v>
      </c>
      <c r="H119">
        <v>1.2711960235356664E-2</v>
      </c>
      <c r="I119">
        <v>-2.8295654655071157E-2</v>
      </c>
      <c r="J119">
        <v>7.9233512364712249E-3</v>
      </c>
      <c r="K119">
        <v>8.8198867117708468E-2</v>
      </c>
      <c r="L119">
        <v>1</v>
      </c>
      <c r="M119">
        <v>-0.83375698632037198</v>
      </c>
      <c r="N119">
        <v>0.99999999999996381</v>
      </c>
    </row>
    <row r="120" spans="1:14">
      <c r="A120" s="52">
        <f t="shared" si="8"/>
        <v>-1.0615582293996683E-3</v>
      </c>
      <c r="B120">
        <v>1.2521741913034751E-2</v>
      </c>
      <c r="C120">
        <v>1.1515737204339759E-2</v>
      </c>
      <c r="D120">
        <v>3.9139395025542161E-3</v>
      </c>
      <c r="E120">
        <v>9.309886595459109E-3</v>
      </c>
      <c r="F120">
        <v>1.822813260257488E-2</v>
      </c>
      <c r="G120">
        <v>-7.6296073263333129E-3</v>
      </c>
      <c r="H120">
        <v>-0.69040571113558902</v>
      </c>
      <c r="I120">
        <v>1</v>
      </c>
      <c r="J120">
        <v>-0.22224053372283165</v>
      </c>
      <c r="K120">
        <v>-0.17680533557148095</v>
      </c>
      <c r="L120">
        <v>2.9631606107292405E-2</v>
      </c>
      <c r="M120">
        <v>0.41042827473462179</v>
      </c>
      <c r="N120">
        <v>0.99999999999997669</v>
      </c>
    </row>
    <row r="121" spans="1:14">
      <c r="A121" s="52">
        <f t="shared" si="8"/>
        <v>4.6516942621195427E-4</v>
      </c>
      <c r="B121">
        <v>6.4741639061287335E-3</v>
      </c>
      <c r="C121">
        <v>6.3517501389802559E-3</v>
      </c>
      <c r="D121">
        <v>1.6126126293806438E-3</v>
      </c>
      <c r="E121">
        <v>4.7055130601016074E-3</v>
      </c>
      <c r="F121">
        <v>9.788475902052729E-3</v>
      </c>
      <c r="G121">
        <v>5.7811473378342314E-4</v>
      </c>
      <c r="H121">
        <v>3.0540930558429517E-3</v>
      </c>
      <c r="I121">
        <v>4.3080437141135332E-2</v>
      </c>
      <c r="J121">
        <v>3.1994174705094428E-2</v>
      </c>
      <c r="K121">
        <v>1</v>
      </c>
      <c r="L121">
        <v>-0.27728040706785712</v>
      </c>
      <c r="M121">
        <v>6.959055517698802E-2</v>
      </c>
      <c r="N121">
        <v>0.99999999999996603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Y20"/>
  <sheetViews>
    <sheetView workbookViewId="0">
      <selection activeCell="S28" sqref="S28"/>
    </sheetView>
  </sheetViews>
  <sheetFormatPr defaultRowHeight="15"/>
  <cols>
    <col min="1" max="1" width="18.140625" bestFit="1" customWidth="1"/>
  </cols>
  <sheetData>
    <row r="1" spans="1:25" ht="15.75" thickBot="1">
      <c r="B1" s="369" t="s">
        <v>153</v>
      </c>
      <c r="C1" s="369" t="s">
        <v>154</v>
      </c>
      <c r="D1" s="369" t="s">
        <v>155</v>
      </c>
      <c r="E1" s="369" t="s">
        <v>156</v>
      </c>
      <c r="F1" s="369" t="s">
        <v>157</v>
      </c>
      <c r="G1" s="369" t="s">
        <v>158</v>
      </c>
      <c r="H1" s="369" t="s">
        <v>159</v>
      </c>
      <c r="I1" s="369" t="s">
        <v>160</v>
      </c>
      <c r="J1" s="369" t="s">
        <v>161</v>
      </c>
      <c r="K1" s="369" t="s">
        <v>162</v>
      </c>
      <c r="L1" s="369" t="s">
        <v>163</v>
      </c>
      <c r="O1" s="369" t="s">
        <v>153</v>
      </c>
      <c r="P1" s="369" t="s">
        <v>154</v>
      </c>
      <c r="Q1" s="369" t="s">
        <v>155</v>
      </c>
      <c r="R1" s="369" t="s">
        <v>156</v>
      </c>
      <c r="S1" s="369" t="s">
        <v>157</v>
      </c>
      <c r="T1" s="369" t="s">
        <v>158</v>
      </c>
      <c r="U1" s="369" t="s">
        <v>159</v>
      </c>
      <c r="V1" s="369" t="s">
        <v>160</v>
      </c>
      <c r="W1" s="369" t="s">
        <v>161</v>
      </c>
      <c r="X1" s="369" t="s">
        <v>162</v>
      </c>
      <c r="Y1" s="369" t="s">
        <v>163</v>
      </c>
    </row>
    <row r="2" spans="1:25">
      <c r="A2" s="372" t="s">
        <v>4</v>
      </c>
      <c r="B2" s="372">
        <v>-3.4179872754884488E-3</v>
      </c>
      <c r="C2" s="372">
        <v>-3.4179872754884488E-3</v>
      </c>
      <c r="D2" s="372">
        <v>-3.4179872754884488E-3</v>
      </c>
      <c r="E2" s="372">
        <v>-3.4179872754884488E-3</v>
      </c>
      <c r="F2" s="372">
        <v>-3.4179872754884488E-3</v>
      </c>
      <c r="G2" s="372">
        <v>-3.4179872754884488E-3</v>
      </c>
      <c r="H2" s="372">
        <v>-3.4179872754884488E-3</v>
      </c>
      <c r="I2" s="372">
        <v>-3.4179872754884488E-3</v>
      </c>
      <c r="J2" s="372">
        <v>-3.4179872754884488E-3</v>
      </c>
      <c r="K2" s="372">
        <v>-3.4179872754884488E-3</v>
      </c>
      <c r="L2" s="372">
        <v>-3.4179872754884488E-3</v>
      </c>
      <c r="N2" s="372" t="s">
        <v>4</v>
      </c>
      <c r="O2" s="372">
        <v>-3.4179872754884488E-3</v>
      </c>
      <c r="P2" s="372">
        <v>-3.4179872754884488E-3</v>
      </c>
      <c r="Q2" s="372">
        <v>-3.4179872754884488E-3</v>
      </c>
      <c r="R2" s="372">
        <v>-3.4179872754884488E-3</v>
      </c>
      <c r="S2" s="372">
        <v>-3.4179872754884488E-3</v>
      </c>
      <c r="T2" s="372">
        <v>-3.4179872754884488E-3</v>
      </c>
      <c r="U2" s="372">
        <v>-3.4179872754884488E-3</v>
      </c>
      <c r="V2" s="372">
        <v>-3.4179872754884488E-3</v>
      </c>
      <c r="W2" s="372">
        <v>-3.4179872754884488E-3</v>
      </c>
      <c r="X2" s="372">
        <v>-3.4179872754884488E-3</v>
      </c>
      <c r="Y2" s="372">
        <v>-3.4179872754884488E-3</v>
      </c>
    </row>
    <row r="3" spans="1:25">
      <c r="A3" s="373" t="s">
        <v>5</v>
      </c>
      <c r="B3" s="373">
        <v>5.1526244290784291E-2</v>
      </c>
      <c r="C3" s="373">
        <v>5.1526244290784291E-2</v>
      </c>
      <c r="D3" s="373">
        <v>5.1526244290784291E-2</v>
      </c>
      <c r="E3" s="373">
        <v>5.1526244290784291E-2</v>
      </c>
      <c r="F3" s="373">
        <v>5.1526244290784291E-2</v>
      </c>
      <c r="G3" s="373">
        <v>5.1526244290784291E-2</v>
      </c>
      <c r="H3" s="373">
        <v>5.1526244290784291E-2</v>
      </c>
      <c r="I3" s="373">
        <v>5.1526244290784291E-2</v>
      </c>
      <c r="J3" s="373">
        <v>5.1526244290784291E-2</v>
      </c>
      <c r="K3" s="373">
        <v>5.1526244290784291E-2</v>
      </c>
      <c r="L3" s="373">
        <v>5.1526244290784291E-2</v>
      </c>
      <c r="N3" s="373" t="s">
        <v>5</v>
      </c>
      <c r="O3" s="373">
        <v>5.1526244290784291E-2</v>
      </c>
      <c r="P3" s="373">
        <v>5.1526244290784291E-2</v>
      </c>
      <c r="Q3" s="373">
        <v>5.1526244290784291E-2</v>
      </c>
      <c r="R3" s="373">
        <v>5.1526244290784291E-2</v>
      </c>
      <c r="S3" s="373">
        <v>5.1526244290784291E-2</v>
      </c>
      <c r="T3" s="373">
        <v>5.1526244290784291E-2</v>
      </c>
      <c r="U3" s="373">
        <v>5.1526244290784291E-2</v>
      </c>
      <c r="V3" s="373">
        <v>5.1526244290784291E-2</v>
      </c>
      <c r="W3" s="373">
        <v>5.1526244290784291E-2</v>
      </c>
      <c r="X3" s="373">
        <v>5.1526244290784291E-2</v>
      </c>
      <c r="Y3" s="373">
        <v>5.1526244290784291E-2</v>
      </c>
    </row>
    <row r="4" spans="1:25">
      <c r="A4" s="373" t="s">
        <v>6</v>
      </c>
      <c r="B4" s="373">
        <v>3.2357333960853253E-3</v>
      </c>
      <c r="C4" s="373">
        <v>3.2357333960853253E-3</v>
      </c>
      <c r="D4" s="373">
        <v>3.2357333960853253E-3</v>
      </c>
      <c r="E4" s="373">
        <v>3.2357333960853253E-3</v>
      </c>
      <c r="F4" s="373">
        <v>3.2357333960853253E-3</v>
      </c>
      <c r="G4" s="373">
        <v>3.2357333960853253E-3</v>
      </c>
      <c r="H4" s="373">
        <v>3.2357333960853253E-3</v>
      </c>
      <c r="I4" s="373">
        <v>3.2357333960853253E-3</v>
      </c>
      <c r="J4" s="373">
        <v>3.2357333960853253E-3</v>
      </c>
      <c r="K4" s="373">
        <v>3.2357333960853253E-3</v>
      </c>
      <c r="L4" s="373">
        <v>3.2357333960853253E-3</v>
      </c>
      <c r="N4" s="373" t="s">
        <v>6</v>
      </c>
      <c r="O4" s="373">
        <v>3.2357333960853253E-3</v>
      </c>
      <c r="P4" s="373">
        <v>3.2357333960853253E-3</v>
      </c>
      <c r="Q4" s="373">
        <v>3.2357333960853253E-3</v>
      </c>
      <c r="R4" s="373">
        <v>3.2357333960853253E-3</v>
      </c>
      <c r="S4" s="373">
        <v>3.2357333960853253E-3</v>
      </c>
      <c r="T4" s="373">
        <v>3.2357333960853253E-3</v>
      </c>
      <c r="U4" s="373">
        <v>3.2357333960853253E-3</v>
      </c>
      <c r="V4" s="373">
        <v>3.2357333960853253E-3</v>
      </c>
      <c r="W4" s="373">
        <v>3.2357333960853253E-3</v>
      </c>
      <c r="X4" s="373">
        <v>3.2357333960853253E-3</v>
      </c>
      <c r="Y4" s="373">
        <v>3.2357333960853253E-3</v>
      </c>
    </row>
    <row r="5" spans="1:25">
      <c r="A5" s="373" t="s">
        <v>7</v>
      </c>
      <c r="B5" s="373">
        <v>0</v>
      </c>
      <c r="C5" s="373">
        <v>0.01</v>
      </c>
      <c r="D5" s="373">
        <v>0.02</v>
      </c>
      <c r="E5" s="373">
        <v>0.03</v>
      </c>
      <c r="F5" s="373">
        <v>0.04</v>
      </c>
      <c r="G5" s="373">
        <v>0.05</v>
      </c>
      <c r="H5" s="373">
        <v>0.06</v>
      </c>
      <c r="I5" s="373">
        <v>7.0000000000000007E-2</v>
      </c>
      <c r="J5" s="373">
        <v>0.08</v>
      </c>
      <c r="K5" s="373">
        <v>0.09</v>
      </c>
      <c r="L5" s="373">
        <v>0.1</v>
      </c>
      <c r="N5" s="373" t="s">
        <v>7</v>
      </c>
      <c r="O5" s="373">
        <v>0.1</v>
      </c>
      <c r="P5" s="373">
        <v>0.11</v>
      </c>
      <c r="Q5" s="373">
        <v>0.12000000000000001</v>
      </c>
      <c r="R5" s="373">
        <v>0.13</v>
      </c>
      <c r="S5" s="373">
        <v>0.14000000000000001</v>
      </c>
      <c r="T5" s="373">
        <v>0.15</v>
      </c>
      <c r="U5" s="373">
        <v>0.16</v>
      </c>
      <c r="V5" s="373">
        <v>0.17</v>
      </c>
      <c r="W5" s="373">
        <v>0.18</v>
      </c>
      <c r="X5" s="373">
        <v>0.19</v>
      </c>
      <c r="Y5" s="373">
        <v>0.2</v>
      </c>
    </row>
    <row r="6" spans="1:25">
      <c r="A6" s="373" t="s">
        <v>8</v>
      </c>
      <c r="B6" s="373">
        <v>0</v>
      </c>
      <c r="C6" s="373">
        <v>0.01</v>
      </c>
      <c r="D6" s="373">
        <v>0.02</v>
      </c>
      <c r="E6" s="373">
        <v>0.03</v>
      </c>
      <c r="F6" s="373">
        <v>0.04</v>
      </c>
      <c r="G6" s="373">
        <v>0.05</v>
      </c>
      <c r="H6" s="373">
        <v>0.06</v>
      </c>
      <c r="I6" s="373">
        <v>7.0000000000000007E-2</v>
      </c>
      <c r="J6" s="373">
        <v>0.08</v>
      </c>
      <c r="K6" s="373">
        <v>0.09</v>
      </c>
      <c r="L6" s="373">
        <v>0.1</v>
      </c>
      <c r="N6" s="373" t="s">
        <v>8</v>
      </c>
      <c r="O6" s="373">
        <v>0.1</v>
      </c>
      <c r="P6" s="373">
        <v>0.11</v>
      </c>
      <c r="Q6" s="373">
        <v>0.12000000000000001</v>
      </c>
      <c r="R6" s="373">
        <v>0.13</v>
      </c>
      <c r="S6" s="373">
        <v>0.14000000000000001</v>
      </c>
      <c r="T6" s="373">
        <v>0.15</v>
      </c>
      <c r="U6" s="373">
        <v>0.16</v>
      </c>
      <c r="V6" s="373">
        <v>0.17</v>
      </c>
      <c r="W6" s="373">
        <v>0.18</v>
      </c>
      <c r="X6" s="373">
        <v>0.19</v>
      </c>
      <c r="Y6" s="373">
        <v>0.2</v>
      </c>
    </row>
    <row r="7" spans="1:25">
      <c r="A7" s="373" t="s">
        <v>9</v>
      </c>
      <c r="B7" s="373">
        <v>8.5249207175964209E-2</v>
      </c>
      <c r="C7" s="373">
        <v>8.5249207175964209E-2</v>
      </c>
      <c r="D7" s="373">
        <v>8.5249207175964209E-2</v>
      </c>
      <c r="E7" s="373">
        <v>8.5249207175964209E-2</v>
      </c>
      <c r="F7" s="373">
        <v>8.5249207175964209E-2</v>
      </c>
      <c r="G7" s="373">
        <v>8.5249207175964209E-2</v>
      </c>
      <c r="H7" s="373">
        <v>8.5249207175964209E-2</v>
      </c>
      <c r="I7" s="373">
        <v>8.5249207175964209E-2</v>
      </c>
      <c r="J7" s="373">
        <v>8.5249207175964209E-2</v>
      </c>
      <c r="K7" s="373">
        <v>8.5249207175964209E-2</v>
      </c>
      <c r="L7" s="373">
        <v>8.5249207175964209E-2</v>
      </c>
      <c r="N7" s="373" t="s">
        <v>9</v>
      </c>
      <c r="O7" s="373">
        <v>8.5249207175964209E-2</v>
      </c>
      <c r="P7" s="373">
        <v>8.5249207175964209E-2</v>
      </c>
      <c r="Q7" s="373">
        <v>8.5249207175964209E-2</v>
      </c>
      <c r="R7" s="373">
        <v>8.5249207175964209E-2</v>
      </c>
      <c r="S7" s="373">
        <v>8.5249207175964209E-2</v>
      </c>
      <c r="T7" s="373">
        <v>8.5249207175964209E-2</v>
      </c>
      <c r="U7" s="373">
        <v>8.5249207175964209E-2</v>
      </c>
      <c r="V7" s="373">
        <v>8.5249207175964209E-2</v>
      </c>
      <c r="W7" s="373">
        <v>8.5249207175964209E-2</v>
      </c>
      <c r="X7" s="373">
        <v>8.5249207175964209E-2</v>
      </c>
      <c r="Y7" s="373">
        <v>8.5249207175964209E-2</v>
      </c>
    </row>
    <row r="8" spans="1:25">
      <c r="A8" s="373" t="s">
        <v>10</v>
      </c>
      <c r="B8" s="373">
        <v>1.8099625028703631E-2</v>
      </c>
      <c r="C8" s="373">
        <v>1.8099625028703631E-2</v>
      </c>
      <c r="D8" s="373">
        <v>1.8099625028703631E-2</v>
      </c>
      <c r="E8" s="373">
        <v>1.8099625028703631E-2</v>
      </c>
      <c r="F8" s="373">
        <v>1.8099625028703631E-2</v>
      </c>
      <c r="G8" s="373">
        <v>1.8099625028703631E-2</v>
      </c>
      <c r="H8" s="373">
        <v>1.8099625028703631E-2</v>
      </c>
      <c r="I8" s="373">
        <v>1.8099625028703631E-2</v>
      </c>
      <c r="J8" s="373">
        <v>1.8099625028703631E-2</v>
      </c>
      <c r="K8" s="373">
        <v>1.8099625028703631E-2</v>
      </c>
      <c r="L8" s="373">
        <v>1.8099625028703631E-2</v>
      </c>
      <c r="N8" s="373" t="s">
        <v>10</v>
      </c>
      <c r="O8" s="373">
        <v>1.8099625028703631E-2</v>
      </c>
      <c r="P8" s="373">
        <v>1.8099625028703631E-2</v>
      </c>
      <c r="Q8" s="373">
        <v>1.8099625028703631E-2</v>
      </c>
      <c r="R8" s="373">
        <v>1.8099625028703631E-2</v>
      </c>
      <c r="S8" s="373">
        <v>1.8099625028703631E-2</v>
      </c>
      <c r="T8" s="373">
        <v>1.8099625028703631E-2</v>
      </c>
      <c r="U8" s="373">
        <v>1.8099625028703631E-2</v>
      </c>
      <c r="V8" s="373">
        <v>1.8099625028703631E-2</v>
      </c>
      <c r="W8" s="373">
        <v>1.8099625028703631E-2</v>
      </c>
      <c r="X8" s="373">
        <v>1.8099625028703631E-2</v>
      </c>
      <c r="Y8" s="373">
        <v>1.8099625028703631E-2</v>
      </c>
    </row>
    <row r="9" spans="1:25" ht="15.75" thickBot="1">
      <c r="A9" s="375" t="s">
        <v>11</v>
      </c>
      <c r="B9" s="375">
        <v>2.7964399001126676E-2</v>
      </c>
      <c r="C9" s="375">
        <v>2.7964399001126676E-2</v>
      </c>
      <c r="D9" s="375">
        <v>2.7964399001126676E-2</v>
      </c>
      <c r="E9" s="375">
        <v>2.7964399001126676E-2</v>
      </c>
      <c r="F9" s="375">
        <v>2.7964399001126676E-2</v>
      </c>
      <c r="G9" s="375">
        <v>2.7964399001126676E-2</v>
      </c>
      <c r="H9" s="375">
        <v>2.7964399001126676E-2</v>
      </c>
      <c r="I9" s="375">
        <v>2.7964399001126676E-2</v>
      </c>
      <c r="J9" s="375">
        <v>2.7964399001126676E-2</v>
      </c>
      <c r="K9" s="375">
        <v>2.7964399001126676E-2</v>
      </c>
      <c r="L9" s="375">
        <v>2.7964399001126676E-2</v>
      </c>
      <c r="N9" s="375" t="s">
        <v>11</v>
      </c>
      <c r="O9" s="375">
        <v>2.7964399001126676E-2</v>
      </c>
      <c r="P9" s="375">
        <v>2.7964399001126676E-2</v>
      </c>
      <c r="Q9" s="375">
        <v>2.7964399001126676E-2</v>
      </c>
      <c r="R9" s="375">
        <v>2.7964399001126676E-2</v>
      </c>
      <c r="S9" s="375">
        <v>2.7964399001126676E-2</v>
      </c>
      <c r="T9" s="375">
        <v>2.7964399001126676E-2</v>
      </c>
      <c r="U9" s="375">
        <v>2.7964399001126676E-2</v>
      </c>
      <c r="V9" s="375">
        <v>2.7964399001126676E-2</v>
      </c>
      <c r="W9" s="375">
        <v>2.7964399001126676E-2</v>
      </c>
      <c r="X9" s="375">
        <v>2.7964399001126676E-2</v>
      </c>
      <c r="Y9" s="375">
        <v>2.7964399001126676E-2</v>
      </c>
    </row>
    <row r="12" spans="1:25" ht="15.75" thickBot="1"/>
    <row r="13" spans="1:25">
      <c r="A13" s="372" t="s">
        <v>4</v>
      </c>
      <c r="B13" s="72">
        <v>0.4920545709197896</v>
      </c>
      <c r="C13" s="72">
        <v>0.49500337132913025</v>
      </c>
      <c r="D13" s="72">
        <v>0.49166536002042543</v>
      </c>
      <c r="E13" s="72">
        <v>0.49145615756598027</v>
      </c>
      <c r="F13" s="72">
        <v>0.49456118935392468</v>
      </c>
      <c r="G13" s="72">
        <v>0.49604857349113263</v>
      </c>
      <c r="H13" s="72">
        <v>0.50127558511108627</v>
      </c>
      <c r="I13" s="72">
        <v>0.5057513524114825</v>
      </c>
      <c r="J13" s="72">
        <v>0.5177817718725054</v>
      </c>
      <c r="K13" s="72">
        <v>0.54578627902404009</v>
      </c>
      <c r="L13" s="72">
        <v>0.58378522097951235</v>
      </c>
      <c r="N13" s="372"/>
      <c r="O13" s="72">
        <v>0.58378522097951235</v>
      </c>
      <c r="P13" s="72">
        <v>0.61641426984110081</v>
      </c>
      <c r="Q13" s="72">
        <v>0.63575081737044981</v>
      </c>
      <c r="R13" s="72">
        <v>0.64372903514023627</v>
      </c>
      <c r="S13" s="72">
        <v>0.65069017884781299</v>
      </c>
      <c r="T13" s="72">
        <v>0.65700012890510384</v>
      </c>
      <c r="U13" s="72">
        <v>0.65888858324478516</v>
      </c>
      <c r="V13" s="72">
        <v>0.66154614983866089</v>
      </c>
      <c r="W13" s="72">
        <v>0.66406891743254015</v>
      </c>
      <c r="X13" s="72">
        <v>0.66523455580911373</v>
      </c>
      <c r="Y13" s="72">
        <v>0.66686451386689483</v>
      </c>
    </row>
    <row r="14" spans="1:25">
      <c r="A14" s="373" t="s">
        <v>5</v>
      </c>
      <c r="B14" s="72">
        <v>0.37845175472013853</v>
      </c>
      <c r="C14" s="72">
        <v>0.37014778319601893</v>
      </c>
      <c r="D14" s="72">
        <v>0.38037152990652817</v>
      </c>
      <c r="E14" s="72">
        <v>0.37988614023606659</v>
      </c>
      <c r="F14" s="72">
        <v>0.37673379976006943</v>
      </c>
      <c r="G14" s="72">
        <v>0.37167309400605136</v>
      </c>
      <c r="H14" s="72">
        <v>0.35841109535906429</v>
      </c>
      <c r="I14" s="72">
        <v>0.34747799278111702</v>
      </c>
      <c r="J14" s="72">
        <v>0.32088128097051333</v>
      </c>
      <c r="K14" s="72">
        <v>0.2603179437309221</v>
      </c>
      <c r="L14" s="72">
        <v>0.18076531585488717</v>
      </c>
      <c r="N14" s="373"/>
      <c r="O14" s="72">
        <v>0.18076531585488717</v>
      </c>
      <c r="P14" s="72">
        <v>0.11306520173361555</v>
      </c>
      <c r="Q14" s="72">
        <v>7.5713210376084278E-2</v>
      </c>
      <c r="R14" s="72">
        <v>6.0001727002444286E-2</v>
      </c>
      <c r="S14" s="72">
        <v>4.7735789342585287E-2</v>
      </c>
      <c r="T14" s="72">
        <v>3.8026420608856554E-2</v>
      </c>
      <c r="U14" s="72">
        <v>3.3806640016541899E-2</v>
      </c>
      <c r="V14" s="72">
        <v>2.9066376019777102E-2</v>
      </c>
      <c r="W14" s="72">
        <v>2.5914976687679569E-2</v>
      </c>
      <c r="X14" s="72">
        <v>2.3530131104425644E-2</v>
      </c>
      <c r="Y14" s="72">
        <v>2.1590823046951028E-2</v>
      </c>
    </row>
    <row r="15" spans="1:25">
      <c r="A15" s="373" t="s">
        <v>6</v>
      </c>
      <c r="B15" s="72">
        <v>1.0004194336778035E-2</v>
      </c>
      <c r="C15" s="72">
        <v>9.8395566312894905E-3</v>
      </c>
      <c r="D15" s="72">
        <v>1.0189964467853854E-2</v>
      </c>
      <c r="E15" s="72">
        <v>8.8076746675202749E-3</v>
      </c>
      <c r="F15" s="72">
        <v>8.1811947373132861E-3</v>
      </c>
      <c r="G15" s="72">
        <v>8.1723674744332824E-3</v>
      </c>
      <c r="H15" s="72">
        <v>7.5246883298358972E-3</v>
      </c>
      <c r="I15" s="72">
        <v>6.8383315165853834E-3</v>
      </c>
      <c r="J15" s="72">
        <v>5.8993899336424712E-3</v>
      </c>
      <c r="K15" s="72">
        <v>4.9073365945980904E-3</v>
      </c>
      <c r="L15" s="72">
        <v>4.7898992068885196E-3</v>
      </c>
      <c r="N15" s="373"/>
      <c r="O15" s="72">
        <v>4.7898992068885196E-3</v>
      </c>
      <c r="P15" s="72">
        <v>5.350791045775378E-3</v>
      </c>
      <c r="Q15" s="72">
        <v>5.1860924309269528E-3</v>
      </c>
      <c r="R15" s="72">
        <v>6.1413320746168927E-3</v>
      </c>
      <c r="S15" s="72">
        <v>5.8754536346263394E-3</v>
      </c>
      <c r="T15" s="72">
        <v>6.0283630634842761E-3</v>
      </c>
      <c r="U15" s="72">
        <v>6.4059855370222603E-3</v>
      </c>
      <c r="V15" s="72">
        <v>6.2409395038284087E-3</v>
      </c>
      <c r="W15" s="72">
        <v>6.2572961590401108E-3</v>
      </c>
      <c r="X15" s="72">
        <v>6.213491086847091E-3</v>
      </c>
      <c r="Y15" s="72">
        <v>5.7829492115746527E-3</v>
      </c>
    </row>
    <row r="16" spans="1:25">
      <c r="A16" s="373" t="s">
        <v>7</v>
      </c>
      <c r="B16" s="72">
        <v>2.9753369280379753E-3</v>
      </c>
      <c r="C16" s="72">
        <v>3.865459766834015E-3</v>
      </c>
      <c r="D16" s="72">
        <v>4.6086829362406998E-3</v>
      </c>
      <c r="E16" s="72">
        <v>5.9450079675425031E-3</v>
      </c>
      <c r="F16" s="72">
        <v>8.1986703840235872E-3</v>
      </c>
      <c r="G16" s="72">
        <v>1.1183031524162832E-2</v>
      </c>
      <c r="H16" s="72">
        <v>1.796529284736955E-2</v>
      </c>
      <c r="I16" s="72">
        <v>2.7809695359935362E-2</v>
      </c>
      <c r="J16" s="72">
        <v>4.4481005098092857E-2</v>
      </c>
      <c r="K16" s="72">
        <v>7.8668656165586714E-2</v>
      </c>
      <c r="L16" s="72">
        <v>0.11072531541459527</v>
      </c>
      <c r="N16" s="373"/>
      <c r="O16" s="72">
        <v>0.11072531541459527</v>
      </c>
      <c r="P16" s="72">
        <v>0.13878625544734549</v>
      </c>
      <c r="Q16" s="72">
        <v>0.15567798521547394</v>
      </c>
      <c r="R16" s="72">
        <v>0.16226943100194025</v>
      </c>
      <c r="S16" s="72">
        <v>0.16772331640554392</v>
      </c>
      <c r="T16" s="72">
        <v>0.16389804451316786</v>
      </c>
      <c r="U16" s="72">
        <v>0.17393780687581281</v>
      </c>
      <c r="V16" s="72">
        <v>0.17340616746257231</v>
      </c>
      <c r="W16" s="72">
        <v>0.17306609819650834</v>
      </c>
      <c r="X16" s="72">
        <v>0.17012041515033896</v>
      </c>
      <c r="Y16" s="72">
        <v>0.17142247396114857</v>
      </c>
    </row>
    <row r="17" spans="1:25">
      <c r="A17" s="373" t="s">
        <v>8</v>
      </c>
      <c r="B17" s="72">
        <v>2.9319551440876528E-3</v>
      </c>
      <c r="C17" s="72">
        <v>3.6725260880894148E-3</v>
      </c>
      <c r="D17" s="72">
        <v>3.9793672503097392E-3</v>
      </c>
      <c r="E17" s="72">
        <v>5.7094171933167234E-3</v>
      </c>
      <c r="F17" s="72">
        <v>7.2108475836604458E-3</v>
      </c>
      <c r="G17" s="72">
        <v>1.0535919550306784E-2</v>
      </c>
      <c r="H17" s="72">
        <v>1.4946728626615559E-2</v>
      </c>
      <c r="I17" s="72">
        <v>2.287425160648672E-2</v>
      </c>
      <c r="J17" s="72">
        <v>3.5715293721876623E-2</v>
      </c>
      <c r="K17" s="72">
        <v>5.2799811712686245E-2</v>
      </c>
      <c r="L17" s="72">
        <v>7.6831082134674364E-2</v>
      </c>
      <c r="N17" s="373"/>
      <c r="O17" s="72">
        <v>7.6831082134674364E-2</v>
      </c>
      <c r="P17" s="72">
        <v>8.9943450789722032E-2</v>
      </c>
      <c r="Q17" s="72">
        <v>9.4403390454633987E-2</v>
      </c>
      <c r="R17" s="72">
        <v>9.7461036355754649E-2</v>
      </c>
      <c r="S17" s="72">
        <v>0.10037654350764456</v>
      </c>
      <c r="T17" s="72">
        <v>0.1102509188529603</v>
      </c>
      <c r="U17" s="72">
        <v>0.10254273694135256</v>
      </c>
      <c r="V17" s="72">
        <v>0.10615322570774142</v>
      </c>
      <c r="W17" s="72">
        <v>0.10882161639742303</v>
      </c>
      <c r="X17" s="72">
        <v>0.11250916938626331</v>
      </c>
      <c r="Y17" s="72">
        <v>0.11377505469544968</v>
      </c>
    </row>
    <row r="18" spans="1:25">
      <c r="A18" s="373" t="s">
        <v>9</v>
      </c>
      <c r="B18" s="72">
        <v>7.6584287478046492E-2</v>
      </c>
      <c r="C18" s="72">
        <v>8.0841133474605587E-2</v>
      </c>
      <c r="D18" s="72">
        <v>7.4501036877808624E-2</v>
      </c>
      <c r="E18" s="72">
        <v>7.2330940686563039E-2</v>
      </c>
      <c r="F18" s="72">
        <v>7.4036855260022946E-2</v>
      </c>
      <c r="G18" s="72">
        <v>7.2239471623417276E-2</v>
      </c>
      <c r="H18" s="72">
        <v>7.078473513389566E-2</v>
      </c>
      <c r="I18" s="72">
        <v>6.1904313868271083E-2</v>
      </c>
      <c r="J18" s="72">
        <v>5.2380109297068843E-2</v>
      </c>
      <c r="K18" s="72">
        <v>3.9264075177625465E-2</v>
      </c>
      <c r="L18" s="72">
        <v>2.6592277012623691E-2</v>
      </c>
      <c r="N18" s="373"/>
      <c r="O18" s="72">
        <v>2.6592277012623691E-2</v>
      </c>
      <c r="P18" s="72">
        <v>1.8418515058777618E-2</v>
      </c>
      <c r="Q18" s="72">
        <v>1.5032698240190235E-2</v>
      </c>
      <c r="R18" s="72">
        <v>1.2428885774735433E-2</v>
      </c>
      <c r="S18" s="72">
        <v>9.1413270301578912E-3</v>
      </c>
      <c r="T18" s="72">
        <v>8.4618506478791808E-3</v>
      </c>
      <c r="U18" s="72">
        <v>7.4100035230315105E-3</v>
      </c>
      <c r="V18" s="72">
        <v>6.5148595357943885E-3</v>
      </c>
      <c r="W18" s="72">
        <v>5.7888096963330457E-3</v>
      </c>
      <c r="X18" s="72">
        <v>6.1103844695002537E-3</v>
      </c>
      <c r="Y18" s="72">
        <v>5.3251773452373148E-3</v>
      </c>
    </row>
    <row r="19" spans="1:25">
      <c r="A19" s="373" t="s">
        <v>10</v>
      </c>
      <c r="B19" s="72">
        <v>2.2155828739262858E-2</v>
      </c>
      <c r="C19" s="72">
        <v>2.2631556027355074E-2</v>
      </c>
      <c r="D19" s="72">
        <v>1.9908622484619463E-2</v>
      </c>
      <c r="E19" s="72">
        <v>2.0478438504839939E-2</v>
      </c>
      <c r="F19" s="72">
        <v>1.88451881948726E-2</v>
      </c>
      <c r="G19" s="72">
        <v>1.7649352275182658E-2</v>
      </c>
      <c r="H19" s="72">
        <v>1.7703060187313418E-2</v>
      </c>
      <c r="I19" s="72">
        <v>1.6261607157109677E-2</v>
      </c>
      <c r="J19" s="72">
        <v>1.4097583190190013E-2</v>
      </c>
      <c r="K19" s="72">
        <v>1.1996747659074441E-2</v>
      </c>
      <c r="L19" s="72">
        <v>1.0502959352614154E-2</v>
      </c>
      <c r="N19" s="373"/>
      <c r="O19" s="72">
        <v>1.0502959352614154E-2</v>
      </c>
      <c r="P19" s="72">
        <v>1.1466837990967874E-2</v>
      </c>
      <c r="Q19" s="72">
        <v>1.1954982030846368E-2</v>
      </c>
      <c r="R19" s="72">
        <v>1.210789133506561E-2</v>
      </c>
      <c r="S19" s="72">
        <v>1.219109807412869E-2</v>
      </c>
      <c r="T19" s="72">
        <v>1.0480664159353009E-2</v>
      </c>
      <c r="U19" s="72">
        <v>1.1184688046975498E-2</v>
      </c>
      <c r="V19" s="72">
        <v>1.1344491438317485E-2</v>
      </c>
      <c r="W19" s="72">
        <v>1.0691819526604179E-2</v>
      </c>
      <c r="X19" s="72">
        <v>1.1373912751318039E-2</v>
      </c>
      <c r="Y19" s="72">
        <v>9.9510293729510538E-3</v>
      </c>
    </row>
    <row r="20" spans="1:25" ht="15.75" thickBot="1">
      <c r="A20" s="375" t="s">
        <v>11</v>
      </c>
      <c r="B20" s="72">
        <v>1.4842071733858679E-2</v>
      </c>
      <c r="C20" s="72">
        <v>1.3998613486676973E-2</v>
      </c>
      <c r="D20" s="72">
        <v>1.4775436056214791E-2</v>
      </c>
      <c r="E20" s="72">
        <v>1.5386223178171817E-2</v>
      </c>
      <c r="F20" s="72">
        <v>1.2232254726113442E-2</v>
      </c>
      <c r="G20" s="72">
        <v>1.2498190055313026E-2</v>
      </c>
      <c r="H20" s="72">
        <v>1.1388814404819451E-2</v>
      </c>
      <c r="I20" s="72">
        <v>1.1082455299013047E-2</v>
      </c>
      <c r="J20" s="72">
        <v>8.763565916110324E-3</v>
      </c>
      <c r="K20" s="72">
        <v>6.259149935466086E-3</v>
      </c>
      <c r="L20" s="72">
        <v>6.0079300442047864E-3</v>
      </c>
      <c r="N20" s="375"/>
      <c r="O20" s="72">
        <v>6.0079300442047864E-3</v>
      </c>
      <c r="P20" s="72">
        <v>6.5546780926957968E-3</v>
      </c>
      <c r="Q20" s="72">
        <v>6.2808238813944432E-3</v>
      </c>
      <c r="R20" s="72">
        <v>5.8606613152066582E-3</v>
      </c>
      <c r="S20" s="72">
        <v>6.2662931575000929E-3</v>
      </c>
      <c r="T20" s="72">
        <v>5.8536092491949165E-3</v>
      </c>
      <c r="U20" s="72">
        <v>5.8235558144779801E-3</v>
      </c>
      <c r="V20" s="72">
        <v>5.7277904933072232E-3</v>
      </c>
      <c r="W20" s="72">
        <v>5.3904659038713724E-3</v>
      </c>
      <c r="X20" s="72">
        <v>4.9079402421925477E-3</v>
      </c>
      <c r="Y20" s="72">
        <v>5.2879784997929714E-3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Y20"/>
  <sheetViews>
    <sheetView workbookViewId="0">
      <selection activeCell="Q35" sqref="Q35"/>
    </sheetView>
  </sheetViews>
  <sheetFormatPr defaultRowHeight="15"/>
  <sheetData>
    <row r="1" spans="1:25" ht="15.75" thickBot="1">
      <c r="B1" s="369" t="s">
        <v>153</v>
      </c>
      <c r="C1" s="369" t="s">
        <v>154</v>
      </c>
      <c r="D1" s="369" t="s">
        <v>155</v>
      </c>
      <c r="E1" s="369" t="s">
        <v>156</v>
      </c>
      <c r="F1" s="369" t="s">
        <v>157</v>
      </c>
      <c r="G1" s="369" t="s">
        <v>158</v>
      </c>
      <c r="H1" s="369" t="s">
        <v>159</v>
      </c>
      <c r="I1" s="369" t="s">
        <v>160</v>
      </c>
      <c r="J1" s="369" t="s">
        <v>161</v>
      </c>
      <c r="K1" s="369" t="s">
        <v>162</v>
      </c>
      <c r="L1" s="369" t="s">
        <v>163</v>
      </c>
      <c r="O1" s="369" t="s">
        <v>153</v>
      </c>
      <c r="P1" s="369" t="s">
        <v>154</v>
      </c>
      <c r="Q1" s="369" t="s">
        <v>155</v>
      </c>
      <c r="R1" s="369" t="s">
        <v>156</v>
      </c>
      <c r="S1" s="369" t="s">
        <v>157</v>
      </c>
      <c r="T1" s="369" t="s">
        <v>158</v>
      </c>
      <c r="U1" s="369" t="s">
        <v>159</v>
      </c>
      <c r="V1" s="369" t="s">
        <v>160</v>
      </c>
      <c r="W1" s="369" t="s">
        <v>161</v>
      </c>
      <c r="X1" s="369" t="s">
        <v>162</v>
      </c>
      <c r="Y1" s="369" t="s">
        <v>163</v>
      </c>
    </row>
    <row r="2" spans="1:25">
      <c r="A2" s="372" t="s">
        <v>4</v>
      </c>
      <c r="B2" s="372">
        <v>0</v>
      </c>
      <c r="C2" s="372">
        <v>0</v>
      </c>
      <c r="D2" s="372">
        <v>0</v>
      </c>
      <c r="E2" s="372">
        <v>0</v>
      </c>
      <c r="F2" s="372">
        <v>0</v>
      </c>
      <c r="G2" s="372">
        <v>0</v>
      </c>
      <c r="H2" s="372">
        <v>0</v>
      </c>
      <c r="I2" s="372">
        <v>0</v>
      </c>
      <c r="J2" s="372">
        <v>0</v>
      </c>
      <c r="K2" s="372">
        <v>0</v>
      </c>
      <c r="L2" s="372">
        <v>0</v>
      </c>
      <c r="N2" s="372" t="s">
        <v>4</v>
      </c>
      <c r="O2" s="372">
        <v>0</v>
      </c>
      <c r="P2" s="372">
        <v>0</v>
      </c>
      <c r="Q2" s="372">
        <v>0</v>
      </c>
      <c r="R2" s="372">
        <v>0</v>
      </c>
      <c r="S2" s="372">
        <v>0</v>
      </c>
      <c r="T2" s="372">
        <v>0</v>
      </c>
      <c r="U2" s="372">
        <v>0</v>
      </c>
      <c r="V2" s="372">
        <v>0</v>
      </c>
      <c r="W2" s="372">
        <v>0</v>
      </c>
      <c r="X2" s="372">
        <v>0</v>
      </c>
      <c r="Y2" s="372">
        <v>0</v>
      </c>
    </row>
    <row r="3" spans="1:25">
      <c r="A3" s="373" t="s">
        <v>5</v>
      </c>
      <c r="B3" s="373">
        <v>0.03</v>
      </c>
      <c r="C3" s="373">
        <v>0.03</v>
      </c>
      <c r="D3" s="373">
        <v>0.03</v>
      </c>
      <c r="E3" s="373">
        <v>0.03</v>
      </c>
      <c r="F3" s="373">
        <v>0.03</v>
      </c>
      <c r="G3" s="373">
        <v>0.03</v>
      </c>
      <c r="H3" s="373">
        <v>0.03</v>
      </c>
      <c r="I3" s="373">
        <v>0.03</v>
      </c>
      <c r="J3" s="373">
        <v>0.03</v>
      </c>
      <c r="K3" s="373">
        <v>0.03</v>
      </c>
      <c r="L3" s="373">
        <v>0.03</v>
      </c>
      <c r="N3" s="373" t="s">
        <v>5</v>
      </c>
      <c r="O3" s="373">
        <v>0.03</v>
      </c>
      <c r="P3" s="373">
        <v>0.03</v>
      </c>
      <c r="Q3" s="373">
        <v>0.03</v>
      </c>
      <c r="R3" s="373">
        <v>0.03</v>
      </c>
      <c r="S3" s="373">
        <v>0.03</v>
      </c>
      <c r="T3" s="373">
        <v>0.03</v>
      </c>
      <c r="U3" s="373">
        <v>0.03</v>
      </c>
      <c r="V3" s="373">
        <v>0.03</v>
      </c>
      <c r="W3" s="373">
        <v>0.03</v>
      </c>
      <c r="X3" s="373">
        <v>0.03</v>
      </c>
      <c r="Y3" s="373">
        <v>0.03</v>
      </c>
    </row>
    <row r="4" spans="1:25">
      <c r="A4" s="373" t="s">
        <v>6</v>
      </c>
      <c r="B4" s="373">
        <v>3.1398195419985959E-2</v>
      </c>
      <c r="C4" s="373">
        <v>3.1398195419985959E-2</v>
      </c>
      <c r="D4" s="373">
        <v>3.1398195419985959E-2</v>
      </c>
      <c r="E4" s="373">
        <v>3.1398195419985959E-2</v>
      </c>
      <c r="F4" s="373">
        <v>3.1398195419985959E-2</v>
      </c>
      <c r="G4" s="373">
        <v>3.1398195419985959E-2</v>
      </c>
      <c r="H4" s="373">
        <v>3.1398195419985959E-2</v>
      </c>
      <c r="I4" s="373">
        <v>3.1398195419985959E-2</v>
      </c>
      <c r="J4" s="373">
        <v>3.1398195419985959E-2</v>
      </c>
      <c r="K4" s="373">
        <v>3.1398195419985959E-2</v>
      </c>
      <c r="L4" s="373">
        <v>3.1398195419985959E-2</v>
      </c>
      <c r="N4" s="373" t="s">
        <v>6</v>
      </c>
      <c r="O4" s="373">
        <v>3.1398195419985959E-2</v>
      </c>
      <c r="P4" s="373">
        <v>3.1398195419985959E-2</v>
      </c>
      <c r="Q4" s="373">
        <v>3.1398195419985959E-2</v>
      </c>
      <c r="R4" s="373">
        <v>3.1398195419985959E-2</v>
      </c>
      <c r="S4" s="373">
        <v>3.1398195419985959E-2</v>
      </c>
      <c r="T4" s="373">
        <v>3.1398195419985959E-2</v>
      </c>
      <c r="U4" s="373">
        <v>3.1398195419985959E-2</v>
      </c>
      <c r="V4" s="373">
        <v>3.1398195419985959E-2</v>
      </c>
      <c r="W4" s="373">
        <v>3.1398195419985959E-2</v>
      </c>
      <c r="X4" s="373">
        <v>3.1398195419985959E-2</v>
      </c>
      <c r="Y4" s="373">
        <v>3.1398195419985959E-2</v>
      </c>
    </row>
    <row r="5" spans="1:25">
      <c r="A5" s="373" t="s">
        <v>7</v>
      </c>
      <c r="B5" s="373">
        <v>0</v>
      </c>
      <c r="C5" s="373">
        <v>0.01</v>
      </c>
      <c r="D5" s="373">
        <v>0.02</v>
      </c>
      <c r="E5" s="373">
        <v>0.03</v>
      </c>
      <c r="F5" s="373">
        <v>0.04</v>
      </c>
      <c r="G5" s="373">
        <v>0.05</v>
      </c>
      <c r="H5" s="373">
        <v>0.06</v>
      </c>
      <c r="I5" s="373">
        <v>7.0000000000000007E-2</v>
      </c>
      <c r="J5" s="373">
        <v>0.08</v>
      </c>
      <c r="K5" s="373">
        <v>0.09</v>
      </c>
      <c r="L5" s="373">
        <v>0.1</v>
      </c>
      <c r="N5" s="373" t="s">
        <v>7</v>
      </c>
      <c r="O5" s="373">
        <v>0.1</v>
      </c>
      <c r="P5" s="373">
        <v>0.11</v>
      </c>
      <c r="Q5" s="373">
        <v>0.12000000000000001</v>
      </c>
      <c r="R5" s="373">
        <v>0.13</v>
      </c>
      <c r="S5" s="373">
        <v>0.14000000000000001</v>
      </c>
      <c r="T5" s="373">
        <v>0.15</v>
      </c>
      <c r="U5" s="373">
        <v>0.16</v>
      </c>
      <c r="V5" s="373">
        <v>0.17</v>
      </c>
      <c r="W5" s="373">
        <v>0.18</v>
      </c>
      <c r="X5" s="373">
        <v>0.19</v>
      </c>
      <c r="Y5" s="373">
        <v>0.2</v>
      </c>
    </row>
    <row r="6" spans="1:25">
      <c r="A6" s="373" t="s">
        <v>8</v>
      </c>
      <c r="B6" s="373">
        <v>0</v>
      </c>
      <c r="C6" s="373">
        <v>0.01</v>
      </c>
      <c r="D6" s="373">
        <v>0.02</v>
      </c>
      <c r="E6" s="373">
        <v>0.03</v>
      </c>
      <c r="F6" s="373">
        <v>0.04</v>
      </c>
      <c r="G6" s="373">
        <v>0.05</v>
      </c>
      <c r="H6" s="373">
        <v>0.06</v>
      </c>
      <c r="I6" s="373">
        <v>7.0000000000000007E-2</v>
      </c>
      <c r="J6" s="373">
        <v>0.08</v>
      </c>
      <c r="K6" s="373">
        <v>0.09</v>
      </c>
      <c r="L6" s="373">
        <v>0.1</v>
      </c>
      <c r="N6" s="373" t="s">
        <v>8</v>
      </c>
      <c r="O6" s="373">
        <v>0.1</v>
      </c>
      <c r="P6" s="373">
        <v>0.11</v>
      </c>
      <c r="Q6" s="373">
        <v>0.12000000000000001</v>
      </c>
      <c r="R6" s="373">
        <v>0.13</v>
      </c>
      <c r="S6" s="373">
        <v>0.14000000000000001</v>
      </c>
      <c r="T6" s="373">
        <v>0.15</v>
      </c>
      <c r="U6" s="373">
        <v>0.16</v>
      </c>
      <c r="V6" s="373">
        <v>0.17</v>
      </c>
      <c r="W6" s="373">
        <v>0.18</v>
      </c>
      <c r="X6" s="373">
        <v>0.19</v>
      </c>
      <c r="Y6" s="373">
        <v>0.2</v>
      </c>
    </row>
    <row r="7" spans="1:25">
      <c r="A7" s="373" t="s">
        <v>9</v>
      </c>
      <c r="B7" s="373">
        <v>5.16958277280853E-2</v>
      </c>
      <c r="C7" s="373">
        <v>5.16958277280853E-2</v>
      </c>
      <c r="D7" s="373">
        <v>5.16958277280853E-2</v>
      </c>
      <c r="E7" s="373">
        <v>5.16958277280853E-2</v>
      </c>
      <c r="F7" s="373">
        <v>5.16958277280853E-2</v>
      </c>
      <c r="G7" s="373">
        <v>5.16958277280853E-2</v>
      </c>
      <c r="H7" s="373">
        <v>5.16958277280853E-2</v>
      </c>
      <c r="I7" s="373">
        <v>5.16958277280853E-2</v>
      </c>
      <c r="J7" s="373">
        <v>5.16958277280853E-2</v>
      </c>
      <c r="K7" s="373">
        <v>5.16958277280853E-2</v>
      </c>
      <c r="L7" s="373">
        <v>5.16958277280853E-2</v>
      </c>
      <c r="N7" s="373" t="s">
        <v>9</v>
      </c>
      <c r="O7" s="373">
        <v>5.16958277280853E-2</v>
      </c>
      <c r="P7" s="373">
        <v>5.16958277280853E-2</v>
      </c>
      <c r="Q7" s="373">
        <v>5.16958277280853E-2</v>
      </c>
      <c r="R7" s="373">
        <v>5.16958277280853E-2</v>
      </c>
      <c r="S7" s="373">
        <v>5.16958277280853E-2</v>
      </c>
      <c r="T7" s="373">
        <v>5.16958277280853E-2</v>
      </c>
      <c r="U7" s="373">
        <v>5.16958277280853E-2</v>
      </c>
      <c r="V7" s="373">
        <v>5.16958277280853E-2</v>
      </c>
      <c r="W7" s="373">
        <v>5.16958277280853E-2</v>
      </c>
      <c r="X7" s="373">
        <v>5.16958277280853E-2</v>
      </c>
      <c r="Y7" s="373">
        <v>5.16958277280853E-2</v>
      </c>
    </row>
    <row r="8" spans="1:25">
      <c r="A8" s="373" t="s">
        <v>10</v>
      </c>
      <c r="B8" s="373">
        <v>2.8296106893951258E-2</v>
      </c>
      <c r="C8" s="373">
        <v>2.8296106893951258E-2</v>
      </c>
      <c r="D8" s="373">
        <v>2.8296106893951258E-2</v>
      </c>
      <c r="E8" s="373">
        <v>2.8296106893951258E-2</v>
      </c>
      <c r="F8" s="373">
        <v>2.8296106893951258E-2</v>
      </c>
      <c r="G8" s="373">
        <v>2.8296106893951258E-2</v>
      </c>
      <c r="H8" s="373">
        <v>2.8296106893951258E-2</v>
      </c>
      <c r="I8" s="373">
        <v>2.8296106893951258E-2</v>
      </c>
      <c r="J8" s="373">
        <v>2.8296106893951258E-2</v>
      </c>
      <c r="K8" s="373">
        <v>2.8296106893951258E-2</v>
      </c>
      <c r="L8" s="373">
        <v>2.8296106893951258E-2</v>
      </c>
      <c r="N8" s="373" t="s">
        <v>10</v>
      </c>
      <c r="O8" s="373">
        <v>2.8296106893951258E-2</v>
      </c>
      <c r="P8" s="373">
        <v>2.8296106893951258E-2</v>
      </c>
      <c r="Q8" s="373">
        <v>2.8296106893951258E-2</v>
      </c>
      <c r="R8" s="373">
        <v>2.8296106893951258E-2</v>
      </c>
      <c r="S8" s="373">
        <v>2.8296106893951258E-2</v>
      </c>
      <c r="T8" s="373">
        <v>2.8296106893951258E-2</v>
      </c>
      <c r="U8" s="373">
        <v>2.8296106893951258E-2</v>
      </c>
      <c r="V8" s="373">
        <v>2.8296106893951258E-2</v>
      </c>
      <c r="W8" s="373">
        <v>2.8296106893951258E-2</v>
      </c>
      <c r="X8" s="373">
        <v>2.8296106893951258E-2</v>
      </c>
      <c r="Y8" s="373">
        <v>2.8296106893951258E-2</v>
      </c>
    </row>
    <row r="9" spans="1:25" ht="15.75" thickBot="1">
      <c r="A9" s="375" t="s">
        <v>11</v>
      </c>
      <c r="B9" s="375">
        <v>3.9623116873055711E-2</v>
      </c>
      <c r="C9" s="375">
        <v>3.9623116873055711E-2</v>
      </c>
      <c r="D9" s="375">
        <v>3.9623116873055711E-2</v>
      </c>
      <c r="E9" s="375">
        <v>3.9623116873055711E-2</v>
      </c>
      <c r="F9" s="375">
        <v>3.9623116873055711E-2</v>
      </c>
      <c r="G9" s="375">
        <v>3.9623116873055711E-2</v>
      </c>
      <c r="H9" s="375">
        <v>3.9623116873055711E-2</v>
      </c>
      <c r="I9" s="375">
        <v>3.9623116873055711E-2</v>
      </c>
      <c r="J9" s="375">
        <v>3.9623116873055711E-2</v>
      </c>
      <c r="K9" s="375">
        <v>3.9623116873055711E-2</v>
      </c>
      <c r="L9" s="375">
        <v>3.9623116873055711E-2</v>
      </c>
      <c r="N9" s="375" t="s">
        <v>11</v>
      </c>
      <c r="O9" s="375">
        <v>3.9623116873055711E-2</v>
      </c>
      <c r="P9" s="375">
        <v>3.9623116873055711E-2</v>
      </c>
      <c r="Q9" s="375">
        <v>3.9623116873055711E-2</v>
      </c>
      <c r="R9" s="375">
        <v>3.9623116873055711E-2</v>
      </c>
      <c r="S9" s="375">
        <v>3.9623116873055711E-2</v>
      </c>
      <c r="T9" s="375">
        <v>3.9623116873055711E-2</v>
      </c>
      <c r="U9" s="375">
        <v>3.9623116873055711E-2</v>
      </c>
      <c r="V9" s="375">
        <v>3.9623116873055711E-2</v>
      </c>
      <c r="W9" s="375">
        <v>3.9623116873055711E-2</v>
      </c>
      <c r="X9" s="375">
        <v>3.9623116873055711E-2</v>
      </c>
      <c r="Y9" s="375">
        <v>3.9623116873055711E-2</v>
      </c>
    </row>
    <row r="12" spans="1:25" ht="15.75" thickBot="1"/>
    <row r="13" spans="1:25">
      <c r="A13" s="372"/>
      <c r="B13" s="72">
        <v>0.49080392592865624</v>
      </c>
      <c r="C13" s="72">
        <v>0.49110413926127783</v>
      </c>
      <c r="D13" s="72">
        <v>0.49075419548687377</v>
      </c>
      <c r="E13" s="72">
        <v>0.49231929289351539</v>
      </c>
      <c r="F13" s="72">
        <v>0.49531858684326868</v>
      </c>
      <c r="G13" s="72">
        <v>0.50578772422605434</v>
      </c>
      <c r="H13" s="72">
        <v>0.58194946990132024</v>
      </c>
      <c r="I13" s="72">
        <v>0.61611305850809139</v>
      </c>
      <c r="J13" s="72">
        <v>0.63334948652864465</v>
      </c>
      <c r="K13" s="72">
        <v>0.64165886379923576</v>
      </c>
      <c r="L13" s="72">
        <v>0.64830585599218105</v>
      </c>
      <c r="N13" s="372"/>
      <c r="O13" s="72">
        <v>0.64830585599218105</v>
      </c>
      <c r="P13" s="72">
        <v>0.65273119272685742</v>
      </c>
      <c r="Q13" s="72">
        <v>0.65602475272254301</v>
      </c>
      <c r="R13" s="72">
        <v>0.65869864752261875</v>
      </c>
      <c r="S13" s="72">
        <v>0.65980949157446445</v>
      </c>
      <c r="T13" s="72">
        <v>0.66277145171705465</v>
      </c>
      <c r="U13" s="72">
        <v>0.66379830340209134</v>
      </c>
      <c r="V13" s="72">
        <v>0.6644652200310095</v>
      </c>
      <c r="W13" s="72">
        <v>0.66679746380970761</v>
      </c>
      <c r="X13" s="72">
        <v>0.66765118047510918</v>
      </c>
      <c r="Y13" s="72">
        <v>0.66803748118421447</v>
      </c>
    </row>
    <row r="14" spans="1:25">
      <c r="A14" s="373"/>
      <c r="B14" s="72">
        <v>0.10677905558591659</v>
      </c>
      <c r="C14" s="72">
        <v>0.10245545347840722</v>
      </c>
      <c r="D14" s="72">
        <v>0.10521134301338447</v>
      </c>
      <c r="E14" s="72">
        <v>0.10338435609876431</v>
      </c>
      <c r="F14" s="72">
        <v>9.7474266828351253E-2</v>
      </c>
      <c r="G14" s="72">
        <v>9.0982513803118781E-2</v>
      </c>
      <c r="H14" s="72">
        <v>6.4666674868537666E-2</v>
      </c>
      <c r="I14" s="72">
        <v>4.1692394375041623E-2</v>
      </c>
      <c r="J14" s="72">
        <v>3.228662218193315E-2</v>
      </c>
      <c r="K14" s="72">
        <v>2.7279250694941741E-2</v>
      </c>
      <c r="L14" s="72">
        <v>2.2417195533197348E-2</v>
      </c>
      <c r="N14" s="373"/>
      <c r="O14" s="72">
        <v>2.2417195533197348E-2</v>
      </c>
      <c r="P14" s="72">
        <v>2.1877387556514548E-2</v>
      </c>
      <c r="Q14" s="72">
        <v>1.9651672407697902E-2</v>
      </c>
      <c r="R14" s="72">
        <v>1.7211827038446221E-2</v>
      </c>
      <c r="S14" s="72">
        <v>1.7128429546077049E-2</v>
      </c>
      <c r="T14" s="72">
        <v>1.496412147426658E-2</v>
      </c>
      <c r="U14" s="72">
        <v>1.4433948409661088E-2</v>
      </c>
      <c r="V14" s="72">
        <v>1.4175394238207439E-2</v>
      </c>
      <c r="W14" s="72">
        <v>1.2850736231164582E-2</v>
      </c>
      <c r="X14" s="72">
        <v>1.2316400522307182E-2</v>
      </c>
      <c r="Y14" s="72">
        <v>1.3443926482220295E-2</v>
      </c>
    </row>
    <row r="15" spans="1:25">
      <c r="A15" s="373"/>
      <c r="B15" s="72">
        <v>0.12211515452336864</v>
      </c>
      <c r="C15" s="72">
        <v>0.12627157413093548</v>
      </c>
      <c r="D15" s="72">
        <v>0.12283063885170273</v>
      </c>
      <c r="E15" s="72">
        <v>0.12210746754957816</v>
      </c>
      <c r="F15" s="72">
        <v>0.11922346051076678</v>
      </c>
      <c r="G15" s="72">
        <v>0.108809925362434</v>
      </c>
      <c r="H15" s="72">
        <v>5.6782271788066115E-2</v>
      </c>
      <c r="I15" s="72">
        <v>3.6384540283484333E-2</v>
      </c>
      <c r="J15" s="72">
        <v>2.7868135052324931E-2</v>
      </c>
      <c r="K15" s="72">
        <v>2.3832587870030539E-2</v>
      </c>
      <c r="L15" s="72">
        <v>2.0773596052931689E-2</v>
      </c>
      <c r="N15" s="373"/>
      <c r="O15" s="72">
        <v>2.0773596052931689E-2</v>
      </c>
      <c r="P15" s="72">
        <v>1.7160310851450492E-2</v>
      </c>
      <c r="Q15" s="72">
        <v>1.6571293975728433E-2</v>
      </c>
      <c r="R15" s="72">
        <v>1.5561125798495114E-2</v>
      </c>
      <c r="S15" s="72">
        <v>1.4413903107230029E-2</v>
      </c>
      <c r="T15" s="72">
        <v>1.33138972447201E-2</v>
      </c>
      <c r="U15" s="72">
        <v>1.1314358285879181E-2</v>
      </c>
      <c r="V15" s="72">
        <v>1.2791809385989563E-2</v>
      </c>
      <c r="W15" s="72">
        <v>1.134624256979188E-2</v>
      </c>
      <c r="X15" s="72">
        <v>1.0650196350221497E-2</v>
      </c>
      <c r="Y15" s="72">
        <v>1.0285811755654276E-2</v>
      </c>
    </row>
    <row r="16" spans="1:25">
      <c r="A16" s="373"/>
      <c r="B16" s="72">
        <v>8.5616967796811117E-4</v>
      </c>
      <c r="C16" s="72">
        <v>1.0441602134805435E-3</v>
      </c>
      <c r="D16" s="72">
        <v>1.4666748578803181E-3</v>
      </c>
      <c r="E16" s="72">
        <v>2.5432881730147526E-3</v>
      </c>
      <c r="F16" s="72">
        <v>4.6052567760722805E-3</v>
      </c>
      <c r="G16" s="72">
        <v>1.6787699960368743E-2</v>
      </c>
      <c r="H16" s="72">
        <v>0.11383502834422249</v>
      </c>
      <c r="I16" s="72">
        <v>0.13762942234718642</v>
      </c>
      <c r="J16" s="72">
        <v>0.14761417357602019</v>
      </c>
      <c r="K16" s="72">
        <v>0.15844258859508764</v>
      </c>
      <c r="L16" s="72">
        <v>0.16317941014349474</v>
      </c>
      <c r="N16" s="373"/>
      <c r="O16" s="72">
        <v>0.16317941014349474</v>
      </c>
      <c r="P16" s="72">
        <v>0.16883653460470924</v>
      </c>
      <c r="Q16" s="72">
        <v>0.16714624190663308</v>
      </c>
      <c r="R16" s="72">
        <v>0.16680251147610914</v>
      </c>
      <c r="S16" s="72">
        <v>0.17133500731815415</v>
      </c>
      <c r="T16" s="72">
        <v>0.17395497094172371</v>
      </c>
      <c r="U16" s="72">
        <v>0.16941595802547008</v>
      </c>
      <c r="V16" s="72">
        <v>0.17553803930492179</v>
      </c>
      <c r="W16" s="72">
        <v>0.17785139847987366</v>
      </c>
      <c r="X16" s="72">
        <v>0.17722197789919703</v>
      </c>
      <c r="Y16" s="72">
        <v>0.17289910384310514</v>
      </c>
    </row>
    <row r="17" spans="1:25">
      <c r="A17" s="373"/>
      <c r="B17" s="72">
        <v>7.7776910709594831E-4</v>
      </c>
      <c r="C17" s="72">
        <v>1.0720336360171305E-3</v>
      </c>
      <c r="D17" s="72">
        <v>1.45573357405755E-3</v>
      </c>
      <c r="E17" s="72">
        <v>2.4334138729272437E-3</v>
      </c>
      <c r="F17" s="72">
        <v>5.5805481788744529E-3</v>
      </c>
      <c r="G17" s="72">
        <v>1.897735689025928E-2</v>
      </c>
      <c r="H17" s="72">
        <v>7.5665713198373341E-2</v>
      </c>
      <c r="I17" s="72">
        <v>9.4034227682427571E-2</v>
      </c>
      <c r="J17" s="72">
        <v>0.10357560369371079</v>
      </c>
      <c r="K17" s="72">
        <v>0.10151433726786441</v>
      </c>
      <c r="L17" s="72">
        <v>0.10352241326570276</v>
      </c>
      <c r="N17" s="373"/>
      <c r="O17" s="72">
        <v>0.10352241326570276</v>
      </c>
      <c r="P17" s="72">
        <v>0.10181431096499875</v>
      </c>
      <c r="Q17" s="72">
        <v>0.10714110082044621</v>
      </c>
      <c r="R17" s="72">
        <v>0.10975985621037677</v>
      </c>
      <c r="S17" s="72">
        <v>0.10710815096721689</v>
      </c>
      <c r="T17" s="72">
        <v>0.10706555047559994</v>
      </c>
      <c r="U17" s="72">
        <v>0.11316715472441648</v>
      </c>
      <c r="V17" s="72">
        <v>0.10732317293591319</v>
      </c>
      <c r="W17" s="72">
        <v>0.10735685290109741</v>
      </c>
      <c r="X17" s="72">
        <v>0.10930120135970697</v>
      </c>
      <c r="Y17" s="72">
        <v>0.11305503270308218</v>
      </c>
    </row>
    <row r="18" spans="1:25">
      <c r="A18" s="373"/>
      <c r="B18" s="72">
        <v>4.755851292844545E-2</v>
      </c>
      <c r="C18" s="72">
        <v>4.6821224899580231E-2</v>
      </c>
      <c r="D18" s="72">
        <v>4.5526370337743725E-2</v>
      </c>
      <c r="E18" s="72">
        <v>4.6720667650334703E-2</v>
      </c>
      <c r="F18" s="72">
        <v>4.5208995857670749E-2</v>
      </c>
      <c r="G18" s="72">
        <v>3.9833759469811367E-2</v>
      </c>
      <c r="H18" s="72">
        <v>1.6824513745659488E-2</v>
      </c>
      <c r="I18" s="72">
        <v>1.1474772216994082E-2</v>
      </c>
      <c r="J18" s="72">
        <v>8.0200433727753775E-3</v>
      </c>
      <c r="K18" s="72">
        <v>6.7493190266049389E-3</v>
      </c>
      <c r="L18" s="72">
        <v>6.2584709688595528E-3</v>
      </c>
      <c r="N18" s="373"/>
      <c r="O18" s="72">
        <v>6.2584709688595528E-3</v>
      </c>
      <c r="P18" s="72">
        <v>5.6303328056901804E-3</v>
      </c>
      <c r="Q18" s="72">
        <v>5.1353393951497567E-3</v>
      </c>
      <c r="R18" s="72">
        <v>4.5271875918509565E-3</v>
      </c>
      <c r="S18" s="72">
        <v>4.2346645973486592E-3</v>
      </c>
      <c r="T18" s="72">
        <v>4.0772364076044473E-3</v>
      </c>
      <c r="U18" s="72">
        <v>3.5364000513237589E-3</v>
      </c>
      <c r="V18" s="72">
        <v>3.6807698358501907E-3</v>
      </c>
      <c r="W18" s="72">
        <v>3.3736688961760754E-3</v>
      </c>
      <c r="X18" s="72">
        <v>3.2667487711065747E-3</v>
      </c>
      <c r="Y18" s="72">
        <v>3.2827382125600749E-3</v>
      </c>
    </row>
    <row r="19" spans="1:25">
      <c r="A19" s="373"/>
      <c r="B19" s="72">
        <v>8.2343813048458822E-2</v>
      </c>
      <c r="C19" s="72">
        <v>8.0749566371168424E-2</v>
      </c>
      <c r="D19" s="72">
        <v>8.1644623710284317E-2</v>
      </c>
      <c r="E19" s="72">
        <v>8.1176191881632304E-2</v>
      </c>
      <c r="F19" s="72">
        <v>7.9260692366643029E-2</v>
      </c>
      <c r="G19" s="72">
        <v>7.3497852451970228E-2</v>
      </c>
      <c r="H19" s="72">
        <v>5.3699976125867951E-2</v>
      </c>
      <c r="I19" s="72">
        <v>4.0449216521950854E-2</v>
      </c>
      <c r="J19" s="72">
        <v>3.0810655656396867E-2</v>
      </c>
      <c r="K19" s="72">
        <v>2.6274676691977944E-2</v>
      </c>
      <c r="L19" s="72">
        <v>2.4135614482784295E-2</v>
      </c>
      <c r="N19" s="373"/>
      <c r="O19" s="72">
        <v>2.4135614482784295E-2</v>
      </c>
      <c r="P19" s="72">
        <v>2.0492784918044883E-2</v>
      </c>
      <c r="Q19" s="72">
        <v>1.8409497329581491E-2</v>
      </c>
      <c r="R19" s="72">
        <v>1.7645171061335903E-2</v>
      </c>
      <c r="S19" s="72">
        <v>1.7335016592853265E-2</v>
      </c>
      <c r="T19" s="72">
        <v>1.5359149081788362E-2</v>
      </c>
      <c r="U19" s="72">
        <v>1.6557107249191218E-2</v>
      </c>
      <c r="V19" s="72">
        <v>1.4400876671060945E-2</v>
      </c>
      <c r="W19" s="72">
        <v>1.3839508994151047E-2</v>
      </c>
      <c r="X19" s="72">
        <v>1.358330014243442E-2</v>
      </c>
      <c r="Y19" s="72">
        <v>1.2521741913034751E-2</v>
      </c>
    </row>
    <row r="20" spans="1:25" ht="15.75" thickBot="1">
      <c r="A20" s="375"/>
      <c r="B20" s="72">
        <v>0.14876559920009083</v>
      </c>
      <c r="C20" s="72">
        <v>0.1504818480091325</v>
      </c>
      <c r="D20" s="72">
        <v>0.15111042016807311</v>
      </c>
      <c r="E20" s="72">
        <v>0.14931532188023339</v>
      </c>
      <c r="F20" s="72">
        <v>0.15332819263835304</v>
      </c>
      <c r="G20" s="72">
        <v>0.1453231678359837</v>
      </c>
      <c r="H20" s="72">
        <v>3.657635202795325E-2</v>
      </c>
      <c r="I20" s="72">
        <v>2.222236806482264E-2</v>
      </c>
      <c r="J20" s="72">
        <v>1.6475279938193348E-2</v>
      </c>
      <c r="K20" s="72">
        <v>1.4248376054256643E-2</v>
      </c>
      <c r="L20" s="72">
        <v>1.140744356084882E-2</v>
      </c>
      <c r="N20" s="375"/>
      <c r="O20" s="72">
        <v>1.140744356084882E-2</v>
      </c>
      <c r="P20" s="72">
        <v>1.1457145571733341E-2</v>
      </c>
      <c r="Q20" s="72">
        <v>9.9201014422203165E-3</v>
      </c>
      <c r="R20" s="72">
        <v>9.7936733007678838E-3</v>
      </c>
      <c r="S20" s="72">
        <v>8.6353362966557438E-3</v>
      </c>
      <c r="T20" s="72">
        <v>8.4936226572424074E-3</v>
      </c>
      <c r="U20" s="72">
        <v>7.7767698519673979E-3</v>
      </c>
      <c r="V20" s="72">
        <v>7.624717597046791E-3</v>
      </c>
      <c r="W20" s="72">
        <v>6.5841281180373341E-3</v>
      </c>
      <c r="X20" s="72">
        <v>6.0089944799167792E-3</v>
      </c>
      <c r="Y20" s="72">
        <v>6.4741639061287335E-3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Sheet1</vt:lpstr>
      <vt:lpstr>base_up_PE_neutral</vt:lpstr>
      <vt:lpstr>equilibrium</vt:lpstr>
      <vt:lpstr>aan_uit</vt:lpstr>
      <vt:lpstr>k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2013-02-14T11:24:47Z</dcterms:modified>
</cp:coreProperties>
</file>