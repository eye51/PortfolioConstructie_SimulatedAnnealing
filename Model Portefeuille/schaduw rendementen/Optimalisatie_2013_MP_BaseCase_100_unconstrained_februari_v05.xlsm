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activeTab="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</sheets>
  <definedNames>
    <definedName name="aan_uit">Optimalisatie!$B$101:$B$102</definedName>
    <definedName name="k">'Absolute visies'!$N$4:$U$11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</definedNames>
  <calcPr calcId="125725" concurrentCalc="0"/>
</workbook>
</file>

<file path=xl/calcChain.xml><?xml version="1.0" encoding="utf-8"?>
<calcChain xmlns="http://schemas.openxmlformats.org/spreadsheetml/2006/main">
  <c r="B17" i="13"/>
  <c r="B15"/>
  <c r="B14"/>
  <c r="B13"/>
  <c r="B12"/>
  <c r="B11"/>
  <c r="B10"/>
  <c r="B16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C33" i="7"/>
  <c r="E33"/>
  <c r="B31"/>
  <c r="B33"/>
  <c r="D33"/>
  <c r="F33"/>
  <c r="G33"/>
  <c r="H33"/>
  <c r="I31"/>
  <c r="B30"/>
  <c r="I30"/>
  <c r="B29"/>
  <c r="I29"/>
  <c r="B28"/>
  <c r="I28"/>
  <c r="B27"/>
  <c r="I27"/>
  <c r="B26"/>
  <c r="I26"/>
  <c r="B25"/>
  <c r="I25"/>
  <c r="B24"/>
  <c r="I24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I33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<sst xmlns="http://schemas.openxmlformats.org/spreadsheetml/2006/main" count="467" uniqueCount="165">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</sst>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Lit>
          <c:ptCount val="1"/>
          <c:pt idx="0">
            <c:v>Huidig</c:v>
          </c:pt>
        </c:strLit>
      </c:tx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66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79"/>
          <c:w val="0.5562682138416909"/>
          <c:h val="0.692582184133050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06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373E-4"/>
                  <c:y val="-8.3464566929134024E-2"/>
                </c:manualLayout>
              </c:layout>
              <c:showVal val="1"/>
            </c:dLbl>
            <c:dLbl>
              <c:idx val="5"/>
              <c:layout>
                <c:manualLayout>
                  <c:x val="2.6391177018773321E-2"/>
                  <c:y val="0.11040230140723944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</c:title>
    <c:plotArea>
      <c:layout>
        <c:manualLayout>
          <c:layoutTarget val="inner"/>
          <c:xMode val="edge"/>
          <c:yMode val="edge"/>
          <c:x val="0.13456689285514029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154446848"/>
        <c:axId val="15446131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154446848"/>
        <c:axId val="154461312"/>
      </c:lineChart>
      <c:catAx>
        <c:axId val="154446848"/>
        <c:scaling>
          <c:orientation val="minMax"/>
        </c:scaling>
        <c:axPos val="b"/>
        <c:tickLblPos val="nextTo"/>
        <c:crossAx val="154461312"/>
        <c:crosses val="autoZero"/>
        <c:auto val="1"/>
        <c:lblAlgn val="ctr"/>
        <c:lblOffset val="100"/>
      </c:catAx>
      <c:valAx>
        <c:axId val="154461312"/>
        <c:scaling>
          <c:orientation val="minMax"/>
        </c:scaling>
        <c:axPos val="l"/>
        <c:majorGridlines/>
        <c:numFmt formatCode="0%" sourceLinked="0"/>
        <c:tickLblPos val="nextTo"/>
        <c:crossAx val="1544468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154055808"/>
        <c:axId val="154057344"/>
      </c:barChart>
      <c:catAx>
        <c:axId val="154055808"/>
        <c:scaling>
          <c:orientation val="minMax"/>
        </c:scaling>
        <c:axPos val="b"/>
        <c:tickLblPos val="nextTo"/>
        <c:crossAx val="154057344"/>
        <c:crosses val="autoZero"/>
        <c:auto val="1"/>
        <c:lblAlgn val="ctr"/>
        <c:lblOffset val="100"/>
      </c:catAx>
      <c:valAx>
        <c:axId val="154057344"/>
        <c:scaling>
          <c:orientation val="minMax"/>
        </c:scaling>
        <c:axPos val="l"/>
        <c:majorGridlines/>
        <c:numFmt formatCode="0.0%" sourceLinked="1"/>
        <c:tickLblPos val="nextTo"/>
        <c:crossAx val="154055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893"/>
          <c:y val="0.30999086720262092"/>
          <c:w val="0.27290015295627634"/>
          <c:h val="0.50313982945017655"/>
        </c:manualLayout>
      </c:layout>
    </c:legend>
    <c:plotVisOnly val="1"/>
  </c:chart>
  <c:printSettings>
    <c:headerFooter/>
    <c:pageMargins b="0.75000000000000788" l="0.70000000000000062" r="0.70000000000000062" t="0.750000000000007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91799552"/>
        <c:axId val="39180147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91799552"/>
        <c:axId val="391801472"/>
      </c:lineChart>
      <c:catAx>
        <c:axId val="391799552"/>
        <c:scaling>
          <c:orientation val="minMax"/>
        </c:scaling>
        <c:axPos val="b"/>
        <c:numFmt formatCode="General" sourceLinked="1"/>
        <c:tickLblPos val="nextTo"/>
        <c:crossAx val="391801472"/>
        <c:crosses val="autoZero"/>
        <c:auto val="1"/>
        <c:lblAlgn val="ctr"/>
        <c:lblOffset val="100"/>
      </c:catAx>
      <c:valAx>
        <c:axId val="391801472"/>
        <c:scaling>
          <c:orientation val="minMax"/>
        </c:scaling>
        <c:axPos val="l"/>
        <c:majorGridlines/>
        <c:numFmt formatCode="0%" sourceLinked="0"/>
        <c:tickLblPos val="nextTo"/>
        <c:crossAx val="39179955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99" l="0.70000000000000062" r="0.70000000000000062" t="0.750000000000008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93743360"/>
        <c:axId val="393749248"/>
      </c:barChart>
      <c:catAx>
        <c:axId val="393743360"/>
        <c:scaling>
          <c:orientation val="minMax"/>
        </c:scaling>
        <c:axPos val="b"/>
        <c:tickLblPos val="nextTo"/>
        <c:crossAx val="393749248"/>
        <c:crosses val="autoZero"/>
        <c:auto val="1"/>
        <c:lblAlgn val="ctr"/>
        <c:lblOffset val="100"/>
      </c:catAx>
      <c:valAx>
        <c:axId val="393749248"/>
        <c:scaling>
          <c:orientation val="minMax"/>
        </c:scaling>
        <c:axPos val="l"/>
        <c:majorGridlines/>
        <c:numFmt formatCode="0.0%" sourceLinked="1"/>
        <c:tickLblPos val="nextTo"/>
        <c:crossAx val="39374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52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0.54045609847011733</c:v>
                </c:pt>
                <c:pt idx="1">
                  <c:v>4.6757011358724551E-2</c:v>
                </c:pt>
                <c:pt idx="2">
                  <c:v>4.5865746399639182E-2</c:v>
                </c:pt>
                <c:pt idx="3">
                  <c:v>6.9831550110757118E-2</c:v>
                </c:pt>
                <c:pt idx="4">
                  <c:v>4.1674723609566276E-2</c:v>
                </c:pt>
                <c:pt idx="5">
                  <c:v>1.2928511675215838E-2</c:v>
                </c:pt>
                <c:pt idx="6">
                  <c:v>2.8721691486864168E-2</c:v>
                </c:pt>
                <c:pt idx="7">
                  <c:v>3.2607596871767411E-2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1.0913148650793292E-2</c:v>
                </c:pt>
                <c:pt idx="1">
                  <c:v>3.8633202468638855E-2</c:v>
                </c:pt>
                <c:pt idx="2">
                  <c:v>3.5139671934984781E-2</c:v>
                </c:pt>
                <c:pt idx="3">
                  <c:v>1.7308919382128057E-2</c:v>
                </c:pt>
                <c:pt idx="4">
                  <c:v>1.3262542793697242E-2</c:v>
                </c:pt>
                <c:pt idx="5">
                  <c:v>9.5751613714967487E-3</c:v>
                </c:pt>
                <c:pt idx="6">
                  <c:v>2.8045689115126865E-2</c:v>
                </c:pt>
                <c:pt idx="7">
                  <c:v>2.8278734300482521E-2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1.0266547751632382E-2</c:v>
                </c:pt>
                <c:pt idx="1">
                  <c:v>3.4639214860695863E-2</c:v>
                </c:pt>
                <c:pt idx="2">
                  <c:v>3.1887715400090277E-2</c:v>
                </c:pt>
                <c:pt idx="3">
                  <c:v>1.6545227880896768E-2</c:v>
                </c:pt>
                <c:pt idx="4">
                  <c:v>1.5326591238028583E-2</c:v>
                </c:pt>
                <c:pt idx="5">
                  <c:v>9.6834024065061627E-3</c:v>
                </c:pt>
                <c:pt idx="6">
                  <c:v>2.4466024369114089E-2</c:v>
                </c:pt>
                <c:pt idx="7">
                  <c:v>2.6976631861505014E-2</c:v>
                </c:pt>
              </c:numCache>
            </c:numRef>
          </c:val>
        </c:ser>
        <c:gapWidth val="100"/>
        <c:overlap val="100"/>
        <c:axId val="395176192"/>
        <c:axId val="395317248"/>
      </c:barChart>
      <c:catAx>
        <c:axId val="395176192"/>
        <c:scaling>
          <c:orientation val="minMax"/>
        </c:scaling>
        <c:axPos val="l"/>
        <c:numFmt formatCode="0%" sourceLinked="1"/>
        <c:tickLblPos val="nextTo"/>
        <c:crossAx val="395317248"/>
        <c:crosses val="autoZero"/>
        <c:auto val="1"/>
        <c:lblAlgn val="ctr"/>
        <c:lblOffset val="100"/>
      </c:catAx>
      <c:valAx>
        <c:axId val="395317248"/>
        <c:scaling>
          <c:orientation val="minMax"/>
        </c:scaling>
        <c:axPos val="b"/>
        <c:majorGridlines/>
        <c:numFmt formatCode="0%" sourceLinked="0"/>
        <c:tickLblPos val="nextTo"/>
        <c:crossAx val="395176192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Lit>
          <c:ptCount val="1"/>
          <c:pt idx="0">
            <c:v>Kansgewogen</c:v>
          </c:pt>
        </c:strLit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gapWidth val="100"/>
        <c:overlap val="100"/>
        <c:axId val="395354880"/>
        <c:axId val="395356416"/>
      </c:barChart>
      <c:catAx>
        <c:axId val="395354880"/>
        <c:scaling>
          <c:orientation val="minMax"/>
        </c:scaling>
        <c:axPos val="l"/>
        <c:numFmt formatCode="0%" sourceLinked="1"/>
        <c:tickLblPos val="nextTo"/>
        <c:crossAx val="395356416"/>
        <c:crosses val="autoZero"/>
        <c:auto val="1"/>
        <c:lblAlgn val="ctr"/>
        <c:lblOffset val="100"/>
      </c:catAx>
      <c:valAx>
        <c:axId val="395356416"/>
        <c:scaling>
          <c:orientation val="minMax"/>
        </c:scaling>
        <c:axPos val="b"/>
        <c:majorGridlines/>
        <c:numFmt formatCode="0%" sourceLinked="0"/>
        <c:tickLblPos val="nextTo"/>
        <c:crossAx val="3953548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gapWidth val="100"/>
        <c:overlap val="100"/>
        <c:axId val="395459584"/>
        <c:axId val="395461376"/>
      </c:barChart>
      <c:catAx>
        <c:axId val="395459584"/>
        <c:scaling>
          <c:orientation val="minMax"/>
        </c:scaling>
        <c:axPos val="l"/>
        <c:numFmt formatCode="0%" sourceLinked="1"/>
        <c:tickLblPos val="nextTo"/>
        <c:crossAx val="395461376"/>
        <c:crosses val="autoZero"/>
        <c:auto val="1"/>
        <c:lblAlgn val="ctr"/>
        <c:lblOffset val="100"/>
      </c:catAx>
      <c:valAx>
        <c:axId val="395461376"/>
        <c:scaling>
          <c:orientation val="minMax"/>
        </c:scaling>
        <c:axPos val="b"/>
        <c:majorGridlines/>
        <c:numFmt formatCode="0%" sourceLinked="0"/>
        <c:tickLblPos val="nextTo"/>
        <c:crossAx val="3954595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0.48221556051732301</c:v>
                </c:pt>
                <c:pt idx="1">
                  <c:v>0.31098204076122105</c:v>
                </c:pt>
                <c:pt idx="2">
                  <c:v>2.4598822319072703E-3</c:v>
                </c:pt>
                <c:pt idx="3">
                  <c:v>2.0305495539164053E-3</c:v>
                </c:pt>
                <c:pt idx="4">
                  <c:v>1.3252922402653841E-2</c:v>
                </c:pt>
                <c:pt idx="5">
                  <c:v>3.9491191388218876E-2</c:v>
                </c:pt>
                <c:pt idx="6">
                  <c:v>7.8922602013887927E-3</c:v>
                </c:pt>
                <c:pt idx="7">
                  <c:v>3.3790541981335341E-3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2.0026617712396944E-2</c:v>
                </c:pt>
                <c:pt idx="1">
                  <c:v>4.3807581817772001E-2</c:v>
                </c:pt>
                <c:pt idx="2">
                  <c:v>5.047974767916432E-3</c:v>
                </c:pt>
                <c:pt idx="3">
                  <c:v>5.9814369619873697E-3</c:v>
                </c:pt>
                <c:pt idx="4">
                  <c:v>2.0631414596100135E-2</c:v>
                </c:pt>
                <c:pt idx="5">
                  <c:v>2.3854590873894778E-2</c:v>
                </c:pt>
                <c:pt idx="6">
                  <c:v>1.1026083149006209E-2</c:v>
                </c:pt>
                <c:pt idx="7">
                  <c:v>7.9208388661630991E-3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1.6803171473159795E-2</c:v>
                </c:pt>
                <c:pt idx="1">
                  <c:v>4.4639655066568251E-2</c:v>
                </c:pt>
                <c:pt idx="2">
                  <c:v>3.047835085875506E-3</c:v>
                </c:pt>
                <c:pt idx="3">
                  <c:v>3.7176893432472515E-3</c:v>
                </c:pt>
                <c:pt idx="4">
                  <c:v>1.6470210340389417E-2</c:v>
                </c:pt>
                <c:pt idx="5">
                  <c:v>2.3440079004092937E-2</c:v>
                </c:pt>
                <c:pt idx="6">
                  <c:v>7.7103062499491622E-3</c:v>
                </c:pt>
                <c:pt idx="7">
                  <c:v>5.0296675573246255E-3</c:v>
                </c:pt>
              </c:numCache>
            </c:numRef>
          </c:val>
        </c:ser>
        <c:gapWidth val="100"/>
        <c:overlap val="100"/>
        <c:axId val="395499008"/>
        <c:axId val="395500544"/>
      </c:barChart>
      <c:catAx>
        <c:axId val="395499008"/>
        <c:scaling>
          <c:orientation val="minMax"/>
        </c:scaling>
        <c:axPos val="l"/>
        <c:tickLblPos val="nextTo"/>
        <c:crossAx val="395500544"/>
        <c:crosses val="autoZero"/>
        <c:auto val="1"/>
        <c:lblAlgn val="ctr"/>
        <c:lblOffset val="100"/>
      </c:catAx>
      <c:valAx>
        <c:axId val="395500544"/>
        <c:scaling>
          <c:orientation val="minMax"/>
        </c:scaling>
        <c:axPos val="b"/>
        <c:majorGridlines/>
        <c:numFmt formatCode="0%" sourceLinked="0"/>
        <c:tickLblPos val="nextTo"/>
        <c:crossAx val="3954990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0.99931780465692999</c:v>
                </c:pt>
                <c:pt idx="1">
                  <c:v>1.0429872640552892E-6</c:v>
                </c:pt>
                <c:pt idx="2">
                  <c:v>1.0974472695264296E-6</c:v>
                </c:pt>
                <c:pt idx="3">
                  <c:v>2.7601941922940682E-7</c:v>
                </c:pt>
                <c:pt idx="4">
                  <c:v>4.3091737891626107E-7</c:v>
                </c:pt>
                <c:pt idx="5">
                  <c:v>3.0794709335900696E-7</c:v>
                </c:pt>
                <c:pt idx="6">
                  <c:v>6.5723379232597564E-6</c:v>
                </c:pt>
                <c:pt idx="7">
                  <c:v>6.8720279996447941E-7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1.9991764956739377E-4</c:v>
                </c:pt>
                <c:pt idx="1">
                  <c:v>6.4814411771369856E-5</c:v>
                </c:pt>
                <c:pt idx="2">
                  <c:v>6.4909590824126478E-5</c:v>
                </c:pt>
                <c:pt idx="3">
                  <c:v>3.2545215807366153E-5</c:v>
                </c:pt>
                <c:pt idx="4">
                  <c:v>5.606906524457934E-5</c:v>
                </c:pt>
                <c:pt idx="5">
                  <c:v>4.144712862424902E-5</c:v>
                </c:pt>
                <c:pt idx="6">
                  <c:v>1.6143442767929211E-4</c:v>
                </c:pt>
                <c:pt idx="7">
                  <c:v>5.0642994402999865E-5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2.2606787588907995E-4</c:v>
                </c:pt>
                <c:pt idx="1">
                  <c:v>1.604901106129299E-5</c:v>
                </c:pt>
                <c:pt idx="2">
                  <c:v>1.9298015876799201E-5</c:v>
                </c:pt>
                <c:pt idx="3">
                  <c:v>1.2288995435604105E-6</c:v>
                </c:pt>
                <c:pt idx="4">
                  <c:v>7.5731162380136773E-6</c:v>
                </c:pt>
                <c:pt idx="5">
                  <c:v>2.7293249588101933E-6</c:v>
                </c:pt>
                <c:pt idx="6">
                  <c:v>6.382730843334684E-5</c:v>
                </c:pt>
                <c:pt idx="7">
                  <c:v>9.8885208145407498E-6</c:v>
                </c:pt>
              </c:numCache>
            </c:numRef>
          </c:val>
        </c:ser>
        <c:gapWidth val="100"/>
        <c:overlap val="100"/>
        <c:axId val="395403264"/>
        <c:axId val="395404800"/>
      </c:barChart>
      <c:catAx>
        <c:axId val="395403264"/>
        <c:scaling>
          <c:orientation val="minMax"/>
        </c:scaling>
        <c:axPos val="l"/>
        <c:tickLblPos val="nextTo"/>
        <c:crossAx val="395404800"/>
        <c:crosses val="autoZero"/>
        <c:auto val="1"/>
        <c:lblAlgn val="ctr"/>
        <c:lblOffset val="100"/>
      </c:catAx>
      <c:valAx>
        <c:axId val="395404800"/>
        <c:scaling>
          <c:orientation val="minMax"/>
        </c:scaling>
        <c:axPos val="b"/>
        <c:majorGridlines/>
        <c:numFmt formatCode="0%" sourceLinked="0"/>
        <c:tickLblPos val="nextTo"/>
        <c:crossAx val="3954032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0.90959526434573212</c:v>
                </c:pt>
                <c:pt idx="1">
                  <c:v>5.3239154391964945E-6</c:v>
                </c:pt>
                <c:pt idx="2">
                  <c:v>4.6196730692603174E-5</c:v>
                </c:pt>
                <c:pt idx="3">
                  <c:v>9.661664333100948E-7</c:v>
                </c:pt>
                <c:pt idx="4">
                  <c:v>1.6511004576110284E-6</c:v>
                </c:pt>
                <c:pt idx="5">
                  <c:v>4.2553612459991924E-7</c:v>
                </c:pt>
                <c:pt idx="6">
                  <c:v>8.6613925123170454E-2</c:v>
                </c:pt>
                <c:pt idx="7">
                  <c:v>2.6356546255662357E-6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8.0505396979624333E-4</c:v>
                </c:pt>
                <c:pt idx="1">
                  <c:v>2.3713128602497564E-4</c:v>
                </c:pt>
                <c:pt idx="2">
                  <c:v>9.2347104948303684E-4</c:v>
                </c:pt>
                <c:pt idx="3">
                  <c:v>1.7711672653157308E-4</c:v>
                </c:pt>
                <c:pt idx="4">
                  <c:v>2.5479788557628859E-4</c:v>
                </c:pt>
                <c:pt idx="5">
                  <c:v>1.3224218247395413E-4</c:v>
                </c:pt>
                <c:pt idx="6">
                  <c:v>1.0022464814496285E-3</c:v>
                </c:pt>
                <c:pt idx="7">
                  <c:v>2.0155184598889337E-4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5.5250667094985939E-4</c:v>
                </c:pt>
                <c:pt idx="1">
                  <c:v>8.3996965362757614E-5</c:v>
                </c:pt>
                <c:pt idx="2">
                  <c:v>5.3205882513799002E-4</c:v>
                </c:pt>
                <c:pt idx="3">
                  <c:v>3.3318783405972806E-5</c:v>
                </c:pt>
                <c:pt idx="4">
                  <c:v>9.2910911144304784E-5</c:v>
                </c:pt>
                <c:pt idx="5">
                  <c:v>1.0721150577684647E-5</c:v>
                </c:pt>
                <c:pt idx="6">
                  <c:v>1.0231888585233301E-3</c:v>
                </c:pt>
                <c:pt idx="7">
                  <c:v>6.8311954136359267E-5</c:v>
                </c:pt>
              </c:numCache>
            </c:numRef>
          </c:val>
        </c:ser>
        <c:gapWidth val="100"/>
        <c:overlap val="100"/>
        <c:axId val="395438336"/>
        <c:axId val="395190272"/>
      </c:barChart>
      <c:catAx>
        <c:axId val="395438336"/>
        <c:scaling>
          <c:orientation val="minMax"/>
        </c:scaling>
        <c:axPos val="l"/>
        <c:tickLblPos val="nextTo"/>
        <c:crossAx val="395190272"/>
        <c:crosses val="autoZero"/>
        <c:auto val="1"/>
        <c:lblAlgn val="ctr"/>
        <c:lblOffset val="100"/>
      </c:catAx>
      <c:valAx>
        <c:axId val="395190272"/>
        <c:scaling>
          <c:orientation val="minMax"/>
        </c:scaling>
        <c:axPos val="b"/>
        <c:majorGridlines/>
        <c:numFmt formatCode="0%" sourceLinked="0"/>
        <c:tickLblPos val="nextTo"/>
        <c:crossAx val="3954383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0.74659048455063393</c:v>
                </c:pt>
                <c:pt idx="1">
                  <c:v>4.4624039680647536E-4</c:v>
                </c:pt>
                <c:pt idx="2">
                  <c:v>5.1174023303065183E-3</c:v>
                </c:pt>
                <c:pt idx="3">
                  <c:v>1.2907178347474162E-5</c:v>
                </c:pt>
                <c:pt idx="4">
                  <c:v>2.7108429391002652E-4</c:v>
                </c:pt>
                <c:pt idx="5">
                  <c:v>0.16339629983999532</c:v>
                </c:pt>
                <c:pt idx="6">
                  <c:v>1.2613832892028715E-3</c:v>
                </c:pt>
                <c:pt idx="7">
                  <c:v>9.0112776773304418E-5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3.6690231062246781E-2</c:v>
                </c:pt>
                <c:pt idx="1">
                  <c:v>1.4615322598156633E-3</c:v>
                </c:pt>
                <c:pt idx="2">
                  <c:v>8.4777929629730724E-3</c:v>
                </c:pt>
                <c:pt idx="3">
                  <c:v>3.127999574476748E-4</c:v>
                </c:pt>
                <c:pt idx="4">
                  <c:v>1.4067334137111605E-3</c:v>
                </c:pt>
                <c:pt idx="5">
                  <c:v>3.0072107602711534E-2</c:v>
                </c:pt>
                <c:pt idx="6">
                  <c:v>3.7751510452482141E-3</c:v>
                </c:pt>
                <c:pt idx="7">
                  <c:v>6.1773703987024831E-4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3.2937529832975931E-2</c:v>
                </c:pt>
                <c:pt idx="1">
                  <c:v>8.5072359533659562E-4</c:v>
                </c:pt>
                <c:pt idx="2">
                  <c:v>5.0885203158326803E-3</c:v>
                </c:pt>
                <c:pt idx="3">
                  <c:v>8.9761812965714221E-5</c:v>
                </c:pt>
                <c:pt idx="4">
                  <c:v>7.596232678956634E-4</c:v>
                </c:pt>
                <c:pt idx="5">
                  <c:v>3.4085076309123913E-2</c:v>
                </c:pt>
                <c:pt idx="6">
                  <c:v>1.5962329603130005E-3</c:v>
                </c:pt>
                <c:pt idx="7">
                  <c:v>3.0297316433658492E-4</c:v>
                </c:pt>
              </c:numCache>
            </c:numRef>
          </c:val>
        </c:ser>
        <c:gapWidth val="100"/>
        <c:overlap val="100"/>
        <c:axId val="395227904"/>
        <c:axId val="395229440"/>
      </c:barChart>
      <c:catAx>
        <c:axId val="395227904"/>
        <c:scaling>
          <c:orientation val="minMax"/>
        </c:scaling>
        <c:axPos val="l"/>
        <c:numFmt formatCode="0%" sourceLinked="1"/>
        <c:tickLblPos val="nextTo"/>
        <c:crossAx val="395229440"/>
        <c:crosses val="autoZero"/>
        <c:auto val="1"/>
        <c:lblAlgn val="ctr"/>
        <c:lblOffset val="100"/>
      </c:catAx>
      <c:valAx>
        <c:axId val="395229440"/>
        <c:scaling>
          <c:orientation val="minMax"/>
        </c:scaling>
        <c:axPos val="b"/>
        <c:majorGridlines/>
        <c:numFmt formatCode="0%" sourceLinked="0"/>
        <c:tickLblPos val="nextTo"/>
        <c:crossAx val="3952279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0.73339422303277468</c:v>
                </c:pt>
                <c:pt idx="1">
                  <c:v>4.7981671404336646E-3</c:v>
                </c:pt>
                <c:pt idx="2">
                  <c:v>1.817380098889378E-3</c:v>
                </c:pt>
                <c:pt idx="3">
                  <c:v>2.1152357814109167E-4</c:v>
                </c:pt>
                <c:pt idx="4">
                  <c:v>1.2034398533330801E-4</c:v>
                </c:pt>
                <c:pt idx="5">
                  <c:v>3.9041996584103802E-2</c:v>
                </c:pt>
                <c:pt idx="6">
                  <c:v>8.5551150091976377E-3</c:v>
                </c:pt>
                <c:pt idx="7">
                  <c:v>0.118080976125847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8.7097959435802341E-3</c:v>
                </c:pt>
                <c:pt idx="1">
                  <c:v>1.389642826892756E-2</c:v>
                </c:pt>
                <c:pt idx="2">
                  <c:v>7.1100938682564022E-3</c:v>
                </c:pt>
                <c:pt idx="3">
                  <c:v>2.6820794617370609E-3</c:v>
                </c:pt>
                <c:pt idx="4">
                  <c:v>1.8383953460307026E-3</c:v>
                </c:pt>
                <c:pt idx="5">
                  <c:v>1.103410389777669E-2</c:v>
                </c:pt>
                <c:pt idx="6">
                  <c:v>2.3817939645886223E-2</c:v>
                </c:pt>
                <c:pt idx="7">
                  <c:v>2.4891438013083994E-2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8.0049157237335189E-3</c:v>
                </c:pt>
                <c:pt idx="1">
                  <c:v>8.177990511628163E-3</c:v>
                </c:pt>
                <c:pt idx="2">
                  <c:v>4.573040684950248E-3</c:v>
                </c:pt>
                <c:pt idx="3">
                  <c:v>1.1329665817917771E-3</c:v>
                </c:pt>
                <c:pt idx="4">
                  <c:v>9.4867301142463221E-4</c:v>
                </c:pt>
                <c:pt idx="5">
                  <c:v>1.279045145026983E-2</c:v>
                </c:pt>
                <c:pt idx="6">
                  <c:v>1.7609176527782683E-2</c:v>
                </c:pt>
                <c:pt idx="7">
                  <c:v>2.217798538389934E-2</c:v>
                </c:pt>
              </c:numCache>
            </c:numRef>
          </c:val>
        </c:ser>
        <c:gapWidth val="100"/>
        <c:overlap val="100"/>
        <c:axId val="395254784"/>
        <c:axId val="395264768"/>
      </c:barChart>
      <c:catAx>
        <c:axId val="395254784"/>
        <c:scaling>
          <c:orientation val="minMax"/>
        </c:scaling>
        <c:axPos val="l"/>
        <c:tickLblPos val="nextTo"/>
        <c:crossAx val="395264768"/>
        <c:crosses val="autoZero"/>
        <c:auto val="1"/>
        <c:lblAlgn val="ctr"/>
        <c:lblOffset val="100"/>
      </c:catAx>
      <c:valAx>
        <c:axId val="395264768"/>
        <c:scaling>
          <c:orientation val="minMax"/>
        </c:scaling>
        <c:axPos val="b"/>
        <c:majorGridlines/>
        <c:numFmt formatCode="0%" sourceLinked="0"/>
        <c:tickLblPos val="nextTo"/>
        <c:crossAx val="395254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395618176"/>
        <c:axId val="395619712"/>
      </c:barChart>
      <c:catAx>
        <c:axId val="395618176"/>
        <c:scaling>
          <c:orientation val="minMax"/>
        </c:scaling>
        <c:axPos val="l"/>
        <c:tickLblPos val="nextTo"/>
        <c:crossAx val="395619712"/>
        <c:crosses val="autoZero"/>
        <c:auto val="1"/>
        <c:lblAlgn val="ctr"/>
        <c:lblOffset val="100"/>
      </c:catAx>
      <c:valAx>
        <c:axId val="395619712"/>
        <c:scaling>
          <c:orientation val="minMax"/>
        </c:scaling>
        <c:axPos val="b"/>
        <c:majorGridlines/>
        <c:numFmt formatCode="0%" sourceLinked="0"/>
        <c:tickLblPos val="nextTo"/>
        <c:crossAx val="395618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395526528"/>
        <c:axId val="395528064"/>
      </c:barChart>
      <c:catAx>
        <c:axId val="395526528"/>
        <c:scaling>
          <c:orientation val="minMax"/>
        </c:scaling>
        <c:axPos val="l"/>
        <c:tickLblPos val="nextTo"/>
        <c:crossAx val="395528064"/>
        <c:crosses val="autoZero"/>
        <c:auto val="1"/>
        <c:lblAlgn val="ctr"/>
        <c:lblOffset val="100"/>
      </c:catAx>
      <c:valAx>
        <c:axId val="395528064"/>
        <c:scaling>
          <c:orientation val="minMax"/>
        </c:scaling>
        <c:axPos val="b"/>
        <c:majorGridlines/>
        <c:numFmt formatCode="0%" sourceLinked="0"/>
        <c:tickLblPos val="nextTo"/>
        <c:crossAx val="3955265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395553408"/>
        <c:axId val="395559296"/>
      </c:barChart>
      <c:catAx>
        <c:axId val="395553408"/>
        <c:scaling>
          <c:orientation val="minMax"/>
        </c:scaling>
        <c:axPos val="l"/>
        <c:tickLblPos val="nextTo"/>
        <c:crossAx val="395559296"/>
        <c:crosses val="autoZero"/>
        <c:auto val="1"/>
        <c:lblAlgn val="ctr"/>
        <c:lblOffset val="100"/>
      </c:catAx>
      <c:valAx>
        <c:axId val="395559296"/>
        <c:scaling>
          <c:orientation val="minMax"/>
        </c:scaling>
        <c:axPos val="b"/>
        <c:majorGridlines/>
        <c:numFmt formatCode="0%" sourceLinked="0"/>
        <c:tickLblPos val="nextTo"/>
        <c:crossAx val="395553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395650176"/>
        <c:axId val="395651712"/>
      </c:barChart>
      <c:catAx>
        <c:axId val="395650176"/>
        <c:scaling>
          <c:orientation val="minMax"/>
        </c:scaling>
        <c:axPos val="l"/>
        <c:tickLblPos val="nextTo"/>
        <c:crossAx val="395651712"/>
        <c:crosses val="autoZero"/>
        <c:auto val="1"/>
        <c:lblAlgn val="ctr"/>
        <c:lblOffset val="100"/>
      </c:catAx>
      <c:valAx>
        <c:axId val="395651712"/>
        <c:scaling>
          <c:orientation val="minMax"/>
        </c:scaling>
        <c:axPos val="b"/>
        <c:majorGridlines/>
        <c:numFmt formatCode="0%" sourceLinked="0"/>
        <c:tickLblPos val="nextTo"/>
        <c:crossAx val="395650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395664768"/>
        <c:axId val="395711616"/>
      </c:barChart>
      <c:catAx>
        <c:axId val="395664768"/>
        <c:scaling>
          <c:orientation val="minMax"/>
        </c:scaling>
        <c:axPos val="l"/>
        <c:tickLblPos val="nextTo"/>
        <c:crossAx val="395711616"/>
        <c:crosses val="autoZero"/>
        <c:auto val="1"/>
        <c:lblAlgn val="ctr"/>
        <c:lblOffset val="100"/>
      </c:catAx>
      <c:valAx>
        <c:axId val="395711616"/>
        <c:scaling>
          <c:orientation val="minMax"/>
        </c:scaling>
        <c:axPos val="b"/>
        <c:majorGridlines/>
        <c:numFmt formatCode="0%" sourceLinked="0"/>
        <c:tickLblPos val="nextTo"/>
        <c:crossAx val="3956647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0"/>
        <c:overlap val="100"/>
        <c:axId val="395741056"/>
        <c:axId val="395742592"/>
      </c:barChart>
      <c:catAx>
        <c:axId val="395741056"/>
        <c:scaling>
          <c:orientation val="minMax"/>
        </c:scaling>
        <c:axPos val="l"/>
        <c:tickLblPos val="nextTo"/>
        <c:crossAx val="395742592"/>
        <c:crosses val="autoZero"/>
        <c:auto val="1"/>
        <c:lblAlgn val="ctr"/>
        <c:lblOffset val="100"/>
      </c:catAx>
      <c:valAx>
        <c:axId val="395742592"/>
        <c:scaling>
          <c:orientation val="minMax"/>
        </c:scaling>
        <c:axPos val="b"/>
        <c:majorGridlines/>
        <c:numFmt formatCode="0%" sourceLinked="0"/>
        <c:tickLblPos val="nextTo"/>
        <c:crossAx val="395741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0.23577701527791628</c:v>
                </c:pt>
                <c:pt idx="1">
                  <c:v>4.516169010955897E-2</c:v>
                </c:pt>
                <c:pt idx="2">
                  <c:v>4.7456005134116032E-3</c:v>
                </c:pt>
                <c:pt idx="3">
                  <c:v>7.156538990643746E-2</c:v>
                </c:pt>
                <c:pt idx="4">
                  <c:v>0.56125939804848646</c:v>
                </c:pt>
                <c:pt idx="5">
                  <c:v>7.0276101674922875E-2</c:v>
                </c:pt>
                <c:pt idx="6">
                  <c:v>1.1214804469266095E-2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395780480"/>
        <c:axId val="395782016"/>
      </c:barChart>
      <c:catAx>
        <c:axId val="395780480"/>
        <c:scaling>
          <c:orientation val="minMax"/>
        </c:scaling>
        <c:axPos val="l"/>
        <c:tickLblPos val="nextTo"/>
        <c:crossAx val="395782016"/>
        <c:crosses val="autoZero"/>
        <c:auto val="1"/>
        <c:lblAlgn val="ctr"/>
        <c:lblOffset val="100"/>
      </c:catAx>
      <c:valAx>
        <c:axId val="395782016"/>
        <c:scaling>
          <c:orientation val="minMax"/>
        </c:scaling>
        <c:axPos val="b"/>
        <c:majorGridlines/>
        <c:numFmt formatCode="0%" sourceLinked="0"/>
        <c:tickLblPos val="nextTo"/>
        <c:crossAx val="3957804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8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395803264"/>
        <c:axId val="395817344"/>
      </c:barChart>
      <c:catAx>
        <c:axId val="395803264"/>
        <c:scaling>
          <c:orientation val="minMax"/>
        </c:scaling>
        <c:axPos val="l"/>
        <c:tickLblPos val="nextTo"/>
        <c:crossAx val="395817344"/>
        <c:crosses val="autoZero"/>
        <c:auto val="1"/>
        <c:lblAlgn val="ctr"/>
        <c:lblOffset val="100"/>
      </c:catAx>
      <c:valAx>
        <c:axId val="395817344"/>
        <c:scaling>
          <c:orientation val="minMax"/>
        </c:scaling>
        <c:axPos val="b"/>
        <c:majorGridlines/>
        <c:numFmt formatCode="0%" sourceLinked="0"/>
        <c:tickLblPos val="nextTo"/>
        <c:crossAx val="3958032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03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88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96060928"/>
        <c:axId val="39607129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96060928"/>
        <c:axId val="396071296"/>
      </c:lineChart>
      <c:catAx>
        <c:axId val="396060928"/>
        <c:scaling>
          <c:orientation val="minMax"/>
        </c:scaling>
        <c:axPos val="b"/>
        <c:tickLblPos val="nextTo"/>
        <c:crossAx val="396071296"/>
        <c:crosses val="autoZero"/>
        <c:auto val="1"/>
        <c:lblAlgn val="ctr"/>
        <c:lblOffset val="100"/>
      </c:catAx>
      <c:valAx>
        <c:axId val="396071296"/>
        <c:scaling>
          <c:orientation val="minMax"/>
        </c:scaling>
        <c:axPos val="l"/>
        <c:majorGridlines/>
        <c:numFmt formatCode="0%" sourceLinked="0"/>
        <c:tickLblPos val="nextTo"/>
        <c:crossAx val="39606092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6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95917184"/>
        <c:axId val="39592345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0.21997031937711767</c:v>
                </c:pt>
                <c:pt idx="1">
                  <c:v>0.2132001376855808</c:v>
                </c:pt>
                <c:pt idx="2">
                  <c:v>0.23131167868406277</c:v>
                </c:pt>
                <c:pt idx="3">
                  <c:v>0.11477314193569998</c:v>
                </c:pt>
                <c:pt idx="4">
                  <c:v>4.6641620673837786E-2</c:v>
                </c:pt>
                <c:pt idx="5">
                  <c:v>6.8922944445396303E-2</c:v>
                </c:pt>
                <c:pt idx="6">
                  <c:v>0.10518015719830481</c:v>
                </c:pt>
              </c:numCache>
            </c:numRef>
          </c:val>
        </c:ser>
        <c:marker val="1"/>
        <c:axId val="395917184"/>
        <c:axId val="395923456"/>
      </c:lineChart>
      <c:catAx>
        <c:axId val="395917184"/>
        <c:scaling>
          <c:orientation val="minMax"/>
        </c:scaling>
        <c:axPos val="b"/>
        <c:numFmt formatCode="General" sourceLinked="1"/>
        <c:tickLblPos val="nextTo"/>
        <c:crossAx val="395923456"/>
        <c:crosses val="autoZero"/>
        <c:auto val="1"/>
        <c:lblAlgn val="ctr"/>
        <c:lblOffset val="100"/>
      </c:catAx>
      <c:valAx>
        <c:axId val="395923456"/>
        <c:scaling>
          <c:orientation val="minMax"/>
        </c:scaling>
        <c:axPos val="l"/>
        <c:majorGridlines/>
        <c:numFmt formatCode="0%" sourceLinked="0"/>
        <c:tickLblPos val="nextTo"/>
        <c:crossAx val="39591718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21" l="0.70000000000000062" r="0.70000000000000062" t="0.7500000000000092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4"/>
          <c:w val="0.5562682138416909"/>
          <c:h val="0.692582184133050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34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96167424"/>
        <c:axId val="396173312"/>
      </c:barChart>
      <c:catAx>
        <c:axId val="396167424"/>
        <c:scaling>
          <c:orientation val="minMax"/>
        </c:scaling>
        <c:axPos val="l"/>
        <c:tickLblPos val="nextTo"/>
        <c:crossAx val="396173312"/>
        <c:crosses val="autoZero"/>
        <c:auto val="1"/>
        <c:lblAlgn val="ctr"/>
        <c:lblOffset val="100"/>
      </c:catAx>
      <c:valAx>
        <c:axId val="396173312"/>
        <c:scaling>
          <c:orientation val="minMax"/>
        </c:scaling>
        <c:axPos val="b"/>
        <c:majorGridlines/>
        <c:numFmt formatCode="0.0%" sourceLinked="1"/>
        <c:tickLblPos val="nextTo"/>
        <c:crossAx val="39616742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351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"/>
          <c:y val="5.1400554097404488E-2"/>
          <c:w val="0.82164348206474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3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418124544"/>
        <c:axId val="418126464"/>
      </c:scatterChart>
      <c:valAx>
        <c:axId val="418124544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12"/>
            </c:manualLayout>
          </c:layout>
        </c:title>
        <c:numFmt formatCode="0%" sourceLinked="0"/>
        <c:tickLblPos val="nextTo"/>
        <c:crossAx val="418126464"/>
        <c:crosses val="autoZero"/>
        <c:crossBetween val="midCat"/>
      </c:valAx>
      <c:valAx>
        <c:axId val="4181264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18124544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3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3"/>
          <c:y val="5.1400554097404488E-2"/>
          <c:w val="0.821643482064746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14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13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1E-2"/>
                  <c:y val="-6.7336991255980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3.1398195419985959E-2</c:v>
                </c:pt>
                <c:pt idx="3">
                  <c:v>5.6592124614748239E-2</c:v>
                </c:pt>
                <c:pt idx="4">
                  <c:v>5.6149706770970371E-2</c:v>
                </c:pt>
                <c:pt idx="5">
                  <c:v>5.16958277280853E-2</c:v>
                </c:pt>
                <c:pt idx="6">
                  <c:v>2.8296106893951258E-2</c:v>
                </c:pt>
                <c:pt idx="7">
                  <c:v>3.9623116873055711E-2</c:v>
                </c:pt>
              </c:numCache>
            </c:numRef>
          </c:yVal>
        </c:ser>
        <c:axId val="418254208"/>
        <c:axId val="418256384"/>
      </c:scatterChart>
      <c:valAx>
        <c:axId val="41825420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34"/>
            </c:manualLayout>
          </c:layout>
        </c:title>
        <c:numFmt formatCode="0%" sourceLinked="0"/>
        <c:tickLblPos val="nextTo"/>
        <c:crossAx val="418256384"/>
        <c:crosses val="autoZero"/>
        <c:crossBetween val="midCat"/>
      </c:valAx>
      <c:valAx>
        <c:axId val="4182563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18254208"/>
        <c:crosses val="autoZero"/>
        <c:crossBetween val="midCat"/>
      </c:valAx>
    </c:plotArea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418305920"/>
        <c:axId val="418307456"/>
      </c:barChart>
      <c:catAx>
        <c:axId val="418305920"/>
        <c:scaling>
          <c:orientation val="minMax"/>
        </c:scaling>
        <c:axPos val="l"/>
        <c:tickLblPos val="none"/>
        <c:crossAx val="418307456"/>
        <c:crosses val="autoZero"/>
        <c:auto val="1"/>
        <c:lblAlgn val="ctr"/>
        <c:lblOffset val="100"/>
      </c:catAx>
      <c:valAx>
        <c:axId val="418307456"/>
        <c:scaling>
          <c:orientation val="minMax"/>
        </c:scaling>
        <c:axPos val="b"/>
        <c:majorGridlines/>
        <c:numFmt formatCode="0.0%" sourceLinked="1"/>
        <c:tickLblPos val="nextTo"/>
        <c:crossAx val="41830592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418226560"/>
        <c:axId val="418228096"/>
      </c:barChart>
      <c:catAx>
        <c:axId val="418226560"/>
        <c:scaling>
          <c:orientation val="minMax"/>
        </c:scaling>
        <c:axPos val="l"/>
        <c:tickLblPos val="high"/>
        <c:crossAx val="418228096"/>
        <c:crosses val="autoZero"/>
        <c:auto val="1"/>
        <c:lblAlgn val="ctr"/>
        <c:lblOffset val="100"/>
      </c:catAx>
      <c:valAx>
        <c:axId val="418228096"/>
        <c:scaling>
          <c:orientation val="minMax"/>
        </c:scaling>
        <c:axPos val="b"/>
        <c:majorGridlines/>
        <c:numFmt formatCode="#,##0.00_ ;\-#,##0.00\ " sourceLinked="1"/>
        <c:tickLblPos val="nextTo"/>
        <c:crossAx val="41822656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zoomScale="85" zoomScaleNormal="85" workbookViewId="0">
      <selection activeCell="A43" sqref="A43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77" t="s">
        <v>93</v>
      </c>
      <c r="D1" s="377"/>
      <c r="E1" s="378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0.55552002657163746</v>
      </c>
      <c r="C3" s="299">
        <v>0</v>
      </c>
      <c r="D3" s="218">
        <v>1</v>
      </c>
      <c r="E3" s="145">
        <v>0.99</v>
      </c>
      <c r="F3" s="144">
        <f>'Samenvatting mixen'!B81</f>
        <v>0.63884131311996284</v>
      </c>
      <c r="G3" s="144">
        <f>+F3-B3</f>
        <v>8.332128654832538E-2</v>
      </c>
      <c r="H3" s="301"/>
    </row>
    <row r="4" spans="1:24">
      <c r="A4" s="143" t="str">
        <f>Scenarios!A5</f>
        <v>High Yield</v>
      </c>
      <c r="B4" s="218">
        <v>9.7772401711769694E-2</v>
      </c>
      <c r="C4" s="299">
        <v>0</v>
      </c>
      <c r="D4" s="358">
        <v>1</v>
      </c>
      <c r="E4" s="145">
        <v>0.99</v>
      </c>
      <c r="F4" s="144">
        <f>'Samenvatting mixen'!B82</f>
        <v>8.9152415993890524E-2</v>
      </c>
      <c r="G4" s="144">
        <f t="shared" ref="G4:G10" si="0">+F4-B4</f>
        <v>-8.6199857178791695E-3</v>
      </c>
      <c r="H4" s="302"/>
      <c r="W4" s="133" t="str">
        <f>A4</f>
        <v>High Yield</v>
      </c>
      <c r="X4" s="134">
        <f>B4/SUM($B$4:$B$10)</f>
        <v>0.21997031937711767</v>
      </c>
    </row>
    <row r="5" spans="1:24">
      <c r="A5" s="143" t="str">
        <f>Scenarios!A6</f>
        <v>Emerging market debt</v>
      </c>
      <c r="B5" s="218">
        <v>9.4763191533410202E-2</v>
      </c>
      <c r="C5" s="299">
        <v>0</v>
      </c>
      <c r="D5" s="218">
        <v>1</v>
      </c>
      <c r="E5" s="145">
        <v>0.99</v>
      </c>
      <c r="F5" s="144">
        <f>'Samenvatting mixen'!B83</f>
        <v>1.6180596839274166E-2</v>
      </c>
      <c r="G5" s="144">
        <f t="shared" si="0"/>
        <v>-7.8582594694136032E-2</v>
      </c>
      <c r="W5" s="133" t="str">
        <f t="shared" ref="W5:W10" si="1">A5</f>
        <v>Emerging market debt</v>
      </c>
      <c r="X5" s="134">
        <f t="shared" ref="X5:X10" si="2">B5/SUM($B$4:$B$10)</f>
        <v>0.2132001376855808</v>
      </c>
    </row>
    <row r="6" spans="1:24">
      <c r="A6" s="143" t="str">
        <f>Scenarios!A7</f>
        <v>Aandelen ontwikkeld</v>
      </c>
      <c r="B6" s="358">
        <v>0.10281340879516217</v>
      </c>
      <c r="C6" s="299">
        <v>0</v>
      </c>
      <c r="D6" s="358">
        <v>1</v>
      </c>
      <c r="E6" s="145">
        <v>0.99</v>
      </c>
      <c r="F6" s="144">
        <f>'Samenvatting mixen'!B84</f>
        <v>1.6946947243372027E-3</v>
      </c>
      <c r="G6" s="144">
        <f t="shared" si="0"/>
        <v>-0.10111871407082497</v>
      </c>
      <c r="H6" s="301"/>
      <c r="W6" s="133" t="str">
        <f t="shared" si="1"/>
        <v>Aandelen ontwikkeld</v>
      </c>
      <c r="X6" s="134">
        <f t="shared" si="2"/>
        <v>0.23131167868406277</v>
      </c>
    </row>
    <row r="7" spans="1:24">
      <c r="A7" s="143" t="str">
        <f>Scenarios!A8</f>
        <v>Aandelen opkomend</v>
      </c>
      <c r="B7" s="358">
        <v>5.1014363077869621E-2</v>
      </c>
      <c r="C7" s="299">
        <v>0</v>
      </c>
      <c r="D7" s="358">
        <v>1</v>
      </c>
      <c r="E7" s="145">
        <v>0.99</v>
      </c>
      <c r="F7" s="144">
        <f>'Samenvatting mixen'!B85</f>
        <v>2.5254391686127226E-2</v>
      </c>
      <c r="G7" s="144">
        <f t="shared" si="0"/>
        <v>-2.5759971391742395E-2</v>
      </c>
      <c r="H7" s="301"/>
      <c r="W7" s="133" t="str">
        <f t="shared" si="1"/>
        <v>Aandelen opkomend</v>
      </c>
      <c r="X7" s="134">
        <f t="shared" si="2"/>
        <v>0.11477314193569998</v>
      </c>
    </row>
    <row r="8" spans="1:24">
      <c r="A8" s="143" t="str">
        <f>Scenarios!A9</f>
        <v>Commodities</v>
      </c>
      <c r="B8" s="358">
        <v>2.0731266317763185E-2</v>
      </c>
      <c r="C8" s="299">
        <v>0</v>
      </c>
      <c r="D8" s="358">
        <v>1</v>
      </c>
      <c r="E8" s="145">
        <v>0.99</v>
      </c>
      <c r="F8" s="144">
        <f>'Samenvatting mixen'!B86</f>
        <v>0.19937901187906307</v>
      </c>
      <c r="G8" s="144">
        <f t="shared" si="0"/>
        <v>0.17864774556129989</v>
      </c>
      <c r="H8" s="301"/>
      <c r="W8" s="133" t="str">
        <f t="shared" si="1"/>
        <v>Commodities</v>
      </c>
      <c r="X8" s="134">
        <f t="shared" si="2"/>
        <v>4.6641620673837786E-2</v>
      </c>
    </row>
    <row r="9" spans="1:24">
      <c r="A9" s="143" t="str">
        <f>Scenarios!A10</f>
        <v>Hedge funds</v>
      </c>
      <c r="B9" s="218">
        <v>3.0634868515694261E-2</v>
      </c>
      <c r="C9" s="299">
        <v>0</v>
      </c>
      <c r="D9" s="358">
        <v>1</v>
      </c>
      <c r="E9" s="145">
        <v>0.99</v>
      </c>
      <c r="F9" s="144">
        <f>'Samenvatting mixen'!B87</f>
        <v>2.549361968294718E-2</v>
      </c>
      <c r="G9" s="144">
        <f t="shared" si="0"/>
        <v>-5.1412488327470807E-3</v>
      </c>
      <c r="W9" s="133" t="str">
        <f t="shared" si="1"/>
        <v>Hedge funds</v>
      </c>
      <c r="X9" s="134">
        <f t="shared" si="2"/>
        <v>6.8922944445396303E-2</v>
      </c>
    </row>
    <row r="10" spans="1:24" ht="15.75" thickBot="1">
      <c r="A10" s="139" t="str">
        <f>Scenarios!A11</f>
        <v>Onroerend goed</v>
      </c>
      <c r="B10" s="219">
        <v>4.6750473476693526E-2</v>
      </c>
      <c r="C10" s="300">
        <v>0</v>
      </c>
      <c r="D10" s="219">
        <v>1</v>
      </c>
      <c r="E10" s="147">
        <v>0.99</v>
      </c>
      <c r="F10" s="146">
        <f>'Samenvatting mixen'!B88</f>
        <v>4.0039560743981373E-3</v>
      </c>
      <c r="G10" s="146">
        <f t="shared" si="0"/>
        <v>-4.2746517402295389E-2</v>
      </c>
      <c r="W10" s="133" t="str">
        <f t="shared" si="1"/>
        <v>Onroerend goed</v>
      </c>
      <c r="X10" s="134">
        <f t="shared" si="2"/>
        <v>0.10518015719830481</v>
      </c>
    </row>
    <row r="11" spans="1:24" ht="15.75" thickBot="1">
      <c r="A11" s="148" t="s">
        <v>89</v>
      </c>
      <c r="B11" s="149">
        <f>Scenarios!C12</f>
        <v>9.982328688488358E-2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9.8976863778565766E-2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9.982328688488358E-2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9" t="s">
        <v>98</v>
      </c>
      <c r="C200" s="377"/>
      <c r="D200" s="377"/>
      <c r="E200" s="378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A58" sqref="A5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81" t="s">
        <v>117</v>
      </c>
      <c r="F2" s="381"/>
      <c r="G2" s="381"/>
      <c r="H2" s="381"/>
      <c r="I2" s="381"/>
      <c r="J2" s="381"/>
      <c r="K2" s="381"/>
      <c r="L2" s="38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0.55552002657163746</v>
      </c>
      <c r="C4" s="178">
        <v>0</v>
      </c>
      <c r="D4" s="223">
        <v>4.345014939985381E-2</v>
      </c>
      <c r="E4" s="220">
        <v>0.99999999999999989</v>
      </c>
      <c r="F4" s="221">
        <v>0.52433002849962862</v>
      </c>
      <c r="G4" s="221">
        <v>0.50486215833038961</v>
      </c>
      <c r="H4" s="221">
        <v>0.25487540297217309</v>
      </c>
      <c r="I4" s="221">
        <v>0.29680815083804041</v>
      </c>
      <c r="J4" s="221">
        <v>0.25154461105240933</v>
      </c>
      <c r="K4" s="221">
        <v>0.48821318968101901</v>
      </c>
      <c r="L4" s="222">
        <v>0.39542795937264941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9.7772401711769694E-2</v>
      </c>
      <c r="C5" s="178">
        <v>0.03</v>
      </c>
      <c r="D5" s="223">
        <v>0.15853561014014847</v>
      </c>
      <c r="E5" s="223">
        <v>0.5243300284996284</v>
      </c>
      <c r="F5" s="224">
        <v>1</v>
      </c>
      <c r="G5" s="224">
        <v>0.94338322745767289</v>
      </c>
      <c r="H5" s="224">
        <v>0.74070013517974964</v>
      </c>
      <c r="I5" s="224">
        <v>0.74187676376193956</v>
      </c>
      <c r="J5" s="224">
        <v>0.60846903584875156</v>
      </c>
      <c r="K5" s="224">
        <v>0.86668583493806206</v>
      </c>
      <c r="L5" s="225">
        <v>0.86259221475724557</v>
      </c>
      <c r="S5" s="84"/>
      <c r="T5" s="6"/>
      <c r="U5" s="85"/>
    </row>
    <row r="6" spans="1:21">
      <c r="A6" s="102" t="s">
        <v>6</v>
      </c>
      <c r="B6" s="106">
        <f>'Control panel'!B5</f>
        <v>9.4763191533410202E-2</v>
      </c>
      <c r="C6" s="178">
        <v>3.1398195419985959E-2</v>
      </c>
      <c r="D6" s="223">
        <v>0.16217253275473525</v>
      </c>
      <c r="E6" s="223">
        <v>0.50486215833038939</v>
      </c>
      <c r="F6" s="224">
        <v>0.943383227457673</v>
      </c>
      <c r="G6" s="224">
        <v>1</v>
      </c>
      <c r="H6" s="224">
        <v>0.77223648924957744</v>
      </c>
      <c r="I6" s="224">
        <v>0.79023745754825636</v>
      </c>
      <c r="J6" s="224">
        <v>0.63110682083437419</v>
      </c>
      <c r="K6" s="224">
        <v>0.87120901203593171</v>
      </c>
      <c r="L6" s="225">
        <v>0.86536847063850975</v>
      </c>
      <c r="S6" s="84"/>
      <c r="T6" s="6"/>
      <c r="U6" s="85"/>
    </row>
    <row r="7" spans="1:21">
      <c r="A7" s="102" t="s">
        <v>7</v>
      </c>
      <c r="B7" s="106">
        <f>'Control panel'!B6</f>
        <v>0.10281340879516217</v>
      </c>
      <c r="C7" s="178">
        <v>5.6592124614748239E-2</v>
      </c>
      <c r="D7" s="223">
        <v>0.28718972670468956</v>
      </c>
      <c r="E7" s="223">
        <v>0.2548754029721732</v>
      </c>
      <c r="F7" s="224">
        <v>0.74070013517974975</v>
      </c>
      <c r="G7" s="224">
        <v>0.77223648924957744</v>
      </c>
      <c r="H7" s="224">
        <v>1</v>
      </c>
      <c r="I7" s="224">
        <v>0.81106497730540505</v>
      </c>
      <c r="J7" s="224">
        <v>0.69909036020626758</v>
      </c>
      <c r="K7" s="224">
        <v>0.74571542163255744</v>
      </c>
      <c r="L7" s="225">
        <v>0.88603334197313832</v>
      </c>
      <c r="S7" s="84"/>
      <c r="T7" s="6"/>
      <c r="U7" s="85"/>
    </row>
    <row r="8" spans="1:21">
      <c r="A8" s="102" t="s">
        <v>8</v>
      </c>
      <c r="B8" s="106">
        <f>'Control panel'!B7</f>
        <v>5.1014363077869621E-2</v>
      </c>
      <c r="C8" s="178">
        <v>5.6149706770970371E-2</v>
      </c>
      <c r="D8" s="223">
        <v>0.29616397669669142</v>
      </c>
      <c r="E8" s="223">
        <v>0.29680815083804063</v>
      </c>
      <c r="F8" s="224">
        <v>0.74187676376193967</v>
      </c>
      <c r="G8" s="224">
        <v>0.79023745754825636</v>
      </c>
      <c r="H8" s="224">
        <v>0.81106497730540505</v>
      </c>
      <c r="I8" s="224">
        <v>0.99999999999999978</v>
      </c>
      <c r="J8" s="224">
        <v>0.63944069654526292</v>
      </c>
      <c r="K8" s="224">
        <v>0.64591301484464436</v>
      </c>
      <c r="L8" s="225">
        <v>0.78448428807756676</v>
      </c>
      <c r="S8" s="84"/>
      <c r="T8" s="6"/>
      <c r="U8" s="85"/>
    </row>
    <row r="9" spans="1:21">
      <c r="A9" s="102" t="s">
        <v>9</v>
      </c>
      <c r="B9" s="106">
        <f>'Control panel'!B8</f>
        <v>2.0731266317763185E-2</v>
      </c>
      <c r="C9" s="178">
        <v>5.16958277280853E-2</v>
      </c>
      <c r="D9" s="223">
        <v>0.32648216646211403</v>
      </c>
      <c r="E9" s="223">
        <v>0.25154461105240938</v>
      </c>
      <c r="F9" s="224">
        <v>0.60846903584875167</v>
      </c>
      <c r="G9" s="224">
        <v>0.6311068208343743</v>
      </c>
      <c r="H9" s="224">
        <v>0.69909036020626758</v>
      </c>
      <c r="I9" s="224">
        <v>0.63944069654526281</v>
      </c>
      <c r="J9" s="224">
        <v>0.99999999999999978</v>
      </c>
      <c r="K9" s="224">
        <v>0.57555638609831095</v>
      </c>
      <c r="L9" s="225">
        <v>0.6706441294402975</v>
      </c>
      <c r="S9" s="84"/>
      <c r="T9" s="6"/>
      <c r="U9" s="85"/>
    </row>
    <row r="10" spans="1:21">
      <c r="A10" s="102" t="s">
        <v>10</v>
      </c>
      <c r="B10" s="106">
        <f>'Control panel'!B9</f>
        <v>3.0634868515694261E-2</v>
      </c>
      <c r="C10" s="178">
        <v>2.8296106893951258E-2</v>
      </c>
      <c r="D10" s="223">
        <v>0.16076897495152093</v>
      </c>
      <c r="E10" s="223">
        <v>0.48821318968101907</v>
      </c>
      <c r="F10" s="224">
        <v>0.86668583493806206</v>
      </c>
      <c r="G10" s="224">
        <v>0.87120901203593182</v>
      </c>
      <c r="H10" s="224">
        <v>0.74571542163255744</v>
      </c>
      <c r="I10" s="224">
        <v>0.64591301484464425</v>
      </c>
      <c r="J10" s="224">
        <v>0.57555638609831083</v>
      </c>
      <c r="K10" s="224">
        <v>1.0000000000000002</v>
      </c>
      <c r="L10" s="225">
        <v>0.79740125449060317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4.6750473476693526E-2</v>
      </c>
      <c r="C11" s="179">
        <v>3.9623116873055711E-2</v>
      </c>
      <c r="D11" s="226">
        <v>0.20064050365322861</v>
      </c>
      <c r="E11" s="226">
        <v>0.39542795937264957</v>
      </c>
      <c r="F11" s="227">
        <v>0.86259221475724557</v>
      </c>
      <c r="G11" s="227">
        <v>0.86536847063850963</v>
      </c>
      <c r="H11" s="227">
        <v>0.88603334197313832</v>
      </c>
      <c r="I11" s="227">
        <v>0.78448428807756676</v>
      </c>
      <c r="J11" s="227">
        <v>0.67064412944029761</v>
      </c>
      <c r="K11" s="227">
        <v>0.79740125449060328</v>
      </c>
      <c r="L11" s="228">
        <v>1.0000000000000002</v>
      </c>
    </row>
    <row r="12" spans="1:21">
      <c r="A12" s="84"/>
      <c r="B12" s="110" t="s">
        <v>89</v>
      </c>
      <c r="C12" s="85">
        <v>9.982328688488358E-2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80"/>
      <c r="H17" s="380"/>
      <c r="I17" s="380"/>
      <c r="J17" s="380"/>
    </row>
    <row r="18" spans="1:24">
      <c r="D18" s="98"/>
      <c r="E18" s="98"/>
      <c r="S18" s="84"/>
      <c r="T18" s="380"/>
      <c r="U18" s="380"/>
      <c r="V18" s="380"/>
      <c r="W18" s="380"/>
      <c r="X18" s="380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59">
        <v>3.2492969125133414E-2</v>
      </c>
      <c r="D25" s="359">
        <v>-8.65324500372157E-2</v>
      </c>
      <c r="E25" s="359">
        <v>5.1526244290784291E-2</v>
      </c>
      <c r="F25" s="359">
        <v>-0.43934344866388231</v>
      </c>
      <c r="G25" s="359">
        <v>-0.41627425662388229</v>
      </c>
      <c r="H25" s="360">
        <v>0.27529934429078429</v>
      </c>
      <c r="I25" s="178">
        <f t="shared" ref="I25:I31" si="1">+SUMPRODUCT(B25:H25,$B$33:$H$33)</f>
        <v>3.2492969125133414E-2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3.1398195419985959E-2</v>
      </c>
      <c r="C26" s="359">
        <v>1.45681608513176E-2</v>
      </c>
      <c r="D26" s="359">
        <v>-2.1111513867647543E-2</v>
      </c>
      <c r="E26" s="359">
        <v>3.2357333960853253E-3</v>
      </c>
      <c r="F26" s="359">
        <v>-0.41802644813429485</v>
      </c>
      <c r="G26" s="359">
        <v>-0.17149574156312622</v>
      </c>
      <c r="H26" s="360">
        <v>0.25817653707968463</v>
      </c>
      <c r="I26" s="178">
        <f t="shared" si="1"/>
        <v>1.45681608513176E-2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5.6592124614748239E-2</v>
      </c>
      <c r="C27" s="359">
        <v>-1.272492445230269E-2</v>
      </c>
      <c r="D27" s="359">
        <v>-0.19311368459773193</v>
      </c>
      <c r="E27" s="359">
        <v>4.3944352615336905E-2</v>
      </c>
      <c r="F27" s="359">
        <v>-0.5992014650452413</v>
      </c>
      <c r="G27" s="359">
        <v>-0.47126055414190038</v>
      </c>
      <c r="H27" s="360">
        <v>0.40935864013329615</v>
      </c>
      <c r="I27" s="178">
        <f t="shared" si="1"/>
        <v>-1.272492445230269E-2</v>
      </c>
      <c r="J27" s="76"/>
    </row>
    <row r="28" spans="1:24">
      <c r="A28" s="18" t="s">
        <v>8</v>
      </c>
      <c r="B28" s="21">
        <f t="shared" si="0"/>
        <v>5.6149706770970371E-2</v>
      </c>
      <c r="C28" s="359">
        <v>5.7893485302571407E-2</v>
      </c>
      <c r="D28" s="359">
        <v>-6.9261756645690273E-2</v>
      </c>
      <c r="E28" s="359">
        <v>7.474963400472559E-2</v>
      </c>
      <c r="F28" s="359">
        <v>-0.42661422498990775</v>
      </c>
      <c r="G28" s="359">
        <v>-0.26558788944909251</v>
      </c>
      <c r="H28" s="360">
        <v>0.37672139820686834</v>
      </c>
      <c r="I28" s="178">
        <f t="shared" si="1"/>
        <v>5.7893485302571407E-2</v>
      </c>
      <c r="J28" s="94"/>
      <c r="U28" s="95"/>
    </row>
    <row r="29" spans="1:24">
      <c r="A29" s="18" t="s">
        <v>9</v>
      </c>
      <c r="B29" s="21">
        <f t="shared" si="0"/>
        <v>5.16958277280853E-2</v>
      </c>
      <c r="C29" s="359">
        <v>9.5036056352725468E-2</v>
      </c>
      <c r="D29" s="359">
        <v>1.202667991596415E-2</v>
      </c>
      <c r="E29" s="359">
        <v>8.5249207175964209E-2</v>
      </c>
      <c r="F29" s="359">
        <v>-0.52128297967070236</v>
      </c>
      <c r="G29" s="359">
        <v>-0.54077311463070243</v>
      </c>
      <c r="H29" s="360">
        <v>0.621322616702631</v>
      </c>
      <c r="I29" s="178">
        <f t="shared" si="1"/>
        <v>9.5036056352725468E-2</v>
      </c>
      <c r="J29" s="96"/>
      <c r="U29" s="95"/>
    </row>
    <row r="30" spans="1:24">
      <c r="A30" s="18" t="s">
        <v>10</v>
      </c>
      <c r="B30" s="21">
        <f t="shared" si="0"/>
        <v>2.8296106893951258E-2</v>
      </c>
      <c r="C30" s="359">
        <v>1.8730269708989476E-2</v>
      </c>
      <c r="D30" s="359">
        <v>-4.6790508294452839E-2</v>
      </c>
      <c r="E30" s="359">
        <v>1.8215216611987023E-2</v>
      </c>
      <c r="F30" s="359">
        <v>-0.25630468560846492</v>
      </c>
      <c r="G30" s="359">
        <v>-6.931471876793301E-3</v>
      </c>
      <c r="H30" s="360">
        <v>0.28021842301080391</v>
      </c>
      <c r="I30" s="178">
        <f t="shared" si="1"/>
        <v>1.8730269708989476E-2</v>
      </c>
      <c r="J30" s="96"/>
      <c r="U30" s="95"/>
    </row>
    <row r="31" spans="1:24" ht="13.5" thickBot="1">
      <c r="A31" s="22" t="s">
        <v>11</v>
      </c>
      <c r="B31" s="25">
        <f t="shared" si="0"/>
        <v>3.9623116873055711E-2</v>
      </c>
      <c r="C31" s="361">
        <v>-5.9825766089863959E-3</v>
      </c>
      <c r="D31" s="361">
        <v>-0.13956067047136589</v>
      </c>
      <c r="E31" s="361">
        <v>2.7964399001126676E-2</v>
      </c>
      <c r="F31" s="361">
        <v>-0.45200242221105646</v>
      </c>
      <c r="G31" s="361">
        <v>-0.48031312669988807</v>
      </c>
      <c r="H31" s="362">
        <v>0.41038049782760322</v>
      </c>
      <c r="I31" s="364">
        <f t="shared" si="1"/>
        <v>-5.9825766089863959E-3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2.1902060143614423E-2</v>
      </c>
      <c r="D35" s="303">
        <f>SUMPRODUCT(D24:D31,'Control panel'!$F$3:$F$10)</f>
        <v>-1.0173873121557951E-2</v>
      </c>
      <c r="E35" s="303">
        <f>SUMPRODUCT(E24:E31,'Control panel'!$F$3:$F$10)</f>
        <v>2.1997965302180744E-2</v>
      </c>
      <c r="F35" s="303">
        <f>SUMPRODUCT(F24:F31,'Control panel'!$F$3:$F$10)</f>
        <v>-0.18642983852989264</v>
      </c>
      <c r="G35" s="303">
        <f>SUMPRODUCT(G24:G31,'Control panel'!$F$3:$F$10)</f>
        <v>-0.32524721751339963</v>
      </c>
      <c r="H35" s="303">
        <f>SUMPRODUCT(H24:H31,'Control panel'!$F$3:$F$10)</f>
        <v>0.16952178948964705</v>
      </c>
      <c r="I35" s="305">
        <f>SUMPRODUCT(I24:I31,'Control panel'!$F$3:$F$10)</f>
        <v>2.1902060143614423E-2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C4" sqref="C4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84" t="s">
        <v>3</v>
      </c>
      <c r="E3" s="384"/>
      <c r="F3" s="384"/>
      <c r="G3" s="384"/>
      <c r="H3" s="384"/>
      <c r="I3" s="384"/>
      <c r="J3" s="384"/>
      <c r="K3" s="38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4.345014939985381E-2</v>
      </c>
      <c r="D4" s="111">
        <f>Scenarios!E4</f>
        <v>0.99999999999999989</v>
      </c>
      <c r="E4" s="112">
        <f>Scenarios!F4</f>
        <v>0.52433002849962862</v>
      </c>
      <c r="F4" s="112">
        <f>Scenarios!G4</f>
        <v>0.50486215833038961</v>
      </c>
      <c r="G4" s="112">
        <f>Scenarios!H4</f>
        <v>0.25487540297217309</v>
      </c>
      <c r="H4" s="112">
        <f>Scenarios!I4</f>
        <v>0.29680815083804041</v>
      </c>
      <c r="I4" s="112">
        <f>Scenarios!J4</f>
        <v>0.25154461105240933</v>
      </c>
      <c r="J4" s="112">
        <f>Scenarios!K4</f>
        <v>0.48821318968101901</v>
      </c>
      <c r="K4" s="113">
        <f>Scenarios!L4</f>
        <v>0.39542795937264941</v>
      </c>
      <c r="L4" s="239" t="s">
        <v>120</v>
      </c>
      <c r="N4" s="36">
        <f t="array" ref="N4:U11">+D4:K11*TRANSPOSE(C4:C11)*C4:C11</f>
        <v>1.887915482869616E-3</v>
      </c>
      <c r="O4" s="36">
        <v>3.6117928425709253E-3</v>
      </c>
      <c r="P4" s="36">
        <v>3.5574712018520516E-3</v>
      </c>
      <c r="Q4" s="36">
        <v>3.1804465394088544E-3</v>
      </c>
      <c r="R4" s="36">
        <v>3.819436817379819E-3</v>
      </c>
      <c r="S4" s="36">
        <v>3.568336114612949E-3</v>
      </c>
      <c r="T4" s="36">
        <v>3.4103819813548729E-3</v>
      </c>
      <c r="U4" s="36">
        <v>3.4472855342971773E-3</v>
      </c>
    </row>
    <row r="5" spans="1:21">
      <c r="A5" s="41" t="s">
        <v>5</v>
      </c>
      <c r="B5" s="42">
        <f>Scenarios!B25</f>
        <v>0.03</v>
      </c>
      <c r="C5" s="42">
        <f>Scenarios!D5</f>
        <v>0.15853561014014847</v>
      </c>
      <c r="D5" s="111">
        <f>Scenarios!E5</f>
        <v>0.5243300284996284</v>
      </c>
      <c r="E5" s="112">
        <f>Scenarios!F5</f>
        <v>1</v>
      </c>
      <c r="F5" s="112">
        <f>Scenarios!G5</f>
        <v>0.94338322745767289</v>
      </c>
      <c r="G5" s="112">
        <f>Scenarios!H5</f>
        <v>0.74070013517974964</v>
      </c>
      <c r="H5" s="112">
        <f>Scenarios!I5</f>
        <v>0.74187676376193956</v>
      </c>
      <c r="I5" s="112">
        <f>Scenarios!J5</f>
        <v>0.60846903584875156</v>
      </c>
      <c r="J5" s="112">
        <f>Scenarios!K5</f>
        <v>0.86668583493806206</v>
      </c>
      <c r="K5" s="113">
        <f>Scenarios!L5</f>
        <v>0.86259221475724557</v>
      </c>
      <c r="N5" s="36">
        <v>3.6117928425709236E-3</v>
      </c>
      <c r="O5" s="36">
        <v>2.5133539682509146E-2</v>
      </c>
      <c r="P5" s="36">
        <v>2.42544973313066E-2</v>
      </c>
      <c r="Q5" s="36">
        <v>3.3723927940032879E-2</v>
      </c>
      <c r="R5" s="36">
        <v>3.4832996012383759E-2</v>
      </c>
      <c r="S5" s="36">
        <v>3.149377892134287E-2</v>
      </c>
      <c r="T5" s="36">
        <v>2.2089748417517992E-2</v>
      </c>
      <c r="U5" s="36">
        <v>2.7437906502276666E-2</v>
      </c>
    </row>
    <row r="6" spans="1:21">
      <c r="A6" s="41" t="s">
        <v>6</v>
      </c>
      <c r="B6" s="42">
        <f>Scenarios!B26</f>
        <v>3.1398195419985959E-2</v>
      </c>
      <c r="C6" s="42">
        <f>Scenarios!D6</f>
        <v>0.16217253275473525</v>
      </c>
      <c r="D6" s="111">
        <f>Scenarios!E6</f>
        <v>0.50486215833038939</v>
      </c>
      <c r="E6" s="112">
        <f>Scenarios!F6</f>
        <v>0.943383227457673</v>
      </c>
      <c r="F6" s="112">
        <f>Scenarios!G6</f>
        <v>1</v>
      </c>
      <c r="G6" s="112">
        <f>Scenarios!H6</f>
        <v>0.77223648924957744</v>
      </c>
      <c r="H6" s="112">
        <f>Scenarios!I6</f>
        <v>0.79023745754825636</v>
      </c>
      <c r="I6" s="112">
        <f>Scenarios!J6</f>
        <v>0.63110682083437419</v>
      </c>
      <c r="J6" s="112">
        <f>Scenarios!K6</f>
        <v>0.87120901203593171</v>
      </c>
      <c r="K6" s="113">
        <f>Scenarios!L6</f>
        <v>0.86536847063850975</v>
      </c>
      <c r="N6" s="36">
        <v>3.5574712018520502E-3</v>
      </c>
      <c r="O6" s="36">
        <v>2.42544973313066E-2</v>
      </c>
      <c r="P6" s="36">
        <v>2.6299930380085677E-2</v>
      </c>
      <c r="Q6" s="36">
        <v>3.5966362616362865E-2</v>
      </c>
      <c r="R6" s="36">
        <v>3.7954838153009651E-2</v>
      </c>
      <c r="S6" s="36">
        <v>3.3414859318395565E-2</v>
      </c>
      <c r="T6" s="36">
        <v>2.271443305379434E-2</v>
      </c>
      <c r="U6" s="36">
        <v>2.8157686969952241E-2</v>
      </c>
    </row>
    <row r="7" spans="1:21">
      <c r="A7" s="41" t="s">
        <v>7</v>
      </c>
      <c r="B7" s="42">
        <f>Scenarios!B27</f>
        <v>5.6592124614748239E-2</v>
      </c>
      <c r="C7" s="42">
        <f>Scenarios!D7</f>
        <v>0.28718972670468956</v>
      </c>
      <c r="D7" s="111">
        <f>Scenarios!E7</f>
        <v>0.2548754029721732</v>
      </c>
      <c r="E7" s="112">
        <f>Scenarios!F7</f>
        <v>0.74070013517974975</v>
      </c>
      <c r="F7" s="112">
        <f>Scenarios!G7</f>
        <v>0.77223648924957744</v>
      </c>
      <c r="G7" s="112">
        <f>Scenarios!H7</f>
        <v>1</v>
      </c>
      <c r="H7" s="112">
        <f>Scenarios!I7</f>
        <v>0.81106497730540505</v>
      </c>
      <c r="I7" s="112">
        <f>Scenarios!J7</f>
        <v>0.69909036020626758</v>
      </c>
      <c r="J7" s="112">
        <f>Scenarios!K7</f>
        <v>0.74571542163255744</v>
      </c>
      <c r="K7" s="113">
        <f>Scenarios!L7</f>
        <v>0.88603334197313832</v>
      </c>
      <c r="N7" s="36">
        <v>3.1804465394088561E-3</v>
      </c>
      <c r="O7" s="36">
        <v>3.3723927940032886E-2</v>
      </c>
      <c r="P7" s="36">
        <v>3.5966362616362865E-2</v>
      </c>
      <c r="Q7" s="36">
        <v>8.2477939124714281E-2</v>
      </c>
      <c r="R7" s="36">
        <v>6.8985335649692545E-2</v>
      </c>
      <c r="S7" s="36">
        <v>6.5548336970937676E-2</v>
      </c>
      <c r="T7" s="36">
        <v>3.4430574368130892E-2</v>
      </c>
      <c r="U7" s="36">
        <v>5.1054917016870496E-2</v>
      </c>
    </row>
    <row r="8" spans="1:21">
      <c r="A8" s="41" t="s">
        <v>8</v>
      </c>
      <c r="B8" s="42">
        <f>Scenarios!B28</f>
        <v>5.6149706770970371E-2</v>
      </c>
      <c r="C8" s="42">
        <f>Scenarios!D8</f>
        <v>0.29616397669669142</v>
      </c>
      <c r="D8" s="111">
        <f>Scenarios!E8</f>
        <v>0.29680815083804063</v>
      </c>
      <c r="E8" s="112">
        <f>Scenarios!F8</f>
        <v>0.74187676376193967</v>
      </c>
      <c r="F8" s="112">
        <f>Scenarios!G8</f>
        <v>0.79023745754825636</v>
      </c>
      <c r="G8" s="112">
        <f>Scenarios!H8</f>
        <v>0.81106497730540505</v>
      </c>
      <c r="H8" s="112">
        <f>Scenarios!I8</f>
        <v>0.99999999999999978</v>
      </c>
      <c r="I8" s="112">
        <f>Scenarios!J8</f>
        <v>0.63944069654526292</v>
      </c>
      <c r="J8" s="112">
        <f>Scenarios!K8</f>
        <v>0.64591301484464436</v>
      </c>
      <c r="K8" s="113">
        <f>Scenarios!L8</f>
        <v>0.78448428807756676</v>
      </c>
      <c r="N8" s="36">
        <v>3.8194368173798217E-3</v>
      </c>
      <c r="O8" s="36">
        <v>3.4832996012383766E-2</v>
      </c>
      <c r="P8" s="36">
        <v>3.7954838153009651E-2</v>
      </c>
      <c r="Q8" s="36">
        <v>6.8985335649692545E-2</v>
      </c>
      <c r="R8" s="36">
        <v>8.7713101092798368E-2</v>
      </c>
      <c r="S8" s="36">
        <v>6.1828964000340367E-2</v>
      </c>
      <c r="T8" s="36">
        <v>3.0754488693050051E-2</v>
      </c>
      <c r="U8" s="36">
        <v>4.6616009330699086E-2</v>
      </c>
    </row>
    <row r="9" spans="1:21">
      <c r="A9" s="41" t="s">
        <v>9</v>
      </c>
      <c r="B9" s="42">
        <f>Scenarios!B29</f>
        <v>5.16958277280853E-2</v>
      </c>
      <c r="C9" s="42">
        <f>Scenarios!D9</f>
        <v>0.32648216646211403</v>
      </c>
      <c r="D9" s="111">
        <f>Scenarios!E9</f>
        <v>0.25154461105240938</v>
      </c>
      <c r="E9" s="112">
        <f>Scenarios!F9</f>
        <v>0.60846903584875167</v>
      </c>
      <c r="F9" s="112">
        <f>Scenarios!G9</f>
        <v>0.6311068208343743</v>
      </c>
      <c r="G9" s="112">
        <f>Scenarios!H9</f>
        <v>0.69909036020626758</v>
      </c>
      <c r="H9" s="112">
        <f>Scenarios!I9</f>
        <v>0.63944069654526281</v>
      </c>
      <c r="I9" s="112">
        <f>Scenarios!J9</f>
        <v>0.99999999999999978</v>
      </c>
      <c r="J9" s="112">
        <f>Scenarios!K9</f>
        <v>0.57555638609831095</v>
      </c>
      <c r="K9" s="113">
        <f>Scenarios!L9</f>
        <v>0.6706441294402975</v>
      </c>
      <c r="N9" s="36">
        <v>3.5683361146129494E-3</v>
      </c>
      <c r="O9" s="36">
        <v>3.1493778921342877E-2</v>
      </c>
      <c r="P9" s="36">
        <v>3.3414859318395572E-2</v>
      </c>
      <c r="Q9" s="36">
        <v>6.5548336970937676E-2</v>
      </c>
      <c r="R9" s="36">
        <v>6.182896400034036E-2</v>
      </c>
      <c r="S9" s="36">
        <v>0.10659060501779552</v>
      </c>
      <c r="T9" s="36">
        <v>3.0209920570797095E-2</v>
      </c>
      <c r="U9" s="36">
        <v>4.3930910080429195E-2</v>
      </c>
    </row>
    <row r="10" spans="1:21">
      <c r="A10" s="41" t="s">
        <v>10</v>
      </c>
      <c r="B10" s="42">
        <f>Scenarios!B30</f>
        <v>2.8296106893951258E-2</v>
      </c>
      <c r="C10" s="42">
        <f>Scenarios!D10</f>
        <v>0.16076897495152093</v>
      </c>
      <c r="D10" s="111">
        <f>Scenarios!E10</f>
        <v>0.48821318968101907</v>
      </c>
      <c r="E10" s="112">
        <f>Scenarios!F10</f>
        <v>0.86668583493806206</v>
      </c>
      <c r="F10" s="112">
        <f>Scenarios!G10</f>
        <v>0.87120901203593182</v>
      </c>
      <c r="G10" s="112">
        <f>Scenarios!H10</f>
        <v>0.74571542163255744</v>
      </c>
      <c r="H10" s="112">
        <f>Scenarios!I10</f>
        <v>0.64591301484464425</v>
      </c>
      <c r="I10" s="112">
        <f>Scenarios!J10</f>
        <v>0.57555638609831083</v>
      </c>
      <c r="J10" s="112">
        <f>Scenarios!K10</f>
        <v>1.0000000000000002</v>
      </c>
      <c r="K10" s="113">
        <f>Scenarios!L10</f>
        <v>0.79740125449060317</v>
      </c>
      <c r="N10" s="36">
        <v>3.4103819813548733E-3</v>
      </c>
      <c r="O10" s="36">
        <v>2.2089748417517995E-2</v>
      </c>
      <c r="P10" s="36">
        <v>2.2714433053794343E-2</v>
      </c>
      <c r="Q10" s="36">
        <v>3.4430574368130892E-2</v>
      </c>
      <c r="R10" s="36">
        <v>3.0754488693050048E-2</v>
      </c>
      <c r="S10" s="36">
        <v>3.0209920570797091E-2</v>
      </c>
      <c r="T10" s="36">
        <v>2.5846663306962767E-2</v>
      </c>
      <c r="U10" s="36">
        <v>2.5721587353605819E-2</v>
      </c>
    </row>
    <row r="11" spans="1:21" ht="13.5" thickBot="1">
      <c r="A11" s="43" t="s">
        <v>11</v>
      </c>
      <c r="B11" s="44">
        <f>Scenarios!B31</f>
        <v>3.9623116873055711E-2</v>
      </c>
      <c r="C11" s="44">
        <f>Scenarios!D11</f>
        <v>0.20064050365322861</v>
      </c>
      <c r="D11" s="114">
        <f>Scenarios!E11</f>
        <v>0.39542795937264957</v>
      </c>
      <c r="E11" s="115">
        <f>Scenarios!F11</f>
        <v>0.86259221475724557</v>
      </c>
      <c r="F11" s="115">
        <f>Scenarios!G11</f>
        <v>0.86536847063850963</v>
      </c>
      <c r="G11" s="115">
        <f>Scenarios!H11</f>
        <v>0.88603334197313832</v>
      </c>
      <c r="H11" s="115">
        <f>Scenarios!I11</f>
        <v>0.78448428807756676</v>
      </c>
      <c r="I11" s="115">
        <f>Scenarios!J11</f>
        <v>0.67064412944029761</v>
      </c>
      <c r="J11" s="115">
        <f>Scenarios!K11</f>
        <v>0.79740125449060328</v>
      </c>
      <c r="K11" s="116">
        <f>Scenarios!L11</f>
        <v>1.0000000000000002</v>
      </c>
      <c r="N11" s="36">
        <v>3.447285534297179E-3</v>
      </c>
      <c r="O11" s="36">
        <v>2.7437906502276666E-2</v>
      </c>
      <c r="P11" s="36">
        <v>2.8157686969952238E-2</v>
      </c>
      <c r="Q11" s="36">
        <v>5.1054917016870503E-2</v>
      </c>
      <c r="R11" s="36">
        <v>4.6616009330699093E-2</v>
      </c>
      <c r="S11" s="36">
        <v>4.3930910080429195E-2</v>
      </c>
      <c r="T11" s="36">
        <v>2.5721587353605819E-2</v>
      </c>
      <c r="U11" s="36">
        <v>4.0256611706221253E-2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83" t="s">
        <v>3</v>
      </c>
      <c r="E14" s="384"/>
      <c r="F14" s="384"/>
      <c r="G14" s="384"/>
      <c r="H14" s="384"/>
      <c r="I14" s="384"/>
      <c r="J14" s="384"/>
      <c r="K14" s="385"/>
    </row>
    <row r="15" spans="1:21">
      <c r="A15" s="41" t="s">
        <v>4</v>
      </c>
      <c r="B15" s="46">
        <f>Scenarios!C24</f>
        <v>-3.2445168309994665E-3</v>
      </c>
      <c r="C15" s="42">
        <f>C4</f>
        <v>4.345014939985381E-2</v>
      </c>
      <c r="D15" s="111">
        <f t="shared" ref="D15:K15" si="0">D4</f>
        <v>0.99999999999999989</v>
      </c>
      <c r="E15" s="112">
        <f t="shared" si="0"/>
        <v>0.52433002849962862</v>
      </c>
      <c r="F15" s="112">
        <f t="shared" si="0"/>
        <v>0.50486215833038961</v>
      </c>
      <c r="G15" s="112">
        <f t="shared" si="0"/>
        <v>0.25487540297217309</v>
      </c>
      <c r="H15" s="112">
        <f t="shared" si="0"/>
        <v>0.29680815083804041</v>
      </c>
      <c r="I15" s="112">
        <f t="shared" si="0"/>
        <v>0.25154461105240933</v>
      </c>
      <c r="J15" s="112">
        <f t="shared" si="0"/>
        <v>0.48821318968101901</v>
      </c>
      <c r="K15" s="113">
        <f t="shared" si="0"/>
        <v>0.39542795937264941</v>
      </c>
      <c r="L15" s="239" t="s">
        <v>120</v>
      </c>
    </row>
    <row r="16" spans="1:21">
      <c r="A16" s="41" t="s">
        <v>5</v>
      </c>
      <c r="B16" s="46">
        <f>Scenarios!C25</f>
        <v>3.2492969125133414E-2</v>
      </c>
      <c r="C16" s="42">
        <f t="shared" ref="C16:K16" si="1">C5</f>
        <v>0.15853561014014847</v>
      </c>
      <c r="D16" s="111">
        <f t="shared" si="1"/>
        <v>0.5243300284996284</v>
      </c>
      <c r="E16" s="112">
        <f t="shared" si="1"/>
        <v>1</v>
      </c>
      <c r="F16" s="112">
        <f t="shared" si="1"/>
        <v>0.94338322745767289</v>
      </c>
      <c r="G16" s="112">
        <f t="shared" si="1"/>
        <v>0.74070013517974964</v>
      </c>
      <c r="H16" s="112">
        <f t="shared" si="1"/>
        <v>0.74187676376193956</v>
      </c>
      <c r="I16" s="112">
        <f t="shared" si="1"/>
        <v>0.60846903584875156</v>
      </c>
      <c r="J16" s="112">
        <f t="shared" si="1"/>
        <v>0.86668583493806206</v>
      </c>
      <c r="K16" s="113">
        <f t="shared" si="1"/>
        <v>0.86259221475724557</v>
      </c>
    </row>
    <row r="17" spans="1:12">
      <c r="A17" s="41" t="s">
        <v>6</v>
      </c>
      <c r="B17" s="46">
        <f>Scenarios!C26</f>
        <v>1.45681608513176E-2</v>
      </c>
      <c r="C17" s="42">
        <f t="shared" ref="C17:K17" si="2">C6</f>
        <v>0.16217253275473525</v>
      </c>
      <c r="D17" s="111">
        <f t="shared" si="2"/>
        <v>0.50486215833038939</v>
      </c>
      <c r="E17" s="112">
        <f t="shared" si="2"/>
        <v>0.943383227457673</v>
      </c>
      <c r="F17" s="112">
        <f t="shared" si="2"/>
        <v>1</v>
      </c>
      <c r="G17" s="112">
        <f t="shared" si="2"/>
        <v>0.77223648924957744</v>
      </c>
      <c r="H17" s="112">
        <f t="shared" si="2"/>
        <v>0.79023745754825636</v>
      </c>
      <c r="I17" s="112">
        <f t="shared" si="2"/>
        <v>0.63110682083437419</v>
      </c>
      <c r="J17" s="112">
        <f t="shared" si="2"/>
        <v>0.87120901203593171</v>
      </c>
      <c r="K17" s="113">
        <f t="shared" si="2"/>
        <v>0.86536847063850975</v>
      </c>
    </row>
    <row r="18" spans="1:12">
      <c r="A18" s="41" t="s">
        <v>7</v>
      </c>
      <c r="B18" s="46">
        <f>Scenarios!C27</f>
        <v>-1.272492445230269E-2</v>
      </c>
      <c r="C18" s="42">
        <f t="shared" ref="C18:K18" si="3">C7</f>
        <v>0.28718972670468956</v>
      </c>
      <c r="D18" s="111">
        <f t="shared" si="3"/>
        <v>0.2548754029721732</v>
      </c>
      <c r="E18" s="112">
        <f t="shared" si="3"/>
        <v>0.74070013517974975</v>
      </c>
      <c r="F18" s="112">
        <f t="shared" si="3"/>
        <v>0.77223648924957744</v>
      </c>
      <c r="G18" s="112">
        <f t="shared" si="3"/>
        <v>1</v>
      </c>
      <c r="H18" s="112">
        <f t="shared" si="3"/>
        <v>0.81106497730540505</v>
      </c>
      <c r="I18" s="112">
        <f t="shared" si="3"/>
        <v>0.69909036020626758</v>
      </c>
      <c r="J18" s="112">
        <f t="shared" si="3"/>
        <v>0.74571542163255744</v>
      </c>
      <c r="K18" s="113">
        <f t="shared" si="3"/>
        <v>0.88603334197313832</v>
      </c>
    </row>
    <row r="19" spans="1:12">
      <c r="A19" s="41" t="s">
        <v>8</v>
      </c>
      <c r="B19" s="46">
        <f>Scenarios!C28</f>
        <v>5.7893485302571407E-2</v>
      </c>
      <c r="C19" s="42">
        <f t="shared" ref="C19:K19" si="4">C8</f>
        <v>0.29616397669669142</v>
      </c>
      <c r="D19" s="111">
        <f t="shared" si="4"/>
        <v>0.29680815083804063</v>
      </c>
      <c r="E19" s="112">
        <f t="shared" si="4"/>
        <v>0.74187676376193967</v>
      </c>
      <c r="F19" s="112">
        <f t="shared" si="4"/>
        <v>0.79023745754825636</v>
      </c>
      <c r="G19" s="112">
        <f t="shared" si="4"/>
        <v>0.81106497730540505</v>
      </c>
      <c r="H19" s="112">
        <f t="shared" si="4"/>
        <v>0.99999999999999978</v>
      </c>
      <c r="I19" s="112">
        <f t="shared" si="4"/>
        <v>0.63944069654526292</v>
      </c>
      <c r="J19" s="112">
        <f t="shared" si="4"/>
        <v>0.64591301484464436</v>
      </c>
      <c r="K19" s="113">
        <f t="shared" si="4"/>
        <v>0.78448428807756676</v>
      </c>
    </row>
    <row r="20" spans="1:12">
      <c r="A20" s="41" t="s">
        <v>9</v>
      </c>
      <c r="B20" s="46">
        <f>Scenarios!C29</f>
        <v>9.5036056352725468E-2</v>
      </c>
      <c r="C20" s="42">
        <f t="shared" ref="C20:K20" si="5">C9</f>
        <v>0.32648216646211403</v>
      </c>
      <c r="D20" s="111">
        <f t="shared" si="5"/>
        <v>0.25154461105240938</v>
      </c>
      <c r="E20" s="112">
        <f t="shared" si="5"/>
        <v>0.60846903584875167</v>
      </c>
      <c r="F20" s="112">
        <f t="shared" si="5"/>
        <v>0.6311068208343743</v>
      </c>
      <c r="G20" s="112">
        <f t="shared" si="5"/>
        <v>0.69909036020626758</v>
      </c>
      <c r="H20" s="112">
        <f t="shared" si="5"/>
        <v>0.63944069654526281</v>
      </c>
      <c r="I20" s="112">
        <f t="shared" si="5"/>
        <v>0.99999999999999978</v>
      </c>
      <c r="J20" s="112">
        <f t="shared" si="5"/>
        <v>0.57555638609831095</v>
      </c>
      <c r="K20" s="113">
        <f t="shared" si="5"/>
        <v>0.6706441294402975</v>
      </c>
    </row>
    <row r="21" spans="1:12">
      <c r="A21" s="41" t="s">
        <v>10</v>
      </c>
      <c r="B21" s="46">
        <f>Scenarios!C30</f>
        <v>1.8730269708989476E-2</v>
      </c>
      <c r="C21" s="42">
        <f t="shared" ref="C21:K21" si="6">C10</f>
        <v>0.16076897495152093</v>
      </c>
      <c r="D21" s="111">
        <f t="shared" si="6"/>
        <v>0.48821318968101907</v>
      </c>
      <c r="E21" s="112">
        <f t="shared" si="6"/>
        <v>0.86668583493806206</v>
      </c>
      <c r="F21" s="112">
        <f t="shared" si="6"/>
        <v>0.87120901203593182</v>
      </c>
      <c r="G21" s="112">
        <f t="shared" si="6"/>
        <v>0.74571542163255744</v>
      </c>
      <c r="H21" s="112">
        <f t="shared" si="6"/>
        <v>0.64591301484464425</v>
      </c>
      <c r="I21" s="112">
        <f t="shared" si="6"/>
        <v>0.57555638609831083</v>
      </c>
      <c r="J21" s="112">
        <f t="shared" si="6"/>
        <v>1.0000000000000002</v>
      </c>
      <c r="K21" s="113">
        <f t="shared" si="6"/>
        <v>0.79740125449060317</v>
      </c>
    </row>
    <row r="22" spans="1:12" ht="13.5" thickBot="1">
      <c r="A22" s="43" t="s">
        <v>11</v>
      </c>
      <c r="B22" s="47">
        <f>Scenarios!C31</f>
        <v>-5.9825766089863959E-3</v>
      </c>
      <c r="C22" s="44">
        <f t="shared" ref="C22:K22" si="7">C11</f>
        <v>0.20064050365322861</v>
      </c>
      <c r="D22" s="114">
        <f t="shared" si="7"/>
        <v>0.39542795937264957</v>
      </c>
      <c r="E22" s="115">
        <f t="shared" si="7"/>
        <v>0.86259221475724557</v>
      </c>
      <c r="F22" s="115">
        <f t="shared" si="7"/>
        <v>0.86536847063850963</v>
      </c>
      <c r="G22" s="115">
        <f t="shared" si="7"/>
        <v>0.88603334197313832</v>
      </c>
      <c r="H22" s="115">
        <f t="shared" si="7"/>
        <v>0.78448428807756676</v>
      </c>
      <c r="I22" s="115">
        <f t="shared" si="7"/>
        <v>0.67064412944029761</v>
      </c>
      <c r="J22" s="115">
        <f t="shared" si="7"/>
        <v>0.79740125449060328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83" t="s">
        <v>3</v>
      </c>
      <c r="E25" s="384"/>
      <c r="F25" s="384"/>
      <c r="G25" s="384"/>
      <c r="H25" s="384"/>
      <c r="I25" s="384"/>
      <c r="J25" s="384"/>
      <c r="K25" s="385"/>
    </row>
    <row r="26" spans="1:12">
      <c r="A26" s="41" t="s">
        <v>4</v>
      </c>
      <c r="B26" s="46">
        <f>Scenarios!D24</f>
        <v>-1.0761362748873404E-3</v>
      </c>
      <c r="C26" s="243">
        <f>C4</f>
        <v>4.345014939985381E-2</v>
      </c>
      <c r="D26" s="249">
        <f t="shared" ref="D26:K26" si="8">D4</f>
        <v>0.99999999999999989</v>
      </c>
      <c r="E26" s="250">
        <f t="shared" si="8"/>
        <v>0.52433002849962862</v>
      </c>
      <c r="F26" s="250">
        <f t="shared" si="8"/>
        <v>0.50486215833038961</v>
      </c>
      <c r="G26" s="250">
        <f t="shared" si="8"/>
        <v>0.25487540297217309</v>
      </c>
      <c r="H26" s="250">
        <f t="shared" si="8"/>
        <v>0.29680815083804041</v>
      </c>
      <c r="I26" s="250">
        <f t="shared" si="8"/>
        <v>0.25154461105240933</v>
      </c>
      <c r="J26" s="250">
        <f t="shared" si="8"/>
        <v>0.48821318968101901</v>
      </c>
      <c r="K26" s="251">
        <f t="shared" si="8"/>
        <v>0.39542795937264941</v>
      </c>
      <c r="L26" s="239" t="s">
        <v>120</v>
      </c>
    </row>
    <row r="27" spans="1:12">
      <c r="A27" s="41" t="s">
        <v>5</v>
      </c>
      <c r="B27" s="46">
        <f>Scenarios!D25</f>
        <v>-8.65324500372157E-2</v>
      </c>
      <c r="C27" s="243">
        <f t="shared" ref="C27:K27" si="9">C5</f>
        <v>0.15853561014014847</v>
      </c>
      <c r="D27" s="249">
        <f t="shared" si="9"/>
        <v>0.5243300284996284</v>
      </c>
      <c r="E27" s="250">
        <f t="shared" si="9"/>
        <v>1</v>
      </c>
      <c r="F27" s="250">
        <f t="shared" si="9"/>
        <v>0.94338322745767289</v>
      </c>
      <c r="G27" s="250">
        <f t="shared" si="9"/>
        <v>0.74070013517974964</v>
      </c>
      <c r="H27" s="250">
        <f t="shared" si="9"/>
        <v>0.74187676376193956</v>
      </c>
      <c r="I27" s="250">
        <f t="shared" si="9"/>
        <v>0.60846903584875156</v>
      </c>
      <c r="J27" s="250">
        <f t="shared" si="9"/>
        <v>0.86668583493806206</v>
      </c>
      <c r="K27" s="251">
        <f t="shared" si="9"/>
        <v>0.86259221475724557</v>
      </c>
    </row>
    <row r="28" spans="1:12">
      <c r="A28" s="41" t="s">
        <v>6</v>
      </c>
      <c r="B28" s="46">
        <f>Scenarios!D26</f>
        <v>-2.1111513867647543E-2</v>
      </c>
      <c r="C28" s="243">
        <f t="shared" ref="C28:K28" si="10">C6</f>
        <v>0.16217253275473525</v>
      </c>
      <c r="D28" s="249">
        <f t="shared" si="10"/>
        <v>0.50486215833038939</v>
      </c>
      <c r="E28" s="250">
        <f t="shared" si="10"/>
        <v>0.943383227457673</v>
      </c>
      <c r="F28" s="250">
        <f t="shared" si="10"/>
        <v>1</v>
      </c>
      <c r="G28" s="250">
        <f t="shared" si="10"/>
        <v>0.77223648924957744</v>
      </c>
      <c r="H28" s="250">
        <f t="shared" si="10"/>
        <v>0.79023745754825636</v>
      </c>
      <c r="I28" s="250">
        <f t="shared" si="10"/>
        <v>0.63110682083437419</v>
      </c>
      <c r="J28" s="250">
        <f t="shared" si="10"/>
        <v>0.87120901203593171</v>
      </c>
      <c r="K28" s="251">
        <f t="shared" si="10"/>
        <v>0.86536847063850975</v>
      </c>
    </row>
    <row r="29" spans="1:12">
      <c r="A29" s="41" t="s">
        <v>7</v>
      </c>
      <c r="B29" s="46">
        <f>Scenarios!D27</f>
        <v>-0.19311368459773193</v>
      </c>
      <c r="C29" s="243">
        <f t="shared" ref="C29:K29" si="11">C7</f>
        <v>0.28718972670468956</v>
      </c>
      <c r="D29" s="249">
        <f t="shared" si="11"/>
        <v>0.2548754029721732</v>
      </c>
      <c r="E29" s="250">
        <f t="shared" si="11"/>
        <v>0.74070013517974975</v>
      </c>
      <c r="F29" s="250">
        <f t="shared" si="11"/>
        <v>0.77223648924957744</v>
      </c>
      <c r="G29" s="250">
        <f t="shared" si="11"/>
        <v>1</v>
      </c>
      <c r="H29" s="250">
        <f t="shared" si="11"/>
        <v>0.81106497730540505</v>
      </c>
      <c r="I29" s="250">
        <f t="shared" si="11"/>
        <v>0.69909036020626758</v>
      </c>
      <c r="J29" s="250">
        <f t="shared" si="11"/>
        <v>0.74571542163255744</v>
      </c>
      <c r="K29" s="251">
        <f t="shared" si="11"/>
        <v>0.88603334197313832</v>
      </c>
    </row>
    <row r="30" spans="1:12">
      <c r="A30" s="41" t="s">
        <v>8</v>
      </c>
      <c r="B30" s="46">
        <f>Scenarios!D28</f>
        <v>-6.9261756645690273E-2</v>
      </c>
      <c r="C30" s="243">
        <f t="shared" ref="C30:K30" si="12">C8</f>
        <v>0.29616397669669142</v>
      </c>
      <c r="D30" s="249">
        <f t="shared" si="12"/>
        <v>0.29680815083804063</v>
      </c>
      <c r="E30" s="250">
        <f t="shared" si="12"/>
        <v>0.74187676376193967</v>
      </c>
      <c r="F30" s="250">
        <f t="shared" si="12"/>
        <v>0.79023745754825636</v>
      </c>
      <c r="G30" s="250">
        <f t="shared" si="12"/>
        <v>0.81106497730540505</v>
      </c>
      <c r="H30" s="250">
        <f t="shared" si="12"/>
        <v>0.99999999999999978</v>
      </c>
      <c r="I30" s="250">
        <f t="shared" si="12"/>
        <v>0.63944069654526292</v>
      </c>
      <c r="J30" s="250">
        <f t="shared" si="12"/>
        <v>0.64591301484464436</v>
      </c>
      <c r="K30" s="251">
        <f t="shared" si="12"/>
        <v>0.78448428807756676</v>
      </c>
    </row>
    <row r="31" spans="1:12">
      <c r="A31" s="41" t="s">
        <v>9</v>
      </c>
      <c r="B31" s="46">
        <f>Scenarios!D29</f>
        <v>1.202667991596415E-2</v>
      </c>
      <c r="C31" s="243">
        <f t="shared" ref="C31:K31" si="13">C9</f>
        <v>0.32648216646211403</v>
      </c>
      <c r="D31" s="249">
        <f t="shared" si="13"/>
        <v>0.25154461105240938</v>
      </c>
      <c r="E31" s="250">
        <f t="shared" si="13"/>
        <v>0.60846903584875167</v>
      </c>
      <c r="F31" s="250">
        <f t="shared" si="13"/>
        <v>0.6311068208343743</v>
      </c>
      <c r="G31" s="250">
        <f t="shared" si="13"/>
        <v>0.69909036020626758</v>
      </c>
      <c r="H31" s="250">
        <f t="shared" si="13"/>
        <v>0.63944069654526281</v>
      </c>
      <c r="I31" s="250">
        <f t="shared" si="13"/>
        <v>0.99999999999999978</v>
      </c>
      <c r="J31" s="250">
        <f t="shared" si="13"/>
        <v>0.57555638609831095</v>
      </c>
      <c r="K31" s="251">
        <f t="shared" si="13"/>
        <v>0.6706441294402975</v>
      </c>
    </row>
    <row r="32" spans="1:12">
      <c r="A32" s="41" t="s">
        <v>10</v>
      </c>
      <c r="B32" s="46">
        <f>Scenarios!D30</f>
        <v>-4.6790508294452839E-2</v>
      </c>
      <c r="C32" s="243">
        <f t="shared" ref="C32:K32" si="14">C10</f>
        <v>0.16076897495152093</v>
      </c>
      <c r="D32" s="249">
        <f t="shared" si="14"/>
        <v>0.48821318968101907</v>
      </c>
      <c r="E32" s="250">
        <f t="shared" si="14"/>
        <v>0.86668583493806206</v>
      </c>
      <c r="F32" s="250">
        <f t="shared" si="14"/>
        <v>0.87120901203593182</v>
      </c>
      <c r="G32" s="250">
        <f t="shared" si="14"/>
        <v>0.74571542163255744</v>
      </c>
      <c r="H32" s="250">
        <f t="shared" si="14"/>
        <v>0.64591301484464425</v>
      </c>
      <c r="I32" s="250">
        <f t="shared" si="14"/>
        <v>0.57555638609831083</v>
      </c>
      <c r="J32" s="250">
        <f t="shared" si="14"/>
        <v>1.0000000000000002</v>
      </c>
      <c r="K32" s="251">
        <f t="shared" si="14"/>
        <v>0.79740125449060317</v>
      </c>
    </row>
    <row r="33" spans="1:12" ht="13.5" thickBot="1">
      <c r="A33" s="43" t="s">
        <v>11</v>
      </c>
      <c r="B33" s="47">
        <f>Scenarios!D31</f>
        <v>-0.13956067047136589</v>
      </c>
      <c r="C33" s="246">
        <f t="shared" ref="C33:K33" si="15">C11</f>
        <v>0.20064050365322861</v>
      </c>
      <c r="D33" s="252">
        <f t="shared" si="15"/>
        <v>0.39542795937264957</v>
      </c>
      <c r="E33" s="253">
        <f t="shared" si="15"/>
        <v>0.86259221475724557</v>
      </c>
      <c r="F33" s="253">
        <f t="shared" si="15"/>
        <v>0.86536847063850963</v>
      </c>
      <c r="G33" s="253">
        <f t="shared" si="15"/>
        <v>0.88603334197313832</v>
      </c>
      <c r="H33" s="253">
        <f t="shared" si="15"/>
        <v>0.78448428807756676</v>
      </c>
      <c r="I33" s="253">
        <f t="shared" si="15"/>
        <v>0.67064412944029761</v>
      </c>
      <c r="J33" s="253">
        <f t="shared" si="15"/>
        <v>0.79740125449060328</v>
      </c>
      <c r="K33" s="254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83" t="s">
        <v>3</v>
      </c>
      <c r="E36" s="384"/>
      <c r="F36" s="384"/>
      <c r="G36" s="384"/>
      <c r="H36" s="384"/>
      <c r="I36" s="384"/>
      <c r="J36" s="384"/>
      <c r="K36" s="385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4.345014939985381E-2</v>
      </c>
      <c r="D37" s="249">
        <f t="shared" si="16"/>
        <v>0.99999999999999989</v>
      </c>
      <c r="E37" s="250">
        <f t="shared" si="16"/>
        <v>0.52433002849962862</v>
      </c>
      <c r="F37" s="250">
        <f t="shared" si="16"/>
        <v>0.50486215833038961</v>
      </c>
      <c r="G37" s="250">
        <f t="shared" si="16"/>
        <v>0.25487540297217309</v>
      </c>
      <c r="H37" s="250">
        <f t="shared" si="16"/>
        <v>0.29680815083804041</v>
      </c>
      <c r="I37" s="250">
        <f t="shared" si="16"/>
        <v>0.25154461105240933</v>
      </c>
      <c r="J37" s="250">
        <f t="shared" si="16"/>
        <v>0.48821318968101901</v>
      </c>
      <c r="K37" s="251">
        <f t="shared" si="16"/>
        <v>0.39542795937264941</v>
      </c>
      <c r="L37" s="239" t="s">
        <v>120</v>
      </c>
    </row>
    <row r="38" spans="1:12">
      <c r="A38" s="41" t="s">
        <v>5</v>
      </c>
      <c r="B38" s="46">
        <f>Scenarios!E25</f>
        <v>5.1526244290784291E-2</v>
      </c>
      <c r="C38" s="243">
        <f t="shared" ref="C38:K38" si="17">C16</f>
        <v>0.15853561014014847</v>
      </c>
      <c r="D38" s="249">
        <f t="shared" si="17"/>
        <v>0.5243300284996284</v>
      </c>
      <c r="E38" s="250">
        <f t="shared" si="17"/>
        <v>1</v>
      </c>
      <c r="F38" s="250">
        <f t="shared" si="17"/>
        <v>0.94338322745767289</v>
      </c>
      <c r="G38" s="250">
        <f t="shared" si="17"/>
        <v>0.74070013517974964</v>
      </c>
      <c r="H38" s="250">
        <f t="shared" si="17"/>
        <v>0.74187676376193956</v>
      </c>
      <c r="I38" s="250">
        <f t="shared" si="17"/>
        <v>0.60846903584875156</v>
      </c>
      <c r="J38" s="250">
        <f t="shared" si="17"/>
        <v>0.86668583493806206</v>
      </c>
      <c r="K38" s="251">
        <f t="shared" si="17"/>
        <v>0.86259221475724557</v>
      </c>
    </row>
    <row r="39" spans="1:12">
      <c r="A39" s="41" t="s">
        <v>6</v>
      </c>
      <c r="B39" s="46">
        <f>Scenarios!E26</f>
        <v>3.2357333960853253E-3</v>
      </c>
      <c r="C39" s="243">
        <f t="shared" ref="C39:K39" si="18">C17</f>
        <v>0.16217253275473525</v>
      </c>
      <c r="D39" s="249">
        <f t="shared" si="18"/>
        <v>0.50486215833038939</v>
      </c>
      <c r="E39" s="250">
        <f t="shared" si="18"/>
        <v>0.943383227457673</v>
      </c>
      <c r="F39" s="250">
        <f t="shared" si="18"/>
        <v>1</v>
      </c>
      <c r="G39" s="250">
        <f t="shared" si="18"/>
        <v>0.77223648924957744</v>
      </c>
      <c r="H39" s="250">
        <f t="shared" si="18"/>
        <v>0.79023745754825636</v>
      </c>
      <c r="I39" s="250">
        <f t="shared" si="18"/>
        <v>0.63110682083437419</v>
      </c>
      <c r="J39" s="250">
        <f t="shared" si="18"/>
        <v>0.87120901203593171</v>
      </c>
      <c r="K39" s="251">
        <f t="shared" si="18"/>
        <v>0.86536847063850975</v>
      </c>
    </row>
    <row r="40" spans="1:12">
      <c r="A40" s="41" t="s">
        <v>7</v>
      </c>
      <c r="B40" s="46">
        <f>Scenarios!E27</f>
        <v>4.3944352615336905E-2</v>
      </c>
      <c r="C40" s="243">
        <f t="shared" ref="C40:K40" si="19">C18</f>
        <v>0.28718972670468956</v>
      </c>
      <c r="D40" s="249">
        <f t="shared" si="19"/>
        <v>0.2548754029721732</v>
      </c>
      <c r="E40" s="250">
        <f t="shared" si="19"/>
        <v>0.74070013517974975</v>
      </c>
      <c r="F40" s="250">
        <f t="shared" si="19"/>
        <v>0.77223648924957744</v>
      </c>
      <c r="G40" s="250">
        <f t="shared" si="19"/>
        <v>1</v>
      </c>
      <c r="H40" s="250">
        <f t="shared" si="19"/>
        <v>0.81106497730540505</v>
      </c>
      <c r="I40" s="250">
        <f t="shared" si="19"/>
        <v>0.69909036020626758</v>
      </c>
      <c r="J40" s="250">
        <f t="shared" si="19"/>
        <v>0.74571542163255744</v>
      </c>
      <c r="K40" s="251">
        <f t="shared" si="19"/>
        <v>0.88603334197313832</v>
      </c>
    </row>
    <row r="41" spans="1:12">
      <c r="A41" s="41" t="s">
        <v>8</v>
      </c>
      <c r="B41" s="46">
        <f>Scenarios!E28</f>
        <v>7.474963400472559E-2</v>
      </c>
      <c r="C41" s="243">
        <f t="shared" ref="C41:K41" si="20">C19</f>
        <v>0.29616397669669142</v>
      </c>
      <c r="D41" s="249">
        <f t="shared" si="20"/>
        <v>0.29680815083804063</v>
      </c>
      <c r="E41" s="250">
        <f t="shared" si="20"/>
        <v>0.74187676376193967</v>
      </c>
      <c r="F41" s="250">
        <f t="shared" si="20"/>
        <v>0.79023745754825636</v>
      </c>
      <c r="G41" s="250">
        <f t="shared" si="20"/>
        <v>0.81106497730540505</v>
      </c>
      <c r="H41" s="250">
        <f t="shared" si="20"/>
        <v>0.99999999999999978</v>
      </c>
      <c r="I41" s="250">
        <f t="shared" si="20"/>
        <v>0.63944069654526292</v>
      </c>
      <c r="J41" s="250">
        <f t="shared" si="20"/>
        <v>0.64591301484464436</v>
      </c>
      <c r="K41" s="251">
        <f t="shared" si="20"/>
        <v>0.78448428807756676</v>
      </c>
    </row>
    <row r="42" spans="1:12">
      <c r="A42" s="41" t="s">
        <v>9</v>
      </c>
      <c r="B42" s="46">
        <f>Scenarios!E29</f>
        <v>8.5249207175964209E-2</v>
      </c>
      <c r="C42" s="243">
        <f t="shared" ref="C42:K42" si="21">C20</f>
        <v>0.32648216646211403</v>
      </c>
      <c r="D42" s="249">
        <f t="shared" si="21"/>
        <v>0.25154461105240938</v>
      </c>
      <c r="E42" s="250">
        <f t="shared" si="21"/>
        <v>0.60846903584875167</v>
      </c>
      <c r="F42" s="250">
        <f t="shared" si="21"/>
        <v>0.6311068208343743</v>
      </c>
      <c r="G42" s="250">
        <f t="shared" si="21"/>
        <v>0.69909036020626758</v>
      </c>
      <c r="H42" s="250">
        <f t="shared" si="21"/>
        <v>0.63944069654526281</v>
      </c>
      <c r="I42" s="250">
        <f t="shared" si="21"/>
        <v>0.99999999999999978</v>
      </c>
      <c r="J42" s="250">
        <f t="shared" si="21"/>
        <v>0.57555638609831095</v>
      </c>
      <c r="K42" s="251">
        <f t="shared" si="21"/>
        <v>0.6706441294402975</v>
      </c>
    </row>
    <row r="43" spans="1:12">
      <c r="A43" s="41" t="s">
        <v>10</v>
      </c>
      <c r="B43" s="46">
        <f>Scenarios!E30</f>
        <v>1.8215216611987023E-2</v>
      </c>
      <c r="C43" s="243">
        <f t="shared" ref="C43:K43" si="22">C21</f>
        <v>0.16076897495152093</v>
      </c>
      <c r="D43" s="249">
        <f t="shared" si="22"/>
        <v>0.48821318968101907</v>
      </c>
      <c r="E43" s="250">
        <f t="shared" si="22"/>
        <v>0.86668583493806206</v>
      </c>
      <c r="F43" s="250">
        <f t="shared" si="22"/>
        <v>0.87120901203593182</v>
      </c>
      <c r="G43" s="250">
        <f t="shared" si="22"/>
        <v>0.74571542163255744</v>
      </c>
      <c r="H43" s="250">
        <f t="shared" si="22"/>
        <v>0.64591301484464425</v>
      </c>
      <c r="I43" s="250">
        <f t="shared" si="22"/>
        <v>0.57555638609831083</v>
      </c>
      <c r="J43" s="250">
        <f t="shared" si="22"/>
        <v>1.0000000000000002</v>
      </c>
      <c r="K43" s="251">
        <f t="shared" si="22"/>
        <v>0.79740125449060317</v>
      </c>
    </row>
    <row r="44" spans="1:12" ht="13.5" thickBot="1">
      <c r="A44" s="43" t="s">
        <v>11</v>
      </c>
      <c r="B44" s="47">
        <f>Scenarios!E31</f>
        <v>2.7964399001126676E-2</v>
      </c>
      <c r="C44" s="246">
        <f t="shared" ref="C44:K44" si="23">C22</f>
        <v>0.20064050365322861</v>
      </c>
      <c r="D44" s="252">
        <f t="shared" si="23"/>
        <v>0.39542795937264957</v>
      </c>
      <c r="E44" s="253">
        <f t="shared" si="23"/>
        <v>0.86259221475724557</v>
      </c>
      <c r="F44" s="253">
        <f t="shared" si="23"/>
        <v>0.86536847063850963</v>
      </c>
      <c r="G44" s="253">
        <f t="shared" si="23"/>
        <v>0.88603334197313832</v>
      </c>
      <c r="H44" s="253">
        <f t="shared" si="23"/>
        <v>0.78448428807756676</v>
      </c>
      <c r="I44" s="253">
        <f t="shared" si="23"/>
        <v>0.67064412944029761</v>
      </c>
      <c r="J44" s="253">
        <f t="shared" si="23"/>
        <v>0.79740125449060328</v>
      </c>
      <c r="K44" s="254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86" t="s">
        <v>3</v>
      </c>
      <c r="E47" s="387"/>
      <c r="F47" s="387"/>
      <c r="G47" s="387"/>
      <c r="H47" s="387"/>
      <c r="I47" s="387"/>
      <c r="J47" s="387"/>
      <c r="K47" s="388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-0.43934344866388231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-0.41802644813429485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-0.5992014650452413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-0.42661422498990775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-0.52128297967070236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-0.25630468560846492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-0.45200242221105646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83" t="s">
        <v>3</v>
      </c>
      <c r="E58" s="384"/>
      <c r="F58" s="384"/>
      <c r="G58" s="384"/>
      <c r="H58" s="384"/>
      <c r="I58" s="384"/>
      <c r="J58" s="384"/>
      <c r="K58" s="385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-0.41627425662388229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-0.17149574156312622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-0.47126055414190038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-0.26558788944909251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-0.54077311463070243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-6.931471876793301E-3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-0.48031312669988807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83" t="s">
        <v>3</v>
      </c>
      <c r="E69" s="384"/>
      <c r="F69" s="384"/>
      <c r="G69" s="384"/>
      <c r="H69" s="384"/>
      <c r="I69" s="384"/>
      <c r="J69" s="384"/>
      <c r="K69" s="385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0.27529934429078429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0.25817653707968463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0.40935864013329615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0.37672139820686834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0.621322616702631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0.28021842301080391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0.41038049782760322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G34" sqref="G34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9" t="s">
        <v>16</v>
      </c>
      <c r="D2" s="390"/>
      <c r="E2" s="391" t="s">
        <v>17</v>
      </c>
      <c r="F2" s="392"/>
      <c r="G2" s="393" t="s">
        <v>33</v>
      </c>
      <c r="H2" s="39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4.6750473476693526E-2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O32" sqref="O32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9.982328688488358E-2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9.982328688488358E-2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9.982328688488358E-2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9.982328688488358E-2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9.982328688488358E-2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9.982328688488358E-2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9.982328688488358E-2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9.982328688488358E-2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tabSelected="1" workbookViewId="0">
      <selection activeCell="S32" sqref="S3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65" t="s">
        <v>149</v>
      </c>
      <c r="C2" s="366" t="s">
        <v>150</v>
      </c>
    </row>
    <row r="3" spans="1:17" ht="15.75" thickBot="1">
      <c r="A3" s="206" t="s">
        <v>151</v>
      </c>
      <c r="B3" s="367">
        <v>0</v>
      </c>
      <c r="C3" s="368">
        <v>0.15</v>
      </c>
    </row>
    <row r="5" spans="1:17" ht="15.75" thickBot="1"/>
    <row r="6" spans="1:17" ht="15.75" thickBot="1">
      <c r="A6" s="369" t="s">
        <v>152</v>
      </c>
      <c r="B6" s="370">
        <v>10</v>
      </c>
    </row>
    <row r="7" spans="1:17" ht="15.75" thickBot="1">
      <c r="A7" s="369" t="s">
        <v>164</v>
      </c>
      <c r="B7" s="370">
        <v>8</v>
      </c>
    </row>
    <row r="8" spans="1:17" ht="15.75" thickBot="1">
      <c r="A8" s="79"/>
    </row>
    <row r="9" spans="1:17" ht="15.75" thickBot="1">
      <c r="A9" s="371"/>
      <c r="B9" s="291" t="s">
        <v>30</v>
      </c>
      <c r="C9" s="291" t="s">
        <v>48</v>
      </c>
      <c r="G9" s="369" t="s">
        <v>153</v>
      </c>
      <c r="H9" s="369" t="s">
        <v>154</v>
      </c>
      <c r="I9" s="369" t="s">
        <v>155</v>
      </c>
      <c r="J9" s="369" t="s">
        <v>156</v>
      </c>
      <c r="K9" s="369" t="s">
        <v>157</v>
      </c>
      <c r="L9" s="369" t="s">
        <v>158</v>
      </c>
      <c r="M9" s="369" t="s">
        <v>159</v>
      </c>
      <c r="N9" s="369" t="s">
        <v>160</v>
      </c>
      <c r="O9" s="369" t="s">
        <v>161</v>
      </c>
      <c r="P9" s="369" t="s">
        <v>162</v>
      </c>
      <c r="Q9" s="369" t="s">
        <v>163</v>
      </c>
    </row>
    <row r="10" spans="1:17">
      <c r="A10" s="14" t="s">
        <v>4</v>
      </c>
      <c r="B10" s="373">
        <f>Scenarios!I24</f>
        <v>-3.2445168309994665E-3</v>
      </c>
      <c r="C10" s="15">
        <v>0</v>
      </c>
      <c r="F10" s="372" t="s">
        <v>4</v>
      </c>
      <c r="G10" s="372">
        <v>-3.2445168309994665E-3</v>
      </c>
      <c r="H10" s="372">
        <v>-3.2445168309994665E-3</v>
      </c>
      <c r="I10" s="372">
        <v>-3.2445168309994665E-3</v>
      </c>
      <c r="J10" s="372">
        <v>-3.2445168309994665E-3</v>
      </c>
      <c r="K10" s="372">
        <v>-3.2445168309994665E-3</v>
      </c>
      <c r="L10" s="372">
        <v>-3.2445168309994665E-3</v>
      </c>
      <c r="M10" s="372">
        <v>-3.2445168309994665E-3</v>
      </c>
      <c r="N10" s="372">
        <v>-3.2445168309994665E-3</v>
      </c>
      <c r="O10" s="372">
        <v>-3.2445168309994665E-3</v>
      </c>
      <c r="P10" s="372">
        <v>-3.2445168309994665E-3</v>
      </c>
      <c r="Q10" s="372">
        <v>-3.2445168309994665E-3</v>
      </c>
    </row>
    <row r="11" spans="1:17">
      <c r="A11" s="18" t="s">
        <v>5</v>
      </c>
      <c r="B11" s="373">
        <f>Scenarios!I25</f>
        <v>3.2492969125133414E-2</v>
      </c>
      <c r="C11" s="19">
        <v>0</v>
      </c>
      <c r="F11" s="373" t="s">
        <v>5</v>
      </c>
      <c r="G11" s="373">
        <v>3.2492969125133414E-2</v>
      </c>
      <c r="H11" s="373">
        <v>3.2492969125133414E-2</v>
      </c>
      <c r="I11" s="373">
        <v>3.2492969125133414E-2</v>
      </c>
      <c r="J11" s="373">
        <v>3.2492969125133414E-2</v>
      </c>
      <c r="K11" s="373">
        <v>3.2492969125133414E-2</v>
      </c>
      <c r="L11" s="373">
        <v>3.2492969125133414E-2</v>
      </c>
      <c r="M11" s="373">
        <v>3.2492969125133414E-2</v>
      </c>
      <c r="N11" s="373">
        <v>3.2492969125133414E-2</v>
      </c>
      <c r="O11" s="373">
        <v>3.2492969125133414E-2</v>
      </c>
      <c r="P11" s="373">
        <v>3.2492969125133414E-2</v>
      </c>
      <c r="Q11" s="373">
        <v>3.2492969125133414E-2</v>
      </c>
    </row>
    <row r="12" spans="1:17">
      <c r="A12" s="18" t="s">
        <v>6</v>
      </c>
      <c r="B12" s="373">
        <f>Scenarios!I26</f>
        <v>1.45681608513176E-2</v>
      </c>
      <c r="C12" s="19">
        <v>0</v>
      </c>
      <c r="F12" s="373" t="s">
        <v>6</v>
      </c>
      <c r="G12" s="373">
        <v>1.45681608513176E-2</v>
      </c>
      <c r="H12" s="373">
        <v>1.45681608513176E-2</v>
      </c>
      <c r="I12" s="373">
        <v>1.45681608513176E-2</v>
      </c>
      <c r="J12" s="373">
        <v>1.45681608513176E-2</v>
      </c>
      <c r="K12" s="373">
        <v>1.45681608513176E-2</v>
      </c>
      <c r="L12" s="373">
        <v>1.45681608513176E-2</v>
      </c>
      <c r="M12" s="373">
        <v>1.45681608513176E-2</v>
      </c>
      <c r="N12" s="373">
        <v>1.45681608513176E-2</v>
      </c>
      <c r="O12" s="373">
        <v>1.45681608513176E-2</v>
      </c>
      <c r="P12" s="373">
        <v>1.45681608513176E-2</v>
      </c>
      <c r="Q12" s="373">
        <v>1.45681608513176E-2</v>
      </c>
    </row>
    <row r="13" spans="1:17">
      <c r="A13" s="18" t="s">
        <v>7</v>
      </c>
      <c r="B13" s="373">
        <f>Scenarios!I27</f>
        <v>-1.272492445230269E-2</v>
      </c>
      <c r="C13" s="19">
        <v>0</v>
      </c>
      <c r="F13" s="373" t="s">
        <v>7</v>
      </c>
      <c r="G13" s="373">
        <v>0.12727507554769732</v>
      </c>
      <c r="H13" s="373">
        <v>0.12727507554769732</v>
      </c>
      <c r="I13" s="373">
        <v>0.12727507554769732</v>
      </c>
      <c r="J13" s="373">
        <v>0.12727507554769732</v>
      </c>
      <c r="K13" s="373">
        <v>0.12727507554769732</v>
      </c>
      <c r="L13" s="373">
        <v>0.12727507554769732</v>
      </c>
      <c r="M13" s="373">
        <v>0.12727507554769732</v>
      </c>
      <c r="N13" s="373">
        <v>0.12727507554769732</v>
      </c>
      <c r="O13" s="373">
        <v>0.12727507554769732</v>
      </c>
      <c r="P13" s="373">
        <v>0.12727507554769732</v>
      </c>
      <c r="Q13" s="373">
        <v>0.12727507554769732</v>
      </c>
    </row>
    <row r="14" spans="1:17">
      <c r="A14" s="18" t="s">
        <v>8</v>
      </c>
      <c r="B14" s="373">
        <f>Scenarios!I28</f>
        <v>5.7893485302571407E-2</v>
      </c>
      <c r="C14" s="19">
        <v>1</v>
      </c>
      <c r="F14" s="373" t="s">
        <v>8</v>
      </c>
      <c r="G14" s="373">
        <v>0</v>
      </c>
      <c r="H14" s="373">
        <v>1.4999999999999999E-2</v>
      </c>
      <c r="I14" s="373">
        <v>0.03</v>
      </c>
      <c r="J14" s="373">
        <v>4.4999999999999998E-2</v>
      </c>
      <c r="K14" s="373">
        <v>0.06</v>
      </c>
      <c r="L14" s="373">
        <v>7.4999999999999997E-2</v>
      </c>
      <c r="M14" s="373">
        <v>0.09</v>
      </c>
      <c r="N14" s="373">
        <v>0.105</v>
      </c>
      <c r="O14" s="373">
        <v>0.12</v>
      </c>
      <c r="P14" s="373">
        <v>0.13500000000000001</v>
      </c>
      <c r="Q14" s="373">
        <v>0.15</v>
      </c>
    </row>
    <row r="15" spans="1:17">
      <c r="A15" s="18" t="s">
        <v>9</v>
      </c>
      <c r="B15" s="373">
        <f>Scenarios!I29</f>
        <v>9.5036056352725468E-2</v>
      </c>
      <c r="C15" s="19">
        <v>0</v>
      </c>
      <c r="F15" s="373" t="s">
        <v>9</v>
      </c>
      <c r="G15" s="373">
        <v>9.5036056352725468E-2</v>
      </c>
      <c r="H15" s="373">
        <v>9.5036056352725468E-2</v>
      </c>
      <c r="I15" s="373">
        <v>9.5036056352725468E-2</v>
      </c>
      <c r="J15" s="373">
        <v>9.5036056352725468E-2</v>
      </c>
      <c r="K15" s="373">
        <v>9.5036056352725468E-2</v>
      </c>
      <c r="L15" s="373">
        <v>9.5036056352725468E-2</v>
      </c>
      <c r="M15" s="373">
        <v>9.5036056352725468E-2</v>
      </c>
      <c r="N15" s="373">
        <v>9.5036056352725468E-2</v>
      </c>
      <c r="O15" s="373">
        <v>9.5036056352725468E-2</v>
      </c>
      <c r="P15" s="373">
        <v>9.5036056352725468E-2</v>
      </c>
      <c r="Q15" s="373">
        <v>9.5036056352725468E-2</v>
      </c>
    </row>
    <row r="16" spans="1:17">
      <c r="A16" s="18" t="s">
        <v>10</v>
      </c>
      <c r="B16" s="373">
        <f>Scenarios!I30</f>
        <v>1.8730269708989476E-2</v>
      </c>
      <c r="C16" s="19">
        <v>0</v>
      </c>
      <c r="F16" s="373" t="s">
        <v>10</v>
      </c>
      <c r="G16" s="373">
        <v>1.8730269708989476E-2</v>
      </c>
      <c r="H16" s="373">
        <v>1.8730269708989476E-2</v>
      </c>
      <c r="I16" s="373">
        <v>1.8730269708989476E-2</v>
      </c>
      <c r="J16" s="373">
        <v>1.8730269708989476E-2</v>
      </c>
      <c r="K16" s="373">
        <v>1.8730269708989476E-2</v>
      </c>
      <c r="L16" s="373">
        <v>1.8730269708989476E-2</v>
      </c>
      <c r="M16" s="373">
        <v>1.8730269708989476E-2</v>
      </c>
      <c r="N16" s="373">
        <v>1.8730269708989476E-2</v>
      </c>
      <c r="O16" s="373">
        <v>1.8730269708989476E-2</v>
      </c>
      <c r="P16" s="373">
        <v>1.8730269708989476E-2</v>
      </c>
      <c r="Q16" s="373">
        <v>1.8730269708989476E-2</v>
      </c>
    </row>
    <row r="17" spans="1:17" ht="15.75" thickBot="1">
      <c r="A17" s="374" t="s">
        <v>11</v>
      </c>
      <c r="B17" s="373">
        <f>Scenarios!I31</f>
        <v>-5.9825766089863959E-3</v>
      </c>
      <c r="C17" s="376">
        <v>0</v>
      </c>
      <c r="F17" s="375" t="s">
        <v>11</v>
      </c>
      <c r="G17" s="375">
        <v>-5.9825766089863959E-3</v>
      </c>
      <c r="H17" s="375">
        <v>-5.9825766089863959E-3</v>
      </c>
      <c r="I17" s="375">
        <v>-5.9825766089863959E-3</v>
      </c>
      <c r="J17" s="375">
        <v>-5.9825766089863959E-3</v>
      </c>
      <c r="K17" s="375">
        <v>-5.9825766089863959E-3</v>
      </c>
      <c r="L17" s="375">
        <v>-5.9825766089863959E-3</v>
      </c>
      <c r="M17" s="375">
        <v>-5.9825766089863959E-3</v>
      </c>
      <c r="N17" s="375">
        <v>-5.9825766089863959E-3</v>
      </c>
      <c r="O17" s="375">
        <v>-5.9825766089863959E-3</v>
      </c>
      <c r="P17" s="375">
        <v>-5.9825766089863959E-3</v>
      </c>
      <c r="Q17" s="375">
        <v>-5.9825766089863959E-3</v>
      </c>
    </row>
    <row r="21" spans="1:17">
      <c r="G21" s="72">
        <v>0.65468829255836325</v>
      </c>
      <c r="H21" s="72">
        <v>0.65538794835663394</v>
      </c>
      <c r="I21" s="72">
        <v>0.6564826116565069</v>
      </c>
      <c r="J21" s="72">
        <v>0.6552710176574843</v>
      </c>
      <c r="K21" s="72">
        <v>0.65665331474358457</v>
      </c>
      <c r="L21" s="72">
        <v>0.65585569514322029</v>
      </c>
      <c r="M21" s="72">
        <v>0.65732982447822386</v>
      </c>
      <c r="N21" s="72">
        <v>0.65919805385609065</v>
      </c>
      <c r="O21" s="72">
        <v>0.65991931481970034</v>
      </c>
      <c r="P21" s="72">
        <v>0.66359093594119734</v>
      </c>
      <c r="Q21" s="72">
        <v>0.66822475702733708</v>
      </c>
    </row>
    <row r="22" spans="1:17">
      <c r="G22" s="72">
        <v>3.2060829055668504E-2</v>
      </c>
      <c r="H22" s="72">
        <v>3.1918661952996183E-2</v>
      </c>
      <c r="I22" s="72">
        <v>3.0446039264217684E-2</v>
      </c>
      <c r="J22" s="72">
        <v>3.2841479968716274E-2</v>
      </c>
      <c r="K22" s="72">
        <v>3.0127919209218298E-2</v>
      </c>
      <c r="L22" s="72">
        <v>3.0393077204475337E-2</v>
      </c>
      <c r="M22" s="72">
        <v>2.7724479235244844E-2</v>
      </c>
      <c r="N22" s="72">
        <v>2.5752133135575065E-2</v>
      </c>
      <c r="O22" s="72">
        <v>2.3940237740710749E-2</v>
      </c>
      <c r="P22" s="72">
        <v>2.1940877092487356E-2</v>
      </c>
      <c r="Q22" s="72">
        <v>2.0524627047764886E-2</v>
      </c>
    </row>
    <row r="23" spans="1:17">
      <c r="G23" s="72">
        <v>1.4177238286966683E-2</v>
      </c>
      <c r="H23" s="72">
        <v>1.4270299909536764E-2</v>
      </c>
      <c r="I23" s="72">
        <v>1.2978163674287757E-2</v>
      </c>
      <c r="J23" s="72">
        <v>1.301099177798019E-2</v>
      </c>
      <c r="K23" s="72">
        <v>1.2662363851665893E-2</v>
      </c>
      <c r="L23" s="72">
        <v>1.2590317397998801E-2</v>
      </c>
      <c r="M23" s="72">
        <v>1.1723260034445659E-2</v>
      </c>
      <c r="N23" s="72">
        <v>1.0506694825943236E-2</v>
      </c>
      <c r="O23" s="72">
        <v>1.0106531507323839E-2</v>
      </c>
      <c r="P23" s="72">
        <v>9.1750318177054192E-3</v>
      </c>
      <c r="Q23" s="72">
        <v>9.09120673792237E-3</v>
      </c>
    </row>
    <row r="24" spans="1:17">
      <c r="G24" s="72">
        <v>0.24593895892134554</v>
      </c>
      <c r="H24" s="72">
        <v>0.24568845482526522</v>
      </c>
      <c r="I24" s="72">
        <v>0.24801307602949652</v>
      </c>
      <c r="J24" s="72">
        <v>0.24375957408620141</v>
      </c>
      <c r="K24" s="72">
        <v>0.24383559845482825</v>
      </c>
      <c r="L24" s="72">
        <v>0.23963505521811806</v>
      </c>
      <c r="M24" s="72">
        <v>0.23672999774921732</v>
      </c>
      <c r="N24" s="72">
        <v>0.22239486039546943</v>
      </c>
      <c r="O24" s="72">
        <v>0.19363502883529585</v>
      </c>
      <c r="P24" s="72">
        <v>0.12431465974005412</v>
      </c>
      <c r="Q24" s="72">
        <v>7.0480047584072711E-2</v>
      </c>
    </row>
    <row r="25" spans="1:17">
      <c r="G25" s="72">
        <v>2.2987127494363837E-3</v>
      </c>
      <c r="H25" s="72">
        <v>2.9710321131587612E-3</v>
      </c>
      <c r="I25" s="72">
        <v>3.8116786073815567E-3</v>
      </c>
      <c r="J25" s="72">
        <v>5.0320256854056427E-3</v>
      </c>
      <c r="K25" s="72">
        <v>8.0713269149236457E-3</v>
      </c>
      <c r="L25" s="72">
        <v>1.2823235334727396E-2</v>
      </c>
      <c r="M25" s="72">
        <v>2.025362051282294E-2</v>
      </c>
      <c r="N25" s="72">
        <v>3.9015370753610598E-2</v>
      </c>
      <c r="O25" s="72">
        <v>7.4775936405553925E-2</v>
      </c>
      <c r="P25" s="72">
        <v>0.14550085422249878</v>
      </c>
      <c r="Q25" s="72">
        <v>0.1979027101964505</v>
      </c>
    </row>
    <row r="26" spans="1:17">
      <c r="G26" s="72">
        <v>2.7557112612408851E-2</v>
      </c>
      <c r="H26" s="72">
        <v>2.7525504393647645E-2</v>
      </c>
      <c r="I26" s="72">
        <v>2.5581876483202249E-2</v>
      </c>
      <c r="J26" s="72">
        <v>2.7415701809132508E-2</v>
      </c>
      <c r="K26" s="72">
        <v>2.6247816773846157E-2</v>
      </c>
      <c r="L26" s="72">
        <v>2.6951030880825948E-2</v>
      </c>
      <c r="M26" s="72">
        <v>2.4689079255811642E-2</v>
      </c>
      <c r="N26" s="72">
        <v>2.431602064044756E-2</v>
      </c>
      <c r="O26" s="72">
        <v>2.0067031265904627E-2</v>
      </c>
      <c r="P26" s="72">
        <v>1.8585441799905417E-2</v>
      </c>
      <c r="Q26" s="72">
        <v>1.5562096361972949E-2</v>
      </c>
    </row>
    <row r="27" spans="1:17">
      <c r="G27" s="72">
        <v>1.873282074038337E-2</v>
      </c>
      <c r="H27" s="72">
        <v>1.7697491835385958E-2</v>
      </c>
      <c r="I27" s="72">
        <v>1.8118319924909473E-2</v>
      </c>
      <c r="J27" s="72">
        <v>1.8240014384459758E-2</v>
      </c>
      <c r="K27" s="72">
        <v>1.7845076423512209E-2</v>
      </c>
      <c r="L27" s="72">
        <v>1.7643804494285993E-2</v>
      </c>
      <c r="M27" s="72">
        <v>1.7723620900423818E-2</v>
      </c>
      <c r="N27" s="72">
        <v>1.519777966585336E-2</v>
      </c>
      <c r="O27" s="72">
        <v>1.4158138635139841E-2</v>
      </c>
      <c r="P27" s="72">
        <v>1.3258528821758585E-2</v>
      </c>
      <c r="Q27" s="72">
        <v>1.4413901292987847E-2</v>
      </c>
    </row>
    <row r="28" spans="1:17">
      <c r="G28" s="72">
        <v>4.5460350754280374E-3</v>
      </c>
      <c r="H28" s="72">
        <v>4.5406066133755647E-3</v>
      </c>
      <c r="I28" s="72">
        <v>4.5682343599967954E-3</v>
      </c>
      <c r="J28" s="72">
        <v>4.4291946306204266E-3</v>
      </c>
      <c r="K28" s="72">
        <v>4.5565836284202701E-3</v>
      </c>
      <c r="L28" s="72">
        <v>4.1077843263487299E-3</v>
      </c>
      <c r="M28" s="72">
        <v>3.8261178338098215E-3</v>
      </c>
      <c r="N28" s="72">
        <v>3.6190867270101896E-3</v>
      </c>
      <c r="O28" s="72">
        <v>3.3977807903705754E-3</v>
      </c>
      <c r="P28" s="72">
        <v>3.6336705643928726E-3</v>
      </c>
      <c r="Q28" s="72">
        <v>3.8006537514914509E-3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10"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6"/>
      <c r="O2" s="397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0.38842610847061654</v>
      </c>
      <c r="H3" s="272">
        <v>0.28196528107481589</v>
      </c>
      <c r="I3" s="272">
        <v>0.15781326873153034</v>
      </c>
      <c r="J3" s="272">
        <v>8.9311685439999455E-2</v>
      </c>
      <c r="K3" s="272">
        <v>5.8981550206079758E-2</v>
      </c>
      <c r="L3" s="272">
        <v>2.3479565825963222E-2</v>
      </c>
      <c r="M3" s="272">
        <v>2.2540250995795041E-5</v>
      </c>
      <c r="N3" s="272">
        <v>0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0.55136924712091062</v>
      </c>
      <c r="C4" s="54">
        <v>1.557691429457278E-2</v>
      </c>
      <c r="D4" s="55">
        <v>0.54045609847011733</v>
      </c>
      <c r="E4" s="1">
        <v>0.55102193916426312</v>
      </c>
      <c r="F4" s="56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0.54045609847011733</v>
      </c>
      <c r="T4" s="52">
        <f>B4-D4</f>
        <v>1.0913148650793292E-2</v>
      </c>
      <c r="U4" s="52">
        <f>F4-B4</f>
        <v>1.0266547751632382E-2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8.5390213827363406E-2</v>
      </c>
      <c r="C5" s="54">
        <v>4.8129488839309176E-2</v>
      </c>
      <c r="D5" s="55">
        <v>4.6757011358724551E-2</v>
      </c>
      <c r="E5" s="1">
        <v>8.1969477076114461E-2</v>
      </c>
      <c r="F5" s="56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7"/>
      <c r="R5" s="51" t="str">
        <f t="shared" ref="R5:R11" si="0">A5</f>
        <v>High Yield</v>
      </c>
      <c r="S5" s="52">
        <f t="shared" ref="S5:S11" si="1">D5</f>
        <v>4.6757011358724551E-2</v>
      </c>
      <c r="T5" s="52">
        <f t="shared" ref="T5:T11" si="2">B5-D5</f>
        <v>3.8633202468638855E-2</v>
      </c>
      <c r="U5" s="52">
        <f t="shared" ref="U5:U11" si="3">F5-B5</f>
        <v>3.4639214860695863E-2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8.1005418334623963E-2</v>
      </c>
      <c r="C6" s="54">
        <v>4.6598083439187407E-2</v>
      </c>
      <c r="D6" s="55">
        <v>4.5865746399639182E-2</v>
      </c>
      <c r="E6" s="1">
        <v>7.5063866015439074E-2</v>
      </c>
      <c r="F6" s="56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7"/>
      <c r="R6" s="51" t="str">
        <f t="shared" si="0"/>
        <v>Emerging market debt</v>
      </c>
      <c r="S6" s="52">
        <f t="shared" si="1"/>
        <v>4.5865746399639182E-2</v>
      </c>
      <c r="T6" s="52">
        <f t="shared" si="2"/>
        <v>3.5139671934984781E-2</v>
      </c>
      <c r="U6" s="52">
        <f t="shared" si="3"/>
        <v>3.1887715400090277E-2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8.7140469492885175E-2</v>
      </c>
      <c r="C7" s="54">
        <v>2.3016557552947882E-2</v>
      </c>
      <c r="D7" s="55">
        <v>6.9831550110757118E-2</v>
      </c>
      <c r="E7" s="1">
        <v>8.7324469284577461E-2</v>
      </c>
      <c r="F7" s="56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7"/>
      <c r="R7" s="51" t="str">
        <f t="shared" si="0"/>
        <v>Aandelen ontwikkeld</v>
      </c>
      <c r="S7" s="52">
        <f t="shared" si="1"/>
        <v>6.9831550110757118E-2</v>
      </c>
      <c r="T7" s="52">
        <f t="shared" si="2"/>
        <v>1.7308919382128057E-2</v>
      </c>
      <c r="U7" s="52">
        <f t="shared" si="3"/>
        <v>1.6545227880896768E-2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5.4937266403263518E-2</v>
      </c>
      <c r="C8" s="54">
        <v>2.020443450449378E-2</v>
      </c>
      <c r="D8" s="55">
        <v>4.1674723609566276E-2</v>
      </c>
      <c r="E8" s="1">
        <v>5.4790744058679001E-2</v>
      </c>
      <c r="F8" s="56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7"/>
      <c r="R8" s="51" t="str">
        <f t="shared" si="0"/>
        <v>Aandelen opkomend</v>
      </c>
      <c r="S8" s="52">
        <f t="shared" si="1"/>
        <v>4.1674723609566276E-2</v>
      </c>
      <c r="T8" s="52">
        <f t="shared" si="2"/>
        <v>1.3262542793697242E-2</v>
      </c>
      <c r="U8" s="52">
        <f t="shared" si="3"/>
        <v>1.5326591238028583E-2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2.2503673046712587E-2</v>
      </c>
      <c r="C9" s="54">
        <v>1.2442451361832137E-2</v>
      </c>
      <c r="D9" s="55">
        <v>1.2928511675215838E-2</v>
      </c>
      <c r="E9" s="1">
        <v>2.2231051576160739E-2</v>
      </c>
      <c r="F9" s="56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7"/>
      <c r="R9" s="51" t="str">
        <f t="shared" si="0"/>
        <v>Commodities</v>
      </c>
      <c r="S9" s="52">
        <f t="shared" si="1"/>
        <v>1.2928511675215838E-2</v>
      </c>
      <c r="T9" s="52">
        <f t="shared" si="2"/>
        <v>9.5751613714967487E-3</v>
      </c>
      <c r="U9" s="52">
        <f t="shared" si="3"/>
        <v>9.6834024065061627E-3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5.6767380601991033E-2</v>
      </c>
      <c r="C10" s="54">
        <v>3.3553857590458654E-2</v>
      </c>
      <c r="D10" s="55">
        <v>2.8721691486864168E-2</v>
      </c>
      <c r="E10" s="1">
        <v>5.2772333613786623E-2</v>
      </c>
      <c r="F10" s="56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7"/>
      <c r="R10" s="51" t="str">
        <f t="shared" si="0"/>
        <v>Hedge funds</v>
      </c>
      <c r="S10" s="52">
        <f t="shared" si="1"/>
        <v>2.8721691486864168E-2</v>
      </c>
      <c r="T10" s="52">
        <f t="shared" si="2"/>
        <v>2.8045689115126865E-2</v>
      </c>
      <c r="U10" s="52">
        <f t="shared" si="3"/>
        <v>2.4466024369114089E-2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6.0886331172249931E-2</v>
      </c>
      <c r="C11" s="62">
        <v>3.6512799239895186E-2</v>
      </c>
      <c r="D11" s="63">
        <v>3.2607596871767411E-2</v>
      </c>
      <c r="E11" s="61">
        <v>5.7346315512002047E-2</v>
      </c>
      <c r="F11" s="64">
        <v>8.7862963033754946E-2</v>
      </c>
      <c r="G11" s="65">
        <v>-8.9235754279150828E-2</v>
      </c>
      <c r="H11" s="65">
        <v>-0.86922823076562494</v>
      </c>
      <c r="I11" s="65">
        <v>1</v>
      </c>
      <c r="J11" s="65">
        <v>-0.27418953262989837</v>
      </c>
      <c r="K11" s="65">
        <v>-0.30830252979955092</v>
      </c>
      <c r="L11" s="65">
        <v>-0.14654737584447319</v>
      </c>
      <c r="M11" s="65">
        <v>-8.0697938169871614E-2</v>
      </c>
      <c r="N11" s="65">
        <v>0.99999999999766809</v>
      </c>
      <c r="O11" s="66"/>
      <c r="R11" s="51" t="str">
        <f t="shared" si="0"/>
        <v>Onroerend goed</v>
      </c>
      <c r="S11" s="52">
        <f t="shared" si="1"/>
        <v>3.2607596871767411E-2</v>
      </c>
      <c r="T11" s="52">
        <f t="shared" si="2"/>
        <v>2.8278734300482521E-2</v>
      </c>
      <c r="U11" s="52">
        <f t="shared" si="3"/>
        <v>2.6976631861505014E-2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95" t="s">
        <v>64</v>
      </c>
      <c r="E13" s="396"/>
      <c r="F13" s="397"/>
      <c r="G13" s="395" t="s">
        <v>65</v>
      </c>
      <c r="H13" s="396"/>
      <c r="I13" s="396"/>
      <c r="J13" s="396"/>
      <c r="K13" s="396"/>
      <c r="L13" s="396"/>
      <c r="M13" s="396"/>
      <c r="N13" s="396"/>
      <c r="O13" s="397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0.793870753850349</v>
      </c>
      <c r="H14" s="272">
        <v>9.0032283068141039E-2</v>
      </c>
      <c r="I14" s="272">
        <v>7.4079883375709032E-2</v>
      </c>
      <c r="J14" s="272">
        <v>3.7381924491545204E-2</v>
      </c>
      <c r="K14" s="272">
        <v>2.9660592285682963E-3</v>
      </c>
      <c r="L14" s="272">
        <v>1.0855006994477945E-3</v>
      </c>
      <c r="M14" s="272">
        <v>5.8359528623763701E-4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0.63884131311996284</v>
      </c>
      <c r="C15" s="54">
        <v>3.3388435170532221E-2</v>
      </c>
      <c r="D15" s="55">
        <v>0.6155766536146553</v>
      </c>
      <c r="E15" s="1">
        <v>0.64262510968805775</v>
      </c>
      <c r="F15" s="56">
        <v>0.66431038682323595</v>
      </c>
      <c r="G15" s="2">
        <v>-0.56042177567045171</v>
      </c>
      <c r="H15" s="2">
        <v>0.18313749683766231</v>
      </c>
      <c r="I15" s="2">
        <v>-0.47652219504931431</v>
      </c>
      <c r="J15" s="2">
        <v>-0.33421197790326884</v>
      </c>
      <c r="K15" s="2">
        <v>-0.2548593858775865</v>
      </c>
      <c r="L15" s="2">
        <v>-0.69817593933227184</v>
      </c>
      <c r="M15" s="2">
        <v>-0.41375795201160609</v>
      </c>
      <c r="N15" s="2">
        <v>1</v>
      </c>
      <c r="O15" s="57"/>
      <c r="R15" s="51" t="str">
        <f>A15</f>
        <v>Nominale matching</v>
      </c>
      <c r="S15" s="52">
        <f>D15</f>
        <v>0.6155766536146553</v>
      </c>
      <c r="T15" s="52">
        <f>B15-D15</f>
        <v>2.3264659505307539E-2</v>
      </c>
      <c r="U15" s="52">
        <f>F15-B15</f>
        <v>2.5469073703273115E-2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8.9152415993890524E-2</v>
      </c>
      <c r="C16" s="54">
        <v>5.7583447950149025E-2</v>
      </c>
      <c r="D16" s="55">
        <v>4.3600169544033028E-2</v>
      </c>
      <c r="E16" s="1">
        <v>7.9182136751944354E-2</v>
      </c>
      <c r="F16" s="56">
        <v>0.12465809585601395</v>
      </c>
      <c r="G16" s="2">
        <v>1</v>
      </c>
      <c r="H16" s="2">
        <v>2.0851454662755609E-2</v>
      </c>
      <c r="I16" s="2">
        <v>-0.36798307719795231</v>
      </c>
      <c r="J16" s="2">
        <v>-0.21894270330411147</v>
      </c>
      <c r="K16" s="2">
        <v>-0.19361879854251043</v>
      </c>
      <c r="L16" s="2">
        <v>-4.1759760950414823E-2</v>
      </c>
      <c r="M16" s="2">
        <v>-0.18754647272114583</v>
      </c>
      <c r="N16" s="2">
        <v>0.99999999999999012</v>
      </c>
      <c r="O16" s="57"/>
      <c r="R16" s="51" t="str">
        <f t="shared" ref="R16:R22" si="5">A16</f>
        <v>High Yield</v>
      </c>
      <c r="S16" s="52">
        <f t="shared" ref="S16:S22" si="6">D16</f>
        <v>4.3600169544033028E-2</v>
      </c>
      <c r="T16" s="52">
        <f t="shared" ref="T16:T22" si="7">B16-D16</f>
        <v>4.5552246449857496E-2</v>
      </c>
      <c r="U16" s="52">
        <f t="shared" ref="U16:U22" si="8">F16-B16</f>
        <v>3.5505679862123427E-2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1.6180596839274166E-2</v>
      </c>
      <c r="C17" s="54">
        <v>1.3773782145671732E-2</v>
      </c>
      <c r="D17" s="55">
        <v>5.6764861630027308E-3</v>
      </c>
      <c r="E17" s="1">
        <v>1.2286490051609988E-2</v>
      </c>
      <c r="F17" s="56">
        <v>2.4079264019034787E-2</v>
      </c>
      <c r="G17" s="2">
        <v>-2.9331494303368628E-2</v>
      </c>
      <c r="H17" s="2">
        <v>-0.10731640699813987</v>
      </c>
      <c r="I17" s="2">
        <v>-0.13785581233579336</v>
      </c>
      <c r="J17" s="2">
        <v>1</v>
      </c>
      <c r="K17" s="2">
        <v>-0.13082800369604561</v>
      </c>
      <c r="L17" s="2">
        <v>-8.3879614338137301E-2</v>
      </c>
      <c r="M17" s="2">
        <v>-0.18020642906483089</v>
      </c>
      <c r="N17" s="2">
        <v>0.99999999999998956</v>
      </c>
      <c r="O17" s="57"/>
      <c r="R17" s="51" t="str">
        <f t="shared" si="5"/>
        <v>Emerging market debt</v>
      </c>
      <c r="S17" s="52">
        <f t="shared" si="6"/>
        <v>5.6764861630027308E-3</v>
      </c>
      <c r="T17" s="52">
        <f t="shared" si="7"/>
        <v>1.0504110676271435E-2</v>
      </c>
      <c r="U17" s="52">
        <f t="shared" si="8"/>
        <v>7.8986671797606212E-3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1.6946947243372027E-3</v>
      </c>
      <c r="C18" s="54">
        <v>1.8565137754232542E-3</v>
      </c>
      <c r="D18" s="55">
        <v>2.6526515614317753E-4</v>
      </c>
      <c r="E18" s="1">
        <v>9.7234691477604768E-4</v>
      </c>
      <c r="F18" s="56">
        <v>2.458815512760911E-3</v>
      </c>
      <c r="G18" s="2">
        <v>2.9943116588051274E-4</v>
      </c>
      <c r="H18" s="2">
        <v>6.5101509433286879E-3</v>
      </c>
      <c r="I18" s="2">
        <v>-9.0710263254931509E-3</v>
      </c>
      <c r="J18" s="2">
        <v>-1.4644759010299688E-2</v>
      </c>
      <c r="K18" s="2">
        <v>4.8428116128048657E-3</v>
      </c>
      <c r="L18" s="2">
        <v>-0.51720555602717433</v>
      </c>
      <c r="M18" s="2">
        <v>1</v>
      </c>
      <c r="N18" s="2">
        <v>0.99999999999997169</v>
      </c>
      <c r="O18" s="57"/>
      <c r="R18" s="51" t="str">
        <f t="shared" si="5"/>
        <v>Aandelen ontwikkeld</v>
      </c>
      <c r="S18" s="52">
        <f t="shared" si="6"/>
        <v>2.6526515614317753E-4</v>
      </c>
      <c r="T18" s="52">
        <f t="shared" si="7"/>
        <v>1.4294295681940251E-3</v>
      </c>
      <c r="U18" s="52">
        <f t="shared" si="8"/>
        <v>7.6412078842370834E-4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2.5254391686127226E-2</v>
      </c>
      <c r="C19" s="54">
        <v>1.9812412621961473E-2</v>
      </c>
      <c r="D19" s="55">
        <v>1.0406197405009143E-2</v>
      </c>
      <c r="E19" s="1">
        <v>2.0416540295551868E-2</v>
      </c>
      <c r="F19" s="56">
        <v>3.5705544932015471E-2</v>
      </c>
      <c r="G19" s="2">
        <v>-7.9343405454464944E-2</v>
      </c>
      <c r="H19" s="2">
        <v>1</v>
      </c>
      <c r="I19" s="2">
        <v>0.49663292229024469</v>
      </c>
      <c r="J19" s="2">
        <v>-2.4880744397344962E-2</v>
      </c>
      <c r="K19" s="2">
        <v>-0.14047120614789432</v>
      </c>
      <c r="L19" s="2">
        <v>0.50912100049277142</v>
      </c>
      <c r="M19" s="2">
        <v>3.785558898329322E-3</v>
      </c>
      <c r="N19" s="2">
        <v>0.99999999999998068</v>
      </c>
      <c r="O19" s="57"/>
      <c r="R19" s="51" t="str">
        <f t="shared" si="5"/>
        <v>Aandelen opkomend</v>
      </c>
      <c r="S19" s="52">
        <f t="shared" si="6"/>
        <v>1.0406197405009143E-2</v>
      </c>
      <c r="T19" s="52">
        <f t="shared" si="7"/>
        <v>1.4848194281118082E-2</v>
      </c>
      <c r="U19" s="52">
        <f t="shared" si="8"/>
        <v>1.0451153245888245E-2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0.19937901187906307</v>
      </c>
      <c r="C20" s="54">
        <v>2.1342483309186477E-2</v>
      </c>
      <c r="D20" s="55">
        <v>0.18484038086021393</v>
      </c>
      <c r="E20" s="1">
        <v>0.19966034838295904</v>
      </c>
      <c r="F20" s="56">
        <v>0.21566980437883349</v>
      </c>
      <c r="G20" s="2">
        <v>-0.31360110137459635</v>
      </c>
      <c r="H20" s="2">
        <v>-0.4707788425245143</v>
      </c>
      <c r="I20" s="2">
        <v>-0.48573585137353353</v>
      </c>
      <c r="J20" s="2">
        <v>-0.17880579092965412</v>
      </c>
      <c r="K20" s="2">
        <v>-0.11011845482494245</v>
      </c>
      <c r="L20" s="2">
        <v>1</v>
      </c>
      <c r="M20" s="2">
        <v>0.16963842895057998</v>
      </c>
      <c r="N20" s="2">
        <v>0.99999999999997446</v>
      </c>
      <c r="O20" s="57"/>
      <c r="R20" s="51" t="str">
        <f t="shared" si="5"/>
        <v>Commodities</v>
      </c>
      <c r="S20" s="52">
        <f t="shared" si="6"/>
        <v>0.18484038086021393</v>
      </c>
      <c r="T20" s="52">
        <f t="shared" si="7"/>
        <v>1.4538631018849141E-2</v>
      </c>
      <c r="U20" s="52">
        <f t="shared" si="8"/>
        <v>1.6290792499770418E-2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2.549361968294718E-2</v>
      </c>
      <c r="C21" s="54">
        <v>1.9237734565573303E-2</v>
      </c>
      <c r="D21" s="55">
        <v>1.0498635837818742E-2</v>
      </c>
      <c r="E21" s="1">
        <v>2.1157849483218812E-2</v>
      </c>
      <c r="F21" s="56">
        <v>3.5946781985662569E-2</v>
      </c>
      <c r="G21" s="2">
        <v>-1.6063822806494415E-2</v>
      </c>
      <c r="H21" s="2">
        <v>-0.64485774199312718</v>
      </c>
      <c r="I21" s="2">
        <v>1</v>
      </c>
      <c r="J21" s="2">
        <v>-0.17759067296206404</v>
      </c>
      <c r="K21" s="2">
        <v>-0.17494696252382047</v>
      </c>
      <c r="L21" s="2">
        <v>-0.1321286758796176</v>
      </c>
      <c r="M21" s="2">
        <v>-0.20506775725583351</v>
      </c>
      <c r="N21" s="2">
        <v>0.9999999999999909</v>
      </c>
      <c r="O21" s="57"/>
      <c r="R21" s="51" t="str">
        <f t="shared" si="5"/>
        <v>Hedge funds</v>
      </c>
      <c r="S21" s="52">
        <f t="shared" si="6"/>
        <v>1.0498635837818742E-2</v>
      </c>
      <c r="T21" s="52">
        <f t="shared" si="7"/>
        <v>1.4994983845128438E-2</v>
      </c>
      <c r="U21" s="52">
        <f t="shared" si="8"/>
        <v>1.0453162302715389E-2</v>
      </c>
    </row>
    <row r="22" spans="1:30">
      <c r="A22" s="60" t="str">
        <f t="shared" si="4"/>
        <v>Onroerend goed</v>
      </c>
      <c r="B22" s="286">
        <v>4.0039560743981373E-3</v>
      </c>
      <c r="C22" s="62">
        <v>3.9239983059554326E-3</v>
      </c>
      <c r="D22" s="63">
        <v>1.1170785589746234E-3</v>
      </c>
      <c r="E22" s="61">
        <v>2.5873946688405852E-3</v>
      </c>
      <c r="F22" s="64">
        <v>5.6139257697055802E-3</v>
      </c>
      <c r="G22" s="65">
        <v>-1.5378315565043159E-3</v>
      </c>
      <c r="H22" s="65">
        <v>1.2453889072035726E-2</v>
      </c>
      <c r="I22" s="65">
        <v>-1.946496000815728E-2</v>
      </c>
      <c r="J22" s="65">
        <v>-5.0923351493256573E-2</v>
      </c>
      <c r="K22" s="65">
        <v>1</v>
      </c>
      <c r="L22" s="65">
        <v>-3.5971453965138046E-2</v>
      </c>
      <c r="M22" s="65">
        <v>-0.18684537679546892</v>
      </c>
      <c r="N22" s="65">
        <v>0.99999999999998468</v>
      </c>
      <c r="O22" s="66"/>
      <c r="R22" s="51" t="str">
        <f t="shared" si="5"/>
        <v>Onroerend goed</v>
      </c>
      <c r="S22" s="52">
        <f t="shared" si="6"/>
        <v>1.1170785589746234E-3</v>
      </c>
      <c r="T22" s="52">
        <f t="shared" si="7"/>
        <v>2.8868775154235141E-3</v>
      </c>
      <c r="U22" s="52">
        <f t="shared" si="8"/>
        <v>1.6099696953074429E-3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95" t="s">
        <v>64</v>
      </c>
      <c r="E24" s="396"/>
      <c r="F24" s="397"/>
      <c r="G24" s="395" t="s">
        <v>65</v>
      </c>
      <c r="H24" s="396"/>
      <c r="I24" s="396"/>
      <c r="J24" s="396"/>
      <c r="K24" s="396"/>
      <c r="L24" s="396"/>
      <c r="M24" s="396"/>
      <c r="N24" s="396"/>
      <c r="O24" s="397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0.94253143676828777</v>
      </c>
      <c r="H25" s="272">
        <v>4.532412629492133E-2</v>
      </c>
      <c r="I25" s="272">
        <v>9.0017233777434091E-3</v>
      </c>
      <c r="J25" s="272">
        <v>1.7047845267519346E-3</v>
      </c>
      <c r="K25" s="272">
        <v>1.108365325975913E-3</v>
      </c>
      <c r="L25" s="272">
        <v>2.4528668855272606E-4</v>
      </c>
      <c r="M25" s="272">
        <v>8.427701776902996E-5</v>
      </c>
      <c r="N25" s="272">
        <v>0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0.78328071561288071</v>
      </c>
      <c r="C26" s="54">
        <v>4.4949055045451672E-2</v>
      </c>
      <c r="D26" s="55">
        <v>0.74659048455063393</v>
      </c>
      <c r="E26" s="1">
        <v>0.7779908362121255</v>
      </c>
      <c r="F26" s="56">
        <v>0.81621824544585664</v>
      </c>
      <c r="G26" s="68">
        <v>1</v>
      </c>
      <c r="H26" s="68">
        <v>-0.41129206286182252</v>
      </c>
      <c r="I26" s="68">
        <v>-0.33360597469587644</v>
      </c>
      <c r="J26" s="68">
        <v>-0.39848075457609228</v>
      </c>
      <c r="K26" s="68">
        <v>-7.1648585407850213E-2</v>
      </c>
      <c r="L26" s="68">
        <v>-0.16921503843523203</v>
      </c>
      <c r="M26" s="2">
        <v>-0.13330311921438928</v>
      </c>
      <c r="N26" s="2">
        <v>0.99999999999999944</v>
      </c>
      <c r="O26" s="69"/>
      <c r="R26" s="51" t="str">
        <f>A26</f>
        <v>Nominale matching</v>
      </c>
      <c r="S26" s="52">
        <f>D26</f>
        <v>0.74659048455063393</v>
      </c>
      <c r="T26" s="52">
        <f>B26-D26</f>
        <v>3.6690231062246781E-2</v>
      </c>
      <c r="U26" s="52">
        <f>F26-B26</f>
        <v>3.2937529832975931E-2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1.9077726566221387E-3</v>
      </c>
      <c r="C27" s="54">
        <v>2.1676205771686092E-3</v>
      </c>
      <c r="D27" s="55">
        <v>4.4624039680647536E-4</v>
      </c>
      <c r="E27" s="1">
        <v>1.1616677580811954E-3</v>
      </c>
      <c r="F27" s="56">
        <v>2.7584962519587343E-3</v>
      </c>
      <c r="G27" s="68">
        <v>-5.982121023048079E-3</v>
      </c>
      <c r="H27" s="68">
        <v>-6.7988676808736544E-3</v>
      </c>
      <c r="I27" s="68">
        <v>4.1508685061550414E-2</v>
      </c>
      <c r="J27" s="68">
        <v>1</v>
      </c>
      <c r="K27" s="68">
        <v>-0.73699371069913255</v>
      </c>
      <c r="L27" s="68">
        <v>-0.20537570976242411</v>
      </c>
      <c r="M27" s="2">
        <v>-0.12069117293912303</v>
      </c>
      <c r="N27" s="2">
        <v>0.99999999999998557</v>
      </c>
      <c r="O27" s="69"/>
      <c r="R27" s="51" t="str">
        <f t="shared" ref="R27:R33" si="10">A27</f>
        <v>High Yield</v>
      </c>
      <c r="S27" s="52">
        <f t="shared" ref="S27:S33" si="11">D27</f>
        <v>4.4624039680647536E-4</v>
      </c>
      <c r="T27" s="52">
        <f t="shared" ref="T27:T33" si="12">B27-D27</f>
        <v>1.4615322598156633E-3</v>
      </c>
      <c r="U27" s="52">
        <f t="shared" ref="U27:U33" si="13">F27-B27</f>
        <v>8.5072359533659562E-4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1.3595195293279591E-2</v>
      </c>
      <c r="C28" s="54">
        <v>1.1408837736874356E-2</v>
      </c>
      <c r="D28" s="55">
        <v>5.1174023303065183E-3</v>
      </c>
      <c r="E28" s="1">
        <v>1.1143586812791808E-2</v>
      </c>
      <c r="F28" s="56">
        <v>1.8683715609112271E-2</v>
      </c>
      <c r="G28" s="68">
        <v>-7.0744475668827952E-2</v>
      </c>
      <c r="H28" s="68">
        <v>1</v>
      </c>
      <c r="I28" s="68">
        <v>-0.33135843661495584</v>
      </c>
      <c r="J28" s="68">
        <v>-0.38520638333023183</v>
      </c>
      <c r="K28" s="68">
        <v>-6.7861721235359676E-2</v>
      </c>
      <c r="L28" s="68">
        <v>-0.1617076241198987</v>
      </c>
      <c r="M28" s="2">
        <v>-0.12971631821517587</v>
      </c>
      <c r="N28" s="2">
        <v>0.99999999999999734</v>
      </c>
      <c r="O28" s="69"/>
      <c r="R28" s="51" t="str">
        <f t="shared" si="10"/>
        <v>Emerging market debt</v>
      </c>
      <c r="S28" s="52">
        <f t="shared" si="11"/>
        <v>5.1174023303065183E-3</v>
      </c>
      <c r="T28" s="52">
        <f t="shared" si="12"/>
        <v>8.4777929629730724E-3</v>
      </c>
      <c r="U28" s="52">
        <f t="shared" si="13"/>
        <v>5.0885203158326803E-3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3.2570713579514895E-4</v>
      </c>
      <c r="C29" s="54">
        <v>5.3462815314748026E-4</v>
      </c>
      <c r="D29" s="55">
        <v>1.2907178347474162E-5</v>
      </c>
      <c r="E29" s="1">
        <v>1.0874476476746103E-4</v>
      </c>
      <c r="F29" s="56">
        <v>4.1546894876086317E-4</v>
      </c>
      <c r="G29" s="68">
        <v>-9.5847666017417053E-4</v>
      </c>
      <c r="H29" s="68">
        <v>-4.2754131157911575E-3</v>
      </c>
      <c r="I29" s="68">
        <v>2.16783210381577E-3</v>
      </c>
      <c r="J29" s="68">
        <v>-2.6868969170335691E-3</v>
      </c>
      <c r="K29" s="68">
        <v>1.71358581562218E-2</v>
      </c>
      <c r="L29" s="68">
        <v>6.1081915770190898E-2</v>
      </c>
      <c r="M29" s="2">
        <v>1</v>
      </c>
      <c r="N29" s="2">
        <v>0.99999999999986688</v>
      </c>
      <c r="O29" s="69"/>
      <c r="R29" s="51" t="str">
        <f t="shared" si="10"/>
        <v>Aandelen ontwikkeld</v>
      </c>
      <c r="S29" s="52">
        <f t="shared" si="11"/>
        <v>1.2907178347474162E-5</v>
      </c>
      <c r="T29" s="52">
        <f t="shared" si="12"/>
        <v>3.127999574476748E-4</v>
      </c>
      <c r="U29" s="52">
        <f t="shared" si="13"/>
        <v>8.9761812965714221E-5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1.677817707621187E-3</v>
      </c>
      <c r="C30" s="54">
        <v>1.9972994912901281E-3</v>
      </c>
      <c r="D30" s="55">
        <v>2.7108429391002652E-4</v>
      </c>
      <c r="E30" s="1">
        <v>9.8295523034614557E-4</v>
      </c>
      <c r="F30" s="56">
        <v>2.4374409755168504E-3</v>
      </c>
      <c r="G30" s="68">
        <v>-5.1435288661773456E-3</v>
      </c>
      <c r="H30" s="68">
        <v>-8.1729549398597851E-3</v>
      </c>
      <c r="I30" s="68">
        <v>1.1432592347476983E-2</v>
      </c>
      <c r="J30" s="68">
        <v>0.62556311385419017</v>
      </c>
      <c r="K30" s="68">
        <v>1</v>
      </c>
      <c r="L30" s="68">
        <v>-0.18765738361769826</v>
      </c>
      <c r="M30" s="2">
        <v>-0.14409451695638989</v>
      </c>
      <c r="N30" s="2">
        <v>0.99999999999998912</v>
      </c>
      <c r="O30" s="69"/>
      <c r="R30" s="51" t="str">
        <f t="shared" si="10"/>
        <v>Aandelen opkomend</v>
      </c>
      <c r="S30" s="52">
        <f t="shared" si="11"/>
        <v>2.7108429391002652E-4</v>
      </c>
      <c r="T30" s="52">
        <f t="shared" si="12"/>
        <v>1.4067334137111605E-3</v>
      </c>
      <c r="U30" s="52">
        <f t="shared" si="13"/>
        <v>7.596232678956634E-4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0.19346840744270685</v>
      </c>
      <c r="C31" s="54">
        <v>3.9959253207484162E-2</v>
      </c>
      <c r="D31" s="55">
        <v>0.16339629983999532</v>
      </c>
      <c r="E31" s="1">
        <v>0.19581357387615095</v>
      </c>
      <c r="F31" s="56">
        <v>0.22755348375183077</v>
      </c>
      <c r="G31" s="68">
        <v>-0.8831119695235542</v>
      </c>
      <c r="H31" s="68">
        <v>-0.54513418024124971</v>
      </c>
      <c r="I31" s="68">
        <v>-0.38692846728538988</v>
      </c>
      <c r="J31" s="68">
        <v>-0.4143186808748433</v>
      </c>
      <c r="K31" s="68">
        <v>-7.4528776698736657E-2</v>
      </c>
      <c r="L31" s="68">
        <v>-0.17365418171939517</v>
      </c>
      <c r="M31" s="2">
        <v>-0.13453978068433703</v>
      </c>
      <c r="N31" s="2">
        <v>1</v>
      </c>
      <c r="O31" s="69"/>
      <c r="R31" s="51" t="str">
        <f t="shared" si="10"/>
        <v>Commodities</v>
      </c>
      <c r="S31" s="52">
        <f t="shared" si="11"/>
        <v>0.16339629983999532</v>
      </c>
      <c r="T31" s="52">
        <f t="shared" si="12"/>
        <v>3.0072107602711534E-2</v>
      </c>
      <c r="U31" s="52">
        <f t="shared" si="13"/>
        <v>3.4085076309123913E-2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5.0365343344510854E-3</v>
      </c>
      <c r="C32" s="54">
        <v>5.245285373496898E-3</v>
      </c>
      <c r="D32" s="55">
        <v>1.2613832892028715E-3</v>
      </c>
      <c r="E32" s="1">
        <v>3.5554014467704897E-3</v>
      </c>
      <c r="F32" s="56">
        <v>6.6327672947640859E-3</v>
      </c>
      <c r="G32" s="68">
        <v>-3.1236851366311446E-2</v>
      </c>
      <c r="H32" s="68">
        <v>-1.6419498041326402E-2</v>
      </c>
      <c r="I32" s="68">
        <v>1</v>
      </c>
      <c r="J32" s="68">
        <v>-0.46940008826335683</v>
      </c>
      <c r="K32" s="68">
        <v>-5.613641060213697E-2</v>
      </c>
      <c r="L32" s="68">
        <v>-0.16347197811549152</v>
      </c>
      <c r="M32" s="2">
        <v>-0.13567093857543708</v>
      </c>
      <c r="N32" s="2">
        <v>0.99999999999999867</v>
      </c>
      <c r="O32" s="69"/>
      <c r="R32" s="51" t="str">
        <f t="shared" si="10"/>
        <v>Hedge funds</v>
      </c>
      <c r="S32" s="52">
        <f t="shared" si="11"/>
        <v>1.2613832892028715E-3</v>
      </c>
      <c r="T32" s="52">
        <f t="shared" si="12"/>
        <v>3.7751510452482141E-3</v>
      </c>
      <c r="U32" s="52">
        <f t="shared" si="13"/>
        <v>1.5962329603130005E-3</v>
      </c>
    </row>
    <row r="33" spans="1:30">
      <c r="A33" s="60" t="str">
        <f t="shared" si="9"/>
        <v>Onroerend goed</v>
      </c>
      <c r="B33" s="61">
        <v>7.0784981664355267E-4</v>
      </c>
      <c r="C33" s="62">
        <v>9.0525200038224214E-4</v>
      </c>
      <c r="D33" s="63">
        <v>9.0112776773304418E-5</v>
      </c>
      <c r="E33" s="61">
        <v>3.3469627245593097E-4</v>
      </c>
      <c r="F33" s="64">
        <v>1.0108229809801376E-3</v>
      </c>
      <c r="G33" s="70">
        <v>-2.8225768919066304E-3</v>
      </c>
      <c r="H33" s="70">
        <v>-7.907023119075221E-3</v>
      </c>
      <c r="I33" s="70">
        <v>-3.2162309166199974E-3</v>
      </c>
      <c r="J33" s="70">
        <v>4.4529690107389198E-2</v>
      </c>
      <c r="K33" s="70">
        <v>-9.9666535130040323E-3</v>
      </c>
      <c r="L33" s="70">
        <v>1</v>
      </c>
      <c r="M33" s="65">
        <v>-0.20198415341502848</v>
      </c>
      <c r="N33" s="65">
        <v>0.99999999999995148</v>
      </c>
      <c r="O33" s="71"/>
      <c r="R33" s="51" t="str">
        <f t="shared" si="10"/>
        <v>Onroerend goed</v>
      </c>
      <c r="S33" s="52">
        <f t="shared" si="11"/>
        <v>9.0112776773304418E-5</v>
      </c>
      <c r="T33" s="52">
        <f t="shared" si="12"/>
        <v>6.1773703987024831E-4</v>
      </c>
      <c r="U33" s="52">
        <f t="shared" si="13"/>
        <v>3.0297316433658492E-4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95" t="s">
        <v>64</v>
      </c>
      <c r="E35" s="396"/>
      <c r="F35" s="397"/>
      <c r="G35" s="395" t="s">
        <v>65</v>
      </c>
      <c r="H35" s="396"/>
      <c r="I35" s="396"/>
      <c r="J35" s="396"/>
      <c r="K35" s="396"/>
      <c r="L35" s="396"/>
      <c r="M35" s="396"/>
      <c r="N35" s="396"/>
      <c r="O35" s="397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0.78871922360021518</v>
      </c>
      <c r="H36" s="272">
        <v>0.13662749436942745</v>
      </c>
      <c r="I36" s="272">
        <v>3.7109636704326543E-2</v>
      </c>
      <c r="J36" s="272">
        <v>1.8359758608281651E-2</v>
      </c>
      <c r="K36" s="272">
        <v>1.1232378418607136E-2</v>
      </c>
      <c r="L36" s="272">
        <v>6.5060368190501539E-3</v>
      </c>
      <c r="M36" s="272">
        <v>1.4454714800923307E-3</v>
      </c>
      <c r="N36" s="272">
        <v>-2.2204460492503131E-16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0.50224217822971995</v>
      </c>
      <c r="C37" s="54">
        <v>2.7294445320792882E-2</v>
      </c>
      <c r="D37" s="55">
        <v>0.48221556051732301</v>
      </c>
      <c r="E37" s="1">
        <v>0.49946483614639714</v>
      </c>
      <c r="F37" s="56">
        <v>0.51904534970287974</v>
      </c>
      <c r="G37" s="2">
        <v>-0.41577588942961319</v>
      </c>
      <c r="H37" s="2">
        <v>7.481061156838513E-2</v>
      </c>
      <c r="I37" s="2">
        <v>-0.39688477319286353</v>
      </c>
      <c r="J37" s="2">
        <v>-0.15657973245735549</v>
      </c>
      <c r="K37" s="2">
        <v>0.1588307163732709</v>
      </c>
      <c r="L37" s="2">
        <v>-0.31760354056969964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0.48221556051732301</v>
      </c>
      <c r="T37" s="52">
        <f>B37-D37</f>
        <v>2.0026617712396944E-2</v>
      </c>
      <c r="U37" s="52">
        <f>F37-B37</f>
        <v>1.6803171473159795E-2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0.35478962257899305</v>
      </c>
      <c r="C38" s="54">
        <v>6.3800563928549756E-2</v>
      </c>
      <c r="D38" s="55">
        <v>0.31098204076122105</v>
      </c>
      <c r="E38" s="1">
        <v>0.35882680299595404</v>
      </c>
      <c r="F38" s="56">
        <v>0.3994292776455613</v>
      </c>
      <c r="G38" s="2">
        <v>1</v>
      </c>
      <c r="H38" s="2">
        <v>-0.14512687884780417</v>
      </c>
      <c r="I38" s="2">
        <v>-0.28155621835310524</v>
      </c>
      <c r="J38" s="2">
        <v>-0.23816705716560296</v>
      </c>
      <c r="K38" s="2">
        <v>-0.10999650438436712</v>
      </c>
      <c r="L38" s="2">
        <v>-0.15503126329848343</v>
      </c>
      <c r="M38" s="2">
        <v>8.5357946865054463E-2</v>
      </c>
      <c r="N38" s="2">
        <v>0.99999999999991684</v>
      </c>
      <c r="O38" s="57"/>
      <c r="R38" s="51" t="str">
        <f t="shared" ref="R38:R44" si="15">A38</f>
        <v>High Yield</v>
      </c>
      <c r="S38" s="52">
        <f t="shared" ref="S38:S44" si="16">D38</f>
        <v>0.31098204076122105</v>
      </c>
      <c r="T38" s="52">
        <f t="shared" ref="T38:T44" si="17">B38-D38</f>
        <v>4.3807581817772001E-2</v>
      </c>
      <c r="U38" s="52">
        <f t="shared" ref="U38:U44" si="18">F38-B38</f>
        <v>4.4639655066568251E-2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7.5078569998237024E-3</v>
      </c>
      <c r="C39" s="54">
        <v>6.2695299140085748E-3</v>
      </c>
      <c r="D39" s="55">
        <v>2.4598822319072703E-3</v>
      </c>
      <c r="E39" s="1">
        <v>6.1025756373224854E-3</v>
      </c>
      <c r="F39" s="56">
        <v>1.0555692085699208E-2</v>
      </c>
      <c r="G39" s="2">
        <v>8.9472545995746542E-4</v>
      </c>
      <c r="H39" s="2">
        <v>-5.8299802010407138E-3</v>
      </c>
      <c r="I39" s="2">
        <v>-3.2743705646323458E-2</v>
      </c>
      <c r="J39" s="2">
        <v>4.707837238107121E-2</v>
      </c>
      <c r="K39" s="2">
        <v>8.531691205240409E-2</v>
      </c>
      <c r="L39" s="2">
        <v>1</v>
      </c>
      <c r="M39" s="2">
        <v>0.25085944604142024</v>
      </c>
      <c r="N39" s="2">
        <v>0.99999999999991651</v>
      </c>
      <c r="O39" s="57"/>
      <c r="R39" s="51" t="str">
        <f t="shared" si="15"/>
        <v>Emerging market debt</v>
      </c>
      <c r="S39" s="52">
        <f t="shared" si="16"/>
        <v>2.4598822319072703E-3</v>
      </c>
      <c r="T39" s="52">
        <f t="shared" si="17"/>
        <v>5.047974767916432E-3</v>
      </c>
      <c r="U39" s="52">
        <f t="shared" si="18"/>
        <v>3.047835085875506E-3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8.011986515903775E-3</v>
      </c>
      <c r="C40" s="54">
        <v>7.9100345860492367E-3</v>
      </c>
      <c r="D40" s="55">
        <v>2.0305495539164053E-3</v>
      </c>
      <c r="E40" s="1">
        <v>5.5614344137194767E-3</v>
      </c>
      <c r="F40" s="56">
        <v>1.1729675859151027E-2</v>
      </c>
      <c r="G40" s="2">
        <v>-1.506833580378366E-3</v>
      </c>
      <c r="H40" s="2">
        <v>-5.5364827147361042E-3</v>
      </c>
      <c r="I40" s="2">
        <v>3.1011494773012047E-2</v>
      </c>
      <c r="J40" s="2">
        <v>0.24105648262007182</v>
      </c>
      <c r="K40" s="2">
        <v>1</v>
      </c>
      <c r="L40" s="2">
        <v>-0.15699570299117846</v>
      </c>
      <c r="M40" s="2">
        <v>-0.47781938186171946</v>
      </c>
      <c r="N40" s="2">
        <v>0.99999999999986666</v>
      </c>
      <c r="O40" s="57"/>
      <c r="R40" s="51" t="str">
        <f t="shared" si="15"/>
        <v>Aandelen ontwikkeld</v>
      </c>
      <c r="S40" s="52">
        <f t="shared" si="16"/>
        <v>2.0305495539164053E-3</v>
      </c>
      <c r="T40" s="52">
        <f t="shared" si="17"/>
        <v>5.9814369619873697E-3</v>
      </c>
      <c r="U40" s="52">
        <f t="shared" si="18"/>
        <v>3.7176893432472515E-3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3.3884336998753976E-2</v>
      </c>
      <c r="C41" s="54">
        <v>2.6176398538210664E-2</v>
      </c>
      <c r="D41" s="55">
        <v>1.3252922402653841E-2</v>
      </c>
      <c r="E41" s="1">
        <v>2.6706570024498999E-2</v>
      </c>
      <c r="F41" s="56">
        <v>5.0354547339143393E-2</v>
      </c>
      <c r="G41" s="2">
        <v>-0.16893817798355004</v>
      </c>
      <c r="H41" s="2">
        <v>1</v>
      </c>
      <c r="I41" s="2">
        <v>-0.13190838951910661</v>
      </c>
      <c r="J41" s="2">
        <v>-0.29237827953004314</v>
      </c>
      <c r="K41" s="2">
        <v>-0.29037128067198154</v>
      </c>
      <c r="L41" s="2">
        <v>-3.6142182511189516E-2</v>
      </c>
      <c r="M41" s="2">
        <v>-0.53359228441493245</v>
      </c>
      <c r="N41" s="2">
        <v>0.99999999999985867</v>
      </c>
      <c r="O41" s="57"/>
      <c r="R41" s="51" t="str">
        <f t="shared" si="15"/>
        <v>Aandelen opkomend</v>
      </c>
      <c r="S41" s="52">
        <f t="shared" si="16"/>
        <v>1.3252922402653841E-2</v>
      </c>
      <c r="T41" s="52">
        <f t="shared" si="17"/>
        <v>2.0631414596100135E-2</v>
      </c>
      <c r="U41" s="52">
        <f t="shared" si="18"/>
        <v>1.6470210340389417E-2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6.3345782262113653E-2</v>
      </c>
      <c r="C42" s="54">
        <v>3.3139051000478731E-2</v>
      </c>
      <c r="D42" s="55">
        <v>3.9491191388218876E-2</v>
      </c>
      <c r="E42" s="1">
        <v>6.2487136209745484E-2</v>
      </c>
      <c r="F42" s="56">
        <v>8.678586126620659E-2</v>
      </c>
      <c r="G42" s="2">
        <v>-0.41142171175099024</v>
      </c>
      <c r="H42" s="2">
        <v>-0.83933776507164748</v>
      </c>
      <c r="I42" s="2">
        <v>-0.20653070137652096</v>
      </c>
      <c r="J42" s="2">
        <v>-0.33873552910488325</v>
      </c>
      <c r="K42" s="2">
        <v>-0.29992079219807799</v>
      </c>
      <c r="L42" s="2">
        <v>-3.6692281198862281E-2</v>
      </c>
      <c r="M42" s="2">
        <v>-0.57564627915234079</v>
      </c>
      <c r="N42" s="2">
        <v>0.99999999999985612</v>
      </c>
      <c r="O42" s="57"/>
      <c r="R42" s="51" t="str">
        <f t="shared" si="15"/>
        <v>Commodities</v>
      </c>
      <c r="S42" s="52">
        <f t="shared" si="16"/>
        <v>3.9491191388218876E-2</v>
      </c>
      <c r="T42" s="52">
        <f t="shared" si="17"/>
        <v>2.3854590873894778E-2</v>
      </c>
      <c r="U42" s="52">
        <f t="shared" si="18"/>
        <v>2.3440079004092937E-2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1.8918343350395002E-2</v>
      </c>
      <c r="C43" s="54">
        <v>1.449354081492692E-2</v>
      </c>
      <c r="D43" s="55">
        <v>7.8922602013887927E-3</v>
      </c>
      <c r="E43" s="1">
        <v>1.551744764950307E-2</v>
      </c>
      <c r="F43" s="56">
        <v>2.6628649600344164E-2</v>
      </c>
      <c r="G43" s="2">
        <v>9.6007684858659369E-3</v>
      </c>
      <c r="H43" s="2">
        <v>-5.2130285383018234E-2</v>
      </c>
      <c r="I43" s="2">
        <v>1</v>
      </c>
      <c r="J43" s="2">
        <v>-0.26227425674325561</v>
      </c>
      <c r="K43" s="2">
        <v>-8.7909604610728997E-2</v>
      </c>
      <c r="L43" s="2">
        <v>-0.14153160651040353</v>
      </c>
      <c r="M43" s="2">
        <v>0.2547486041698428</v>
      </c>
      <c r="N43" s="2">
        <v>0.99999999999992806</v>
      </c>
      <c r="O43" s="57"/>
      <c r="R43" s="51" t="str">
        <f t="shared" si="15"/>
        <v>Hedge funds</v>
      </c>
      <c r="S43" s="52">
        <f t="shared" si="16"/>
        <v>7.8922602013887927E-3</v>
      </c>
      <c r="T43" s="52">
        <f t="shared" si="17"/>
        <v>1.1026083149006209E-2</v>
      </c>
      <c r="U43" s="52">
        <f t="shared" si="18"/>
        <v>7.7103062499491622E-3</v>
      </c>
    </row>
    <row r="44" spans="1:30">
      <c r="A44" s="60" t="str">
        <f t="shared" si="14"/>
        <v>Onroerend goed</v>
      </c>
      <c r="B44" s="61">
        <v>1.1299893064296632E-2</v>
      </c>
      <c r="C44" s="62">
        <v>1.0237036751756622E-2</v>
      </c>
      <c r="D44" s="63">
        <v>3.3790541981335341E-3</v>
      </c>
      <c r="E44" s="61">
        <v>8.3616457235650855E-3</v>
      </c>
      <c r="F44" s="64">
        <v>1.6329560621621258E-2</v>
      </c>
      <c r="G44" s="65">
        <v>-1.285288120129219E-2</v>
      </c>
      <c r="H44" s="65">
        <v>-2.6849219350138082E-2</v>
      </c>
      <c r="I44" s="65">
        <v>1.8612293314911193E-2</v>
      </c>
      <c r="J44" s="65">
        <v>1</v>
      </c>
      <c r="K44" s="65">
        <v>-0.45594944656052211</v>
      </c>
      <c r="L44" s="65">
        <v>-0.15600342292016972</v>
      </c>
      <c r="M44" s="65">
        <v>-3.9080516475019965E-3</v>
      </c>
      <c r="N44" s="65">
        <v>0.99999999999990485</v>
      </c>
      <c r="O44" s="66"/>
      <c r="R44" s="51" t="str">
        <f t="shared" si="15"/>
        <v>Onroerend goed</v>
      </c>
      <c r="S44" s="52">
        <f t="shared" si="16"/>
        <v>3.3790541981335341E-3</v>
      </c>
      <c r="T44" s="52">
        <f t="shared" si="17"/>
        <v>7.9208388661630991E-3</v>
      </c>
      <c r="U44" s="52">
        <f t="shared" si="18"/>
        <v>5.0296675573246255E-3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95" t="s">
        <v>64</v>
      </c>
      <c r="E46" s="396"/>
      <c r="F46" s="397"/>
      <c r="G46" s="395" t="s">
        <v>65</v>
      </c>
      <c r="H46" s="396"/>
      <c r="I46" s="396"/>
      <c r="J46" s="396"/>
      <c r="K46" s="396"/>
      <c r="L46" s="396"/>
      <c r="M46" s="396"/>
      <c r="N46" s="396"/>
      <c r="O46" s="397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0.63167042455531885</v>
      </c>
      <c r="H47" s="272">
        <v>0.13894436854693715</v>
      </c>
      <c r="I47" s="272">
        <v>6.421693960948438E-2</v>
      </c>
      <c r="J47" s="272">
        <v>5.8277039942023934E-2</v>
      </c>
      <c r="K47" s="272">
        <v>4.8245149523757469E-2</v>
      </c>
      <c r="L47" s="272">
        <v>3.4778016924208788E-2</v>
      </c>
      <c r="M47" s="272">
        <v>2.3868060898269206E-2</v>
      </c>
      <c r="N47" s="272">
        <v>-2.2204460492503131E-16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0.99951772230649738</v>
      </c>
      <c r="C48" s="54">
        <v>2.7618248141322692E-4</v>
      </c>
      <c r="D48" s="55">
        <v>0.99931780465692999</v>
      </c>
      <c r="E48" s="1">
        <v>0.99953037398481459</v>
      </c>
      <c r="F48" s="56">
        <v>0.99974379018238646</v>
      </c>
      <c r="G48" s="68">
        <v>1</v>
      </c>
      <c r="H48" s="68">
        <v>0.67992005193047256</v>
      </c>
      <c r="I48" s="68">
        <v>5.1230485358227619E-3</v>
      </c>
      <c r="J48" s="68">
        <v>-8.9064462512594172E-2</v>
      </c>
      <c r="K48" s="68">
        <v>-0.10889364460230755</v>
      </c>
      <c r="L48" s="68">
        <v>-0.1123318841786814</v>
      </c>
      <c r="M48" s="2">
        <v>-9.5388669615706967E-2</v>
      </c>
      <c r="N48" s="2">
        <v>0.99999999999994638</v>
      </c>
      <c r="O48" s="69"/>
      <c r="R48" s="51" t="str">
        <f>A48</f>
        <v>Nominale matching</v>
      </c>
      <c r="S48" s="52">
        <f>D48</f>
        <v>0.99931780465692999</v>
      </c>
      <c r="T48" s="52">
        <f>B48-D48</f>
        <v>1.9991764956739377E-4</v>
      </c>
      <c r="U48" s="52">
        <f>F48-B48</f>
        <v>2.2606787588907995E-4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6.5857399035425149E-5</v>
      </c>
      <c r="C49" s="54">
        <v>1.0687487560494308E-4</v>
      </c>
      <c r="D49" s="55">
        <v>1.0429872640552892E-6</v>
      </c>
      <c r="E49" s="1">
        <v>1.6658760365540942E-5</v>
      </c>
      <c r="F49" s="56">
        <v>8.1906410096718138E-5</v>
      </c>
      <c r="G49" s="68">
        <v>-5.9543311663538802E-2</v>
      </c>
      <c r="H49" s="68">
        <v>-0.52564096339401656</v>
      </c>
      <c r="I49" s="68">
        <v>1</v>
      </c>
      <c r="J49" s="68">
        <v>-0.42129037186085516</v>
      </c>
      <c r="K49" s="68">
        <v>-0.3518633253534349</v>
      </c>
      <c r="L49" s="68">
        <v>-0.13069474319183239</v>
      </c>
      <c r="M49" s="2">
        <v>-0.12790447352817486</v>
      </c>
      <c r="N49" s="2">
        <v>0.99999999999996159</v>
      </c>
      <c r="O49" s="69"/>
      <c r="R49" s="51" t="str">
        <f t="shared" ref="R49:R55" si="20">A49</f>
        <v>High Yield</v>
      </c>
      <c r="S49" s="52">
        <f t="shared" ref="S49:S55" si="21">D49</f>
        <v>1.0429872640552892E-6</v>
      </c>
      <c r="T49" s="52">
        <f t="shared" ref="T49:T55" si="22">B49-D49</f>
        <v>6.4814411771369856E-5</v>
      </c>
      <c r="U49" s="52">
        <f t="shared" ref="U49:U55" si="23">F49-B49</f>
        <v>1.604901106129299E-5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6.6007038093652913E-5</v>
      </c>
      <c r="C50" s="54">
        <v>1.0645579748892662E-4</v>
      </c>
      <c r="D50" s="55">
        <v>1.0974472695264296E-6</v>
      </c>
      <c r="E50" s="1">
        <v>1.8301639810128035E-5</v>
      </c>
      <c r="F50" s="56">
        <v>8.5305053970452115E-5</v>
      </c>
      <c r="G50" s="68">
        <v>-5.8912369329685403E-2</v>
      </c>
      <c r="H50" s="68">
        <v>-0.51797181172287599</v>
      </c>
      <c r="I50" s="68">
        <v>-0.99062868831660089</v>
      </c>
      <c r="J50" s="68">
        <v>-0.48514247716617237</v>
      </c>
      <c r="K50" s="68">
        <v>-0.22282817025948354</v>
      </c>
      <c r="L50" s="68">
        <v>-0.23375420959241247</v>
      </c>
      <c r="M50" s="2">
        <v>-0.12550196637732813</v>
      </c>
      <c r="N50" s="2">
        <v>0.99999999999991684</v>
      </c>
      <c r="O50" s="69"/>
      <c r="R50" s="51" t="str">
        <f t="shared" si="20"/>
        <v>Emerging market debt</v>
      </c>
      <c r="S50" s="52">
        <f t="shared" si="21"/>
        <v>1.0974472695264296E-6</v>
      </c>
      <c r="T50" s="52">
        <f t="shared" si="22"/>
        <v>6.4909590824126478E-5</v>
      </c>
      <c r="U50" s="52">
        <f t="shared" si="23"/>
        <v>1.9298015876799201E-5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3.2821235226595556E-5</v>
      </c>
      <c r="C51" s="54">
        <v>6.1890540458705518E-5</v>
      </c>
      <c r="D51" s="55">
        <v>2.7601941922940682E-7</v>
      </c>
      <c r="E51" s="1">
        <v>6.1678407293092054E-6</v>
      </c>
      <c r="F51" s="56">
        <v>3.4050134770155967E-5</v>
      </c>
      <c r="G51" s="68">
        <v>-2.8888392110480547E-3</v>
      </c>
      <c r="H51" s="68">
        <v>-7.4553124080068922E-2</v>
      </c>
      <c r="I51" s="68">
        <v>-3.0797186778291669E-3</v>
      </c>
      <c r="J51" s="68">
        <v>1.4491540462356011E-3</v>
      </c>
      <c r="K51" s="68">
        <v>6.7144160727511434E-2</v>
      </c>
      <c r="L51" s="68">
        <v>0.13920734575845539</v>
      </c>
      <c r="M51" s="2">
        <v>1</v>
      </c>
      <c r="N51" s="2">
        <v>0.99999999999996936</v>
      </c>
      <c r="O51" s="69"/>
      <c r="R51" s="51" t="str">
        <f t="shared" si="20"/>
        <v>Aandelen ontwikkeld</v>
      </c>
      <c r="S51" s="52">
        <f t="shared" si="21"/>
        <v>2.7601941922940682E-7</v>
      </c>
      <c r="T51" s="52">
        <f t="shared" si="22"/>
        <v>3.2545215807366153E-5</v>
      </c>
      <c r="U51" s="52">
        <f t="shared" si="23"/>
        <v>1.2288995435604105E-6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5.6499982623495601E-5</v>
      </c>
      <c r="C52" s="54">
        <v>9.6933815694907251E-5</v>
      </c>
      <c r="D52" s="55">
        <v>4.3091737891626107E-7</v>
      </c>
      <c r="E52" s="1">
        <v>1.1749223743755259E-5</v>
      </c>
      <c r="F52" s="56">
        <v>6.4073098861509278E-5</v>
      </c>
      <c r="G52" s="68">
        <v>-4.9465870943181042E-2</v>
      </c>
      <c r="H52" s="68">
        <v>-0.28249069624936241</v>
      </c>
      <c r="I52" s="68">
        <v>-5.775234479276567E-2</v>
      </c>
      <c r="J52" s="68">
        <v>1</v>
      </c>
      <c r="K52" s="68">
        <v>-0.32720049431034243</v>
      </c>
      <c r="L52" s="68">
        <v>-0.24891770126784879</v>
      </c>
      <c r="M52" s="2">
        <v>-0.10773269473207477</v>
      </c>
      <c r="N52" s="2">
        <v>0.999999999999995</v>
      </c>
      <c r="O52" s="69"/>
      <c r="R52" s="51" t="str">
        <f t="shared" si="20"/>
        <v>Aandelen opkomend</v>
      </c>
      <c r="S52" s="52">
        <f t="shared" si="21"/>
        <v>4.3091737891626107E-7</v>
      </c>
      <c r="T52" s="52">
        <f t="shared" si="22"/>
        <v>5.606906524457934E-5</v>
      </c>
      <c r="U52" s="52">
        <f t="shared" si="23"/>
        <v>7.5731162380136773E-6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4.1755075717608028E-5</v>
      </c>
      <c r="C53" s="54">
        <v>7.4025520063019908E-5</v>
      </c>
      <c r="D53" s="55">
        <v>3.0794709335900696E-7</v>
      </c>
      <c r="E53" s="1">
        <v>7.1073502129320125E-6</v>
      </c>
      <c r="F53" s="56">
        <v>4.4484400676418222E-5</v>
      </c>
      <c r="G53" s="68">
        <v>-2.8268015581100984E-2</v>
      </c>
      <c r="H53" s="68">
        <v>-9.8568533822621027E-2</v>
      </c>
      <c r="I53" s="68">
        <v>-7.9219385681417898E-2</v>
      </c>
      <c r="J53" s="68">
        <v>6.7628285994260892E-2</v>
      </c>
      <c r="K53" s="68">
        <v>6.9823004356098381E-2</v>
      </c>
      <c r="L53" s="68">
        <v>1</v>
      </c>
      <c r="M53" s="2">
        <v>-0.28393019206352849</v>
      </c>
      <c r="N53" s="2">
        <v>1</v>
      </c>
      <c r="O53" s="69"/>
      <c r="R53" s="51" t="str">
        <f t="shared" si="20"/>
        <v>Commodities</v>
      </c>
      <c r="S53" s="52">
        <f t="shared" si="21"/>
        <v>3.0794709335900696E-7</v>
      </c>
      <c r="T53" s="52">
        <f t="shared" si="22"/>
        <v>4.144712862424902E-5</v>
      </c>
      <c r="U53" s="52">
        <f t="shared" si="23"/>
        <v>2.7293249588101933E-6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1.6800676560255187E-4</v>
      </c>
      <c r="C54" s="54">
        <v>2.3089124414326447E-4</v>
      </c>
      <c r="D54" s="55">
        <v>6.5723379232597564E-6</v>
      </c>
      <c r="E54" s="1">
        <v>5.8487725243907854E-5</v>
      </c>
      <c r="F54" s="56">
        <v>2.3183407403589871E-4</v>
      </c>
      <c r="G54" s="68">
        <v>-0.7651690605991065</v>
      </c>
      <c r="H54" s="68">
        <v>1</v>
      </c>
      <c r="I54" s="68">
        <v>6.2461948739179988E-3</v>
      </c>
      <c r="J54" s="68">
        <v>-0.11536569490280223</v>
      </c>
      <c r="K54" s="68">
        <v>-0.12618153055803741</v>
      </c>
      <c r="L54" s="68">
        <v>-0.12661094679168539</v>
      </c>
      <c r="M54" s="2">
        <v>-8.3126051777462656E-2</v>
      </c>
      <c r="N54" s="2">
        <v>0.99999999999991873</v>
      </c>
      <c r="O54" s="69"/>
      <c r="R54" s="51" t="str">
        <f t="shared" si="20"/>
        <v>Hedge funds</v>
      </c>
      <c r="S54" s="52">
        <f t="shared" si="21"/>
        <v>6.5723379232597564E-6</v>
      </c>
      <c r="T54" s="52">
        <f t="shared" si="22"/>
        <v>1.6143442767929211E-4</v>
      </c>
      <c r="U54" s="52">
        <f t="shared" si="23"/>
        <v>6.382730843334684E-5</v>
      </c>
    </row>
    <row r="55" spans="1:36">
      <c r="A55" s="60" t="str">
        <f t="shared" si="19"/>
        <v>Onroerend goed</v>
      </c>
      <c r="B55" s="61">
        <v>5.1330197202964345E-5</v>
      </c>
      <c r="C55" s="62">
        <v>8.7315111350468329E-5</v>
      </c>
      <c r="D55" s="63">
        <v>6.8720279996447941E-7</v>
      </c>
      <c r="E55" s="61">
        <v>1.1049236563763996E-5</v>
      </c>
      <c r="F55" s="64">
        <v>6.1218718017505094E-5</v>
      </c>
      <c r="G55" s="70">
        <v>-3.575253267235725E-2</v>
      </c>
      <c r="H55" s="70">
        <v>-0.18069492266148604</v>
      </c>
      <c r="I55" s="70">
        <v>0.1193108940588361</v>
      </c>
      <c r="J55" s="70">
        <v>4.1785566401864378E-2</v>
      </c>
      <c r="K55" s="70">
        <v>1</v>
      </c>
      <c r="L55" s="70">
        <v>-0.28689786073604723</v>
      </c>
      <c r="M55" s="65">
        <v>-0.17641595190572995</v>
      </c>
      <c r="N55" s="65">
        <v>0.99999999999994826</v>
      </c>
      <c r="O55" s="71"/>
      <c r="R55" s="51" t="str">
        <f t="shared" si="20"/>
        <v>Onroerend goed</v>
      </c>
      <c r="S55" s="52">
        <f t="shared" si="21"/>
        <v>6.8720279996447941E-7</v>
      </c>
      <c r="T55" s="52">
        <f t="shared" si="22"/>
        <v>5.0642994402999865E-5</v>
      </c>
      <c r="U55" s="52">
        <f t="shared" si="23"/>
        <v>9.8885208145407498E-6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95" t="s">
        <v>64</v>
      </c>
      <c r="E57" s="396"/>
      <c r="F57" s="397"/>
      <c r="G57" s="395" t="s">
        <v>65</v>
      </c>
      <c r="H57" s="396"/>
      <c r="I57" s="396"/>
      <c r="J57" s="396"/>
      <c r="K57" s="396"/>
      <c r="L57" s="396"/>
      <c r="M57" s="396"/>
      <c r="N57" s="396"/>
      <c r="O57" s="397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0.58557246205002744</v>
      </c>
      <c r="H58" s="272">
        <v>0.2677849361089617</v>
      </c>
      <c r="I58" s="272">
        <v>5.4024934790248058E-2</v>
      </c>
      <c r="J58" s="272">
        <v>3.3086911843915878E-2</v>
      </c>
      <c r="K58" s="272">
        <v>2.5688551774999735E-2</v>
      </c>
      <c r="L58" s="272">
        <v>2.1600094399689684E-2</v>
      </c>
      <c r="M58" s="272">
        <v>1.2242109032163162E-2</v>
      </c>
      <c r="N58" s="272">
        <v>0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0.91040031831552837</v>
      </c>
      <c r="C59" s="54">
        <v>1.0309384190786669E-3</v>
      </c>
      <c r="D59" s="55">
        <v>0.90959526434573212</v>
      </c>
      <c r="E59" s="1">
        <v>0.91020330868110377</v>
      </c>
      <c r="F59" s="56">
        <v>0.91095282498647823</v>
      </c>
      <c r="G59" s="2">
        <v>-0.29267840963925446</v>
      </c>
      <c r="H59" s="2">
        <v>1</v>
      </c>
      <c r="I59" s="2">
        <v>-0.80024478078089178</v>
      </c>
      <c r="J59" s="2">
        <v>-1.6737582406700893E-2</v>
      </c>
      <c r="K59" s="2">
        <v>-0.13198018745057433</v>
      </c>
      <c r="L59" s="2">
        <v>-7.1121187675469308E-2</v>
      </c>
      <c r="M59" s="2">
        <v>-0.11374426552970805</v>
      </c>
      <c r="N59" s="2">
        <v>0.99999999999998423</v>
      </c>
      <c r="O59" s="69"/>
      <c r="R59" s="51" t="str">
        <f>A59</f>
        <v>Nominale matching</v>
      </c>
      <c r="S59" s="52">
        <f>D59</f>
        <v>0.90959526434573212</v>
      </c>
      <c r="T59" s="52">
        <f>B59-D59</f>
        <v>8.0505396979624333E-4</v>
      </c>
      <c r="U59" s="52">
        <f>F59-B59</f>
        <v>5.5250667094985939E-4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2.4245520146417212E-4</v>
      </c>
      <c r="C60" s="54">
        <v>3.9952963100400483E-4</v>
      </c>
      <c r="D60" s="55">
        <v>5.3239154391964945E-6</v>
      </c>
      <c r="E60" s="1">
        <v>6.0631447860123962E-5</v>
      </c>
      <c r="F60" s="56">
        <v>3.2645216682692974E-4</v>
      </c>
      <c r="G60" s="2">
        <v>1.2574763590285956E-2</v>
      </c>
      <c r="H60" s="2">
        <v>-3.6539002303062015E-3</v>
      </c>
      <c r="I60" s="2">
        <v>0.74893860359933029</v>
      </c>
      <c r="J60" s="2">
        <v>1</v>
      </c>
      <c r="K60" s="2">
        <v>-0.4752893959404117</v>
      </c>
      <c r="L60" s="2">
        <v>-0.19847752694332635</v>
      </c>
      <c r="M60" s="2">
        <v>-0.14133740953364959</v>
      </c>
      <c r="N60" s="2">
        <v>0.99999999999998468</v>
      </c>
      <c r="O60" s="69"/>
      <c r="R60" s="51" t="str">
        <f t="shared" ref="R60:R66" si="25">A60</f>
        <v>High Yield</v>
      </c>
      <c r="S60" s="52">
        <f t="shared" ref="S60:S66" si="26">D60</f>
        <v>5.3239154391964945E-6</v>
      </c>
      <c r="T60" s="52">
        <f t="shared" ref="T60:T66" si="27">B60-D60</f>
        <v>2.3713128602497564E-4</v>
      </c>
      <c r="U60" s="52">
        <f t="shared" ref="U60:U66" si="28">F60-B60</f>
        <v>8.3996965362757614E-5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9.6966778017564003E-4</v>
      </c>
      <c r="C61" s="54">
        <v>1.2223040652990888E-3</v>
      </c>
      <c r="D61" s="55">
        <v>4.6196730692603174E-5</v>
      </c>
      <c r="E61" s="1">
        <v>5.0079865122370625E-4</v>
      </c>
      <c r="F61" s="56">
        <v>1.5017266053136301E-3</v>
      </c>
      <c r="G61" s="2">
        <v>-0.70032235365337592</v>
      </c>
      <c r="H61" s="2">
        <v>-0.76885698456421736</v>
      </c>
      <c r="I61" s="2">
        <v>-0.74541447372540282</v>
      </c>
      <c r="J61" s="2">
        <v>-7.5277139913826563E-2</v>
      </c>
      <c r="K61" s="2">
        <v>-0.17289095385509462</v>
      </c>
      <c r="L61" s="2">
        <v>-9.0276225637885857E-2</v>
      </c>
      <c r="M61" s="2">
        <v>-0.12658660400555594</v>
      </c>
      <c r="N61" s="2">
        <v>0.99999999999998679</v>
      </c>
      <c r="O61" s="69"/>
      <c r="R61" s="51" t="str">
        <f t="shared" si="25"/>
        <v>Emerging market debt</v>
      </c>
      <c r="S61" s="52">
        <f t="shared" si="26"/>
        <v>4.6196730692603174E-5</v>
      </c>
      <c r="T61" s="52">
        <f t="shared" si="27"/>
        <v>9.2347104948303684E-4</v>
      </c>
      <c r="U61" s="52">
        <f t="shared" si="28"/>
        <v>5.3205882513799002E-4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1.7808289296488317E-4</v>
      </c>
      <c r="C62" s="54">
        <v>3.1833217667634798E-4</v>
      </c>
      <c r="D62" s="55">
        <v>9.661664333100948E-7</v>
      </c>
      <c r="E62" s="1">
        <v>2.6064712252070314E-5</v>
      </c>
      <c r="F62" s="56">
        <v>2.1140167637085597E-4</v>
      </c>
      <c r="G62" s="2">
        <v>7.2477861113822151E-3</v>
      </c>
      <c r="H62" s="2">
        <v>-2.3075340504508771E-2</v>
      </c>
      <c r="I62" s="2">
        <v>0.1774527328541009</v>
      </c>
      <c r="J62" s="2">
        <v>0.13528231546370201</v>
      </c>
      <c r="K62" s="2">
        <v>0.33180531277465553</v>
      </c>
      <c r="L62" s="2">
        <v>1</v>
      </c>
      <c r="M62" s="2">
        <v>-0.16482007075318658</v>
      </c>
      <c r="N62" s="2">
        <v>1</v>
      </c>
      <c r="O62" s="69"/>
      <c r="R62" s="51" t="str">
        <f t="shared" si="25"/>
        <v>Aandelen ontwikkeld</v>
      </c>
      <c r="S62" s="52">
        <f t="shared" si="26"/>
        <v>9.661664333100948E-7</v>
      </c>
      <c r="T62" s="52">
        <f t="shared" si="27"/>
        <v>1.7711672653157308E-4</v>
      </c>
      <c r="U62" s="52">
        <f t="shared" si="28"/>
        <v>3.3318783405972806E-5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2.564489860338996E-4</v>
      </c>
      <c r="C63" s="54">
        <v>4.3003569463960733E-4</v>
      </c>
      <c r="D63" s="55">
        <v>1.6511004576110284E-6</v>
      </c>
      <c r="E63" s="1">
        <v>5.1218597797573118E-5</v>
      </c>
      <c r="F63" s="56">
        <v>3.4935989717820438E-4</v>
      </c>
      <c r="G63" s="2">
        <v>-5.6065772454889938E-2</v>
      </c>
      <c r="H63" s="2">
        <v>6.6952453942922457E-2</v>
      </c>
      <c r="I63" s="2">
        <v>1</v>
      </c>
      <c r="J63" s="2">
        <v>-0.94846854425630722</v>
      </c>
      <c r="K63" s="2">
        <v>-0.32650273481301417</v>
      </c>
      <c r="L63" s="2">
        <v>-9.0452343486416273E-2</v>
      </c>
      <c r="M63" s="2">
        <v>-0.20353486651370886</v>
      </c>
      <c r="N63" s="2">
        <v>0.99999999999997968</v>
      </c>
      <c r="O63" s="69"/>
      <c r="R63" s="51" t="str">
        <f t="shared" si="25"/>
        <v>Aandelen opkomend</v>
      </c>
      <c r="S63" s="52">
        <f t="shared" si="26"/>
        <v>1.6511004576110284E-6</v>
      </c>
      <c r="T63" s="52">
        <f t="shared" si="27"/>
        <v>2.5479788557628859E-4</v>
      </c>
      <c r="U63" s="52">
        <f t="shared" si="28"/>
        <v>9.2910911144304784E-5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1.3266771859855406E-4</v>
      </c>
      <c r="C64" s="54">
        <v>2.3869618300325653E-4</v>
      </c>
      <c r="D64" s="55">
        <v>4.2553612459991924E-7</v>
      </c>
      <c r="E64" s="1">
        <v>2.4171818834641723E-5</v>
      </c>
      <c r="F64" s="56">
        <v>1.433888691762387E-4</v>
      </c>
      <c r="G64" s="2">
        <v>1.6735666131070796E-2</v>
      </c>
      <c r="H64" s="2">
        <v>-1.140711525179579E-2</v>
      </c>
      <c r="I64" s="2">
        <v>7.5892630143845966E-2</v>
      </c>
      <c r="J64" s="2">
        <v>-5.0631175426556978E-2</v>
      </c>
      <c r="K64" s="2">
        <v>-3.8842799648584836E-2</v>
      </c>
      <c r="L64" s="2">
        <v>3.433345289890951E-2</v>
      </c>
      <c r="M64" s="2">
        <v>1</v>
      </c>
      <c r="N64" s="2">
        <v>0.99999999999999967</v>
      </c>
      <c r="O64" s="69"/>
      <c r="R64" s="51" t="str">
        <f t="shared" si="25"/>
        <v>Commodities</v>
      </c>
      <c r="S64" s="52">
        <f t="shared" si="26"/>
        <v>4.2553612459991924E-7</v>
      </c>
      <c r="T64" s="52">
        <f t="shared" si="27"/>
        <v>1.3224218247395413E-4</v>
      </c>
      <c r="U64" s="52">
        <f t="shared" si="28"/>
        <v>1.0721150577684647E-5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8.7616171604620083E-2</v>
      </c>
      <c r="C65" s="54">
        <v>1.423288028594963E-3</v>
      </c>
      <c r="D65" s="55">
        <v>8.6613925123170454E-2</v>
      </c>
      <c r="E65" s="1">
        <v>8.7646812905970081E-2</v>
      </c>
      <c r="F65" s="56">
        <v>8.8639360463143413E-2</v>
      </c>
      <c r="G65" s="2">
        <v>1</v>
      </c>
      <c r="H65" s="2">
        <v>-0.24137907962274566</v>
      </c>
      <c r="I65" s="2">
        <v>-0.71538971043123145</v>
      </c>
      <c r="J65" s="2">
        <v>-0.12450642916959904</v>
      </c>
      <c r="K65" s="2">
        <v>-0.18629924106697829</v>
      </c>
      <c r="L65" s="2">
        <v>-8.8234678351421542E-2</v>
      </c>
      <c r="M65" s="2">
        <v>-0.1458141602953528</v>
      </c>
      <c r="N65" s="2">
        <v>0.99999999999999134</v>
      </c>
      <c r="O65" s="69"/>
      <c r="R65" s="51" t="str">
        <f t="shared" si="25"/>
        <v>Hedge funds</v>
      </c>
      <c r="S65" s="52">
        <f t="shared" si="26"/>
        <v>8.6613925123170454E-2</v>
      </c>
      <c r="T65" s="52">
        <f t="shared" si="27"/>
        <v>1.0022464814496285E-3</v>
      </c>
      <c r="U65" s="52">
        <f t="shared" si="28"/>
        <v>1.0231888585233301E-3</v>
      </c>
    </row>
    <row r="66" spans="1:36">
      <c r="A66" s="60" t="str">
        <f t="shared" si="24"/>
        <v>Onroerend goed</v>
      </c>
      <c r="B66" s="61">
        <v>2.041875006144596E-4</v>
      </c>
      <c r="C66" s="62">
        <v>3.4041848862041696E-4</v>
      </c>
      <c r="D66" s="63">
        <v>2.6356546255662357E-6</v>
      </c>
      <c r="E66" s="61">
        <v>5.0997763788292636E-5</v>
      </c>
      <c r="F66" s="64">
        <v>2.7249945475081886E-4</v>
      </c>
      <c r="G66" s="65">
        <v>1.2508319914775004E-2</v>
      </c>
      <c r="H66" s="65">
        <v>-1.8580033769344112E-2</v>
      </c>
      <c r="I66" s="65">
        <v>0.25876499834025657</v>
      </c>
      <c r="J66" s="65">
        <v>8.033855570928318E-2</v>
      </c>
      <c r="K66" s="65">
        <v>1</v>
      </c>
      <c r="L66" s="65">
        <v>-0.4957714908044068</v>
      </c>
      <c r="M66" s="65">
        <v>-0.10416262336885089</v>
      </c>
      <c r="N66" s="65">
        <v>0.99999999999998201</v>
      </c>
      <c r="O66" s="71"/>
      <c r="R66" s="51" t="str">
        <f t="shared" si="25"/>
        <v>Onroerend goed</v>
      </c>
      <c r="S66" s="52">
        <f t="shared" si="26"/>
        <v>2.6356546255662357E-6</v>
      </c>
      <c r="T66" s="52">
        <f t="shared" si="27"/>
        <v>2.0155184598889337E-4</v>
      </c>
      <c r="U66" s="52">
        <f t="shared" si="28"/>
        <v>6.8311954136359267E-5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0.55259014264862238</v>
      </c>
      <c r="H69" s="272">
        <v>0.28535413579288471</v>
      </c>
      <c r="I69" s="272">
        <v>0.11751609264074669</v>
      </c>
      <c r="J69" s="272">
        <v>3.4422360988265122E-2</v>
      </c>
      <c r="K69" s="272">
        <v>6.6266464743856002E-3</v>
      </c>
      <c r="L69" s="272">
        <v>2.8242089078042154E-3</v>
      </c>
      <c r="M69" s="272">
        <v>6.6641254729460364E-4</v>
      </c>
      <c r="N69" s="272">
        <v>4.4408920985006262E-16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0.74210401897635492</v>
      </c>
      <c r="C70" s="54">
        <v>1.2297692296716255E-2</v>
      </c>
      <c r="D70" s="55">
        <v>0.73339422303277468</v>
      </c>
      <c r="E70" s="1">
        <v>0.74175858282811602</v>
      </c>
      <c r="F70" s="56">
        <v>0.75010893470008844</v>
      </c>
      <c r="G70" s="68">
        <v>9.4401307148054125E-3</v>
      </c>
      <c r="H70" s="68">
        <v>-0.47388824526661594</v>
      </c>
      <c r="I70" s="68">
        <v>-0.37899268443827289</v>
      </c>
      <c r="J70" s="68">
        <v>-0.27241130861879043</v>
      </c>
      <c r="K70" s="68">
        <v>0.20177619706499927</v>
      </c>
      <c r="L70" s="68">
        <v>0.13338934615924919</v>
      </c>
      <c r="M70" s="2">
        <v>1</v>
      </c>
      <c r="N70" s="2">
        <v>1</v>
      </c>
      <c r="O70" s="69"/>
      <c r="R70" s="51" t="str">
        <f>A70</f>
        <v>Nominale matching</v>
      </c>
      <c r="S70" s="52">
        <f>D70</f>
        <v>0.73339422303277468</v>
      </c>
      <c r="T70" s="52">
        <f>B70-D70</f>
        <v>8.7097959435802341E-3</v>
      </c>
      <c r="U70" s="52">
        <f>F70-B70</f>
        <v>8.0049157237335189E-3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1.8694595409361223E-2</v>
      </c>
      <c r="C71" s="54">
        <v>1.7245139012676155E-2</v>
      </c>
      <c r="D71" s="55">
        <v>4.7981671404336646E-3</v>
      </c>
      <c r="E71" s="1">
        <v>1.435471332530891E-2</v>
      </c>
      <c r="F71" s="56">
        <v>2.6872585920989386E-2</v>
      </c>
      <c r="G71" s="68">
        <v>-8.4445900128290924E-2</v>
      </c>
      <c r="H71" s="68">
        <v>-0.22945302923980851</v>
      </c>
      <c r="I71" s="68">
        <v>1</v>
      </c>
      <c r="J71" s="68">
        <v>-0.16478367662694124</v>
      </c>
      <c r="K71" s="68">
        <v>-0.14338471100251041</v>
      </c>
      <c r="L71" s="68">
        <v>-5.9733790818225441E-2</v>
      </c>
      <c r="M71" s="2">
        <v>0.18309794069472732</v>
      </c>
      <c r="N71" s="2">
        <v>0.99999999999993983</v>
      </c>
      <c r="O71" s="69"/>
      <c r="R71" s="51" t="str">
        <f t="shared" ref="R71:R77" si="30">A71</f>
        <v>High Yield</v>
      </c>
      <c r="S71" s="52">
        <f t="shared" ref="S71:S77" si="31">D71</f>
        <v>4.7981671404336646E-3</v>
      </c>
      <c r="T71" s="52">
        <f t="shared" ref="T71:T77" si="32">B71-D71</f>
        <v>1.389642826892756E-2</v>
      </c>
      <c r="U71" s="52">
        <f t="shared" ref="U71:U77" si="33">F71-B71</f>
        <v>8.177990511628163E-3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8.9274739671457801E-3</v>
      </c>
      <c r="C72" s="54">
        <v>9.2275057316660077E-3</v>
      </c>
      <c r="D72" s="55">
        <v>1.817380098889378E-3</v>
      </c>
      <c r="E72" s="1">
        <v>5.4645433390532652E-3</v>
      </c>
      <c r="F72" s="56">
        <v>1.3500514652096028E-2</v>
      </c>
      <c r="G72" s="68">
        <v>-1.1990627124513658E-2</v>
      </c>
      <c r="H72" s="68">
        <v>-8.3537751805722385E-2</v>
      </c>
      <c r="I72" s="68">
        <v>-5.305074058128631E-2</v>
      </c>
      <c r="J72" s="68">
        <v>1</v>
      </c>
      <c r="K72" s="68">
        <v>-0.19239314374599686</v>
      </c>
      <c r="L72" s="68">
        <v>-0.10191756970633468</v>
      </c>
      <c r="M72" s="2">
        <v>0.17878956297374513</v>
      </c>
      <c r="N72" s="2">
        <v>0.99999999999993749</v>
      </c>
      <c r="O72" s="69"/>
      <c r="R72" s="51" t="str">
        <f t="shared" si="30"/>
        <v>Emerging market debt</v>
      </c>
      <c r="S72" s="52">
        <f t="shared" si="31"/>
        <v>1.817380098889378E-3</v>
      </c>
      <c r="T72" s="52">
        <f t="shared" si="32"/>
        <v>7.1100938682564022E-3</v>
      </c>
      <c r="U72" s="52">
        <f t="shared" si="33"/>
        <v>4.573040684950248E-3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2.8936030398781527E-3</v>
      </c>
      <c r="C73" s="54">
        <v>3.7251141641533856E-3</v>
      </c>
      <c r="D73" s="55">
        <v>2.1152357814109167E-4</v>
      </c>
      <c r="E73" s="1">
        <v>1.5284078852579835E-3</v>
      </c>
      <c r="F73" s="56">
        <v>4.0265696216699298E-3</v>
      </c>
      <c r="G73" s="68">
        <v>-3.397018006447634E-3</v>
      </c>
      <c r="H73" s="68">
        <v>-2.5579905886276986E-2</v>
      </c>
      <c r="I73" s="68">
        <v>-1.5383877466865897E-2</v>
      </c>
      <c r="J73" s="68">
        <v>7.6784751948671039E-3</v>
      </c>
      <c r="K73" s="68">
        <v>1</v>
      </c>
      <c r="L73" s="68">
        <v>-0.4185059990385267</v>
      </c>
      <c r="M73" s="2">
        <v>-0.42178337461605814</v>
      </c>
      <c r="N73" s="2">
        <v>0.99999999999990585</v>
      </c>
      <c r="O73" s="69"/>
      <c r="R73" s="51" t="str">
        <f t="shared" si="30"/>
        <v>Aandelen ontwikkeld</v>
      </c>
      <c r="S73" s="52">
        <f t="shared" si="31"/>
        <v>2.1152357814109167E-4</v>
      </c>
      <c r="T73" s="52">
        <f t="shared" si="32"/>
        <v>2.6820794617370609E-3</v>
      </c>
      <c r="U73" s="52">
        <f t="shared" si="33"/>
        <v>1.1329665817917771E-3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1.9587393313640106E-3</v>
      </c>
      <c r="C74" s="54">
        <v>2.600992407180704E-3</v>
      </c>
      <c r="D74" s="55">
        <v>1.2034398533330801E-4</v>
      </c>
      <c r="E74" s="1">
        <v>8.9191024594513794E-4</v>
      </c>
      <c r="F74" s="56">
        <v>2.9074123427886428E-3</v>
      </c>
      <c r="G74" s="68">
        <v>-9.4671647086846976E-4</v>
      </c>
      <c r="H74" s="68">
        <v>-1.500143065831256E-2</v>
      </c>
      <c r="I74" s="68">
        <v>-2.9953259290631872E-2</v>
      </c>
      <c r="J74" s="68">
        <v>1.1425148483992807E-2</v>
      </c>
      <c r="K74" s="68">
        <v>0.12385799145773238</v>
      </c>
      <c r="L74" s="68">
        <v>1</v>
      </c>
      <c r="M74" s="2">
        <v>-0.47234351160355004</v>
      </c>
      <c r="N74" s="2">
        <v>0.9999999999999134</v>
      </c>
      <c r="O74" s="69"/>
      <c r="R74" s="51" t="str">
        <f t="shared" si="30"/>
        <v>Aandelen opkomend</v>
      </c>
      <c r="S74" s="52">
        <f t="shared" si="31"/>
        <v>1.2034398533330801E-4</v>
      </c>
      <c r="T74" s="52">
        <f t="shared" si="32"/>
        <v>1.8383953460307026E-3</v>
      </c>
      <c r="U74" s="52">
        <f t="shared" si="33"/>
        <v>9.4867301142463221E-4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5.0076100481880492E-2</v>
      </c>
      <c r="C75" s="54">
        <v>1.7382188674499352E-2</v>
      </c>
      <c r="D75" s="55">
        <v>3.9041996584103802E-2</v>
      </c>
      <c r="E75" s="1">
        <v>5.0444092400136267E-2</v>
      </c>
      <c r="F75" s="56">
        <v>6.2866551932150322E-2</v>
      </c>
      <c r="G75" s="68">
        <v>-0.33492116344313633</v>
      </c>
      <c r="H75" s="68">
        <v>-0.54705311035322068</v>
      </c>
      <c r="I75" s="68">
        <v>-0.33242312933302348</v>
      </c>
      <c r="J75" s="68">
        <v>-0.25237913367790321</v>
      </c>
      <c r="K75" s="68">
        <v>-0.57372856581139475</v>
      </c>
      <c r="L75" s="68">
        <v>-0.32309967144561963</v>
      </c>
      <c r="M75" s="2">
        <v>-0.603631999527528</v>
      </c>
      <c r="N75" s="2">
        <v>0.99999999999988221</v>
      </c>
      <c r="O75" s="69"/>
      <c r="R75" s="51" t="str">
        <f t="shared" si="30"/>
        <v>Commodities</v>
      </c>
      <c r="S75" s="52">
        <f t="shared" si="31"/>
        <v>3.9041996584103802E-2</v>
      </c>
      <c r="T75" s="52">
        <f t="shared" si="32"/>
        <v>1.103410389777669E-2</v>
      </c>
      <c r="U75" s="52">
        <f t="shared" si="33"/>
        <v>1.279045145026983E-2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3.237305465508386E-2</v>
      </c>
      <c r="C76" s="54">
        <v>2.8885744729244146E-2</v>
      </c>
      <c r="D76" s="55">
        <v>8.5551150091976377E-3</v>
      </c>
      <c r="E76" s="1">
        <v>2.4232052490117784E-2</v>
      </c>
      <c r="F76" s="56">
        <v>4.9982231182866543E-2</v>
      </c>
      <c r="G76" s="68">
        <v>-0.57373870554154915</v>
      </c>
      <c r="H76" s="68">
        <v>1</v>
      </c>
      <c r="I76" s="68">
        <v>-0.10558784598792503</v>
      </c>
      <c r="J76" s="68">
        <v>-0.15611626675478429</v>
      </c>
      <c r="K76" s="68">
        <v>-0.13418253345076703</v>
      </c>
      <c r="L76" s="68">
        <v>-7.238742922435433E-2</v>
      </c>
      <c r="M76" s="2">
        <v>0.21080688611278012</v>
      </c>
      <c r="N76" s="2">
        <v>0.99999999999994171</v>
      </c>
      <c r="O76" s="69"/>
      <c r="R76" s="51" t="str">
        <f t="shared" si="30"/>
        <v>Hedge funds</v>
      </c>
      <c r="S76" s="52">
        <f t="shared" si="31"/>
        <v>8.5551150091976377E-3</v>
      </c>
      <c r="T76" s="52">
        <f t="shared" si="32"/>
        <v>2.3817939645886223E-2</v>
      </c>
      <c r="U76" s="52">
        <f t="shared" si="33"/>
        <v>1.7609176527782683E-2</v>
      </c>
    </row>
    <row r="77" spans="1:36">
      <c r="A77" s="60" t="str">
        <f t="shared" si="29"/>
        <v>Onroerend goed</v>
      </c>
      <c r="B77" s="61">
        <v>0.142972414138931</v>
      </c>
      <c r="C77" s="62">
        <v>3.4034854525069623E-2</v>
      </c>
      <c r="D77" s="63">
        <v>0.118080976125847</v>
      </c>
      <c r="E77" s="61">
        <v>0.14112047005579109</v>
      </c>
      <c r="F77" s="64">
        <v>0.16515039952283034</v>
      </c>
      <c r="G77" s="70">
        <v>1</v>
      </c>
      <c r="H77" s="70">
        <v>0.3745134732099577</v>
      </c>
      <c r="I77" s="70">
        <v>-8.4608462901994058E-2</v>
      </c>
      <c r="J77" s="70">
        <v>-0.17341323800043834</v>
      </c>
      <c r="K77" s="70">
        <v>-0.28194523451207659</v>
      </c>
      <c r="L77" s="70">
        <v>-0.15774488592620645</v>
      </c>
      <c r="M77" s="65">
        <v>-7.4935504034239001E-2</v>
      </c>
      <c r="N77" s="65">
        <v>0.99999999999992095</v>
      </c>
      <c r="O77" s="71"/>
      <c r="R77" s="51" t="str">
        <f t="shared" si="30"/>
        <v>Onroerend goed</v>
      </c>
      <c r="S77" s="52">
        <f t="shared" si="31"/>
        <v>0.118080976125847</v>
      </c>
      <c r="T77" s="52">
        <f t="shared" si="32"/>
        <v>2.4891438013083994E-2</v>
      </c>
      <c r="U77" s="52">
        <f t="shared" si="33"/>
        <v>2.217798538389934E-2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95" t="s">
        <v>64</v>
      </c>
      <c r="E79" s="396"/>
      <c r="F79" s="397"/>
      <c r="G79" s="395" t="s">
        <v>65</v>
      </c>
      <c r="H79" s="396"/>
      <c r="I79" s="396"/>
      <c r="J79" s="396"/>
      <c r="K79" s="396"/>
      <c r="L79" s="396"/>
      <c r="M79" s="396"/>
      <c r="N79" s="396"/>
      <c r="O79" s="397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0.793870753850349</v>
      </c>
      <c r="H80" s="272">
        <v>9.0032283068141039E-2</v>
      </c>
      <c r="I80" s="272">
        <v>7.4079883375709032E-2</v>
      </c>
      <c r="J80" s="272">
        <v>3.7381924491545204E-2</v>
      </c>
      <c r="K80" s="272">
        <v>2.9660592285682963E-3</v>
      </c>
      <c r="L80" s="272">
        <v>1.0855006994477945E-3</v>
      </c>
      <c r="M80" s="272">
        <v>5.8359528623763701E-4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0.63884131311996284</v>
      </c>
      <c r="C81" s="54">
        <v>3.3388435170532221E-2</v>
      </c>
      <c r="D81" s="55">
        <v>0.6155766536146553</v>
      </c>
      <c r="E81" s="1">
        <v>0.64262510968805775</v>
      </c>
      <c r="F81" s="56">
        <v>0.66431038682323595</v>
      </c>
      <c r="G81" s="2">
        <v>-0.56042177567045171</v>
      </c>
      <c r="H81" s="2">
        <v>0.18313749683766231</v>
      </c>
      <c r="I81" s="2">
        <v>-0.47652219504931431</v>
      </c>
      <c r="J81" s="2">
        <v>-0.33421197790326884</v>
      </c>
      <c r="K81" s="2">
        <v>-0.2548593858775865</v>
      </c>
      <c r="L81" s="2">
        <v>-0.69817593933227184</v>
      </c>
      <c r="M81" s="2">
        <v>-0.41375795201160609</v>
      </c>
      <c r="N81" s="2">
        <v>1</v>
      </c>
      <c r="O81" s="69"/>
      <c r="R81" s="51" t="str">
        <f>A81</f>
        <v>Nominale matching</v>
      </c>
      <c r="S81" s="52">
        <f>D81</f>
        <v>0.6155766536146553</v>
      </c>
      <c r="T81" s="52">
        <f>B81-D81</f>
        <v>2.3264659505307539E-2</v>
      </c>
      <c r="U81" s="52">
        <f>F81-B81</f>
        <v>2.5469073703273115E-2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8.9152415993890524E-2</v>
      </c>
      <c r="C82" s="54">
        <v>5.7583447950149025E-2</v>
      </c>
      <c r="D82" s="55">
        <v>4.3600169544033028E-2</v>
      </c>
      <c r="E82" s="1">
        <v>7.9182136751944354E-2</v>
      </c>
      <c r="F82" s="56">
        <v>0.12465809585601395</v>
      </c>
      <c r="G82" s="2">
        <v>1</v>
      </c>
      <c r="H82" s="2">
        <v>2.0851454662755609E-2</v>
      </c>
      <c r="I82" s="2">
        <v>-0.36798307719795231</v>
      </c>
      <c r="J82" s="2">
        <v>-0.21894270330411147</v>
      </c>
      <c r="K82" s="2">
        <v>-0.19361879854251043</v>
      </c>
      <c r="L82" s="2">
        <v>-4.1759760950414823E-2</v>
      </c>
      <c r="M82" s="2">
        <v>-0.18754647272114583</v>
      </c>
      <c r="N82" s="2">
        <v>0.99999999999999012</v>
      </c>
      <c r="O82" s="69"/>
      <c r="R82" s="51" t="str">
        <f t="shared" ref="R82:R88" si="35">A82</f>
        <v>High Yield</v>
      </c>
      <c r="S82" s="52">
        <f t="shared" ref="S82:S88" si="36">D82</f>
        <v>4.3600169544033028E-2</v>
      </c>
      <c r="T82" s="52">
        <f t="shared" ref="T82:T88" si="37">B82-D82</f>
        <v>4.5552246449857496E-2</v>
      </c>
      <c r="U82" s="52">
        <f t="shared" ref="U82:U88" si="38">F82-B82</f>
        <v>3.5505679862123427E-2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1.6180596839274166E-2</v>
      </c>
      <c r="C83" s="54">
        <v>1.3773782145671732E-2</v>
      </c>
      <c r="D83" s="55">
        <v>5.6764861630027308E-3</v>
      </c>
      <c r="E83" s="1">
        <v>1.2286490051609988E-2</v>
      </c>
      <c r="F83" s="56">
        <v>2.4079264019034787E-2</v>
      </c>
      <c r="G83" s="2">
        <v>-2.9331494303368628E-2</v>
      </c>
      <c r="H83" s="2">
        <v>-0.10731640699813987</v>
      </c>
      <c r="I83" s="2">
        <v>-0.13785581233579336</v>
      </c>
      <c r="J83" s="2">
        <v>1</v>
      </c>
      <c r="K83" s="2">
        <v>-0.13082800369604561</v>
      </c>
      <c r="L83" s="2">
        <v>-8.3879614338137301E-2</v>
      </c>
      <c r="M83" s="2">
        <v>-0.18020642906483089</v>
      </c>
      <c r="N83" s="2">
        <v>0.99999999999998956</v>
      </c>
      <c r="O83" s="69"/>
      <c r="R83" s="51" t="str">
        <f t="shared" si="35"/>
        <v>Emerging market debt</v>
      </c>
      <c r="S83" s="52">
        <f t="shared" si="36"/>
        <v>5.6764861630027308E-3</v>
      </c>
      <c r="T83" s="52">
        <f t="shared" si="37"/>
        <v>1.0504110676271435E-2</v>
      </c>
      <c r="U83" s="52">
        <f t="shared" si="38"/>
        <v>7.8986671797606212E-3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1.6946947243372027E-3</v>
      </c>
      <c r="C84" s="54">
        <v>1.8565137754232542E-3</v>
      </c>
      <c r="D84" s="55">
        <v>2.6526515614317753E-4</v>
      </c>
      <c r="E84" s="1">
        <v>9.7234691477604768E-4</v>
      </c>
      <c r="F84" s="56">
        <v>2.458815512760911E-3</v>
      </c>
      <c r="G84" s="2">
        <v>2.9943116588051274E-4</v>
      </c>
      <c r="H84" s="2">
        <v>6.5101509433286879E-3</v>
      </c>
      <c r="I84" s="2">
        <v>-9.0710263254931509E-3</v>
      </c>
      <c r="J84" s="2">
        <v>-1.4644759010299688E-2</v>
      </c>
      <c r="K84" s="2">
        <v>4.8428116128048657E-3</v>
      </c>
      <c r="L84" s="2">
        <v>-0.51720555602717433</v>
      </c>
      <c r="M84" s="2">
        <v>1</v>
      </c>
      <c r="N84" s="2">
        <v>0.99999999999997169</v>
      </c>
      <c r="O84" s="69"/>
      <c r="R84" s="51" t="str">
        <f t="shared" si="35"/>
        <v>Aandelen ontwikkeld</v>
      </c>
      <c r="S84" s="52">
        <f t="shared" si="36"/>
        <v>2.6526515614317753E-4</v>
      </c>
      <c r="T84" s="52">
        <f t="shared" si="37"/>
        <v>1.4294295681940251E-3</v>
      </c>
      <c r="U84" s="52">
        <f t="shared" si="38"/>
        <v>7.6412078842370834E-4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2.5254391686127226E-2</v>
      </c>
      <c r="C85" s="54">
        <v>1.9812412621961473E-2</v>
      </c>
      <c r="D85" s="55">
        <v>1.0406197405009143E-2</v>
      </c>
      <c r="E85" s="1">
        <v>2.0416540295551868E-2</v>
      </c>
      <c r="F85" s="56">
        <v>3.5705544932015471E-2</v>
      </c>
      <c r="G85" s="2">
        <v>-7.9343405454464944E-2</v>
      </c>
      <c r="H85" s="2">
        <v>1</v>
      </c>
      <c r="I85" s="2">
        <v>0.49663292229024469</v>
      </c>
      <c r="J85" s="2">
        <v>-2.4880744397344962E-2</v>
      </c>
      <c r="K85" s="2">
        <v>-0.14047120614789432</v>
      </c>
      <c r="L85" s="2">
        <v>0.50912100049277142</v>
      </c>
      <c r="M85" s="2">
        <v>3.785558898329322E-3</v>
      </c>
      <c r="N85" s="2">
        <v>0.99999999999998068</v>
      </c>
      <c r="O85" s="69"/>
      <c r="R85" s="51" t="str">
        <f t="shared" si="35"/>
        <v>Aandelen opkomend</v>
      </c>
      <c r="S85" s="52">
        <f t="shared" si="36"/>
        <v>1.0406197405009143E-2</v>
      </c>
      <c r="T85" s="52">
        <f t="shared" si="37"/>
        <v>1.4848194281118082E-2</v>
      </c>
      <c r="U85" s="52">
        <f t="shared" si="38"/>
        <v>1.0451153245888245E-2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0.19937901187906307</v>
      </c>
      <c r="C86" s="54">
        <v>2.1342483309186477E-2</v>
      </c>
      <c r="D86" s="55">
        <v>0.18484038086021393</v>
      </c>
      <c r="E86" s="1">
        <v>0.19966034838295904</v>
      </c>
      <c r="F86" s="56">
        <v>0.21566980437883349</v>
      </c>
      <c r="G86" s="2">
        <v>-0.31360110137459635</v>
      </c>
      <c r="H86" s="2">
        <v>-0.4707788425245143</v>
      </c>
      <c r="I86" s="2">
        <v>-0.48573585137353353</v>
      </c>
      <c r="J86" s="2">
        <v>-0.17880579092965412</v>
      </c>
      <c r="K86" s="2">
        <v>-0.11011845482494245</v>
      </c>
      <c r="L86" s="2">
        <v>1</v>
      </c>
      <c r="M86" s="2">
        <v>0.16963842895057998</v>
      </c>
      <c r="N86" s="2">
        <v>0.99999999999997446</v>
      </c>
      <c r="O86" s="69"/>
      <c r="R86" s="51" t="str">
        <f t="shared" si="35"/>
        <v>Commodities</v>
      </c>
      <c r="S86" s="52">
        <f t="shared" si="36"/>
        <v>0.18484038086021393</v>
      </c>
      <c r="T86" s="52">
        <f t="shared" si="37"/>
        <v>1.4538631018849141E-2</v>
      </c>
      <c r="U86" s="52">
        <f t="shared" si="38"/>
        <v>1.6290792499770418E-2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2.549361968294718E-2</v>
      </c>
      <c r="C87" s="54">
        <v>1.9237734565573303E-2</v>
      </c>
      <c r="D87" s="55">
        <v>1.0498635837818742E-2</v>
      </c>
      <c r="E87" s="1">
        <v>2.1157849483218812E-2</v>
      </c>
      <c r="F87" s="56">
        <v>3.5946781985662569E-2</v>
      </c>
      <c r="G87" s="2">
        <v>-1.6063822806494415E-2</v>
      </c>
      <c r="H87" s="2">
        <v>-0.64485774199312718</v>
      </c>
      <c r="I87" s="2">
        <v>1</v>
      </c>
      <c r="J87" s="2">
        <v>-0.17759067296206404</v>
      </c>
      <c r="K87" s="2">
        <v>-0.17494696252382047</v>
      </c>
      <c r="L87" s="2">
        <v>-0.1321286758796176</v>
      </c>
      <c r="M87" s="2">
        <v>-0.20506775725583351</v>
      </c>
      <c r="N87" s="2">
        <v>0.9999999999999909</v>
      </c>
      <c r="O87" s="69"/>
      <c r="R87" s="51" t="str">
        <f t="shared" si="35"/>
        <v>Hedge funds</v>
      </c>
      <c r="S87" s="52">
        <f t="shared" si="36"/>
        <v>1.0498635837818742E-2</v>
      </c>
      <c r="T87" s="52">
        <f t="shared" si="37"/>
        <v>1.4994983845128438E-2</v>
      </c>
      <c r="U87" s="52">
        <f t="shared" si="38"/>
        <v>1.0453162302715389E-2</v>
      </c>
    </row>
    <row r="88" spans="1:36">
      <c r="A88" s="60" t="str">
        <f t="shared" si="34"/>
        <v>Onroerend goed</v>
      </c>
      <c r="B88" s="286">
        <v>4.0039560743981373E-3</v>
      </c>
      <c r="C88" s="62">
        <v>3.9239983059554326E-3</v>
      </c>
      <c r="D88" s="63">
        <v>1.1170785589746234E-3</v>
      </c>
      <c r="E88" s="61">
        <v>2.5873946688405852E-3</v>
      </c>
      <c r="F88" s="64">
        <v>5.6139257697055802E-3</v>
      </c>
      <c r="G88" s="65">
        <v>-1.5378315565043159E-3</v>
      </c>
      <c r="H88" s="65">
        <v>1.2453889072035726E-2</v>
      </c>
      <c r="I88" s="65">
        <v>-1.946496000815728E-2</v>
      </c>
      <c r="J88" s="65">
        <v>-5.0923351493256573E-2</v>
      </c>
      <c r="K88" s="65">
        <v>1</v>
      </c>
      <c r="L88" s="65">
        <v>-3.5971453965138046E-2</v>
      </c>
      <c r="M88" s="65">
        <v>-0.18684537679546892</v>
      </c>
      <c r="N88" s="65">
        <v>0.99999999999998468</v>
      </c>
      <c r="O88" s="71"/>
      <c r="R88" s="51" t="str">
        <f t="shared" si="35"/>
        <v>Onroerend goed</v>
      </c>
      <c r="S88" s="52">
        <f t="shared" si="36"/>
        <v>1.1170785589746234E-3</v>
      </c>
      <c r="T88" s="52">
        <f t="shared" si="37"/>
        <v>2.8868775154235141E-3</v>
      </c>
      <c r="U88" s="52">
        <f t="shared" si="38"/>
        <v>1.6099696953074429E-3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95" t="s">
        <v>64</v>
      </c>
      <c r="E2" s="396"/>
      <c r="F2" s="397"/>
      <c r="G2" s="395" t="s">
        <v>65</v>
      </c>
      <c r="H2" s="396"/>
      <c r="I2" s="396"/>
      <c r="J2" s="396"/>
      <c r="K2" s="396"/>
      <c r="L2" s="396"/>
      <c r="M2" s="396"/>
      <c r="N2" s="397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0.4019162038467341</v>
      </c>
      <c r="H3" s="272">
        <v>0.28717855631880496</v>
      </c>
      <c r="I3" s="272">
        <v>0.16433637684678171</v>
      </c>
      <c r="J3" s="272">
        <v>7.2396135998920252E-2</v>
      </c>
      <c r="K3" s="272">
        <v>5.1596540237880073E-2</v>
      </c>
      <c r="L3" s="272">
        <v>2.2576186750875804E-2</v>
      </c>
      <c r="M3" s="272">
        <v>2.2204460492503131E-16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0.1893061302676414</v>
      </c>
      <c r="C4" s="118">
        <v>0.10533421867518726</v>
      </c>
      <c r="D4" s="119">
        <v>7.7523703679179226E-2</v>
      </c>
      <c r="E4" s="117">
        <v>0.18387052233614809</v>
      </c>
      <c r="F4" s="12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7"/>
      <c r="O4" s="72"/>
      <c r="Q4" s="72" t="str">
        <f>A4</f>
        <v>High Yield</v>
      </c>
      <c r="R4" s="72">
        <f>D4</f>
        <v>7.7523703679179226E-2</v>
      </c>
      <c r="S4" s="52">
        <f>B4-D4</f>
        <v>0.11178242658846217</v>
      </c>
      <c r="T4" s="52">
        <f>F4-B4</f>
        <v>0.11826925340980624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0.17988745412157112</v>
      </c>
      <c r="C5" s="118">
        <v>0.10220273456865829</v>
      </c>
      <c r="D5" s="119">
        <v>7.2101864904390994E-2</v>
      </c>
      <c r="E5" s="117">
        <v>0.1665383286011983</v>
      </c>
      <c r="F5" s="12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7"/>
      <c r="O5" s="72"/>
      <c r="Q5" s="72" t="str">
        <f t="shared" ref="Q5:Q10" si="0">A5</f>
        <v>Emerging market debt</v>
      </c>
      <c r="R5" s="72">
        <f t="shared" ref="R5:R10" si="1">D5</f>
        <v>7.2101864904390994E-2</v>
      </c>
      <c r="S5" s="52">
        <f t="shared" ref="S5:S10" si="2">B5-D5</f>
        <v>0.10778558921718012</v>
      </c>
      <c r="T5" s="52">
        <f t="shared" ref="T5:T10" si="3">F5-B5</f>
        <v>0.1073540296517986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0.19511936248529493</v>
      </c>
      <c r="C6" s="118">
        <v>5.4342647784118514E-2</v>
      </c>
      <c r="D6" s="119">
        <v>0.13836433077278346</v>
      </c>
      <c r="E6" s="117">
        <v>0.19545652883993458</v>
      </c>
      <c r="F6" s="12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7"/>
      <c r="O6" s="72"/>
      <c r="Q6" s="72" t="str">
        <f t="shared" si="0"/>
        <v>Aandelen ontwikkeld</v>
      </c>
      <c r="R6" s="72">
        <f t="shared" si="1"/>
        <v>0.13836433077278346</v>
      </c>
      <c r="S6" s="52">
        <f t="shared" si="2"/>
        <v>5.6755031712511478E-2</v>
      </c>
      <c r="T6" s="52">
        <f t="shared" si="3"/>
        <v>5.4566375536032385E-2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0.12322751596492687</v>
      </c>
      <c r="C7" s="118">
        <v>4.689203838391201E-2</v>
      </c>
      <c r="D7" s="119">
        <v>7.3678396828209328E-2</v>
      </c>
      <c r="E7" s="117">
        <v>0.12349391342067817</v>
      </c>
      <c r="F7" s="12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7.3678396828209328E-2</v>
      </c>
      <c r="S7" s="52">
        <f t="shared" si="2"/>
        <v>4.9549119136717543E-2</v>
      </c>
      <c r="T7" s="52">
        <f t="shared" si="3"/>
        <v>4.8468349246479775E-2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5.0285538433716956E-2</v>
      </c>
      <c r="C8" s="118">
        <v>2.8032283153565561E-2</v>
      </c>
      <c r="D8" s="119">
        <v>2.0173423169925982E-2</v>
      </c>
      <c r="E8" s="117">
        <v>4.9187616478122823E-2</v>
      </c>
      <c r="F8" s="12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7"/>
      <c r="O8" s="72"/>
      <c r="Q8" s="72" t="str">
        <f t="shared" si="0"/>
        <v>Commodities</v>
      </c>
      <c r="R8" s="72">
        <f t="shared" si="1"/>
        <v>2.0173423169925982E-2</v>
      </c>
      <c r="S8" s="52">
        <f t="shared" si="2"/>
        <v>3.0112115263790974E-2</v>
      </c>
      <c r="T8" s="52">
        <f t="shared" si="3"/>
        <v>3.0167960277201408E-2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0.12610530136449027</v>
      </c>
      <c r="C9" s="118">
        <v>7.3983093130255778E-2</v>
      </c>
      <c r="D9" s="119">
        <v>4.4880843106858817E-2</v>
      </c>
      <c r="E9" s="117">
        <v>0.11757619972976338</v>
      </c>
      <c r="F9" s="12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7"/>
      <c r="O9" s="72"/>
      <c r="Q9" s="72" t="str">
        <f t="shared" si="0"/>
        <v>Hedge funds</v>
      </c>
      <c r="R9" s="72">
        <f t="shared" si="1"/>
        <v>4.4880843106858817E-2</v>
      </c>
      <c r="S9" s="52">
        <f t="shared" si="2"/>
        <v>8.1224458257631457E-2</v>
      </c>
      <c r="T9" s="52">
        <f t="shared" si="3"/>
        <v>8.002783289600518E-2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0.13606869736235841</v>
      </c>
      <c r="C10" s="122">
        <v>8.209915604933421E-2</v>
      </c>
      <c r="D10" s="123">
        <v>4.5840528997215114E-2</v>
      </c>
      <c r="E10" s="121">
        <v>0.12995807882156671</v>
      </c>
      <c r="F10" s="124">
        <v>0.22591056184951297</v>
      </c>
      <c r="G10" s="65">
        <v>-8.7805400309046558E-2</v>
      </c>
      <c r="H10" s="65">
        <v>-0.94909850424912778</v>
      </c>
      <c r="I10" s="65">
        <v>1</v>
      </c>
      <c r="J10" s="65">
        <v>8.1700830405640246E-2</v>
      </c>
      <c r="K10" s="65">
        <v>-0.19450783865370366</v>
      </c>
      <c r="L10" s="65">
        <v>-0.14917578255442313</v>
      </c>
      <c r="M10" s="65">
        <v>0.99999999999999878</v>
      </c>
      <c r="N10" s="66"/>
      <c r="O10" s="72"/>
      <c r="Q10" s="72" t="str">
        <f t="shared" si="0"/>
        <v>Onroerend goed</v>
      </c>
      <c r="R10" s="72">
        <f t="shared" si="1"/>
        <v>4.5840528997215114E-2</v>
      </c>
      <c r="S10" s="52">
        <f t="shared" si="2"/>
        <v>9.0228168365143302E-2</v>
      </c>
      <c r="T10" s="52">
        <f t="shared" si="3"/>
        <v>8.984186448715456E-2</v>
      </c>
      <c r="U10" s="52"/>
      <c r="V10" s="52"/>
      <c r="W10" s="52"/>
    </row>
    <row r="12" spans="1:23">
      <c r="A12" s="48" t="s">
        <v>68</v>
      </c>
      <c r="D12" s="395" t="s">
        <v>64</v>
      </c>
      <c r="E12" s="396"/>
      <c r="F12" s="397"/>
      <c r="G12" s="395" t="s">
        <v>65</v>
      </c>
      <c r="H12" s="396"/>
      <c r="I12" s="396"/>
      <c r="J12" s="396"/>
      <c r="K12" s="396"/>
      <c r="L12" s="396"/>
      <c r="M12" s="396"/>
      <c r="N12" s="397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0.74031071575333507</v>
      </c>
      <c r="H13" s="272">
        <v>0.11607118391386151</v>
      </c>
      <c r="I13" s="272">
        <v>9.1831107977294768E-2</v>
      </c>
      <c r="J13" s="272">
        <v>4.7024019388314242E-2</v>
      </c>
      <c r="K13" s="272">
        <v>3.9164348311543362E-3</v>
      </c>
      <c r="L13" s="272">
        <v>8.4653813603363659E-4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0.23577701527791628</v>
      </c>
      <c r="C14" s="118">
        <v>0.13282199227996005</v>
      </c>
      <c r="D14" s="119">
        <v>9.5304615523685604E-2</v>
      </c>
      <c r="E14" s="117">
        <v>0.22268813755612707</v>
      </c>
      <c r="F14" s="120">
        <v>0.37088188367648245</v>
      </c>
      <c r="G14" s="2">
        <v>1</v>
      </c>
      <c r="H14" s="2">
        <v>-0.3178125581149378</v>
      </c>
      <c r="I14" s="2">
        <v>-0.26093929604090943</v>
      </c>
      <c r="J14" s="2">
        <v>-0.2178555858011485</v>
      </c>
      <c r="K14" s="2">
        <v>-0.21634487347929382</v>
      </c>
      <c r="L14" s="2">
        <v>-0.16571505403912265</v>
      </c>
      <c r="M14" s="2">
        <v>0.99999999999999911</v>
      </c>
      <c r="N14" s="57"/>
      <c r="Q14" s="51" t="str">
        <f t="shared" ref="Q14:Q20" si="4">A14</f>
        <v>High Yield</v>
      </c>
      <c r="R14" s="72">
        <f>D14</f>
        <v>9.5304615523685604E-2</v>
      </c>
      <c r="S14" s="52">
        <f>B14-D14</f>
        <v>0.14047239975423068</v>
      </c>
      <c r="T14" s="52">
        <f>F14-B14</f>
        <v>0.13510486839856617</v>
      </c>
      <c r="U14" s="52"/>
    </row>
    <row r="15" spans="1:23">
      <c r="A15" s="59" t="str">
        <f t="shared" ref="A15:A20" si="5">A5</f>
        <v>Emerging market debt</v>
      </c>
      <c r="B15" s="117">
        <v>4.516169010955897E-2</v>
      </c>
      <c r="C15" s="118">
        <v>3.8584568524031665E-2</v>
      </c>
      <c r="D15" s="119">
        <v>1.0080629740565394E-2</v>
      </c>
      <c r="E15" s="117">
        <v>3.423862540832092E-2</v>
      </c>
      <c r="F15" s="120">
        <v>7.9898766380699773E-2</v>
      </c>
      <c r="G15" s="2">
        <v>-6.5836327054349164E-2</v>
      </c>
      <c r="H15" s="2">
        <v>-6.5658916872625678E-2</v>
      </c>
      <c r="I15" s="2">
        <v>-5.8103030101013066E-2</v>
      </c>
      <c r="J15" s="2">
        <v>1</v>
      </c>
      <c r="K15" s="2">
        <v>-0.15394509943874812</v>
      </c>
      <c r="L15" s="2">
        <v>-0.15031444380816866</v>
      </c>
      <c r="M15" s="2">
        <v>0.99999999999999756</v>
      </c>
      <c r="N15" s="57"/>
      <c r="Q15" s="51" t="str">
        <f t="shared" si="4"/>
        <v>Emerging market debt</v>
      </c>
      <c r="R15" s="72">
        <f t="shared" ref="R15:R20" si="6">D15</f>
        <v>1.0080629740565394E-2</v>
      </c>
      <c r="S15" s="52">
        <f t="shared" ref="S15:S20" si="7">B15-D15</f>
        <v>3.5081060368993576E-2</v>
      </c>
      <c r="T15" s="52">
        <f t="shared" ref="T15:T20" si="8">F15-B15</f>
        <v>3.4737076271140803E-2</v>
      </c>
      <c r="U15" s="52"/>
    </row>
    <row r="16" spans="1:23">
      <c r="A16" s="59" t="str">
        <f t="shared" si="5"/>
        <v>Aandelen ontwikkeld</v>
      </c>
      <c r="B16" s="117">
        <v>4.7456005134116032E-3</v>
      </c>
      <c r="C16" s="118">
        <v>5.2134525447881256E-3</v>
      </c>
      <c r="D16" s="119">
        <v>3.1098054798629564E-4</v>
      </c>
      <c r="E16" s="117">
        <v>2.7033708404513596E-3</v>
      </c>
      <c r="F16" s="120">
        <v>9.9324668520615628E-3</v>
      </c>
      <c r="G16" s="2">
        <v>-2.5149327874538405E-3</v>
      </c>
      <c r="H16" s="2">
        <v>1.1426874053082024E-4</v>
      </c>
      <c r="I16" s="2">
        <v>-9.9986750670455048E-3</v>
      </c>
      <c r="J16" s="2">
        <v>-1.4668075860528229E-2</v>
      </c>
      <c r="K16" s="2">
        <v>2.1944775684048883E-2</v>
      </c>
      <c r="L16" s="2">
        <v>1</v>
      </c>
      <c r="M16" s="2">
        <v>0.99999999999997502</v>
      </c>
      <c r="N16" s="57"/>
      <c r="Q16" s="51" t="str">
        <f t="shared" si="4"/>
        <v>Aandelen ontwikkeld</v>
      </c>
      <c r="R16" s="72">
        <f t="shared" si="6"/>
        <v>3.1098054798629564E-4</v>
      </c>
      <c r="S16" s="52">
        <f t="shared" si="7"/>
        <v>4.4346199654253073E-3</v>
      </c>
      <c r="T16" s="52">
        <f t="shared" si="8"/>
        <v>5.1868663386499597E-3</v>
      </c>
      <c r="U16" s="52"/>
    </row>
    <row r="17" spans="1:24">
      <c r="A17" s="59" t="str">
        <f t="shared" si="5"/>
        <v>Aandelen opkomend</v>
      </c>
      <c r="B17" s="117">
        <v>7.156538990643746E-2</v>
      </c>
      <c r="C17" s="118">
        <v>5.8315286195927483E-2</v>
      </c>
      <c r="D17" s="119">
        <v>1.521987083539175E-2</v>
      </c>
      <c r="E17" s="117">
        <v>5.6146977814044027E-2</v>
      </c>
      <c r="F17" s="120">
        <v>0.12708665921436846</v>
      </c>
      <c r="G17" s="2">
        <v>-0.10571152771286559</v>
      </c>
      <c r="H17" s="2">
        <v>1</v>
      </c>
      <c r="I17" s="2">
        <v>-0.24657858172836164</v>
      </c>
      <c r="J17" s="2">
        <v>-0.19972520517814984</v>
      </c>
      <c r="K17" s="2">
        <v>-0.22247239903104868</v>
      </c>
      <c r="L17" s="2">
        <v>-0.16738286858425239</v>
      </c>
      <c r="M17" s="2">
        <v>0.99999999999999989</v>
      </c>
      <c r="N17" s="57"/>
      <c r="Q17" s="51" t="str">
        <f t="shared" si="4"/>
        <v>Aandelen opkomend</v>
      </c>
      <c r="R17" s="72">
        <f t="shared" si="6"/>
        <v>1.521987083539175E-2</v>
      </c>
      <c r="S17" s="52">
        <f t="shared" si="7"/>
        <v>5.6345519071045708E-2</v>
      </c>
      <c r="T17" s="52">
        <f t="shared" si="8"/>
        <v>5.5521269307930998E-2</v>
      </c>
      <c r="U17" s="52"/>
    </row>
    <row r="18" spans="1:24">
      <c r="A18" s="59" t="str">
        <f t="shared" si="5"/>
        <v>Commodities</v>
      </c>
      <c r="B18" s="117">
        <v>0.56125939804848646</v>
      </c>
      <c r="C18" s="118">
        <v>0.10522143232304454</v>
      </c>
      <c r="D18" s="119">
        <v>0.45501853734259429</v>
      </c>
      <c r="E18" s="117">
        <v>0.55921941720482726</v>
      </c>
      <c r="F18" s="120">
        <v>0.66964017001475895</v>
      </c>
      <c r="G18" s="2">
        <v>-0.74848395598529527</v>
      </c>
      <c r="H18" s="2">
        <v>-0.55431001157431292</v>
      </c>
      <c r="I18" s="2">
        <v>-0.40077746930147407</v>
      </c>
      <c r="J18" s="2">
        <v>-0.33329289740875373</v>
      </c>
      <c r="K18" s="2">
        <v>-0.23754685744798706</v>
      </c>
      <c r="L18" s="2">
        <v>-0.1713564726326999</v>
      </c>
      <c r="M18" s="2">
        <v>1</v>
      </c>
      <c r="N18" s="57"/>
      <c r="Q18" s="51" t="str">
        <f t="shared" si="4"/>
        <v>Commodities</v>
      </c>
      <c r="R18" s="72">
        <f t="shared" si="6"/>
        <v>0.45501853734259429</v>
      </c>
      <c r="S18" s="52">
        <f t="shared" si="7"/>
        <v>0.10624086070589217</v>
      </c>
      <c r="T18" s="52">
        <f t="shared" si="8"/>
        <v>0.10838077196627249</v>
      </c>
      <c r="U18" s="52"/>
    </row>
    <row r="19" spans="1:24">
      <c r="A19" s="59" t="str">
        <f t="shared" si="5"/>
        <v>Hedge funds</v>
      </c>
      <c r="B19" s="117">
        <v>7.0276101674922875E-2</v>
      </c>
      <c r="C19" s="118">
        <v>5.2300212890738704E-2</v>
      </c>
      <c r="D19" s="119">
        <v>1.9868438206004254E-2</v>
      </c>
      <c r="E19" s="117">
        <v>5.9562621162508551E-2</v>
      </c>
      <c r="F19" s="120">
        <v>0.12143808145321883</v>
      </c>
      <c r="G19" s="2">
        <v>-6.9148852723331433E-2</v>
      </c>
      <c r="H19" s="2">
        <v>-6.2320301182087749E-2</v>
      </c>
      <c r="I19" s="2">
        <v>1</v>
      </c>
      <c r="J19" s="2">
        <v>-0.18293114738380392</v>
      </c>
      <c r="K19" s="2">
        <v>-0.19163554628696311</v>
      </c>
      <c r="L19" s="2">
        <v>-0.15638283997619587</v>
      </c>
      <c r="M19" s="2">
        <v>0.99999999999999967</v>
      </c>
      <c r="N19" s="57"/>
      <c r="Q19" s="51" t="str">
        <f t="shared" si="4"/>
        <v>Hedge funds</v>
      </c>
      <c r="R19" s="72">
        <f t="shared" si="6"/>
        <v>1.9868438206004254E-2</v>
      </c>
      <c r="S19" s="52">
        <f t="shared" si="7"/>
        <v>5.0407663468918618E-2</v>
      </c>
      <c r="T19" s="52">
        <f t="shared" si="8"/>
        <v>5.1161979778295952E-2</v>
      </c>
      <c r="U19" s="52"/>
    </row>
    <row r="20" spans="1:24">
      <c r="A20" s="60" t="str">
        <f t="shared" si="5"/>
        <v>Onroerend goed</v>
      </c>
      <c r="B20" s="121">
        <v>1.1214804469266095E-2</v>
      </c>
      <c r="C20" s="122">
        <v>1.1180791041482209E-2</v>
      </c>
      <c r="D20" s="123">
        <v>1.7409154601443391E-3</v>
      </c>
      <c r="E20" s="121">
        <v>7.2319193238043747E-3</v>
      </c>
      <c r="F20" s="124">
        <v>2.1909260851275945E-2</v>
      </c>
      <c r="G20" s="65">
        <v>-8.3044037367039289E-3</v>
      </c>
      <c r="H20" s="65">
        <v>-1.2480996566554162E-5</v>
      </c>
      <c r="I20" s="65">
        <v>-2.3602947761196716E-2</v>
      </c>
      <c r="J20" s="65">
        <v>-5.152708836761434E-2</v>
      </c>
      <c r="K20" s="65">
        <v>1</v>
      </c>
      <c r="L20" s="65">
        <v>-0.18884832095953816</v>
      </c>
      <c r="M20" s="65">
        <v>0.99999999999999234</v>
      </c>
      <c r="N20" s="66"/>
      <c r="Q20" s="51" t="str">
        <f t="shared" si="4"/>
        <v>Onroerend goed</v>
      </c>
      <c r="R20" s="72">
        <f t="shared" si="6"/>
        <v>1.7409154601443391E-3</v>
      </c>
      <c r="S20" s="52">
        <f t="shared" si="7"/>
        <v>9.4738890091217564E-3</v>
      </c>
      <c r="T20" s="52">
        <f t="shared" si="8"/>
        <v>1.0694456382009851E-2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95" t="s">
        <v>64</v>
      </c>
      <c r="E22" s="396"/>
      <c r="F22" s="397"/>
      <c r="G22" s="395" t="s">
        <v>65</v>
      </c>
      <c r="H22" s="396"/>
      <c r="I22" s="396"/>
      <c r="J22" s="396"/>
      <c r="K22" s="396"/>
      <c r="L22" s="396"/>
      <c r="M22" s="396"/>
      <c r="N22" s="397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0.79864726178174439</v>
      </c>
      <c r="H23" s="272">
        <v>0.14623123708459629</v>
      </c>
      <c r="I23" s="272">
        <v>3.0458412026499015E-2</v>
      </c>
      <c r="J23" s="272">
        <v>1.8848968624525231E-2</v>
      </c>
      <c r="K23" s="272">
        <v>4.2693044848112205E-3</v>
      </c>
      <c r="L23" s="272">
        <v>1.544815997827631E-3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8.9024622978396261E-3</v>
      </c>
      <c r="C24" s="118">
        <v>9.7367605357514108E-3</v>
      </c>
      <c r="D24" s="119">
        <v>9.7331828190076893E-4</v>
      </c>
      <c r="E24" s="117">
        <v>5.8622029058235069E-3</v>
      </c>
      <c r="F24" s="120">
        <v>1.6236974241075536E-2</v>
      </c>
      <c r="G24" s="2">
        <v>-5.2336785313407807E-3</v>
      </c>
      <c r="H24" s="2">
        <v>5.5860232859309751E-2</v>
      </c>
      <c r="I24" s="2">
        <v>1</v>
      </c>
      <c r="J24" s="2">
        <v>-0.81650879157803202</v>
      </c>
      <c r="K24" s="2">
        <v>-0.23684379692571134</v>
      </c>
      <c r="L24" s="2">
        <v>-0.13642244001829573</v>
      </c>
      <c r="M24" s="2">
        <v>0.99999999999998523</v>
      </c>
      <c r="N24" s="57"/>
      <c r="O24" s="67"/>
      <c r="Q24" s="51" t="str">
        <f t="shared" ref="Q24:Q30" si="9">A24</f>
        <v>High Yield</v>
      </c>
      <c r="R24" s="72">
        <f>D24</f>
        <v>9.7331828190076893E-4</v>
      </c>
      <c r="S24" s="52">
        <f>B24-D24</f>
        <v>7.929144015938857E-3</v>
      </c>
      <c r="T24" s="52">
        <f>F24-B24</f>
        <v>7.3345119432359097E-3</v>
      </c>
      <c r="U24" s="52"/>
    </row>
    <row r="25" spans="1:24">
      <c r="A25" s="59" t="str">
        <f t="shared" ref="A25:A30" si="10">A5</f>
        <v>Emerging market debt</v>
      </c>
      <c r="B25" s="117">
        <v>6.1478749105533186E-2</v>
      </c>
      <c r="C25" s="118">
        <v>4.5405273726367788E-2</v>
      </c>
      <c r="D25" s="119">
        <v>1.7159244375471998E-2</v>
      </c>
      <c r="E25" s="117">
        <v>5.327746594279513E-2</v>
      </c>
      <c r="F25" s="120">
        <v>0.10751989875447848</v>
      </c>
      <c r="G25" s="2">
        <v>1</v>
      </c>
      <c r="H25" s="2">
        <v>-0.5449860231708572</v>
      </c>
      <c r="I25" s="2">
        <v>-0.52614224829872092</v>
      </c>
      <c r="J25" s="2">
        <v>-6.9329002747351709E-2</v>
      </c>
      <c r="K25" s="2">
        <v>-0.1948507063336638</v>
      </c>
      <c r="L25" s="2">
        <v>-0.14902737406571065</v>
      </c>
      <c r="M25" s="2">
        <v>0.99999999999998412</v>
      </c>
      <c r="N25" s="57"/>
      <c r="O25" s="67"/>
      <c r="Q25" s="51" t="str">
        <f t="shared" si="9"/>
        <v>Emerging market debt</v>
      </c>
      <c r="R25" s="72">
        <f t="shared" ref="R25:R30" si="11">D25</f>
        <v>1.7159244375471998E-2</v>
      </c>
      <c r="S25" s="52">
        <f t="shared" ref="S25:S30" si="12">B25-D25</f>
        <v>4.4319504730061188E-2</v>
      </c>
      <c r="T25" s="52">
        <f t="shared" ref="T25:T30" si="13">F25-B25</f>
        <v>4.6041149648945297E-2</v>
      </c>
      <c r="U25" s="52"/>
      <c r="X25" s="51"/>
    </row>
    <row r="26" spans="1:24">
      <c r="A26" s="59" t="str">
        <f t="shared" si="10"/>
        <v>Aandelen ontwikkeld</v>
      </c>
      <c r="B26" s="117">
        <v>1.5320871687334739E-3</v>
      </c>
      <c r="C26" s="118">
        <v>2.5273241871881071E-3</v>
      </c>
      <c r="D26" s="119">
        <v>1.6123355805191399E-5</v>
      </c>
      <c r="E26" s="117">
        <v>5.5431097235591619E-4</v>
      </c>
      <c r="F26" s="120">
        <v>2.7104335647145199E-3</v>
      </c>
      <c r="G26" s="2">
        <v>-5.228200475449132E-3</v>
      </c>
      <c r="H26" s="2">
        <v>1.357408398609731E-3</v>
      </c>
      <c r="I26" s="2">
        <v>-3.8675860143410541E-3</v>
      </c>
      <c r="J26" s="2">
        <v>1.9816745159330042E-2</v>
      </c>
      <c r="K26" s="2">
        <v>8.1813539315327116E-2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1.6123355805191399E-5</v>
      </c>
      <c r="S26" s="52">
        <f t="shared" si="12"/>
        <v>1.5159638129282826E-3</v>
      </c>
      <c r="T26" s="52">
        <f t="shared" si="13"/>
        <v>1.178346395981046E-3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7.8028364818515817E-3</v>
      </c>
      <c r="C27" s="118">
        <v>9.0649832243677123E-3</v>
      </c>
      <c r="D27" s="119">
        <v>3.8766894616157349E-4</v>
      </c>
      <c r="E27" s="117">
        <v>4.4834099721580162E-3</v>
      </c>
      <c r="F27" s="120">
        <v>1.4955505384291929E-2</v>
      </c>
      <c r="G27" s="2">
        <v>-7.10387136499029E-3</v>
      </c>
      <c r="H27" s="2">
        <v>3.154605712762678E-2</v>
      </c>
      <c r="I27" s="2">
        <v>0.6959519755450323</v>
      </c>
      <c r="J27" s="2">
        <v>1</v>
      </c>
      <c r="K27" s="2">
        <v>-0.2414004470945445</v>
      </c>
      <c r="L27" s="2">
        <v>-0.1617414665929798</v>
      </c>
      <c r="M27" s="2">
        <v>0.99999999999998546</v>
      </c>
      <c r="N27" s="57"/>
      <c r="O27" s="67"/>
      <c r="P27" s="72"/>
      <c r="Q27" s="51" t="str">
        <f t="shared" si="9"/>
        <v>Aandelen opkomend</v>
      </c>
      <c r="R27" s="72">
        <f t="shared" si="11"/>
        <v>3.8766894616157349E-4</v>
      </c>
      <c r="S27" s="52">
        <f t="shared" si="12"/>
        <v>7.4151675356900083E-3</v>
      </c>
      <c r="T27" s="52">
        <f t="shared" si="13"/>
        <v>7.1526689024403473E-3</v>
      </c>
      <c r="U27" s="52"/>
      <c r="V27" s="52"/>
      <c r="W27" s="52"/>
    </row>
    <row r="28" spans="1:24">
      <c r="A28" s="59" t="str">
        <f t="shared" si="10"/>
        <v>Commodities</v>
      </c>
      <c r="B28" s="117">
        <v>0.89428289701351427</v>
      </c>
      <c r="C28" s="118">
        <v>4.4679061224825754E-2</v>
      </c>
      <c r="D28" s="119">
        <v>0.84973198999984012</v>
      </c>
      <c r="E28" s="117">
        <v>0.89723566507248764</v>
      </c>
      <c r="F28" s="120">
        <v>0.93944594090809663</v>
      </c>
      <c r="G28" s="2">
        <v>-0.9823558512637619</v>
      </c>
      <c r="H28" s="2">
        <v>-0.54451071561742337</v>
      </c>
      <c r="I28" s="2">
        <v>-0.55371546212727063</v>
      </c>
      <c r="J28" s="2">
        <v>-7.4304166541022135E-2</v>
      </c>
      <c r="K28" s="2">
        <v>-0.2088227432140374</v>
      </c>
      <c r="L28" s="2">
        <v>-0.15412152675784183</v>
      </c>
      <c r="M28" s="2">
        <v>0.99999999999998523</v>
      </c>
      <c r="N28" s="57"/>
      <c r="O28" s="67"/>
      <c r="P28" s="72"/>
      <c r="Q28" s="51" t="str">
        <f t="shared" si="9"/>
        <v>Commodities</v>
      </c>
      <c r="R28" s="72">
        <f t="shared" si="11"/>
        <v>0.84973198999984012</v>
      </c>
      <c r="S28" s="52">
        <f t="shared" si="12"/>
        <v>4.4550907013674146E-2</v>
      </c>
      <c r="T28" s="52">
        <f t="shared" si="13"/>
        <v>4.5163043894582366E-2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2.2716338351636719E-2</v>
      </c>
      <c r="C29" s="118">
        <v>2.1407436233595908E-2</v>
      </c>
      <c r="D29" s="119">
        <v>3.7704170688989506E-3</v>
      </c>
      <c r="E29" s="117">
        <v>1.6949212730774647E-2</v>
      </c>
      <c r="F29" s="120">
        <v>4.1487141710006101E-2</v>
      </c>
      <c r="G29" s="2">
        <v>1.0614124095847614E-2</v>
      </c>
      <c r="H29" s="2">
        <v>1</v>
      </c>
      <c r="I29" s="2">
        <v>-0.66609318412257834</v>
      </c>
      <c r="J29" s="2">
        <v>-6.4208661223976921E-2</v>
      </c>
      <c r="K29" s="2">
        <v>-0.19989584574737274</v>
      </c>
      <c r="L29" s="2">
        <v>-0.15359350877686212</v>
      </c>
      <c r="M29" s="2">
        <v>0.99999999999998523</v>
      </c>
      <c r="N29" s="57"/>
      <c r="O29" s="67"/>
      <c r="P29" s="72"/>
      <c r="Q29" s="51" t="str">
        <f t="shared" si="9"/>
        <v>Hedge funds</v>
      </c>
      <c r="R29" s="72">
        <f t="shared" si="11"/>
        <v>3.7704170688989506E-3</v>
      </c>
      <c r="S29" s="52">
        <f t="shared" si="12"/>
        <v>1.8945921282737768E-2</v>
      </c>
      <c r="T29" s="52">
        <f t="shared" si="13"/>
        <v>1.8770803358369382E-2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3.2846295808913852E-3</v>
      </c>
      <c r="C30" s="122">
        <v>4.1187050655235842E-3</v>
      </c>
      <c r="D30" s="123">
        <v>1.5819886252651036E-4</v>
      </c>
      <c r="E30" s="121">
        <v>1.6663459413799099E-3</v>
      </c>
      <c r="F30" s="124">
        <v>6.6818058143059012E-3</v>
      </c>
      <c r="G30" s="65">
        <v>-1.0692522460304426E-2</v>
      </c>
      <c r="H30" s="65">
        <v>7.3304040273365005E-4</v>
      </c>
      <c r="I30" s="65">
        <v>5.3866505017877257E-2</v>
      </c>
      <c r="J30" s="65">
        <v>4.5338769310520775E-3</v>
      </c>
      <c r="K30" s="65">
        <v>1</v>
      </c>
      <c r="L30" s="65">
        <v>-0.24509368378832344</v>
      </c>
      <c r="M30" s="65">
        <v>0.99999999999998779</v>
      </c>
      <c r="N30" s="66"/>
      <c r="O30" s="67"/>
      <c r="P30" s="72"/>
      <c r="Q30" s="51" t="str">
        <f t="shared" si="9"/>
        <v>Onroerend goed</v>
      </c>
      <c r="R30" s="72">
        <f t="shared" si="11"/>
        <v>1.5819886252651036E-4</v>
      </c>
      <c r="S30" s="52">
        <f t="shared" si="12"/>
        <v>3.1264307183648749E-3</v>
      </c>
      <c r="T30" s="52">
        <f t="shared" si="13"/>
        <v>3.397176233414516E-3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95" t="s">
        <v>64</v>
      </c>
      <c r="E32" s="396"/>
      <c r="F32" s="397"/>
      <c r="G32" s="395" t="s">
        <v>65</v>
      </c>
      <c r="H32" s="396"/>
      <c r="I32" s="396"/>
      <c r="J32" s="396"/>
      <c r="K32" s="396"/>
      <c r="L32" s="396"/>
      <c r="M32" s="396"/>
      <c r="N32" s="397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0.6821104453434057</v>
      </c>
      <c r="H33" s="272">
        <v>0.21024420254495857</v>
      </c>
      <c r="I33" s="272">
        <v>5.4105574613200758E-2</v>
      </c>
      <c r="J33" s="272">
        <v>2.8287946278246379E-2</v>
      </c>
      <c r="K33" s="272">
        <v>1.591760861571434E-2</v>
      </c>
      <c r="L33" s="272">
        <v>9.3342226044745846E-3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0.70812365034059077</v>
      </c>
      <c r="C34" s="118">
        <v>9.3058089562554305E-2</v>
      </c>
      <c r="D34" s="119">
        <v>0.61239230310119175</v>
      </c>
      <c r="E34" s="117">
        <v>0.71023069930578342</v>
      </c>
      <c r="F34" s="120">
        <v>0.8044382288535703</v>
      </c>
      <c r="G34" s="2">
        <v>1</v>
      </c>
      <c r="H34" s="2">
        <v>-0.25458519502059712</v>
      </c>
      <c r="I34" s="2">
        <v>-0.33219887936279097</v>
      </c>
      <c r="J34" s="2">
        <v>-0.27279914559158358</v>
      </c>
      <c r="K34" s="2">
        <v>-0.16919807037536766</v>
      </c>
      <c r="L34" s="2">
        <v>-0.13568924623576148</v>
      </c>
      <c r="M34" s="2">
        <v>0.99999999999999989</v>
      </c>
      <c r="N34" s="57"/>
      <c r="O34" s="67"/>
      <c r="Q34" s="51" t="str">
        <f t="shared" ref="Q34:Q40" si="15">A34</f>
        <v>High Yield</v>
      </c>
      <c r="R34" s="72">
        <f>D34</f>
        <v>0.61239230310119175</v>
      </c>
      <c r="S34" s="52">
        <f>B34-D34</f>
        <v>9.5731347239399023E-2</v>
      </c>
      <c r="T34" s="52">
        <f>F34-B34</f>
        <v>9.6314578512979532E-2</v>
      </c>
      <c r="U34" s="52"/>
    </row>
    <row r="35" spans="1:24">
      <c r="A35" s="59" t="str">
        <f t="shared" si="14"/>
        <v>Emerging market debt</v>
      </c>
      <c r="B35" s="117">
        <v>1.5082431977586928E-2</v>
      </c>
      <c r="C35" s="118">
        <v>1.252090118023712E-2</v>
      </c>
      <c r="D35" s="119">
        <v>2.7946565716081835E-3</v>
      </c>
      <c r="E35" s="117">
        <v>1.2181450924488725E-2</v>
      </c>
      <c r="F35" s="120">
        <v>2.7219805893536276E-2</v>
      </c>
      <c r="G35" s="2">
        <v>-7.0238363455568656E-3</v>
      </c>
      <c r="H35" s="2">
        <v>-3.574056364515498E-3</v>
      </c>
      <c r="I35" s="2">
        <v>-3.7349095796939749E-2</v>
      </c>
      <c r="J35" s="2">
        <v>6.2529272730784305E-2</v>
      </c>
      <c r="K35" s="2">
        <v>0.19998713506301535</v>
      </c>
      <c r="L35" s="2">
        <v>1</v>
      </c>
      <c r="M35" s="2">
        <v>0.99999999999999656</v>
      </c>
      <c r="N35" s="57"/>
      <c r="O35" s="67"/>
      <c r="Q35" s="51" t="str">
        <f t="shared" si="15"/>
        <v>Emerging market debt</v>
      </c>
      <c r="R35" s="72">
        <f t="shared" ref="R35:R40" si="16">D35</f>
        <v>2.7946565716081835E-3</v>
      </c>
      <c r="S35" s="52">
        <f t="shared" ref="S35:S40" si="17">B35-D35</f>
        <v>1.2287775405978744E-2</v>
      </c>
      <c r="T35" s="52">
        <f t="shared" ref="T35:T40" si="18">F35-B35</f>
        <v>1.2137373915949348E-2</v>
      </c>
      <c r="U35" s="52"/>
    </row>
    <row r="36" spans="1:24">
      <c r="A36" s="59" t="str">
        <f t="shared" si="14"/>
        <v>Aandelen ontwikkeld</v>
      </c>
      <c r="B36" s="117">
        <v>1.6157337299592563E-2</v>
      </c>
      <c r="C36" s="118">
        <v>1.5987934145464216E-2</v>
      </c>
      <c r="D36" s="119">
        <v>2.0775934428418331E-3</v>
      </c>
      <c r="E36" s="117">
        <v>1.1304967923447127E-2</v>
      </c>
      <c r="F36" s="120">
        <v>3.1969316051371752E-2</v>
      </c>
      <c r="G36" s="2">
        <v>-5.8488044332055365E-3</v>
      </c>
      <c r="H36" s="2">
        <v>-6.3997751447693232E-3</v>
      </c>
      <c r="I36" s="2">
        <v>7.5067989849938122E-2</v>
      </c>
      <c r="J36" s="2">
        <v>0.22225017819447679</v>
      </c>
      <c r="K36" s="2">
        <v>1</v>
      </c>
      <c r="L36" s="2">
        <v>-0.35566276439386618</v>
      </c>
      <c r="M36" s="2">
        <v>0.99999999999999545</v>
      </c>
      <c r="N36" s="57"/>
      <c r="O36" s="67"/>
      <c r="Q36" s="51" t="str">
        <f t="shared" si="15"/>
        <v>Aandelen ontwikkeld</v>
      </c>
      <c r="R36" s="72">
        <f t="shared" si="16"/>
        <v>2.0775934428418331E-3</v>
      </c>
      <c r="S36" s="52">
        <f t="shared" si="17"/>
        <v>1.407974385675073E-2</v>
      </c>
      <c r="T36" s="52">
        <f t="shared" si="18"/>
        <v>1.5811978751779188E-2</v>
      </c>
      <c r="U36" s="52"/>
    </row>
    <row r="37" spans="1:24">
      <c r="A37" s="59" t="str">
        <f t="shared" si="14"/>
        <v>Aandelen opkomend</v>
      </c>
      <c r="B37" s="117">
        <v>6.9668708296684076E-2</v>
      </c>
      <c r="C37" s="118">
        <v>5.5940396606249235E-2</v>
      </c>
      <c r="D37" s="119">
        <v>1.645975756546526E-2</v>
      </c>
      <c r="E37" s="117">
        <v>5.3807791859985993E-2</v>
      </c>
      <c r="F37" s="120">
        <v>0.12821205641834982</v>
      </c>
      <c r="G37" s="2">
        <v>-0.23361236655061987</v>
      </c>
      <c r="H37" s="2">
        <v>1</v>
      </c>
      <c r="I37" s="2">
        <v>-0.34996970415038026</v>
      </c>
      <c r="J37" s="2">
        <v>-0.29242460370487133</v>
      </c>
      <c r="K37" s="2">
        <v>-0.1646243405019493</v>
      </c>
      <c r="L37" s="2">
        <v>-0.139398361119036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1.645975756546526E-2</v>
      </c>
      <c r="S37" s="52">
        <f t="shared" si="17"/>
        <v>5.3208950731218813E-2</v>
      </c>
      <c r="T37" s="52">
        <f t="shared" si="18"/>
        <v>5.8543348121665742E-2</v>
      </c>
      <c r="U37" s="52"/>
      <c r="X37" s="51"/>
    </row>
    <row r="38" spans="1:24">
      <c r="A38" s="59" t="str">
        <f t="shared" si="14"/>
        <v>Commodities</v>
      </c>
      <c r="B38" s="117">
        <v>0.13044764694681479</v>
      </c>
      <c r="C38" s="118">
        <v>7.3793687848373826E-2</v>
      </c>
      <c r="D38" s="119">
        <v>5.0434992797911832E-2</v>
      </c>
      <c r="E38" s="117">
        <v>0.12539469461109218</v>
      </c>
      <c r="F38" s="120">
        <v>0.20322832499270319</v>
      </c>
      <c r="G38" s="2">
        <v>-0.69268486788002037</v>
      </c>
      <c r="H38" s="2">
        <v>-0.7033005663661841</v>
      </c>
      <c r="I38" s="2">
        <v>-0.40360247533900467</v>
      </c>
      <c r="J38" s="2">
        <v>-0.33071454358361579</v>
      </c>
      <c r="K38" s="2">
        <v>-0.1674429502703445</v>
      </c>
      <c r="L38" s="2">
        <v>-0.14594385768065316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5.0434992797911832E-2</v>
      </c>
      <c r="S38" s="52">
        <f t="shared" si="17"/>
        <v>8.0012654148902962E-2</v>
      </c>
      <c r="T38" s="52">
        <f t="shared" si="18"/>
        <v>7.2780678045888392E-2</v>
      </c>
      <c r="U38" s="52"/>
      <c r="V38" s="52"/>
      <c r="W38" s="52"/>
    </row>
    <row r="39" spans="1:24">
      <c r="A39" s="59" t="str">
        <f t="shared" si="14"/>
        <v>Hedge funds</v>
      </c>
      <c r="B39" s="117">
        <v>3.774289812529516E-2</v>
      </c>
      <c r="C39" s="118">
        <v>2.829314472217391E-2</v>
      </c>
      <c r="D39" s="119">
        <v>9.7234850478918125E-3</v>
      </c>
      <c r="E39" s="117">
        <v>3.0793862548481044E-2</v>
      </c>
      <c r="F39" s="120">
        <v>6.652849886735264E-2</v>
      </c>
      <c r="G39" s="2">
        <v>-2.7341787598130392E-2</v>
      </c>
      <c r="H39" s="2">
        <v>-1.7401914891798931E-2</v>
      </c>
      <c r="I39" s="2">
        <v>1</v>
      </c>
      <c r="J39" s="2">
        <v>-0.3888411580451881</v>
      </c>
      <c r="K39" s="2">
        <v>-0.22629904676189716</v>
      </c>
      <c r="L39" s="2">
        <v>-8.1922567398277718E-2</v>
      </c>
      <c r="M39" s="2">
        <v>0.99999999999999767</v>
      </c>
      <c r="N39" s="57"/>
      <c r="O39" s="67"/>
      <c r="P39" s="72"/>
      <c r="Q39" s="51" t="str">
        <f t="shared" si="15"/>
        <v>Hedge funds</v>
      </c>
      <c r="R39" s="72">
        <f t="shared" si="16"/>
        <v>9.7234850478918125E-3</v>
      </c>
      <c r="S39" s="52">
        <f t="shared" si="17"/>
        <v>2.8019413077403348E-2</v>
      </c>
      <c r="T39" s="52">
        <f t="shared" si="18"/>
        <v>2.8785600742057479E-2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2.2777327013435635E-2</v>
      </c>
      <c r="C40" s="122">
        <v>2.0608592340988403E-2</v>
      </c>
      <c r="D40" s="123">
        <v>4.2673088400998404E-3</v>
      </c>
      <c r="E40" s="121">
        <v>1.7109716292567332E-2</v>
      </c>
      <c r="F40" s="124">
        <v>4.217125446319693E-2</v>
      </c>
      <c r="G40" s="65">
        <v>-3.3488337192466931E-2</v>
      </c>
      <c r="H40" s="65">
        <v>-1.4738492212134401E-2</v>
      </c>
      <c r="I40" s="65">
        <v>4.8052164799180362E-2</v>
      </c>
      <c r="J40" s="65">
        <v>1</v>
      </c>
      <c r="K40" s="65">
        <v>-0.47242272715345296</v>
      </c>
      <c r="L40" s="65">
        <v>-0.1413832031724028</v>
      </c>
      <c r="M40" s="65">
        <v>0.99999999999999711</v>
      </c>
      <c r="N40" s="66"/>
      <c r="O40" s="67"/>
      <c r="P40" s="72"/>
      <c r="Q40" s="51" t="str">
        <f t="shared" si="15"/>
        <v>Onroerend goed</v>
      </c>
      <c r="R40" s="72">
        <f t="shared" si="16"/>
        <v>4.2673088400998404E-3</v>
      </c>
      <c r="S40" s="52">
        <f t="shared" si="17"/>
        <v>1.8510018173335793E-2</v>
      </c>
      <c r="T40" s="52">
        <f t="shared" si="18"/>
        <v>1.9393927449761296E-2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95" t="s">
        <v>64</v>
      </c>
      <c r="E42" s="396"/>
      <c r="F42" s="397"/>
      <c r="G42" s="395" t="s">
        <v>65</v>
      </c>
      <c r="H42" s="396"/>
      <c r="I42" s="396"/>
      <c r="J42" s="396"/>
      <c r="K42" s="396"/>
      <c r="L42" s="396"/>
      <c r="M42" s="396"/>
      <c r="N42" s="397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0.33833423899328452</v>
      </c>
      <c r="H43" s="272">
        <v>0.16247693266523155</v>
      </c>
      <c r="I43" s="272">
        <v>0.14564419486255697</v>
      </c>
      <c r="J43" s="272">
        <v>0.14329383072031165</v>
      </c>
      <c r="K43" s="272">
        <v>0.12506300570125783</v>
      </c>
      <c r="L43" s="272">
        <v>8.5187797057357351E-2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0.14008097345741705</v>
      </c>
      <c r="C44" s="118">
        <v>0.19889061404208824</v>
      </c>
      <c r="D44" s="119">
        <v>3.6395984093867494E-4</v>
      </c>
      <c r="E44" s="117">
        <v>4.6826300060116503E-2</v>
      </c>
      <c r="F44" s="120">
        <v>0.31471151596177016</v>
      </c>
      <c r="G44" s="2">
        <v>-0.22358750748056253</v>
      </c>
      <c r="H44" s="2">
        <v>-0.92495277943766641</v>
      </c>
      <c r="I44" s="2">
        <v>-0.75471767151771674</v>
      </c>
      <c r="J44" s="2">
        <v>-0.67113873424234438</v>
      </c>
      <c r="K44" s="2">
        <v>-0.12924420331013109</v>
      </c>
      <c r="L44" s="2">
        <v>-0.1118681108125244</v>
      </c>
      <c r="M44" s="2">
        <v>0.99999999999974154</v>
      </c>
      <c r="N44" s="57"/>
      <c r="O44" s="67"/>
      <c r="Q44" s="51" t="str">
        <f t="shared" ref="Q44:Q50" si="19">A44</f>
        <v>High Yield</v>
      </c>
      <c r="R44" s="72">
        <f>D44</f>
        <v>3.6395984093867494E-4</v>
      </c>
      <c r="S44" s="52">
        <f>B44-D44</f>
        <v>0.13971701361647837</v>
      </c>
      <c r="T44" s="52">
        <f>F44-B44</f>
        <v>0.17463054250435311</v>
      </c>
      <c r="U44" s="52"/>
    </row>
    <row r="45" spans="1:24">
      <c r="A45" s="59" t="str">
        <f t="shared" ref="A45:A50" si="20">A5</f>
        <v>Emerging market debt</v>
      </c>
      <c r="B45" s="117">
        <v>0.14362901399592667</v>
      </c>
      <c r="C45" s="118">
        <v>0.20174979636232082</v>
      </c>
      <c r="D45" s="119">
        <v>5.6322545765322E-4</v>
      </c>
      <c r="E45" s="117">
        <v>4.8217062418334997E-2</v>
      </c>
      <c r="F45" s="120">
        <v>0.32046336445088935</v>
      </c>
      <c r="G45" s="2">
        <v>-0.26420829270363455</v>
      </c>
      <c r="H45" s="2">
        <v>1</v>
      </c>
      <c r="I45" s="2">
        <v>-0.86974804662238858</v>
      </c>
      <c r="J45" s="2">
        <v>0.28202020573366016</v>
      </c>
      <c r="K45" s="2">
        <v>-0.23994960222790646</v>
      </c>
      <c r="L45" s="2">
        <v>-0.11860046554351096</v>
      </c>
      <c r="M45" s="2">
        <v>0.9999999999989192</v>
      </c>
      <c r="N45" s="57"/>
      <c r="O45" s="67"/>
      <c r="Q45" s="51" t="str">
        <f t="shared" si="19"/>
        <v>Emerging market debt</v>
      </c>
      <c r="R45" s="72">
        <f t="shared" ref="R45:R50" si="21">D45</f>
        <v>5.6322545765322E-4</v>
      </c>
      <c r="S45" s="52">
        <f t="shared" ref="S45:S50" si="22">B45-D45</f>
        <v>0.14306578853827345</v>
      </c>
      <c r="T45" s="52">
        <f t="shared" ref="T45:T50" si="23">F45-B45</f>
        <v>0.17683435045496268</v>
      </c>
      <c r="U45" s="52"/>
    </row>
    <row r="46" spans="1:24">
      <c r="A46" s="59" t="str">
        <f t="shared" si="20"/>
        <v>Aandelen ontwikkeld</v>
      </c>
      <c r="B46" s="117">
        <v>8.2907614162785387E-2</v>
      </c>
      <c r="C46" s="118">
        <v>0.14792816028093031</v>
      </c>
      <c r="D46" s="119">
        <v>7.1639402696013698E-5</v>
      </c>
      <c r="E46" s="117">
        <v>1.6743612900003244E-2</v>
      </c>
      <c r="F46" s="120">
        <v>0.16255279051749066</v>
      </c>
      <c r="G46" s="2">
        <v>-7.978810857342819E-2</v>
      </c>
      <c r="H46" s="2">
        <v>2.0416385222967428E-2</v>
      </c>
      <c r="I46" s="2">
        <v>0.11280276983603843</v>
      </c>
      <c r="J46" s="2">
        <v>1.9040864147430697E-2</v>
      </c>
      <c r="K46" s="2">
        <v>0.22625093481184691</v>
      </c>
      <c r="L46" s="2">
        <v>1</v>
      </c>
      <c r="M46" s="2">
        <v>1</v>
      </c>
      <c r="N46" s="57"/>
      <c r="O46" s="67"/>
      <c r="Q46" s="51" t="str">
        <f t="shared" si="19"/>
        <v>Aandelen ontwikkeld</v>
      </c>
      <c r="R46" s="72">
        <f t="shared" si="21"/>
        <v>7.1639402696013698E-5</v>
      </c>
      <c r="S46" s="52">
        <f t="shared" si="22"/>
        <v>8.2835974760089373E-2</v>
      </c>
      <c r="T46" s="52">
        <f t="shared" si="23"/>
        <v>7.9645176354705277E-2</v>
      </c>
      <c r="U46" s="52"/>
    </row>
    <row r="47" spans="1:24">
      <c r="A47" s="59" t="str">
        <f t="shared" si="20"/>
        <v>Aandelen opkomend</v>
      </c>
      <c r="B47" s="117">
        <v>0.12434922155337359</v>
      </c>
      <c r="C47" s="118">
        <v>0.19025286615899256</v>
      </c>
      <c r="D47" s="119">
        <v>2.1951336314716854E-4</v>
      </c>
      <c r="E47" s="117">
        <v>2.6427156326807907E-2</v>
      </c>
      <c r="F47" s="120">
        <v>0.30519722554558204</v>
      </c>
      <c r="G47" s="2">
        <v>-0.15144857785541674</v>
      </c>
      <c r="H47" s="2">
        <v>0.42887306537292719</v>
      </c>
      <c r="I47" s="2">
        <v>1</v>
      </c>
      <c r="J47" s="2">
        <v>-0.73067516759744267</v>
      </c>
      <c r="K47" s="2">
        <v>-0.37312853799648127</v>
      </c>
      <c r="L47" s="2">
        <v>-0.16604048369366495</v>
      </c>
      <c r="M47" s="2">
        <v>0.99999999999903011</v>
      </c>
      <c r="N47" s="57"/>
      <c r="O47" s="67"/>
      <c r="Q47" s="51" t="str">
        <f t="shared" si="19"/>
        <v>Aandelen opkomend</v>
      </c>
      <c r="R47" s="72">
        <f t="shared" si="21"/>
        <v>2.1951336314716854E-4</v>
      </c>
      <c r="S47" s="52">
        <f t="shared" si="22"/>
        <v>0.12412970819022642</v>
      </c>
      <c r="T47" s="52">
        <f t="shared" si="23"/>
        <v>0.18084800399220846</v>
      </c>
      <c r="U47" s="52"/>
    </row>
    <row r="48" spans="1:24">
      <c r="A48" s="59" t="str">
        <f t="shared" si="20"/>
        <v>Commodities</v>
      </c>
      <c r="B48" s="117">
        <v>9.9986004257382299E-2</v>
      </c>
      <c r="C48" s="118">
        <v>0.17399969414439717</v>
      </c>
      <c r="D48" s="119">
        <v>1.6823967215296896E-4</v>
      </c>
      <c r="E48" s="117">
        <v>1.8966998159761921E-2</v>
      </c>
      <c r="F48" s="120">
        <v>0.2240550373593172</v>
      </c>
      <c r="G48" s="2">
        <v>-0.12099388451656257</v>
      </c>
      <c r="H48" s="2">
        <v>3.573333060404231E-2</v>
      </c>
      <c r="I48" s="2">
        <v>0.21141107047353055</v>
      </c>
      <c r="J48" s="2">
        <v>0.11192375354661967</v>
      </c>
      <c r="K48" s="2">
        <v>1</v>
      </c>
      <c r="L48" s="2">
        <v>-0.39322461257704117</v>
      </c>
      <c r="M48" s="2">
        <v>0.9999999999992204</v>
      </c>
      <c r="N48" s="57"/>
      <c r="O48" s="67"/>
      <c r="Q48" s="51" t="str">
        <f t="shared" si="19"/>
        <v>Commodities</v>
      </c>
      <c r="R48" s="72">
        <f t="shared" si="21"/>
        <v>1.6823967215296896E-4</v>
      </c>
      <c r="S48" s="52">
        <f t="shared" si="22"/>
        <v>9.9817764585229327E-2</v>
      </c>
      <c r="T48" s="52">
        <f t="shared" si="23"/>
        <v>0.1240690331019349</v>
      </c>
      <c r="U48" s="52"/>
    </row>
    <row r="49" spans="1:27">
      <c r="A49" s="59" t="str">
        <f t="shared" si="20"/>
        <v>Hedge funds</v>
      </c>
      <c r="B49" s="117">
        <v>0.28743174006114053</v>
      </c>
      <c r="C49" s="118">
        <v>0.28701655932790215</v>
      </c>
      <c r="D49" s="119">
        <v>6.291924264022467E-3</v>
      </c>
      <c r="E49" s="117">
        <v>0.19337184887765896</v>
      </c>
      <c r="F49" s="120">
        <v>0.61571034691581228</v>
      </c>
      <c r="G49" s="2">
        <v>1</v>
      </c>
      <c r="H49" s="2">
        <v>3.3370319560945536E-2</v>
      </c>
      <c r="I49" s="2">
        <v>-0.14179577775958116</v>
      </c>
      <c r="J49" s="2">
        <v>-1.1170921587973451E-2</v>
      </c>
      <c r="K49" s="2">
        <v>-7.5151402129797498E-2</v>
      </c>
      <c r="L49" s="2">
        <v>-7.1485130217832205E-2</v>
      </c>
      <c r="M49" s="2">
        <v>0.99999999999875477</v>
      </c>
      <c r="N49" s="57"/>
      <c r="O49" s="67"/>
      <c r="Q49" s="51" t="str">
        <f t="shared" si="19"/>
        <v>Hedge funds</v>
      </c>
      <c r="R49" s="72">
        <f t="shared" si="21"/>
        <v>6.291924264022467E-3</v>
      </c>
      <c r="S49" s="52">
        <f t="shared" si="22"/>
        <v>0.28113981579711805</v>
      </c>
      <c r="T49" s="52">
        <f t="shared" si="23"/>
        <v>0.32827860685467175</v>
      </c>
      <c r="U49" s="52"/>
      <c r="X49" s="51"/>
    </row>
    <row r="50" spans="1:27">
      <c r="A50" s="60" t="str">
        <f t="shared" si="20"/>
        <v>Onroerend goed</v>
      </c>
      <c r="B50" s="121">
        <v>0.12161543251149302</v>
      </c>
      <c r="C50" s="122">
        <v>0.19107739866351217</v>
      </c>
      <c r="D50" s="123">
        <v>2.1032383615705061E-4</v>
      </c>
      <c r="E50" s="121">
        <v>3.1512197240716563E-2</v>
      </c>
      <c r="F50" s="124">
        <v>0.29196380331787675</v>
      </c>
      <c r="G50" s="65">
        <v>-0.15997362886980762</v>
      </c>
      <c r="H50" s="65">
        <v>-0.59344032132215851</v>
      </c>
      <c r="I50" s="65">
        <v>0.44204765559014086</v>
      </c>
      <c r="J50" s="65">
        <v>1</v>
      </c>
      <c r="K50" s="65">
        <v>-0.40877718914768446</v>
      </c>
      <c r="L50" s="65">
        <v>-0.13878119715620227</v>
      </c>
      <c r="M50" s="65">
        <v>0.99999999999954603</v>
      </c>
      <c r="N50" s="66"/>
      <c r="O50" s="67"/>
      <c r="P50" s="72"/>
      <c r="Q50" s="51" t="str">
        <f t="shared" si="19"/>
        <v>Onroerend goed</v>
      </c>
      <c r="R50" s="72">
        <f t="shared" si="21"/>
        <v>2.1032383615705061E-4</v>
      </c>
      <c r="S50" s="52">
        <f t="shared" si="22"/>
        <v>0.12140510867533598</v>
      </c>
      <c r="T50" s="52">
        <f t="shared" si="23"/>
        <v>0.17034837080638371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95" t="s">
        <v>64</v>
      </c>
      <c r="E52" s="396"/>
      <c r="F52" s="397"/>
      <c r="G52" s="395" t="s">
        <v>65</v>
      </c>
      <c r="H52" s="396"/>
      <c r="I52" s="396"/>
      <c r="J52" s="396"/>
      <c r="K52" s="396"/>
      <c r="L52" s="396"/>
      <c r="M52" s="396"/>
      <c r="N52" s="397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0.774898069587862</v>
      </c>
      <c r="H53" s="272">
        <v>9.3375418960238155E-2</v>
      </c>
      <c r="I53" s="272">
        <v>4.7764661810299591E-2</v>
      </c>
      <c r="J53" s="272">
        <v>3.6574022890180746E-2</v>
      </c>
      <c r="K53" s="272">
        <v>3.0028351662853559E-2</v>
      </c>
      <c r="L53" s="272">
        <v>1.7359475088565612E-2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2.6995283983559759E-3</v>
      </c>
      <c r="C54" s="118">
        <v>4.4369482154805453E-3</v>
      </c>
      <c r="D54" s="119">
        <v>9.0091634382478374E-6</v>
      </c>
      <c r="E54" s="117">
        <v>6.8142849730365126E-4</v>
      </c>
      <c r="F54" s="120">
        <v>5.6700035938417742E-3</v>
      </c>
      <c r="G54" s="2">
        <v>-6.2594804003576173E-3</v>
      </c>
      <c r="H54" s="2">
        <v>-0.59966218677516225</v>
      </c>
      <c r="I54" s="2">
        <v>-0.86780507472349278</v>
      </c>
      <c r="J54" s="2">
        <v>-0.69531444911328244</v>
      </c>
      <c r="K54" s="2">
        <v>-0.21550313924113801</v>
      </c>
      <c r="L54" s="2">
        <v>-0.16586047419694211</v>
      </c>
      <c r="M54" s="2">
        <v>0.999999999999998</v>
      </c>
      <c r="N54" s="57"/>
      <c r="O54" s="67"/>
      <c r="P54" s="72"/>
      <c r="Q54" s="51" t="str">
        <f t="shared" ref="Q54:Q60" si="25">A54</f>
        <v>High Yield</v>
      </c>
      <c r="R54" s="72">
        <f>D54</f>
        <v>9.0091634382478374E-6</v>
      </c>
      <c r="S54" s="52">
        <f>B54-D54</f>
        <v>2.6905192349177282E-3</v>
      </c>
      <c r="T54" s="52">
        <f>F54-B54</f>
        <v>2.9704751954857983E-3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1.0798494293707502E-2</v>
      </c>
      <c r="C55" s="118">
        <v>1.358270078227408E-2</v>
      </c>
      <c r="D55" s="119">
        <v>1.1077505439822777E-4</v>
      </c>
      <c r="E55" s="117">
        <v>5.6409414452007287E-3</v>
      </c>
      <c r="F55" s="120">
        <v>2.3541835295091226E-2</v>
      </c>
      <c r="G55" s="2">
        <v>-0.94014755416640239</v>
      </c>
      <c r="H55" s="2">
        <v>1</v>
      </c>
      <c r="I55" s="2">
        <v>8.9133751307108641E-2</v>
      </c>
      <c r="J55" s="2">
        <v>-0.18674767702870876</v>
      </c>
      <c r="K55" s="2">
        <v>-8.6161847218881454E-2</v>
      </c>
      <c r="L55" s="2">
        <v>-0.12885759966823807</v>
      </c>
      <c r="M55" s="2">
        <v>1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1.1077505439822777E-4</v>
      </c>
      <c r="S55" s="52">
        <f t="shared" ref="S55:S60" si="27">B55-D55</f>
        <v>1.0687719239309274E-2</v>
      </c>
      <c r="T55" s="52">
        <f t="shared" ref="T55:T60" si="28">F55-B55</f>
        <v>1.2743341001383725E-2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1.9822064696863656E-3</v>
      </c>
      <c r="C56" s="118">
        <v>3.5358469027447484E-3</v>
      </c>
      <c r="D56" s="119">
        <v>1.6321501928185519E-6</v>
      </c>
      <c r="E56" s="117">
        <v>2.9118786865388568E-4</v>
      </c>
      <c r="F56" s="120">
        <v>4.1585183705586289E-3</v>
      </c>
      <c r="G56" s="2">
        <v>-1.0788390510230042E-2</v>
      </c>
      <c r="H56" s="2">
        <v>-0.17943155878544226</v>
      </c>
      <c r="I56" s="2">
        <v>-0.19158486333283606</v>
      </c>
      <c r="J56" s="2">
        <v>0.38786884689094836</v>
      </c>
      <c r="K56" s="2">
        <v>1</v>
      </c>
      <c r="L56" s="2">
        <v>-0.21595666877594119</v>
      </c>
      <c r="M56" s="2">
        <v>0.99999999999999878</v>
      </c>
      <c r="N56" s="57"/>
      <c r="O56" s="67"/>
      <c r="Q56" s="51" t="str">
        <f t="shared" si="25"/>
        <v>Aandelen ontwikkeld</v>
      </c>
      <c r="R56" s="72">
        <f t="shared" si="26"/>
        <v>1.6321501928185519E-6</v>
      </c>
      <c r="S56" s="52">
        <f t="shared" si="27"/>
        <v>1.9805743194935472E-3</v>
      </c>
      <c r="T56" s="52">
        <f t="shared" si="28"/>
        <v>2.1763119008722633E-3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2.8659865792323809E-3</v>
      </c>
      <c r="C57" s="118">
        <v>4.8114003053216468E-3</v>
      </c>
      <c r="D57" s="119">
        <v>2.6944486895544232E-6</v>
      </c>
      <c r="E57" s="117">
        <v>5.6646977642831877E-4</v>
      </c>
      <c r="F57" s="120">
        <v>6.3558774547274009E-3</v>
      </c>
      <c r="G57" s="2">
        <v>-4.4051147584664066E-2</v>
      </c>
      <c r="H57" s="2">
        <v>-0.79173108346596066</v>
      </c>
      <c r="I57" s="2">
        <v>1</v>
      </c>
      <c r="J57" s="2">
        <v>-0.3199131792429647</v>
      </c>
      <c r="K57" s="2">
        <v>-8.0848396127779706E-2</v>
      </c>
      <c r="L57" s="2">
        <v>-0.20324266577287894</v>
      </c>
      <c r="M57" s="2">
        <v>0.999999999999999</v>
      </c>
      <c r="N57" s="57"/>
      <c r="O57" s="67"/>
      <c r="Q57" s="51" t="str">
        <f t="shared" si="25"/>
        <v>Aandelen opkomend</v>
      </c>
      <c r="R57" s="72">
        <f t="shared" si="26"/>
        <v>2.6944486895544232E-6</v>
      </c>
      <c r="S57" s="52">
        <f t="shared" si="27"/>
        <v>2.8632921305428265E-3</v>
      </c>
      <c r="T57" s="52">
        <f t="shared" si="28"/>
        <v>3.4898908754950201E-3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1.4771024259273814E-3</v>
      </c>
      <c r="C58" s="118">
        <v>2.6498290764599016E-3</v>
      </c>
      <c r="D58" s="119">
        <v>5.6631026702354599E-7</v>
      </c>
      <c r="E58" s="117">
        <v>2.7253003984780859E-4</v>
      </c>
      <c r="F58" s="120">
        <v>3.090897838414223E-3</v>
      </c>
      <c r="G58" s="2">
        <v>6.7869014313594834E-3</v>
      </c>
      <c r="H58" s="2">
        <v>-7.9516633025963901E-2</v>
      </c>
      <c r="I58" s="2">
        <v>2.1512728768105855E-2</v>
      </c>
      <c r="J58" s="2">
        <v>-1.6140838464599714E-3</v>
      </c>
      <c r="K58" s="2">
        <v>5.5404807822978949E-2</v>
      </c>
      <c r="L58" s="2">
        <v>1</v>
      </c>
      <c r="M58" s="2">
        <v>0.999999999999998</v>
      </c>
      <c r="N58" s="57"/>
      <c r="O58" s="67"/>
      <c r="Q58" s="51" t="str">
        <f t="shared" si="25"/>
        <v>Commodities</v>
      </c>
      <c r="R58" s="72">
        <f t="shared" si="26"/>
        <v>5.6631026702354599E-7</v>
      </c>
      <c r="S58" s="52">
        <f t="shared" si="27"/>
        <v>1.4765361156603579E-3</v>
      </c>
      <c r="T58" s="52">
        <f t="shared" si="28"/>
        <v>1.6137954124868417E-3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0.97790353409338471</v>
      </c>
      <c r="C59" s="118">
        <v>1.4278303709786614E-2</v>
      </c>
      <c r="D59" s="119">
        <v>0.96405006368400703</v>
      </c>
      <c r="E59" s="117">
        <v>0.97951160838196549</v>
      </c>
      <c r="F59" s="120">
        <v>0.99241043095092851</v>
      </c>
      <c r="G59" s="2">
        <v>1</v>
      </c>
      <c r="H59" s="2">
        <v>0.89874497435508049</v>
      </c>
      <c r="I59" s="2">
        <v>0.11926040000240094</v>
      </c>
      <c r="J59" s="2">
        <v>-0.18427945765953341</v>
      </c>
      <c r="K59" s="2">
        <v>-7.879438163334633E-2</v>
      </c>
      <c r="L59" s="2">
        <v>-0.1410566479321208</v>
      </c>
      <c r="M59" s="2">
        <v>0.99999999999999978</v>
      </c>
      <c r="N59" s="57"/>
      <c r="O59" s="67"/>
      <c r="Q59" s="51" t="str">
        <f t="shared" si="25"/>
        <v>Hedge funds</v>
      </c>
      <c r="R59" s="72">
        <f t="shared" si="26"/>
        <v>0.96405006368400703</v>
      </c>
      <c r="S59" s="52">
        <f t="shared" si="27"/>
        <v>1.3853470409377677E-2</v>
      </c>
      <c r="T59" s="52">
        <f t="shared" si="28"/>
        <v>1.4506896857543805E-2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2.2731477397045759E-3</v>
      </c>
      <c r="C60" s="122">
        <v>3.7833674268584446E-3</v>
      </c>
      <c r="D60" s="123">
        <v>4.0112150440200787E-6</v>
      </c>
      <c r="E60" s="121">
        <v>5.6958771120678615E-4</v>
      </c>
      <c r="F60" s="124">
        <v>4.8131206969539621E-3</v>
      </c>
      <c r="G60" s="65">
        <v>-5.5403287697053443E-3</v>
      </c>
      <c r="H60" s="65">
        <v>-0.24840351230255381</v>
      </c>
      <c r="I60" s="65">
        <v>-0.1705169420212875</v>
      </c>
      <c r="J60" s="65">
        <v>1</v>
      </c>
      <c r="K60" s="65">
        <v>-0.59409704360183258</v>
      </c>
      <c r="L60" s="65">
        <v>-0.14502594365387836</v>
      </c>
      <c r="M60" s="65">
        <v>0.99999999999999944</v>
      </c>
      <c r="N60" s="66"/>
      <c r="O60" s="67"/>
      <c r="Q60" s="51" t="str">
        <f t="shared" si="25"/>
        <v>Onroerend goed</v>
      </c>
      <c r="R60" s="72">
        <f t="shared" si="26"/>
        <v>4.0112150440200787E-6</v>
      </c>
      <c r="S60" s="52">
        <f t="shared" si="27"/>
        <v>2.269136524660556E-3</v>
      </c>
      <c r="T60" s="52">
        <f t="shared" si="28"/>
        <v>2.5399729572493862E-3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95" t="s">
        <v>64</v>
      </c>
      <c r="E62" s="396"/>
      <c r="F62" s="397"/>
      <c r="G62" s="395" t="s">
        <v>65</v>
      </c>
      <c r="H62" s="396"/>
      <c r="I62" s="396"/>
      <c r="J62" s="396"/>
      <c r="K62" s="396"/>
      <c r="L62" s="396"/>
      <c r="M62" s="396"/>
      <c r="N62" s="397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0.59278251009823768</v>
      </c>
      <c r="H63" s="272">
        <v>0.24383112443964661</v>
      </c>
      <c r="I63" s="272">
        <v>0.11563329119334065</v>
      </c>
      <c r="J63" s="272">
        <v>3.8236490060534645E-2</v>
      </c>
      <c r="K63" s="272">
        <v>6.5365261892761373E-3</v>
      </c>
      <c r="L63" s="272">
        <v>2.980058018963283E-3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7.1955839170805364E-2</v>
      </c>
      <c r="C64" s="118">
        <v>6.5548615287200601E-2</v>
      </c>
      <c r="D64" s="119">
        <v>8.4753556683931988E-3</v>
      </c>
      <c r="E64" s="117">
        <v>5.5083789895810129E-2</v>
      </c>
      <c r="F64" s="120">
        <v>0.13307721014733195</v>
      </c>
      <c r="G64" s="2">
        <v>-9.7006558748822441E-2</v>
      </c>
      <c r="H64" s="2">
        <v>-0.45226786493948634</v>
      </c>
      <c r="I64" s="2">
        <v>1</v>
      </c>
      <c r="J64" s="2">
        <v>-0.20613403399779873</v>
      </c>
      <c r="K64" s="2">
        <v>-0.19557502063363855</v>
      </c>
      <c r="L64" s="2">
        <v>-0.12827019813074081</v>
      </c>
      <c r="M64" s="2">
        <v>0.99999999999998845</v>
      </c>
      <c r="N64" s="57"/>
      <c r="O64" s="67"/>
      <c r="Q64" s="51" t="str">
        <f t="shared" ref="Q64:Q70" si="32">A64</f>
        <v>High Yield</v>
      </c>
      <c r="R64" s="72">
        <f>D64</f>
        <v>8.4753556683931988E-3</v>
      </c>
      <c r="S64" s="52">
        <f>B64-D64</f>
        <v>6.3480483502412172E-2</v>
      </c>
      <c r="T64" s="52">
        <f>F64-B64</f>
        <v>6.112137097652659E-2</v>
      </c>
      <c r="U64" s="52"/>
    </row>
    <row r="65" spans="1:24">
      <c r="A65" s="59" t="str">
        <f t="shared" si="31"/>
        <v>Emerging market debt</v>
      </c>
      <c r="B65" s="117">
        <v>3.4701827524090685E-2</v>
      </c>
      <c r="C65" s="118">
        <v>3.5879972033659904E-2</v>
      </c>
      <c r="D65" s="119">
        <v>3.2089670703715025E-3</v>
      </c>
      <c r="E65" s="117">
        <v>2.1384046280172098E-2</v>
      </c>
      <c r="F65" s="120">
        <v>7.1084029503028251E-2</v>
      </c>
      <c r="G65" s="2">
        <v>-1.0137626560866999E-2</v>
      </c>
      <c r="H65" s="2">
        <v>-0.11534518546934154</v>
      </c>
      <c r="I65" s="2">
        <v>-0.1015025891585942</v>
      </c>
      <c r="J65" s="2">
        <v>1</v>
      </c>
      <c r="K65" s="2">
        <v>-0.23784672087063402</v>
      </c>
      <c r="L65" s="2">
        <v>-0.16920700081063769</v>
      </c>
      <c r="M65" s="2">
        <v>0.99999999999999045</v>
      </c>
      <c r="N65" s="57"/>
      <c r="O65" s="67"/>
      <c r="Q65" s="51" t="str">
        <f t="shared" si="32"/>
        <v>Emerging market debt</v>
      </c>
      <c r="R65" s="72">
        <f t="shared" ref="R65:R70" si="33">D65</f>
        <v>3.2089670703715025E-3</v>
      </c>
      <c r="S65" s="52">
        <f t="shared" ref="S65:S70" si="34">B65-D65</f>
        <v>3.1492860453719185E-2</v>
      </c>
      <c r="T65" s="52">
        <f t="shared" ref="T65:T70" si="35">F65-B65</f>
        <v>3.6382201978937566E-2</v>
      </c>
      <c r="U65" s="52"/>
    </row>
    <row r="66" spans="1:24">
      <c r="A66" s="59" t="str">
        <f t="shared" si="31"/>
        <v>Aandelen ontwikkeld</v>
      </c>
      <c r="B66" s="117">
        <v>1.1374890378775865E-2</v>
      </c>
      <c r="C66" s="118">
        <v>1.4879528922179057E-2</v>
      </c>
      <c r="D66" s="119">
        <v>1.5806726159073439E-4</v>
      </c>
      <c r="E66" s="117">
        <v>5.9835733673497728E-3</v>
      </c>
      <c r="F66" s="120">
        <v>2.2368674397356344E-2</v>
      </c>
      <c r="G66" s="2">
        <v>-8.9997978536424052E-4</v>
      </c>
      <c r="H66" s="2">
        <v>-2.8320320218265409E-2</v>
      </c>
      <c r="I66" s="2">
        <v>-1.8670158280214691E-2</v>
      </c>
      <c r="J66" s="2">
        <v>1.9033628794656046E-2</v>
      </c>
      <c r="K66" s="2">
        <v>1</v>
      </c>
      <c r="L66" s="2">
        <v>-0.22656714812426257</v>
      </c>
      <c r="M66" s="2">
        <v>0.99999999999999645</v>
      </c>
      <c r="N66" s="57"/>
      <c r="O66" s="67"/>
      <c r="Q66" s="51" t="str">
        <f t="shared" si="32"/>
        <v>Aandelen ontwikkeld</v>
      </c>
      <c r="R66" s="72">
        <f t="shared" si="33"/>
        <v>1.5806726159073439E-4</v>
      </c>
      <c r="S66" s="52">
        <f t="shared" si="34"/>
        <v>1.121682311718513E-2</v>
      </c>
      <c r="T66" s="52">
        <f t="shared" si="35"/>
        <v>1.0993784018580479E-2</v>
      </c>
      <c r="U66" s="52"/>
    </row>
    <row r="67" spans="1:24">
      <c r="A67" s="59" t="str">
        <f t="shared" si="31"/>
        <v>Aandelen opkomend</v>
      </c>
      <c r="B67" s="117">
        <v>7.7151884442902153E-3</v>
      </c>
      <c r="C67" s="118">
        <v>1.0370239352218993E-2</v>
      </c>
      <c r="D67" s="119">
        <v>1.3347015598507306E-4</v>
      </c>
      <c r="E67" s="117">
        <v>3.352350121289694E-3</v>
      </c>
      <c r="F67" s="120">
        <v>1.7639616498119397E-2</v>
      </c>
      <c r="G67" s="2">
        <v>1.1860617021805882E-3</v>
      </c>
      <c r="H67" s="2">
        <v>-1.5850532092498766E-2</v>
      </c>
      <c r="I67" s="2">
        <v>-3.8152697746968403E-2</v>
      </c>
      <c r="J67" s="2">
        <v>1.2560470182694192E-2</v>
      </c>
      <c r="K67" s="2">
        <v>6.091689511270916E-2</v>
      </c>
      <c r="L67" s="2">
        <v>1</v>
      </c>
      <c r="M67" s="2">
        <v>1</v>
      </c>
      <c r="N67" s="57"/>
      <c r="O67" s="67"/>
      <c r="Q67" s="51" t="str">
        <f t="shared" si="32"/>
        <v>Aandelen opkomend</v>
      </c>
      <c r="R67" s="72">
        <f t="shared" si="33"/>
        <v>1.3347015598507306E-4</v>
      </c>
      <c r="S67" s="52">
        <f t="shared" si="34"/>
        <v>7.5817182883051422E-3</v>
      </c>
      <c r="T67" s="52">
        <f t="shared" si="35"/>
        <v>9.9244280538291815E-3</v>
      </c>
      <c r="U67" s="52"/>
    </row>
    <row r="68" spans="1:24">
      <c r="A68" s="59" t="str">
        <f t="shared" si="31"/>
        <v>Commodities</v>
      </c>
      <c r="B68" s="117">
        <v>0.19700783381867154</v>
      </c>
      <c r="C68" s="118">
        <v>7.5639132473333898E-2</v>
      </c>
      <c r="D68" s="119">
        <v>0.1226275537649839</v>
      </c>
      <c r="E68" s="117">
        <v>0.19516724762562443</v>
      </c>
      <c r="F68" s="120">
        <v>0.2720537384184446</v>
      </c>
      <c r="G68" s="2">
        <v>-0.27450844385148643</v>
      </c>
      <c r="H68" s="2">
        <v>-0.75464434232900779</v>
      </c>
      <c r="I68" s="2">
        <v>-0.68821472778103887</v>
      </c>
      <c r="J68" s="2">
        <v>-0.39789860523570625</v>
      </c>
      <c r="K68" s="2">
        <v>-0.23513240889440087</v>
      </c>
      <c r="L68" s="2">
        <v>-0.17687159648609868</v>
      </c>
      <c r="M68" s="2">
        <v>0.99999999999998668</v>
      </c>
      <c r="N68" s="57"/>
      <c r="O68" s="67"/>
      <c r="Q68" s="51" t="str">
        <f t="shared" si="32"/>
        <v>Commodities</v>
      </c>
      <c r="R68" s="72">
        <f t="shared" si="33"/>
        <v>0.1226275537649839</v>
      </c>
      <c r="S68" s="52">
        <f t="shared" si="34"/>
        <v>7.4380280053687645E-2</v>
      </c>
      <c r="T68" s="52">
        <f t="shared" si="35"/>
        <v>7.5045904599773061E-2</v>
      </c>
      <c r="U68" s="52"/>
    </row>
    <row r="69" spans="1:24">
      <c r="A69" s="59" t="str">
        <f t="shared" si="31"/>
        <v>Hedge funds</v>
      </c>
      <c r="B69" s="117">
        <v>0.12261170182661704</v>
      </c>
      <c r="C69" s="118">
        <v>0.105928292064672</v>
      </c>
      <c r="D69" s="119">
        <v>1.2475079576170467E-2</v>
      </c>
      <c r="E69" s="117">
        <v>9.5996607696946401E-2</v>
      </c>
      <c r="F69" s="120">
        <v>0.23811810749435167</v>
      </c>
      <c r="G69" s="2">
        <v>-0.61863345275564119</v>
      </c>
      <c r="H69" s="2">
        <v>1</v>
      </c>
      <c r="I69" s="2">
        <v>-3.7405062316502063E-2</v>
      </c>
      <c r="J69" s="2">
        <v>-0.19057955212465763</v>
      </c>
      <c r="K69" s="2">
        <v>-0.18982764760702098</v>
      </c>
      <c r="L69" s="2">
        <v>-0.14517365490215309</v>
      </c>
      <c r="M69" s="2">
        <v>0.99999999999998768</v>
      </c>
      <c r="N69" s="57"/>
      <c r="O69" s="67"/>
      <c r="Q69" s="51" t="str">
        <f t="shared" si="32"/>
        <v>Hedge funds</v>
      </c>
      <c r="R69" s="72">
        <f t="shared" si="33"/>
        <v>1.2475079576170467E-2</v>
      </c>
      <c r="S69" s="52">
        <f t="shared" si="34"/>
        <v>0.11013662225044657</v>
      </c>
      <c r="T69" s="52">
        <f t="shared" si="35"/>
        <v>0.11550640566773462</v>
      </c>
      <c r="U69" s="52"/>
      <c r="X69" s="51"/>
    </row>
    <row r="70" spans="1:24">
      <c r="A70" s="60" t="str">
        <f t="shared" si="31"/>
        <v>Onroerend goed</v>
      </c>
      <c r="B70" s="121">
        <v>0.55463271883674892</v>
      </c>
      <c r="C70" s="122">
        <v>0.1296861908410531</v>
      </c>
      <c r="D70" s="123">
        <v>0.43029176546889841</v>
      </c>
      <c r="E70" s="121">
        <v>0.54538002066130242</v>
      </c>
      <c r="F70" s="124">
        <v>0.68510104786833437</v>
      </c>
      <c r="G70" s="65">
        <v>1</v>
      </c>
      <c r="H70" s="65">
        <v>0.36642824504860044</v>
      </c>
      <c r="I70" s="65">
        <v>-0.1160547647166825</v>
      </c>
      <c r="J70" s="65">
        <v>-0.23698190761919108</v>
      </c>
      <c r="K70" s="65">
        <v>-0.20253509710702308</v>
      </c>
      <c r="L70" s="65">
        <v>-0.15391040154611726</v>
      </c>
      <c r="M70" s="65">
        <v>0.99999999999998812</v>
      </c>
      <c r="N70" s="66"/>
      <c r="O70" s="67"/>
      <c r="P70" s="72"/>
      <c r="Q70" s="51" t="str">
        <f t="shared" si="32"/>
        <v>Onroerend goed</v>
      </c>
      <c r="R70" s="72">
        <f t="shared" si="33"/>
        <v>0.43029176546889841</v>
      </c>
      <c r="S70" s="52">
        <f t="shared" si="34"/>
        <v>0.1243409533678505</v>
      </c>
      <c r="T70" s="52">
        <f t="shared" si="35"/>
        <v>0.13046832903158545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95" t="s">
        <v>64</v>
      </c>
      <c r="E72" s="396"/>
      <c r="F72" s="397"/>
      <c r="G72" s="395" t="s">
        <v>65</v>
      </c>
      <c r="H72" s="396"/>
      <c r="I72" s="396"/>
      <c r="J72" s="396"/>
      <c r="K72" s="396"/>
      <c r="L72" s="396"/>
      <c r="M72" s="396"/>
      <c r="N72" s="397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0.74031071575333507</v>
      </c>
      <c r="H73" s="272">
        <v>0.11607118391386151</v>
      </c>
      <c r="I73" s="272">
        <v>9.1831107977294768E-2</v>
      </c>
      <c r="J73" s="272">
        <v>4.7024019388314242E-2</v>
      </c>
      <c r="K73" s="272">
        <v>3.9164348311543362E-3</v>
      </c>
      <c r="L73" s="272">
        <v>8.4653813603363659E-4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0.23577701527791628</v>
      </c>
      <c r="C74" s="118">
        <v>0.13282199227996005</v>
      </c>
      <c r="D74" s="119">
        <v>9.5304615523685604E-2</v>
      </c>
      <c r="E74" s="117">
        <v>0.22268813755612707</v>
      </c>
      <c r="F74" s="120">
        <v>0.37088188367648245</v>
      </c>
      <c r="G74" s="2">
        <v>1</v>
      </c>
      <c r="H74" s="2">
        <v>-0.3178125581149378</v>
      </c>
      <c r="I74" s="2">
        <v>-0.26093929604090943</v>
      </c>
      <c r="J74" s="2">
        <v>-0.2178555858011485</v>
      </c>
      <c r="K74" s="2">
        <v>-0.21634487347929382</v>
      </c>
      <c r="L74" s="2">
        <v>-0.16571505403912265</v>
      </c>
      <c r="M74" s="2">
        <v>0.99999999999999911</v>
      </c>
      <c r="N74" s="57"/>
      <c r="O74" s="67"/>
      <c r="P74" s="72"/>
      <c r="Q74" s="51" t="str">
        <f t="shared" ref="Q74:Q80" si="37">A74</f>
        <v>High Yield</v>
      </c>
      <c r="R74" s="72">
        <f>D74</f>
        <v>9.5304615523685604E-2</v>
      </c>
      <c r="S74" s="52">
        <f>B74-D74</f>
        <v>0.14047239975423068</v>
      </c>
      <c r="T74" s="52">
        <f>F74-B74</f>
        <v>0.13510486839856617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4.516169010955897E-2</v>
      </c>
      <c r="C75" s="118">
        <v>3.8584568524031665E-2</v>
      </c>
      <c r="D75" s="119">
        <v>1.0080629740565394E-2</v>
      </c>
      <c r="E75" s="117">
        <v>3.423862540832092E-2</v>
      </c>
      <c r="F75" s="120">
        <v>7.9898766380699773E-2</v>
      </c>
      <c r="G75" s="2">
        <v>-6.5836327054349164E-2</v>
      </c>
      <c r="H75" s="2">
        <v>-6.5658916872625678E-2</v>
      </c>
      <c r="I75" s="2">
        <v>-5.8103030101013066E-2</v>
      </c>
      <c r="J75" s="2">
        <v>1</v>
      </c>
      <c r="K75" s="2">
        <v>-0.15394509943874812</v>
      </c>
      <c r="L75" s="2">
        <v>-0.15031444380816866</v>
      </c>
      <c r="M75" s="2">
        <v>0.99999999999999756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1.0080629740565394E-2</v>
      </c>
      <c r="S75" s="52">
        <f t="shared" ref="S75:S80" si="39">B75-D75</f>
        <v>3.5081060368993576E-2</v>
      </c>
      <c r="T75" s="52">
        <f t="shared" ref="T75:T80" si="40">F75-B75</f>
        <v>3.4737076271140803E-2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4.7456005134116032E-3</v>
      </c>
      <c r="C76" s="118">
        <v>5.2134525447881256E-3</v>
      </c>
      <c r="D76" s="119">
        <v>3.1098054798629564E-4</v>
      </c>
      <c r="E76" s="117">
        <v>2.7033708404513596E-3</v>
      </c>
      <c r="F76" s="120">
        <v>9.9324668520615628E-3</v>
      </c>
      <c r="G76" s="2">
        <v>-2.5149327874538405E-3</v>
      </c>
      <c r="H76" s="2">
        <v>1.1426874053082024E-4</v>
      </c>
      <c r="I76" s="2">
        <v>-9.9986750670455048E-3</v>
      </c>
      <c r="J76" s="2">
        <v>-1.4668075860528229E-2</v>
      </c>
      <c r="K76" s="2">
        <v>2.1944775684048883E-2</v>
      </c>
      <c r="L76" s="2">
        <v>1</v>
      </c>
      <c r="M76" s="2">
        <v>0.99999999999997502</v>
      </c>
      <c r="N76" s="57"/>
      <c r="O76" s="67"/>
      <c r="Q76" s="51" t="str">
        <f t="shared" si="37"/>
        <v>Aandelen ontwikkeld</v>
      </c>
      <c r="R76" s="72">
        <f t="shared" si="38"/>
        <v>3.1098054798629564E-4</v>
      </c>
      <c r="S76" s="52">
        <f t="shared" si="39"/>
        <v>4.4346199654253073E-3</v>
      </c>
      <c r="T76" s="52">
        <f t="shared" si="40"/>
        <v>5.1868663386499597E-3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7.156538990643746E-2</v>
      </c>
      <c r="C77" s="118">
        <v>5.8315286195927483E-2</v>
      </c>
      <c r="D77" s="119">
        <v>1.521987083539175E-2</v>
      </c>
      <c r="E77" s="117">
        <v>5.6146977814044027E-2</v>
      </c>
      <c r="F77" s="120">
        <v>0.12708665921436846</v>
      </c>
      <c r="G77" s="2">
        <v>-0.10571152771286559</v>
      </c>
      <c r="H77" s="2">
        <v>1</v>
      </c>
      <c r="I77" s="2">
        <v>-0.24657858172836164</v>
      </c>
      <c r="J77" s="2">
        <v>-0.19972520517814984</v>
      </c>
      <c r="K77" s="2">
        <v>-0.22247239903104868</v>
      </c>
      <c r="L77" s="2">
        <v>-0.16738286858425239</v>
      </c>
      <c r="M77" s="2">
        <v>0.99999999999999989</v>
      </c>
      <c r="N77" s="57"/>
      <c r="O77" s="67"/>
      <c r="Q77" s="51" t="str">
        <f t="shared" si="37"/>
        <v>Aandelen opkomend</v>
      </c>
      <c r="R77" s="72">
        <f t="shared" si="38"/>
        <v>1.521987083539175E-2</v>
      </c>
      <c r="S77" s="52">
        <f t="shared" si="39"/>
        <v>5.6345519071045708E-2</v>
      </c>
      <c r="T77" s="52">
        <f t="shared" si="40"/>
        <v>5.5521269307930998E-2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0.56125939804848646</v>
      </c>
      <c r="C78" s="118">
        <v>0.10522143232304454</v>
      </c>
      <c r="D78" s="119">
        <v>0.45501853734259429</v>
      </c>
      <c r="E78" s="117">
        <v>0.55921941720482726</v>
      </c>
      <c r="F78" s="120">
        <v>0.66964017001475895</v>
      </c>
      <c r="G78" s="2">
        <v>-0.74848395598529527</v>
      </c>
      <c r="H78" s="2">
        <v>-0.55431001157431292</v>
      </c>
      <c r="I78" s="2">
        <v>-0.40077746930147407</v>
      </c>
      <c r="J78" s="2">
        <v>-0.33329289740875373</v>
      </c>
      <c r="K78" s="2">
        <v>-0.23754685744798706</v>
      </c>
      <c r="L78" s="2">
        <v>-0.1713564726326999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0.45501853734259429</v>
      </c>
      <c r="S78" s="52">
        <f t="shared" si="39"/>
        <v>0.10624086070589217</v>
      </c>
      <c r="T78" s="52">
        <f t="shared" si="40"/>
        <v>0.10838077196627249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7.0276101674922875E-2</v>
      </c>
      <c r="C79" s="118">
        <v>5.2300212890738704E-2</v>
      </c>
      <c r="D79" s="119">
        <v>1.9868438206004254E-2</v>
      </c>
      <c r="E79" s="117">
        <v>5.9562621162508551E-2</v>
      </c>
      <c r="F79" s="120">
        <v>0.12143808145321883</v>
      </c>
      <c r="G79" s="2">
        <v>-6.9148852723331433E-2</v>
      </c>
      <c r="H79" s="2">
        <v>-6.2320301182087749E-2</v>
      </c>
      <c r="I79" s="2">
        <v>1</v>
      </c>
      <c r="J79" s="2">
        <v>-0.18293114738380392</v>
      </c>
      <c r="K79" s="2">
        <v>-0.19163554628696311</v>
      </c>
      <c r="L79" s="2">
        <v>-0.15638283997619587</v>
      </c>
      <c r="M79" s="2">
        <v>0.99999999999999967</v>
      </c>
      <c r="N79" s="57"/>
      <c r="O79" s="67"/>
      <c r="Q79" s="51" t="str">
        <f t="shared" si="37"/>
        <v>Hedge funds</v>
      </c>
      <c r="R79" s="72">
        <f t="shared" si="38"/>
        <v>1.9868438206004254E-2</v>
      </c>
      <c r="S79" s="52">
        <f t="shared" si="39"/>
        <v>5.0407663468918618E-2</v>
      </c>
      <c r="T79" s="52">
        <f t="shared" si="40"/>
        <v>5.1161979778295952E-2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1.1214804469266095E-2</v>
      </c>
      <c r="C80" s="122">
        <v>1.1180791041482209E-2</v>
      </c>
      <c r="D80" s="123">
        <v>1.7409154601443391E-3</v>
      </c>
      <c r="E80" s="121">
        <v>7.2319193238043747E-3</v>
      </c>
      <c r="F80" s="124">
        <v>2.1909260851275945E-2</v>
      </c>
      <c r="G80" s="65">
        <v>-8.3044037367039289E-3</v>
      </c>
      <c r="H80" s="65">
        <v>-1.2480996566554162E-5</v>
      </c>
      <c r="I80" s="65">
        <v>-2.3602947761196716E-2</v>
      </c>
      <c r="J80" s="65">
        <v>-5.152708836761434E-2</v>
      </c>
      <c r="K80" s="65">
        <v>1</v>
      </c>
      <c r="L80" s="65">
        <v>-0.18884832095953816</v>
      </c>
      <c r="M80" s="65">
        <v>0.99999999999999234</v>
      </c>
      <c r="N80" s="66"/>
      <c r="O80" s="67"/>
      <c r="Q80" s="51" t="str">
        <f t="shared" si="37"/>
        <v>Onroerend goed</v>
      </c>
      <c r="R80" s="72">
        <f t="shared" si="38"/>
        <v>1.7409154601443391E-3</v>
      </c>
      <c r="S80" s="52">
        <f t="shared" si="39"/>
        <v>9.4738890091217564E-3</v>
      </c>
      <c r="T80" s="52">
        <f t="shared" si="40"/>
        <v>1.0694456382009851E-2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2:F2"/>
    <mergeCell ref="G2:N2"/>
    <mergeCell ref="D12:F12"/>
    <mergeCell ref="G12:N12"/>
    <mergeCell ref="D22:F22"/>
    <mergeCell ref="G22:N22"/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L23" sqref="L23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4.345014939985381E-2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0.03</v>
      </c>
      <c r="D4" s="85">
        <f>+Scenarios!C25</f>
        <v>3.2492969125133414E-2</v>
      </c>
      <c r="E4" s="85">
        <f>+Scenarios!D25</f>
        <v>-8.65324500372157E-2</v>
      </c>
      <c r="F4" s="85">
        <f>+Scenarios!E25</f>
        <v>5.1526244290784291E-2</v>
      </c>
      <c r="G4" s="85">
        <f>+Scenarios!F25</f>
        <v>-0.43934344866388231</v>
      </c>
      <c r="H4" s="85">
        <f>+Scenarios!G25</f>
        <v>-0.41627425662388229</v>
      </c>
      <c r="I4" s="85">
        <f>+Scenarios!H25</f>
        <v>0.27529934429078429</v>
      </c>
      <c r="J4" s="318">
        <f>Scenarios!D5</f>
        <v>0.15853561014014847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3.1398195419985959E-2</v>
      </c>
      <c r="D5" s="85">
        <f>+Scenarios!C26</f>
        <v>1.45681608513176E-2</v>
      </c>
      <c r="E5" s="85">
        <f>+Scenarios!D26</f>
        <v>-2.1111513867647543E-2</v>
      </c>
      <c r="F5" s="85">
        <f>+Scenarios!E26</f>
        <v>3.2357333960853253E-3</v>
      </c>
      <c r="G5" s="85">
        <f>+Scenarios!F26</f>
        <v>-0.41802644813429485</v>
      </c>
      <c r="H5" s="85">
        <f>+Scenarios!G26</f>
        <v>-0.17149574156312622</v>
      </c>
      <c r="I5" s="85">
        <f>+Scenarios!H26</f>
        <v>0.25817653707968463</v>
      </c>
      <c r="J5" s="318">
        <f>Scenarios!D6</f>
        <v>0.16217253275473525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5.6592124614748239E-2</v>
      </c>
      <c r="D6" s="85">
        <f>+Scenarios!C27</f>
        <v>-1.272492445230269E-2</v>
      </c>
      <c r="E6" s="85">
        <f>+Scenarios!D27</f>
        <v>-0.19311368459773193</v>
      </c>
      <c r="F6" s="85">
        <f>+Scenarios!E27</f>
        <v>4.3944352615336905E-2</v>
      </c>
      <c r="G6" s="85">
        <f>+Scenarios!F27</f>
        <v>-0.5992014650452413</v>
      </c>
      <c r="H6" s="85">
        <f>+Scenarios!G27</f>
        <v>-0.47126055414190038</v>
      </c>
      <c r="I6" s="85">
        <f>+Scenarios!H27</f>
        <v>0.40935864013329615</v>
      </c>
      <c r="J6" s="318">
        <f>Scenarios!D7</f>
        <v>0.28718972670468956</v>
      </c>
      <c r="L6" s="210"/>
      <c r="M6" s="343" t="s">
        <v>4</v>
      </c>
      <c r="N6" s="338">
        <f>+'Control panel'!$B3</f>
        <v>0.55552002657163746</v>
      </c>
      <c r="O6" s="338">
        <f>+'Control panel'!$C3</f>
        <v>0</v>
      </c>
      <c r="P6" s="338">
        <f>+'Control panel'!$D3</f>
        <v>1</v>
      </c>
      <c r="Q6" s="338">
        <f>+'Control panel'!$F3</f>
        <v>0.63884131311996284</v>
      </c>
      <c r="R6" s="340">
        <f t="shared" ref="R6:R13" si="0">+Q6-N6</f>
        <v>8.332128654832538E-2</v>
      </c>
    </row>
    <row r="7" spans="1:18" ht="15.75">
      <c r="A7" s="210"/>
      <c r="B7" s="356" t="s">
        <v>8</v>
      </c>
      <c r="C7" s="318">
        <f>+Scenarios!B28</f>
        <v>5.6149706770970371E-2</v>
      </c>
      <c r="D7" s="85">
        <f>+Scenarios!C28</f>
        <v>5.7893485302571407E-2</v>
      </c>
      <c r="E7" s="85">
        <f>+Scenarios!D28</f>
        <v>-6.9261756645690273E-2</v>
      </c>
      <c r="F7" s="85">
        <f>+Scenarios!E28</f>
        <v>7.474963400472559E-2</v>
      </c>
      <c r="G7" s="85">
        <f>+Scenarios!F28</f>
        <v>-0.42661422498990775</v>
      </c>
      <c r="H7" s="85">
        <f>+Scenarios!G28</f>
        <v>-0.26558788944909251</v>
      </c>
      <c r="I7" s="85">
        <f>+Scenarios!H28</f>
        <v>0.37672139820686834</v>
      </c>
      <c r="J7" s="318">
        <f>Scenarios!D8</f>
        <v>0.29616397669669142</v>
      </c>
      <c r="L7" s="210"/>
      <c r="M7" s="343" t="s">
        <v>5</v>
      </c>
      <c r="N7" s="338">
        <f>+'Control panel'!$B4</f>
        <v>9.7772401711769694E-2</v>
      </c>
      <c r="O7" s="338">
        <f>+'Control panel'!$C4</f>
        <v>0</v>
      </c>
      <c r="P7" s="338">
        <f>+'Control panel'!$D4</f>
        <v>1</v>
      </c>
      <c r="Q7" s="338">
        <f>+'Control panel'!$F4</f>
        <v>8.9152415993890524E-2</v>
      </c>
      <c r="R7" s="340">
        <f t="shared" si="0"/>
        <v>-8.6199857178791695E-3</v>
      </c>
    </row>
    <row r="8" spans="1:18" ht="15.75">
      <c r="A8" s="210"/>
      <c r="B8" s="356" t="s">
        <v>9</v>
      </c>
      <c r="C8" s="318">
        <f>+Scenarios!B29</f>
        <v>5.16958277280853E-2</v>
      </c>
      <c r="D8" s="85">
        <f>+Scenarios!C29</f>
        <v>9.5036056352725468E-2</v>
      </c>
      <c r="E8" s="85">
        <f>+Scenarios!D29</f>
        <v>1.202667991596415E-2</v>
      </c>
      <c r="F8" s="85">
        <f>+Scenarios!E29</f>
        <v>8.5249207175964209E-2</v>
      </c>
      <c r="G8" s="85">
        <f>+Scenarios!F29</f>
        <v>-0.52128297967070236</v>
      </c>
      <c r="H8" s="85">
        <f>+Scenarios!G29</f>
        <v>-0.54077311463070243</v>
      </c>
      <c r="I8" s="85">
        <f>+Scenarios!H29</f>
        <v>0.621322616702631</v>
      </c>
      <c r="J8" s="318">
        <f>Scenarios!D9</f>
        <v>0.32648216646211403</v>
      </c>
      <c r="L8" s="210"/>
      <c r="M8" s="343" t="s">
        <v>6</v>
      </c>
      <c r="N8" s="338">
        <f>+'Control panel'!$B5</f>
        <v>9.4763191533410202E-2</v>
      </c>
      <c r="O8" s="338">
        <f>+'Control panel'!$C5</f>
        <v>0</v>
      </c>
      <c r="P8" s="338">
        <f>+'Control panel'!$D5</f>
        <v>1</v>
      </c>
      <c r="Q8" s="338">
        <f>+'Control panel'!$F5</f>
        <v>1.6180596839274166E-2</v>
      </c>
      <c r="R8" s="341">
        <f t="shared" si="0"/>
        <v>-7.8582594694136032E-2</v>
      </c>
    </row>
    <row r="9" spans="1:18" ht="15.75">
      <c r="A9" s="210"/>
      <c r="B9" s="356" t="s">
        <v>10</v>
      </c>
      <c r="C9" s="318">
        <f>+Scenarios!B30</f>
        <v>2.8296106893951258E-2</v>
      </c>
      <c r="D9" s="85">
        <f>+Scenarios!C30</f>
        <v>1.8730269708989476E-2</v>
      </c>
      <c r="E9" s="85">
        <f>+Scenarios!D30</f>
        <v>-4.6790508294452839E-2</v>
      </c>
      <c r="F9" s="85">
        <f>+Scenarios!E30</f>
        <v>1.8215216611987023E-2</v>
      </c>
      <c r="G9" s="85">
        <f>+Scenarios!F30</f>
        <v>-0.25630468560846492</v>
      </c>
      <c r="H9" s="85">
        <f>+Scenarios!G30</f>
        <v>-6.931471876793301E-3</v>
      </c>
      <c r="I9" s="85">
        <f>+Scenarios!H30</f>
        <v>0.28021842301080391</v>
      </c>
      <c r="J9" s="318">
        <f>Scenarios!D10</f>
        <v>0.16076897495152093</v>
      </c>
      <c r="L9" s="210"/>
      <c r="M9" s="343" t="s">
        <v>7</v>
      </c>
      <c r="N9" s="338">
        <f>+'Control panel'!$B6</f>
        <v>0.10281340879516217</v>
      </c>
      <c r="O9" s="338">
        <f>+'Control panel'!$C6</f>
        <v>0</v>
      </c>
      <c r="P9" s="338">
        <f>+'Control panel'!$D6</f>
        <v>1</v>
      </c>
      <c r="Q9" s="338">
        <f>+'Control panel'!$F6</f>
        <v>1.6946947243372027E-3</v>
      </c>
      <c r="R9" s="341">
        <f t="shared" si="0"/>
        <v>-0.10111871407082497</v>
      </c>
    </row>
    <row r="10" spans="1:18" ht="15.75">
      <c r="A10" s="210"/>
      <c r="B10" s="357" t="s">
        <v>11</v>
      </c>
      <c r="C10" s="319">
        <f>+Scenarios!B31</f>
        <v>3.9623116873055711E-2</v>
      </c>
      <c r="D10" s="309">
        <f>+Scenarios!C31</f>
        <v>-5.9825766089863959E-3</v>
      </c>
      <c r="E10" s="309">
        <f>+Scenarios!D31</f>
        <v>-0.13956067047136589</v>
      </c>
      <c r="F10" s="309">
        <f>+Scenarios!E31</f>
        <v>2.7964399001126676E-2</v>
      </c>
      <c r="G10" s="309">
        <f>+Scenarios!F31</f>
        <v>-0.45200242221105646</v>
      </c>
      <c r="H10" s="309">
        <f>+Scenarios!G31</f>
        <v>-0.48031312669988807</v>
      </c>
      <c r="I10" s="309">
        <f>+Scenarios!H31</f>
        <v>0.41038049782760322</v>
      </c>
      <c r="J10" s="319">
        <f>Scenarios!D11</f>
        <v>0.20064050365322861</v>
      </c>
      <c r="L10" s="210"/>
      <c r="M10" s="343" t="s">
        <v>8</v>
      </c>
      <c r="N10" s="338">
        <f>+'Control panel'!$B7</f>
        <v>5.1014363077869621E-2</v>
      </c>
      <c r="O10" s="338">
        <f>+'Control panel'!$C7</f>
        <v>0</v>
      </c>
      <c r="P10" s="338">
        <f>+'Control panel'!$D7</f>
        <v>1</v>
      </c>
      <c r="Q10" s="338">
        <f>+'Control panel'!$F7</f>
        <v>2.5254391686127226E-2</v>
      </c>
      <c r="R10" s="340">
        <f t="shared" si="0"/>
        <v>-2.5759971391742395E-2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2.0731266317763185E-2</v>
      </c>
      <c r="O11" s="338">
        <f>+'Control panel'!$C8</f>
        <v>0</v>
      </c>
      <c r="P11" s="338">
        <f>+'Control panel'!$D8</f>
        <v>1</v>
      </c>
      <c r="Q11" s="338">
        <f>+'Control panel'!$F8</f>
        <v>0.19937901187906307</v>
      </c>
      <c r="R11" s="341">
        <f t="shared" si="0"/>
        <v>0.17864774556129989</v>
      </c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3.0634868515694261E-2</v>
      </c>
      <c r="O12" s="338">
        <f>+'Control panel'!$C9</f>
        <v>0</v>
      </c>
      <c r="P12" s="338">
        <f>+'Control panel'!$D9</f>
        <v>1</v>
      </c>
      <c r="Q12" s="338">
        <f>+'Control panel'!$F9</f>
        <v>2.549361968294718E-2</v>
      </c>
      <c r="R12" s="340">
        <f t="shared" si="0"/>
        <v>-5.1412488327470807E-3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4.6750473476693526E-2</v>
      </c>
      <c r="O13" s="338">
        <f>+'Control panel'!$C10</f>
        <v>0</v>
      </c>
      <c r="P13" s="338">
        <f>+'Control panel'!$D10</f>
        <v>1</v>
      </c>
      <c r="Q13" s="338">
        <f>+'Control panel'!$F10</f>
        <v>4.0039560743981373E-3</v>
      </c>
      <c r="R13" s="340">
        <f t="shared" si="0"/>
        <v>-4.2746517402295389E-2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2.1902060143614423E-2</v>
      </c>
      <c r="E14" s="312">
        <f>+Scenarios!D35</f>
        <v>-1.0173873121557951E-2</v>
      </c>
      <c r="F14" s="312">
        <f>+Scenarios!E35</f>
        <v>2.1997965302180744E-2</v>
      </c>
      <c r="G14" s="312">
        <f>+Scenarios!F35</f>
        <v>-0.18642983852989264</v>
      </c>
      <c r="H14" s="312">
        <f>+Scenarios!G35</f>
        <v>-0.32524721751339963</v>
      </c>
      <c r="I14" s="313">
        <f>+Scenarios!H35</f>
        <v>0.16952178948964705</v>
      </c>
      <c r="J14" s="321">
        <f>+Scenarios!I35</f>
        <v>2.1902060143614423E-2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0.55136924712091062</v>
      </c>
      <c r="D20" s="323">
        <f>'Samenvatting mixen'!B15</f>
        <v>0.63884131311996284</v>
      </c>
      <c r="E20" s="85">
        <f>'Samenvatting mixen'!B26</f>
        <v>0.78328071561288071</v>
      </c>
      <c r="F20" s="85">
        <f>'Samenvatting mixen'!B37</f>
        <v>0.50224217822971995</v>
      </c>
      <c r="G20" s="85">
        <f>'Samenvatting mixen'!B48</f>
        <v>0.99951772230649738</v>
      </c>
      <c r="H20" s="85">
        <f>'Samenvatting mixen'!B59</f>
        <v>0.91040031831552837</v>
      </c>
      <c r="I20" s="85">
        <f>'Samenvatting mixen'!B70</f>
        <v>0.74210401897635492</v>
      </c>
      <c r="J20" s="308"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8.5390213827363406E-2</v>
      </c>
      <c r="D21" s="323">
        <f>'Samenvatting mixen'!B16</f>
        <v>8.9152415993890524E-2</v>
      </c>
      <c r="E21" s="85">
        <f>'Samenvatting mixen'!B27</f>
        <v>1.9077726566221387E-3</v>
      </c>
      <c r="F21" s="85">
        <f>'Samenvatting mixen'!B38</f>
        <v>0.35478962257899305</v>
      </c>
      <c r="G21" s="85">
        <f>'Samenvatting mixen'!B49</f>
        <v>6.5857399035425149E-5</v>
      </c>
      <c r="H21" s="85">
        <f>'Samenvatting mixen'!B60</f>
        <v>2.4245520146417212E-4</v>
      </c>
      <c r="I21" s="85">
        <f>'Samenvatting mixen'!B71</f>
        <v>1.8694595409361223E-2</v>
      </c>
      <c r="J21" s="308"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8.1005418334623963E-2</v>
      </c>
      <c r="D22" s="323">
        <f>'Samenvatting mixen'!B17</f>
        <v>1.6180596839274166E-2</v>
      </c>
      <c r="E22" s="85">
        <f>'Samenvatting mixen'!B28</f>
        <v>1.3595195293279591E-2</v>
      </c>
      <c r="F22" s="85">
        <f>'Samenvatting mixen'!B39</f>
        <v>7.5078569998237024E-3</v>
      </c>
      <c r="G22" s="85">
        <f>'Samenvatting mixen'!B50</f>
        <v>6.6007038093652913E-5</v>
      </c>
      <c r="H22" s="85">
        <f>'Samenvatting mixen'!B61</f>
        <v>9.6966778017564003E-4</v>
      </c>
      <c r="I22" s="85">
        <f>'Samenvatting mixen'!B72</f>
        <v>8.9274739671457801E-3</v>
      </c>
      <c r="J22" s="308"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8.7140469492885175E-2</v>
      </c>
      <c r="D23" s="323">
        <f>'Samenvatting mixen'!B18</f>
        <v>1.6946947243372027E-3</v>
      </c>
      <c r="E23" s="85">
        <f>'Samenvatting mixen'!B29</f>
        <v>3.2570713579514895E-4</v>
      </c>
      <c r="F23" s="85">
        <f>'Samenvatting mixen'!B40</f>
        <v>8.011986515903775E-3</v>
      </c>
      <c r="G23" s="85">
        <f>'Samenvatting mixen'!B51</f>
        <v>3.2821235226595556E-5</v>
      </c>
      <c r="H23" s="85">
        <f>'Samenvatting mixen'!B62</f>
        <v>1.7808289296488317E-4</v>
      </c>
      <c r="I23" s="85">
        <f>'Samenvatting mixen'!B73</f>
        <v>2.8936030398781527E-3</v>
      </c>
      <c r="J23" s="308"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5.4937266403263518E-2</v>
      </c>
      <c r="D24" s="323">
        <f>'Samenvatting mixen'!B19</f>
        <v>2.5254391686127226E-2</v>
      </c>
      <c r="E24" s="85">
        <f>'Samenvatting mixen'!B30</f>
        <v>1.677817707621187E-3</v>
      </c>
      <c r="F24" s="85">
        <f>'Samenvatting mixen'!B41</f>
        <v>3.3884336998753976E-2</v>
      </c>
      <c r="G24" s="85">
        <f>'Samenvatting mixen'!B52</f>
        <v>5.6499982623495601E-5</v>
      </c>
      <c r="H24" s="85">
        <f>'Samenvatting mixen'!B63</f>
        <v>2.564489860338996E-4</v>
      </c>
      <c r="I24" s="85">
        <f>'Samenvatting mixen'!B74</f>
        <v>1.9587393313640106E-3</v>
      </c>
      <c r="J24" s="308"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2.2503673046712587E-2</v>
      </c>
      <c r="D25" s="323">
        <f>'Samenvatting mixen'!B20</f>
        <v>0.19937901187906307</v>
      </c>
      <c r="E25" s="85">
        <f>'Samenvatting mixen'!B31</f>
        <v>0.19346840744270685</v>
      </c>
      <c r="F25" s="85">
        <f>'Samenvatting mixen'!B42</f>
        <v>6.3345782262113653E-2</v>
      </c>
      <c r="G25" s="85">
        <f>'Samenvatting mixen'!B53</f>
        <v>4.1755075717608028E-5</v>
      </c>
      <c r="H25" s="85">
        <f>'Samenvatting mixen'!B64</f>
        <v>1.3266771859855406E-4</v>
      </c>
      <c r="I25" s="85">
        <f>'Samenvatting mixen'!B75</f>
        <v>5.0076100481880492E-2</v>
      </c>
      <c r="J25" s="308"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5.6767380601991033E-2</v>
      </c>
      <c r="D26" s="323">
        <f>'Samenvatting mixen'!B21</f>
        <v>2.549361968294718E-2</v>
      </c>
      <c r="E26" s="85">
        <f>'Samenvatting mixen'!B32</f>
        <v>5.0365343344510854E-3</v>
      </c>
      <c r="F26" s="85">
        <f>'Samenvatting mixen'!B43</f>
        <v>1.8918343350395002E-2</v>
      </c>
      <c r="G26" s="85">
        <f>'Samenvatting mixen'!B54</f>
        <v>1.6800676560255187E-4</v>
      </c>
      <c r="H26" s="85">
        <f>'Samenvatting mixen'!B65</f>
        <v>8.7616171604620083E-2</v>
      </c>
      <c r="I26" s="85">
        <f>'Samenvatting mixen'!B76</f>
        <v>3.237305465508386E-2</v>
      </c>
      <c r="J26" s="308"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6.0886331172249931E-2</v>
      </c>
      <c r="D27" s="324">
        <f>'Samenvatting mixen'!B22</f>
        <v>4.0039560743981373E-3</v>
      </c>
      <c r="E27" s="309">
        <f>'Samenvatting mixen'!B33</f>
        <v>7.0784981664355267E-4</v>
      </c>
      <c r="F27" s="309">
        <f>'Samenvatting mixen'!B44</f>
        <v>1.1299893064296632E-2</v>
      </c>
      <c r="G27" s="309">
        <f>'Samenvatting mixen'!B55</f>
        <v>5.1330197202964345E-5</v>
      </c>
      <c r="H27" s="309">
        <f>'Samenvatting mixen'!B66</f>
        <v>2.041875006144596E-4</v>
      </c>
      <c r="I27" s="309">
        <f>'Samenvatting mixen'!B77</f>
        <v>0.142972414138931</v>
      </c>
      <c r="J27" s="310"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98" t="s">
        <v>135</v>
      </c>
      <c r="D48" s="399"/>
      <c r="E48" s="398" t="s">
        <v>134</v>
      </c>
      <c r="F48" s="399"/>
      <c r="G48" s="399"/>
      <c r="H48" s="40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3.2492969125133414E-2</v>
      </c>
      <c r="I51" s="318">
        <f t="shared" ref="I51:I57" si="3">+J4</f>
        <v>0.15853561014014847</v>
      </c>
      <c r="J51" s="353">
        <f t="shared" si="1"/>
        <v>-0.29311302230038522</v>
      </c>
      <c r="K51" s="331">
        <f t="shared" si="2"/>
        <v>0.20495691218149042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1.45681608513176E-2</v>
      </c>
      <c r="I52" s="318">
        <f t="shared" si="3"/>
        <v>0.16217253275473525</v>
      </c>
      <c r="J52" s="353">
        <f t="shared" si="1"/>
        <v>6.8473034482383871E-2</v>
      </c>
      <c r="K52" s="331">
        <f>+H52/I52</f>
        <v>8.9831247029668326E-2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-1.272492445230269E-2</v>
      </c>
      <c r="I53" s="318">
        <f t="shared" si="3"/>
        <v>0.28718972670468956</v>
      </c>
      <c r="J53" s="353">
        <f t="shared" si="1"/>
        <v>-0.20248591870731911</v>
      </c>
      <c r="K53" s="331">
        <f>+H53/I53</f>
        <v>-4.4308424950685758E-2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5.7893485302571407E-2</v>
      </c>
      <c r="I54" s="318">
        <f t="shared" si="3"/>
        <v>0.29616397669669142</v>
      </c>
      <c r="J54" s="353">
        <f t="shared" si="1"/>
        <v>-0.14735281060164138</v>
      </c>
      <c r="K54" s="331">
        <f t="shared" si="2"/>
        <v>0.19547780911201601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9.5036056352725468E-2</v>
      </c>
      <c r="I55" s="318">
        <f t="shared" si="3"/>
        <v>0.32648216646211403</v>
      </c>
      <c r="J55" s="353">
        <f t="shared" si="1"/>
        <v>-0.1093948849877554</v>
      </c>
      <c r="K55" s="331">
        <f t="shared" si="2"/>
        <v>0.29109111037387625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1.8730269708989476E-2</v>
      </c>
      <c r="I56" s="318">
        <f t="shared" si="3"/>
        <v>0.16076897495152093</v>
      </c>
      <c r="J56" s="353">
        <f t="shared" si="1"/>
        <v>-0.43032004279267166</v>
      </c>
      <c r="K56" s="331">
        <f t="shared" si="2"/>
        <v>0.11650425534303178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-5.9825766089863959E-3</v>
      </c>
      <c r="I57" s="319">
        <f t="shared" si="3"/>
        <v>0.20064050365322861</v>
      </c>
      <c r="J57" s="354">
        <f t="shared" si="1"/>
        <v>-0.29094902444730519</v>
      </c>
      <c r="K57" s="334">
        <f t="shared" si="2"/>
        <v>-2.9817392301437873E-2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0.41819278975314345</v>
      </c>
      <c r="H3">
        <v>0.33655112509095764</v>
      </c>
      <c r="I3">
        <v>0.13409509682953114</v>
      </c>
      <c r="J3">
        <v>9.1926467838386094E-2</v>
      </c>
      <c r="K3">
        <v>1.1038860766482972E-2</v>
      </c>
      <c r="L3">
        <v>5.3115946542687809E-3</v>
      </c>
      <c r="M3">
        <v>2.8840650672373735E-3</v>
      </c>
      <c r="N3">
        <v>0</v>
      </c>
    </row>
    <row r="4" spans="2:14">
      <c r="B4" s="58">
        <v>0.65468829255836325</v>
      </c>
      <c r="C4">
        <v>1.4635569501534298E-2</v>
      </c>
      <c r="D4">
        <v>0.64569699791625212</v>
      </c>
      <c r="E4">
        <v>0.65599267109396475</v>
      </c>
      <c r="F4">
        <v>0.66529691709304462</v>
      </c>
      <c r="G4">
        <v>-0.52243808271497638</v>
      </c>
      <c r="H4">
        <v>0.24247764980389441</v>
      </c>
      <c r="I4">
        <v>-0.50132582724979347</v>
      </c>
      <c r="J4">
        <v>-0.24883232259434901</v>
      </c>
      <c r="K4">
        <v>-5.8136248714800623E-2</v>
      </c>
      <c r="L4">
        <v>0.53695587336847539</v>
      </c>
      <c r="M4">
        <v>-0.91241446102659707</v>
      </c>
      <c r="N4">
        <v>0.99999999999995604</v>
      </c>
    </row>
    <row r="5" spans="2:14">
      <c r="B5" s="58">
        <v>3.2060829055668504E-2</v>
      </c>
      <c r="C5">
        <v>2.5624238416728402E-2</v>
      </c>
      <c r="D5">
        <v>1.3150514314397573E-2</v>
      </c>
      <c r="E5">
        <v>2.5966968918237958E-2</v>
      </c>
      <c r="F5">
        <v>4.4711807247069413E-2</v>
      </c>
      <c r="G5">
        <v>1</v>
      </c>
      <c r="H5">
        <v>-0.67027912452207472</v>
      </c>
      <c r="I5">
        <v>-0.25919807893075131</v>
      </c>
      <c r="J5">
        <v>-0.12880704159615478</v>
      </c>
      <c r="K5">
        <v>-0.14575303655254851</v>
      </c>
      <c r="L5">
        <v>2.5066881243849037E-2</v>
      </c>
      <c r="M5">
        <v>-0.2874502591771177</v>
      </c>
      <c r="N5">
        <v>0.99999999999997546</v>
      </c>
    </row>
    <row r="6" spans="2:14">
      <c r="B6" s="58">
        <v>1.4177238286966683E-2</v>
      </c>
      <c r="C6">
        <v>1.2927375512862728E-2</v>
      </c>
      <c r="D6">
        <v>4.3657424692051215E-3</v>
      </c>
      <c r="E6">
        <v>1.0296860346288333E-2</v>
      </c>
      <c r="F6">
        <v>2.0383718397709027E-2</v>
      </c>
      <c r="G6">
        <v>-8.4751617223688472E-2</v>
      </c>
      <c r="H6">
        <v>-1.5987284511170357E-2</v>
      </c>
      <c r="I6">
        <v>0.1828831524487449</v>
      </c>
      <c r="J6">
        <v>1</v>
      </c>
      <c r="K6">
        <v>-0.14444506089751016</v>
      </c>
      <c r="L6">
        <v>1.5099073135341335E-2</v>
      </c>
      <c r="M6">
        <v>-0.28331616404490473</v>
      </c>
      <c r="N6">
        <v>0.99999999999997624</v>
      </c>
    </row>
    <row r="7" spans="2:14">
      <c r="B7" s="58">
        <v>0.24593895892134554</v>
      </c>
      <c r="C7">
        <v>1.9771336356068887E-2</v>
      </c>
      <c r="D7">
        <v>0.23337243471561389</v>
      </c>
      <c r="E7">
        <v>0.24615015000296459</v>
      </c>
      <c r="F7">
        <v>0.26129429141298682</v>
      </c>
      <c r="G7">
        <v>-0.69208495749134025</v>
      </c>
      <c r="H7">
        <v>-0.63443855424372952</v>
      </c>
      <c r="I7">
        <v>-0.17719351681238579</v>
      </c>
      <c r="J7">
        <v>-0.1436839334281638</v>
      </c>
      <c r="K7">
        <v>-0.31912200107311672</v>
      </c>
      <c r="L7">
        <v>-0.65721905228735833</v>
      </c>
      <c r="M7">
        <v>0.48234732926126517</v>
      </c>
      <c r="N7">
        <v>1</v>
      </c>
    </row>
    <row r="8" spans="2:14">
      <c r="B8" s="58">
        <v>2.2987127494363837E-3</v>
      </c>
      <c r="C8">
        <v>2.8290002387958021E-3</v>
      </c>
      <c r="D8">
        <v>3.2279434129068901E-4</v>
      </c>
      <c r="E8">
        <v>1.2137344666437091E-3</v>
      </c>
      <c r="F8">
        <v>3.2870474402611626E-3</v>
      </c>
      <c r="G8">
        <v>-1.2603783831313085E-2</v>
      </c>
      <c r="H8">
        <v>5.5592582936820996E-3</v>
      </c>
      <c r="I8">
        <v>-1.0058413172262168E-2</v>
      </c>
      <c r="J8">
        <v>-3.6509923265674051E-3</v>
      </c>
      <c r="K8">
        <v>0.10702314211919373</v>
      </c>
      <c r="L8">
        <v>1</v>
      </c>
      <c r="M8">
        <v>1</v>
      </c>
      <c r="N8">
        <v>0.99999999999999223</v>
      </c>
    </row>
    <row r="9" spans="2:14">
      <c r="B9" s="58">
        <v>2.7557112612408851E-2</v>
      </c>
      <c r="C9">
        <v>2.1200367848345197E-2</v>
      </c>
      <c r="D9">
        <v>1.0731223349394685E-2</v>
      </c>
      <c r="E9">
        <v>2.3318195241686906E-2</v>
      </c>
      <c r="F9">
        <v>4.1019385047333337E-2</v>
      </c>
      <c r="G9">
        <v>0.35862534895507792</v>
      </c>
      <c r="H9">
        <v>1</v>
      </c>
      <c r="I9">
        <v>-0.22391550719963996</v>
      </c>
      <c r="J9">
        <v>-7.7044173857860637E-2</v>
      </c>
      <c r="K9">
        <v>-0.28987392776536669</v>
      </c>
      <c r="L9">
        <v>-0.53392472056035889</v>
      </c>
      <c r="M9">
        <v>0.34408142826933025</v>
      </c>
      <c r="N9">
        <v>0.99999999999999623</v>
      </c>
    </row>
    <row r="10" spans="2:14">
      <c r="B10" s="58">
        <v>1.873282074038337E-2</v>
      </c>
      <c r="C10">
        <v>1.499668190913513E-2</v>
      </c>
      <c r="D10">
        <v>7.0533897440891126E-3</v>
      </c>
      <c r="E10">
        <v>1.5544901731426784E-2</v>
      </c>
      <c r="F10">
        <v>2.709483319250084E-2</v>
      </c>
      <c r="G10">
        <v>-2.9860931472423746E-2</v>
      </c>
      <c r="H10">
        <v>6.2416807836326228E-2</v>
      </c>
      <c r="I10">
        <v>1</v>
      </c>
      <c r="J10">
        <v>-0.38392109189166274</v>
      </c>
      <c r="K10">
        <v>-0.14969286711584845</v>
      </c>
      <c r="L10">
        <v>4.2183301989480129E-2</v>
      </c>
      <c r="M10">
        <v>-0.30793257796042106</v>
      </c>
      <c r="N10">
        <v>0.99999999999997469</v>
      </c>
    </row>
    <row r="11" spans="2:14">
      <c r="B11" s="58">
        <v>4.5460350754280374E-3</v>
      </c>
      <c r="C11">
        <v>4.4465885908604157E-3</v>
      </c>
      <c r="D11">
        <v>1.1685438611734394E-3</v>
      </c>
      <c r="E11">
        <v>3.2073291681178587E-3</v>
      </c>
      <c r="F11">
        <v>6.9193262204901686E-3</v>
      </c>
      <c r="G11">
        <v>-1.6885976221335631E-2</v>
      </c>
      <c r="H11">
        <v>1.0251247343070756E-2</v>
      </c>
      <c r="I11">
        <v>-1.1191809083912093E-2</v>
      </c>
      <c r="J11">
        <v>-1.4060444305242101E-2</v>
      </c>
      <c r="K11">
        <v>1</v>
      </c>
      <c r="L11">
        <v>-0.42816135688940443</v>
      </c>
      <c r="M11">
        <v>-3.5315295321607619E-2</v>
      </c>
      <c r="N11">
        <v>0.99999999999998368</v>
      </c>
    </row>
    <row r="14" spans="2:14">
      <c r="G14">
        <v>0.41896611436756437</v>
      </c>
      <c r="H14">
        <v>0.34760788228457851</v>
      </c>
      <c r="I14">
        <v>0.12510700863703927</v>
      </c>
      <c r="J14">
        <v>8.3759860243474815E-2</v>
      </c>
      <c r="K14">
        <v>1.3613353757292335E-2</v>
      </c>
      <c r="L14">
        <v>7.7814632356769664E-3</v>
      </c>
      <c r="M14">
        <v>3.1643174743681834E-3</v>
      </c>
      <c r="N14">
        <v>0</v>
      </c>
    </row>
    <row r="15" spans="2:14">
      <c r="B15" s="58">
        <v>0.65538794835663394</v>
      </c>
      <c r="C15">
        <v>1.4499011123991134E-2</v>
      </c>
      <c r="D15">
        <v>0.64462661738648097</v>
      </c>
      <c r="E15">
        <v>0.65587809297236443</v>
      </c>
      <c r="F15">
        <v>0.66693799636897344</v>
      </c>
      <c r="G15">
        <v>0.38160887546582151</v>
      </c>
      <c r="H15">
        <v>-0.47044811738825887</v>
      </c>
      <c r="I15">
        <v>-0.4766659863036703</v>
      </c>
      <c r="J15">
        <v>-0.23653529419787941</v>
      </c>
      <c r="K15">
        <v>-0.13485019042726865</v>
      </c>
      <c r="L15">
        <v>0.37404432382112413</v>
      </c>
      <c r="M15">
        <v>1</v>
      </c>
      <c r="N15">
        <v>1</v>
      </c>
    </row>
    <row r="16" spans="2:14">
      <c r="B16" s="58">
        <v>3.1918661952996183E-2</v>
      </c>
      <c r="C16">
        <v>2.4418384940250337E-2</v>
      </c>
      <c r="D16">
        <v>1.1927271375367211E-2</v>
      </c>
      <c r="E16">
        <v>2.699034336885995E-2</v>
      </c>
      <c r="F16">
        <v>4.5032447913757573E-2</v>
      </c>
      <c r="G16">
        <v>-0.59937100847361524</v>
      </c>
      <c r="H16">
        <v>1</v>
      </c>
      <c r="I16">
        <v>-0.27098671235566102</v>
      </c>
      <c r="J16">
        <v>-0.18918668162314969</v>
      </c>
      <c r="K16">
        <v>-0.17238944146363602</v>
      </c>
      <c r="L16">
        <v>-1.0816965055954126E-2</v>
      </c>
      <c r="M16">
        <v>0.2739140060196178</v>
      </c>
      <c r="N16">
        <v>0.99999999999999256</v>
      </c>
    </row>
    <row r="17" spans="1:14">
      <c r="B17" s="58">
        <v>1.4270299909536764E-2</v>
      </c>
      <c r="C17">
        <v>1.2313978579291094E-2</v>
      </c>
      <c r="D17">
        <v>4.834973464439756E-3</v>
      </c>
      <c r="E17">
        <v>1.1052459262619049E-2</v>
      </c>
      <c r="F17">
        <v>2.0516617408793007E-2</v>
      </c>
      <c r="G17">
        <v>3.6256691190171324E-2</v>
      </c>
      <c r="H17">
        <v>3.0948067614575518E-2</v>
      </c>
      <c r="I17">
        <v>0.13886142991104436</v>
      </c>
      <c r="J17">
        <v>1</v>
      </c>
      <c r="K17">
        <v>-0.1428293128672242</v>
      </c>
      <c r="L17">
        <v>-5.7035198331143342E-3</v>
      </c>
      <c r="M17">
        <v>0.27494952880712609</v>
      </c>
      <c r="N17">
        <v>0.99999999999999267</v>
      </c>
    </row>
    <row r="18" spans="1:14">
      <c r="B18" s="58">
        <v>0.24568845482526522</v>
      </c>
      <c r="C18">
        <v>2.0614967220060093E-2</v>
      </c>
      <c r="D18">
        <v>0.23197969956557579</v>
      </c>
      <c r="E18">
        <v>0.2477376107043387</v>
      </c>
      <c r="F18">
        <v>0.26050999035777567</v>
      </c>
      <c r="G18">
        <v>1</v>
      </c>
      <c r="H18">
        <v>0.19059934316059743</v>
      </c>
      <c r="I18">
        <v>-0.16950230400837968</v>
      </c>
      <c r="J18">
        <v>-0.11758102096846539</v>
      </c>
      <c r="K18">
        <v>-0.28846272675637885</v>
      </c>
      <c r="L18">
        <v>-0.53796934401326779</v>
      </c>
      <c r="M18">
        <v>-0.63296269806305239</v>
      </c>
      <c r="N18">
        <v>0.99999999999998135</v>
      </c>
    </row>
    <row r="19" spans="1:14">
      <c r="B19" s="58">
        <v>2.9710321131587612E-3</v>
      </c>
      <c r="C19">
        <v>3.4835901309831592E-3</v>
      </c>
      <c r="D19">
        <v>4.8115409273449101E-4</v>
      </c>
      <c r="E19">
        <v>1.7488246196603135E-3</v>
      </c>
      <c r="F19">
        <v>4.4867312706424883E-3</v>
      </c>
      <c r="G19">
        <v>2.133688426471843E-3</v>
      </c>
      <c r="H19">
        <v>-1.9753616559499448E-2</v>
      </c>
      <c r="I19">
        <v>-1.2683303792378834E-2</v>
      </c>
      <c r="J19">
        <v>-1.4450668527245135E-2</v>
      </c>
      <c r="K19">
        <v>0.14917049430399204</v>
      </c>
      <c r="L19">
        <v>1</v>
      </c>
      <c r="M19">
        <v>-0.87969630763034223</v>
      </c>
      <c r="N19">
        <v>0.99999999999999012</v>
      </c>
    </row>
    <row r="20" spans="1:14">
      <c r="B20" s="58">
        <v>2.7525504393647645E-2</v>
      </c>
      <c r="C20">
        <v>2.2576314091073055E-2</v>
      </c>
      <c r="D20">
        <v>8.4279683766729264E-3</v>
      </c>
      <c r="E20">
        <v>2.1621126116660429E-2</v>
      </c>
      <c r="F20">
        <v>4.2753649211265871E-2</v>
      </c>
      <c r="G20">
        <v>-0.87158165504042417</v>
      </c>
      <c r="H20">
        <v>-0.67557033503653086</v>
      </c>
      <c r="I20">
        <v>-0.17684837283548185</v>
      </c>
      <c r="J20">
        <v>-7.9215955873682881E-2</v>
      </c>
      <c r="K20">
        <v>-0.25886953148344294</v>
      </c>
      <c r="L20">
        <v>-0.45236869353353748</v>
      </c>
      <c r="M20">
        <v>-0.45401036210896301</v>
      </c>
      <c r="N20">
        <v>0.99999999999998346</v>
      </c>
    </row>
    <row r="21" spans="1:14">
      <c r="B21" s="58">
        <v>1.7697491835385958E-2</v>
      </c>
      <c r="C21">
        <v>1.4588774633431266E-2</v>
      </c>
      <c r="D21">
        <v>6.0065215652610349E-3</v>
      </c>
      <c r="E21">
        <v>1.4700120281143059E-2</v>
      </c>
      <c r="F21">
        <v>2.4550682373653113E-2</v>
      </c>
      <c r="G21">
        <v>3.0493594118962117E-2</v>
      </c>
      <c r="H21">
        <v>-4.5311108346079335E-2</v>
      </c>
      <c r="I21">
        <v>1</v>
      </c>
      <c r="J21">
        <v>-0.33781101200720137</v>
      </c>
      <c r="K21">
        <v>-0.15176929130604294</v>
      </c>
      <c r="L21">
        <v>5.6545010303724746E-3</v>
      </c>
      <c r="M21">
        <v>0.31721263366386199</v>
      </c>
      <c r="N21">
        <v>0.99999999999999234</v>
      </c>
    </row>
    <row r="22" spans="1:14">
      <c r="B22" s="58">
        <v>4.5406066133755647E-3</v>
      </c>
      <c r="C22">
        <v>4.9920303077744367E-3</v>
      </c>
      <c r="D22">
        <v>7.182329797629295E-4</v>
      </c>
      <c r="E22">
        <v>2.8761697320532601E-3</v>
      </c>
      <c r="F22">
        <v>6.27039418998597E-3</v>
      </c>
      <c r="G22">
        <v>2.0459814312612457E-2</v>
      </c>
      <c r="H22">
        <v>-1.0464233444804778E-2</v>
      </c>
      <c r="I22">
        <v>-3.2174750615473084E-2</v>
      </c>
      <c r="J22">
        <v>-2.5219366802376984E-2</v>
      </c>
      <c r="K22">
        <v>1</v>
      </c>
      <c r="L22">
        <v>-0.37284030241563354</v>
      </c>
      <c r="M22">
        <v>0.10059319931173101</v>
      </c>
      <c r="N22">
        <v>0.99999999999999034</v>
      </c>
    </row>
    <row r="25" spans="1:14">
      <c r="G25">
        <v>0.44820449634729409</v>
      </c>
      <c r="H25">
        <v>0.31272204498177869</v>
      </c>
      <c r="I25">
        <v>0.13743578736633533</v>
      </c>
      <c r="J25">
        <v>7.4000488707002821E-2</v>
      </c>
      <c r="K25">
        <v>1.4472933054675785E-2</v>
      </c>
      <c r="L25">
        <v>1.0084054152937338E-2</v>
      </c>
      <c r="M25">
        <v>3.0801953899735057E-3</v>
      </c>
      <c r="N25">
        <v>0</v>
      </c>
    </row>
    <row r="26" spans="1:14">
      <c r="A26" s="52">
        <f>B26-B15</f>
        <v>1.0946632998729555E-3</v>
      </c>
      <c r="B26">
        <v>0.6564826116565069</v>
      </c>
      <c r="C26">
        <v>1.4847236797147072E-2</v>
      </c>
      <c r="D26">
        <v>0.64499189055897199</v>
      </c>
      <c r="E26">
        <v>0.65747232911260534</v>
      </c>
      <c r="F26">
        <v>0.66796267489037942</v>
      </c>
      <c r="G26">
        <v>0.65046932767455079</v>
      </c>
      <c r="H26">
        <v>0.36239104361812513</v>
      </c>
      <c r="I26">
        <v>-0.37922367092268516</v>
      </c>
      <c r="J26">
        <v>-0.31263465685991082</v>
      </c>
      <c r="K26">
        <v>-3.0116929809833104E-2</v>
      </c>
      <c r="L26">
        <v>0.27856588389478087</v>
      </c>
      <c r="M26">
        <v>1</v>
      </c>
      <c r="N26">
        <v>0.99999999999998557</v>
      </c>
    </row>
    <row r="27" spans="1:14">
      <c r="A27" s="52">
        <f t="shared" ref="A27:A33" si="0">B27-B16</f>
        <v>-1.4726226887784993E-3</v>
      </c>
      <c r="B27">
        <v>3.0446039264217684E-2</v>
      </c>
      <c r="C27">
        <v>2.429981753071098E-2</v>
      </c>
      <c r="D27">
        <v>1.0923555940206418E-2</v>
      </c>
      <c r="E27">
        <v>2.4011713584579326E-2</v>
      </c>
      <c r="F27">
        <v>4.3398752005645067E-2</v>
      </c>
      <c r="G27">
        <v>-0.99035886979191001</v>
      </c>
      <c r="H27">
        <v>-0.96331868162362788</v>
      </c>
      <c r="I27">
        <v>-0.25832687527002479</v>
      </c>
      <c r="J27">
        <v>-0.17986444769549279</v>
      </c>
      <c r="K27">
        <v>-0.1930632100152409</v>
      </c>
      <c r="L27">
        <v>2.8799532380082135E-2</v>
      </c>
      <c r="M27">
        <v>0.27539014585330163</v>
      </c>
      <c r="N27">
        <v>0.99999999999999178</v>
      </c>
    </row>
    <row r="28" spans="1:14">
      <c r="A28" s="52">
        <f t="shared" si="0"/>
        <v>-1.2921362352490071E-3</v>
      </c>
      <c r="B28">
        <v>1.2978163674287757E-2</v>
      </c>
      <c r="C28">
        <v>1.1286756256570503E-2</v>
      </c>
      <c r="D28">
        <v>3.8012756556383481E-3</v>
      </c>
      <c r="E28">
        <v>1.0887844991661679E-2</v>
      </c>
      <c r="F28">
        <v>1.8985001478142652E-2</v>
      </c>
      <c r="G28">
        <v>3.841604559216575E-2</v>
      </c>
      <c r="H28">
        <v>3.7913275338290801E-2</v>
      </c>
      <c r="I28">
        <v>-1.5581190170112443E-2</v>
      </c>
      <c r="J28">
        <v>1</v>
      </c>
      <c r="K28">
        <v>-0.16497896516694804</v>
      </c>
      <c r="L28">
        <v>4.3685892175757161E-3</v>
      </c>
      <c r="M28">
        <v>0.25746468330092254</v>
      </c>
      <c r="N28">
        <v>0.99999999999999156</v>
      </c>
    </row>
    <row r="29" spans="1:14">
      <c r="A29" s="52">
        <f t="shared" si="0"/>
        <v>2.3246212042312975E-3</v>
      </c>
      <c r="B29">
        <v>0.24801307602949652</v>
      </c>
      <c r="C29">
        <v>2.0241672689405781E-2</v>
      </c>
      <c r="D29">
        <v>0.23508694067016114</v>
      </c>
      <c r="E29">
        <v>0.24992227241217865</v>
      </c>
      <c r="F29">
        <v>0.26197397417731938</v>
      </c>
      <c r="G29">
        <v>1</v>
      </c>
      <c r="H29">
        <v>-0.52832944688984718</v>
      </c>
      <c r="I29">
        <v>-8.52582031246856E-2</v>
      </c>
      <c r="J29">
        <v>-0.12497753866476634</v>
      </c>
      <c r="K29">
        <v>-0.46932956712751484</v>
      </c>
      <c r="L29">
        <v>-0.3392980517796913</v>
      </c>
      <c r="M29">
        <v>-0.65868074247991837</v>
      </c>
      <c r="N29">
        <v>1</v>
      </c>
    </row>
    <row r="30" spans="1:14">
      <c r="A30" s="52">
        <f t="shared" si="0"/>
        <v>8.4064649422279552E-4</v>
      </c>
      <c r="B30">
        <v>3.8116786073815567E-3</v>
      </c>
      <c r="C30">
        <v>4.0748527623471146E-3</v>
      </c>
      <c r="D30">
        <v>7.4772785830093456E-4</v>
      </c>
      <c r="E30">
        <v>2.3366232557546478E-3</v>
      </c>
      <c r="F30">
        <v>5.6508043477376231E-3</v>
      </c>
      <c r="G30">
        <v>1.7449753683457529E-2</v>
      </c>
      <c r="H30">
        <v>1.8661950853194158E-2</v>
      </c>
      <c r="I30">
        <v>4.594406350199298E-3</v>
      </c>
      <c r="J30">
        <v>-1.3882106938132429E-2</v>
      </c>
      <c r="K30">
        <v>0.43193714744148659</v>
      </c>
      <c r="L30">
        <v>1</v>
      </c>
      <c r="M30">
        <v>-0.66239989325315274</v>
      </c>
      <c r="N30">
        <v>0.99999999999999922</v>
      </c>
    </row>
    <row r="31" spans="1:14">
      <c r="A31" s="52">
        <f t="shared" si="0"/>
        <v>-1.943627910445396E-3</v>
      </c>
      <c r="B31">
        <v>2.5581876483202249E-2</v>
      </c>
      <c r="C31">
        <v>2.0793925775454834E-2</v>
      </c>
      <c r="D31">
        <v>8.5934975649525451E-3</v>
      </c>
      <c r="E31">
        <v>2.0157182359299468E-2</v>
      </c>
      <c r="F31">
        <v>3.8154946431623496E-2</v>
      </c>
      <c r="G31">
        <v>-0.65618337812243011</v>
      </c>
      <c r="H31">
        <v>1</v>
      </c>
      <c r="I31">
        <v>-0.2404302845732795</v>
      </c>
      <c r="J31">
        <v>-0.14743428725987426</v>
      </c>
      <c r="K31">
        <v>-0.39853826235722384</v>
      </c>
      <c r="L31">
        <v>-0.27877253577299471</v>
      </c>
      <c r="M31">
        <v>-0.46712900889725972</v>
      </c>
      <c r="N31">
        <v>0.99999999999999856</v>
      </c>
    </row>
    <row r="32" spans="1:14">
      <c r="A32" s="52">
        <f t="shared" si="0"/>
        <v>4.2082808952351516E-4</v>
      </c>
      <c r="B32">
        <v>1.8118319924909473E-2</v>
      </c>
      <c r="C32">
        <v>1.5182826454709126E-2</v>
      </c>
      <c r="D32">
        <v>6.4889057452318369E-3</v>
      </c>
      <c r="E32">
        <v>1.4532061495149361E-2</v>
      </c>
      <c r="F32">
        <v>2.6053750474055903E-2</v>
      </c>
      <c r="G32">
        <v>-8.0616003711441994E-2</v>
      </c>
      <c r="H32">
        <v>8.4170895080498895E-2</v>
      </c>
      <c r="I32">
        <v>1</v>
      </c>
      <c r="J32">
        <v>-0.19612676243668167</v>
      </c>
      <c r="K32">
        <v>-0.17591021296472378</v>
      </c>
      <c r="L32">
        <v>-5.1471152575613723E-3</v>
      </c>
      <c r="M32">
        <v>0.28810527388625962</v>
      </c>
      <c r="N32">
        <v>0.99999999999999256</v>
      </c>
    </row>
    <row r="33" spans="1:14">
      <c r="A33" s="52">
        <f t="shared" si="0"/>
        <v>2.7627746621230673E-5</v>
      </c>
      <c r="B33">
        <v>4.5682343599967954E-3</v>
      </c>
      <c r="C33">
        <v>4.8875133037542661E-3</v>
      </c>
      <c r="D33">
        <v>8.9920739452598443E-4</v>
      </c>
      <c r="E33">
        <v>2.8595055291428936E-3</v>
      </c>
      <c r="F33">
        <v>6.6557498806758351E-3</v>
      </c>
      <c r="G33">
        <v>2.0823124675607974E-2</v>
      </c>
      <c r="H33">
        <v>-1.1489036376634745E-2</v>
      </c>
      <c r="I33">
        <v>-2.5774182289412466E-2</v>
      </c>
      <c r="J33">
        <v>-2.5080200145140615E-2</v>
      </c>
      <c r="K33">
        <v>1</v>
      </c>
      <c r="L33">
        <v>-0.68851630268219088</v>
      </c>
      <c r="M33">
        <v>-3.2750458410133222E-2</v>
      </c>
      <c r="N33">
        <v>0.99999999999999256</v>
      </c>
    </row>
    <row r="36" spans="1:14">
      <c r="G36">
        <v>0.43455249691452591</v>
      </c>
      <c r="H36">
        <v>0.33828758800493519</v>
      </c>
      <c r="I36">
        <v>0.12354905853774523</v>
      </c>
      <c r="J36">
        <v>7.5221389372430725E-2</v>
      </c>
      <c r="K36">
        <v>1.4459649891782833E-2</v>
      </c>
      <c r="L36">
        <v>1.0654321403578804E-2</v>
      </c>
      <c r="M36">
        <v>3.27549587500231E-3</v>
      </c>
      <c r="N36">
        <v>2.2204460492503131E-16</v>
      </c>
    </row>
    <row r="37" spans="1:14">
      <c r="A37" s="52">
        <f>B37-B26</f>
        <v>-1.2115939990225977E-3</v>
      </c>
      <c r="B37">
        <v>0.6552710176574843</v>
      </c>
      <c r="C37">
        <v>1.4916619616756718E-2</v>
      </c>
      <c r="D37">
        <v>0.64524926315863862</v>
      </c>
      <c r="E37">
        <v>0.65550123602818133</v>
      </c>
      <c r="F37">
        <v>0.66604275107693234</v>
      </c>
      <c r="G37">
        <v>0.59561982113112533</v>
      </c>
      <c r="H37">
        <v>0.4067364409312203</v>
      </c>
      <c r="I37">
        <v>-0.4073078612661708</v>
      </c>
      <c r="J37">
        <v>-0.313411098167796</v>
      </c>
      <c r="K37">
        <v>0.11016463969012377</v>
      </c>
      <c r="L37">
        <v>-0.16297791345545726</v>
      </c>
      <c r="M37">
        <v>1</v>
      </c>
      <c r="N37">
        <v>0.99999999999997424</v>
      </c>
    </row>
    <row r="38" spans="1:14">
      <c r="A38" s="52">
        <f t="shared" ref="A38:A44" si="1">B38-B27</f>
        <v>2.3954407044985901E-3</v>
      </c>
      <c r="B38">
        <v>3.2841479968716274E-2</v>
      </c>
      <c r="C38">
        <v>2.5355879829220794E-2</v>
      </c>
      <c r="D38">
        <v>1.2862627189096264E-2</v>
      </c>
      <c r="E38">
        <v>2.7861309608807415E-2</v>
      </c>
      <c r="F38">
        <v>4.689464249626582E-2</v>
      </c>
      <c r="G38">
        <v>-0.99079554246024626</v>
      </c>
      <c r="H38">
        <v>-0.97256065124128654</v>
      </c>
      <c r="I38">
        <v>-0.26294177666771384</v>
      </c>
      <c r="J38">
        <v>-0.17334046299659506</v>
      </c>
      <c r="K38">
        <v>-0.11467935916099201</v>
      </c>
      <c r="L38">
        <v>-0.11887475425258766</v>
      </c>
      <c r="M38">
        <v>0.26006952904152886</v>
      </c>
      <c r="N38">
        <v>0.99999999999998535</v>
      </c>
    </row>
    <row r="39" spans="1:14">
      <c r="A39" s="52">
        <f t="shared" si="1"/>
        <v>3.2828103692433483E-5</v>
      </c>
      <c r="B39">
        <v>1.301099177798019E-2</v>
      </c>
      <c r="C39">
        <v>1.1723820424687866E-2</v>
      </c>
      <c r="D39">
        <v>4.1309438793939264E-3</v>
      </c>
      <c r="E39">
        <v>9.2623477531058301E-3</v>
      </c>
      <c r="F39">
        <v>1.9018996303166811E-2</v>
      </c>
      <c r="G39">
        <v>6.0560823799074438E-2</v>
      </c>
      <c r="H39">
        <v>1.274469437837948E-2</v>
      </c>
      <c r="I39">
        <v>2.369373728037992E-2</v>
      </c>
      <c r="J39">
        <v>1</v>
      </c>
      <c r="K39">
        <v>-7.7835006114160554E-2</v>
      </c>
      <c r="L39">
        <v>-0.13509641456837729</v>
      </c>
      <c r="M39">
        <v>0.25670452588206971</v>
      </c>
      <c r="N39">
        <v>0.99999999999998601</v>
      </c>
    </row>
    <row r="40" spans="1:14">
      <c r="A40" s="52">
        <f t="shared" si="1"/>
        <v>-4.2535019432951016E-3</v>
      </c>
      <c r="B40">
        <v>0.24375957408620141</v>
      </c>
      <c r="C40">
        <v>2.0719498631946547E-2</v>
      </c>
      <c r="D40">
        <v>0.22934136465406491</v>
      </c>
      <c r="E40">
        <v>0.24524942510708597</v>
      </c>
      <c r="F40">
        <v>0.25767087964128887</v>
      </c>
      <c r="G40">
        <v>1</v>
      </c>
      <c r="H40">
        <v>-0.5111352919190334</v>
      </c>
      <c r="I40">
        <v>-0.12368208952065948</v>
      </c>
      <c r="J40">
        <v>-0.12693213687736846</v>
      </c>
      <c r="K40">
        <v>-0.49880015925373777</v>
      </c>
      <c r="L40">
        <v>-0.12214234053457944</v>
      </c>
      <c r="M40">
        <v>-0.68505212584487385</v>
      </c>
      <c r="N40">
        <v>1</v>
      </c>
    </row>
    <row r="41" spans="1:14">
      <c r="A41" s="52">
        <f t="shared" si="1"/>
        <v>1.220347078024086E-3</v>
      </c>
      <c r="B41">
        <v>5.0320256854056427E-3</v>
      </c>
      <c r="C41">
        <v>4.9113391639243921E-3</v>
      </c>
      <c r="D41">
        <v>1.1837446613836506E-3</v>
      </c>
      <c r="E41">
        <v>3.8111445884894323E-3</v>
      </c>
      <c r="F41">
        <v>7.5293677329735364E-3</v>
      </c>
      <c r="G41">
        <v>1.6123030574811244E-2</v>
      </c>
      <c r="H41">
        <v>2.6412516957551448E-2</v>
      </c>
      <c r="I41">
        <v>-3.2328454672664701E-2</v>
      </c>
      <c r="J41">
        <v>-3.9940423626224034E-2</v>
      </c>
      <c r="K41">
        <v>1</v>
      </c>
      <c r="L41">
        <v>-0.23154580701716648</v>
      </c>
      <c r="M41">
        <v>-0.59309551428239249</v>
      </c>
      <c r="N41">
        <v>0.99999999999999678</v>
      </c>
    </row>
    <row r="42" spans="1:14">
      <c r="A42" s="52">
        <f t="shared" si="1"/>
        <v>1.8338253259302592E-3</v>
      </c>
      <c r="B42">
        <v>2.7415701809132508E-2</v>
      </c>
      <c r="C42">
        <v>2.2069519712679782E-2</v>
      </c>
      <c r="D42">
        <v>9.8637907830133771E-3</v>
      </c>
      <c r="E42">
        <v>2.1292803352637391E-2</v>
      </c>
      <c r="F42">
        <v>4.2446692352787606E-2</v>
      </c>
      <c r="G42">
        <v>-0.69534928228543802</v>
      </c>
      <c r="H42">
        <v>1</v>
      </c>
      <c r="I42">
        <v>-0.18538508675038756</v>
      </c>
      <c r="J42">
        <v>-0.10999984814941624</v>
      </c>
      <c r="K42">
        <v>-0.4342507459828695</v>
      </c>
      <c r="L42">
        <v>-0.10492836163441192</v>
      </c>
      <c r="M42">
        <v>-0.50043403324685298</v>
      </c>
      <c r="N42">
        <v>0.99999999999999778</v>
      </c>
    </row>
    <row r="43" spans="1:14">
      <c r="A43" s="52">
        <f t="shared" si="1"/>
        <v>1.2169445955028529E-4</v>
      </c>
      <c r="B43">
        <v>1.8240014384459758E-2</v>
      </c>
      <c r="C43">
        <v>1.4774486640349352E-2</v>
      </c>
      <c r="D43">
        <v>6.1781913149985945E-3</v>
      </c>
      <c r="E43">
        <v>1.5692360202196026E-2</v>
      </c>
      <c r="F43">
        <v>2.6081413888417445E-2</v>
      </c>
      <c r="G43">
        <v>-2.3608668908728675E-2</v>
      </c>
      <c r="H43">
        <v>3.2720069518883267E-2</v>
      </c>
      <c r="I43">
        <v>1</v>
      </c>
      <c r="J43">
        <v>-0.23433436510097255</v>
      </c>
      <c r="K43">
        <v>-9.2012508160932413E-2</v>
      </c>
      <c r="L43">
        <v>-0.12443440853742282</v>
      </c>
      <c r="M43">
        <v>0.2728007191961529</v>
      </c>
      <c r="N43">
        <v>0.99999999999998557</v>
      </c>
    </row>
    <row r="44" spans="1:14">
      <c r="A44" s="52">
        <f t="shared" si="1"/>
        <v>-1.3903972937636885E-4</v>
      </c>
      <c r="B44">
        <v>4.4291946306204266E-3</v>
      </c>
      <c r="C44">
        <v>4.5722667368891193E-3</v>
      </c>
      <c r="D44">
        <v>1.1192844372856475E-3</v>
      </c>
      <c r="E44">
        <v>3.100901894043274E-3</v>
      </c>
      <c r="F44">
        <v>6.2466722820341131E-3</v>
      </c>
      <c r="G44">
        <v>3.7449818149402472E-2</v>
      </c>
      <c r="H44">
        <v>5.0822213742854295E-3</v>
      </c>
      <c r="I44">
        <v>-1.2048468402783589E-2</v>
      </c>
      <c r="J44">
        <v>-2.0416650816270439E-3</v>
      </c>
      <c r="K44">
        <v>0.10741313898257011</v>
      </c>
      <c r="L44">
        <v>1</v>
      </c>
      <c r="M44">
        <v>-1.0993100745598552E-2</v>
      </c>
      <c r="N44">
        <v>0.99999999999999167</v>
      </c>
    </row>
    <row r="47" spans="1:14">
      <c r="G47">
        <v>0.43170741626868214</v>
      </c>
      <c r="H47">
        <v>0.30876165083931317</v>
      </c>
      <c r="I47">
        <v>0.127347579600952</v>
      </c>
      <c r="J47">
        <v>7.509771224179429E-2</v>
      </c>
      <c r="K47">
        <v>4.0686890150238963E-2</v>
      </c>
      <c r="L47">
        <v>1.2958493906668922E-2</v>
      </c>
      <c r="M47">
        <v>3.440256992350843E-3</v>
      </c>
      <c r="N47">
        <v>-2.2204460492503131E-16</v>
      </c>
    </row>
    <row r="48" spans="1:14">
      <c r="A48" s="52">
        <f>B48-B37</f>
        <v>1.3822970861002704E-3</v>
      </c>
      <c r="B48">
        <v>0.65665331474358457</v>
      </c>
      <c r="C48">
        <v>1.40658264043831E-2</v>
      </c>
      <c r="D48">
        <v>0.64673218348571193</v>
      </c>
      <c r="E48">
        <v>0.65747172987725233</v>
      </c>
      <c r="F48">
        <v>0.66702577165386279</v>
      </c>
      <c r="G48">
        <v>0.47635015999747887</v>
      </c>
      <c r="H48">
        <v>-0.42264073728398771</v>
      </c>
      <c r="I48">
        <v>-0.44651910636579167</v>
      </c>
      <c r="J48">
        <v>-0.31042315361436851</v>
      </c>
      <c r="K48">
        <v>8.5895350357812816E-2</v>
      </c>
      <c r="L48">
        <v>-0.11331285611766306</v>
      </c>
      <c r="M48">
        <v>1</v>
      </c>
      <c r="N48">
        <v>0.99999999999999822</v>
      </c>
    </row>
    <row r="49" spans="1:14">
      <c r="A49" s="52">
        <f t="shared" ref="A49:A55" si="2">B49-B38</f>
        <v>-2.7135607594979752E-3</v>
      </c>
      <c r="B49">
        <v>3.0127919209218298E-2</v>
      </c>
      <c r="C49">
        <v>2.3316004486139571E-2</v>
      </c>
      <c r="D49">
        <v>1.1592210236919788E-2</v>
      </c>
      <c r="E49">
        <v>2.5312111720435244E-2</v>
      </c>
      <c r="F49">
        <v>4.3127284645704034E-2</v>
      </c>
      <c r="G49">
        <v>-0.71742581484065637</v>
      </c>
      <c r="H49">
        <v>1</v>
      </c>
      <c r="I49">
        <v>-0.2380072916367677</v>
      </c>
      <c r="J49">
        <v>-0.18366231548685391</v>
      </c>
      <c r="K49">
        <v>-5.8614806037124031E-2</v>
      </c>
      <c r="L49">
        <v>-0.12454441043779177</v>
      </c>
      <c r="M49">
        <v>0.25884459371224594</v>
      </c>
      <c r="N49">
        <v>0.99999999999999745</v>
      </c>
    </row>
    <row r="50" spans="1:14">
      <c r="A50" s="52">
        <f t="shared" si="2"/>
        <v>-3.4862792631429676E-4</v>
      </c>
      <c r="B50">
        <v>1.2662363851665893E-2</v>
      </c>
      <c r="C50">
        <v>1.120835925234865E-2</v>
      </c>
      <c r="D50">
        <v>4.0075251430076401E-3</v>
      </c>
      <c r="E50">
        <v>9.5918433278843005E-3</v>
      </c>
      <c r="F50">
        <v>1.9362388611689568E-2</v>
      </c>
      <c r="G50">
        <v>8.7447898945841021E-4</v>
      </c>
      <c r="H50">
        <v>-3.1430673987579962E-2</v>
      </c>
      <c r="I50">
        <v>3.7850705490841345E-2</v>
      </c>
      <c r="J50">
        <v>1</v>
      </c>
      <c r="K50">
        <v>-2.5967359301384052E-2</v>
      </c>
      <c r="L50">
        <v>-0.15795892419249827</v>
      </c>
      <c r="M50">
        <v>0.27430317537397086</v>
      </c>
      <c r="N50">
        <v>0.99999999999999778</v>
      </c>
    </row>
    <row r="51" spans="1:14">
      <c r="A51" s="52">
        <f t="shared" si="2"/>
        <v>7.6024368626831373E-5</v>
      </c>
      <c r="B51">
        <v>0.24383559845482825</v>
      </c>
      <c r="C51">
        <v>2.0561805039828115E-2</v>
      </c>
      <c r="D51">
        <v>0.2303077352363837</v>
      </c>
      <c r="E51">
        <v>0.24470800094768141</v>
      </c>
      <c r="F51">
        <v>0.25972406440619344</v>
      </c>
      <c r="G51">
        <v>1</v>
      </c>
      <c r="H51">
        <v>0.33481160995912379</v>
      </c>
      <c r="I51">
        <v>-0.15797094453598365</v>
      </c>
      <c r="J51">
        <v>-7.3726301881419751E-2</v>
      </c>
      <c r="K51">
        <v>-0.42737051716437302</v>
      </c>
      <c r="L51">
        <v>-0.16043781706804588</v>
      </c>
      <c r="M51">
        <v>-0.7059063790090101</v>
      </c>
      <c r="N51">
        <v>0.99999999999999623</v>
      </c>
    </row>
    <row r="52" spans="1:14">
      <c r="A52" s="52">
        <f t="shared" si="2"/>
        <v>3.039301229518003E-3</v>
      </c>
      <c r="B52">
        <v>8.0713269149236457E-3</v>
      </c>
      <c r="C52">
        <v>7.9863841895048918E-3</v>
      </c>
      <c r="D52">
        <v>1.9572995944623986E-3</v>
      </c>
      <c r="E52">
        <v>5.5845668130529331E-3</v>
      </c>
      <c r="F52">
        <v>1.1764232153957161E-2</v>
      </c>
      <c r="G52">
        <v>1.2533235509878712E-2</v>
      </c>
      <c r="H52">
        <v>-8.0946775840920068E-2</v>
      </c>
      <c r="I52">
        <v>4.5674451717256835E-2</v>
      </c>
      <c r="J52">
        <v>-8.6260658583614355E-2</v>
      </c>
      <c r="K52">
        <v>1</v>
      </c>
      <c r="L52">
        <v>-0.18151740057577967</v>
      </c>
      <c r="M52">
        <v>-0.52912264538228515</v>
      </c>
      <c r="N52">
        <v>0.99999999999999867</v>
      </c>
    </row>
    <row r="53" spans="1:14">
      <c r="A53" s="52">
        <f t="shared" si="2"/>
        <v>-1.1678850352863507E-3</v>
      </c>
      <c r="B53">
        <v>2.6247816773846157E-2</v>
      </c>
      <c r="C53">
        <v>2.0973329073454623E-2</v>
      </c>
      <c r="D53">
        <v>8.878879653396848E-3</v>
      </c>
      <c r="E53">
        <v>2.1954281360797596E-2</v>
      </c>
      <c r="F53">
        <v>4.0366336649275608E-2</v>
      </c>
      <c r="G53">
        <v>-0.79907381401357436</v>
      </c>
      <c r="H53">
        <v>-0.73335928998145106</v>
      </c>
      <c r="I53">
        <v>-0.22978070067492923</v>
      </c>
      <c r="J53">
        <v>-0.1173647513907862</v>
      </c>
      <c r="K53">
        <v>-0.41859582659940608</v>
      </c>
      <c r="L53">
        <v>-0.14812553441343976</v>
      </c>
      <c r="M53">
        <v>-0.52282551650089781</v>
      </c>
      <c r="N53">
        <v>0.99999999999999611</v>
      </c>
    </row>
    <row r="54" spans="1:14">
      <c r="A54" s="52">
        <f t="shared" si="2"/>
        <v>-3.9493796094754868E-4</v>
      </c>
      <c r="B54">
        <v>1.7845076423512209E-2</v>
      </c>
      <c r="C54">
        <v>1.4296368872379173E-2</v>
      </c>
      <c r="D54">
        <v>6.1749130147388323E-3</v>
      </c>
      <c r="E54">
        <v>1.4838422944672185E-2</v>
      </c>
      <c r="F54">
        <v>2.6254902082854536E-2</v>
      </c>
      <c r="G54">
        <v>1.5823328750307175E-2</v>
      </c>
      <c r="H54">
        <v>-6.1499802111783353E-2</v>
      </c>
      <c r="I54">
        <v>1</v>
      </c>
      <c r="J54">
        <v>-0.25455605609145981</v>
      </c>
      <c r="K54">
        <v>-0.18366724874739368</v>
      </c>
      <c r="L54">
        <v>-0.1141030571947837</v>
      </c>
      <c r="M54">
        <v>0.28953379718014721</v>
      </c>
      <c r="N54">
        <v>0.99999999999999722</v>
      </c>
    </row>
    <row r="55" spans="1:14">
      <c r="A55" s="52">
        <f t="shared" si="2"/>
        <v>1.273889977998436E-4</v>
      </c>
      <c r="B55">
        <v>4.5565836284202701E-3</v>
      </c>
      <c r="C55">
        <v>4.8014225141495637E-3</v>
      </c>
      <c r="D55">
        <v>1.2179621259960464E-3</v>
      </c>
      <c r="E55">
        <v>2.9314867834788491E-3</v>
      </c>
      <c r="F55">
        <v>6.1429047252422268E-3</v>
      </c>
      <c r="G55">
        <v>1.091842560710702E-2</v>
      </c>
      <c r="H55">
        <v>-4.9343307534012526E-3</v>
      </c>
      <c r="I55">
        <v>-1.124711399462585E-2</v>
      </c>
      <c r="J55">
        <v>2.5993237048501767E-2</v>
      </c>
      <c r="K55">
        <v>2.8320407491866186E-2</v>
      </c>
      <c r="L55">
        <v>1</v>
      </c>
      <c r="M55">
        <v>-6.4827025374172689E-2</v>
      </c>
      <c r="N55">
        <v>1</v>
      </c>
    </row>
    <row r="58" spans="1:14">
      <c r="G58">
        <v>0.4031039864800926</v>
      </c>
      <c r="H58">
        <v>0.30838269434248711</v>
      </c>
      <c r="I58">
        <v>0.1215571241049016</v>
      </c>
      <c r="J58">
        <v>8.7462653135052526E-2</v>
      </c>
      <c r="K58">
        <v>6.6471912433863412E-2</v>
      </c>
      <c r="L58">
        <v>1.0341373236348983E-2</v>
      </c>
      <c r="M58">
        <v>2.6802562672563202E-3</v>
      </c>
      <c r="N58">
        <v>0</v>
      </c>
    </row>
    <row r="59" spans="1:14">
      <c r="A59" s="52">
        <f>B59-B48</f>
        <v>-7.9761960036428547E-4</v>
      </c>
      <c r="B59">
        <v>0.65585569514322029</v>
      </c>
      <c r="C59">
        <v>1.4518240337462816E-2</v>
      </c>
      <c r="D59">
        <v>0.64560618550523841</v>
      </c>
      <c r="E59">
        <v>0.65659923869395231</v>
      </c>
      <c r="F59">
        <v>0.66616957654565234</v>
      </c>
      <c r="G59">
        <v>-0.55851639861877811</v>
      </c>
      <c r="H59">
        <v>0.3403851513180805</v>
      </c>
      <c r="I59">
        <v>-0.48509158176932604</v>
      </c>
      <c r="J59">
        <v>6.3120344605807607E-2</v>
      </c>
      <c r="K59">
        <v>-0.24171657921345566</v>
      </c>
      <c r="L59">
        <v>-0.13299778152905095</v>
      </c>
      <c r="M59">
        <v>1</v>
      </c>
      <c r="N59">
        <v>0.999999999999998</v>
      </c>
    </row>
    <row r="60" spans="1:14">
      <c r="A60" s="52">
        <f t="shared" ref="A60:A66" si="3">B60-B49</f>
        <v>2.6515799525703848E-4</v>
      </c>
      <c r="B60">
        <v>3.0393077204475337E-2</v>
      </c>
      <c r="C60">
        <v>2.4909914689500719E-2</v>
      </c>
      <c r="D60">
        <v>1.1397326835169409E-2</v>
      </c>
      <c r="E60">
        <v>2.3500258827966889E-2</v>
      </c>
      <c r="F60">
        <v>4.4157491201704008E-2</v>
      </c>
      <c r="G60">
        <v>1</v>
      </c>
      <c r="H60">
        <v>-0.84879087813347864</v>
      </c>
      <c r="I60">
        <v>-0.26938708446090842</v>
      </c>
      <c r="J60">
        <v>-5.9330986724761975E-2</v>
      </c>
      <c r="K60">
        <v>-0.13277238011449521</v>
      </c>
      <c r="L60">
        <v>-0.12862349011738994</v>
      </c>
      <c r="M60">
        <v>0.26198740212018079</v>
      </c>
      <c r="N60">
        <v>0.99999999999999567</v>
      </c>
    </row>
    <row r="61" spans="1:14">
      <c r="A61" s="52">
        <f t="shared" si="3"/>
        <v>-7.2046453667092697E-5</v>
      </c>
      <c r="B61">
        <v>1.2590317397998801E-2</v>
      </c>
      <c r="C61">
        <v>1.1215313613500076E-2</v>
      </c>
      <c r="D61">
        <v>4.0918467775966517E-3</v>
      </c>
      <c r="E61">
        <v>9.3772375519409513E-3</v>
      </c>
      <c r="F61">
        <v>1.8297679575587894E-2</v>
      </c>
      <c r="G61">
        <v>-5.6207972166463435E-2</v>
      </c>
      <c r="H61">
        <v>-3.2421471893673164E-3</v>
      </c>
      <c r="I61">
        <v>0.15596344069632295</v>
      </c>
      <c r="J61">
        <v>-5.6352012598764644E-3</v>
      </c>
      <c r="K61">
        <v>1</v>
      </c>
      <c r="L61">
        <v>-9.3657723804294948E-2</v>
      </c>
      <c r="M61">
        <v>0.22995567238559073</v>
      </c>
      <c r="N61">
        <v>0.99999999999999756</v>
      </c>
    </row>
    <row r="62" spans="1:14">
      <c r="A62" s="52">
        <f t="shared" si="3"/>
        <v>-4.2005432367101803E-3</v>
      </c>
      <c r="B62">
        <v>0.23963505521811806</v>
      </c>
      <c r="C62">
        <v>2.0437329076901715E-2</v>
      </c>
      <c r="D62">
        <v>0.22560717934040897</v>
      </c>
      <c r="E62">
        <v>0.23980932056621684</v>
      </c>
      <c r="F62">
        <v>0.25441392950507091</v>
      </c>
      <c r="G62">
        <v>-0.8226287039006529</v>
      </c>
      <c r="H62">
        <v>-0.64092252716785025</v>
      </c>
      <c r="I62">
        <v>-0.18500305360242306</v>
      </c>
      <c r="J62">
        <v>-0.40987286991037397</v>
      </c>
      <c r="K62">
        <v>-8.4201836811161848E-2</v>
      </c>
      <c r="L62">
        <v>-0.17333778603464237</v>
      </c>
      <c r="M62">
        <v>-0.69467779621965897</v>
      </c>
      <c r="N62">
        <v>0.99999999999999278</v>
      </c>
    </row>
    <row r="63" spans="1:14">
      <c r="A63" s="52">
        <f t="shared" si="3"/>
        <v>4.7519084198037499E-3</v>
      </c>
      <c r="B63">
        <v>1.2823235334727396E-2</v>
      </c>
      <c r="C63">
        <v>1.1956038478151011E-2</v>
      </c>
      <c r="D63">
        <v>3.5321040402523703E-3</v>
      </c>
      <c r="E63">
        <v>1.002903905888611E-2</v>
      </c>
      <c r="F63">
        <v>1.8043432608124806E-2</v>
      </c>
      <c r="G63">
        <v>-1.3106291813755831E-2</v>
      </c>
      <c r="H63">
        <v>0.12672874750982005</v>
      </c>
      <c r="I63">
        <v>-3.7745952104570627E-3</v>
      </c>
      <c r="J63">
        <v>1</v>
      </c>
      <c r="K63">
        <v>-9.8967392592710229E-2</v>
      </c>
      <c r="L63">
        <v>-0.18046709056846991</v>
      </c>
      <c r="M63">
        <v>-0.51745358005539754</v>
      </c>
      <c r="N63">
        <v>0.999999999999995</v>
      </c>
    </row>
    <row r="64" spans="1:14">
      <c r="A64" s="52">
        <f t="shared" si="3"/>
        <v>7.0321410697979023E-4</v>
      </c>
      <c r="B64">
        <v>2.6951030880825948E-2</v>
      </c>
      <c r="C64">
        <v>2.0935115913396363E-2</v>
      </c>
      <c r="D64">
        <v>9.7131829651378541E-3</v>
      </c>
      <c r="E64">
        <v>2.2943442127801056E-2</v>
      </c>
      <c r="F64">
        <v>4.0417344594586839E-2</v>
      </c>
      <c r="G64">
        <v>0.51413968568104373</v>
      </c>
      <c r="H64">
        <v>1</v>
      </c>
      <c r="I64">
        <v>-0.20772310927060228</v>
      </c>
      <c r="J64">
        <v>-0.45724623858401331</v>
      </c>
      <c r="K64">
        <v>-5.9658579152691772E-2</v>
      </c>
      <c r="L64">
        <v>-0.14787537198197703</v>
      </c>
      <c r="M64">
        <v>-0.50452964412509382</v>
      </c>
      <c r="N64">
        <v>0.99999999999999389</v>
      </c>
    </row>
    <row r="65" spans="1:14">
      <c r="A65" s="52">
        <f t="shared" si="3"/>
        <v>-2.012719292262162E-4</v>
      </c>
      <c r="B65">
        <v>1.7643804494285993E-2</v>
      </c>
      <c r="C65">
        <v>1.4364936691663008E-2</v>
      </c>
      <c r="D65">
        <v>6.507740905886265E-3</v>
      </c>
      <c r="E65">
        <v>1.4487372982388787E-2</v>
      </c>
      <c r="F65">
        <v>2.4706942078594064E-2</v>
      </c>
      <c r="G65">
        <v>-3.834400569687358E-2</v>
      </c>
      <c r="H65">
        <v>2.6595405550772895E-2</v>
      </c>
      <c r="I65">
        <v>1</v>
      </c>
      <c r="J65">
        <v>-0.15141713140355631</v>
      </c>
      <c r="K65">
        <v>-0.33755383281958934</v>
      </c>
      <c r="L65">
        <v>-0.14304075596417901</v>
      </c>
      <c r="M65">
        <v>0.28423314382536935</v>
      </c>
      <c r="N65">
        <v>0.99999999999999667</v>
      </c>
    </row>
    <row r="66" spans="1:14">
      <c r="A66" s="52">
        <f t="shared" si="3"/>
        <v>-4.4879930207154025E-4</v>
      </c>
      <c r="B66">
        <v>4.1077843263487299E-3</v>
      </c>
      <c r="C66">
        <v>4.4973363043570762E-3</v>
      </c>
      <c r="D66">
        <v>8.9751861984044647E-4</v>
      </c>
      <c r="E66">
        <v>2.3082330395182362E-3</v>
      </c>
      <c r="F66">
        <v>6.0764386298179755E-3</v>
      </c>
      <c r="G66">
        <v>-2.533631348451967E-2</v>
      </c>
      <c r="H66">
        <v>-7.537518879779442E-4</v>
      </c>
      <c r="I66">
        <v>-4.984016382606319E-3</v>
      </c>
      <c r="J66">
        <v>2.0382083276772798E-2</v>
      </c>
      <c r="K66">
        <v>-4.5129399295896593E-2</v>
      </c>
      <c r="L66">
        <v>1</v>
      </c>
      <c r="M66">
        <v>-5.9515197930996043E-2</v>
      </c>
      <c r="N66">
        <v>1</v>
      </c>
    </row>
    <row r="69" spans="1:14">
      <c r="G69">
        <v>0.37727854792940274</v>
      </c>
      <c r="H69">
        <v>0.26685437868919715</v>
      </c>
      <c r="I69">
        <v>0.16886901486009198</v>
      </c>
      <c r="J69">
        <v>0.11236708980907151</v>
      </c>
      <c r="K69">
        <v>6.3617577891291521E-2</v>
      </c>
      <c r="L69">
        <v>8.6954220277444261E-3</v>
      </c>
      <c r="M69">
        <v>2.3179687932000093E-3</v>
      </c>
      <c r="N69">
        <v>-2.2204460492503131E-16</v>
      </c>
    </row>
    <row r="70" spans="1:14">
      <c r="A70" s="52">
        <f>B70-B59</f>
        <v>1.4741293350035711E-3</v>
      </c>
      <c r="B70">
        <v>0.65732982447822386</v>
      </c>
      <c r="C70">
        <v>1.3540901833582624E-2</v>
      </c>
      <c r="D70">
        <v>0.6482115222932624</v>
      </c>
      <c r="E70">
        <v>0.65787812412696023</v>
      </c>
      <c r="F70">
        <v>0.66673599084443325</v>
      </c>
      <c r="G70">
        <v>0.27269370421902511</v>
      </c>
      <c r="H70">
        <v>-0.50590787285765604</v>
      </c>
      <c r="I70">
        <v>-1.2813825821969356E-2</v>
      </c>
      <c r="J70">
        <v>-0.36239655831930001</v>
      </c>
      <c r="K70">
        <v>-0.3338049640495877</v>
      </c>
      <c r="L70">
        <v>-0.14483224121183738</v>
      </c>
      <c r="M70">
        <v>1</v>
      </c>
      <c r="N70">
        <v>1</v>
      </c>
    </row>
    <row r="71" spans="1:14">
      <c r="A71" s="52">
        <f t="shared" ref="A71:A77" si="4">B71-B60</f>
        <v>-2.6685979692304927E-3</v>
      </c>
      <c r="B71">
        <v>2.7724479235244844E-2</v>
      </c>
      <c r="C71">
        <v>2.1659590527934799E-2</v>
      </c>
      <c r="D71">
        <v>1.0606846012841054E-2</v>
      </c>
      <c r="E71">
        <v>2.2842383817436356E-2</v>
      </c>
      <c r="F71">
        <v>4.0221134296519814E-2</v>
      </c>
      <c r="G71">
        <v>-0.28447055642371566</v>
      </c>
      <c r="H71">
        <v>1</v>
      </c>
      <c r="I71">
        <v>5.9367824281284481E-2</v>
      </c>
      <c r="J71">
        <v>-0.27473496969328109</v>
      </c>
      <c r="K71">
        <v>-0.20016865300627068</v>
      </c>
      <c r="L71">
        <v>-0.13181621568864138</v>
      </c>
      <c r="M71">
        <v>0.26342277553797377</v>
      </c>
      <c r="N71">
        <v>0.99999999999998856</v>
      </c>
    </row>
    <row r="72" spans="1:14">
      <c r="A72" s="52">
        <f t="shared" si="4"/>
        <v>-8.6705736355314166E-4</v>
      </c>
      <c r="B72">
        <v>1.1723260034445659E-2</v>
      </c>
      <c r="C72">
        <v>1.0955439512044012E-2</v>
      </c>
      <c r="D72">
        <v>3.3852890864331754E-3</v>
      </c>
      <c r="E72">
        <v>8.3225825146591628E-3</v>
      </c>
      <c r="F72">
        <v>1.6401011367852911E-2</v>
      </c>
      <c r="G72">
        <v>6.3682618360094518E-3</v>
      </c>
      <c r="H72">
        <v>-2.5123091465669368E-2</v>
      </c>
      <c r="I72">
        <v>3.7950227028394547E-2</v>
      </c>
      <c r="J72">
        <v>-7.5745483697546162E-2</v>
      </c>
      <c r="K72">
        <v>1</v>
      </c>
      <c r="L72">
        <v>-0.11908809759255483</v>
      </c>
      <c r="M72">
        <v>0.24102331274411082</v>
      </c>
      <c r="N72">
        <v>0.99999999999998734</v>
      </c>
    </row>
    <row r="73" spans="1:14">
      <c r="A73" s="52">
        <f t="shared" si="4"/>
        <v>-2.9050574689007402E-3</v>
      </c>
      <c r="B73">
        <v>0.23672999774921732</v>
      </c>
      <c r="C73">
        <v>2.2601890017912751E-2</v>
      </c>
      <c r="D73">
        <v>0.22192838512937213</v>
      </c>
      <c r="E73">
        <v>0.23695922218016782</v>
      </c>
      <c r="F73">
        <v>0.25277292952464681</v>
      </c>
      <c r="G73">
        <v>1</v>
      </c>
      <c r="H73">
        <v>0.11778600510280179</v>
      </c>
      <c r="I73">
        <v>-0.19141085068503194</v>
      </c>
      <c r="J73">
        <v>-7.5644104237118093E-2</v>
      </c>
      <c r="K73">
        <v>-8.3434657326810352E-2</v>
      </c>
      <c r="L73">
        <v>-0.1692013840672538</v>
      </c>
      <c r="M73">
        <v>-0.71043465109236936</v>
      </c>
      <c r="N73">
        <v>0.99999999999997213</v>
      </c>
    </row>
    <row r="74" spans="1:14">
      <c r="A74" s="52">
        <f t="shared" si="4"/>
        <v>7.4303851780955447E-3</v>
      </c>
      <c r="B74">
        <v>2.025362051282294E-2</v>
      </c>
      <c r="C74">
        <v>1.7694658245284645E-2</v>
      </c>
      <c r="D74">
        <v>6.2450569973736755E-3</v>
      </c>
      <c r="E74">
        <v>1.5630579016851397E-2</v>
      </c>
      <c r="F74">
        <v>2.9484258539751628E-2</v>
      </c>
      <c r="G74">
        <v>-0.31915482025608954</v>
      </c>
      <c r="H74">
        <v>-0.29132746366342543</v>
      </c>
      <c r="I74">
        <v>1</v>
      </c>
      <c r="J74">
        <v>-4.049736528345016E-2</v>
      </c>
      <c r="K74">
        <v>-0.13511788186143989</v>
      </c>
      <c r="L74">
        <v>-0.14393636285906067</v>
      </c>
      <c r="M74">
        <v>-0.53464105520470084</v>
      </c>
      <c r="N74">
        <v>0.99999999999997646</v>
      </c>
    </row>
    <row r="75" spans="1:14">
      <c r="A75" s="52">
        <f t="shared" si="4"/>
        <v>-2.2619516250143058E-3</v>
      </c>
      <c r="B75">
        <v>2.4689079255811642E-2</v>
      </c>
      <c r="C75">
        <v>2.0244571832502428E-2</v>
      </c>
      <c r="D75">
        <v>8.2239648213472769E-3</v>
      </c>
      <c r="E75">
        <v>2.0015674681532057E-2</v>
      </c>
      <c r="F75">
        <v>3.637303542976883E-2</v>
      </c>
      <c r="G75">
        <v>-0.66873402259202608</v>
      </c>
      <c r="H75">
        <v>-0.31819231986535013</v>
      </c>
      <c r="I75">
        <v>-0.79133056806316537</v>
      </c>
      <c r="J75">
        <v>-0.15720442041103269</v>
      </c>
      <c r="K75">
        <v>-9.816631850092529E-2</v>
      </c>
      <c r="L75">
        <v>-0.16293841234059553</v>
      </c>
      <c r="M75">
        <v>-0.51925518446037844</v>
      </c>
      <c r="N75">
        <v>0.99999999999997591</v>
      </c>
    </row>
    <row r="76" spans="1:14">
      <c r="A76" s="52">
        <f t="shared" si="4"/>
        <v>7.9816406137824675E-5</v>
      </c>
      <c r="B76">
        <v>1.7723620900423818E-2</v>
      </c>
      <c r="C76">
        <v>1.4353033666104516E-2</v>
      </c>
      <c r="D76">
        <v>6.5820122443507835E-3</v>
      </c>
      <c r="E76">
        <v>1.4427710893129997E-2</v>
      </c>
      <c r="F76">
        <v>2.5604727896053787E-2</v>
      </c>
      <c r="G76">
        <v>-2.1059357355957844E-2</v>
      </c>
      <c r="H76">
        <v>3.6395527279724595E-2</v>
      </c>
      <c r="I76">
        <v>-8.4084664537113926E-2</v>
      </c>
      <c r="J76">
        <v>1</v>
      </c>
      <c r="K76">
        <v>-0.1277303238055186</v>
      </c>
      <c r="L76">
        <v>-0.12818728624005879</v>
      </c>
      <c r="M76">
        <v>0.29551262868587524</v>
      </c>
      <c r="N76">
        <v>0.99999999999998967</v>
      </c>
    </row>
    <row r="77" spans="1:14">
      <c r="A77" s="52">
        <f t="shared" si="4"/>
        <v>-2.8166649253890839E-4</v>
      </c>
      <c r="B77">
        <v>3.8261178338098215E-3</v>
      </c>
      <c r="C77">
        <v>4.1566628518119259E-3</v>
      </c>
      <c r="D77">
        <v>9.0832133493185213E-4</v>
      </c>
      <c r="E77">
        <v>2.6579280388739131E-3</v>
      </c>
      <c r="F77">
        <v>5.0181173795128698E-3</v>
      </c>
      <c r="G77">
        <v>1.4356790572755072E-2</v>
      </c>
      <c r="H77">
        <v>-1.3630784530425644E-2</v>
      </c>
      <c r="I77">
        <v>-1.7678142202399119E-2</v>
      </c>
      <c r="J77">
        <v>-1.3777098358272106E-2</v>
      </c>
      <c r="K77">
        <v>-2.157720144944766E-2</v>
      </c>
      <c r="L77">
        <v>1</v>
      </c>
      <c r="M77">
        <v>-3.5627826210546124E-2</v>
      </c>
      <c r="N77">
        <v>0.99999999999998634</v>
      </c>
    </row>
    <row r="80" spans="1:14">
      <c r="G80">
        <v>0.54362986932317747</v>
      </c>
      <c r="H80">
        <v>0.18547603870120721</v>
      </c>
      <c r="I80">
        <v>0.16638629812473615</v>
      </c>
      <c r="J80">
        <v>6.4606261813565768E-2</v>
      </c>
      <c r="K80">
        <v>3.338140747472107E-2</v>
      </c>
      <c r="L80">
        <v>4.8640945891692544E-3</v>
      </c>
      <c r="M80">
        <v>1.6560299734323936E-3</v>
      </c>
      <c r="N80">
        <v>-2.2204460492503131E-16</v>
      </c>
    </row>
    <row r="81" spans="1:14">
      <c r="A81" s="52">
        <f>B81-B70</f>
        <v>1.8682293778667924E-3</v>
      </c>
      <c r="B81">
        <v>0.65919805385609065</v>
      </c>
      <c r="C81">
        <v>1.2513313993393602E-2</v>
      </c>
      <c r="D81">
        <v>0.65046367773417935</v>
      </c>
      <c r="E81">
        <v>0.65999430581470997</v>
      </c>
      <c r="F81">
        <v>0.66789382516365536</v>
      </c>
      <c r="G81">
        <v>-8.280547556213878E-3</v>
      </c>
      <c r="H81">
        <v>-0.57766503421257298</v>
      </c>
      <c r="I81">
        <v>0.33000635545197443</v>
      </c>
      <c r="J81">
        <v>-0.46654932708870595</v>
      </c>
      <c r="K81">
        <v>-0.29841127933525674</v>
      </c>
      <c r="L81">
        <v>-0.1845675679011487</v>
      </c>
      <c r="M81">
        <v>1</v>
      </c>
      <c r="N81">
        <v>0.99999999999996103</v>
      </c>
    </row>
    <row r="82" spans="1:14">
      <c r="A82" s="52">
        <f t="shared" ref="A82:A88" si="5">B82-B71</f>
        <v>-1.9723460996697792E-3</v>
      </c>
      <c r="B82">
        <v>2.5752133135575065E-2</v>
      </c>
      <c r="C82">
        <v>2.1024911809543648E-2</v>
      </c>
      <c r="D82">
        <v>9.708989788859583E-3</v>
      </c>
      <c r="E82">
        <v>2.0051438520186461E-2</v>
      </c>
      <c r="F82">
        <v>3.6055081224107166E-2</v>
      </c>
      <c r="G82">
        <v>-6.6411265199676647E-2</v>
      </c>
      <c r="H82">
        <v>1</v>
      </c>
      <c r="I82">
        <v>-0.80534803687605228</v>
      </c>
      <c r="J82">
        <v>-0.25546118597666612</v>
      </c>
      <c r="K82">
        <v>-0.16636097000650962</v>
      </c>
      <c r="L82">
        <v>-0.13909278172912617</v>
      </c>
      <c r="M82">
        <v>0.25606276503543129</v>
      </c>
      <c r="N82">
        <v>0.99999999999997735</v>
      </c>
    </row>
    <row r="83" spans="1:14">
      <c r="A83" s="52">
        <f t="shared" si="5"/>
        <v>-1.216565208502423E-3</v>
      </c>
      <c r="B83">
        <v>1.0506694825943236E-2</v>
      </c>
      <c r="C83">
        <v>9.4589037129283286E-3</v>
      </c>
      <c r="D83">
        <v>3.2908090049246466E-3</v>
      </c>
      <c r="E83">
        <v>8.0493584152420798E-3</v>
      </c>
      <c r="F83">
        <v>1.4832747919978854E-2</v>
      </c>
      <c r="G83">
        <v>-3.2027243978268317E-2</v>
      </c>
      <c r="H83">
        <v>-5.2810710240375362E-2</v>
      </c>
      <c r="I83">
        <v>-3.1561604908742682E-3</v>
      </c>
      <c r="J83">
        <v>9.7332689741819758E-2</v>
      </c>
      <c r="K83">
        <v>1</v>
      </c>
      <c r="L83">
        <v>-0.16636471640626432</v>
      </c>
      <c r="M83">
        <v>0.27026129529383797</v>
      </c>
      <c r="N83">
        <v>0.9999999999999748</v>
      </c>
    </row>
    <row r="84" spans="1:14">
      <c r="A84" s="52">
        <f t="shared" si="5"/>
        <v>-1.433513735374789E-2</v>
      </c>
      <c r="B84">
        <v>0.22239486039546943</v>
      </c>
      <c r="C84">
        <v>3.0195617647310907E-2</v>
      </c>
      <c r="D84">
        <v>0.20206944244261449</v>
      </c>
      <c r="E84">
        <v>0.22462810901865388</v>
      </c>
      <c r="F84">
        <v>0.24565362561139953</v>
      </c>
      <c r="G84">
        <v>-0.96595466512774597</v>
      </c>
      <c r="H84">
        <v>-0.52615608772121014</v>
      </c>
      <c r="I84">
        <v>-0.23258173584935882</v>
      </c>
      <c r="J84">
        <v>-0.10606884840968195</v>
      </c>
      <c r="K84">
        <v>-0.10124492164316849</v>
      </c>
      <c r="L84">
        <v>-0.1260720888586343</v>
      </c>
      <c r="M84">
        <v>-0.73050489928283879</v>
      </c>
      <c r="N84">
        <v>1</v>
      </c>
    </row>
    <row r="85" spans="1:14">
      <c r="A85" s="52">
        <f t="shared" si="5"/>
        <v>1.8761750240787658E-2</v>
      </c>
      <c r="B85">
        <v>3.9015370753610598E-2</v>
      </c>
      <c r="C85">
        <v>3.1497819630237567E-2</v>
      </c>
      <c r="D85">
        <v>1.3054891017695316E-2</v>
      </c>
      <c r="E85">
        <v>3.2734465126261492E-2</v>
      </c>
      <c r="F85">
        <v>5.663832359176009E-2</v>
      </c>
      <c r="G85">
        <v>1</v>
      </c>
      <c r="H85">
        <v>-0.52043360418987061</v>
      </c>
      <c r="I85">
        <v>-0.38113125489747124</v>
      </c>
      <c r="J85">
        <v>-6.6044834864208854E-2</v>
      </c>
      <c r="K85">
        <v>-8.2967559042861155E-2</v>
      </c>
      <c r="L85">
        <v>-0.12697452347066057</v>
      </c>
      <c r="M85">
        <v>-0.60248318281130753</v>
      </c>
      <c r="N85">
        <v>0.99999999999999811</v>
      </c>
    </row>
    <row r="86" spans="1:14">
      <c r="A86" s="52">
        <f t="shared" si="5"/>
        <v>-3.7305861536408164E-4</v>
      </c>
      <c r="B86">
        <v>2.431602064044756E-2</v>
      </c>
      <c r="C86">
        <v>1.9979345294975952E-2</v>
      </c>
      <c r="D86">
        <v>8.3872617909487336E-3</v>
      </c>
      <c r="E86">
        <v>1.8567116588107217E-2</v>
      </c>
      <c r="F86">
        <v>3.5617706840470234E-2</v>
      </c>
      <c r="G86">
        <v>0.10864243118221983</v>
      </c>
      <c r="H86">
        <v>0.67241025375805308</v>
      </c>
      <c r="I86">
        <v>1</v>
      </c>
      <c r="J86">
        <v>-0.19214570763963407</v>
      </c>
      <c r="K86">
        <v>-5.9680799864345616E-2</v>
      </c>
      <c r="L86">
        <v>-0.1180919559718632</v>
      </c>
      <c r="M86">
        <v>-0.54834313593381989</v>
      </c>
      <c r="N86">
        <v>0.99999999999999567</v>
      </c>
    </row>
    <row r="87" spans="1:14">
      <c r="A87" s="52">
        <f t="shared" si="5"/>
        <v>-2.5258412345704577E-3</v>
      </c>
      <c r="B87">
        <v>1.519777966585336E-2</v>
      </c>
      <c r="C87">
        <v>1.2811522748573924E-2</v>
      </c>
      <c r="D87">
        <v>5.490347502499454E-3</v>
      </c>
      <c r="E87">
        <v>1.1479908599796871E-2</v>
      </c>
      <c r="F87">
        <v>2.126896637150464E-2</v>
      </c>
      <c r="G87">
        <v>-3.3278930369906375E-2</v>
      </c>
      <c r="H87">
        <v>2.9833639856236688E-2</v>
      </c>
      <c r="I87">
        <v>9.0855549212733172E-2</v>
      </c>
      <c r="J87">
        <v>1</v>
      </c>
      <c r="K87">
        <v>-0.30657238868528586</v>
      </c>
      <c r="L87">
        <v>-0.13883636566229909</v>
      </c>
      <c r="M87">
        <v>0.28380931676100413</v>
      </c>
      <c r="N87">
        <v>0.99999999999997724</v>
      </c>
    </row>
    <row r="88" spans="1:14">
      <c r="A88" s="52">
        <f t="shared" si="5"/>
        <v>-2.0703110679963195E-4</v>
      </c>
      <c r="B88">
        <v>3.6190867270101896E-3</v>
      </c>
      <c r="C88">
        <v>3.6962620672051621E-3</v>
      </c>
      <c r="D88">
        <v>8.3786822625879498E-4</v>
      </c>
      <c r="E88">
        <v>2.479091508835421E-3</v>
      </c>
      <c r="F88">
        <v>5.4167511277269705E-3</v>
      </c>
      <c r="G88">
        <v>-2.6897789504094008E-3</v>
      </c>
      <c r="H88">
        <v>-2.5178457250259547E-2</v>
      </c>
      <c r="I88">
        <v>1.3552834490491283E-3</v>
      </c>
      <c r="J88">
        <v>-1.1062785762922358E-2</v>
      </c>
      <c r="K88">
        <v>1.5237918577429574E-2</v>
      </c>
      <c r="L88">
        <v>1</v>
      </c>
      <c r="M88">
        <v>7.1197840937748724E-2</v>
      </c>
      <c r="N88">
        <v>0.99999999999997813</v>
      </c>
    </row>
    <row r="91" spans="1:14">
      <c r="G91">
        <v>0.77853146720120359</v>
      </c>
      <c r="H91">
        <v>9.2794789639855435E-2</v>
      </c>
      <c r="I91">
        <v>6.9117810233064403E-2</v>
      </c>
      <c r="J91">
        <v>3.7393777867567812E-2</v>
      </c>
      <c r="K91">
        <v>1.8208263846556272E-2</v>
      </c>
      <c r="L91">
        <v>2.6648679698600963E-3</v>
      </c>
      <c r="M91">
        <v>1.2890232418879544E-3</v>
      </c>
      <c r="N91">
        <v>0</v>
      </c>
    </row>
    <row r="92" spans="1:14">
      <c r="A92" s="52">
        <f>B92-B81</f>
        <v>7.2126096360969338E-4</v>
      </c>
      <c r="B92">
        <v>0.65991931481970034</v>
      </c>
      <c r="C92">
        <v>1.1713791741437414E-2</v>
      </c>
      <c r="D92">
        <v>0.65206629710324859</v>
      </c>
      <c r="E92">
        <v>0.66065876004366542</v>
      </c>
      <c r="F92">
        <v>0.66838708635223076</v>
      </c>
      <c r="G92">
        <v>6.0505618271897163E-3</v>
      </c>
      <c r="H92">
        <v>-0.52772144248445141</v>
      </c>
      <c r="I92">
        <v>4.2346562737140686E-2</v>
      </c>
      <c r="J92">
        <v>-0.44874190465285324</v>
      </c>
      <c r="K92">
        <v>-0.30608845125962675</v>
      </c>
      <c r="L92">
        <v>-0.22538879819603458</v>
      </c>
      <c r="M92">
        <v>1</v>
      </c>
      <c r="N92">
        <v>0.99999999999989275</v>
      </c>
    </row>
    <row r="93" spans="1:14">
      <c r="A93" s="52">
        <f t="shared" ref="A93:A99" si="6">B93-B82</f>
        <v>-1.8118953948643157E-3</v>
      </c>
      <c r="B93">
        <v>2.3940237740710749E-2</v>
      </c>
      <c r="C93">
        <v>1.9581921670432035E-2</v>
      </c>
      <c r="D93">
        <v>8.2069750855350426E-3</v>
      </c>
      <c r="E93">
        <v>1.9718052073865285E-2</v>
      </c>
      <c r="F93">
        <v>3.5734579459054144E-2</v>
      </c>
      <c r="G93">
        <v>-3.9636549520807342E-2</v>
      </c>
      <c r="H93">
        <v>1</v>
      </c>
      <c r="I93">
        <v>-0.33450147765809768</v>
      </c>
      <c r="J93">
        <v>-0.23034397728426526</v>
      </c>
      <c r="K93">
        <v>-0.14177747699865084</v>
      </c>
      <c r="L93">
        <v>-0.15359370469470157</v>
      </c>
      <c r="M93">
        <v>0.25695796347474453</v>
      </c>
      <c r="N93">
        <v>0.99999999999993738</v>
      </c>
    </row>
    <row r="94" spans="1:14">
      <c r="A94" s="52">
        <f t="shared" si="6"/>
        <v>-4.0016331861939675E-4</v>
      </c>
      <c r="B94">
        <v>1.0106531507323839E-2</v>
      </c>
      <c r="C94">
        <v>9.0914365019767567E-3</v>
      </c>
      <c r="D94">
        <v>3.1539748653423294E-3</v>
      </c>
      <c r="E94">
        <v>7.752123439912606E-3</v>
      </c>
      <c r="F94">
        <v>1.4507386119235105E-2</v>
      </c>
      <c r="G94">
        <v>-7.5686897714913551E-3</v>
      </c>
      <c r="H94">
        <v>-5.810304436991668E-2</v>
      </c>
      <c r="I94">
        <v>9.0996228763387931E-3</v>
      </c>
      <c r="J94">
        <v>3.702377688863185E-2</v>
      </c>
      <c r="K94">
        <v>1</v>
      </c>
      <c r="L94">
        <v>-0.12853395777549553</v>
      </c>
      <c r="M94">
        <v>0.23866112451610025</v>
      </c>
      <c r="N94">
        <v>0.99999999999993983</v>
      </c>
    </row>
    <row r="95" spans="1:14">
      <c r="A95" s="52">
        <f t="shared" si="6"/>
        <v>-2.8759831560173588E-2</v>
      </c>
      <c r="B95">
        <v>0.19363502883529585</v>
      </c>
      <c r="C95">
        <v>4.5361278525938034E-2</v>
      </c>
      <c r="D95">
        <v>0.16258715188804312</v>
      </c>
      <c r="E95">
        <v>0.19609267024704363</v>
      </c>
      <c r="F95">
        <v>0.22822315586486497</v>
      </c>
      <c r="G95">
        <v>-0.96175876795531157</v>
      </c>
      <c r="H95">
        <v>-0.29078560806372827</v>
      </c>
      <c r="I95">
        <v>-0.38185934328740473</v>
      </c>
      <c r="J95">
        <v>-8.4241921698135616E-2</v>
      </c>
      <c r="K95">
        <v>-9.412021500572447E-2</v>
      </c>
      <c r="L95">
        <v>-0.11197343111128692</v>
      </c>
      <c r="M95">
        <v>-0.72082777897727268</v>
      </c>
      <c r="N95">
        <v>1</v>
      </c>
    </row>
    <row r="96" spans="1:14">
      <c r="A96" s="52">
        <f t="shared" si="6"/>
        <v>3.5760565651943327E-2</v>
      </c>
      <c r="B96">
        <v>7.4775936405553925E-2</v>
      </c>
      <c r="C96">
        <v>4.7026807986854338E-2</v>
      </c>
      <c r="D96">
        <v>3.9610053939578005E-2</v>
      </c>
      <c r="E96">
        <v>7.1511142091208402E-2</v>
      </c>
      <c r="F96">
        <v>0.10363327434382737</v>
      </c>
      <c r="G96">
        <v>1</v>
      </c>
      <c r="H96">
        <v>-0.23969972643696194</v>
      </c>
      <c r="I96">
        <v>-0.39423548377320738</v>
      </c>
      <c r="J96">
        <v>-6.965707078955008E-2</v>
      </c>
      <c r="K96">
        <v>-8.8730645539219583E-2</v>
      </c>
      <c r="L96">
        <v>-0.11711559749959154</v>
      </c>
      <c r="M96">
        <v>-0.67576093223426115</v>
      </c>
      <c r="N96">
        <v>0.99999999999999734</v>
      </c>
    </row>
    <row r="97" spans="1:14">
      <c r="A97" s="52">
        <f t="shared" si="6"/>
        <v>-4.248989374542933E-3</v>
      </c>
      <c r="B97">
        <v>2.0067031265904627E-2</v>
      </c>
      <c r="C97">
        <v>1.65613833034092E-2</v>
      </c>
      <c r="D97">
        <v>6.7975952823183666E-3</v>
      </c>
      <c r="E97">
        <v>1.5871659420196627E-2</v>
      </c>
      <c r="F97">
        <v>2.9842948416007542E-2</v>
      </c>
      <c r="G97">
        <v>1.451061485240757E-2</v>
      </c>
      <c r="H97">
        <v>0.15289516068102951</v>
      </c>
      <c r="I97">
        <v>1</v>
      </c>
      <c r="J97">
        <v>-0.18305559463951501</v>
      </c>
      <c r="K97">
        <v>-9.908323810376618E-2</v>
      </c>
      <c r="L97">
        <v>-0.114132473433757</v>
      </c>
      <c r="M97">
        <v>-0.51893183216695227</v>
      </c>
      <c r="N97">
        <v>0.99999999999998612</v>
      </c>
    </row>
    <row r="98" spans="1:14">
      <c r="A98" s="52">
        <f t="shared" si="6"/>
        <v>-1.0396410307135194E-3</v>
      </c>
      <c r="B98">
        <v>1.4158138635139841E-2</v>
      </c>
      <c r="C98">
        <v>1.2634945220568797E-2</v>
      </c>
      <c r="D98">
        <v>4.2352344442788108E-3</v>
      </c>
      <c r="E98">
        <v>1.0606087089936499E-2</v>
      </c>
      <c r="F98">
        <v>2.0784205292671231E-2</v>
      </c>
      <c r="G98">
        <v>-1.4775082026882387E-2</v>
      </c>
      <c r="H98">
        <v>-1.7912183059188288E-2</v>
      </c>
      <c r="I98">
        <v>6.4920042698563246E-2</v>
      </c>
      <c r="J98">
        <v>1</v>
      </c>
      <c r="K98">
        <v>-0.23991880423783013</v>
      </c>
      <c r="L98">
        <v>-0.14926203728913709</v>
      </c>
      <c r="M98">
        <v>0.29884581595197457</v>
      </c>
      <c r="N98">
        <v>0.99999999999993516</v>
      </c>
    </row>
    <row r="99" spans="1:14">
      <c r="A99" s="52">
        <f t="shared" si="6"/>
        <v>-2.2130593663961416E-4</v>
      </c>
      <c r="B99">
        <v>3.3977807903705754E-3</v>
      </c>
      <c r="C99">
        <v>3.5539312678250193E-3</v>
      </c>
      <c r="D99">
        <v>8.4336712771830038E-4</v>
      </c>
      <c r="E99">
        <v>2.2043465126511041E-3</v>
      </c>
      <c r="F99">
        <v>4.7293765771237346E-3</v>
      </c>
      <c r="G99">
        <v>3.1779125948952075E-3</v>
      </c>
      <c r="H99">
        <v>-1.867315626678109E-2</v>
      </c>
      <c r="I99">
        <v>-5.769923593332533E-3</v>
      </c>
      <c r="J99">
        <v>-2.0983307824311903E-2</v>
      </c>
      <c r="K99">
        <v>-3.0281168855181884E-2</v>
      </c>
      <c r="L99">
        <v>1</v>
      </c>
      <c r="M99">
        <v>0.12105563943582161</v>
      </c>
      <c r="N99">
        <v>0.99999999999995171</v>
      </c>
    </row>
    <row r="102" spans="1:14">
      <c r="G102">
        <v>0.87459622821329608</v>
      </c>
      <c r="H102">
        <v>5.3502484453403221E-2</v>
      </c>
      <c r="I102">
        <v>3.7702812079998704E-2</v>
      </c>
      <c r="J102">
        <v>2.0951315240738566E-2</v>
      </c>
      <c r="K102">
        <v>9.7050408610497296E-3</v>
      </c>
      <c r="L102">
        <v>2.3171846560694487E-3</v>
      </c>
      <c r="M102">
        <v>1.2249344954404773E-3</v>
      </c>
      <c r="N102">
        <v>0</v>
      </c>
    </row>
    <row r="103" spans="1:14">
      <c r="A103" s="52">
        <f>B103-B92</f>
        <v>3.6716211214969929E-3</v>
      </c>
      <c r="B103">
        <v>0.66359093594119734</v>
      </c>
      <c r="C103">
        <v>1.1638738428658096E-2</v>
      </c>
      <c r="D103">
        <v>0.65534589781809771</v>
      </c>
      <c r="E103">
        <v>0.66371533415515471</v>
      </c>
      <c r="F103">
        <v>0.67150108461749536</v>
      </c>
      <c r="G103">
        <v>-3.9454405643306358E-2</v>
      </c>
      <c r="H103">
        <v>-0.51372769068358815</v>
      </c>
      <c r="I103">
        <v>-2.9572486991000946E-2</v>
      </c>
      <c r="J103">
        <v>-0.56716321598890673</v>
      </c>
      <c r="K103">
        <v>-0.31276292884575663</v>
      </c>
      <c r="L103">
        <v>-0.30628891860679114</v>
      </c>
      <c r="M103">
        <v>1</v>
      </c>
      <c r="N103">
        <v>0.99999999999988043</v>
      </c>
    </row>
    <row r="104" spans="1:14">
      <c r="A104" s="52">
        <f t="shared" ref="A104:A110" si="7">B104-B93</f>
        <v>-1.9993606482233937E-3</v>
      </c>
      <c r="B104">
        <v>2.1940877092487356E-2</v>
      </c>
      <c r="C104">
        <v>1.8175114665238325E-2</v>
      </c>
      <c r="D104">
        <v>8.1912004498346045E-3</v>
      </c>
      <c r="E104">
        <v>1.6940571690727921E-2</v>
      </c>
      <c r="F104">
        <v>3.2530950550533039E-2</v>
      </c>
      <c r="G104">
        <v>-6.8049822141112914E-3</v>
      </c>
      <c r="H104">
        <v>1</v>
      </c>
      <c r="I104">
        <v>-0.21888324554056465</v>
      </c>
      <c r="J104">
        <v>-0.23264069570221971</v>
      </c>
      <c r="K104">
        <v>-0.1810237525014661</v>
      </c>
      <c r="L104">
        <v>-0.16068904571137854</v>
      </c>
      <c r="M104">
        <v>0.23814233705365864</v>
      </c>
      <c r="N104">
        <v>0.9999999999999255</v>
      </c>
    </row>
    <row r="105" spans="1:14">
      <c r="A105" s="52">
        <f t="shared" si="7"/>
        <v>-9.3149968961842022E-4</v>
      </c>
      <c r="B105">
        <v>9.1750318177054192E-3</v>
      </c>
      <c r="C105">
        <v>7.9368310445011511E-3</v>
      </c>
      <c r="D105">
        <v>2.8464081934734368E-3</v>
      </c>
      <c r="E105">
        <v>7.2043889058604916E-3</v>
      </c>
      <c r="F105">
        <v>1.330335575777878E-2</v>
      </c>
      <c r="G105">
        <v>-1.028625368172409E-3</v>
      </c>
      <c r="H105">
        <v>-2.585621145811778E-2</v>
      </c>
      <c r="I105">
        <v>-9.6134154630914706E-5</v>
      </c>
      <c r="J105">
        <v>0.11689446048296634</v>
      </c>
      <c r="K105">
        <v>1</v>
      </c>
      <c r="L105">
        <v>-0.24669347495462662</v>
      </c>
      <c r="M105">
        <v>0.31783335298727866</v>
      </c>
      <c r="N105">
        <v>0.99999999999991962</v>
      </c>
    </row>
    <row r="106" spans="1:14">
      <c r="A106" s="52">
        <f t="shared" si="7"/>
        <v>-6.9320369095241724E-2</v>
      </c>
      <c r="B106">
        <v>0.12431465974005412</v>
      </c>
      <c r="C106">
        <v>6.1559593519280073E-2</v>
      </c>
      <c r="D106">
        <v>7.916015844263366E-2</v>
      </c>
      <c r="E106">
        <v>0.12086522971882538</v>
      </c>
      <c r="F106">
        <v>0.1665667163232751</v>
      </c>
      <c r="G106">
        <v>1</v>
      </c>
      <c r="H106">
        <v>-0.19950664983252653</v>
      </c>
      <c r="I106">
        <v>-0.34357346258338373</v>
      </c>
      <c r="J106">
        <v>-9.0988606709827016E-2</v>
      </c>
      <c r="K106">
        <v>-6.2684629187958141E-2</v>
      </c>
      <c r="L106">
        <v>-3.3735473149642752E-2</v>
      </c>
      <c r="M106">
        <v>-0.8242730802698679</v>
      </c>
      <c r="N106">
        <v>0.99999999999999301</v>
      </c>
    </row>
    <row r="107" spans="1:14">
      <c r="A107" s="52">
        <f t="shared" si="7"/>
        <v>7.0724917816944857E-2</v>
      </c>
      <c r="B107">
        <v>0.14550085422249878</v>
      </c>
      <c r="C107">
        <v>5.6438968035172767E-2</v>
      </c>
      <c r="D107">
        <v>0.10542847293304991</v>
      </c>
      <c r="E107">
        <v>0.14937289096091017</v>
      </c>
      <c r="F107">
        <v>0.18621620040107389</v>
      </c>
      <c r="G107">
        <v>-0.91413913067758334</v>
      </c>
      <c r="H107">
        <v>-0.20500327429035575</v>
      </c>
      <c r="I107">
        <v>-0.40897994475699245</v>
      </c>
      <c r="J107">
        <v>-7.1878751737684751E-2</v>
      </c>
      <c r="K107">
        <v>-5.0624449821973151E-2</v>
      </c>
      <c r="L107">
        <v>-2.2372886452896885E-2</v>
      </c>
      <c r="M107">
        <v>-0.92843977052882454</v>
      </c>
      <c r="N107">
        <v>1</v>
      </c>
    </row>
    <row r="108" spans="1:14">
      <c r="A108" s="52">
        <f t="shared" si="7"/>
        <v>-1.4815894659992099E-3</v>
      </c>
      <c r="B108">
        <v>1.8585441799905417E-2</v>
      </c>
      <c r="C108">
        <v>1.5210690482253573E-2</v>
      </c>
      <c r="D108">
        <v>7.0170786071845999E-3</v>
      </c>
      <c r="E108">
        <v>1.4897482779148648E-2</v>
      </c>
      <c r="F108">
        <v>2.7830648133326266E-2</v>
      </c>
      <c r="G108">
        <v>-3.2922529193377126E-2</v>
      </c>
      <c r="H108">
        <v>5.2344928652639483E-2</v>
      </c>
      <c r="I108">
        <v>1</v>
      </c>
      <c r="J108">
        <v>-0.147273874882388</v>
      </c>
      <c r="K108">
        <v>-8.3435249857579094E-2</v>
      </c>
      <c r="L108">
        <v>-4.3782326096144908E-2</v>
      </c>
      <c r="M108">
        <v>-0.58060464490580455</v>
      </c>
      <c r="N108">
        <v>0.99999999999997502</v>
      </c>
    </row>
    <row r="109" spans="1:14">
      <c r="A109" s="52">
        <f t="shared" si="7"/>
        <v>-8.9960981338125558E-4</v>
      </c>
      <c r="B109">
        <v>1.3258528821758585E-2</v>
      </c>
      <c r="C109">
        <v>1.1251186626896113E-2</v>
      </c>
      <c r="D109">
        <v>4.4639084533143521E-3</v>
      </c>
      <c r="E109">
        <v>1.0861360803506259E-2</v>
      </c>
      <c r="F109">
        <v>1.9498965179612492E-2</v>
      </c>
      <c r="G109">
        <v>-3.422645006010095E-3</v>
      </c>
      <c r="H109">
        <v>-8.1072350403926893E-2</v>
      </c>
      <c r="I109">
        <v>1.8810258982285669E-2</v>
      </c>
      <c r="J109">
        <v>1</v>
      </c>
      <c r="K109">
        <v>-0.35769071467229502</v>
      </c>
      <c r="L109">
        <v>-0.186437875028513</v>
      </c>
      <c r="M109">
        <v>0.361062267744238</v>
      </c>
      <c r="N109">
        <v>0.9999999999999184</v>
      </c>
    </row>
    <row r="110" spans="1:14">
      <c r="A110" s="52">
        <f t="shared" si="7"/>
        <v>2.3588977402229719E-4</v>
      </c>
      <c r="B110">
        <v>3.6336705643928726E-3</v>
      </c>
      <c r="C110">
        <v>3.9925569054567265E-3</v>
      </c>
      <c r="D110">
        <v>7.4267276414194416E-4</v>
      </c>
      <c r="E110">
        <v>2.4153326075811044E-3</v>
      </c>
      <c r="F110">
        <v>5.1991348843472528E-3</v>
      </c>
      <c r="G110">
        <v>-2.2276818974397063E-3</v>
      </c>
      <c r="H110">
        <v>-2.7178751984122895E-2</v>
      </c>
      <c r="I110">
        <v>-1.7704984955710931E-2</v>
      </c>
      <c r="J110">
        <v>-6.9493154619402206E-3</v>
      </c>
      <c r="K110">
        <v>4.8221724887030186E-2</v>
      </c>
      <c r="L110">
        <v>1</v>
      </c>
      <c r="M110">
        <v>0.41627953791953043</v>
      </c>
      <c r="N110">
        <v>0.99999999999990841</v>
      </c>
    </row>
    <row r="113" spans="1:14">
      <c r="G113">
        <v>0.80741595031648572</v>
      </c>
      <c r="H113">
        <v>7.9645430206720103E-2</v>
      </c>
      <c r="I113">
        <v>5.0713448231054059E-2</v>
      </c>
      <c r="J113">
        <v>4.0275108479461807E-2</v>
      </c>
      <c r="K113">
        <v>1.7020083131275565E-2</v>
      </c>
      <c r="L113">
        <v>3.6804761932128782E-3</v>
      </c>
      <c r="M113">
        <v>1.2495034417920881E-3</v>
      </c>
      <c r="N113">
        <v>0</v>
      </c>
    </row>
    <row r="114" spans="1:14">
      <c r="A114" s="52">
        <f>B114-B103</f>
        <v>4.6338210861397444E-3</v>
      </c>
      <c r="B114">
        <v>0.66822475702733708</v>
      </c>
      <c r="C114">
        <v>1.2060575982051997E-2</v>
      </c>
      <c r="D114">
        <v>0.65913345908047383</v>
      </c>
      <c r="E114">
        <v>0.66800043505834938</v>
      </c>
      <c r="F114">
        <v>0.67652557497206411</v>
      </c>
      <c r="G114">
        <v>-9.1776570033297186E-2</v>
      </c>
      <c r="H114">
        <v>-0.60531846673641998</v>
      </c>
      <c r="I114">
        <v>2.7980986432098291E-2</v>
      </c>
      <c r="J114">
        <v>-0.41409922732371934</v>
      </c>
      <c r="K114">
        <v>-0.28494491477154366</v>
      </c>
      <c r="L114">
        <v>-0.22472070599412219</v>
      </c>
      <c r="M114">
        <v>1</v>
      </c>
      <c r="N114">
        <v>0.99999999999987932</v>
      </c>
    </row>
    <row r="115" spans="1:14">
      <c r="A115" s="52">
        <f t="shared" ref="A115:A121" si="8">B115-B104</f>
        <v>-1.4162500447224696E-3</v>
      </c>
      <c r="B115">
        <v>2.0524627047764886E-2</v>
      </c>
      <c r="C115">
        <v>1.6989915226438706E-2</v>
      </c>
      <c r="D115">
        <v>6.9588794106255E-3</v>
      </c>
      <c r="E115">
        <v>1.646688675988529E-2</v>
      </c>
      <c r="F115">
        <v>2.9257892379519777E-2</v>
      </c>
      <c r="G115">
        <v>2.0892944470854878E-3</v>
      </c>
      <c r="H115">
        <v>1</v>
      </c>
      <c r="I115">
        <v>-0.27344539515703509</v>
      </c>
      <c r="J115">
        <v>-0.37410394143263814</v>
      </c>
      <c r="K115">
        <v>-0.13218155167388254</v>
      </c>
      <c r="L115">
        <v>-0.15948888245320431</v>
      </c>
      <c r="M115">
        <v>0.24889373972325368</v>
      </c>
      <c r="N115">
        <v>0.99999999999992784</v>
      </c>
    </row>
    <row r="116" spans="1:14">
      <c r="A116" s="52">
        <f t="shared" si="8"/>
        <v>-8.3825079783049136E-5</v>
      </c>
      <c r="B116">
        <v>9.09120673792237E-3</v>
      </c>
      <c r="C116">
        <v>8.4567193942785956E-3</v>
      </c>
      <c r="D116">
        <v>2.6064650117683008E-3</v>
      </c>
      <c r="E116">
        <v>6.6714444616722841E-3</v>
      </c>
      <c r="F116">
        <v>1.299150160071463E-2</v>
      </c>
      <c r="G116">
        <v>-1.506463059419543E-2</v>
      </c>
      <c r="H116">
        <v>-5.0813165536350957E-2</v>
      </c>
      <c r="I116">
        <v>2.7452746888757529E-2</v>
      </c>
      <c r="J116">
        <v>3.5423930023029342E-2</v>
      </c>
      <c r="K116">
        <v>1</v>
      </c>
      <c r="L116">
        <v>-0.10253841111123048</v>
      </c>
      <c r="M116">
        <v>0.21849817858866494</v>
      </c>
      <c r="N116">
        <v>0.99999999999992661</v>
      </c>
    </row>
    <row r="117" spans="1:14">
      <c r="A117" s="52">
        <f t="shared" si="8"/>
        <v>-5.3834612155981412E-2</v>
      </c>
      <c r="B117">
        <v>7.0480047584072711E-2</v>
      </c>
      <c r="C117">
        <v>4.7696669322540748E-2</v>
      </c>
      <c r="D117">
        <v>3.1627545973837629E-2</v>
      </c>
      <c r="E117">
        <v>6.23286459847531E-2</v>
      </c>
      <c r="F117">
        <v>0.1048761750431471</v>
      </c>
      <c r="G117">
        <v>1</v>
      </c>
      <c r="H117">
        <v>-0.27697769037498637</v>
      </c>
      <c r="I117">
        <v>-0.31606845895489544</v>
      </c>
      <c r="J117">
        <v>-9.1964237481441086E-2</v>
      </c>
      <c r="K117">
        <v>-8.6174058080597568E-2</v>
      </c>
      <c r="L117">
        <v>-0.11277242208799154</v>
      </c>
      <c r="M117">
        <v>-0.63354707854355286</v>
      </c>
      <c r="N117">
        <v>0.99999999999998557</v>
      </c>
    </row>
    <row r="118" spans="1:14">
      <c r="A118" s="52">
        <f t="shared" si="8"/>
        <v>5.2401855973951722E-2</v>
      </c>
      <c r="B118">
        <v>0.1979027101964505</v>
      </c>
      <c r="C118">
        <v>4.1396128174205897E-2</v>
      </c>
      <c r="D118">
        <v>0.16819781950491583</v>
      </c>
      <c r="E118">
        <v>0.20415375596905083</v>
      </c>
      <c r="F118">
        <v>0.23101798531046577</v>
      </c>
      <c r="G118">
        <v>-0.86371180390259894</v>
      </c>
      <c r="H118">
        <v>-0.25581506938186888</v>
      </c>
      <c r="I118">
        <v>-0.38328776286065203</v>
      </c>
      <c r="J118">
        <v>-7.6907702935969185E-2</v>
      </c>
      <c r="K118">
        <v>-8.1725143757749544E-2</v>
      </c>
      <c r="L118">
        <v>-0.10931852550644135</v>
      </c>
      <c r="M118">
        <v>-0.84219533613369491</v>
      </c>
      <c r="N118">
        <v>1</v>
      </c>
    </row>
    <row r="119" spans="1:14">
      <c r="A119" s="52">
        <f t="shared" si="8"/>
        <v>-3.0233454379324683E-3</v>
      </c>
      <c r="B119">
        <v>1.5562096361972949E-2</v>
      </c>
      <c r="C119">
        <v>1.3841733283552012E-2</v>
      </c>
      <c r="D119">
        <v>4.2831070699261252E-3</v>
      </c>
      <c r="E119">
        <v>1.1217298617062912E-2</v>
      </c>
      <c r="F119">
        <v>2.4544966612211162E-2</v>
      </c>
      <c r="G119">
        <v>-1.2399196814584925E-2</v>
      </c>
      <c r="H119">
        <v>0.11290073611065081</v>
      </c>
      <c r="I119">
        <v>1</v>
      </c>
      <c r="J119">
        <v>-7.3392987770062604E-2</v>
      </c>
      <c r="K119">
        <v>-0.13195929782745461</v>
      </c>
      <c r="L119">
        <v>-0.11947967253351287</v>
      </c>
      <c r="M119">
        <v>-0.46185805120485474</v>
      </c>
      <c r="N119">
        <v>0.99999999999997213</v>
      </c>
    </row>
    <row r="120" spans="1:14">
      <c r="A120" s="52">
        <f t="shared" si="8"/>
        <v>1.1553724712292622E-3</v>
      </c>
      <c r="B120">
        <v>1.4413901292987847E-2</v>
      </c>
      <c r="C120">
        <v>1.2430027407316096E-2</v>
      </c>
      <c r="D120">
        <v>4.7177700453957354E-3</v>
      </c>
      <c r="E120">
        <v>1.1252520686330963E-2</v>
      </c>
      <c r="F120">
        <v>2.0985644774258974E-2</v>
      </c>
      <c r="G120">
        <v>-1.2096106439923579E-2</v>
      </c>
      <c r="H120">
        <v>8.8321021289753818E-2</v>
      </c>
      <c r="I120">
        <v>-7.6862958854575378E-2</v>
      </c>
      <c r="J120">
        <v>1</v>
      </c>
      <c r="K120">
        <v>-0.22704154554291386</v>
      </c>
      <c r="L120">
        <v>-0.17168138031348862</v>
      </c>
      <c r="M120">
        <v>0.34316875515338391</v>
      </c>
      <c r="N120">
        <v>0.99999999999992084</v>
      </c>
    </row>
    <row r="121" spans="1:14">
      <c r="A121" s="52">
        <f t="shared" si="8"/>
        <v>1.6698318709857827E-4</v>
      </c>
      <c r="B121">
        <v>3.8006537514914509E-3</v>
      </c>
      <c r="C121">
        <v>3.9864586405228145E-3</v>
      </c>
      <c r="D121">
        <v>7.9239217085461653E-4</v>
      </c>
      <c r="E121">
        <v>2.5218603942906591E-3</v>
      </c>
      <c r="F121">
        <v>5.6510092050387675E-3</v>
      </c>
      <c r="G121">
        <v>-7.0409866624858474E-3</v>
      </c>
      <c r="H121">
        <v>-1.2297365370776867E-2</v>
      </c>
      <c r="I121">
        <v>-5.7691574936964158E-3</v>
      </c>
      <c r="J121">
        <v>-4.9558330791997568E-3</v>
      </c>
      <c r="K121">
        <v>-5.5973488345854833E-2</v>
      </c>
      <c r="L121">
        <v>1</v>
      </c>
      <c r="M121">
        <v>0.12703979241696961</v>
      </c>
      <c r="N121">
        <v>0.99999999999992639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aan_uit</vt:lpstr>
      <vt:lpstr>k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2013-02-14T09:01:45Z</dcterms:modified>
</cp:coreProperties>
</file>