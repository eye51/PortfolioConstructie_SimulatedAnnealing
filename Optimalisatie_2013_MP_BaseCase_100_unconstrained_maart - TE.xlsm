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  <externalReference r:id="rId13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33" i="7"/>
  <c r="E33"/>
  <c r="B31"/>
  <c r="I31"/>
  <c r="B30"/>
  <c r="I30"/>
  <c r="B29"/>
  <c r="I29"/>
  <c r="B28"/>
  <c r="I28"/>
  <c r="B27"/>
  <c r="I27"/>
  <c r="B26"/>
  <c r="I26"/>
  <c r="B25"/>
  <c r="I25"/>
  <c r="B24"/>
  <c r="I24"/>
  <c r="J21" i="11"/>
  <c r="J22"/>
  <c r="J23"/>
  <c r="J24"/>
  <c r="J25"/>
  <c r="J26"/>
  <c r="J27"/>
  <c r="J20"/>
  <c r="D2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P13"/>
  <c r="P12"/>
  <c r="P11"/>
  <c r="P10"/>
  <c r="P9"/>
  <c r="P8"/>
  <c r="P7"/>
  <c r="P6"/>
  <c r="O13"/>
  <c r="O12"/>
  <c r="O11"/>
  <c r="O10"/>
  <c r="O8"/>
  <c r="O7"/>
  <c r="O6"/>
  <c r="H35" i="7"/>
  <c r="I14" i="11"/>
  <c r="B35" i="7"/>
  <c r="C14" i="11"/>
  <c r="D33" i="7"/>
  <c r="I33"/>
  <c r="J12" i="11"/>
  <c r="F33" i="7"/>
  <c r="B33"/>
  <c r="G33"/>
  <c r="H12" i="11"/>
  <c r="H33" i="7"/>
  <c r="I12" i="11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G7" i="9"/>
  <c r="G6"/>
  <c r="G3"/>
  <c r="G4"/>
  <c r="G5"/>
  <c r="G8"/>
  <c r="G9"/>
  <c r="G10"/>
  <c r="A21" i="5"/>
  <c r="A22"/>
  <c r="A23"/>
  <c r="A24"/>
  <c r="A25"/>
  <c r="A26"/>
  <c r="G5"/>
  <c r="H5"/>
  <c r="B11" i="9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C35" i="7"/>
  <c r="D14" i="11"/>
  <c r="G35" i="7"/>
  <c r="H14" i="11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55" i="11"/>
  <c r="K55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51" i="11"/>
  <c r="H28" i="1"/>
  <c r="F30"/>
  <c r="D32"/>
  <c r="K33"/>
  <c r="J56" i="11"/>
  <c r="K56"/>
  <c r="K57"/>
  <c r="J57"/>
  <c r="K53"/>
  <c r="J53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54" i="11"/>
  <c r="K52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I35" i="7"/>
  <c r="J14" i="11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F35" i="7"/>
  <c r="G14" i="11"/>
  <c r="E35" i="7"/>
  <c r="F14" i="11"/>
  <c r="D35" i="7"/>
  <c r="E14" i="11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<sst xmlns="http://schemas.openxmlformats.org/spreadsheetml/2006/main" count="433" uniqueCount="149">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</sst>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6"/>
      <color theme="1"/>
      <name val="Calibri"/>
      <family val="2"/>
    </font>
    <font>
      <sz val="16"/>
      <color rgb="FFFF0000"/>
      <name val="Calibri"/>
      <family val="2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</fonts>
  <fills count="6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4" applyNumberFormat="0" applyFill="0" applyAlignment="0" applyProtection="0"/>
    <xf numFmtId="0" fontId="81" fillId="0" borderId="55" applyNumberFormat="0" applyFill="0" applyAlignment="0" applyProtection="0"/>
    <xf numFmtId="0" fontId="82" fillId="0" borderId="56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7" applyNumberFormat="0" applyAlignment="0" applyProtection="0"/>
    <xf numFmtId="0" fontId="87" fillId="38" borderId="1" applyNumberFormat="0" applyAlignment="0" applyProtection="0"/>
    <xf numFmtId="0" fontId="88" fillId="0" borderId="58" applyNumberFormat="0" applyFill="0" applyAlignment="0" applyProtection="0"/>
    <xf numFmtId="0" fontId="89" fillId="39" borderId="59" applyNumberFormat="0" applyAlignment="0" applyProtection="0"/>
    <xf numFmtId="0" fontId="90" fillId="0" borderId="0" applyNumberFormat="0" applyFill="0" applyBorder="0" applyAlignment="0" applyProtection="0"/>
    <xf numFmtId="0" fontId="1" fillId="40" borderId="60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4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5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6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393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164" fontId="92" fillId="3" borderId="0" xfId="0" applyNumberFormat="1" applyFont="1" applyFill="1" applyBorder="1" applyAlignment="1">
      <alignment horizontal="center"/>
    </xf>
    <xf numFmtId="164" fontId="93" fillId="3" borderId="35" xfId="0" applyNumberFormat="1" applyFont="1" applyFill="1" applyBorder="1" applyAlignment="1">
      <alignment horizontal="center"/>
    </xf>
    <xf numFmtId="164" fontId="92" fillId="3" borderId="0" xfId="0" applyNumberFormat="1" applyFont="1" applyFill="1" applyBorder="1" applyAlignment="1">
      <alignment horizontal="center"/>
    </xf>
    <xf numFmtId="164" fontId="93" fillId="3" borderId="35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99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7"/>
          <c:w val="0.5562682138416909"/>
          <c:h val="0.692582184133050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41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449E-4"/>
                  <c:y val="-8.3464566929134079E-2"/>
                </c:manualLayout>
              </c:layout>
              <c:showVal val="1"/>
            </c:dLbl>
            <c:dLbl>
              <c:idx val="5"/>
              <c:layout>
                <c:manualLayout>
                  <c:x val="2.6391177018773363E-2"/>
                  <c:y val="0.11040230140723949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0.58286489010164844</c:v>
                </c:pt>
                <c:pt idx="1">
                  <c:v>2.1041395285850417E-2</c:v>
                </c:pt>
                <c:pt idx="2">
                  <c:v>0.13824669226833944</c:v>
                </c:pt>
                <c:pt idx="3">
                  <c:v>1.32454093048489E-3</c:v>
                </c:pt>
                <c:pt idx="4">
                  <c:v>5.9579668810771695E-2</c:v>
                </c:pt>
                <c:pt idx="5">
                  <c:v>0.16444314694977685</c:v>
                </c:pt>
                <c:pt idx="6">
                  <c:v>2.8381538622851237E-2</c:v>
                </c:pt>
                <c:pt idx="7">
                  <c:v>4.1181270302766866E-3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7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0.55506710982897367</c:v>
                </c:pt>
                <c:pt idx="1">
                  <c:v>8.9828546996098026E-3</c:v>
                </c:pt>
                <c:pt idx="2">
                  <c:v>7.6541383055763162E-2</c:v>
                </c:pt>
                <c:pt idx="3">
                  <c:v>2.3170116148053135E-4</c:v>
                </c:pt>
                <c:pt idx="4">
                  <c:v>3.0629001508244061E-2</c:v>
                </c:pt>
                <c:pt idx="5">
                  <c:v>0.14282549183764745</c:v>
                </c:pt>
                <c:pt idx="6">
                  <c:v>1.1420359987527176E-2</c:v>
                </c:pt>
                <c:pt idx="7">
                  <c:v>1.0345270745031471E-3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2.7797780272674766E-2</c:v>
                </c:pt>
                <c:pt idx="1">
                  <c:v>1.2058540586240615E-2</c:v>
                </c:pt>
                <c:pt idx="2">
                  <c:v>6.1705309212576276E-2</c:v>
                </c:pt>
                <c:pt idx="3">
                  <c:v>1.0928397690043586E-3</c:v>
                </c:pt>
                <c:pt idx="4">
                  <c:v>2.8950667302527634E-2</c:v>
                </c:pt>
                <c:pt idx="5">
                  <c:v>2.1617655112129402E-2</c:v>
                </c:pt>
                <c:pt idx="6">
                  <c:v>1.6961178635324061E-2</c:v>
                </c:pt>
                <c:pt idx="7">
                  <c:v>3.0835999557735395E-3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2.8857398113746657E-2</c:v>
                </c:pt>
                <c:pt idx="1">
                  <c:v>1.0113723285695812E-2</c:v>
                </c:pt>
                <c:pt idx="2">
                  <c:v>4.7619577924311152E-2</c:v>
                </c:pt>
                <c:pt idx="3">
                  <c:v>5.3525161641732391E-4</c:v>
                </c:pt>
                <c:pt idx="4">
                  <c:v>2.3959725773062136E-2</c:v>
                </c:pt>
                <c:pt idx="5">
                  <c:v>2.2302128387065828E-2</c:v>
                </c:pt>
                <c:pt idx="6">
                  <c:v>1.4135401181403554E-2</c:v>
                </c:pt>
                <c:pt idx="7">
                  <c:v>2.0256183285803113E-3</c:v>
                </c:pt>
              </c:numCache>
            </c:numRef>
          </c:val>
        </c:ser>
        <c:overlap val="100"/>
        <c:axId val="379672448"/>
        <c:axId val="37967872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379672448"/>
        <c:axId val="379678720"/>
      </c:lineChart>
      <c:catAx>
        <c:axId val="379672448"/>
        <c:scaling>
          <c:orientation val="minMax"/>
        </c:scaling>
        <c:axPos val="b"/>
        <c:tickLblPos val="nextTo"/>
        <c:crossAx val="379678720"/>
        <c:crosses val="autoZero"/>
        <c:auto val="1"/>
        <c:lblAlgn val="ctr"/>
        <c:lblOffset val="100"/>
      </c:catAx>
      <c:valAx>
        <c:axId val="379678720"/>
        <c:scaling>
          <c:orientation val="minMax"/>
        </c:scaling>
        <c:axPos val="l"/>
        <c:majorGridlines/>
        <c:numFmt formatCode="0%" sourceLinked="0"/>
        <c:tickLblPos val="nextTo"/>
        <c:crossAx val="37967244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379707392"/>
        <c:axId val="379708928"/>
      </c:barChart>
      <c:catAx>
        <c:axId val="379707392"/>
        <c:scaling>
          <c:orientation val="minMax"/>
        </c:scaling>
        <c:axPos val="b"/>
        <c:tickLblPos val="nextTo"/>
        <c:crossAx val="379708928"/>
        <c:crosses val="autoZero"/>
        <c:auto val="1"/>
        <c:lblAlgn val="ctr"/>
        <c:lblOffset val="100"/>
      </c:catAx>
      <c:valAx>
        <c:axId val="379708928"/>
        <c:scaling>
          <c:orientation val="minMax"/>
        </c:scaling>
        <c:axPos val="l"/>
        <c:majorGridlines/>
        <c:numFmt formatCode="0.0%" sourceLinked="1"/>
        <c:tickLblPos val="nextTo"/>
        <c:crossAx val="379707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26"/>
          <c:y val="0.30999086720262137"/>
          <c:w val="0.27290015295627634"/>
          <c:h val="0.50313982945017688"/>
        </c:manualLayout>
      </c:layout>
    </c:legend>
    <c:plotVisOnly val="1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7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1.2891938175602909E-2</c:v>
                </c:pt>
                <c:pt idx="1">
                  <c:v>0.17021385980185974</c:v>
                </c:pt>
                <c:pt idx="2">
                  <c:v>2.276551998030159E-4</c:v>
                </c:pt>
                <c:pt idx="3">
                  <c:v>5.1324843104687469E-2</c:v>
                </c:pt>
                <c:pt idx="4">
                  <c:v>0.29957925164965754</c:v>
                </c:pt>
                <c:pt idx="5">
                  <c:v>1.6591943830250786E-2</c:v>
                </c:pt>
                <c:pt idx="6">
                  <c:v>1.0707936897168284E-3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3.7567371178579806E-2</c:v>
                </c:pt>
                <c:pt idx="1">
                  <c:v>0.14867616321835628</c:v>
                </c:pt>
                <c:pt idx="2">
                  <c:v>2.9747143689404479E-3</c:v>
                </c:pt>
                <c:pt idx="3">
                  <c:v>9.5724471372967995E-2</c:v>
                </c:pt>
                <c:pt idx="4">
                  <c:v>0.10260859539244727</c:v>
                </c:pt>
                <c:pt idx="5">
                  <c:v>5.1677436783645211E-2</c:v>
                </c:pt>
                <c:pt idx="6">
                  <c:v>8.8709622334841344E-3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3.9293136349354156E-2</c:v>
                </c:pt>
                <c:pt idx="1">
                  <c:v>0.1534381298619954</c:v>
                </c:pt>
                <c:pt idx="2">
                  <c:v>2.9251981347135567E-3</c:v>
                </c:pt>
                <c:pt idx="3">
                  <c:v>9.8983726990963694E-2</c:v>
                </c:pt>
                <c:pt idx="4">
                  <c:v>9.8766320051660583E-2</c:v>
                </c:pt>
                <c:pt idx="5">
                  <c:v>5.6210295018606179E-2</c:v>
                </c:pt>
                <c:pt idx="6">
                  <c:v>1.0384979304909123E-2</c:v>
                </c:pt>
              </c:numCache>
            </c:numRef>
          </c:val>
        </c:ser>
        <c:overlap val="100"/>
        <c:axId val="427367808"/>
        <c:axId val="427423232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427367808"/>
        <c:axId val="427423232"/>
      </c:lineChart>
      <c:catAx>
        <c:axId val="427367808"/>
        <c:scaling>
          <c:orientation val="minMax"/>
        </c:scaling>
        <c:axPos val="b"/>
        <c:numFmt formatCode="General" sourceLinked="1"/>
        <c:tickLblPos val="nextTo"/>
        <c:crossAx val="427423232"/>
        <c:crosses val="autoZero"/>
        <c:auto val="1"/>
        <c:lblAlgn val="ctr"/>
        <c:lblOffset val="100"/>
      </c:catAx>
      <c:valAx>
        <c:axId val="427423232"/>
        <c:scaling>
          <c:orientation val="minMax"/>
        </c:scaling>
        <c:axPos val="l"/>
        <c:majorGridlines/>
        <c:numFmt formatCode="0%" sourceLinked="0"/>
        <c:tickLblPos val="nextTo"/>
        <c:crossAx val="42736780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430053248"/>
        <c:axId val="430054784"/>
      </c:barChart>
      <c:catAx>
        <c:axId val="430053248"/>
        <c:scaling>
          <c:orientation val="minMax"/>
        </c:scaling>
        <c:axPos val="b"/>
        <c:tickLblPos val="nextTo"/>
        <c:crossAx val="430054784"/>
        <c:crosses val="autoZero"/>
        <c:auto val="1"/>
        <c:lblAlgn val="ctr"/>
        <c:lblOffset val="100"/>
      </c:catAx>
      <c:valAx>
        <c:axId val="430054784"/>
        <c:scaling>
          <c:orientation val="minMax"/>
        </c:scaling>
        <c:axPos val="l"/>
        <c:majorGridlines/>
        <c:numFmt formatCode="0.0%" sourceLinked="1"/>
        <c:tickLblPos val="nextTo"/>
        <c:crossAx val="4300532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69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0.5041501877220731</c:v>
                </c:pt>
                <c:pt idx="1">
                  <c:v>5.4021339782501746E-2</c:v>
                </c:pt>
                <c:pt idx="2">
                  <c:v>5.4076466118443092E-2</c:v>
                </c:pt>
                <c:pt idx="3">
                  <c:v>7.2565702246741248E-2</c:v>
                </c:pt>
                <c:pt idx="4">
                  <c:v>3.9419539563663578E-2</c:v>
                </c:pt>
                <c:pt idx="5">
                  <c:v>1.319116307865505E-2</c:v>
                </c:pt>
                <c:pt idx="6">
                  <c:v>3.307824876867542E-2</c:v>
                </c:pt>
                <c:pt idx="7">
                  <c:v>3.7261784966510045E-2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1.2659798148202062E-2</c:v>
                </c:pt>
                <c:pt idx="1">
                  <c:v>3.6053978293622599E-2</c:v>
                </c:pt>
                <c:pt idx="2">
                  <c:v>4.1158551406290864E-2</c:v>
                </c:pt>
                <c:pt idx="3">
                  <c:v>1.9439506342732588E-2</c:v>
                </c:pt>
                <c:pt idx="4">
                  <c:v>1.6386616529416809E-2</c:v>
                </c:pt>
                <c:pt idx="5">
                  <c:v>9.7831300564353643E-3</c:v>
                </c:pt>
                <c:pt idx="6">
                  <c:v>2.699866219967597E-2</c:v>
                </c:pt>
                <c:pt idx="7">
                  <c:v>2.9755324776360406E-2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1.0427291860579224E-2</c:v>
                </c:pt>
                <c:pt idx="1">
                  <c:v>3.2670320929890972E-2</c:v>
                </c:pt>
                <c:pt idx="2">
                  <c:v>3.940128742132909E-2</c:v>
                </c:pt>
                <c:pt idx="3">
                  <c:v>1.9673975619809603E-2</c:v>
                </c:pt>
                <c:pt idx="4">
                  <c:v>1.6361102882502684E-2</c:v>
                </c:pt>
                <c:pt idx="5">
                  <c:v>8.4454520331723633E-3</c:v>
                </c:pt>
                <c:pt idx="6">
                  <c:v>2.2116927321022543E-2</c:v>
                </c:pt>
                <c:pt idx="7">
                  <c:v>2.8600919008673051E-2</c:v>
                </c:pt>
              </c:numCache>
            </c:numRef>
          </c:val>
        </c:ser>
        <c:gapWidth val="100"/>
        <c:overlap val="100"/>
        <c:axId val="459064832"/>
        <c:axId val="459066368"/>
      </c:barChart>
      <c:catAx>
        <c:axId val="459064832"/>
        <c:scaling>
          <c:orientation val="minMax"/>
        </c:scaling>
        <c:axPos val="l"/>
        <c:numFmt formatCode="0%" sourceLinked="1"/>
        <c:tickLblPos val="nextTo"/>
        <c:crossAx val="459066368"/>
        <c:crosses val="autoZero"/>
        <c:auto val="1"/>
        <c:lblAlgn val="ctr"/>
        <c:lblOffset val="100"/>
      </c:catAx>
      <c:valAx>
        <c:axId val="459066368"/>
        <c:scaling>
          <c:orientation val="minMax"/>
        </c:scaling>
        <c:axPos val="b"/>
        <c:majorGridlines/>
        <c:numFmt formatCode="0%" sourceLinked="0"/>
        <c:tickLblPos val="nextTo"/>
        <c:crossAx val="459064832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0.55506710982897367</c:v>
                </c:pt>
                <c:pt idx="1">
                  <c:v>8.9828546996098026E-3</c:v>
                </c:pt>
                <c:pt idx="2">
                  <c:v>7.6541383055763162E-2</c:v>
                </c:pt>
                <c:pt idx="3">
                  <c:v>2.3170116148053135E-4</c:v>
                </c:pt>
                <c:pt idx="4">
                  <c:v>3.0629001508244061E-2</c:v>
                </c:pt>
                <c:pt idx="5">
                  <c:v>0.14282549183764745</c:v>
                </c:pt>
                <c:pt idx="6">
                  <c:v>1.1420359987527176E-2</c:v>
                </c:pt>
                <c:pt idx="7">
                  <c:v>1.0345270745031471E-3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2.7797780272674766E-2</c:v>
                </c:pt>
                <c:pt idx="1">
                  <c:v>1.2058540586240615E-2</c:v>
                </c:pt>
                <c:pt idx="2">
                  <c:v>6.1705309212576276E-2</c:v>
                </c:pt>
                <c:pt idx="3">
                  <c:v>1.0928397690043586E-3</c:v>
                </c:pt>
                <c:pt idx="4">
                  <c:v>2.8950667302527634E-2</c:v>
                </c:pt>
                <c:pt idx="5">
                  <c:v>2.1617655112129402E-2</c:v>
                </c:pt>
                <c:pt idx="6">
                  <c:v>1.6961178635324061E-2</c:v>
                </c:pt>
                <c:pt idx="7">
                  <c:v>3.0835999557735395E-3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2.8857398113746657E-2</c:v>
                </c:pt>
                <c:pt idx="1">
                  <c:v>1.0113723285695812E-2</c:v>
                </c:pt>
                <c:pt idx="2">
                  <c:v>4.7619577924311152E-2</c:v>
                </c:pt>
                <c:pt idx="3">
                  <c:v>5.3525161641732391E-4</c:v>
                </c:pt>
                <c:pt idx="4">
                  <c:v>2.3959725773062136E-2</c:v>
                </c:pt>
                <c:pt idx="5">
                  <c:v>2.2302128387065828E-2</c:v>
                </c:pt>
                <c:pt idx="6">
                  <c:v>1.4135401181403554E-2</c:v>
                </c:pt>
                <c:pt idx="7">
                  <c:v>2.0256183285803113E-3</c:v>
                </c:pt>
              </c:numCache>
            </c:numRef>
          </c:val>
        </c:ser>
        <c:gapWidth val="100"/>
        <c:overlap val="100"/>
        <c:axId val="459091968"/>
        <c:axId val="459093504"/>
      </c:barChart>
      <c:catAx>
        <c:axId val="459091968"/>
        <c:scaling>
          <c:orientation val="minMax"/>
        </c:scaling>
        <c:axPos val="l"/>
        <c:numFmt formatCode="0%" sourceLinked="1"/>
        <c:tickLblPos val="nextTo"/>
        <c:crossAx val="459093504"/>
        <c:crosses val="autoZero"/>
        <c:auto val="1"/>
        <c:lblAlgn val="ctr"/>
        <c:lblOffset val="100"/>
      </c:catAx>
      <c:valAx>
        <c:axId val="459093504"/>
        <c:scaling>
          <c:orientation val="minMax"/>
        </c:scaling>
        <c:axPos val="b"/>
        <c:majorGridlines/>
        <c:numFmt formatCode="0%" sourceLinked="0"/>
        <c:tickLblPos val="nextTo"/>
        <c:crossAx val="4590919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0.55506710982897367</c:v>
                </c:pt>
                <c:pt idx="1">
                  <c:v>8.9828546996098026E-3</c:v>
                </c:pt>
                <c:pt idx="2">
                  <c:v>7.6541383055763162E-2</c:v>
                </c:pt>
                <c:pt idx="3">
                  <c:v>2.3170116148053135E-4</c:v>
                </c:pt>
                <c:pt idx="4">
                  <c:v>3.0629001508244061E-2</c:v>
                </c:pt>
                <c:pt idx="5">
                  <c:v>0.14282549183764745</c:v>
                </c:pt>
                <c:pt idx="6">
                  <c:v>1.1420359987527176E-2</c:v>
                </c:pt>
                <c:pt idx="7">
                  <c:v>1.0345270745031471E-3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2.7797780272674766E-2</c:v>
                </c:pt>
                <c:pt idx="1">
                  <c:v>1.2058540586240615E-2</c:v>
                </c:pt>
                <c:pt idx="2">
                  <c:v>6.1705309212576276E-2</c:v>
                </c:pt>
                <c:pt idx="3">
                  <c:v>1.0928397690043586E-3</c:v>
                </c:pt>
                <c:pt idx="4">
                  <c:v>2.8950667302527634E-2</c:v>
                </c:pt>
                <c:pt idx="5">
                  <c:v>2.1617655112129402E-2</c:v>
                </c:pt>
                <c:pt idx="6">
                  <c:v>1.6961178635324061E-2</c:v>
                </c:pt>
                <c:pt idx="7">
                  <c:v>3.0835999557735395E-3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2.8857398113746657E-2</c:v>
                </c:pt>
                <c:pt idx="1">
                  <c:v>1.0113723285695812E-2</c:v>
                </c:pt>
                <c:pt idx="2">
                  <c:v>4.7619577924311152E-2</c:v>
                </c:pt>
                <c:pt idx="3">
                  <c:v>5.3525161641732391E-4</c:v>
                </c:pt>
                <c:pt idx="4">
                  <c:v>2.3959725773062136E-2</c:v>
                </c:pt>
                <c:pt idx="5">
                  <c:v>2.2302128387065828E-2</c:v>
                </c:pt>
                <c:pt idx="6">
                  <c:v>1.4135401181403554E-2</c:v>
                </c:pt>
                <c:pt idx="7">
                  <c:v>2.0256183285803113E-3</c:v>
                </c:pt>
              </c:numCache>
            </c:numRef>
          </c:val>
        </c:ser>
        <c:gapWidth val="100"/>
        <c:overlap val="100"/>
        <c:axId val="459135616"/>
        <c:axId val="459137408"/>
      </c:barChart>
      <c:catAx>
        <c:axId val="459135616"/>
        <c:scaling>
          <c:orientation val="minMax"/>
        </c:scaling>
        <c:axPos val="l"/>
        <c:numFmt formatCode="0%" sourceLinked="1"/>
        <c:tickLblPos val="nextTo"/>
        <c:crossAx val="459137408"/>
        <c:crosses val="autoZero"/>
        <c:auto val="1"/>
        <c:lblAlgn val="ctr"/>
        <c:lblOffset val="100"/>
      </c:catAx>
      <c:valAx>
        <c:axId val="459137408"/>
        <c:scaling>
          <c:orientation val="minMax"/>
        </c:scaling>
        <c:axPos val="b"/>
        <c:majorGridlines/>
        <c:numFmt formatCode="0%" sourceLinked="0"/>
        <c:tickLblPos val="nextTo"/>
        <c:crossAx val="4591356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0.52974945564612019</c:v>
                </c:pt>
                <c:pt idx="1">
                  <c:v>6.7046876895714078E-2</c:v>
                </c:pt>
                <c:pt idx="2">
                  <c:v>4.5145831640839115E-2</c:v>
                </c:pt>
                <c:pt idx="3">
                  <c:v>1.5282665633842276E-3</c:v>
                </c:pt>
                <c:pt idx="4">
                  <c:v>4.5943052622759571E-2</c:v>
                </c:pt>
                <c:pt idx="5">
                  <c:v>0.11233601207593767</c:v>
                </c:pt>
                <c:pt idx="6">
                  <c:v>4.7845940125862962E-3</c:v>
                </c:pt>
                <c:pt idx="7">
                  <c:v>4.1544173723375624E-3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2.346890713837424E-2</c:v>
                </c:pt>
                <c:pt idx="1">
                  <c:v>5.4062042200235666E-2</c:v>
                </c:pt>
                <c:pt idx="2">
                  <c:v>4.6181201621201831E-2</c:v>
                </c:pt>
                <c:pt idx="3">
                  <c:v>3.8870536018158998E-3</c:v>
                </c:pt>
                <c:pt idx="4">
                  <c:v>2.6664776584772003E-2</c:v>
                </c:pt>
                <c:pt idx="5">
                  <c:v>1.8644667387447425E-2</c:v>
                </c:pt>
                <c:pt idx="6">
                  <c:v>8.1520653973204613E-3</c:v>
                </c:pt>
                <c:pt idx="7">
                  <c:v>8.2507792391537903E-3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2.2991377193555484E-2</c:v>
                </c:pt>
                <c:pt idx="1">
                  <c:v>4.2345569218241938E-2</c:v>
                </c:pt>
                <c:pt idx="2">
                  <c:v>4.1126236930387305E-2</c:v>
                </c:pt>
                <c:pt idx="3">
                  <c:v>1.832529928222729E-3</c:v>
                </c:pt>
                <c:pt idx="4">
                  <c:v>2.5813915137953905E-2</c:v>
                </c:pt>
                <c:pt idx="5">
                  <c:v>1.9268339714664656E-2</c:v>
                </c:pt>
                <c:pt idx="6">
                  <c:v>6.7653044378712703E-3</c:v>
                </c:pt>
                <c:pt idx="7">
                  <c:v>6.4186861548572779E-3</c:v>
                </c:pt>
              </c:numCache>
            </c:numRef>
          </c:val>
        </c:ser>
        <c:gapWidth val="100"/>
        <c:overlap val="100"/>
        <c:axId val="459293824"/>
        <c:axId val="459295360"/>
      </c:barChart>
      <c:catAx>
        <c:axId val="459293824"/>
        <c:scaling>
          <c:orientation val="minMax"/>
        </c:scaling>
        <c:axPos val="l"/>
        <c:tickLblPos val="nextTo"/>
        <c:crossAx val="459295360"/>
        <c:crosses val="autoZero"/>
        <c:auto val="1"/>
        <c:lblAlgn val="ctr"/>
        <c:lblOffset val="100"/>
      </c:catAx>
      <c:valAx>
        <c:axId val="459295360"/>
        <c:scaling>
          <c:orientation val="minMax"/>
        </c:scaling>
        <c:axPos val="b"/>
        <c:majorGridlines/>
        <c:numFmt formatCode="0%" sourceLinked="0"/>
        <c:tickLblPos val="nextTo"/>
        <c:crossAx val="4592938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0.99919514264086562</c:v>
                </c:pt>
                <c:pt idx="1">
                  <c:v>2.5673895276867912E-6</c:v>
                </c:pt>
                <c:pt idx="2">
                  <c:v>7.9034391477616205E-7</c:v>
                </c:pt>
                <c:pt idx="3">
                  <c:v>1.4734755656284183E-7</c:v>
                </c:pt>
                <c:pt idx="4">
                  <c:v>6.5739809471028278E-7</c:v>
                </c:pt>
                <c:pt idx="5">
                  <c:v>3.8469424166382794E-7</c:v>
                </c:pt>
                <c:pt idx="6">
                  <c:v>1.1758641528029485E-5</c:v>
                </c:pt>
                <c:pt idx="7">
                  <c:v>2.6853475670835028E-6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2.2454112047709529E-4</c:v>
                </c:pt>
                <c:pt idx="1">
                  <c:v>7.7228254497478376E-5</c:v>
                </c:pt>
                <c:pt idx="2">
                  <c:v>5.5988804100109129E-5</c:v>
                </c:pt>
                <c:pt idx="3">
                  <c:v>2.9257414373226231E-5</c:v>
                </c:pt>
                <c:pt idx="4">
                  <c:v>6.8026266064349713E-5</c:v>
                </c:pt>
                <c:pt idx="5">
                  <c:v>4.6923274703486545E-5</c:v>
                </c:pt>
                <c:pt idx="6">
                  <c:v>1.856221142569286E-4</c:v>
                </c:pt>
                <c:pt idx="7">
                  <c:v>9.8278948230449764E-5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2.6683685407591362E-4</c:v>
                </c:pt>
                <c:pt idx="1">
                  <c:v>1.843627150030646E-5</c:v>
                </c:pt>
                <c:pt idx="2">
                  <c:v>2.1708476852979727E-5</c:v>
                </c:pt>
                <c:pt idx="3">
                  <c:v>3.3983730585015848E-6</c:v>
                </c:pt>
                <c:pt idx="4">
                  <c:v>1.3036038309545682E-5</c:v>
                </c:pt>
                <c:pt idx="5">
                  <c:v>9.5500414806029169E-6</c:v>
                </c:pt>
                <c:pt idx="6">
                  <c:v>8.5524918740650414E-5</c:v>
                </c:pt>
                <c:pt idx="7">
                  <c:v>2.6861328318938699E-5</c:v>
                </c:pt>
              </c:numCache>
            </c:numRef>
          </c:val>
        </c:ser>
        <c:gapWidth val="100"/>
        <c:overlap val="100"/>
        <c:axId val="459328896"/>
        <c:axId val="459338880"/>
      </c:barChart>
      <c:catAx>
        <c:axId val="459328896"/>
        <c:scaling>
          <c:orientation val="minMax"/>
        </c:scaling>
        <c:axPos val="l"/>
        <c:tickLblPos val="nextTo"/>
        <c:crossAx val="459338880"/>
        <c:crosses val="autoZero"/>
        <c:auto val="1"/>
        <c:lblAlgn val="ctr"/>
        <c:lblOffset val="100"/>
      </c:catAx>
      <c:valAx>
        <c:axId val="459338880"/>
        <c:scaling>
          <c:orientation val="minMax"/>
        </c:scaling>
        <c:axPos val="b"/>
        <c:majorGridlines/>
        <c:numFmt formatCode="0%" sourceLinked="0"/>
        <c:tickLblPos val="nextTo"/>
        <c:crossAx val="45932889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0.87121069852226651</c:v>
                </c:pt>
                <c:pt idx="1">
                  <c:v>1.9871054220069955E-5</c:v>
                </c:pt>
                <c:pt idx="2">
                  <c:v>1.7906890578906845E-5</c:v>
                </c:pt>
                <c:pt idx="3">
                  <c:v>2.7992146321509836E-6</c:v>
                </c:pt>
                <c:pt idx="4">
                  <c:v>3.7473997892271373E-6</c:v>
                </c:pt>
                <c:pt idx="5">
                  <c:v>1.3025302336192744E-6</c:v>
                </c:pt>
                <c:pt idx="6">
                  <c:v>0.12374560106885202</c:v>
                </c:pt>
                <c:pt idx="7">
                  <c:v>5.1458013811603744E-5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1.0582088290900238E-3</c:v>
                </c:pt>
                <c:pt idx="1">
                  <c:v>3.6587142395534634E-4</c:v>
                </c:pt>
                <c:pt idx="2">
                  <c:v>5.1874852044829002E-4</c:v>
                </c:pt>
                <c:pt idx="3">
                  <c:v>2.328171783258428E-4</c:v>
                </c:pt>
                <c:pt idx="4">
                  <c:v>2.7923885972209339E-4</c:v>
                </c:pt>
                <c:pt idx="5">
                  <c:v>2.1160702640480363E-4</c:v>
                </c:pt>
                <c:pt idx="6">
                  <c:v>1.333175813242049E-3</c:v>
                </c:pt>
                <c:pt idx="7">
                  <c:v>9.4694765442709494E-4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8.5159674271806374E-4</c:v>
                </c:pt>
                <c:pt idx="1">
                  <c:v>1.6966727060412323E-4</c:v>
                </c:pt>
                <c:pt idx="2">
                  <c:v>3.0411698296547692E-4</c:v>
                </c:pt>
                <c:pt idx="3">
                  <c:v>5.6744009947684695E-5</c:v>
                </c:pt>
                <c:pt idx="4">
                  <c:v>7.804646271078816E-5</c:v>
                </c:pt>
                <c:pt idx="5">
                  <c:v>3.4833342961832175E-5</c:v>
                </c:pt>
                <c:pt idx="6">
                  <c:v>1.375018083908941E-3</c:v>
                </c:pt>
                <c:pt idx="7">
                  <c:v>4.4134475139556012E-4</c:v>
                </c:pt>
              </c:numCache>
            </c:numRef>
          </c:val>
        </c:ser>
        <c:gapWidth val="100"/>
        <c:overlap val="100"/>
        <c:axId val="461232000"/>
        <c:axId val="461233536"/>
      </c:barChart>
      <c:catAx>
        <c:axId val="461232000"/>
        <c:scaling>
          <c:orientation val="minMax"/>
        </c:scaling>
        <c:axPos val="l"/>
        <c:tickLblPos val="nextTo"/>
        <c:crossAx val="461233536"/>
        <c:crosses val="autoZero"/>
        <c:auto val="1"/>
        <c:lblAlgn val="ctr"/>
        <c:lblOffset val="100"/>
      </c:catAx>
      <c:valAx>
        <c:axId val="461233536"/>
        <c:scaling>
          <c:orientation val="minMax"/>
        </c:scaling>
        <c:axPos val="b"/>
        <c:majorGridlines/>
        <c:numFmt formatCode="0%" sourceLinked="0"/>
        <c:tickLblPos val="nextTo"/>
        <c:crossAx val="4612320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0.74004955320959476</c:v>
                </c:pt>
                <c:pt idx="1">
                  <c:v>2.937713646746631E-4</c:v>
                </c:pt>
                <c:pt idx="2">
                  <c:v>1.4381734692786702E-3</c:v>
                </c:pt>
                <c:pt idx="3">
                  <c:v>1.1167113836770993E-5</c:v>
                </c:pt>
                <c:pt idx="4">
                  <c:v>4.5138861346366073E-4</c:v>
                </c:pt>
                <c:pt idx="5">
                  <c:v>0.16676981790691425</c:v>
                </c:pt>
                <c:pt idx="6">
                  <c:v>2.0800496043446347E-3</c:v>
                </c:pt>
                <c:pt idx="7">
                  <c:v>3.5871469506977484E-4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4.198979273227732E-2</c:v>
                </c:pt>
                <c:pt idx="1">
                  <c:v>1.3330773447690646E-3</c:v>
                </c:pt>
                <c:pt idx="2">
                  <c:v>3.6280398779655917E-3</c:v>
                </c:pt>
                <c:pt idx="3">
                  <c:v>3.6749963187789791E-4</c:v>
                </c:pt>
                <c:pt idx="4">
                  <c:v>2.0950110354006654E-3</c:v>
                </c:pt>
                <c:pt idx="5">
                  <c:v>3.3489239383910796E-2</c:v>
                </c:pt>
                <c:pt idx="6">
                  <c:v>4.0418029676840437E-3</c:v>
                </c:pt>
                <c:pt idx="7">
                  <c:v>1.6029010489370336E-3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3.5643935854980158E-2</c:v>
                </c:pt>
                <c:pt idx="1">
                  <c:v>8.4216004271604858E-4</c:v>
                </c:pt>
                <c:pt idx="2">
                  <c:v>1.770531048247947E-3</c:v>
                </c:pt>
                <c:pt idx="3">
                  <c:v>1.1535592264414753E-4</c:v>
                </c:pt>
                <c:pt idx="4">
                  <c:v>1.2712450039089828E-3</c:v>
                </c:pt>
                <c:pt idx="5">
                  <c:v>3.962544567635401E-2</c:v>
                </c:pt>
                <c:pt idx="6">
                  <c:v>2.3976854155145916E-3</c:v>
                </c:pt>
                <c:pt idx="7">
                  <c:v>8.7697138531908289E-4</c:v>
                </c:pt>
              </c:numCache>
            </c:numRef>
          </c:val>
        </c:ser>
        <c:gapWidth val="100"/>
        <c:overlap val="100"/>
        <c:axId val="461259136"/>
        <c:axId val="461260672"/>
      </c:barChart>
      <c:catAx>
        <c:axId val="461259136"/>
        <c:scaling>
          <c:orientation val="minMax"/>
        </c:scaling>
        <c:axPos val="l"/>
        <c:numFmt formatCode="0%" sourceLinked="1"/>
        <c:tickLblPos val="nextTo"/>
        <c:crossAx val="461260672"/>
        <c:crosses val="autoZero"/>
        <c:auto val="1"/>
        <c:lblAlgn val="ctr"/>
        <c:lblOffset val="100"/>
      </c:catAx>
      <c:valAx>
        <c:axId val="461260672"/>
        <c:scaling>
          <c:orientation val="minMax"/>
        </c:scaling>
        <c:axPos val="b"/>
        <c:majorGridlines/>
        <c:numFmt formatCode="0%" sourceLinked="0"/>
        <c:tickLblPos val="nextTo"/>
        <c:crossAx val="4612591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0.69578798891479521</c:v>
                </c:pt>
                <c:pt idx="1">
                  <c:v>5.8395513834443448E-2</c:v>
                </c:pt>
                <c:pt idx="2">
                  <c:v>1.5871659053858277E-3</c:v>
                </c:pt>
                <c:pt idx="3">
                  <c:v>1.9427346504240916E-4</c:v>
                </c:pt>
                <c:pt idx="4">
                  <c:v>2.5555750510417128E-4</c:v>
                </c:pt>
                <c:pt idx="5">
                  <c:v>6.5984173392167722E-2</c:v>
                </c:pt>
                <c:pt idx="6">
                  <c:v>3.6873749491835958E-2</c:v>
                </c:pt>
                <c:pt idx="7">
                  <c:v>1.13704447681858E-2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1.0646920349113409E-2</c:v>
                </c:pt>
                <c:pt idx="1">
                  <c:v>3.9115540089317703E-2</c:v>
                </c:pt>
                <c:pt idx="2">
                  <c:v>5.5507825302851237E-3</c:v>
                </c:pt>
                <c:pt idx="3">
                  <c:v>2.3511925417599826E-3</c:v>
                </c:pt>
                <c:pt idx="4">
                  <c:v>2.1958990472908534E-3</c:v>
                </c:pt>
                <c:pt idx="5">
                  <c:v>9.9374262273044106E-3</c:v>
                </c:pt>
                <c:pt idx="6">
                  <c:v>3.6303393396041397E-2</c:v>
                </c:pt>
                <c:pt idx="7">
                  <c:v>2.3449978541926299E-2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9.8149446039154098E-3</c:v>
                </c:pt>
                <c:pt idx="1">
                  <c:v>4.0654547782112596E-2</c:v>
                </c:pt>
                <c:pt idx="2">
                  <c:v>3.4122415376959337E-3</c:v>
                </c:pt>
                <c:pt idx="3">
                  <c:v>1.2172458443927827E-3</c:v>
                </c:pt>
                <c:pt idx="4">
                  <c:v>1.0203884353713545E-3</c:v>
                </c:pt>
                <c:pt idx="5">
                  <c:v>9.1893161367205406E-3</c:v>
                </c:pt>
                <c:pt idx="6">
                  <c:v>3.5760659035954323E-2</c:v>
                </c:pt>
                <c:pt idx="7">
                  <c:v>1.6768047705594431E-2</c:v>
                </c:pt>
              </c:numCache>
            </c:numRef>
          </c:val>
        </c:ser>
        <c:gapWidth val="100"/>
        <c:overlap val="100"/>
        <c:axId val="461286016"/>
        <c:axId val="461291904"/>
      </c:barChart>
      <c:catAx>
        <c:axId val="461286016"/>
        <c:scaling>
          <c:orientation val="minMax"/>
        </c:scaling>
        <c:axPos val="l"/>
        <c:tickLblPos val="nextTo"/>
        <c:crossAx val="461291904"/>
        <c:crosses val="autoZero"/>
        <c:auto val="1"/>
        <c:lblAlgn val="ctr"/>
        <c:lblOffset val="100"/>
      </c:catAx>
      <c:valAx>
        <c:axId val="461291904"/>
        <c:scaling>
          <c:orientation val="minMax"/>
        </c:scaling>
        <c:axPos val="b"/>
        <c:majorGridlines/>
        <c:numFmt formatCode="0%" sourceLinked="0"/>
        <c:tickLblPos val="nextTo"/>
        <c:crossAx val="4612860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8.302828861533755E-2</c:v>
                </c:pt>
                <c:pt idx="1">
                  <c:v>8.3211826606491859E-2</c:v>
                </c:pt>
                <c:pt idx="2">
                  <c:v>0.12938338449220244</c:v>
                </c:pt>
                <c:pt idx="3">
                  <c:v>6.6193472978205686E-2</c:v>
                </c:pt>
                <c:pt idx="4">
                  <c:v>2.0955085814503345E-2</c:v>
                </c:pt>
                <c:pt idx="5">
                  <c:v>5.0170973932195058E-2</c:v>
                </c:pt>
                <c:pt idx="6">
                  <c:v>5.7489677535642388E-2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0.10284789820341837</c:v>
                </c:pt>
                <c:pt idx="1">
                  <c:v>0.11271821173945233</c:v>
                </c:pt>
                <c:pt idx="2">
                  <c:v>6.2116661023605857E-2</c:v>
                </c:pt>
                <c:pt idx="3">
                  <c:v>5.00726021382015E-2</c:v>
                </c:pt>
                <c:pt idx="4">
                  <c:v>2.6695835397199982E-2</c:v>
                </c:pt>
                <c:pt idx="5">
                  <c:v>7.3833901878356173E-2</c:v>
                </c:pt>
                <c:pt idx="6">
                  <c:v>8.1282179645186775E-2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0.10815496636660052</c:v>
                </c:pt>
                <c:pt idx="1">
                  <c:v>0.11118480023272864</c:v>
                </c:pt>
                <c:pt idx="2">
                  <c:v>6.0664358759547954E-2</c:v>
                </c:pt>
                <c:pt idx="3">
                  <c:v>5.1831903078413177E-2</c:v>
                </c:pt>
                <c:pt idx="4">
                  <c:v>2.560782274237746E-2</c:v>
                </c:pt>
                <c:pt idx="5">
                  <c:v>7.4500841731917511E-2</c:v>
                </c:pt>
                <c:pt idx="6">
                  <c:v>8.5789770113700564E-2</c:v>
                </c:pt>
              </c:numCache>
            </c:numRef>
          </c:val>
        </c:ser>
        <c:gapWidth val="101"/>
        <c:overlap val="100"/>
        <c:axId val="461641216"/>
        <c:axId val="461642752"/>
      </c:barChart>
      <c:catAx>
        <c:axId val="461641216"/>
        <c:scaling>
          <c:orientation val="minMax"/>
        </c:scaling>
        <c:axPos val="l"/>
        <c:tickLblPos val="nextTo"/>
        <c:crossAx val="461642752"/>
        <c:crosses val="autoZero"/>
        <c:auto val="1"/>
        <c:lblAlgn val="ctr"/>
        <c:lblOffset val="100"/>
      </c:catAx>
      <c:valAx>
        <c:axId val="461642752"/>
        <c:scaling>
          <c:orientation val="minMax"/>
        </c:scaling>
        <c:axPos val="b"/>
        <c:majorGridlines/>
        <c:numFmt formatCode="0%" sourceLinked="0"/>
        <c:tickLblPos val="nextTo"/>
        <c:crossAx val="46164121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1.2891938175602909E-2</c:v>
                </c:pt>
                <c:pt idx="1">
                  <c:v>0.17021385980185974</c:v>
                </c:pt>
                <c:pt idx="2">
                  <c:v>2.276551998030159E-4</c:v>
                </c:pt>
                <c:pt idx="3">
                  <c:v>5.1324843104687469E-2</c:v>
                </c:pt>
                <c:pt idx="4">
                  <c:v>0.29957925164965754</c:v>
                </c:pt>
                <c:pt idx="5">
                  <c:v>1.6591943830250786E-2</c:v>
                </c:pt>
                <c:pt idx="6">
                  <c:v>1.0707936897168284E-3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3.7567371178579806E-2</c:v>
                </c:pt>
                <c:pt idx="1">
                  <c:v>0.14867616321835628</c:v>
                </c:pt>
                <c:pt idx="2">
                  <c:v>2.9747143689404479E-3</c:v>
                </c:pt>
                <c:pt idx="3">
                  <c:v>9.5724471372967995E-2</c:v>
                </c:pt>
                <c:pt idx="4">
                  <c:v>0.10260859539244727</c:v>
                </c:pt>
                <c:pt idx="5">
                  <c:v>5.1677436783645211E-2</c:v>
                </c:pt>
                <c:pt idx="6">
                  <c:v>8.8709622334841344E-3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3.9293136349354156E-2</c:v>
                </c:pt>
                <c:pt idx="1">
                  <c:v>0.1534381298619954</c:v>
                </c:pt>
                <c:pt idx="2">
                  <c:v>2.9251981347135567E-3</c:v>
                </c:pt>
                <c:pt idx="3">
                  <c:v>9.8983726990963694E-2</c:v>
                </c:pt>
                <c:pt idx="4">
                  <c:v>9.8766320051660583E-2</c:v>
                </c:pt>
                <c:pt idx="5">
                  <c:v>5.6210295018606179E-2</c:v>
                </c:pt>
                <c:pt idx="6">
                  <c:v>1.0384979304909123E-2</c:v>
                </c:pt>
              </c:numCache>
            </c:numRef>
          </c:val>
        </c:ser>
        <c:gapWidth val="101"/>
        <c:overlap val="100"/>
        <c:axId val="461672448"/>
        <c:axId val="461673984"/>
      </c:barChart>
      <c:catAx>
        <c:axId val="461672448"/>
        <c:scaling>
          <c:orientation val="minMax"/>
        </c:scaling>
        <c:axPos val="l"/>
        <c:tickLblPos val="nextTo"/>
        <c:crossAx val="461673984"/>
        <c:crosses val="autoZero"/>
        <c:auto val="1"/>
        <c:lblAlgn val="ctr"/>
        <c:lblOffset val="100"/>
      </c:catAx>
      <c:valAx>
        <c:axId val="461673984"/>
        <c:scaling>
          <c:orientation val="minMax"/>
        </c:scaling>
        <c:axPos val="b"/>
        <c:majorGridlines/>
        <c:numFmt formatCode="0%" sourceLinked="0"/>
        <c:tickLblPos val="nextTo"/>
        <c:crossAx val="4616724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6.3995498171509808E-4</c:v>
                </c:pt>
                <c:pt idx="1">
                  <c:v>4.3866860784712945E-3</c:v>
                </c:pt>
                <c:pt idx="2">
                  <c:v>1.3732210992583017E-5</c:v>
                </c:pt>
                <c:pt idx="3">
                  <c:v>1.0441363439607613E-3</c:v>
                </c:pt>
                <c:pt idx="4">
                  <c:v>0.88476631331390565</c:v>
                </c:pt>
                <c:pt idx="5">
                  <c:v>5.498320483394087E-3</c:v>
                </c:pt>
                <c:pt idx="6">
                  <c:v>7.6068992311731213E-4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6.7538449987809565E-3</c:v>
                </c:pt>
                <c:pt idx="1">
                  <c:v>1.8560460225433478E-2</c:v>
                </c:pt>
                <c:pt idx="2">
                  <c:v>1.7543746233895218E-3</c:v>
                </c:pt>
                <c:pt idx="3">
                  <c:v>1.1022798737132234E-2</c:v>
                </c:pt>
                <c:pt idx="4">
                  <c:v>3.4182291625358019E-2</c:v>
                </c:pt>
                <c:pt idx="5">
                  <c:v>2.2280850942690951E-2</c:v>
                </c:pt>
                <c:pt idx="6">
                  <c:v>8.3355455116567376E-3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7.2944691315802715E-3</c:v>
                </c:pt>
                <c:pt idx="1">
                  <c:v>1.962271627232532E-2</c:v>
                </c:pt>
                <c:pt idx="2">
                  <c:v>1.8699105850811539E-3</c:v>
                </c:pt>
                <c:pt idx="3">
                  <c:v>1.2560010015083624E-2</c:v>
                </c:pt>
                <c:pt idx="4">
                  <c:v>3.2964245639173662E-2</c:v>
                </c:pt>
                <c:pt idx="5">
                  <c:v>2.4172574256864834E-2</c:v>
                </c:pt>
                <c:pt idx="6">
                  <c:v>8.6798287224768515E-3</c:v>
                </c:pt>
              </c:numCache>
            </c:numRef>
          </c:val>
        </c:ser>
        <c:gapWidth val="101"/>
        <c:overlap val="100"/>
        <c:axId val="461707520"/>
        <c:axId val="461713408"/>
      </c:barChart>
      <c:catAx>
        <c:axId val="461707520"/>
        <c:scaling>
          <c:orientation val="minMax"/>
        </c:scaling>
        <c:axPos val="l"/>
        <c:tickLblPos val="nextTo"/>
        <c:crossAx val="461713408"/>
        <c:crosses val="autoZero"/>
        <c:auto val="1"/>
        <c:lblAlgn val="ctr"/>
        <c:lblOffset val="100"/>
      </c:catAx>
      <c:valAx>
        <c:axId val="461713408"/>
        <c:scaling>
          <c:orientation val="minMax"/>
        </c:scaling>
        <c:axPos val="b"/>
        <c:majorGridlines/>
        <c:numFmt formatCode="0%" sourceLinked="0"/>
        <c:tickLblPos val="nextTo"/>
        <c:crossAx val="46170752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0.12636060814086822</c:v>
                </c:pt>
                <c:pt idx="1">
                  <c:v>7.565785816112211E-2</c:v>
                </c:pt>
                <c:pt idx="2">
                  <c:v>2.0048355668820274E-3</c:v>
                </c:pt>
                <c:pt idx="3">
                  <c:v>7.163287110782729E-2</c:v>
                </c:pt>
                <c:pt idx="4">
                  <c:v>0.22212297973403641</c:v>
                </c:pt>
                <c:pt idx="5">
                  <c:v>6.6235517618896747E-3</c:v>
                </c:pt>
                <c:pt idx="6">
                  <c:v>4.6029348125125784E-3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0.13874372244806674</c:v>
                </c:pt>
                <c:pt idx="1">
                  <c:v>0.12603950635588893</c:v>
                </c:pt>
                <c:pt idx="2">
                  <c:v>1.0219388437366979E-2</c:v>
                </c:pt>
                <c:pt idx="3">
                  <c:v>9.5262269967979568E-2</c:v>
                </c:pt>
                <c:pt idx="4">
                  <c:v>7.4636038503344687E-2</c:v>
                </c:pt>
                <c:pt idx="5">
                  <c:v>2.2564089003864841E-2</c:v>
                </c:pt>
                <c:pt idx="6">
                  <c:v>2.3529345998349743E-2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0.13724237549717294</c:v>
                </c:pt>
                <c:pt idx="1">
                  <c:v>0.14171530640919094</c:v>
                </c:pt>
                <c:pt idx="2">
                  <c:v>9.5434111508898925E-3</c:v>
                </c:pt>
                <c:pt idx="3">
                  <c:v>9.3355848209016962E-2</c:v>
                </c:pt>
                <c:pt idx="4">
                  <c:v>6.8389575733721009E-2</c:v>
                </c:pt>
                <c:pt idx="5">
                  <c:v>2.410784522014825E-2</c:v>
                </c:pt>
                <c:pt idx="6">
                  <c:v>2.4144243127243618E-2</c:v>
                </c:pt>
              </c:numCache>
            </c:numRef>
          </c:val>
        </c:ser>
        <c:gapWidth val="100"/>
        <c:overlap val="100"/>
        <c:axId val="461742848"/>
        <c:axId val="461744384"/>
      </c:barChart>
      <c:catAx>
        <c:axId val="461742848"/>
        <c:scaling>
          <c:orientation val="minMax"/>
        </c:scaling>
        <c:axPos val="l"/>
        <c:tickLblPos val="nextTo"/>
        <c:crossAx val="461744384"/>
        <c:crosses val="autoZero"/>
        <c:auto val="1"/>
        <c:lblAlgn val="ctr"/>
        <c:lblOffset val="100"/>
      </c:catAx>
      <c:valAx>
        <c:axId val="461744384"/>
        <c:scaling>
          <c:orientation val="minMax"/>
        </c:scaling>
        <c:axPos val="b"/>
        <c:majorGridlines/>
        <c:numFmt formatCode="0%" sourceLinked="0"/>
        <c:tickLblPos val="nextTo"/>
        <c:crossAx val="461742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8.9043719100477515E-4</c:v>
                </c:pt>
                <c:pt idx="1">
                  <c:v>1.9987881910172155E-4</c:v>
                </c:pt>
                <c:pt idx="2">
                  <c:v>2.5988629831490177E-5</c:v>
                </c:pt>
                <c:pt idx="3">
                  <c:v>1.7754497149607726E-4</c:v>
                </c:pt>
                <c:pt idx="4">
                  <c:v>1.8160799380167572E-4</c:v>
                </c:pt>
                <c:pt idx="5">
                  <c:v>8.5848059408954076E-3</c:v>
                </c:pt>
                <c:pt idx="6">
                  <c:v>1.4702125394448942E-3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0.14900257447894705</c:v>
                </c:pt>
                <c:pt idx="1">
                  <c:v>0.11435897256965864</c:v>
                </c:pt>
                <c:pt idx="2">
                  <c:v>6.3872806948369734E-2</c:v>
                </c:pt>
                <c:pt idx="3">
                  <c:v>0.12247164649242841</c:v>
                </c:pt>
                <c:pt idx="4">
                  <c:v>9.2380067378003403E-2</c:v>
                </c:pt>
                <c:pt idx="5">
                  <c:v>0.27748387637607813</c:v>
                </c:pt>
                <c:pt idx="6">
                  <c:v>0.16889957967061867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0.19141588384097694</c:v>
                </c:pt>
                <c:pt idx="1">
                  <c:v>0.14490729376536454</c:v>
                </c:pt>
                <c:pt idx="2">
                  <c:v>5.2721434900288661E-2</c:v>
                </c:pt>
                <c:pt idx="3">
                  <c:v>0.16157365409297353</c:v>
                </c:pt>
                <c:pt idx="4">
                  <c:v>0.11765724567793311</c:v>
                </c:pt>
                <c:pt idx="5">
                  <c:v>0.33311731841464626</c:v>
                </c:pt>
                <c:pt idx="6">
                  <c:v>0.19223433096370854</c:v>
                </c:pt>
              </c:numCache>
            </c:numRef>
          </c:val>
        </c:ser>
        <c:gapWidth val="100"/>
        <c:overlap val="100"/>
        <c:axId val="461970432"/>
        <c:axId val="461972224"/>
      </c:barChart>
      <c:catAx>
        <c:axId val="461970432"/>
        <c:scaling>
          <c:orientation val="minMax"/>
        </c:scaling>
        <c:axPos val="l"/>
        <c:tickLblPos val="nextTo"/>
        <c:crossAx val="461972224"/>
        <c:crosses val="autoZero"/>
        <c:auto val="1"/>
        <c:lblAlgn val="ctr"/>
        <c:lblOffset val="100"/>
      </c:catAx>
      <c:valAx>
        <c:axId val="461972224"/>
        <c:scaling>
          <c:orientation val="minMax"/>
        </c:scaling>
        <c:axPos val="b"/>
        <c:majorGridlines/>
        <c:numFmt formatCode="0%" sourceLinked="0"/>
        <c:tickLblPos val="nextTo"/>
        <c:crossAx val="4619704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1.2891938175602909E-2</c:v>
                </c:pt>
                <c:pt idx="1">
                  <c:v>0.17021385980185974</c:v>
                </c:pt>
                <c:pt idx="2">
                  <c:v>2.276551998030159E-4</c:v>
                </c:pt>
                <c:pt idx="3">
                  <c:v>5.1324843104687469E-2</c:v>
                </c:pt>
                <c:pt idx="4">
                  <c:v>0.29957925164965754</c:v>
                </c:pt>
                <c:pt idx="5">
                  <c:v>1.6591943830250786E-2</c:v>
                </c:pt>
                <c:pt idx="6">
                  <c:v>1.0707936897168284E-3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3.7567371178579806E-2</c:v>
                </c:pt>
                <c:pt idx="1">
                  <c:v>0.14867616321835628</c:v>
                </c:pt>
                <c:pt idx="2">
                  <c:v>2.9747143689404479E-3</c:v>
                </c:pt>
                <c:pt idx="3">
                  <c:v>9.5724471372967995E-2</c:v>
                </c:pt>
                <c:pt idx="4">
                  <c:v>0.10260859539244727</c:v>
                </c:pt>
                <c:pt idx="5">
                  <c:v>5.1677436783645211E-2</c:v>
                </c:pt>
                <c:pt idx="6">
                  <c:v>8.8709622334841344E-3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3.9293136349354156E-2</c:v>
                </c:pt>
                <c:pt idx="1">
                  <c:v>0.1534381298619954</c:v>
                </c:pt>
                <c:pt idx="2">
                  <c:v>2.9251981347135567E-3</c:v>
                </c:pt>
                <c:pt idx="3">
                  <c:v>9.8983726990963694E-2</c:v>
                </c:pt>
                <c:pt idx="4">
                  <c:v>9.8766320051660583E-2</c:v>
                </c:pt>
                <c:pt idx="5">
                  <c:v>5.6210295018606179E-2</c:v>
                </c:pt>
                <c:pt idx="6">
                  <c:v>1.0384979304909123E-2</c:v>
                </c:pt>
              </c:numCache>
            </c:numRef>
          </c:val>
        </c:ser>
        <c:gapWidth val="100"/>
        <c:overlap val="100"/>
        <c:axId val="462013952"/>
        <c:axId val="462015488"/>
      </c:barChart>
      <c:catAx>
        <c:axId val="462013952"/>
        <c:scaling>
          <c:orientation val="minMax"/>
        </c:scaling>
        <c:axPos val="l"/>
        <c:tickLblPos val="nextTo"/>
        <c:crossAx val="462015488"/>
        <c:crosses val="autoZero"/>
        <c:auto val="1"/>
        <c:lblAlgn val="ctr"/>
        <c:lblOffset val="100"/>
      </c:catAx>
      <c:valAx>
        <c:axId val="462015488"/>
        <c:scaling>
          <c:orientation val="minMax"/>
        </c:scaling>
        <c:axPos val="b"/>
        <c:majorGridlines/>
        <c:numFmt formatCode="0%" sourceLinked="0"/>
        <c:tickLblPos val="nextTo"/>
        <c:crossAx val="4620139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5.0459309354182712E-2</c:v>
                </c:pt>
                <c:pt idx="1">
                  <c:v>0.31889002302021602</c:v>
                </c:pt>
                <c:pt idx="2">
                  <c:v>3.2023695687434638E-3</c:v>
                </c:pt>
                <c:pt idx="3">
                  <c:v>0.14704931447765546</c:v>
                </c:pt>
                <c:pt idx="4">
                  <c:v>0.40218784704210481</c:v>
                </c:pt>
                <c:pt idx="5">
                  <c:v>6.8269380613895994E-2</c:v>
                </c:pt>
                <c:pt idx="6">
                  <c:v>9.9417559232009619E-3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0.14884150944571478</c:v>
                </c:pt>
                <c:pt idx="1">
                  <c:v>2.1745075601085017E-3</c:v>
                </c:pt>
                <c:pt idx="2">
                  <c:v>2.2963457884190758E-4</c:v>
                </c:pt>
                <c:pt idx="3">
                  <c:v>3.3622205787612138E-4</c:v>
                </c:pt>
                <c:pt idx="4">
                  <c:v>0.20113613245418732</c:v>
                </c:pt>
                <c:pt idx="5">
                  <c:v>8.2832160360182774E-2</c:v>
                </c:pt>
                <c:pt idx="6">
                  <c:v>1.9870421054097198E-2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0.18068158598889111</c:v>
                </c:pt>
                <c:pt idx="1">
                  <c:v>2.2209885444147624E-2</c:v>
                </c:pt>
                <c:pt idx="2">
                  <c:v>8.4734486480541622E-3</c:v>
                </c:pt>
                <c:pt idx="3">
                  <c:v>8.0335750630190564E-3</c:v>
                </c:pt>
                <c:pt idx="4">
                  <c:v>6.0483398180416648E-2</c:v>
                </c:pt>
                <c:pt idx="5">
                  <c:v>0.16404054623292919</c:v>
                </c:pt>
                <c:pt idx="6">
                  <c:v>0.10065697293153267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0.18504980040953478</c:v>
                </c:pt>
                <c:pt idx="1">
                  <c:v>2.3888034431808609E-2</c:v>
                </c:pt>
                <c:pt idx="2">
                  <c:v>9.1216311303959231E-3</c:v>
                </c:pt>
                <c:pt idx="3">
                  <c:v>8.046088776693109E-3</c:v>
                </c:pt>
                <c:pt idx="4">
                  <c:v>5.7433767187861973E-2</c:v>
                </c:pt>
                <c:pt idx="5">
                  <c:v>0.16986325286502674</c:v>
                </c:pt>
                <c:pt idx="6">
                  <c:v>0.11026934573688182</c:v>
                </c:pt>
              </c:numCache>
            </c:numRef>
          </c:val>
        </c:ser>
        <c:gapWidth val="100"/>
        <c:overlap val="100"/>
        <c:axId val="462258176"/>
        <c:axId val="462259712"/>
      </c:barChart>
      <c:catAx>
        <c:axId val="462258176"/>
        <c:scaling>
          <c:orientation val="minMax"/>
        </c:scaling>
        <c:axPos val="l"/>
        <c:tickLblPos val="nextTo"/>
        <c:crossAx val="462259712"/>
        <c:crosses val="autoZero"/>
        <c:auto val="1"/>
        <c:lblAlgn val="ctr"/>
        <c:lblOffset val="100"/>
      </c:catAx>
      <c:valAx>
        <c:axId val="462259712"/>
        <c:scaling>
          <c:orientation val="minMax"/>
        </c:scaling>
        <c:axPos val="b"/>
        <c:majorGridlines/>
        <c:numFmt formatCode="0%" sourceLinked="0"/>
        <c:tickLblPos val="nextTo"/>
        <c:crossAx val="462258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19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2.147656138080642E-5</c:v>
                </c:pt>
                <c:pt idx="1">
                  <c:v>1.9966662845051601E-5</c:v>
                </c:pt>
                <c:pt idx="2">
                  <c:v>4.0514560169598211E-6</c:v>
                </c:pt>
                <c:pt idx="3">
                  <c:v>3.8068640044028753E-6</c:v>
                </c:pt>
                <c:pt idx="4">
                  <c:v>1.2313340814475661E-6</c:v>
                </c:pt>
                <c:pt idx="5">
                  <c:v>0.96765066581532722</c:v>
                </c:pt>
                <c:pt idx="6">
                  <c:v>9.4387089095184141E-5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2.9944871372212844E-3</c:v>
                </c:pt>
                <c:pt idx="1">
                  <c:v>4.1743022449477031E-3</c:v>
                </c:pt>
                <c:pt idx="2">
                  <c:v>1.8386757542206598E-3</c:v>
                </c:pt>
                <c:pt idx="3">
                  <c:v>2.2148018392529247E-3</c:v>
                </c:pt>
                <c:pt idx="4">
                  <c:v>1.6626493247492702E-3</c:v>
                </c:pt>
                <c:pt idx="5">
                  <c:v>1.160846717433639E-2</c:v>
                </c:pt>
                <c:pt idx="6">
                  <c:v>7.7110307425190538E-3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3.0795747450117496E-3</c:v>
                </c:pt>
                <c:pt idx="1">
                  <c:v>5.5722291237134368E-3</c:v>
                </c:pt>
                <c:pt idx="2">
                  <c:v>1.8627479354414635E-3</c:v>
                </c:pt>
                <c:pt idx="3">
                  <c:v>2.6936905243921897E-3</c:v>
                </c:pt>
                <c:pt idx="4">
                  <c:v>1.96049107476385E-3</c:v>
                </c:pt>
                <c:pt idx="5">
                  <c:v>1.1469318635459302E-2</c:v>
                </c:pt>
                <c:pt idx="6">
                  <c:v>9.0755916425018929E-3</c:v>
                </c:pt>
              </c:numCache>
            </c:numRef>
          </c:val>
        </c:ser>
        <c:gapWidth val="100"/>
        <c:overlap val="100"/>
        <c:axId val="462289152"/>
        <c:axId val="462311424"/>
      </c:barChart>
      <c:catAx>
        <c:axId val="462289152"/>
        <c:scaling>
          <c:orientation val="minMax"/>
        </c:scaling>
        <c:axPos val="l"/>
        <c:tickLblPos val="nextTo"/>
        <c:crossAx val="462311424"/>
        <c:crosses val="autoZero"/>
        <c:auto val="1"/>
        <c:lblAlgn val="ctr"/>
        <c:lblOffset val="100"/>
      </c:catAx>
      <c:valAx>
        <c:axId val="462311424"/>
        <c:scaling>
          <c:orientation val="minMax"/>
        </c:scaling>
        <c:axPos val="b"/>
        <c:majorGridlines/>
        <c:numFmt formatCode="0%" sourceLinked="0"/>
        <c:tickLblPos val="nextTo"/>
        <c:crossAx val="462289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43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0.55506710982897367</c:v>
                </c:pt>
                <c:pt idx="1">
                  <c:v>8.9828546996098026E-3</c:v>
                </c:pt>
                <c:pt idx="2">
                  <c:v>7.6541383055763162E-2</c:v>
                </c:pt>
                <c:pt idx="3">
                  <c:v>2.3170116148053135E-4</c:v>
                </c:pt>
                <c:pt idx="4">
                  <c:v>3.0629001508244061E-2</c:v>
                </c:pt>
                <c:pt idx="5">
                  <c:v>0.14282549183764745</c:v>
                </c:pt>
                <c:pt idx="6">
                  <c:v>1.1420359987527176E-2</c:v>
                </c:pt>
                <c:pt idx="7">
                  <c:v>1.0345270745031471E-3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2.7797780272674766E-2</c:v>
                </c:pt>
                <c:pt idx="1">
                  <c:v>1.2058540586240615E-2</c:v>
                </c:pt>
                <c:pt idx="2">
                  <c:v>6.1705309212576276E-2</c:v>
                </c:pt>
                <c:pt idx="3">
                  <c:v>1.0928397690043586E-3</c:v>
                </c:pt>
                <c:pt idx="4">
                  <c:v>2.8950667302527634E-2</c:v>
                </c:pt>
                <c:pt idx="5">
                  <c:v>2.1617655112129402E-2</c:v>
                </c:pt>
                <c:pt idx="6">
                  <c:v>1.6961178635324061E-2</c:v>
                </c:pt>
                <c:pt idx="7">
                  <c:v>3.0835999557735395E-3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2.8857398113746657E-2</c:v>
                </c:pt>
                <c:pt idx="1">
                  <c:v>1.0113723285695812E-2</c:v>
                </c:pt>
                <c:pt idx="2">
                  <c:v>4.7619577924311152E-2</c:v>
                </c:pt>
                <c:pt idx="3">
                  <c:v>5.3525161641732391E-4</c:v>
                </c:pt>
                <c:pt idx="4">
                  <c:v>2.3959725773062136E-2</c:v>
                </c:pt>
                <c:pt idx="5">
                  <c:v>2.2302128387065828E-2</c:v>
                </c:pt>
                <c:pt idx="6">
                  <c:v>1.4135401181403554E-2</c:v>
                </c:pt>
                <c:pt idx="7">
                  <c:v>2.0256183285803113E-3</c:v>
                </c:pt>
              </c:numCache>
            </c:numRef>
          </c:val>
        </c:ser>
        <c:overlap val="100"/>
        <c:axId val="462415744"/>
        <c:axId val="46241792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462415744"/>
        <c:axId val="462417920"/>
      </c:lineChart>
      <c:catAx>
        <c:axId val="462415744"/>
        <c:scaling>
          <c:orientation val="minMax"/>
        </c:scaling>
        <c:axPos val="b"/>
        <c:tickLblPos val="nextTo"/>
        <c:crossAx val="462417920"/>
        <c:crosses val="autoZero"/>
        <c:auto val="1"/>
        <c:lblAlgn val="ctr"/>
        <c:lblOffset val="100"/>
      </c:catAx>
      <c:valAx>
        <c:axId val="462417920"/>
        <c:scaling>
          <c:orientation val="minMax"/>
        </c:scaling>
        <c:axPos val="l"/>
        <c:majorGridlines/>
        <c:numFmt formatCode="0%" sourceLinked="0"/>
        <c:tickLblPos val="nextTo"/>
        <c:crossAx val="46241574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1.2891938175602909E-2</c:v>
                </c:pt>
                <c:pt idx="1">
                  <c:v>0.17021385980185974</c:v>
                </c:pt>
                <c:pt idx="2">
                  <c:v>2.276551998030159E-4</c:v>
                </c:pt>
                <c:pt idx="3">
                  <c:v>5.1324843104687469E-2</c:v>
                </c:pt>
                <c:pt idx="4">
                  <c:v>0.29957925164965754</c:v>
                </c:pt>
                <c:pt idx="5">
                  <c:v>1.6591943830250786E-2</c:v>
                </c:pt>
                <c:pt idx="6">
                  <c:v>1.0707936897168284E-3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3.7567371178579806E-2</c:v>
                </c:pt>
                <c:pt idx="1">
                  <c:v>0.14867616321835628</c:v>
                </c:pt>
                <c:pt idx="2">
                  <c:v>2.9747143689404479E-3</c:v>
                </c:pt>
                <c:pt idx="3">
                  <c:v>9.5724471372967995E-2</c:v>
                </c:pt>
                <c:pt idx="4">
                  <c:v>0.10260859539244727</c:v>
                </c:pt>
                <c:pt idx="5">
                  <c:v>5.1677436783645211E-2</c:v>
                </c:pt>
                <c:pt idx="6">
                  <c:v>8.8709622334841344E-3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3.9293136349354156E-2</c:v>
                </c:pt>
                <c:pt idx="1">
                  <c:v>0.1534381298619954</c:v>
                </c:pt>
                <c:pt idx="2">
                  <c:v>2.9251981347135567E-3</c:v>
                </c:pt>
                <c:pt idx="3">
                  <c:v>9.8983726990963694E-2</c:v>
                </c:pt>
                <c:pt idx="4">
                  <c:v>9.8766320051660583E-2</c:v>
                </c:pt>
                <c:pt idx="5">
                  <c:v>5.6210295018606179E-2</c:v>
                </c:pt>
                <c:pt idx="6">
                  <c:v>1.0384979304909123E-2</c:v>
                </c:pt>
              </c:numCache>
            </c:numRef>
          </c:val>
        </c:ser>
        <c:overlap val="100"/>
        <c:axId val="462640640"/>
        <c:axId val="46264256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462640640"/>
        <c:axId val="462642560"/>
      </c:lineChart>
      <c:catAx>
        <c:axId val="462640640"/>
        <c:scaling>
          <c:orientation val="minMax"/>
        </c:scaling>
        <c:axPos val="b"/>
        <c:numFmt formatCode="General" sourceLinked="1"/>
        <c:tickLblPos val="nextTo"/>
        <c:crossAx val="462642560"/>
        <c:crosses val="autoZero"/>
        <c:auto val="1"/>
        <c:lblAlgn val="ctr"/>
        <c:lblOffset val="100"/>
      </c:catAx>
      <c:valAx>
        <c:axId val="462642560"/>
        <c:scaling>
          <c:orientation val="minMax"/>
        </c:scaling>
        <c:axPos val="l"/>
        <c:majorGridlines/>
        <c:numFmt formatCode="0%" sourceLinked="0"/>
        <c:tickLblPos val="nextTo"/>
        <c:crossAx val="46264064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5"/>
          <c:w val="0.5562682138416909"/>
          <c:h val="0.692582184133049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0.58286489010164844</c:v>
                </c:pt>
                <c:pt idx="1">
                  <c:v>2.1041395285850417E-2</c:v>
                </c:pt>
                <c:pt idx="2">
                  <c:v>0.13824669226833944</c:v>
                </c:pt>
                <c:pt idx="3">
                  <c:v>1.32454093048489E-3</c:v>
                </c:pt>
                <c:pt idx="4">
                  <c:v>5.9579668810771695E-2</c:v>
                </c:pt>
                <c:pt idx="5">
                  <c:v>0.16444314694977685</c:v>
                </c:pt>
                <c:pt idx="6">
                  <c:v>2.8381538622851237E-2</c:v>
                </c:pt>
                <c:pt idx="7">
                  <c:v>4.1181270302766866E-3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62686080"/>
        <c:axId val="462687616"/>
      </c:barChart>
      <c:catAx>
        <c:axId val="462686080"/>
        <c:scaling>
          <c:orientation val="minMax"/>
        </c:scaling>
        <c:axPos val="l"/>
        <c:tickLblPos val="nextTo"/>
        <c:crossAx val="462687616"/>
        <c:crosses val="autoZero"/>
        <c:auto val="1"/>
        <c:lblAlgn val="ctr"/>
        <c:lblOffset val="100"/>
      </c:catAx>
      <c:valAx>
        <c:axId val="462687616"/>
        <c:scaling>
          <c:orientation val="minMax"/>
        </c:scaling>
        <c:axPos val="b"/>
        <c:majorGridlines/>
        <c:numFmt formatCode="0.0%" sourceLinked="1"/>
        <c:tickLblPos val="nextTo"/>
        <c:crossAx val="46268608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4"/>
          <c:y val="5.1400554097404488E-2"/>
          <c:w val="0.821643482064746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4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yVal>
        </c:ser>
        <c:axId val="462770560"/>
        <c:axId val="462772480"/>
      </c:scatterChart>
      <c:valAx>
        <c:axId val="46277056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45"/>
            </c:manualLayout>
          </c:layout>
        </c:title>
        <c:numFmt formatCode="0%" sourceLinked="0"/>
        <c:tickLblPos val="nextTo"/>
        <c:crossAx val="462772480"/>
        <c:crosses val="autoZero"/>
        <c:crossBetween val="midCat"/>
      </c:valAx>
      <c:valAx>
        <c:axId val="4627724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62770560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7"/>
          <c:y val="5.1400554097404488E-2"/>
          <c:w val="0.82164348206474636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3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27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27E-2"/>
                  <c:y val="-6.73369912559803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axId val="463035392"/>
        <c:axId val="463045760"/>
      </c:scatterChart>
      <c:valAx>
        <c:axId val="46303539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79"/>
            </c:manualLayout>
          </c:layout>
        </c:title>
        <c:numFmt formatCode="0%" sourceLinked="0"/>
        <c:tickLblPos val="nextTo"/>
        <c:crossAx val="463045760"/>
        <c:crosses val="autoZero"/>
        <c:crossBetween val="midCat"/>
      </c:valAx>
      <c:valAx>
        <c:axId val="4630457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63035392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axId val="463058432"/>
        <c:axId val="463059968"/>
      </c:barChart>
      <c:catAx>
        <c:axId val="463058432"/>
        <c:scaling>
          <c:orientation val="minMax"/>
        </c:scaling>
        <c:axPos val="l"/>
        <c:tickLblPos val="none"/>
        <c:crossAx val="463059968"/>
        <c:crosses val="autoZero"/>
        <c:auto val="1"/>
        <c:lblAlgn val="ctr"/>
        <c:lblOffset val="100"/>
      </c:catAx>
      <c:valAx>
        <c:axId val="463059968"/>
        <c:scaling>
          <c:orientation val="minMax"/>
        </c:scaling>
        <c:axPos val="b"/>
        <c:majorGridlines/>
        <c:numFmt formatCode="0.0%" sourceLinked="1"/>
        <c:tickLblPos val="nextTo"/>
        <c:crossAx val="463058432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9.484819635515096E-2</c:v>
                </c:pt>
                <c:pt idx="2">
                  <c:v>0.20769152781482975</c:v>
                </c:pt>
                <c:pt idx="3">
                  <c:v>-6.3712854857159898E-2</c:v>
                </c:pt>
                <c:pt idx="4">
                  <c:v>0.20772669797098831</c:v>
                </c:pt>
                <c:pt idx="5">
                  <c:v>0.241347937376299</c:v>
                </c:pt>
                <c:pt idx="6">
                  <c:v>0.10770413535405052</c:v>
                </c:pt>
                <c:pt idx="7">
                  <c:v>-1.6783082908917772E-2</c:v>
                </c:pt>
              </c:numCache>
            </c:numRef>
          </c:val>
        </c:ser>
        <c:axId val="463105408"/>
        <c:axId val="463115392"/>
      </c:barChart>
      <c:catAx>
        <c:axId val="463105408"/>
        <c:scaling>
          <c:orientation val="minMax"/>
        </c:scaling>
        <c:axPos val="l"/>
        <c:tickLblPos val="high"/>
        <c:crossAx val="463115392"/>
        <c:crosses val="autoZero"/>
        <c:auto val="1"/>
        <c:lblAlgn val="ctr"/>
        <c:lblOffset val="100"/>
      </c:catAx>
      <c:valAx>
        <c:axId val="463115392"/>
        <c:scaling>
          <c:orientation val="minMax"/>
        </c:scaling>
        <c:axPos val="b"/>
        <c:majorGridlines/>
        <c:numFmt formatCode="#,##0.00_ ;\-#,##0.00\ " sourceLinked="1"/>
        <c:tickLblPos val="nextTo"/>
        <c:crossAx val="46310540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F42" sqref="F4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69" t="s">
        <v>93</v>
      </c>
      <c r="D1" s="369"/>
      <c r="E1" s="370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299">
        <v>0</v>
      </c>
      <c r="D3" s="218">
        <v>1</v>
      </c>
      <c r="E3" s="145">
        <v>0.99</v>
      </c>
      <c r="F3" s="144">
        <f>'Samenvatting mixen'!B81</f>
        <v>0.58286489010164844</v>
      </c>
      <c r="G3" s="144">
        <f>+F3-B3</f>
        <v>2.7372205132308869E-2</v>
      </c>
      <c r="H3" s="301"/>
    </row>
    <row r="4" spans="1:24">
      <c r="A4" s="143" t="str">
        <f>Scenarios!A5</f>
        <v>High Yield</v>
      </c>
      <c r="B4" s="218">
        <v>9.7387120358343723E-2</v>
      </c>
      <c r="C4" s="299">
        <v>0</v>
      </c>
      <c r="D4" s="358">
        <v>1</v>
      </c>
      <c r="E4" s="145">
        <v>0.99</v>
      </c>
      <c r="F4" s="144">
        <f>'Samenvatting mixen'!B82</f>
        <v>2.1041395285850417E-2</v>
      </c>
      <c r="G4" s="144">
        <f t="shared" ref="G4:G10" si="0">+F4-B4</f>
        <v>-7.6345725072493306E-2</v>
      </c>
      <c r="H4" s="302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299">
        <v>0</v>
      </c>
      <c r="D5" s="218">
        <v>1</v>
      </c>
      <c r="E5" s="145">
        <v>0.99</v>
      </c>
      <c r="F5" s="144">
        <f>'Samenvatting mixen'!B83</f>
        <v>0.13824669226833944</v>
      </c>
      <c r="G5" s="144">
        <f t="shared" si="0"/>
        <v>4.3082468462454934E-2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58">
        <v>0.10363483668477239</v>
      </c>
      <c r="C6" s="299">
        <v>0</v>
      </c>
      <c r="D6" s="358">
        <v>1</v>
      </c>
      <c r="E6" s="145">
        <v>0.99</v>
      </c>
      <c r="F6" s="144">
        <f>'Samenvatting mixen'!B84</f>
        <v>1.32454093048489E-3</v>
      </c>
      <c r="G6" s="144">
        <f t="shared" si="0"/>
        <v>-0.10231029575428749</v>
      </c>
      <c r="H6" s="301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58">
        <v>5.1404597453969164E-2</v>
      </c>
      <c r="C7" s="299">
        <v>0</v>
      </c>
      <c r="D7" s="358">
        <v>1</v>
      </c>
      <c r="E7" s="145">
        <v>0.99</v>
      </c>
      <c r="F7" s="144">
        <f>'Samenvatting mixen'!B85</f>
        <v>5.9579668810771695E-2</v>
      </c>
      <c r="G7" s="144">
        <f t="shared" si="0"/>
        <v>8.175071356802531E-3</v>
      </c>
      <c r="H7" s="301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358">
        <v>1.9729061421683056E-2</v>
      </c>
      <c r="C8" s="299">
        <v>0</v>
      </c>
      <c r="D8" s="358">
        <v>1</v>
      </c>
      <c r="E8" s="145">
        <v>0.99</v>
      </c>
      <c r="F8" s="144">
        <f>'Samenvatting mixen'!B86</f>
        <v>0.16444314694977685</v>
      </c>
      <c r="G8" s="144">
        <f t="shared" si="0"/>
        <v>0.14471408552809378</v>
      </c>
      <c r="H8" s="301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299">
        <v>0</v>
      </c>
      <c r="D9" s="358">
        <v>1</v>
      </c>
      <c r="E9" s="145">
        <v>0.99</v>
      </c>
      <c r="F9" s="144">
        <f>'Samenvatting mixen'!B87</f>
        <v>2.8381538622851237E-2</v>
      </c>
      <c r="G9" s="144">
        <f t="shared" si="0"/>
        <v>-2.638436674851901E-3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0">
        <v>0</v>
      </c>
      <c r="D10" s="219">
        <v>1</v>
      </c>
      <c r="E10" s="147">
        <v>0.99</v>
      </c>
      <c r="F10" s="146">
        <f>'Samenvatting mixen'!B88</f>
        <v>4.1181270302766866E-3</v>
      </c>
      <c r="G10" s="146">
        <f t="shared" si="0"/>
        <v>-4.2049372978028091E-2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9.9916807995241289E-2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5" t="s">
        <v>143</v>
      </c>
      <c r="B15" s="330">
        <f t="array" ref="B15">+MMULT(TRANSPOSE(F3:F10),MMULT(k,F3:F10))^(0.5)</f>
        <v>0.10395288610869438</v>
      </c>
      <c r="C15" s="333"/>
      <c r="D15" s="333"/>
      <c r="E15" s="333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v>0.105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71" t="s">
        <v>98</v>
      </c>
      <c r="C200" s="369"/>
      <c r="D200" s="369"/>
      <c r="E200" s="370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C24" sqref="C24:H31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7" t="s">
        <v>79</v>
      </c>
      <c r="C2" s="13" t="s">
        <v>79</v>
      </c>
      <c r="D2" s="298" t="s">
        <v>116</v>
      </c>
      <c r="E2" s="373" t="s">
        <v>117</v>
      </c>
      <c r="F2" s="373"/>
      <c r="G2" s="373"/>
      <c r="H2" s="373"/>
      <c r="I2" s="373"/>
      <c r="J2" s="373"/>
      <c r="K2" s="373"/>
      <c r="L2" s="374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9.9916807995241289E-2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72"/>
      <c r="H17" s="372"/>
      <c r="I17" s="372"/>
      <c r="J17" s="372"/>
    </row>
    <row r="18" spans="1:24">
      <c r="D18" s="98"/>
      <c r="E18" s="98"/>
      <c r="S18" s="84"/>
      <c r="T18" s="372"/>
      <c r="U18" s="372"/>
      <c r="V18" s="372"/>
      <c r="W18" s="372"/>
      <c r="X18" s="372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59">
        <v>-3.2445168309994665E-3</v>
      </c>
      <c r="D24" s="359">
        <v>-1.0761362748873404E-3</v>
      </c>
      <c r="E24" s="359">
        <v>-3.4179872754884488E-3</v>
      </c>
      <c r="F24" s="359">
        <v>-2.5720358328627513E-2</v>
      </c>
      <c r="G24" s="359">
        <v>-0.26287574291051119</v>
      </c>
      <c r="H24" s="360">
        <v>-3.2441343963196256E-3</v>
      </c>
      <c r="I24" s="363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359">
        <v>1.4996171000904845E-2</v>
      </c>
      <c r="D25" s="359">
        <v>-0.10270478546112452</v>
      </c>
      <c r="E25" s="359">
        <v>3.7295220378336866E-2</v>
      </c>
      <c r="F25" s="359">
        <v>-0.43424993966436087</v>
      </c>
      <c r="G25" s="359">
        <v>-0.41153220498436088</v>
      </c>
      <c r="H25" s="360">
        <v>0.29819819149830579</v>
      </c>
      <c r="I25" s="178">
        <f t="shared" ref="I25:I31" si="1">+SUMPRODUCT(B25:H25,$B$33:$H$33)</f>
        <v>1.4996171000904845E-2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359">
        <v>3.3632152529915554E-2</v>
      </c>
      <c r="D26" s="359">
        <v>-5.1463733534465664E-2</v>
      </c>
      <c r="E26" s="359">
        <v>3.7955967038468326E-2</v>
      </c>
      <c r="F26" s="359">
        <v>-0.52495132978596959</v>
      </c>
      <c r="G26" s="359">
        <v>-0.34991079217679127</v>
      </c>
      <c r="H26" s="360">
        <v>0.24979690735679014</v>
      </c>
      <c r="I26" s="178">
        <f t="shared" si="1"/>
        <v>3.3632152529915554E-2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359">
        <v>-1.8275706628265609E-2</v>
      </c>
      <c r="D27" s="359">
        <v>-0.20763301199738962</v>
      </c>
      <c r="E27" s="359">
        <v>4.4157772609314798E-2</v>
      </c>
      <c r="F27" s="359">
        <v>-0.60718802956862361</v>
      </c>
      <c r="G27" s="359">
        <v>-0.47851488198333225</v>
      </c>
      <c r="H27" s="360">
        <v>0.39131495295955132</v>
      </c>
      <c r="I27" s="178">
        <f t="shared" si="1"/>
        <v>-1.8275706628265609E-2</v>
      </c>
      <c r="J27" s="76"/>
    </row>
    <row r="28" spans="1:24">
      <c r="A28" s="18" t="s">
        <v>8</v>
      </c>
      <c r="B28" s="21">
        <f t="shared" si="0"/>
        <v>5.6320387554596889E-2</v>
      </c>
      <c r="C28" s="359">
        <v>6.1274623073284545E-2</v>
      </c>
      <c r="D28" s="359">
        <v>-6.0480183929069335E-2</v>
      </c>
      <c r="E28" s="359">
        <v>7.5058724753415462E-2</v>
      </c>
      <c r="F28" s="359">
        <v>-0.41926220845987938</v>
      </c>
      <c r="G28" s="359">
        <v>-0.25917386489837912</v>
      </c>
      <c r="H28" s="360">
        <v>0.38663466689136228</v>
      </c>
      <c r="I28" s="178">
        <f t="shared" si="1"/>
        <v>6.1274623073284545E-2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359">
        <v>7.9522702632630907E-2</v>
      </c>
      <c r="D29" s="359">
        <v>1.2962263249297473E-2</v>
      </c>
      <c r="E29" s="359">
        <v>8.6184790509297532E-2</v>
      </c>
      <c r="F29" s="359">
        <v>-0.52034739633736904</v>
      </c>
      <c r="G29" s="359">
        <v>-0.53983753129736911</v>
      </c>
      <c r="H29" s="360">
        <v>0.62225820003596433</v>
      </c>
      <c r="I29" s="178">
        <f t="shared" si="1"/>
        <v>7.9522702632630907E-2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359">
        <v>1.7325408361865E-2</v>
      </c>
      <c r="D30" s="359">
        <v>-4.6787554334441012E-2</v>
      </c>
      <c r="E30" s="359">
        <v>1.6536412714843449E-2</v>
      </c>
      <c r="F30" s="359">
        <v>-0.25573516705477994</v>
      </c>
      <c r="G30" s="359">
        <v>-6.3153361120378204E-3</v>
      </c>
      <c r="H30" s="360">
        <v>0.28237563833203505</v>
      </c>
      <c r="I30" s="178">
        <f t="shared" si="1"/>
        <v>1.7325408361865E-2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361">
        <v>-3.3454365202922019E-3</v>
      </c>
      <c r="D31" s="361">
        <v>-8.4519819517757569E-2</v>
      </c>
      <c r="E31" s="361">
        <v>3.2797465910270177E-2</v>
      </c>
      <c r="F31" s="361">
        <v>-0.33580172019430399</v>
      </c>
      <c r="G31" s="361">
        <v>-0.18031161563030054</v>
      </c>
      <c r="H31" s="362">
        <v>0.35335277777605689</v>
      </c>
      <c r="I31" s="364">
        <f t="shared" si="1"/>
        <v>-3.3454365202922019E-3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3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296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3" t="s">
        <v>129</v>
      </c>
      <c r="B35" s="304">
        <f>Optimalisatie!B15</f>
        <v>0</v>
      </c>
      <c r="C35" s="303">
        <f>SUMPRODUCT(C24:C31,'Control panel'!$F$3:$F$10)</f>
        <v>2.0255382373422153E-2</v>
      </c>
      <c r="D35" s="303">
        <f>SUMPRODUCT(D24:D31,'Control panel'!$F$3:$F$10)</f>
        <v>-1.3325803497626555E-2</v>
      </c>
      <c r="E35" s="303">
        <f>SUMPRODUCT(E24:E31,'Control panel'!$F$3:$F$10)</f>
        <v>2.3347159468454441E-2</v>
      </c>
      <c r="F35" s="303">
        <f>SUMPRODUCT(F24:F31,'Control panel'!$F$3:$F$10)</f>
        <v>-0.21669384735384981</v>
      </c>
      <c r="G35" s="303">
        <f>SUMPRODUCT(G24:G31,'Control panel'!$F$3:$F$10)</f>
        <v>-0.31602393557149794</v>
      </c>
      <c r="H35" s="303">
        <f>SUMPRODUCT(H24:H31,'Control panel'!$F$3:$F$10)</f>
        <v>0.17426659157952251</v>
      </c>
      <c r="I35" s="305">
        <f>SUMPRODUCT(I24:I31,'Control panel'!$F$3:$F$10)</f>
        <v>2.0255382373422153E-2</v>
      </c>
    </row>
    <row r="38" spans="1:21" ht="13.5" thickBot="1"/>
    <row r="39" spans="1:21" ht="13.5" thickBot="1">
      <c r="A39" s="294" t="s">
        <v>119</v>
      </c>
      <c r="B39" s="295">
        <v>8</v>
      </c>
    </row>
    <row r="40" spans="1:21" ht="13.5" thickBot="1">
      <c r="A40" s="294" t="s">
        <v>144</v>
      </c>
      <c r="B40" s="295">
        <v>8</v>
      </c>
    </row>
    <row r="45" spans="1:21">
      <c r="A45" s="292"/>
      <c r="B45" s="292"/>
      <c r="C45" s="292"/>
      <c r="D45" s="292"/>
      <c r="E45" s="292"/>
      <c r="F45" s="292"/>
      <c r="G45" s="292"/>
      <c r="H45" s="292"/>
      <c r="I45" s="292"/>
    </row>
    <row r="46" spans="1:21">
      <c r="A46" s="292"/>
      <c r="B46" s="292"/>
      <c r="C46" s="292"/>
      <c r="D46" s="292"/>
      <c r="E46" s="292"/>
      <c r="F46" s="292"/>
      <c r="G46" s="292"/>
      <c r="H46" s="292"/>
      <c r="I46" s="292"/>
    </row>
    <row r="47" spans="1:21">
      <c r="A47" s="292"/>
      <c r="B47" s="292"/>
      <c r="C47" s="292"/>
      <c r="D47" s="292"/>
      <c r="E47" s="292"/>
      <c r="F47" s="292"/>
      <c r="G47" s="292"/>
      <c r="H47" s="292"/>
      <c r="I47" s="292"/>
    </row>
    <row r="48" spans="1:21">
      <c r="A48" s="292"/>
      <c r="B48" s="292"/>
      <c r="C48" s="292"/>
      <c r="D48" s="292"/>
      <c r="E48" s="292"/>
      <c r="F48" s="292"/>
      <c r="G48" s="292"/>
      <c r="H48" s="292"/>
      <c r="I48" s="292"/>
    </row>
    <row r="49" spans="1:9">
      <c r="A49" s="292"/>
      <c r="B49" s="292"/>
      <c r="C49" s="292"/>
      <c r="D49" s="292"/>
      <c r="E49" s="292"/>
      <c r="F49" s="292"/>
      <c r="G49" s="292"/>
      <c r="H49" s="292"/>
      <c r="I49" s="292"/>
    </row>
    <row r="50" spans="1:9">
      <c r="A50" s="292"/>
      <c r="B50" s="292"/>
      <c r="C50" s="292"/>
      <c r="D50" s="292"/>
      <c r="E50" s="292"/>
      <c r="F50" s="292"/>
      <c r="G50" s="292"/>
      <c r="H50" s="292"/>
      <c r="I50" s="292"/>
    </row>
    <row r="51" spans="1:9">
      <c r="A51" s="292"/>
      <c r="B51" s="292"/>
      <c r="C51" s="292"/>
      <c r="D51" s="292"/>
      <c r="E51" s="292"/>
      <c r="F51" s="292"/>
      <c r="G51" s="292"/>
      <c r="H51" s="292"/>
      <c r="I51" s="292"/>
    </row>
    <row r="52" spans="1:9">
      <c r="A52" s="292"/>
      <c r="B52" s="292"/>
      <c r="C52" s="292"/>
      <c r="D52" s="292"/>
      <c r="E52" s="292"/>
      <c r="F52" s="292"/>
      <c r="G52" s="292"/>
      <c r="H52" s="292"/>
      <c r="I52" s="292"/>
    </row>
    <row r="53" spans="1:9">
      <c r="A53" s="292"/>
      <c r="B53" s="292"/>
      <c r="C53" s="292"/>
      <c r="D53" s="292"/>
      <c r="E53" s="292"/>
      <c r="F53" s="292"/>
      <c r="G53" s="292"/>
      <c r="H53" s="292"/>
      <c r="I53" s="292"/>
    </row>
    <row r="54" spans="1:9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9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9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9">
      <c r="I57" s="292"/>
    </row>
    <row r="58" spans="1:9">
      <c r="I58" s="292"/>
    </row>
    <row r="59" spans="1:9">
      <c r="I59" s="292"/>
    </row>
    <row r="60" spans="1:9">
      <c r="I60" s="292"/>
    </row>
    <row r="61" spans="1:9">
      <c r="I61" s="292"/>
    </row>
    <row r="62" spans="1:9">
      <c r="I62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76" t="s">
        <v>3</v>
      </c>
      <c r="E3" s="376"/>
      <c r="F3" s="376"/>
      <c r="G3" s="376"/>
      <c r="H3" s="376"/>
      <c r="I3" s="376"/>
      <c r="J3" s="376"/>
      <c r="K3" s="377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75" t="s">
        <v>3</v>
      </c>
      <c r="E14" s="376"/>
      <c r="F14" s="376"/>
      <c r="G14" s="376"/>
      <c r="H14" s="376"/>
      <c r="I14" s="376"/>
      <c r="J14" s="376"/>
      <c r="K14" s="377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1.4996171000904845E-2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3.3632152529915554E-2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-1.8275706628265609E-2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6.1274623073284545E-2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7.9522702632630907E-2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1.7325408361865E-2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-3.3454365202922019E-3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75" t="s">
        <v>3</v>
      </c>
      <c r="E25" s="376"/>
      <c r="F25" s="376"/>
      <c r="G25" s="376"/>
      <c r="H25" s="376"/>
      <c r="I25" s="376"/>
      <c r="J25" s="376"/>
      <c r="K25" s="377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-0.10270478546112452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-5.1463733534465664E-2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-0.20763301199738962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-6.0480183929069335E-2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1.2962263249297473E-2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-4.6787554334441012E-2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-8.4519819517757569E-2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75" t="s">
        <v>3</v>
      </c>
      <c r="E36" s="376"/>
      <c r="F36" s="376"/>
      <c r="G36" s="376"/>
      <c r="H36" s="376"/>
      <c r="I36" s="376"/>
      <c r="J36" s="376"/>
      <c r="K36" s="377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3.7295220378336866E-2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3.7955967038468326E-2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4.4157772609314798E-2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7.5058724753415462E-2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8.6184790509297532E-2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1.6536412714843449E-2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3.2797465910270177E-2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78" t="s">
        <v>3</v>
      </c>
      <c r="E47" s="379"/>
      <c r="F47" s="379"/>
      <c r="G47" s="379"/>
      <c r="H47" s="379"/>
      <c r="I47" s="379"/>
      <c r="J47" s="379"/>
      <c r="K47" s="380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-0.43424993966436087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-0.52495132978596959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-0.60718802956862361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-0.41926220845987938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-0.25573516705477994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-0.33580172019430399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75" t="s">
        <v>3</v>
      </c>
      <c r="E58" s="376"/>
      <c r="F58" s="376"/>
      <c r="G58" s="376"/>
      <c r="H58" s="376"/>
      <c r="I58" s="376"/>
      <c r="J58" s="376"/>
      <c r="K58" s="377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-0.41153220498436088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-0.34991079217679127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-0.47851488198333225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-0.25917386489837912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-6.3153361120378204E-3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-0.18031161563030054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75" t="s">
        <v>3</v>
      </c>
      <c r="E69" s="376"/>
      <c r="F69" s="376"/>
      <c r="G69" s="376"/>
      <c r="H69" s="376"/>
      <c r="I69" s="376"/>
      <c r="J69" s="376"/>
      <c r="K69" s="377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0.29819819149830579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0.24979690735679014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0.39131495295955132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0.38663466689136228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0.28237563833203505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0.35335277777605689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0" sqref="D10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1" t="s">
        <v>16</v>
      </c>
      <c r="D2" s="382"/>
      <c r="E2" s="383" t="s">
        <v>17</v>
      </c>
      <c r="F2" s="384"/>
      <c r="G2" s="385" t="s">
        <v>33</v>
      </c>
      <c r="H2" s="38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</v>
      </c>
      <c r="D4" s="16">
        <f>'Control panel'!D3</f>
        <v>1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</v>
      </c>
      <c r="D5" s="20">
        <f>'Control panel'!D4</f>
        <v>1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</v>
      </c>
      <c r="D6" s="20">
        <f>'Control panel'!D5</f>
        <v>1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0</v>
      </c>
      <c r="D7" s="20">
        <f>'Control panel'!D6</f>
        <v>1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0</v>
      </c>
      <c r="D8" s="20">
        <f>'Control panel'!D7</f>
        <v>1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1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0</v>
      </c>
      <c r="D10" s="20">
        <f>'Control panel'!D9</f>
        <v>1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0</v>
      </c>
      <c r="D11" s="24">
        <f>'Control panel'!D10</f>
        <v>1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2" sqref="C42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0.105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0.105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0.105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0.105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0.105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0.105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0.105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0.105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43" workbookViewId="0">
      <selection activeCell="B96" sqref="B96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387" t="s">
        <v>64</v>
      </c>
      <c r="E2" s="388"/>
      <c r="F2" s="389"/>
      <c r="G2" s="387" t="s">
        <v>65</v>
      </c>
      <c r="H2" s="388"/>
      <c r="I2" s="388"/>
      <c r="J2" s="388"/>
      <c r="K2" s="388"/>
      <c r="L2" s="388"/>
      <c r="M2" s="388"/>
      <c r="N2" s="388"/>
      <c r="O2" s="389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0.4224245112371311</v>
      </c>
      <c r="H3" s="272">
        <v>0.24270263515681512</v>
      </c>
      <c r="I3" s="272">
        <v>0.15563054962493217</v>
      </c>
      <c r="J3" s="272">
        <v>9.9399768866085036E-2</v>
      </c>
      <c r="K3" s="272">
        <v>6.001978470285696E-2</v>
      </c>
      <c r="L3" s="272">
        <v>1.9799695804396888E-2</v>
      </c>
      <c r="M3" s="272">
        <v>2.3054607784400716E-5</v>
      </c>
      <c r="N3" s="272">
        <v>-2.2204460492503131E-16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0.51680998587027516</v>
      </c>
      <c r="C4" s="54">
        <v>1.7028576800485046E-2</v>
      </c>
      <c r="D4" s="55">
        <v>0.5041501877220731</v>
      </c>
      <c r="E4" s="1">
        <v>0.51649437071987625</v>
      </c>
      <c r="F4" s="56">
        <v>0.52723727773085438</v>
      </c>
      <c r="G4" s="2">
        <v>-5.5763103197135101E-2</v>
      </c>
      <c r="H4" s="2">
        <v>-0.15645682985904127</v>
      </c>
      <c r="I4" s="2">
        <v>-8.85763681383053E-2</v>
      </c>
      <c r="J4" s="2">
        <v>0.79660117124940577</v>
      </c>
      <c r="K4" s="2">
        <v>0.36587167008382127</v>
      </c>
      <c r="L4" s="2">
        <v>0.13667769518359965</v>
      </c>
      <c r="M4" s="2">
        <v>1</v>
      </c>
      <c r="N4" s="2">
        <v>1</v>
      </c>
      <c r="O4" s="57"/>
      <c r="R4" s="51" t="str">
        <f>A4</f>
        <v>Nominale matching</v>
      </c>
      <c r="S4" s="52">
        <f>D4</f>
        <v>0.5041501877220731</v>
      </c>
      <c r="T4" s="52">
        <f>B4-D4</f>
        <v>1.2659798148202062E-2</v>
      </c>
      <c r="U4" s="52">
        <f>F4-B4</f>
        <v>1.0427291860579224E-2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9.0075318076124344E-2</v>
      </c>
      <c r="C5" s="54">
        <v>4.8284819565989637E-2</v>
      </c>
      <c r="D5" s="55">
        <v>5.4021339782501746E-2</v>
      </c>
      <c r="E5" s="1">
        <v>8.6370154287701589E-2</v>
      </c>
      <c r="F5" s="56">
        <v>0.12274563900601532</v>
      </c>
      <c r="G5" s="2">
        <v>-0.81217699573714852</v>
      </c>
      <c r="H5" s="2">
        <v>1</v>
      </c>
      <c r="I5" s="2">
        <v>0.34751943191416124</v>
      </c>
      <c r="J5" s="2">
        <v>-0.59009570967304792</v>
      </c>
      <c r="K5" s="2">
        <v>-3.0749864723247269E-2</v>
      </c>
      <c r="L5" s="2">
        <v>-0.11519592842354021</v>
      </c>
      <c r="M5" s="2">
        <v>0.18607498667863503</v>
      </c>
      <c r="N5" s="2">
        <v>0.99999999999989719</v>
      </c>
      <c r="O5" s="57"/>
      <c r="R5" s="51" t="str">
        <f t="shared" ref="R5:R11" si="0">A5</f>
        <v>High Yield</v>
      </c>
      <c r="S5" s="52">
        <f t="shared" ref="S5:S11" si="1">D5</f>
        <v>5.4021339782501746E-2</v>
      </c>
      <c r="T5" s="52">
        <f t="shared" ref="T5:T11" si="2">B5-D5</f>
        <v>3.6053978293622599E-2</v>
      </c>
      <c r="U5" s="52">
        <f t="shared" ref="U5:U11" si="3">F5-B5</f>
        <v>3.2670320929890972E-2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9.5235017524733956E-2</v>
      </c>
      <c r="C6" s="54">
        <v>5.2891023363011047E-2</v>
      </c>
      <c r="D6" s="55">
        <v>5.4076466118443092E-2</v>
      </c>
      <c r="E6" s="1">
        <v>8.8135783095403153E-2</v>
      </c>
      <c r="F6" s="56">
        <v>0.13463630494606305</v>
      </c>
      <c r="G6" s="2">
        <v>1</v>
      </c>
      <c r="H6" s="2">
        <v>0.83600023861385264</v>
      </c>
      <c r="I6" s="2">
        <v>5.251422761982185E-2</v>
      </c>
      <c r="J6" s="2">
        <v>-0.43882652140498624</v>
      </c>
      <c r="K6" s="2">
        <v>6.4300237057814902E-2</v>
      </c>
      <c r="L6" s="2">
        <v>-0.13840426882201107</v>
      </c>
      <c r="M6" s="2">
        <v>0.1449838274564981</v>
      </c>
      <c r="N6" s="2">
        <v>0.99999999999989153</v>
      </c>
      <c r="O6" s="57"/>
      <c r="R6" s="51" t="str">
        <f t="shared" si="0"/>
        <v>Emerging market debt</v>
      </c>
      <c r="S6" s="52">
        <f t="shared" si="1"/>
        <v>5.4076466118443092E-2</v>
      </c>
      <c r="T6" s="52">
        <f t="shared" si="2"/>
        <v>4.1158551406290864E-2</v>
      </c>
      <c r="U6" s="52">
        <f t="shared" si="3"/>
        <v>3.940128742132909E-2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9.2005208589473836E-2</v>
      </c>
      <c r="C7" s="54">
        <v>2.6868193830600438E-2</v>
      </c>
      <c r="D7" s="55">
        <v>7.2565702246741248E-2</v>
      </c>
      <c r="E7" s="1">
        <v>9.109535076538311E-2</v>
      </c>
      <c r="F7" s="56">
        <v>0.11167918420928344</v>
      </c>
      <c r="G7" s="2">
        <v>-7.0733624643265144E-2</v>
      </c>
      <c r="H7" s="2">
        <v>0.55742127288421028</v>
      </c>
      <c r="I7" s="2">
        <v>-0.34276011533514994</v>
      </c>
      <c r="J7" s="2">
        <v>1</v>
      </c>
      <c r="K7" s="2">
        <v>-0.52332019275057406</v>
      </c>
      <c r="L7" s="2">
        <v>-0.25902053442337025</v>
      </c>
      <c r="M7" s="2">
        <v>-0.5382945144391571</v>
      </c>
      <c r="N7" s="2">
        <v>0.99999999999980427</v>
      </c>
      <c r="O7" s="57"/>
      <c r="R7" s="51" t="str">
        <f t="shared" si="0"/>
        <v>Aandelen ontwikkeld</v>
      </c>
      <c r="S7" s="52">
        <f t="shared" si="1"/>
        <v>7.2565702246741248E-2</v>
      </c>
      <c r="T7" s="52">
        <f t="shared" si="2"/>
        <v>1.9439506342732588E-2</v>
      </c>
      <c r="U7" s="52">
        <f t="shared" si="3"/>
        <v>1.9673975619809603E-2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5.5806156093080386E-2</v>
      </c>
      <c r="C8" s="54">
        <v>2.254586253503086E-2</v>
      </c>
      <c r="D8" s="55">
        <v>3.9419539563663578E-2</v>
      </c>
      <c r="E8" s="1">
        <v>5.6535549586748064E-2</v>
      </c>
      <c r="F8" s="56">
        <v>7.2167258975583071E-2</v>
      </c>
      <c r="G8" s="2">
        <v>-0.1033942979537663</v>
      </c>
      <c r="H8" s="2">
        <v>-0.4914810336313129</v>
      </c>
      <c r="I8" s="2">
        <v>-0.16696672946216207</v>
      </c>
      <c r="J8" s="2">
        <v>-9.5325966294936393E-2</v>
      </c>
      <c r="K8" s="2">
        <v>1</v>
      </c>
      <c r="L8" s="2">
        <v>-0.37256847471853022</v>
      </c>
      <c r="M8" s="2">
        <v>-0.52480634615761335</v>
      </c>
      <c r="N8" s="2">
        <v>0.99999999999980682</v>
      </c>
      <c r="O8" s="57"/>
      <c r="R8" s="51" t="str">
        <f t="shared" si="0"/>
        <v>Aandelen opkomend</v>
      </c>
      <c r="S8" s="52">
        <f t="shared" si="1"/>
        <v>3.9419539563663578E-2</v>
      </c>
      <c r="T8" s="52">
        <f t="shared" si="2"/>
        <v>1.6386616529416809E-2</v>
      </c>
      <c r="U8" s="52">
        <f t="shared" si="3"/>
        <v>1.6361102882502684E-2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2.2974293135090414E-2</v>
      </c>
      <c r="C9" s="54">
        <v>1.2071146212291809E-2</v>
      </c>
      <c r="D9" s="55">
        <v>1.319116307865505E-2</v>
      </c>
      <c r="E9" s="1">
        <v>2.2093476160749432E-2</v>
      </c>
      <c r="F9" s="56">
        <v>3.1419745168262778E-2</v>
      </c>
      <c r="G9" s="2">
        <v>7.5127883248228659E-3</v>
      </c>
      <c r="H9" s="2">
        <v>-9.9350798461166432E-3</v>
      </c>
      <c r="I9" s="2">
        <v>1.3586512452011703E-3</v>
      </c>
      <c r="J9" s="2">
        <v>-6.2065659950123739E-2</v>
      </c>
      <c r="K9" s="2">
        <v>7.7533320076469375E-2</v>
      </c>
      <c r="L9" s="2">
        <v>1</v>
      </c>
      <c r="M9" s="2">
        <v>-0.42209284503268873</v>
      </c>
      <c r="N9" s="2">
        <v>0.9999999999998197</v>
      </c>
      <c r="O9" s="57"/>
      <c r="R9" s="51" t="str">
        <f t="shared" si="0"/>
        <v>Commodities</v>
      </c>
      <c r="S9" s="52">
        <f t="shared" si="1"/>
        <v>1.319116307865505E-2</v>
      </c>
      <c r="T9" s="52">
        <f t="shared" si="2"/>
        <v>9.7831300564353643E-3</v>
      </c>
      <c r="U9" s="52">
        <f t="shared" si="3"/>
        <v>8.4454520331723633E-3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6.0076910968351389E-2</v>
      </c>
      <c r="C10" s="54">
        <v>3.3633080260333112E-2</v>
      </c>
      <c r="D10" s="55">
        <v>3.307824876867542E-2</v>
      </c>
      <c r="E10" s="1">
        <v>5.801419718964889E-2</v>
      </c>
      <c r="F10" s="56">
        <v>8.2193838289373933E-2</v>
      </c>
      <c r="G10" s="2">
        <v>-8.2480812507913309E-2</v>
      </c>
      <c r="H10" s="2">
        <v>-0.79823185149485021</v>
      </c>
      <c r="I10" s="2">
        <v>-0.80308909784356741</v>
      </c>
      <c r="J10" s="2">
        <v>-0.68542918468968728</v>
      </c>
      <c r="K10" s="2">
        <v>-0.54397775017837535</v>
      </c>
      <c r="L10" s="2">
        <v>-8.793177247253349E-2</v>
      </c>
      <c r="M10" s="2">
        <v>0.22705174321586086</v>
      </c>
      <c r="N10" s="2">
        <v>0.99999999999990175</v>
      </c>
      <c r="O10" s="57"/>
      <c r="R10" s="51" t="str">
        <f t="shared" si="0"/>
        <v>Hedge funds</v>
      </c>
      <c r="S10" s="52">
        <f t="shared" si="1"/>
        <v>3.307824876867542E-2</v>
      </c>
      <c r="T10" s="52">
        <f t="shared" si="2"/>
        <v>2.699866219967597E-2</v>
      </c>
      <c r="U10" s="52">
        <f t="shared" si="3"/>
        <v>2.2116927321022543E-2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6.7017109742870451E-2</v>
      </c>
      <c r="C11" s="62">
        <v>3.689953509912245E-2</v>
      </c>
      <c r="D11" s="63">
        <v>3.7261784966510045E-2</v>
      </c>
      <c r="E11" s="61">
        <v>6.2446889757807753E-2</v>
      </c>
      <c r="F11" s="64">
        <v>9.5618028751543502E-2</v>
      </c>
      <c r="G11" s="65">
        <v>0.11703604571440607</v>
      </c>
      <c r="H11" s="65">
        <v>-0.93731671666674254</v>
      </c>
      <c r="I11" s="65">
        <v>1</v>
      </c>
      <c r="J11" s="65">
        <v>7.5141870763376806E-2</v>
      </c>
      <c r="K11" s="65">
        <v>-0.40965741956590984</v>
      </c>
      <c r="L11" s="65">
        <v>-0.1635567163236149</v>
      </c>
      <c r="M11" s="65">
        <v>-7.2916851721771148E-2</v>
      </c>
      <c r="N11" s="65">
        <v>0.99999999999986366</v>
      </c>
      <c r="O11" s="66"/>
      <c r="R11" s="51" t="str">
        <f t="shared" si="0"/>
        <v>Onroerend goed</v>
      </c>
      <c r="S11" s="52">
        <f t="shared" si="1"/>
        <v>3.7261784966510045E-2</v>
      </c>
      <c r="T11" s="52">
        <f t="shared" si="2"/>
        <v>2.9755324776360406E-2</v>
      </c>
      <c r="U11" s="52">
        <f t="shared" si="3"/>
        <v>2.8600919008673051E-2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387" t="s">
        <v>64</v>
      </c>
      <c r="E13" s="388"/>
      <c r="F13" s="389"/>
      <c r="G13" s="387" t="s">
        <v>65</v>
      </c>
      <c r="H13" s="388"/>
      <c r="I13" s="388"/>
      <c r="J13" s="388"/>
      <c r="K13" s="388"/>
      <c r="L13" s="388"/>
      <c r="M13" s="388"/>
      <c r="N13" s="388"/>
      <c r="O13" s="389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0.76228681547223498</v>
      </c>
      <c r="H14" s="272">
        <v>0.15184274702273959</v>
      </c>
      <c r="I14" s="272">
        <v>5.274348294384068E-2</v>
      </c>
      <c r="J14" s="272">
        <v>3.0057516344586199E-2</v>
      </c>
      <c r="K14" s="272">
        <v>2.020755334846247E-3</v>
      </c>
      <c r="L14" s="272">
        <v>7.9138395432476472E-4</v>
      </c>
      <c r="M14" s="272">
        <v>2.5729892742187843E-4</v>
      </c>
      <c r="N14" s="272">
        <v>0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0.58286489010164844</v>
      </c>
      <c r="C15" s="54">
        <v>3.8404809550214254E-2</v>
      </c>
      <c r="D15" s="55">
        <v>0.55506710982897367</v>
      </c>
      <c r="E15" s="1">
        <v>0.58584102498434421</v>
      </c>
      <c r="F15" s="56">
        <v>0.61172228821539509</v>
      </c>
      <c r="G15" s="2">
        <v>-0.48730337972123411</v>
      </c>
      <c r="H15" s="2">
        <v>-0.12381641180738975</v>
      </c>
      <c r="I15" s="2">
        <v>-0.42040652909293791</v>
      </c>
      <c r="J15" s="2">
        <v>-0.37923974315275233</v>
      </c>
      <c r="K15" s="2">
        <v>-0.3167931462336287</v>
      </c>
      <c r="L15" s="2">
        <v>-0.86977271308511062</v>
      </c>
      <c r="M15" s="2">
        <v>-0.172161002177041</v>
      </c>
      <c r="N15" s="2">
        <v>0.99999999999998923</v>
      </c>
      <c r="O15" s="57"/>
      <c r="R15" s="51" t="str">
        <f>A15</f>
        <v>Nominale matching</v>
      </c>
      <c r="S15" s="52">
        <f>D15</f>
        <v>0.55506710982897367</v>
      </c>
      <c r="T15" s="52">
        <f>B15-D15</f>
        <v>2.7797780272674766E-2</v>
      </c>
      <c r="U15" s="52">
        <f>F15-B15</f>
        <v>2.8857398113746657E-2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2.1041395285850417E-2</v>
      </c>
      <c r="C16" s="54">
        <v>1.5751187325237139E-2</v>
      </c>
      <c r="D16" s="55">
        <v>8.9828546996098026E-3</v>
      </c>
      <c r="E16" s="1">
        <v>1.7215967815265763E-2</v>
      </c>
      <c r="F16" s="56">
        <v>3.1155118571546229E-2</v>
      </c>
      <c r="G16" s="2">
        <v>-2.2291088032007781E-3</v>
      </c>
      <c r="H16" s="2">
        <v>-1.1694579538486859E-2</v>
      </c>
      <c r="I16" s="2">
        <v>-0.10437068183015001</v>
      </c>
      <c r="J16" s="2">
        <v>1</v>
      </c>
      <c r="K16" s="2">
        <v>-0.17874715138536457</v>
      </c>
      <c r="L16" s="2">
        <v>-0.19582826296544512</v>
      </c>
      <c r="M16" s="2">
        <v>-0.15265133254625621</v>
      </c>
      <c r="N16" s="2">
        <v>0.99999999999995637</v>
      </c>
      <c r="O16" s="57"/>
      <c r="R16" s="51" t="str">
        <f t="shared" ref="R16:R22" si="5">A16</f>
        <v>High Yield</v>
      </c>
      <c r="S16" s="52">
        <f t="shared" ref="S16:S22" si="6">D16</f>
        <v>8.9828546996098026E-3</v>
      </c>
      <c r="T16" s="52">
        <f t="shared" ref="T16:T22" si="7">B16-D16</f>
        <v>1.2058540586240615E-2</v>
      </c>
      <c r="U16" s="52">
        <f t="shared" ref="U16:U22" si="8">F16-B16</f>
        <v>1.0113723285695812E-2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0.13824669226833944</v>
      </c>
      <c r="C17" s="54">
        <v>7.5543711758038631E-2</v>
      </c>
      <c r="D17" s="55">
        <v>7.6541383055763162E-2</v>
      </c>
      <c r="E17" s="1">
        <v>0.1298659754559712</v>
      </c>
      <c r="F17" s="56">
        <v>0.18586627019265059</v>
      </c>
      <c r="G17" s="2">
        <v>1</v>
      </c>
      <c r="H17" s="2">
        <v>-2.6188912917724121E-2</v>
      </c>
      <c r="I17" s="2">
        <v>-0.21776235867871366</v>
      </c>
      <c r="J17" s="2">
        <v>-0.24056209436228668</v>
      </c>
      <c r="K17" s="2">
        <v>-0.19104351161825581</v>
      </c>
      <c r="L17" s="2">
        <v>-4.0685900592308234E-2</v>
      </c>
      <c r="M17" s="2">
        <v>-0.14931849173079126</v>
      </c>
      <c r="N17" s="2">
        <v>0.99999999999994704</v>
      </c>
      <c r="O17" s="57"/>
      <c r="R17" s="51" t="str">
        <f t="shared" si="5"/>
        <v>Emerging market debt</v>
      </c>
      <c r="S17" s="52">
        <f t="shared" si="6"/>
        <v>7.6541383055763162E-2</v>
      </c>
      <c r="T17" s="52">
        <f t="shared" si="7"/>
        <v>6.1705309212576276E-2</v>
      </c>
      <c r="U17" s="52">
        <f t="shared" si="8"/>
        <v>4.7619577924311152E-2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1.32454093048489E-3</v>
      </c>
      <c r="C18" s="54">
        <v>1.5235845415857428E-3</v>
      </c>
      <c r="D18" s="55">
        <v>2.3170116148053135E-4</v>
      </c>
      <c r="E18" s="1">
        <v>7.8076817755187754E-4</v>
      </c>
      <c r="F18" s="56">
        <v>1.8597925469022139E-3</v>
      </c>
      <c r="G18" s="2">
        <v>5.3650357938682467E-4</v>
      </c>
      <c r="H18" s="2">
        <v>-4.0342857229391888E-3</v>
      </c>
      <c r="I18" s="2">
        <v>-8.523388512108496E-3</v>
      </c>
      <c r="J18" s="2">
        <v>1.0930971103257027E-3</v>
      </c>
      <c r="K18" s="2">
        <v>-1.8263853367591665E-2</v>
      </c>
      <c r="L18" s="2">
        <v>-4.8146609863521352E-2</v>
      </c>
      <c r="M18" s="2">
        <v>1</v>
      </c>
      <c r="N18" s="2">
        <v>1</v>
      </c>
      <c r="O18" s="57"/>
      <c r="R18" s="51" t="str">
        <f t="shared" si="5"/>
        <v>Aandelen ontwikkeld</v>
      </c>
      <c r="S18" s="52">
        <f t="shared" si="6"/>
        <v>2.3170116148053135E-4</v>
      </c>
      <c r="T18" s="52">
        <f t="shared" si="7"/>
        <v>1.0928397690043586E-3</v>
      </c>
      <c r="U18" s="52">
        <f t="shared" si="8"/>
        <v>5.3525161641732391E-4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5.9579668810771695E-2</v>
      </c>
      <c r="C19" s="54">
        <v>3.5335142131366654E-2</v>
      </c>
      <c r="D19" s="55">
        <v>3.0629001508244061E-2</v>
      </c>
      <c r="E19" s="1">
        <v>5.8252757174268692E-2</v>
      </c>
      <c r="F19" s="56">
        <v>8.3539394583833831E-2</v>
      </c>
      <c r="G19" s="2">
        <v>-0.22594916835929704</v>
      </c>
      <c r="H19" s="2">
        <v>1</v>
      </c>
      <c r="I19" s="2">
        <v>-9.4143955241638752E-2</v>
      </c>
      <c r="J19" s="2">
        <v>-0.12553691359088831</v>
      </c>
      <c r="K19" s="2">
        <v>-7.9905514577524067E-2</v>
      </c>
      <c r="L19" s="2">
        <v>0.6397506581357163</v>
      </c>
      <c r="M19" s="2">
        <v>-0.12693531043130787</v>
      </c>
      <c r="N19" s="2">
        <v>0.9999999999999124</v>
      </c>
      <c r="O19" s="57"/>
      <c r="R19" s="51" t="str">
        <f t="shared" si="5"/>
        <v>Aandelen opkomend</v>
      </c>
      <c r="S19" s="52">
        <f t="shared" si="6"/>
        <v>3.0629001508244061E-2</v>
      </c>
      <c r="T19" s="52">
        <f t="shared" si="7"/>
        <v>2.8950667302527634E-2</v>
      </c>
      <c r="U19" s="52">
        <f t="shared" si="8"/>
        <v>2.3959725773062136E-2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0.16444314694977685</v>
      </c>
      <c r="C20" s="54">
        <v>3.0274149184160975E-2</v>
      </c>
      <c r="D20" s="55">
        <v>0.14282549183764745</v>
      </c>
      <c r="E20" s="1">
        <v>0.16590922192182173</v>
      </c>
      <c r="F20" s="56">
        <v>0.18674527533684268</v>
      </c>
      <c r="G20" s="2">
        <v>-0.24715823868436448</v>
      </c>
      <c r="H20" s="2">
        <v>-0.76613208794781607</v>
      </c>
      <c r="I20" s="2">
        <v>-0.12575571012459641</v>
      </c>
      <c r="J20" s="2">
        <v>-9.8787595713632659E-2</v>
      </c>
      <c r="K20" s="2">
        <v>-3.8343979097146597E-2</v>
      </c>
      <c r="L20" s="2">
        <v>1</v>
      </c>
      <c r="M20" s="2">
        <v>-0.12302227794224534</v>
      </c>
      <c r="N20" s="2">
        <v>0.99999999999989275</v>
      </c>
      <c r="O20" s="57"/>
      <c r="R20" s="51" t="str">
        <f t="shared" si="5"/>
        <v>Commodities</v>
      </c>
      <c r="S20" s="52">
        <f t="shared" si="6"/>
        <v>0.14282549183764745</v>
      </c>
      <c r="T20" s="52">
        <f t="shared" si="7"/>
        <v>2.1617655112129402E-2</v>
      </c>
      <c r="U20" s="52">
        <f t="shared" si="8"/>
        <v>2.2302128387065828E-2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2.8381538622851237E-2</v>
      </c>
      <c r="C21" s="54">
        <v>2.0930388605931216E-2</v>
      </c>
      <c r="D21" s="55">
        <v>1.1420359987527176E-2</v>
      </c>
      <c r="E21" s="1">
        <v>2.4419426755871269E-2</v>
      </c>
      <c r="F21" s="56">
        <v>4.2516939804254791E-2</v>
      </c>
      <c r="G21" s="2">
        <v>-3.9634100568580327E-2</v>
      </c>
      <c r="H21" s="2">
        <v>-6.1407972068150282E-2</v>
      </c>
      <c r="I21" s="2">
        <v>1</v>
      </c>
      <c r="J21" s="2">
        <v>-0.13239536875060454</v>
      </c>
      <c r="K21" s="2">
        <v>-0.1769028437204892</v>
      </c>
      <c r="L21" s="2">
        <v>-0.21716903755675723</v>
      </c>
      <c r="M21" s="2">
        <v>-0.14356639470585239</v>
      </c>
      <c r="N21" s="2">
        <v>0.99999999999995781</v>
      </c>
      <c r="O21" s="57"/>
      <c r="R21" s="51" t="str">
        <f t="shared" si="5"/>
        <v>Hedge funds</v>
      </c>
      <c r="S21" s="52">
        <f t="shared" si="6"/>
        <v>1.1420359987527176E-2</v>
      </c>
      <c r="T21" s="52">
        <f t="shared" si="7"/>
        <v>1.6961178635324061E-2</v>
      </c>
      <c r="U21" s="52">
        <f t="shared" si="8"/>
        <v>1.4135401181403554E-2</v>
      </c>
    </row>
    <row r="22" spans="1:30">
      <c r="A22" s="60" t="str">
        <f t="shared" si="4"/>
        <v>Onroerend goed</v>
      </c>
      <c r="B22" s="286">
        <v>4.1181270302766866E-3</v>
      </c>
      <c r="C22" s="62">
        <v>4.2023119555621644E-3</v>
      </c>
      <c r="D22" s="63">
        <v>1.0345270745031471E-3</v>
      </c>
      <c r="E22" s="61">
        <v>2.7389604783313445E-3</v>
      </c>
      <c r="F22" s="64">
        <v>6.1437453588569979E-3</v>
      </c>
      <c r="G22" s="65">
        <v>1.7374925572903373E-3</v>
      </c>
      <c r="H22" s="65">
        <v>-6.7257499974937044E-3</v>
      </c>
      <c r="I22" s="65">
        <v>-2.9037376519856328E-2</v>
      </c>
      <c r="J22" s="65">
        <v>-2.4571381540162616E-2</v>
      </c>
      <c r="K22" s="65">
        <v>1</v>
      </c>
      <c r="L22" s="65">
        <v>-0.26814813407245025</v>
      </c>
      <c r="M22" s="65">
        <v>-0.13234519046655852</v>
      </c>
      <c r="N22" s="65">
        <v>0.99999999999996025</v>
      </c>
      <c r="O22" s="66"/>
      <c r="R22" s="51" t="str">
        <f t="shared" si="5"/>
        <v>Onroerend goed</v>
      </c>
      <c r="S22" s="52">
        <f t="shared" si="6"/>
        <v>1.0345270745031471E-3</v>
      </c>
      <c r="T22" s="52">
        <f t="shared" si="7"/>
        <v>3.0835999557735395E-3</v>
      </c>
      <c r="U22" s="52">
        <f t="shared" si="8"/>
        <v>2.0256183285803113E-3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387" t="s">
        <v>64</v>
      </c>
      <c r="E24" s="388"/>
      <c r="F24" s="389"/>
      <c r="G24" s="387" t="s">
        <v>65</v>
      </c>
      <c r="H24" s="388"/>
      <c r="I24" s="388"/>
      <c r="J24" s="388"/>
      <c r="K24" s="388"/>
      <c r="L24" s="388"/>
      <c r="M24" s="388"/>
      <c r="N24" s="388"/>
      <c r="O24" s="389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0.97899330061342082</v>
      </c>
      <c r="H25" s="272">
        <v>1.1078575910781319E-2</v>
      </c>
      <c r="I25" s="272">
        <v>5.6568698227176251E-3</v>
      </c>
      <c r="J25" s="272">
        <v>2.1478892817986539E-3</v>
      </c>
      <c r="K25" s="272">
        <v>1.2042602447679407E-3</v>
      </c>
      <c r="L25" s="272">
        <v>8.2963154046822307E-4</v>
      </c>
      <c r="M25" s="272">
        <v>8.9472586045080682E-5</v>
      </c>
      <c r="N25" s="272">
        <v>2.2204460492503131E-16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0.78203934594187208</v>
      </c>
      <c r="C26" s="54">
        <v>4.9087271046602043E-2</v>
      </c>
      <c r="D26" s="55">
        <v>0.74004955320959476</v>
      </c>
      <c r="E26" s="1">
        <v>0.77557882288752411</v>
      </c>
      <c r="F26" s="56">
        <v>0.81768328179685223</v>
      </c>
      <c r="G26" s="68">
        <v>1</v>
      </c>
      <c r="H26" s="68">
        <v>-0.85247673409486624</v>
      </c>
      <c r="I26" s="68">
        <v>-0.11218133871567239</v>
      </c>
      <c r="J26" s="68">
        <v>-0.27094408306963103</v>
      </c>
      <c r="K26" s="68">
        <v>-0.20418014866578121</v>
      </c>
      <c r="L26" s="68">
        <v>-7.5266281357207296E-2</v>
      </c>
      <c r="M26" s="2">
        <v>-0.14215548285771673</v>
      </c>
      <c r="N26" s="2">
        <v>0.99999999999999623</v>
      </c>
      <c r="O26" s="69"/>
      <c r="R26" s="51" t="str">
        <f>A26</f>
        <v>Nominale matching</v>
      </c>
      <c r="S26" s="52">
        <f>D26</f>
        <v>0.74004955320959476</v>
      </c>
      <c r="T26" s="52">
        <f>B26-D26</f>
        <v>4.198979273227732E-2</v>
      </c>
      <c r="U26" s="52">
        <f>F26-B26</f>
        <v>3.5643935854980158E-2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1.6268487094437277E-3</v>
      </c>
      <c r="C27" s="54">
        <v>1.905349297876764E-3</v>
      </c>
      <c r="D27" s="55">
        <v>2.937713646746631E-4</v>
      </c>
      <c r="E27" s="1">
        <v>9.9582231321299671E-4</v>
      </c>
      <c r="F27" s="56">
        <v>2.4690087521597763E-3</v>
      </c>
      <c r="G27" s="68">
        <v>-7.9852576290396528E-3</v>
      </c>
      <c r="H27" s="68">
        <v>3.8557865139115653E-2</v>
      </c>
      <c r="I27" s="68">
        <v>2.3070093076696552E-2</v>
      </c>
      <c r="J27" s="68">
        <v>0.17403587273272494</v>
      </c>
      <c r="K27" s="68">
        <v>0.32264895281198835</v>
      </c>
      <c r="L27" s="68">
        <v>1</v>
      </c>
      <c r="M27" s="2">
        <v>-0.18046090725529423</v>
      </c>
      <c r="N27" s="2">
        <v>0.9999999999999214</v>
      </c>
      <c r="O27" s="69"/>
      <c r="R27" s="51" t="str">
        <f t="shared" ref="R27:R33" si="10">A27</f>
        <v>High Yield</v>
      </c>
      <c r="S27" s="52">
        <f t="shared" ref="S27:S33" si="11">D27</f>
        <v>2.937713646746631E-4</v>
      </c>
      <c r="T27" s="52">
        <f t="shared" ref="T27:T33" si="12">B27-D27</f>
        <v>1.3330773447690646E-3</v>
      </c>
      <c r="U27" s="52">
        <f t="shared" ref="U27:U33" si="13">F27-B27</f>
        <v>8.4216004271604858E-4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5.066213347244262E-3</v>
      </c>
      <c r="C28" s="54">
        <v>4.9143913537206948E-3</v>
      </c>
      <c r="D28" s="55">
        <v>1.4381734692786702E-3</v>
      </c>
      <c r="E28" s="1">
        <v>3.5147551494036514E-3</v>
      </c>
      <c r="F28" s="56">
        <v>6.8367443954922089E-3</v>
      </c>
      <c r="G28" s="68">
        <v>-2.4437041252947912E-2</v>
      </c>
      <c r="H28" s="68">
        <v>0.65467801117894009</v>
      </c>
      <c r="I28" s="68">
        <v>1</v>
      </c>
      <c r="J28" s="68">
        <v>-0.45261476449682281</v>
      </c>
      <c r="K28" s="68">
        <v>-0.20921211855904012</v>
      </c>
      <c r="L28" s="68">
        <v>-9.3050815820588287E-2</v>
      </c>
      <c r="M28" s="2">
        <v>-0.12910900006599899</v>
      </c>
      <c r="N28" s="2">
        <v>0.9999999999999688</v>
      </c>
      <c r="O28" s="69"/>
      <c r="R28" s="51" t="str">
        <f t="shared" si="10"/>
        <v>Emerging market debt</v>
      </c>
      <c r="S28" s="52">
        <f t="shared" si="11"/>
        <v>1.4381734692786702E-3</v>
      </c>
      <c r="T28" s="52">
        <f t="shared" si="12"/>
        <v>3.6280398779655917E-3</v>
      </c>
      <c r="U28" s="52">
        <f t="shared" si="13"/>
        <v>1.770531048247947E-3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3.7866674571466888E-4</v>
      </c>
      <c r="C29" s="54">
        <v>6.0669013123597153E-4</v>
      </c>
      <c r="D29" s="55">
        <v>1.1167113836770993E-5</v>
      </c>
      <c r="E29" s="1">
        <v>1.3305371449181858E-4</v>
      </c>
      <c r="F29" s="56">
        <v>4.9402266835881642E-4</v>
      </c>
      <c r="G29" s="68">
        <v>-1.1586618109070941E-3</v>
      </c>
      <c r="H29" s="68">
        <v>-1.2041943424731277E-2</v>
      </c>
      <c r="I29" s="68">
        <v>-7.6866459070190629E-3</v>
      </c>
      <c r="J29" s="68">
        <v>7.6064413997900112E-3</v>
      </c>
      <c r="K29" s="68">
        <v>1.8263200581977383E-3</v>
      </c>
      <c r="L29" s="68">
        <v>4.1756861384878323E-2</v>
      </c>
      <c r="M29" s="2">
        <v>1</v>
      </c>
      <c r="N29" s="2">
        <v>0.99999999999917044</v>
      </c>
      <c r="O29" s="69"/>
      <c r="R29" s="51" t="str">
        <f t="shared" si="10"/>
        <v>Aandelen ontwikkeld</v>
      </c>
      <c r="S29" s="52">
        <f t="shared" si="11"/>
        <v>1.1167113836770993E-5</v>
      </c>
      <c r="T29" s="52">
        <f t="shared" si="12"/>
        <v>3.6749963187789791E-4</v>
      </c>
      <c r="U29" s="52">
        <f t="shared" si="13"/>
        <v>1.1535592264414753E-4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2.546399648864326E-3</v>
      </c>
      <c r="C30" s="54">
        <v>2.8001917334734704E-3</v>
      </c>
      <c r="D30" s="55">
        <v>4.5138861346366073E-4</v>
      </c>
      <c r="E30" s="1">
        <v>1.469321498076828E-3</v>
      </c>
      <c r="F30" s="56">
        <v>3.8176446527733087E-3</v>
      </c>
      <c r="G30" s="68">
        <v>-4.0651855802551059E-3</v>
      </c>
      <c r="H30" s="68">
        <v>0.13352087199093929</v>
      </c>
      <c r="I30" s="68">
        <v>7.9618539692484766E-2</v>
      </c>
      <c r="J30" s="68">
        <v>1</v>
      </c>
      <c r="K30" s="68">
        <v>-0.49650722591085766</v>
      </c>
      <c r="L30" s="68">
        <v>-0.20886005086771231</v>
      </c>
      <c r="M30" s="2">
        <v>-0.13956382777141307</v>
      </c>
      <c r="N30" s="2">
        <v>0.99999999999995071</v>
      </c>
      <c r="O30" s="69"/>
      <c r="R30" s="51" t="str">
        <f t="shared" si="10"/>
        <v>Aandelen opkomend</v>
      </c>
      <c r="S30" s="52">
        <f t="shared" si="11"/>
        <v>4.5138861346366073E-4</v>
      </c>
      <c r="T30" s="52">
        <f t="shared" si="12"/>
        <v>2.0950110354006654E-3</v>
      </c>
      <c r="U30" s="52">
        <f t="shared" si="13"/>
        <v>1.2712450039089828E-3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0.20025905729082505</v>
      </c>
      <c r="C31" s="54">
        <v>4.5586682442912606E-2</v>
      </c>
      <c r="D31" s="55">
        <v>0.16676981790691425</v>
      </c>
      <c r="E31" s="1">
        <v>0.20657706922215063</v>
      </c>
      <c r="F31" s="56">
        <v>0.23988450296717906</v>
      </c>
      <c r="G31" s="68">
        <v>-0.92751593511696462</v>
      </c>
      <c r="H31" s="68">
        <v>-0.9675411617881331</v>
      </c>
      <c r="I31" s="68">
        <v>-0.12135679055492787</v>
      </c>
      <c r="J31" s="68">
        <v>-0.27687569104269499</v>
      </c>
      <c r="K31" s="68">
        <v>-0.21654228119224239</v>
      </c>
      <c r="L31" s="68">
        <v>-8.0146129390527232E-2</v>
      </c>
      <c r="M31" s="2">
        <v>-0.14385573732309478</v>
      </c>
      <c r="N31" s="2">
        <v>1</v>
      </c>
      <c r="O31" s="69"/>
      <c r="R31" s="51" t="str">
        <f t="shared" si="10"/>
        <v>Commodities</v>
      </c>
      <c r="S31" s="52">
        <f t="shared" si="11"/>
        <v>0.16676981790691425</v>
      </c>
      <c r="T31" s="52">
        <f t="shared" si="12"/>
        <v>3.3489239383910796E-2</v>
      </c>
      <c r="U31" s="52">
        <f t="shared" si="13"/>
        <v>3.962544567635401E-2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6.1218525720286784E-3</v>
      </c>
      <c r="C32" s="54">
        <v>5.4842773323740051E-3</v>
      </c>
      <c r="D32" s="55">
        <v>2.0800496043446347E-3</v>
      </c>
      <c r="E32" s="1">
        <v>4.6022839044188701E-3</v>
      </c>
      <c r="F32" s="56">
        <v>8.51953798754327E-3</v>
      </c>
      <c r="G32" s="68">
        <v>-2.8062055690707837E-2</v>
      </c>
      <c r="H32" s="68">
        <v>1</v>
      </c>
      <c r="I32" s="68">
        <v>-0.87943582206018678</v>
      </c>
      <c r="J32" s="68">
        <v>-0.34354584189151649</v>
      </c>
      <c r="K32" s="68">
        <v>-0.19803349854218058</v>
      </c>
      <c r="L32" s="68">
        <v>-8.8326061747575124E-2</v>
      </c>
      <c r="M32" s="2">
        <v>-0.13753576513361976</v>
      </c>
      <c r="N32" s="2">
        <v>0.99999999999997624</v>
      </c>
      <c r="O32" s="69"/>
      <c r="R32" s="51" t="str">
        <f t="shared" si="10"/>
        <v>Hedge funds</v>
      </c>
      <c r="S32" s="52">
        <f t="shared" si="11"/>
        <v>2.0800496043446347E-3</v>
      </c>
      <c r="T32" s="52">
        <f t="shared" si="12"/>
        <v>4.0418029676840437E-3</v>
      </c>
      <c r="U32" s="52">
        <f t="shared" si="13"/>
        <v>2.3976854155145916E-3</v>
      </c>
    </row>
    <row r="33" spans="1:30">
      <c r="A33" s="60" t="str">
        <f t="shared" si="9"/>
        <v>Onroerend goed</v>
      </c>
      <c r="B33" s="61">
        <v>1.9616157440068083E-3</v>
      </c>
      <c r="C33" s="62">
        <v>2.1449890861551966E-3</v>
      </c>
      <c r="D33" s="63">
        <v>3.5871469506977484E-4</v>
      </c>
      <c r="E33" s="61">
        <v>1.3151699332003199E-3</v>
      </c>
      <c r="F33" s="64">
        <v>2.8385871293258912E-3</v>
      </c>
      <c r="G33" s="70">
        <v>-6.7758629191781231E-3</v>
      </c>
      <c r="H33" s="70">
        <v>5.3030909987760244E-3</v>
      </c>
      <c r="I33" s="70">
        <v>1.7971964468635145E-2</v>
      </c>
      <c r="J33" s="70">
        <v>0.16233806636821171</v>
      </c>
      <c r="K33" s="70">
        <v>1</v>
      </c>
      <c r="L33" s="70">
        <v>-0.49610752220121751</v>
      </c>
      <c r="M33" s="65">
        <v>-0.12731927959207348</v>
      </c>
      <c r="N33" s="65">
        <v>0.99999999999990652</v>
      </c>
      <c r="O33" s="71"/>
      <c r="R33" s="51" t="str">
        <f t="shared" si="10"/>
        <v>Onroerend goed</v>
      </c>
      <c r="S33" s="52">
        <f t="shared" si="11"/>
        <v>3.5871469506977484E-4</v>
      </c>
      <c r="T33" s="52">
        <f t="shared" si="12"/>
        <v>1.6029010489370336E-3</v>
      </c>
      <c r="U33" s="52">
        <f t="shared" si="13"/>
        <v>8.7697138531908289E-4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387" t="s">
        <v>64</v>
      </c>
      <c r="E35" s="388"/>
      <c r="F35" s="389"/>
      <c r="G35" s="387" t="s">
        <v>65</v>
      </c>
      <c r="H35" s="388"/>
      <c r="I35" s="388"/>
      <c r="J35" s="388"/>
      <c r="K35" s="388"/>
      <c r="L35" s="388"/>
      <c r="M35" s="388"/>
      <c r="N35" s="388"/>
      <c r="O35" s="389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0.53901996146436038</v>
      </c>
      <c r="H36" s="272">
        <v>0.32800670413208577</v>
      </c>
      <c r="I36" s="272">
        <v>0.10949731057454104</v>
      </c>
      <c r="J36" s="272">
        <v>1.1042938948609193E-2</v>
      </c>
      <c r="K36" s="272">
        <v>9.1495926409219663E-3</v>
      </c>
      <c r="L36" s="272">
        <v>2.9922141272410441E-3</v>
      </c>
      <c r="M36" s="272">
        <v>2.9127811223972344E-4</v>
      </c>
      <c r="N36" s="272">
        <v>1.1102230246251565E-16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0.55321836278449443</v>
      </c>
      <c r="C37" s="54">
        <v>3.2754431190733915E-2</v>
      </c>
      <c r="D37" s="55">
        <v>0.52974945564612019</v>
      </c>
      <c r="E37" s="1">
        <v>0.55390055673447303</v>
      </c>
      <c r="F37" s="56">
        <v>0.57620973997804992</v>
      </c>
      <c r="G37" s="2">
        <v>-0.25297127614476878</v>
      </c>
      <c r="H37" s="2">
        <v>-0.55927586309001154</v>
      </c>
      <c r="I37" s="2">
        <v>0.27724144870653228</v>
      </c>
      <c r="J37" s="2">
        <v>-0.18932793808157322</v>
      </c>
      <c r="K37" s="2">
        <v>-0.53987593766511</v>
      </c>
      <c r="L37" s="2">
        <v>-8.4878085360305233E-3</v>
      </c>
      <c r="M37" s="2">
        <v>1</v>
      </c>
      <c r="N37" s="2">
        <v>1</v>
      </c>
      <c r="O37" s="57"/>
      <c r="R37" s="51" t="str">
        <f>A37</f>
        <v>Nominale matching</v>
      </c>
      <c r="S37" s="52">
        <f>D37</f>
        <v>0.52974945564612019</v>
      </c>
      <c r="T37" s="52">
        <f>B37-D37</f>
        <v>2.346890713837424E-2</v>
      </c>
      <c r="U37" s="52">
        <f>F37-B37</f>
        <v>2.2991377193555484E-2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0.12110891909594974</v>
      </c>
      <c r="C38" s="54">
        <v>6.8904320833139188E-2</v>
      </c>
      <c r="D38" s="55">
        <v>6.7046876895714078E-2</v>
      </c>
      <c r="E38" s="1">
        <v>0.11116399383332481</v>
      </c>
      <c r="F38" s="56">
        <v>0.16345448831419168</v>
      </c>
      <c r="G38" s="2">
        <v>1</v>
      </c>
      <c r="H38" s="2">
        <v>0.25146967380278756</v>
      </c>
      <c r="I38" s="2">
        <v>-0.12822962630819865</v>
      </c>
      <c r="J38" s="2">
        <v>-3.8956370970186338E-2</v>
      </c>
      <c r="K38" s="2">
        <v>-0.32239771969040382</v>
      </c>
      <c r="L38" s="2">
        <v>-0.15959362227498142</v>
      </c>
      <c r="M38" s="2">
        <v>0.18099004318013034</v>
      </c>
      <c r="N38" s="2">
        <v>0.99999999999993805</v>
      </c>
      <c r="O38" s="57"/>
      <c r="R38" s="51" t="str">
        <f t="shared" ref="R38:R44" si="15">A38</f>
        <v>High Yield</v>
      </c>
      <c r="S38" s="52">
        <f t="shared" ref="S38:S44" si="16">D38</f>
        <v>6.7046876895714078E-2</v>
      </c>
      <c r="T38" s="52">
        <f t="shared" ref="T38:T44" si="17">B38-D38</f>
        <v>5.4062042200235666E-2</v>
      </c>
      <c r="U38" s="52">
        <f t="shared" ref="U38:U44" si="18">F38-B38</f>
        <v>4.2345569218241938E-2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9.1327033262040946E-2</v>
      </c>
      <c r="C39" s="54">
        <v>5.844792458950538E-2</v>
      </c>
      <c r="D39" s="55">
        <v>4.5145831640839115E-2</v>
      </c>
      <c r="E39" s="1">
        <v>8.0287452407395959E-2</v>
      </c>
      <c r="F39" s="56">
        <v>0.13245327019242825</v>
      </c>
      <c r="G39" s="2">
        <v>-0.49114846501577081</v>
      </c>
      <c r="H39" s="2">
        <v>1</v>
      </c>
      <c r="I39" s="2">
        <v>-0.18276989781871386</v>
      </c>
      <c r="J39" s="2">
        <v>-5.8757942930792388E-2</v>
      </c>
      <c r="K39" s="2">
        <v>-0.29204894454735508</v>
      </c>
      <c r="L39" s="2">
        <v>-0.15096758708135238</v>
      </c>
      <c r="M39" s="2">
        <v>0.15187860963171806</v>
      </c>
      <c r="N39" s="2">
        <v>0.99999999999993661</v>
      </c>
      <c r="O39" s="57"/>
      <c r="R39" s="51" t="str">
        <f t="shared" si="15"/>
        <v>Emerging market debt</v>
      </c>
      <c r="S39" s="52">
        <f t="shared" si="16"/>
        <v>4.5145831640839115E-2</v>
      </c>
      <c r="T39" s="52">
        <f t="shared" si="17"/>
        <v>4.6181201621201831E-2</v>
      </c>
      <c r="U39" s="52">
        <f t="shared" si="18"/>
        <v>4.1126236930387305E-2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5.4153201652001274E-3</v>
      </c>
      <c r="C40" s="54">
        <v>5.4274415280456106E-3</v>
      </c>
      <c r="D40" s="55">
        <v>1.5282665633842276E-3</v>
      </c>
      <c r="E40" s="1">
        <v>3.788951085446874E-3</v>
      </c>
      <c r="F40" s="56">
        <v>7.2478500934228564E-3</v>
      </c>
      <c r="G40" s="2">
        <v>5.8620547383326132E-3</v>
      </c>
      <c r="H40" s="2">
        <v>-6.6159145380074403E-3</v>
      </c>
      <c r="I40" s="2">
        <v>1.0211120689111263E-2</v>
      </c>
      <c r="J40" s="2">
        <v>-5.4365941247115204E-2</v>
      </c>
      <c r="K40" s="2">
        <v>-0.18985100722023709</v>
      </c>
      <c r="L40" s="2">
        <v>1</v>
      </c>
      <c r="M40" s="2">
        <v>-0.39226401369443509</v>
      </c>
      <c r="N40" s="2">
        <v>0.99999999999989753</v>
      </c>
      <c r="O40" s="57"/>
      <c r="R40" s="51" t="str">
        <f t="shared" si="15"/>
        <v>Aandelen ontwikkeld</v>
      </c>
      <c r="S40" s="52">
        <f t="shared" si="16"/>
        <v>1.5282665633842276E-3</v>
      </c>
      <c r="T40" s="52">
        <f t="shared" si="17"/>
        <v>3.8870536018158998E-3</v>
      </c>
      <c r="U40" s="52">
        <f t="shared" si="18"/>
        <v>1.832529928222729E-3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7.2607829207531574E-2</v>
      </c>
      <c r="C41" s="54">
        <v>3.5960415452770622E-2</v>
      </c>
      <c r="D41" s="55">
        <v>4.5943052622759571E-2</v>
      </c>
      <c r="E41" s="1">
        <v>7.2031916766025411E-2</v>
      </c>
      <c r="F41" s="56">
        <v>9.8421744345485479E-2</v>
      </c>
      <c r="G41" s="2">
        <v>-0.18104295749652227</v>
      </c>
      <c r="H41" s="2">
        <v>-0.49914088532994605</v>
      </c>
      <c r="I41" s="2">
        <v>-0.96718249761810604</v>
      </c>
      <c r="J41" s="2">
        <v>8.0222662650552182E-2</v>
      </c>
      <c r="K41" s="2">
        <v>-0.2370117642397318</v>
      </c>
      <c r="L41" s="2">
        <v>-0.30293908065914443</v>
      </c>
      <c r="M41" s="2">
        <v>-0.56780871481516815</v>
      </c>
      <c r="N41" s="2">
        <v>0.99999999999988265</v>
      </c>
      <c r="O41" s="57"/>
      <c r="R41" s="51" t="str">
        <f t="shared" si="15"/>
        <v>Aandelen opkomend</v>
      </c>
      <c r="S41" s="52">
        <f t="shared" si="16"/>
        <v>4.5943052622759571E-2</v>
      </c>
      <c r="T41" s="52">
        <f t="shared" si="17"/>
        <v>2.6664776584772003E-2</v>
      </c>
      <c r="U41" s="52">
        <f t="shared" si="18"/>
        <v>2.5813915137953905E-2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0.1309806794633851</v>
      </c>
      <c r="C42" s="54">
        <v>2.5740748715715186E-2</v>
      </c>
      <c r="D42" s="55">
        <v>0.11233601207593767</v>
      </c>
      <c r="E42" s="1">
        <v>0.13272306096644235</v>
      </c>
      <c r="F42" s="56">
        <v>0.15024901917804975</v>
      </c>
      <c r="G42" s="2">
        <v>-6.6591829791294313E-2</v>
      </c>
      <c r="H42" s="2">
        <v>-0.11301695358875614</v>
      </c>
      <c r="I42" s="2">
        <v>1</v>
      </c>
      <c r="J42" s="2">
        <v>0.11106391695178497</v>
      </c>
      <c r="K42" s="2">
        <v>-0.16362488080215695</v>
      </c>
      <c r="L42" s="2">
        <v>-0.34931790867853912</v>
      </c>
      <c r="M42" s="2">
        <v>-0.77035625769697991</v>
      </c>
      <c r="N42" s="2">
        <v>0.99999999999986766</v>
      </c>
      <c r="O42" s="57"/>
      <c r="R42" s="51" t="str">
        <f t="shared" si="15"/>
        <v>Commodities</v>
      </c>
      <c r="S42" s="52">
        <f t="shared" si="16"/>
        <v>0.11233601207593767</v>
      </c>
      <c r="T42" s="52">
        <f t="shared" si="17"/>
        <v>1.8644667387447425E-2</v>
      </c>
      <c r="U42" s="52">
        <f t="shared" si="18"/>
        <v>1.9268339714664656E-2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1.2936659409906758E-2</v>
      </c>
      <c r="C43" s="54">
        <v>1.0018994493412911E-2</v>
      </c>
      <c r="D43" s="55">
        <v>4.7845940125862962E-3</v>
      </c>
      <c r="E43" s="1">
        <v>1.0654345968906607E-2</v>
      </c>
      <c r="F43" s="56">
        <v>1.9701963847778028E-2</v>
      </c>
      <c r="G43" s="2">
        <v>-1.4891963068751771E-2</v>
      </c>
      <c r="H43" s="2">
        <v>-2.5674953174811464E-2</v>
      </c>
      <c r="I43" s="2">
        <v>-2.1853625228854751E-3</v>
      </c>
      <c r="J43" s="2">
        <v>1</v>
      </c>
      <c r="K43" s="2">
        <v>0.74481025416499491</v>
      </c>
      <c r="L43" s="2">
        <v>4.1291373474936388E-2</v>
      </c>
      <c r="M43" s="2">
        <v>0.35297713382078805</v>
      </c>
      <c r="N43" s="2">
        <v>0.99999999999994993</v>
      </c>
      <c r="O43" s="57"/>
      <c r="R43" s="51" t="str">
        <f t="shared" si="15"/>
        <v>Hedge funds</v>
      </c>
      <c r="S43" s="52">
        <f t="shared" si="16"/>
        <v>4.7845940125862962E-3</v>
      </c>
      <c r="T43" s="52">
        <f t="shared" si="17"/>
        <v>8.1520653973204613E-3</v>
      </c>
      <c r="U43" s="52">
        <f t="shared" si="18"/>
        <v>6.7653044378712703E-3</v>
      </c>
    </row>
    <row r="44" spans="1:30">
      <c r="A44" s="60" t="str">
        <f t="shared" si="14"/>
        <v>Onroerend goed</v>
      </c>
      <c r="B44" s="61">
        <v>1.2405196611491353E-2</v>
      </c>
      <c r="C44" s="62">
        <v>1.0245661898853281E-2</v>
      </c>
      <c r="D44" s="63">
        <v>4.1544173723375624E-3</v>
      </c>
      <c r="E44" s="61">
        <v>1.0027023519553636E-2</v>
      </c>
      <c r="F44" s="64">
        <v>1.8823882766348631E-2</v>
      </c>
      <c r="G44" s="65">
        <v>7.8443677877560109E-4</v>
      </c>
      <c r="H44" s="65">
        <v>-4.774510408125384E-2</v>
      </c>
      <c r="I44" s="65">
        <v>-7.0851851277390927E-3</v>
      </c>
      <c r="J44" s="65">
        <v>-0.84987838637266755</v>
      </c>
      <c r="K44" s="65">
        <v>1</v>
      </c>
      <c r="L44" s="65">
        <v>-6.998536624488981E-2</v>
      </c>
      <c r="M44" s="65">
        <v>4.4583199573779202E-2</v>
      </c>
      <c r="N44" s="65">
        <v>0.99999999999992961</v>
      </c>
      <c r="O44" s="66"/>
      <c r="R44" s="51" t="str">
        <f t="shared" si="15"/>
        <v>Onroerend goed</v>
      </c>
      <c r="S44" s="52">
        <f t="shared" si="16"/>
        <v>4.1544173723375624E-3</v>
      </c>
      <c r="T44" s="52">
        <f t="shared" si="17"/>
        <v>8.2507792391537903E-3</v>
      </c>
      <c r="U44" s="52">
        <f t="shared" si="18"/>
        <v>6.4186861548572779E-3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387" t="s">
        <v>64</v>
      </c>
      <c r="E46" s="388"/>
      <c r="F46" s="389"/>
      <c r="G46" s="387" t="s">
        <v>65</v>
      </c>
      <c r="H46" s="388"/>
      <c r="I46" s="388"/>
      <c r="J46" s="388"/>
      <c r="K46" s="388"/>
      <c r="L46" s="388"/>
      <c r="M46" s="388"/>
      <c r="N46" s="388"/>
      <c r="O46" s="389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0.59378726000121662</v>
      </c>
      <c r="H47" s="272">
        <v>0.15964752417733363</v>
      </c>
      <c r="I47" s="272">
        <v>9.2011200446492802E-2</v>
      </c>
      <c r="J47" s="272">
        <v>6.6214175081619753E-2</v>
      </c>
      <c r="K47" s="272">
        <v>4.2647478769195168E-2</v>
      </c>
      <c r="L47" s="272">
        <v>3.0712747741168722E-2</v>
      </c>
      <c r="M47" s="272">
        <v>1.4979613782972079E-2</v>
      </c>
      <c r="N47" s="272">
        <v>0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0.99941968376134271</v>
      </c>
      <c r="C48" s="54">
        <v>3.1973755618614115E-4</v>
      </c>
      <c r="D48" s="55">
        <v>0.99919514264086562</v>
      </c>
      <c r="E48" s="1">
        <v>0.99943727563582785</v>
      </c>
      <c r="F48" s="56">
        <v>0.99968652061541863</v>
      </c>
      <c r="G48" s="68">
        <v>1</v>
      </c>
      <c r="H48" s="68">
        <v>0.54623211372755553</v>
      </c>
      <c r="I48" s="68">
        <v>0.24699749029558959</v>
      </c>
      <c r="J48" s="68">
        <v>1.9912880227844602E-2</v>
      </c>
      <c r="K48" s="68">
        <v>-0.2462998159412137</v>
      </c>
      <c r="L48" s="68">
        <v>-3.732515164650841E-2</v>
      </c>
      <c r="M48" s="2">
        <v>-0.10390158011184905</v>
      </c>
      <c r="N48" s="2">
        <v>0.99999999999995992</v>
      </c>
      <c r="O48" s="69"/>
      <c r="R48" s="51" t="str">
        <f>A48</f>
        <v>Nominale matching</v>
      </c>
      <c r="S48" s="52">
        <f>D48</f>
        <v>0.99919514264086562</v>
      </c>
      <c r="T48" s="52">
        <f>B48-D48</f>
        <v>2.2454112047709529E-4</v>
      </c>
      <c r="U48" s="52">
        <f>F48-B48</f>
        <v>2.6683685407591362E-4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7.9795644025165165E-5</v>
      </c>
      <c r="C49" s="54">
        <v>1.2637498144972591E-4</v>
      </c>
      <c r="D49" s="55">
        <v>2.5673895276867912E-6</v>
      </c>
      <c r="E49" s="1">
        <v>2.3915622992744439E-5</v>
      </c>
      <c r="F49" s="56">
        <v>9.8231915525471625E-5</v>
      </c>
      <c r="G49" s="68">
        <v>-3.5903319351849657E-2</v>
      </c>
      <c r="H49" s="68">
        <v>-0.25824628220983115</v>
      </c>
      <c r="I49" s="68">
        <v>-0.80588350641897211</v>
      </c>
      <c r="J49" s="68">
        <v>-0.82827344231010125</v>
      </c>
      <c r="K49" s="68">
        <v>-0.4580824754024157</v>
      </c>
      <c r="L49" s="68">
        <v>-0.18568209212645873</v>
      </c>
      <c r="M49" s="2">
        <v>-8.6165863559518885E-2</v>
      </c>
      <c r="N49" s="2">
        <v>0.99999999999997835</v>
      </c>
      <c r="O49" s="69"/>
      <c r="R49" s="51" t="str">
        <f t="shared" ref="R49:R55" si="20">A49</f>
        <v>High Yield</v>
      </c>
      <c r="S49" s="52">
        <f t="shared" ref="S49:S55" si="21">D49</f>
        <v>2.5673895276867912E-6</v>
      </c>
      <c r="T49" s="52">
        <f t="shared" ref="T49:T55" si="22">B49-D49</f>
        <v>7.7228254497478376E-5</v>
      </c>
      <c r="U49" s="52">
        <f t="shared" ref="U49:U55" si="23">F49-B49</f>
        <v>1.843627150030646E-5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5.6779148014885294E-5</v>
      </c>
      <c r="C50" s="54">
        <v>8.9428181130793874E-5</v>
      </c>
      <c r="D50" s="55">
        <v>7.9034391477616205E-7</v>
      </c>
      <c r="E50" s="1">
        <v>1.4820297467900749E-5</v>
      </c>
      <c r="F50" s="56">
        <v>7.8487624867865021E-5</v>
      </c>
      <c r="G50" s="68">
        <v>-2.0933864042361989E-2</v>
      </c>
      <c r="H50" s="68">
        <v>-7.7961446249629751E-2</v>
      </c>
      <c r="I50" s="68">
        <v>-1.6586217250756204E-2</v>
      </c>
      <c r="J50" s="68">
        <v>1.7827814091835044E-2</v>
      </c>
      <c r="K50" s="68">
        <v>1</v>
      </c>
      <c r="L50" s="68">
        <v>-0.6996970894603507</v>
      </c>
      <c r="M50" s="2">
        <v>-0.22021801364653526</v>
      </c>
      <c r="N50" s="2">
        <v>0.99999999999988953</v>
      </c>
      <c r="O50" s="69"/>
      <c r="R50" s="51" t="str">
        <f t="shared" si="20"/>
        <v>Emerging market debt</v>
      </c>
      <c r="S50" s="52">
        <f t="shared" si="21"/>
        <v>7.9034391477616205E-7</v>
      </c>
      <c r="T50" s="52">
        <f t="shared" si="22"/>
        <v>5.5988804100109129E-5</v>
      </c>
      <c r="U50" s="52">
        <f t="shared" si="23"/>
        <v>2.1708476852979727E-5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2.9404761929789073E-5</v>
      </c>
      <c r="C51" s="54">
        <v>5.7564916483059453E-5</v>
      </c>
      <c r="D51" s="55">
        <v>1.4734755656284183E-7</v>
      </c>
      <c r="E51" s="1">
        <v>4.1598007810099973E-6</v>
      </c>
      <c r="F51" s="56">
        <v>3.2803134988290657E-5</v>
      </c>
      <c r="G51" s="68">
        <v>-9.3381927595717739E-3</v>
      </c>
      <c r="H51" s="68">
        <v>-2.8582144701173241E-2</v>
      </c>
      <c r="I51" s="68">
        <v>-9.2319552543035244E-3</v>
      </c>
      <c r="J51" s="68">
        <v>3.1569331794896384E-2</v>
      </c>
      <c r="K51" s="68">
        <v>0.16139217676958151</v>
      </c>
      <c r="L51" s="68">
        <v>4.3247221150137773E-2</v>
      </c>
      <c r="M51" s="2">
        <v>1</v>
      </c>
      <c r="N51" s="2">
        <v>0.99999999999995814</v>
      </c>
      <c r="O51" s="69"/>
      <c r="R51" s="51" t="str">
        <f t="shared" si="20"/>
        <v>Aandelen ontwikkeld</v>
      </c>
      <c r="S51" s="52">
        <f t="shared" si="21"/>
        <v>1.4734755656284183E-7</v>
      </c>
      <c r="T51" s="52">
        <f t="shared" si="22"/>
        <v>2.9257414373226231E-5</v>
      </c>
      <c r="U51" s="52">
        <f t="shared" si="23"/>
        <v>3.3983730585015848E-6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6.868366415905999E-5</v>
      </c>
      <c r="C52" s="54">
        <v>1.2636127163837173E-4</v>
      </c>
      <c r="D52" s="55">
        <v>6.5739809471028278E-7</v>
      </c>
      <c r="E52" s="1">
        <v>1.5586750307807712E-5</v>
      </c>
      <c r="F52" s="56">
        <v>8.1719702468605672E-5</v>
      </c>
      <c r="G52" s="68">
        <v>-6.8977936042616761E-2</v>
      </c>
      <c r="H52" s="68">
        <v>-0.3123042661923518</v>
      </c>
      <c r="I52" s="68">
        <v>-0.58017971322369133</v>
      </c>
      <c r="J52" s="68">
        <v>1</v>
      </c>
      <c r="K52" s="68">
        <v>-0.361750817154531</v>
      </c>
      <c r="L52" s="68">
        <v>-1.2350144121877255E-2</v>
      </c>
      <c r="M52" s="2">
        <v>-0.14016149381394274</v>
      </c>
      <c r="N52" s="2">
        <v>0.99999999999994826</v>
      </c>
      <c r="O52" s="69"/>
      <c r="R52" s="51" t="str">
        <f t="shared" si="20"/>
        <v>Aandelen opkomend</v>
      </c>
      <c r="S52" s="52">
        <f t="shared" si="21"/>
        <v>6.5739809471028278E-7</v>
      </c>
      <c r="T52" s="52">
        <f t="shared" si="22"/>
        <v>6.8026266064349713E-5</v>
      </c>
      <c r="U52" s="52">
        <f t="shared" si="23"/>
        <v>1.3036038309545682E-5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4.7307968945150372E-5</v>
      </c>
      <c r="C53" s="54">
        <v>8.4507396490016406E-5</v>
      </c>
      <c r="D53" s="55">
        <v>3.8469424166382794E-7</v>
      </c>
      <c r="E53" s="1">
        <v>6.840301165100566E-6</v>
      </c>
      <c r="F53" s="56">
        <v>5.6858010425753289E-5</v>
      </c>
      <c r="G53" s="68">
        <v>-2.6102398357553146E-2</v>
      </c>
      <c r="H53" s="68">
        <v>-8.5078564351196984E-2</v>
      </c>
      <c r="I53" s="68">
        <v>-8.6068950617353868E-2</v>
      </c>
      <c r="J53" s="68">
        <v>-0.13595499758156812</v>
      </c>
      <c r="K53" s="68">
        <v>0.55788165449645932</v>
      </c>
      <c r="L53" s="68">
        <v>1</v>
      </c>
      <c r="M53" s="2">
        <v>-0.23082063038764952</v>
      </c>
      <c r="N53" s="2">
        <v>1</v>
      </c>
      <c r="O53" s="69"/>
      <c r="R53" s="51" t="str">
        <f t="shared" si="20"/>
        <v>Commodities</v>
      </c>
      <c r="S53" s="52">
        <f t="shared" si="21"/>
        <v>3.8469424166382794E-7</v>
      </c>
      <c r="T53" s="52">
        <f t="shared" si="22"/>
        <v>4.6923274703486545E-5</v>
      </c>
      <c r="U53" s="52">
        <f t="shared" si="23"/>
        <v>9.5500414806029169E-6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1.9738075578495809E-4</v>
      </c>
      <c r="C54" s="54">
        <v>2.5651564436587172E-4</v>
      </c>
      <c r="D54" s="55">
        <v>1.1758641528029485E-5</v>
      </c>
      <c r="E54" s="1">
        <v>8.8520586776012978E-5</v>
      </c>
      <c r="F54" s="56">
        <v>2.8290567452560851E-4</v>
      </c>
      <c r="G54" s="68">
        <v>-0.69436654206888426</v>
      </c>
      <c r="H54" s="68">
        <v>1</v>
      </c>
      <c r="I54" s="68">
        <v>0.25095285246952331</v>
      </c>
      <c r="J54" s="68">
        <v>-2.3184131092732264E-3</v>
      </c>
      <c r="K54" s="68">
        <v>-0.26837700956887034</v>
      </c>
      <c r="L54" s="68">
        <v>-4.7355367721452497E-2</v>
      </c>
      <c r="M54" s="2">
        <v>-0.10593488904094109</v>
      </c>
      <c r="N54" s="2">
        <v>0.99999999999995792</v>
      </c>
      <c r="O54" s="69"/>
      <c r="R54" s="51" t="str">
        <f t="shared" si="20"/>
        <v>Hedge funds</v>
      </c>
      <c r="S54" s="52">
        <f t="shared" si="21"/>
        <v>1.1758641528029485E-5</v>
      </c>
      <c r="T54" s="52">
        <f t="shared" si="22"/>
        <v>1.856221142569286E-4</v>
      </c>
      <c r="U54" s="52">
        <f t="shared" si="23"/>
        <v>8.5524918740650414E-5</v>
      </c>
    </row>
    <row r="55" spans="1:36">
      <c r="A55" s="60" t="str">
        <f t="shared" si="19"/>
        <v>Onroerend goed</v>
      </c>
      <c r="B55" s="61">
        <v>1.0096429579753327E-4</v>
      </c>
      <c r="C55" s="62">
        <v>1.5788557588243465E-4</v>
      </c>
      <c r="D55" s="63">
        <v>2.6853475670835028E-6</v>
      </c>
      <c r="E55" s="61">
        <v>3.5279435198534374E-5</v>
      </c>
      <c r="F55" s="64">
        <v>1.2782562411647197E-4</v>
      </c>
      <c r="G55" s="70">
        <v>-0.1443777473771676</v>
      </c>
      <c r="H55" s="70">
        <v>-0.78405941002339108</v>
      </c>
      <c r="I55" s="70">
        <v>1</v>
      </c>
      <c r="J55" s="70">
        <v>-0.10276317311360295</v>
      </c>
      <c r="K55" s="70">
        <v>-0.38476371319896818</v>
      </c>
      <c r="L55" s="70">
        <v>-6.0837376073578024E-2</v>
      </c>
      <c r="M55" s="65">
        <v>-0.11279752943957075</v>
      </c>
      <c r="N55" s="65">
        <v>0.99999999999993483</v>
      </c>
      <c r="O55" s="71"/>
      <c r="R55" s="51" t="str">
        <f t="shared" si="20"/>
        <v>Onroerend goed</v>
      </c>
      <c r="S55" s="52">
        <f t="shared" si="21"/>
        <v>2.6853475670835028E-6</v>
      </c>
      <c r="T55" s="52">
        <f t="shared" si="22"/>
        <v>9.8278948230449764E-5</v>
      </c>
      <c r="U55" s="52">
        <f t="shared" si="23"/>
        <v>2.6861328318938699E-5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387" t="s">
        <v>64</v>
      </c>
      <c r="E57" s="388"/>
      <c r="F57" s="389"/>
      <c r="G57" s="387" t="s">
        <v>65</v>
      </c>
      <c r="H57" s="388"/>
      <c r="I57" s="388"/>
      <c r="J57" s="388"/>
      <c r="K57" s="388"/>
      <c r="L57" s="388"/>
      <c r="M57" s="388"/>
      <c r="N57" s="388"/>
      <c r="O57" s="389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0.5523010357558954</v>
      </c>
      <c r="H58" s="272">
        <v>0.23941676577711912</v>
      </c>
      <c r="I58" s="272">
        <v>8.8410517352725426E-2</v>
      </c>
      <c r="J58" s="272">
        <v>4.9564500135141021E-2</v>
      </c>
      <c r="K58" s="272">
        <v>3.0486851045066543E-2</v>
      </c>
      <c r="L58" s="272">
        <v>2.0687262787966398E-2</v>
      </c>
      <c r="M58" s="272">
        <v>1.9133067146088756E-2</v>
      </c>
      <c r="N58" s="272">
        <v>2.2204460492503131E-16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0.87226890735135654</v>
      </c>
      <c r="C59" s="54">
        <v>1.3461816888124499E-3</v>
      </c>
      <c r="D59" s="55">
        <v>0.87121069852226651</v>
      </c>
      <c r="E59" s="1">
        <v>0.87197354351245493</v>
      </c>
      <c r="F59" s="56">
        <v>0.8731205040940746</v>
      </c>
      <c r="G59" s="2">
        <v>-0.4784609867031358</v>
      </c>
      <c r="H59" s="2">
        <v>-0.97846855826516055</v>
      </c>
      <c r="I59" s="2">
        <v>-0.419709747332914</v>
      </c>
      <c r="J59" s="2">
        <v>-0.35898090276674482</v>
      </c>
      <c r="K59" s="2">
        <v>-0.27572132698717822</v>
      </c>
      <c r="L59" s="2">
        <v>-0.11117012649331008</v>
      </c>
      <c r="M59" s="2">
        <v>-4.5700439262402965E-3</v>
      </c>
      <c r="N59" s="2">
        <v>0.99999999999999711</v>
      </c>
      <c r="O59" s="69"/>
      <c r="R59" s="51" t="str">
        <f>A59</f>
        <v>Nominale matching</v>
      </c>
      <c r="S59" s="52">
        <f>D59</f>
        <v>0.87121069852226651</v>
      </c>
      <c r="T59" s="52">
        <f>B59-D59</f>
        <v>1.0582088290900238E-3</v>
      </c>
      <c r="U59" s="52">
        <f>F59-B59</f>
        <v>8.5159674271806374E-4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3.8574247817541632E-4</v>
      </c>
      <c r="C60" s="54">
        <v>5.5766922983722001E-4</v>
      </c>
      <c r="D60" s="55">
        <v>1.9871054220069955E-5</v>
      </c>
      <c r="E60" s="1">
        <v>1.5562347330038291E-4</v>
      </c>
      <c r="F60" s="56">
        <v>5.5540974877953955E-4</v>
      </c>
      <c r="G60" s="2">
        <v>-1.5876935535770464E-2</v>
      </c>
      <c r="H60" s="2">
        <v>1.3868941862573252E-2</v>
      </c>
      <c r="I60" s="2">
        <v>0.13841140888887782</v>
      </c>
      <c r="J60" s="2">
        <v>1</v>
      </c>
      <c r="K60" s="2">
        <v>-0.78395313709179482</v>
      </c>
      <c r="L60" s="2">
        <v>-0.21447808732345675</v>
      </c>
      <c r="M60" s="2">
        <v>-1.5574193404517071E-2</v>
      </c>
      <c r="N60" s="2">
        <v>1</v>
      </c>
      <c r="O60" s="69"/>
      <c r="R60" s="51" t="str">
        <f t="shared" ref="R60:R66" si="25">A60</f>
        <v>High Yield</v>
      </c>
      <c r="S60" s="52">
        <f t="shared" ref="S60:S66" si="26">D60</f>
        <v>1.9871054220069955E-5</v>
      </c>
      <c r="T60" s="52">
        <f t="shared" ref="T60:T66" si="27">B60-D60</f>
        <v>3.6587142395534634E-4</v>
      </c>
      <c r="U60" s="52">
        <f t="shared" ref="U60:U66" si="28">F60-B60</f>
        <v>1.6966727060412323E-4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5.366554110271969E-4</v>
      </c>
      <c r="C61" s="54">
        <v>7.5036441261549494E-4</v>
      </c>
      <c r="D61" s="55">
        <v>1.7906890578906845E-5</v>
      </c>
      <c r="E61" s="1">
        <v>2.0129933313976854E-4</v>
      </c>
      <c r="F61" s="56">
        <v>8.4077239399267382E-4</v>
      </c>
      <c r="G61" s="2">
        <v>-4.2420770371290557E-2</v>
      </c>
      <c r="H61" s="2">
        <v>4.9952507814017666E-2</v>
      </c>
      <c r="I61" s="2">
        <v>1</v>
      </c>
      <c r="J61" s="2">
        <v>-0.58593724112563661</v>
      </c>
      <c r="K61" s="2">
        <v>-0.27852011575552882</v>
      </c>
      <c r="L61" s="2">
        <v>-6.7335388329155949E-2</v>
      </c>
      <c r="M61" s="2">
        <v>-2.1481542101130745E-2</v>
      </c>
      <c r="N61" s="2">
        <v>0.99999999999999423</v>
      </c>
      <c r="O61" s="69"/>
      <c r="R61" s="51" t="str">
        <f t="shared" si="25"/>
        <v>Emerging market debt</v>
      </c>
      <c r="S61" s="52">
        <f t="shared" si="26"/>
        <v>1.7906890578906845E-5</v>
      </c>
      <c r="T61" s="52">
        <f t="shared" si="27"/>
        <v>5.1874852044829002E-4</v>
      </c>
      <c r="U61" s="52">
        <f t="shared" si="28"/>
        <v>3.0411698296547692E-4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2.3561639295799377E-4</v>
      </c>
      <c r="C62" s="54">
        <v>3.9116404757503321E-4</v>
      </c>
      <c r="D62" s="55">
        <v>2.7992146321509836E-6</v>
      </c>
      <c r="E62" s="1">
        <v>5.992967194413487E-5</v>
      </c>
      <c r="F62" s="56">
        <v>2.9236040290567847E-4</v>
      </c>
      <c r="G62" s="2">
        <v>7.5661023760855498E-3</v>
      </c>
      <c r="H62" s="2">
        <v>-1.0745571089701743E-2</v>
      </c>
      <c r="I62" s="2">
        <v>-4.2413445955012613E-3</v>
      </c>
      <c r="J62" s="2">
        <v>0.17123247777458753</v>
      </c>
      <c r="K62" s="2">
        <v>0.33206296364536264</v>
      </c>
      <c r="L62" s="2">
        <v>1</v>
      </c>
      <c r="M62" s="2">
        <v>-0.70023070856686898</v>
      </c>
      <c r="N62" s="2">
        <v>0.99999999999998634</v>
      </c>
      <c r="O62" s="69"/>
      <c r="R62" s="51" t="str">
        <f t="shared" si="25"/>
        <v>Aandelen ontwikkeld</v>
      </c>
      <c r="S62" s="52">
        <f t="shared" si="26"/>
        <v>2.7992146321509836E-6</v>
      </c>
      <c r="T62" s="52">
        <f t="shared" si="27"/>
        <v>2.328171783258428E-4</v>
      </c>
      <c r="U62" s="52">
        <f t="shared" si="28"/>
        <v>5.6744009947684695E-5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2.8298625951132052E-4</v>
      </c>
      <c r="C63" s="54">
        <v>4.5460038351183421E-4</v>
      </c>
      <c r="D63" s="55">
        <v>3.7473997892271373E-6</v>
      </c>
      <c r="E63" s="1">
        <v>6.5984909373535672E-5</v>
      </c>
      <c r="F63" s="56">
        <v>3.6103272222210868E-4</v>
      </c>
      <c r="G63" s="2">
        <v>-5.0446845792631985E-2</v>
      </c>
      <c r="H63" s="2">
        <v>-3.4389700384573889E-2</v>
      </c>
      <c r="I63" s="2">
        <v>9.0431099999405878E-2</v>
      </c>
      <c r="J63" s="2">
        <v>0.25962646861842154</v>
      </c>
      <c r="K63" s="2">
        <v>1</v>
      </c>
      <c r="L63" s="2">
        <v>-0.82513963652016964</v>
      </c>
      <c r="M63" s="2">
        <v>-0.21793842610407982</v>
      </c>
      <c r="N63" s="2">
        <v>0.99999999999997435</v>
      </c>
      <c r="O63" s="69"/>
      <c r="R63" s="51" t="str">
        <f t="shared" si="25"/>
        <v>Aandelen opkomend</v>
      </c>
      <c r="S63" s="52">
        <f t="shared" si="26"/>
        <v>3.7473997892271373E-6</v>
      </c>
      <c r="T63" s="52">
        <f t="shared" si="27"/>
        <v>2.7923885972209339E-4</v>
      </c>
      <c r="U63" s="52">
        <f t="shared" si="28"/>
        <v>7.804646271078816E-5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2.1290955663842291E-4</v>
      </c>
      <c r="C64" s="54">
        <v>3.8936475291691258E-4</v>
      </c>
      <c r="D64" s="55">
        <v>1.3025302336192744E-6</v>
      </c>
      <c r="E64" s="1">
        <v>4.2561345744987803E-5</v>
      </c>
      <c r="F64" s="56">
        <v>2.4774289960025509E-4</v>
      </c>
      <c r="G64" s="2">
        <v>1.3882487132336781E-2</v>
      </c>
      <c r="H64" s="2">
        <v>-7.0856763460408981E-3</v>
      </c>
      <c r="I64" s="2">
        <v>2.2743186655451782E-2</v>
      </c>
      <c r="J64" s="2">
        <v>0.16489288204248137</v>
      </c>
      <c r="K64" s="2">
        <v>0.4226747068753926</v>
      </c>
      <c r="L64" s="2">
        <v>0.50888542293378691</v>
      </c>
      <c r="M64" s="2">
        <v>1</v>
      </c>
      <c r="N64" s="2">
        <v>0.99999999999999212</v>
      </c>
      <c r="O64" s="69"/>
      <c r="R64" s="51" t="str">
        <f t="shared" si="25"/>
        <v>Commodities</v>
      </c>
      <c r="S64" s="52">
        <f t="shared" si="26"/>
        <v>1.3025302336192744E-6</v>
      </c>
      <c r="T64" s="52">
        <f t="shared" si="27"/>
        <v>2.1160702640480363E-4</v>
      </c>
      <c r="U64" s="52">
        <f t="shared" si="28"/>
        <v>3.4833342961832175E-5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0.12507877688209407</v>
      </c>
      <c r="C65" s="54">
        <v>1.8117650510776986E-3</v>
      </c>
      <c r="D65" s="55">
        <v>0.12374560106885202</v>
      </c>
      <c r="E65" s="1">
        <v>0.12497079428452063</v>
      </c>
      <c r="F65" s="56">
        <v>0.12645379496600301</v>
      </c>
      <c r="G65" s="2">
        <v>1</v>
      </c>
      <c r="H65" s="2">
        <v>-3.3131943591103233E-2</v>
      </c>
      <c r="I65" s="2">
        <v>-0.35650350428588568</v>
      </c>
      <c r="J65" s="2">
        <v>-0.31643498952277105</v>
      </c>
      <c r="K65" s="2">
        <v>-0.20568201785215051</v>
      </c>
      <c r="L65" s="2">
        <v>-0.1687092643015233</v>
      </c>
      <c r="M65" s="2">
        <v>-2.815609040102934E-2</v>
      </c>
      <c r="N65" s="2">
        <v>0.9999999999999909</v>
      </c>
      <c r="O65" s="69"/>
      <c r="R65" s="51" t="str">
        <f t="shared" si="25"/>
        <v>Hedge funds</v>
      </c>
      <c r="S65" s="52">
        <f t="shared" si="26"/>
        <v>0.12374560106885202</v>
      </c>
      <c r="T65" s="52">
        <f t="shared" si="27"/>
        <v>1.333175813242049E-3</v>
      </c>
      <c r="U65" s="52">
        <f t="shared" si="28"/>
        <v>1.375018083908941E-3</v>
      </c>
    </row>
    <row r="66" spans="1:36">
      <c r="A66" s="60" t="str">
        <f t="shared" si="24"/>
        <v>Onroerend goed</v>
      </c>
      <c r="B66" s="61">
        <v>9.984056682386987E-4</v>
      </c>
      <c r="C66" s="62">
        <v>1.3191788191435447E-3</v>
      </c>
      <c r="D66" s="63">
        <v>5.1458013811603744E-5</v>
      </c>
      <c r="E66" s="61">
        <v>4.6451762493011743E-4</v>
      </c>
      <c r="F66" s="64">
        <v>1.4397504196342588E-3</v>
      </c>
      <c r="G66" s="65">
        <v>-0.43424305110559347</v>
      </c>
      <c r="H66" s="65">
        <v>1</v>
      </c>
      <c r="I66" s="65">
        <v>-0.47113109932943786</v>
      </c>
      <c r="J66" s="65">
        <v>-0.33439869502033903</v>
      </c>
      <c r="K66" s="65">
        <v>-0.21086107283407665</v>
      </c>
      <c r="L66" s="65">
        <v>-0.12205291996617834</v>
      </c>
      <c r="M66" s="65">
        <v>-1.2048995496143609E-2</v>
      </c>
      <c r="N66" s="65">
        <v>0.99999999999998557</v>
      </c>
      <c r="O66" s="71"/>
      <c r="R66" s="51" t="str">
        <f t="shared" si="25"/>
        <v>Onroerend goed</v>
      </c>
      <c r="S66" s="52">
        <f t="shared" si="26"/>
        <v>5.1458013811603744E-5</v>
      </c>
      <c r="T66" s="52">
        <f t="shared" si="27"/>
        <v>9.4694765442709494E-4</v>
      </c>
      <c r="U66" s="52">
        <f t="shared" si="28"/>
        <v>4.4134475139556012E-4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0.64286675761350043</v>
      </c>
      <c r="H69" s="272">
        <v>0.25931466052910712</v>
      </c>
      <c r="I69" s="272">
        <v>8.415477396502824E-2</v>
      </c>
      <c r="J69" s="272">
        <v>9.4729488462279576E-3</v>
      </c>
      <c r="K69" s="272">
        <v>2.2999107409079622E-3</v>
      </c>
      <c r="L69" s="272">
        <v>1.7611678601902048E-3</v>
      </c>
      <c r="M69" s="272">
        <v>1.2978044503753061E-4</v>
      </c>
      <c r="N69" s="272">
        <v>0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0.70643490926390862</v>
      </c>
      <c r="C70" s="54">
        <v>1.5733962811335128E-2</v>
      </c>
      <c r="D70" s="55">
        <v>0.69578798891479521</v>
      </c>
      <c r="E70" s="1">
        <v>0.70613361159506993</v>
      </c>
      <c r="F70" s="56">
        <v>0.71624985386782403</v>
      </c>
      <c r="G70" s="68">
        <v>-3.4710090785231316E-2</v>
      </c>
      <c r="H70" s="68">
        <v>-0.47203121582001478</v>
      </c>
      <c r="I70" s="68">
        <v>-0.67231618128906367</v>
      </c>
      <c r="J70" s="68">
        <v>-0.26249085021864149</v>
      </c>
      <c r="K70" s="68">
        <v>0.11762129710775979</v>
      </c>
      <c r="L70" s="68">
        <v>1.9939956844244253E-2</v>
      </c>
      <c r="M70" s="2">
        <v>1</v>
      </c>
      <c r="N70" s="2">
        <v>0.99999999999959777</v>
      </c>
      <c r="O70" s="69"/>
      <c r="R70" s="51" t="str">
        <f>A70</f>
        <v>Nominale matching</v>
      </c>
      <c r="S70" s="52">
        <f>D70</f>
        <v>0.69578798891479521</v>
      </c>
      <c r="T70" s="52">
        <f>B70-D70</f>
        <v>1.0646920349113409E-2</v>
      </c>
      <c r="U70" s="52">
        <f>F70-B70</f>
        <v>9.8149446039154098E-3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9.7511053923761151E-2</v>
      </c>
      <c r="C71" s="54">
        <v>5.1233633812088383E-2</v>
      </c>
      <c r="D71" s="55">
        <v>5.8395513834443448E-2</v>
      </c>
      <c r="E71" s="1">
        <v>9.4755546680774932E-2</v>
      </c>
      <c r="F71" s="56">
        <v>0.13816560170587375</v>
      </c>
      <c r="G71" s="68">
        <v>1</v>
      </c>
      <c r="H71" s="68">
        <v>0.63227217577136319</v>
      </c>
      <c r="I71" s="68">
        <v>0.28473196531314887</v>
      </c>
      <c r="J71" s="68">
        <v>-0.1753323344402567</v>
      </c>
      <c r="K71" s="68">
        <v>-0.26440653411730847</v>
      </c>
      <c r="L71" s="68">
        <v>-5.8357296475931283E-2</v>
      </c>
      <c r="M71" s="2">
        <v>0.14836515579808374</v>
      </c>
      <c r="N71" s="2">
        <v>0.99999999999979072</v>
      </c>
      <c r="O71" s="69"/>
      <c r="R71" s="51" t="str">
        <f t="shared" ref="R71:R77" si="30">A71</f>
        <v>High Yield</v>
      </c>
      <c r="S71" s="52">
        <f t="shared" ref="S71:S77" si="31">D71</f>
        <v>5.8395513834443448E-2</v>
      </c>
      <c r="T71" s="52">
        <f t="shared" ref="T71:T77" si="32">B71-D71</f>
        <v>3.9115540089317703E-2</v>
      </c>
      <c r="U71" s="52">
        <f t="shared" ref="U71:U77" si="33">F71-B71</f>
        <v>4.0654547782112596E-2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7.1379484356709514E-3</v>
      </c>
      <c r="C72" s="54">
        <v>7.0639657697685156E-3</v>
      </c>
      <c r="D72" s="55">
        <v>1.5871659053858277E-3</v>
      </c>
      <c r="E72" s="1">
        <v>4.9059937332801458E-3</v>
      </c>
      <c r="F72" s="56">
        <v>1.0550189973366885E-2</v>
      </c>
      <c r="G72" s="68">
        <v>2.7009911764078573E-3</v>
      </c>
      <c r="H72" s="68">
        <v>-1.0868254305530929E-2</v>
      </c>
      <c r="I72" s="68">
        <v>-6.5669835810730298E-2</v>
      </c>
      <c r="J72" s="68">
        <v>1</v>
      </c>
      <c r="K72" s="68">
        <v>-0.13568439823397666</v>
      </c>
      <c r="L72" s="68">
        <v>-4.798312019830353E-2</v>
      </c>
      <c r="M72" s="2">
        <v>0.16354511166108196</v>
      </c>
      <c r="N72" s="2">
        <v>0.99999999999979017</v>
      </c>
      <c r="O72" s="69"/>
      <c r="R72" s="51" t="str">
        <f t="shared" si="30"/>
        <v>Emerging market debt</v>
      </c>
      <c r="S72" s="52">
        <f t="shared" si="31"/>
        <v>1.5871659053858277E-3</v>
      </c>
      <c r="T72" s="52">
        <f t="shared" si="32"/>
        <v>5.5507825302851237E-3</v>
      </c>
      <c r="U72" s="52">
        <f t="shared" si="33"/>
        <v>3.4122415376959337E-3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2.5454660068023917E-3</v>
      </c>
      <c r="C73" s="54">
        <v>3.2765275833763806E-3</v>
      </c>
      <c r="D73" s="55">
        <v>1.9427346504240916E-4</v>
      </c>
      <c r="E73" s="1">
        <v>1.2722893932145909E-3</v>
      </c>
      <c r="F73" s="56">
        <v>3.7627118511951744E-3</v>
      </c>
      <c r="G73" s="68">
        <v>1.0306323328306001E-2</v>
      </c>
      <c r="H73" s="68">
        <v>-4.1668164602876277E-3</v>
      </c>
      <c r="I73" s="68">
        <v>5.8343668784195364E-3</v>
      </c>
      <c r="J73" s="68">
        <v>-5.3311206038949503E-2</v>
      </c>
      <c r="K73" s="68">
        <v>1</v>
      </c>
      <c r="L73" s="68">
        <v>-0.6449458829877226</v>
      </c>
      <c r="M73" s="2">
        <v>-0.36179253441318898</v>
      </c>
      <c r="N73" s="2">
        <v>0.99999999999991385</v>
      </c>
      <c r="O73" s="69"/>
      <c r="R73" s="51" t="str">
        <f t="shared" si="30"/>
        <v>Aandelen ontwikkeld</v>
      </c>
      <c r="S73" s="52">
        <f t="shared" si="31"/>
        <v>1.9427346504240916E-4</v>
      </c>
      <c r="T73" s="52">
        <f t="shared" si="32"/>
        <v>2.3511925417599826E-3</v>
      </c>
      <c r="U73" s="52">
        <f t="shared" si="33"/>
        <v>1.2172458443927827E-3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2.4514565523950245E-3</v>
      </c>
      <c r="C74" s="54">
        <v>3.0467052681802252E-3</v>
      </c>
      <c r="D74" s="55">
        <v>2.5555750510417128E-4</v>
      </c>
      <c r="E74" s="1">
        <v>1.4110535269825286E-3</v>
      </c>
      <c r="F74" s="56">
        <v>3.4718449877663791E-3</v>
      </c>
      <c r="G74" s="68">
        <v>5.246893835375954E-3</v>
      </c>
      <c r="H74" s="68">
        <v>5.2568576287238857E-3</v>
      </c>
      <c r="I74" s="68">
        <v>-7.1798441678721184E-3</v>
      </c>
      <c r="J74" s="68">
        <v>-3.386173773171941E-2</v>
      </c>
      <c r="K74" s="68">
        <v>0.49000380566097268</v>
      </c>
      <c r="L74" s="68">
        <v>1</v>
      </c>
      <c r="M74" s="2">
        <v>-0.34147722590153795</v>
      </c>
      <c r="N74" s="2">
        <v>0.99999999999991285</v>
      </c>
      <c r="O74" s="69"/>
      <c r="R74" s="51" t="str">
        <f t="shared" si="30"/>
        <v>Aandelen opkomend</v>
      </c>
      <c r="S74" s="52">
        <f t="shared" si="31"/>
        <v>2.5555750510417128E-4</v>
      </c>
      <c r="T74" s="52">
        <f t="shared" si="32"/>
        <v>2.1958990472908534E-3</v>
      </c>
      <c r="U74" s="52">
        <f t="shared" si="33"/>
        <v>1.0203884353713545E-3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7.5921599619472133E-2</v>
      </c>
      <c r="C75" s="54">
        <v>1.3628720946689406E-2</v>
      </c>
      <c r="D75" s="55">
        <v>6.5984173392167722E-2</v>
      </c>
      <c r="E75" s="1">
        <v>7.6410928279379342E-2</v>
      </c>
      <c r="F75" s="56">
        <v>8.5110915756192673E-2</v>
      </c>
      <c r="G75" s="68">
        <v>-4.7026694505457309E-2</v>
      </c>
      <c r="H75" s="68">
        <v>-0.22112284970702673</v>
      </c>
      <c r="I75" s="68">
        <v>-0.79984285140078404</v>
      </c>
      <c r="J75" s="68">
        <v>-0.15905386838360777</v>
      </c>
      <c r="K75" s="68">
        <v>-0.65727899723804661</v>
      </c>
      <c r="L75" s="68">
        <v>-0.14717349016959641</v>
      </c>
      <c r="M75" s="2">
        <v>-0.77153386472536956</v>
      </c>
      <c r="N75" s="2">
        <v>1</v>
      </c>
      <c r="O75" s="69"/>
      <c r="R75" s="51" t="str">
        <f t="shared" si="30"/>
        <v>Commodities</v>
      </c>
      <c r="S75" s="52">
        <f t="shared" si="31"/>
        <v>6.5984173392167722E-2</v>
      </c>
      <c r="T75" s="52">
        <f t="shared" si="32"/>
        <v>9.9374262273044106E-3</v>
      </c>
      <c r="U75" s="52">
        <f t="shared" si="33"/>
        <v>9.1893161367205406E-3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7.3177142887877356E-2</v>
      </c>
      <c r="C76" s="54">
        <v>4.6011132010841636E-2</v>
      </c>
      <c r="D76" s="55">
        <v>3.6873749491835958E-2</v>
      </c>
      <c r="E76" s="1">
        <v>6.9248589161263086E-2</v>
      </c>
      <c r="F76" s="56">
        <v>0.10893780192383168</v>
      </c>
      <c r="G76" s="68">
        <v>-0.79268219625448444</v>
      </c>
      <c r="H76" s="68">
        <v>1</v>
      </c>
      <c r="I76" s="68">
        <v>0.25444238047688178</v>
      </c>
      <c r="J76" s="68">
        <v>-0.17157027880085396</v>
      </c>
      <c r="K76" s="68">
        <v>-0.2248952553316213</v>
      </c>
      <c r="L76" s="68">
        <v>-5.5768054263629394E-2</v>
      </c>
      <c r="M76" s="2">
        <v>0.18714618911536646</v>
      </c>
      <c r="N76" s="2">
        <v>0.99999999999978173</v>
      </c>
      <c r="O76" s="69"/>
      <c r="R76" s="51" t="str">
        <f t="shared" si="30"/>
        <v>Hedge funds</v>
      </c>
      <c r="S76" s="52">
        <f t="shared" si="31"/>
        <v>3.6873749491835958E-2</v>
      </c>
      <c r="T76" s="52">
        <f t="shared" si="32"/>
        <v>3.6303393396041397E-2</v>
      </c>
      <c r="U76" s="52">
        <f t="shared" si="33"/>
        <v>3.5760659035954323E-2</v>
      </c>
    </row>
    <row r="77" spans="1:36">
      <c r="A77" s="60" t="str">
        <f t="shared" si="29"/>
        <v>Onroerend goed</v>
      </c>
      <c r="B77" s="61">
        <v>3.4820423310112099E-2</v>
      </c>
      <c r="C77" s="62">
        <v>2.8515661374875951E-2</v>
      </c>
      <c r="D77" s="63">
        <v>1.13704447681858E-2</v>
      </c>
      <c r="E77" s="61">
        <v>2.8496814394798214E-2</v>
      </c>
      <c r="F77" s="64">
        <v>5.158847101570653E-2</v>
      </c>
      <c r="G77" s="70">
        <v>-0.14383522679491748</v>
      </c>
      <c r="H77" s="70">
        <v>-0.92933989710722575</v>
      </c>
      <c r="I77" s="70">
        <v>1</v>
      </c>
      <c r="J77" s="70">
        <v>-0.14437972438597305</v>
      </c>
      <c r="K77" s="70">
        <v>-0.32535991784779089</v>
      </c>
      <c r="L77" s="70">
        <v>-6.5712112749068824E-2</v>
      </c>
      <c r="M77" s="65">
        <v>-2.4252831533993158E-2</v>
      </c>
      <c r="N77" s="65">
        <v>0.99999999999983025</v>
      </c>
      <c r="O77" s="71"/>
      <c r="R77" s="51" t="str">
        <f t="shared" si="30"/>
        <v>Onroerend goed</v>
      </c>
      <c r="S77" s="52">
        <f t="shared" si="31"/>
        <v>1.13704447681858E-2</v>
      </c>
      <c r="T77" s="52">
        <f t="shared" si="32"/>
        <v>2.3449978541926299E-2</v>
      </c>
      <c r="U77" s="52">
        <f t="shared" si="33"/>
        <v>1.6768047705594431E-2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387" t="s">
        <v>64</v>
      </c>
      <c r="E79" s="388"/>
      <c r="F79" s="389"/>
      <c r="G79" s="387" t="s">
        <v>65</v>
      </c>
      <c r="H79" s="388"/>
      <c r="I79" s="388"/>
      <c r="J79" s="388"/>
      <c r="K79" s="388"/>
      <c r="L79" s="388"/>
      <c r="M79" s="388"/>
      <c r="N79" s="388"/>
      <c r="O79" s="389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0.76228681547223498</v>
      </c>
      <c r="H80" s="272">
        <v>0.15184274702273959</v>
      </c>
      <c r="I80" s="272">
        <v>5.274348294384068E-2</v>
      </c>
      <c r="J80" s="272">
        <v>3.0057516344586199E-2</v>
      </c>
      <c r="K80" s="272">
        <v>2.020755334846247E-3</v>
      </c>
      <c r="L80" s="272">
        <v>7.9138395432476472E-4</v>
      </c>
      <c r="M80" s="272">
        <v>2.5729892742187843E-4</v>
      </c>
      <c r="N80" s="272">
        <v>0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0.58286489010164844</v>
      </c>
      <c r="C81" s="54">
        <v>3.8404809550214254E-2</v>
      </c>
      <c r="D81" s="55">
        <v>0.55506710982897367</v>
      </c>
      <c r="E81" s="1">
        <v>0.58584102498434421</v>
      </c>
      <c r="F81" s="56">
        <v>0.61172228821539509</v>
      </c>
      <c r="G81" s="2">
        <v>-0.48730337972123411</v>
      </c>
      <c r="H81" s="2">
        <v>-0.12381641180738975</v>
      </c>
      <c r="I81" s="2">
        <v>-0.42040652909293791</v>
      </c>
      <c r="J81" s="2">
        <v>-0.37923974315275233</v>
      </c>
      <c r="K81" s="2">
        <v>-0.3167931462336287</v>
      </c>
      <c r="L81" s="2">
        <v>-0.86977271308511062</v>
      </c>
      <c r="M81" s="2">
        <v>-0.172161002177041</v>
      </c>
      <c r="N81" s="2">
        <v>0.99999999999998923</v>
      </c>
      <c r="O81" s="69"/>
      <c r="R81" s="51" t="str">
        <f>A81</f>
        <v>Nominale matching</v>
      </c>
      <c r="S81" s="52">
        <f>D81</f>
        <v>0.55506710982897367</v>
      </c>
      <c r="T81" s="52">
        <f>B81-D81</f>
        <v>2.7797780272674766E-2</v>
      </c>
      <c r="U81" s="52">
        <f>F81-B81</f>
        <v>2.8857398113746657E-2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2.1041395285850417E-2</v>
      </c>
      <c r="C82" s="54">
        <v>1.5751187325237139E-2</v>
      </c>
      <c r="D82" s="55">
        <v>8.9828546996098026E-3</v>
      </c>
      <c r="E82" s="1">
        <v>1.7215967815265763E-2</v>
      </c>
      <c r="F82" s="56">
        <v>3.1155118571546229E-2</v>
      </c>
      <c r="G82" s="2">
        <v>-2.2291088032007781E-3</v>
      </c>
      <c r="H82" s="2">
        <v>-1.1694579538486859E-2</v>
      </c>
      <c r="I82" s="2">
        <v>-0.10437068183015001</v>
      </c>
      <c r="J82" s="2">
        <v>1</v>
      </c>
      <c r="K82" s="2">
        <v>-0.17874715138536457</v>
      </c>
      <c r="L82" s="2">
        <v>-0.19582826296544512</v>
      </c>
      <c r="M82" s="2">
        <v>-0.15265133254625621</v>
      </c>
      <c r="N82" s="2">
        <v>0.99999999999995637</v>
      </c>
      <c r="O82" s="69"/>
      <c r="R82" s="51" t="str">
        <f t="shared" ref="R82:R88" si="35">A82</f>
        <v>High Yield</v>
      </c>
      <c r="S82" s="52">
        <f t="shared" ref="S82:S88" si="36">D82</f>
        <v>8.9828546996098026E-3</v>
      </c>
      <c r="T82" s="52">
        <f t="shared" ref="T82:T88" si="37">B82-D82</f>
        <v>1.2058540586240615E-2</v>
      </c>
      <c r="U82" s="52">
        <f t="shared" ref="U82:U88" si="38">F82-B82</f>
        <v>1.0113723285695812E-2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0.13824669226833944</v>
      </c>
      <c r="C83" s="54">
        <v>7.5543711758038631E-2</v>
      </c>
      <c r="D83" s="55">
        <v>7.6541383055763162E-2</v>
      </c>
      <c r="E83" s="1">
        <v>0.1298659754559712</v>
      </c>
      <c r="F83" s="56">
        <v>0.18586627019265059</v>
      </c>
      <c r="G83" s="2">
        <v>1</v>
      </c>
      <c r="H83" s="2">
        <v>-2.6188912917724121E-2</v>
      </c>
      <c r="I83" s="2">
        <v>-0.21776235867871366</v>
      </c>
      <c r="J83" s="2">
        <v>-0.24056209436228668</v>
      </c>
      <c r="K83" s="2">
        <v>-0.19104351161825581</v>
      </c>
      <c r="L83" s="2">
        <v>-4.0685900592308234E-2</v>
      </c>
      <c r="M83" s="2">
        <v>-0.14931849173079126</v>
      </c>
      <c r="N83" s="2">
        <v>0.99999999999994704</v>
      </c>
      <c r="O83" s="69"/>
      <c r="R83" s="51" t="str">
        <f t="shared" si="35"/>
        <v>Emerging market debt</v>
      </c>
      <c r="S83" s="52">
        <f t="shared" si="36"/>
        <v>7.6541383055763162E-2</v>
      </c>
      <c r="T83" s="52">
        <f t="shared" si="37"/>
        <v>6.1705309212576276E-2</v>
      </c>
      <c r="U83" s="52">
        <f t="shared" si="38"/>
        <v>4.7619577924311152E-2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1.32454093048489E-3</v>
      </c>
      <c r="C84" s="54">
        <v>1.5235845415857428E-3</v>
      </c>
      <c r="D84" s="55">
        <v>2.3170116148053135E-4</v>
      </c>
      <c r="E84" s="1">
        <v>7.8076817755187754E-4</v>
      </c>
      <c r="F84" s="56">
        <v>1.8597925469022139E-3</v>
      </c>
      <c r="G84" s="2">
        <v>5.3650357938682467E-4</v>
      </c>
      <c r="H84" s="2">
        <v>-4.0342857229391888E-3</v>
      </c>
      <c r="I84" s="2">
        <v>-8.523388512108496E-3</v>
      </c>
      <c r="J84" s="2">
        <v>1.0930971103257027E-3</v>
      </c>
      <c r="K84" s="2">
        <v>-1.8263853367591665E-2</v>
      </c>
      <c r="L84" s="2">
        <v>-4.8146609863521352E-2</v>
      </c>
      <c r="M84" s="2">
        <v>1</v>
      </c>
      <c r="N84" s="2">
        <v>1</v>
      </c>
      <c r="O84" s="69"/>
      <c r="R84" s="51" t="str">
        <f t="shared" si="35"/>
        <v>Aandelen ontwikkeld</v>
      </c>
      <c r="S84" s="52">
        <f t="shared" si="36"/>
        <v>2.3170116148053135E-4</v>
      </c>
      <c r="T84" s="52">
        <f t="shared" si="37"/>
        <v>1.0928397690043586E-3</v>
      </c>
      <c r="U84" s="52">
        <f t="shared" si="38"/>
        <v>5.3525161641732391E-4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5.9579668810771695E-2</v>
      </c>
      <c r="C85" s="54">
        <v>3.5335142131366654E-2</v>
      </c>
      <c r="D85" s="55">
        <v>3.0629001508244061E-2</v>
      </c>
      <c r="E85" s="1">
        <v>5.8252757174268692E-2</v>
      </c>
      <c r="F85" s="56">
        <v>8.3539394583833831E-2</v>
      </c>
      <c r="G85" s="2">
        <v>-0.22594916835929704</v>
      </c>
      <c r="H85" s="2">
        <v>1</v>
      </c>
      <c r="I85" s="2">
        <v>-9.4143955241638752E-2</v>
      </c>
      <c r="J85" s="2">
        <v>-0.12553691359088831</v>
      </c>
      <c r="K85" s="2">
        <v>-7.9905514577524067E-2</v>
      </c>
      <c r="L85" s="2">
        <v>0.6397506581357163</v>
      </c>
      <c r="M85" s="2">
        <v>-0.12693531043130787</v>
      </c>
      <c r="N85" s="2">
        <v>0.9999999999999124</v>
      </c>
      <c r="O85" s="69"/>
      <c r="R85" s="51" t="str">
        <f t="shared" si="35"/>
        <v>Aandelen opkomend</v>
      </c>
      <c r="S85" s="52">
        <f t="shared" si="36"/>
        <v>3.0629001508244061E-2</v>
      </c>
      <c r="T85" s="52">
        <f t="shared" si="37"/>
        <v>2.8950667302527634E-2</v>
      </c>
      <c r="U85" s="52">
        <f t="shared" si="38"/>
        <v>2.3959725773062136E-2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0.16444314694977685</v>
      </c>
      <c r="C86" s="54">
        <v>3.0274149184160975E-2</v>
      </c>
      <c r="D86" s="55">
        <v>0.14282549183764745</v>
      </c>
      <c r="E86" s="1">
        <v>0.16590922192182173</v>
      </c>
      <c r="F86" s="56">
        <v>0.18674527533684268</v>
      </c>
      <c r="G86" s="2">
        <v>-0.24715823868436448</v>
      </c>
      <c r="H86" s="2">
        <v>-0.76613208794781607</v>
      </c>
      <c r="I86" s="2">
        <v>-0.12575571012459641</v>
      </c>
      <c r="J86" s="2">
        <v>-9.8787595713632659E-2</v>
      </c>
      <c r="K86" s="2">
        <v>-3.8343979097146597E-2</v>
      </c>
      <c r="L86" s="2">
        <v>1</v>
      </c>
      <c r="M86" s="2">
        <v>-0.12302227794224534</v>
      </c>
      <c r="N86" s="2">
        <v>0.99999999999989275</v>
      </c>
      <c r="O86" s="69"/>
      <c r="R86" s="51" t="str">
        <f t="shared" si="35"/>
        <v>Commodities</v>
      </c>
      <c r="S86" s="52">
        <f t="shared" si="36"/>
        <v>0.14282549183764745</v>
      </c>
      <c r="T86" s="52">
        <f t="shared" si="37"/>
        <v>2.1617655112129402E-2</v>
      </c>
      <c r="U86" s="52">
        <f t="shared" si="38"/>
        <v>2.2302128387065828E-2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2.8381538622851237E-2</v>
      </c>
      <c r="C87" s="54">
        <v>2.0930388605931216E-2</v>
      </c>
      <c r="D87" s="55">
        <v>1.1420359987527176E-2</v>
      </c>
      <c r="E87" s="1">
        <v>2.4419426755871269E-2</v>
      </c>
      <c r="F87" s="56">
        <v>4.2516939804254791E-2</v>
      </c>
      <c r="G87" s="2">
        <v>-3.9634100568580327E-2</v>
      </c>
      <c r="H87" s="2">
        <v>-6.1407972068150282E-2</v>
      </c>
      <c r="I87" s="2">
        <v>1</v>
      </c>
      <c r="J87" s="2">
        <v>-0.13239536875060454</v>
      </c>
      <c r="K87" s="2">
        <v>-0.1769028437204892</v>
      </c>
      <c r="L87" s="2">
        <v>-0.21716903755675723</v>
      </c>
      <c r="M87" s="2">
        <v>-0.14356639470585239</v>
      </c>
      <c r="N87" s="2">
        <v>0.99999999999995781</v>
      </c>
      <c r="O87" s="69"/>
      <c r="R87" s="51" t="str">
        <f t="shared" si="35"/>
        <v>Hedge funds</v>
      </c>
      <c r="S87" s="52">
        <f t="shared" si="36"/>
        <v>1.1420359987527176E-2</v>
      </c>
      <c r="T87" s="52">
        <f t="shared" si="37"/>
        <v>1.6961178635324061E-2</v>
      </c>
      <c r="U87" s="52">
        <f t="shared" si="38"/>
        <v>1.4135401181403554E-2</v>
      </c>
    </row>
    <row r="88" spans="1:36">
      <c r="A88" s="60" t="str">
        <f t="shared" si="34"/>
        <v>Onroerend goed</v>
      </c>
      <c r="B88" s="286">
        <v>4.1181270302766866E-3</v>
      </c>
      <c r="C88" s="62">
        <v>4.2023119555621644E-3</v>
      </c>
      <c r="D88" s="63">
        <v>1.0345270745031471E-3</v>
      </c>
      <c r="E88" s="61">
        <v>2.7389604783313445E-3</v>
      </c>
      <c r="F88" s="64">
        <v>6.1437453588569979E-3</v>
      </c>
      <c r="G88" s="65">
        <v>1.7374925572903373E-3</v>
      </c>
      <c r="H88" s="65">
        <v>-6.7257499974937044E-3</v>
      </c>
      <c r="I88" s="65">
        <v>-2.9037376519856328E-2</v>
      </c>
      <c r="J88" s="65">
        <v>-2.4571381540162616E-2</v>
      </c>
      <c r="K88" s="65">
        <v>1</v>
      </c>
      <c r="L88" s="65">
        <v>-0.26814813407245025</v>
      </c>
      <c r="M88" s="65">
        <v>-0.13234519046655852</v>
      </c>
      <c r="N88" s="65">
        <v>0.99999999999996025</v>
      </c>
      <c r="O88" s="71"/>
      <c r="R88" s="51" t="str">
        <f t="shared" si="35"/>
        <v>Onroerend goed</v>
      </c>
      <c r="S88" s="52">
        <f t="shared" si="36"/>
        <v>1.0345270745031471E-3</v>
      </c>
      <c r="T88" s="52">
        <f t="shared" si="37"/>
        <v>3.0835999557735395E-3</v>
      </c>
      <c r="U88" s="52">
        <f t="shared" si="38"/>
        <v>2.0256183285803113E-3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387" t="s">
        <v>64</v>
      </c>
      <c r="E2" s="388"/>
      <c r="F2" s="389"/>
      <c r="G2" s="387" t="s">
        <v>65</v>
      </c>
      <c r="H2" s="388"/>
      <c r="I2" s="388"/>
      <c r="J2" s="388"/>
      <c r="K2" s="388"/>
      <c r="L2" s="388"/>
      <c r="M2" s="388"/>
      <c r="N2" s="389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0.43632599489923096</v>
      </c>
      <c r="H3" s="272">
        <v>0.24817509459262599</v>
      </c>
      <c r="I3" s="272">
        <v>0.16202797467032226</v>
      </c>
      <c r="J3" s="272">
        <v>8.3752632791663784E-2</v>
      </c>
      <c r="K3" s="272">
        <v>5.072687144501109E-2</v>
      </c>
      <c r="L3" s="272">
        <v>1.899143160114336E-2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0.18587618681875592</v>
      </c>
      <c r="C4" s="118">
        <v>9.859159645045476E-2</v>
      </c>
      <c r="D4" s="119">
        <v>8.302828861533755E-2</v>
      </c>
      <c r="E4" s="117">
        <v>0.17556998996507819</v>
      </c>
      <c r="F4" s="120">
        <v>0.29403115318535644</v>
      </c>
      <c r="G4" s="2">
        <v>-0.85233418108983594</v>
      </c>
      <c r="H4" s="2">
        <v>-0.92778331461619679</v>
      </c>
      <c r="I4" s="2">
        <v>0.3394272371434589</v>
      </c>
      <c r="J4" s="2">
        <v>-0.39264536922598292</v>
      </c>
      <c r="K4" s="2">
        <v>-0.2123352592726338</v>
      </c>
      <c r="L4" s="2">
        <v>-0.19072827260523254</v>
      </c>
      <c r="M4" s="2">
        <v>0.99999999999999734</v>
      </c>
      <c r="N4" s="57"/>
      <c r="O4" s="72"/>
      <c r="Q4" s="72" t="str">
        <f>A4</f>
        <v>High Yield</v>
      </c>
      <c r="R4" s="72">
        <f>D4</f>
        <v>8.302828861533755E-2</v>
      </c>
      <c r="S4" s="52">
        <f>B4-D4</f>
        <v>0.10284789820341837</v>
      </c>
      <c r="T4" s="52">
        <f>F4-B4</f>
        <v>0.10815496636660052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0.19593003834594419</v>
      </c>
      <c r="C5" s="118">
        <v>0.10684889416955402</v>
      </c>
      <c r="D5" s="119">
        <v>8.3211826606491859E-2</v>
      </c>
      <c r="E5" s="117">
        <v>0.18307870722898339</v>
      </c>
      <c r="F5" s="120">
        <v>0.30711483857867283</v>
      </c>
      <c r="G5" s="2">
        <v>1</v>
      </c>
      <c r="H5" s="2">
        <v>-0.8376694843223792</v>
      </c>
      <c r="I5" s="2">
        <v>4.6967182879556209E-2</v>
      </c>
      <c r="J5" s="2">
        <v>-0.32723320393613975</v>
      </c>
      <c r="K5" s="2">
        <v>-8.9203364147359229E-2</v>
      </c>
      <c r="L5" s="2">
        <v>-0.19027621696894434</v>
      </c>
      <c r="M5" s="2">
        <v>0.99999999999999767</v>
      </c>
      <c r="N5" s="57"/>
      <c r="O5" s="72"/>
      <c r="Q5" s="72" t="str">
        <f t="shared" ref="Q5:Q10" si="0">A5</f>
        <v>Emerging market debt</v>
      </c>
      <c r="R5" s="72">
        <f t="shared" ref="R5:R10" si="1">D5</f>
        <v>8.3211826606491859E-2</v>
      </c>
      <c r="S5" s="52">
        <f t="shared" ref="S5:S10" si="2">B5-D5</f>
        <v>0.11271821173945233</v>
      </c>
      <c r="T5" s="52">
        <f t="shared" ref="T5:T10" si="3">F5-B5</f>
        <v>0.11118480023272864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0.19150004551580829</v>
      </c>
      <c r="C6" s="118">
        <v>5.920327348817761E-2</v>
      </c>
      <c r="D6" s="119">
        <v>0.12938338449220244</v>
      </c>
      <c r="E6" s="117">
        <v>0.18784750758740321</v>
      </c>
      <c r="F6" s="120">
        <v>0.25216440427535625</v>
      </c>
      <c r="G6" s="2">
        <v>-8.3779312482232221E-2</v>
      </c>
      <c r="H6" s="2">
        <v>-0.60240144692409825</v>
      </c>
      <c r="I6" s="2">
        <v>-0.32613062640998741</v>
      </c>
      <c r="J6" s="2">
        <v>1</v>
      </c>
      <c r="K6" s="2">
        <v>0.11244554069056452</v>
      </c>
      <c r="L6" s="2">
        <v>-9.8500498016355312E-2</v>
      </c>
      <c r="M6" s="2">
        <v>0.99999999999999822</v>
      </c>
      <c r="N6" s="57"/>
      <c r="O6" s="72"/>
      <c r="Q6" s="72" t="str">
        <f t="shared" si="0"/>
        <v>Aandelen ontwikkeld</v>
      </c>
      <c r="R6" s="72">
        <f t="shared" si="1"/>
        <v>0.12938338449220244</v>
      </c>
      <c r="S6" s="52">
        <f t="shared" si="2"/>
        <v>6.2116661023605857E-2</v>
      </c>
      <c r="T6" s="52">
        <f t="shared" si="3"/>
        <v>6.0664358759547954E-2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0.11626607511640719</v>
      </c>
      <c r="C7" s="118">
        <v>4.8383041417945624E-2</v>
      </c>
      <c r="D7" s="119">
        <v>6.6193472978205686E-2</v>
      </c>
      <c r="E7" s="117">
        <v>0.11541535762966304</v>
      </c>
      <c r="F7" s="120">
        <v>0.16809797819482036</v>
      </c>
      <c r="G7" s="2">
        <v>-0.10512706862083919</v>
      </c>
      <c r="H7" s="2">
        <v>0.49950301437523376</v>
      </c>
      <c r="I7" s="2">
        <v>-0.17938376397344971</v>
      </c>
      <c r="J7" s="2">
        <v>-0.27751478245965161</v>
      </c>
      <c r="K7" s="2">
        <v>1</v>
      </c>
      <c r="L7" s="2">
        <v>-0.16707308703977319</v>
      </c>
      <c r="M7" s="2">
        <v>0.99999999999999833</v>
      </c>
      <c r="N7" s="57"/>
      <c r="O7" s="72"/>
      <c r="Q7" s="72" t="str">
        <f t="shared" si="0"/>
        <v>Aandelen opkomend</v>
      </c>
      <c r="R7" s="72">
        <f t="shared" si="1"/>
        <v>6.6193472978205686E-2</v>
      </c>
      <c r="S7" s="52">
        <f t="shared" si="2"/>
        <v>5.00726021382015E-2</v>
      </c>
      <c r="T7" s="52">
        <f t="shared" si="3"/>
        <v>5.1831903078413177E-2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4.7650921211703327E-2</v>
      </c>
      <c r="C8" s="118">
        <v>2.5176162729858443E-2</v>
      </c>
      <c r="D8" s="119">
        <v>2.0955085814503345E-2</v>
      </c>
      <c r="E8" s="117">
        <v>4.5712722077782555E-2</v>
      </c>
      <c r="F8" s="120">
        <v>7.3258743954080788E-2</v>
      </c>
      <c r="G8" s="2">
        <v>4.6513888735888898E-3</v>
      </c>
      <c r="H8" s="2">
        <v>1.3028324564856676E-2</v>
      </c>
      <c r="I8" s="2">
        <v>-9.9245588031475203E-4</v>
      </c>
      <c r="J8" s="2">
        <v>-7.9474054270020009E-2</v>
      </c>
      <c r="K8" s="2">
        <v>-2.474077422768613E-2</v>
      </c>
      <c r="L8" s="2">
        <v>1</v>
      </c>
      <c r="M8" s="2">
        <v>1</v>
      </c>
      <c r="N8" s="57"/>
      <c r="O8" s="72"/>
      <c r="Q8" s="72" t="str">
        <f t="shared" si="0"/>
        <v>Commodities</v>
      </c>
      <c r="R8" s="72">
        <f t="shared" si="1"/>
        <v>2.0955085814503345E-2</v>
      </c>
      <c r="S8" s="52">
        <f t="shared" si="2"/>
        <v>2.6695835397199982E-2</v>
      </c>
      <c r="T8" s="52">
        <f t="shared" si="3"/>
        <v>2.560782274237746E-2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0.12400487581055122</v>
      </c>
      <c r="C9" s="118">
        <v>6.8894580918357526E-2</v>
      </c>
      <c r="D9" s="119">
        <v>5.0170973932195058E-2</v>
      </c>
      <c r="E9" s="117">
        <v>0.11868082159319893</v>
      </c>
      <c r="F9" s="120">
        <v>0.19850571754246873</v>
      </c>
      <c r="G9" s="2">
        <v>-8.4884122653030872E-2</v>
      </c>
      <c r="H9" s="2">
        <v>0.85532290692258395</v>
      </c>
      <c r="I9" s="2">
        <v>-0.87988757375926174</v>
      </c>
      <c r="J9" s="2">
        <v>-0.18514216234798439</v>
      </c>
      <c r="K9" s="2">
        <v>-0.57368286470222307</v>
      </c>
      <c r="L9" s="2">
        <v>-0.19468997323177259</v>
      </c>
      <c r="M9" s="2">
        <v>0.99999999999999822</v>
      </c>
      <c r="N9" s="57"/>
      <c r="O9" s="72"/>
      <c r="Q9" s="72" t="str">
        <f t="shared" si="0"/>
        <v>Hedge funds</v>
      </c>
      <c r="R9" s="72">
        <f t="shared" si="1"/>
        <v>5.0170973932195058E-2</v>
      </c>
      <c r="S9" s="52">
        <f t="shared" si="2"/>
        <v>7.3833901878356173E-2</v>
      </c>
      <c r="T9" s="52">
        <f t="shared" si="3"/>
        <v>7.4500841731917511E-2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0.13877185718082916</v>
      </c>
      <c r="C10" s="122">
        <v>7.6445009545650228E-2</v>
      </c>
      <c r="D10" s="123">
        <v>5.7489677535642388E-2</v>
      </c>
      <c r="E10" s="121">
        <v>0.12946282192445285</v>
      </c>
      <c r="F10" s="124">
        <v>0.22456162729452972</v>
      </c>
      <c r="G10" s="65">
        <v>0.12147329597234964</v>
      </c>
      <c r="H10" s="65">
        <v>1</v>
      </c>
      <c r="I10" s="65">
        <v>1</v>
      </c>
      <c r="J10" s="65">
        <v>0.26200957223977844</v>
      </c>
      <c r="K10" s="65">
        <v>-0.21248327834066347</v>
      </c>
      <c r="L10" s="65">
        <v>-0.15873195213792413</v>
      </c>
      <c r="M10" s="65">
        <v>0.99999999999999667</v>
      </c>
      <c r="N10" s="66"/>
      <c r="O10" s="72"/>
      <c r="Q10" s="72" t="str">
        <f t="shared" si="0"/>
        <v>Onroerend goed</v>
      </c>
      <c r="R10" s="72">
        <f t="shared" si="1"/>
        <v>5.7489677535642388E-2</v>
      </c>
      <c r="S10" s="52">
        <f t="shared" si="2"/>
        <v>8.1282179645186775E-2</v>
      </c>
      <c r="T10" s="52">
        <f t="shared" si="3"/>
        <v>8.5789770113700564E-2</v>
      </c>
      <c r="U10" s="52"/>
      <c r="V10" s="52"/>
      <c r="W10" s="52"/>
    </row>
    <row r="12" spans="1:23">
      <c r="A12" s="48" t="s">
        <v>68</v>
      </c>
      <c r="D12" s="387" t="s">
        <v>64</v>
      </c>
      <c r="E12" s="388"/>
      <c r="F12" s="389"/>
      <c r="G12" s="387" t="s">
        <v>65</v>
      </c>
      <c r="H12" s="388"/>
      <c r="I12" s="388"/>
      <c r="J12" s="388"/>
      <c r="K12" s="388"/>
      <c r="L12" s="388"/>
      <c r="M12" s="388"/>
      <c r="N12" s="389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0.68787589408354466</v>
      </c>
      <c r="H13" s="272">
        <v>0.21068815331220103</v>
      </c>
      <c r="I13" s="272">
        <v>6.2728497315269416E-2</v>
      </c>
      <c r="J13" s="272">
        <v>3.5755222122152874E-2</v>
      </c>
      <c r="K13" s="272">
        <v>2.6098030995289623E-3</v>
      </c>
      <c r="L13" s="272">
        <v>3.4243006730960701E-4</v>
      </c>
      <c r="M13" s="272">
        <v>1.1102230246251565E-16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5.0459309354182712E-2</v>
      </c>
      <c r="C14" s="118">
        <v>3.72643237246119E-2</v>
      </c>
      <c r="D14" s="119">
        <v>1.2891938175602909E-2</v>
      </c>
      <c r="E14" s="117">
        <v>4.1649117160944771E-2</v>
      </c>
      <c r="F14" s="120">
        <v>8.9752445703536868E-2</v>
      </c>
      <c r="G14" s="2">
        <v>-3.1838559739488369E-2</v>
      </c>
      <c r="H14" s="2">
        <v>-7.8276740781596573E-3</v>
      </c>
      <c r="I14" s="2">
        <v>-0.21367213044256406</v>
      </c>
      <c r="J14" s="2">
        <v>1</v>
      </c>
      <c r="K14" s="2">
        <v>-0.17230924713267073</v>
      </c>
      <c r="L14" s="2">
        <v>-0.17087280562404839</v>
      </c>
      <c r="M14" s="2">
        <v>0.99999999999999323</v>
      </c>
      <c r="N14" s="57"/>
      <c r="Q14" s="51" t="str">
        <f t="shared" ref="Q14:Q20" si="4">A14</f>
        <v>High Yield</v>
      </c>
      <c r="R14" s="72">
        <f>D14</f>
        <v>1.2891938175602909E-2</v>
      </c>
      <c r="S14" s="52">
        <f>B14-D14</f>
        <v>3.7567371178579806E-2</v>
      </c>
      <c r="T14" s="52">
        <f>F14-B14</f>
        <v>3.9293136349354156E-2</v>
      </c>
      <c r="U14" s="52"/>
    </row>
    <row r="15" spans="1:23">
      <c r="A15" s="59" t="str">
        <f t="shared" ref="A15:A20" si="5">A5</f>
        <v>Emerging market debt</v>
      </c>
      <c r="B15" s="117">
        <v>0.31889002302021602</v>
      </c>
      <c r="C15" s="118">
        <v>0.15017863297790501</v>
      </c>
      <c r="D15" s="119">
        <v>0.17021385980185974</v>
      </c>
      <c r="E15" s="117">
        <v>0.31494782137959554</v>
      </c>
      <c r="F15" s="120">
        <v>0.47232815288221142</v>
      </c>
      <c r="G15" s="2">
        <v>1</v>
      </c>
      <c r="H15" s="2">
        <v>-9.7763028785816497E-2</v>
      </c>
      <c r="I15" s="2">
        <v>-0.17103090863484902</v>
      </c>
      <c r="J15" s="2">
        <v>-0.26682754938299125</v>
      </c>
      <c r="K15" s="2">
        <v>-0.21075882255238046</v>
      </c>
      <c r="L15" s="2">
        <v>-0.17096054674939132</v>
      </c>
      <c r="M15" s="2">
        <v>0.99999999999999867</v>
      </c>
      <c r="N15" s="57"/>
      <c r="Q15" s="51" t="str">
        <f t="shared" si="4"/>
        <v>Emerging market debt</v>
      </c>
      <c r="R15" s="72">
        <f t="shared" ref="R15:R20" si="6">D15</f>
        <v>0.17021385980185974</v>
      </c>
      <c r="S15" s="52">
        <f t="shared" ref="S15:S20" si="7">B15-D15</f>
        <v>0.14867616321835628</v>
      </c>
      <c r="T15" s="52">
        <f t="shared" ref="T15:T20" si="8">F15-B15</f>
        <v>0.1534381298619954</v>
      </c>
      <c r="U15" s="52"/>
    </row>
    <row r="16" spans="1:23">
      <c r="A16" s="59" t="str">
        <f t="shared" si="5"/>
        <v>Aandelen ontwikkeld</v>
      </c>
      <c r="B16" s="117">
        <v>3.2023695687434638E-3</v>
      </c>
      <c r="C16" s="118">
        <v>3.7125641944987867E-3</v>
      </c>
      <c r="D16" s="119">
        <v>2.276551998030159E-4</v>
      </c>
      <c r="E16" s="117">
        <v>1.8685632716868698E-3</v>
      </c>
      <c r="F16" s="120">
        <v>6.1275677034570205E-3</v>
      </c>
      <c r="G16" s="2">
        <v>-8.4637378551533505E-4</v>
      </c>
      <c r="H16" s="2">
        <v>-4.6107918852044258E-3</v>
      </c>
      <c r="I16" s="2">
        <v>-9.9057946619393496E-3</v>
      </c>
      <c r="J16" s="2">
        <v>-3.3774313380982498E-4</v>
      </c>
      <c r="K16" s="2">
        <v>-1.4434618171980726E-2</v>
      </c>
      <c r="L16" s="2">
        <v>1</v>
      </c>
      <c r="M16" s="2">
        <v>0.99999999999978739</v>
      </c>
      <c r="N16" s="57"/>
      <c r="Q16" s="51" t="str">
        <f t="shared" si="4"/>
        <v>Aandelen ontwikkeld</v>
      </c>
      <c r="R16" s="72">
        <f t="shared" si="6"/>
        <v>2.276551998030159E-4</v>
      </c>
      <c r="S16" s="52">
        <f t="shared" si="7"/>
        <v>2.9747143689404479E-3</v>
      </c>
      <c r="T16" s="52">
        <f t="shared" si="8"/>
        <v>2.9251981347135567E-3</v>
      </c>
      <c r="U16" s="52"/>
    </row>
    <row r="17" spans="1:24">
      <c r="A17" s="59" t="str">
        <f t="shared" si="5"/>
        <v>Aandelen opkomend</v>
      </c>
      <c r="B17" s="117">
        <v>0.14704931447765546</v>
      </c>
      <c r="C17" s="118">
        <v>9.2604229691785389E-2</v>
      </c>
      <c r="D17" s="119">
        <v>5.1324843104687469E-2</v>
      </c>
      <c r="E17" s="117">
        <v>0.13686645708333986</v>
      </c>
      <c r="F17" s="120">
        <v>0.24603304146861915</v>
      </c>
      <c r="G17" s="2">
        <v>-0.34585327713632213</v>
      </c>
      <c r="H17" s="2">
        <v>1</v>
      </c>
      <c r="I17" s="2">
        <v>-0.24369379339845917</v>
      </c>
      <c r="J17" s="2">
        <v>-0.31581093001445798</v>
      </c>
      <c r="K17" s="2">
        <v>-0.21114152527616745</v>
      </c>
      <c r="L17" s="2">
        <v>-0.16914127367758378</v>
      </c>
      <c r="M17" s="2">
        <v>0.99999999999999789</v>
      </c>
      <c r="N17" s="57"/>
      <c r="Q17" s="51" t="str">
        <f t="shared" si="4"/>
        <v>Aandelen opkomend</v>
      </c>
      <c r="R17" s="72">
        <f t="shared" si="6"/>
        <v>5.1324843104687469E-2</v>
      </c>
      <c r="S17" s="52">
        <f t="shared" si="7"/>
        <v>9.5724471372967995E-2</v>
      </c>
      <c r="T17" s="52">
        <f t="shared" si="8"/>
        <v>9.8983726990963694E-2</v>
      </c>
      <c r="U17" s="52"/>
    </row>
    <row r="18" spans="1:24">
      <c r="A18" s="59" t="str">
        <f t="shared" si="5"/>
        <v>Commodities</v>
      </c>
      <c r="B18" s="117">
        <v>0.40218784704210481</v>
      </c>
      <c r="C18" s="118">
        <v>0.10256034863318039</v>
      </c>
      <c r="D18" s="119">
        <v>0.29957925164965754</v>
      </c>
      <c r="E18" s="117">
        <v>0.39574786710344712</v>
      </c>
      <c r="F18" s="120">
        <v>0.50095416709376539</v>
      </c>
      <c r="G18" s="2">
        <v>-0.52634647453600936</v>
      </c>
      <c r="H18" s="2">
        <v>-0.83365511044436258</v>
      </c>
      <c r="I18" s="2">
        <v>-0.32863189681000526</v>
      </c>
      <c r="J18" s="2">
        <v>-0.35504782153425585</v>
      </c>
      <c r="K18" s="2">
        <v>-0.22576640014686111</v>
      </c>
      <c r="L18" s="2">
        <v>-0.1760553108813088</v>
      </c>
      <c r="M18" s="2">
        <v>1</v>
      </c>
      <c r="N18" s="57"/>
      <c r="Q18" s="51" t="str">
        <f t="shared" si="4"/>
        <v>Commodities</v>
      </c>
      <c r="R18" s="72">
        <f t="shared" si="6"/>
        <v>0.29957925164965754</v>
      </c>
      <c r="S18" s="52">
        <f t="shared" si="7"/>
        <v>0.10260859539244727</v>
      </c>
      <c r="T18" s="52">
        <f t="shared" si="8"/>
        <v>9.8766320051660583E-2</v>
      </c>
      <c r="U18" s="52"/>
    </row>
    <row r="19" spans="1:24">
      <c r="A19" s="59" t="str">
        <f t="shared" si="5"/>
        <v>Hedge funds</v>
      </c>
      <c r="B19" s="117">
        <v>6.8269380613895994E-2</v>
      </c>
      <c r="C19" s="118">
        <v>5.0149187447613687E-2</v>
      </c>
      <c r="D19" s="119">
        <v>1.6591943830250786E-2</v>
      </c>
      <c r="E19" s="117">
        <v>5.9749974557562174E-2</v>
      </c>
      <c r="F19" s="120">
        <v>0.12447967563250217</v>
      </c>
      <c r="G19" s="2">
        <v>-9.31035457325151E-2</v>
      </c>
      <c r="H19" s="2">
        <v>-4.894849850214171E-2</v>
      </c>
      <c r="I19" s="2">
        <v>1</v>
      </c>
      <c r="J19" s="2">
        <v>-2.677220476361937E-2</v>
      </c>
      <c r="K19" s="2">
        <v>-0.16558938671990475</v>
      </c>
      <c r="L19" s="2">
        <v>-0.15997928177778387</v>
      </c>
      <c r="M19" s="2">
        <v>0.99999999999999334</v>
      </c>
      <c r="N19" s="57"/>
      <c r="Q19" s="51" t="str">
        <f t="shared" si="4"/>
        <v>Hedge funds</v>
      </c>
      <c r="R19" s="72">
        <f t="shared" si="6"/>
        <v>1.6591943830250786E-2</v>
      </c>
      <c r="S19" s="52">
        <f t="shared" si="7"/>
        <v>5.1677436783645211E-2</v>
      </c>
      <c r="T19" s="52">
        <f t="shared" si="8"/>
        <v>5.6210295018606179E-2</v>
      </c>
      <c r="U19" s="52"/>
    </row>
    <row r="20" spans="1:24">
      <c r="A20" s="60" t="str">
        <f t="shared" si="5"/>
        <v>Onroerend goed</v>
      </c>
      <c r="B20" s="121">
        <v>9.9417559232009619E-3</v>
      </c>
      <c r="C20" s="122">
        <v>1.0213770040145516E-2</v>
      </c>
      <c r="D20" s="123">
        <v>1.0707936897168284E-3</v>
      </c>
      <c r="E20" s="121">
        <v>6.4802471947796782E-3</v>
      </c>
      <c r="F20" s="124">
        <v>2.0326735228110085E-2</v>
      </c>
      <c r="G20" s="65">
        <v>-2.0117690701502476E-3</v>
      </c>
      <c r="H20" s="65">
        <v>-7.1948963043142198E-3</v>
      </c>
      <c r="I20" s="65">
        <v>-3.306547605218247E-2</v>
      </c>
      <c r="J20" s="65">
        <v>-3.5203751170861608E-2</v>
      </c>
      <c r="K20" s="65">
        <v>1</v>
      </c>
      <c r="L20" s="65">
        <v>-0.15299078128968124</v>
      </c>
      <c r="M20" s="65">
        <v>0.99999999999995903</v>
      </c>
      <c r="N20" s="66"/>
      <c r="Q20" s="51" t="str">
        <f t="shared" si="4"/>
        <v>Onroerend goed</v>
      </c>
      <c r="R20" s="72">
        <f t="shared" si="6"/>
        <v>1.0707936897168284E-3</v>
      </c>
      <c r="S20" s="52">
        <f t="shared" si="7"/>
        <v>8.8709622334841344E-3</v>
      </c>
      <c r="T20" s="52">
        <f t="shared" si="8"/>
        <v>1.0384979304909123E-2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387" t="s">
        <v>64</v>
      </c>
      <c r="E22" s="388"/>
      <c r="F22" s="389"/>
      <c r="G22" s="387" t="s">
        <v>65</v>
      </c>
      <c r="H22" s="388"/>
      <c r="I22" s="388"/>
      <c r="J22" s="388"/>
      <c r="K22" s="388"/>
      <c r="L22" s="388"/>
      <c r="M22" s="388"/>
      <c r="N22" s="389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0.58311588782356027</v>
      </c>
      <c r="H23" s="272">
        <v>0.22561380458894276</v>
      </c>
      <c r="I23" s="272">
        <v>0.10282880045025478</v>
      </c>
      <c r="J23" s="272">
        <v>5.2813944980090177E-2</v>
      </c>
      <c r="K23" s="272">
        <v>3.1704397197809153E-2</v>
      </c>
      <c r="L23" s="272">
        <v>3.9231649593369777E-3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7.3937999804960545E-3</v>
      </c>
      <c r="C24" s="118">
        <v>8.0867866119004404E-3</v>
      </c>
      <c r="D24" s="119">
        <v>6.3995498171509808E-4</v>
      </c>
      <c r="E24" s="117">
        <v>4.7449984310074722E-3</v>
      </c>
      <c r="F24" s="120">
        <v>1.4688269112076326E-2</v>
      </c>
      <c r="G24" s="2">
        <v>-2.5200706309079546E-2</v>
      </c>
      <c r="H24" s="2">
        <v>3.7810992607552898E-2</v>
      </c>
      <c r="I24" s="2">
        <v>0.12162327788971994</v>
      </c>
      <c r="J24" s="2">
        <v>0.33900880715737236</v>
      </c>
      <c r="K24" s="2">
        <v>1</v>
      </c>
      <c r="L24" s="2">
        <v>-0.21600596848650547</v>
      </c>
      <c r="M24" s="2">
        <v>0.99999999999999356</v>
      </c>
      <c r="N24" s="57"/>
      <c r="O24" s="67"/>
      <c r="Q24" s="51" t="str">
        <f t="shared" ref="Q24:Q30" si="9">A24</f>
        <v>High Yield</v>
      </c>
      <c r="R24" s="72">
        <f>D24</f>
        <v>6.3995498171509808E-4</v>
      </c>
      <c r="S24" s="52">
        <f>B24-D24</f>
        <v>6.7538449987809565E-3</v>
      </c>
      <c r="T24" s="52">
        <f>F24-B24</f>
        <v>7.2944691315802715E-3</v>
      </c>
      <c r="U24" s="52"/>
    </row>
    <row r="25" spans="1:24">
      <c r="A25" s="59" t="str">
        <f t="shared" ref="A25:A30" si="10">A5</f>
        <v>Emerging market debt</v>
      </c>
      <c r="B25" s="117">
        <v>2.2947146303904771E-2</v>
      </c>
      <c r="C25" s="118">
        <v>2.0623290607095515E-2</v>
      </c>
      <c r="D25" s="119">
        <v>4.3866860784712945E-3</v>
      </c>
      <c r="E25" s="117">
        <v>1.7162403116841085E-2</v>
      </c>
      <c r="F25" s="120">
        <v>4.2569862576230091E-2</v>
      </c>
      <c r="G25" s="2">
        <v>-0.35215555767233808</v>
      </c>
      <c r="H25" s="2">
        <v>1</v>
      </c>
      <c r="I25" s="2">
        <v>-0.55799253812494631</v>
      </c>
      <c r="J25" s="2">
        <v>-0.28020067912082114</v>
      </c>
      <c r="K25" s="2">
        <v>-0.12911375585150198</v>
      </c>
      <c r="L25" s="2">
        <v>-0.15082205784039043</v>
      </c>
      <c r="M25" s="2">
        <v>0.99999999999999378</v>
      </c>
      <c r="N25" s="57"/>
      <c r="O25" s="67"/>
      <c r="Q25" s="51" t="str">
        <f t="shared" si="9"/>
        <v>Emerging market debt</v>
      </c>
      <c r="R25" s="72">
        <f t="shared" ref="R25:R30" si="11">D25</f>
        <v>4.3866860784712945E-3</v>
      </c>
      <c r="S25" s="52">
        <f t="shared" ref="S25:S30" si="12">B25-D25</f>
        <v>1.8560460225433478E-2</v>
      </c>
      <c r="T25" s="52">
        <f t="shared" ref="T25:T30" si="13">F25-B25</f>
        <v>1.962271627232532E-2</v>
      </c>
      <c r="U25" s="52"/>
      <c r="X25" s="51"/>
    </row>
    <row r="26" spans="1:24">
      <c r="A26" s="59" t="str">
        <f t="shared" si="10"/>
        <v>Aandelen ontwikkeld</v>
      </c>
      <c r="B26" s="117">
        <v>1.7681068343821048E-3</v>
      </c>
      <c r="C26" s="118">
        <v>2.8129215516139059E-3</v>
      </c>
      <c r="D26" s="119">
        <v>1.3732210992583017E-5</v>
      </c>
      <c r="E26" s="117">
        <v>6.6593399710469E-4</v>
      </c>
      <c r="F26" s="120">
        <v>3.6380174194632587E-3</v>
      </c>
      <c r="G26" s="2">
        <v>8.3915679882270271E-3</v>
      </c>
      <c r="H26" s="2">
        <v>-7.0820483103519296E-3</v>
      </c>
      <c r="I26" s="2">
        <v>3.833603950948416E-3</v>
      </c>
      <c r="J26" s="2">
        <v>1.0942833412748916E-2</v>
      </c>
      <c r="K26" s="2">
        <v>5.3669185801879522E-2</v>
      </c>
      <c r="L26" s="2">
        <v>1</v>
      </c>
      <c r="M26" s="2">
        <v>1</v>
      </c>
      <c r="N26" s="57"/>
      <c r="O26" s="67"/>
      <c r="P26" s="72"/>
      <c r="Q26" s="51" t="str">
        <f t="shared" si="9"/>
        <v>Aandelen ontwikkeld</v>
      </c>
      <c r="R26" s="72">
        <f t="shared" si="11"/>
        <v>1.3732210992583017E-5</v>
      </c>
      <c r="S26" s="52">
        <f t="shared" si="12"/>
        <v>1.7543746233895218E-3</v>
      </c>
      <c r="T26" s="52">
        <f t="shared" si="13"/>
        <v>1.8699105850811539E-3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1.2066935081092996E-2</v>
      </c>
      <c r="C27" s="118">
        <v>1.3434964103414508E-2</v>
      </c>
      <c r="D27" s="119">
        <v>1.0441363439607613E-3</v>
      </c>
      <c r="E27" s="117">
        <v>7.1298694045122454E-3</v>
      </c>
      <c r="F27" s="120">
        <v>2.462694509617662E-2</v>
      </c>
      <c r="G27" s="2">
        <v>-9.3265451118756809E-2</v>
      </c>
      <c r="H27" s="2">
        <v>0.10114648937912686</v>
      </c>
      <c r="I27" s="2">
        <v>1</v>
      </c>
      <c r="J27" s="2">
        <v>-0.53651493902145997</v>
      </c>
      <c r="K27" s="2">
        <v>-0.18854232483315461</v>
      </c>
      <c r="L27" s="2">
        <v>-0.15589077608860311</v>
      </c>
      <c r="M27" s="2">
        <v>0.99999999999999534</v>
      </c>
      <c r="N27" s="57"/>
      <c r="O27" s="67"/>
      <c r="P27" s="72"/>
      <c r="Q27" s="51" t="str">
        <f t="shared" si="9"/>
        <v>Aandelen opkomend</v>
      </c>
      <c r="R27" s="72">
        <f t="shared" si="11"/>
        <v>1.0441363439607613E-3</v>
      </c>
      <c r="S27" s="52">
        <f t="shared" si="12"/>
        <v>1.1022798737132234E-2</v>
      </c>
      <c r="T27" s="52">
        <f t="shared" si="13"/>
        <v>1.2560010015083624E-2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0.91894860493926367</v>
      </c>
      <c r="C28" s="118">
        <v>3.1180572712046117E-2</v>
      </c>
      <c r="D28" s="119">
        <v>0.88476631331390565</v>
      </c>
      <c r="E28" s="117">
        <v>0.92023619360424691</v>
      </c>
      <c r="F28" s="120">
        <v>0.95191285057843733</v>
      </c>
      <c r="G28" s="2">
        <v>1</v>
      </c>
      <c r="H28" s="2">
        <v>-0.15791272333753323</v>
      </c>
      <c r="I28" s="2">
        <v>-0.31110081272095802</v>
      </c>
      <c r="J28" s="2">
        <v>-0.26777333741454123</v>
      </c>
      <c r="K28" s="2">
        <v>-9.9783934106129873E-2</v>
      </c>
      <c r="L28" s="2">
        <v>-0.16713132210368598</v>
      </c>
      <c r="M28" s="2">
        <v>0.999999999999994</v>
      </c>
      <c r="N28" s="57"/>
      <c r="O28" s="67"/>
      <c r="P28" s="72"/>
      <c r="Q28" s="51" t="str">
        <f t="shared" si="9"/>
        <v>Commodities</v>
      </c>
      <c r="R28" s="72">
        <f t="shared" si="11"/>
        <v>0.88476631331390565</v>
      </c>
      <c r="S28" s="52">
        <f t="shared" si="12"/>
        <v>3.4182291625358019E-2</v>
      </c>
      <c r="T28" s="52">
        <f t="shared" si="13"/>
        <v>3.2964245639173662E-2</v>
      </c>
      <c r="U28" s="52"/>
      <c r="V28" s="52"/>
      <c r="W28" s="52"/>
    </row>
    <row r="29" spans="1:24">
      <c r="A29" s="59" t="str">
        <f t="shared" si="10"/>
        <v>Hedge funds</v>
      </c>
      <c r="B29" s="117">
        <v>2.7779171426085037E-2</v>
      </c>
      <c r="C29" s="118">
        <v>2.328280336155333E-2</v>
      </c>
      <c r="D29" s="119">
        <v>5.498320483394087E-3</v>
      </c>
      <c r="E29" s="117">
        <v>2.2152474987330507E-2</v>
      </c>
      <c r="F29" s="120">
        <v>5.1951745682949871E-2</v>
      </c>
      <c r="G29" s="2">
        <v>-0.52572240793860348</v>
      </c>
      <c r="H29" s="2">
        <v>-0.99047125459346785</v>
      </c>
      <c r="I29" s="2">
        <v>-0.40455619293100531</v>
      </c>
      <c r="J29" s="2">
        <v>-0.26546268501329995</v>
      </c>
      <c r="K29" s="2">
        <v>-0.10476804999784908</v>
      </c>
      <c r="L29" s="2">
        <v>-0.15945431264515197</v>
      </c>
      <c r="M29" s="2">
        <v>0.99999999999999312</v>
      </c>
      <c r="N29" s="57"/>
      <c r="O29" s="67"/>
      <c r="P29" s="72"/>
      <c r="Q29" s="51" t="str">
        <f t="shared" si="9"/>
        <v>Hedge funds</v>
      </c>
      <c r="R29" s="72">
        <f t="shared" si="11"/>
        <v>5.498320483394087E-3</v>
      </c>
      <c r="S29" s="52">
        <f t="shared" si="12"/>
        <v>2.2280850942690951E-2</v>
      </c>
      <c r="T29" s="52">
        <f t="shared" si="13"/>
        <v>2.4172574256864834E-2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9.0962354347740495E-3</v>
      </c>
      <c r="C30" s="122">
        <v>9.6457744026458101E-3</v>
      </c>
      <c r="D30" s="123">
        <v>7.6068992311731213E-4</v>
      </c>
      <c r="E30" s="121">
        <v>6.6638478542402225E-3</v>
      </c>
      <c r="F30" s="124">
        <v>1.7776064157250901E-2</v>
      </c>
      <c r="G30" s="65">
        <v>-1.2047444949449659E-2</v>
      </c>
      <c r="H30" s="65">
        <v>1.650854425467237E-2</v>
      </c>
      <c r="I30" s="65">
        <v>0.14819266193623976</v>
      </c>
      <c r="J30" s="65">
        <v>1</v>
      </c>
      <c r="K30" s="65">
        <v>-0.53146112101324294</v>
      </c>
      <c r="L30" s="65">
        <v>-0.15069556283566876</v>
      </c>
      <c r="M30" s="65">
        <v>0.99999999999999512</v>
      </c>
      <c r="N30" s="66"/>
      <c r="O30" s="67"/>
      <c r="P30" s="72"/>
      <c r="Q30" s="51" t="str">
        <f t="shared" si="9"/>
        <v>Onroerend goed</v>
      </c>
      <c r="R30" s="72">
        <f t="shared" si="11"/>
        <v>7.6068992311731213E-4</v>
      </c>
      <c r="S30" s="52">
        <f t="shared" si="12"/>
        <v>8.3355455116567376E-3</v>
      </c>
      <c r="T30" s="52">
        <f t="shared" si="13"/>
        <v>8.6798287224768515E-3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387" t="s">
        <v>64</v>
      </c>
      <c r="E32" s="388"/>
      <c r="F32" s="389"/>
      <c r="G32" s="387" t="s">
        <v>65</v>
      </c>
      <c r="H32" s="388"/>
      <c r="I32" s="388"/>
      <c r="J32" s="388"/>
      <c r="K32" s="388"/>
      <c r="L32" s="388"/>
      <c r="M32" s="388"/>
      <c r="N32" s="389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0.56192137543860199</v>
      </c>
      <c r="H33" s="272">
        <v>0.28258122705194488</v>
      </c>
      <c r="I33" s="272">
        <v>0.12781615753337616</v>
      </c>
      <c r="J33" s="272">
        <v>1.3360169401894328E-2</v>
      </c>
      <c r="K33" s="272">
        <v>1.0745872319998129E-2</v>
      </c>
      <c r="L33" s="272">
        <v>3.5751982541756266E-3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0.26510433058893496</v>
      </c>
      <c r="C34" s="118">
        <v>0.13811745254583951</v>
      </c>
      <c r="D34" s="119">
        <v>0.12636060814086822</v>
      </c>
      <c r="E34" s="117">
        <v>0.25533946554415787</v>
      </c>
      <c r="F34" s="120">
        <v>0.4023467060861079</v>
      </c>
      <c r="G34" s="2">
        <v>1</v>
      </c>
      <c r="H34" s="2">
        <v>-0.55926080424101576</v>
      </c>
      <c r="I34" s="2">
        <v>-0.16480947499335447</v>
      </c>
      <c r="J34" s="2">
        <v>-6.7778482427786363E-2</v>
      </c>
      <c r="K34" s="2">
        <v>-0.31708741007969143</v>
      </c>
      <c r="L34" s="2">
        <v>-0.19624597152531409</v>
      </c>
      <c r="M34" s="2">
        <v>1</v>
      </c>
      <c r="N34" s="57"/>
      <c r="O34" s="67"/>
      <c r="Q34" s="51" t="str">
        <f t="shared" ref="Q34:Q40" si="15">A34</f>
        <v>High Yield</v>
      </c>
      <c r="R34" s="72">
        <f>D34</f>
        <v>0.12636060814086822</v>
      </c>
      <c r="S34" s="52">
        <f>B34-D34</f>
        <v>0.13874372244806674</v>
      </c>
      <c r="T34" s="52">
        <f>F34-B34</f>
        <v>0.13724237549717294</v>
      </c>
      <c r="U34" s="52"/>
    </row>
    <row r="35" spans="1:24">
      <c r="A35" s="59" t="str">
        <f t="shared" si="14"/>
        <v>Emerging market debt</v>
      </c>
      <c r="B35" s="117">
        <v>0.20169736451701104</v>
      </c>
      <c r="C35" s="118">
        <v>0.12434525635273594</v>
      </c>
      <c r="D35" s="119">
        <v>7.565785816112211E-2</v>
      </c>
      <c r="E35" s="117">
        <v>0.18616065719977137</v>
      </c>
      <c r="F35" s="120">
        <v>0.34341267092620198</v>
      </c>
      <c r="G35" s="2">
        <v>-0.75311048942248382</v>
      </c>
      <c r="H35" s="2">
        <v>-0.98889513884347391</v>
      </c>
      <c r="I35" s="2">
        <v>-0.20513327630061032</v>
      </c>
      <c r="J35" s="2">
        <v>-4.0005079802093342E-2</v>
      </c>
      <c r="K35" s="2">
        <v>-0.29895880337413688</v>
      </c>
      <c r="L35" s="2">
        <v>-0.18398669240130544</v>
      </c>
      <c r="M35" s="2">
        <v>0.99999999999999911</v>
      </c>
      <c r="N35" s="57"/>
      <c r="O35" s="67"/>
      <c r="Q35" s="51" t="str">
        <f t="shared" si="15"/>
        <v>Emerging market debt</v>
      </c>
      <c r="R35" s="72">
        <f t="shared" ref="R35:R40" si="16">D35</f>
        <v>7.565785816112211E-2</v>
      </c>
      <c r="S35" s="52">
        <f t="shared" ref="S35:S40" si="17">B35-D35</f>
        <v>0.12603950635588893</v>
      </c>
      <c r="T35" s="52">
        <f t="shared" ref="T35:T40" si="18">F35-B35</f>
        <v>0.14171530640919094</v>
      </c>
      <c r="U35" s="52"/>
    </row>
    <row r="36" spans="1:24">
      <c r="A36" s="59" t="str">
        <f t="shared" si="14"/>
        <v>Aandelen ontwikkeld</v>
      </c>
      <c r="B36" s="117">
        <v>1.2224224004249006E-2</v>
      </c>
      <c r="C36" s="118">
        <v>1.246102091909794E-2</v>
      </c>
      <c r="D36" s="119">
        <v>2.0048355668820274E-3</v>
      </c>
      <c r="E36" s="117">
        <v>8.6538311236340482E-3</v>
      </c>
      <c r="F36" s="120">
        <v>2.1767635155138899E-2</v>
      </c>
      <c r="G36" s="2">
        <v>6.3407862934867039E-3</v>
      </c>
      <c r="H36" s="2">
        <v>1.1214826966327047E-2</v>
      </c>
      <c r="I36" s="2">
        <v>1.0397875605485307E-2</v>
      </c>
      <c r="J36" s="2">
        <v>9.2413533697742536E-3</v>
      </c>
      <c r="K36" s="2">
        <v>-0.1475390949709264</v>
      </c>
      <c r="L36" s="2">
        <v>1</v>
      </c>
      <c r="M36" s="2">
        <v>0.99999999999999067</v>
      </c>
      <c r="N36" s="57"/>
      <c r="O36" s="67"/>
      <c r="Q36" s="51" t="str">
        <f t="shared" si="15"/>
        <v>Aandelen ontwikkeld</v>
      </c>
      <c r="R36" s="72">
        <f t="shared" si="16"/>
        <v>2.0048355668820274E-3</v>
      </c>
      <c r="S36" s="52">
        <f t="shared" si="17"/>
        <v>1.0219388437366979E-2</v>
      </c>
      <c r="T36" s="52">
        <f t="shared" si="18"/>
        <v>9.5434111508898925E-3</v>
      </c>
      <c r="U36" s="52"/>
    </row>
    <row r="37" spans="1:24">
      <c r="A37" s="59" t="str">
        <f t="shared" si="14"/>
        <v>Aandelen opkomend</v>
      </c>
      <c r="B37" s="117">
        <v>0.16689514107580686</v>
      </c>
      <c r="C37" s="118">
        <v>8.9114128480576496E-2</v>
      </c>
      <c r="D37" s="119">
        <v>7.163287110782729E-2</v>
      </c>
      <c r="E37" s="117">
        <v>0.16172245689524714</v>
      </c>
      <c r="F37" s="120">
        <v>0.26025098928482382</v>
      </c>
      <c r="G37" s="2">
        <v>-0.15117827812511175</v>
      </c>
      <c r="H37" s="2">
        <v>1</v>
      </c>
      <c r="I37" s="2">
        <v>-0.66845212344973293</v>
      </c>
      <c r="J37" s="2">
        <v>-8.5185990803543929E-2</v>
      </c>
      <c r="K37" s="2">
        <v>-0.44391321093191405</v>
      </c>
      <c r="L37" s="2">
        <v>-0.20613102866879227</v>
      </c>
      <c r="M37" s="2">
        <v>1</v>
      </c>
      <c r="N37" s="57"/>
      <c r="O37" s="67"/>
      <c r="Q37" s="51" t="str">
        <f t="shared" si="15"/>
        <v>Aandelen opkomend</v>
      </c>
      <c r="R37" s="72">
        <f t="shared" si="16"/>
        <v>7.163287110782729E-2</v>
      </c>
      <c r="S37" s="52">
        <f t="shared" si="17"/>
        <v>9.5262269967979568E-2</v>
      </c>
      <c r="T37" s="52">
        <f t="shared" si="18"/>
        <v>9.3355848209016962E-2</v>
      </c>
      <c r="U37" s="52"/>
      <c r="X37" s="51"/>
    </row>
    <row r="38" spans="1:24">
      <c r="A38" s="59" t="str">
        <f t="shared" si="14"/>
        <v>Commodities</v>
      </c>
      <c r="B38" s="117">
        <v>0.2967590182373811</v>
      </c>
      <c r="C38" s="118">
        <v>7.135749227232463E-2</v>
      </c>
      <c r="D38" s="119">
        <v>0.22212297973403641</v>
      </c>
      <c r="E38" s="117">
        <v>0.29718739302215758</v>
      </c>
      <c r="F38" s="120">
        <v>0.36514859397110211</v>
      </c>
      <c r="G38" s="2">
        <v>-9.0559928681238411E-2</v>
      </c>
      <c r="H38" s="2">
        <v>0.37104178310699082</v>
      </c>
      <c r="I38" s="2">
        <v>1</v>
      </c>
      <c r="J38" s="2">
        <v>-7.3864031440460692E-2</v>
      </c>
      <c r="K38" s="2">
        <v>-0.43302125398989799</v>
      </c>
      <c r="L38" s="2">
        <v>-0.21565383738961211</v>
      </c>
      <c r="M38" s="2">
        <v>0.99999999999999911</v>
      </c>
      <c r="N38" s="57"/>
      <c r="O38" s="67"/>
      <c r="P38" s="72"/>
      <c r="Q38" s="51" t="str">
        <f t="shared" si="15"/>
        <v>Commodities</v>
      </c>
      <c r="R38" s="72">
        <f t="shared" si="16"/>
        <v>0.22212297973403641</v>
      </c>
      <c r="S38" s="52">
        <f t="shared" si="17"/>
        <v>7.4636038503344687E-2</v>
      </c>
      <c r="T38" s="52">
        <f t="shared" si="18"/>
        <v>6.8389575733721009E-2</v>
      </c>
      <c r="U38" s="52"/>
      <c r="V38" s="52"/>
      <c r="W38" s="52"/>
    </row>
    <row r="39" spans="1:24">
      <c r="A39" s="59" t="str">
        <f t="shared" si="14"/>
        <v>Hedge funds</v>
      </c>
      <c r="B39" s="117">
        <v>2.9187640765754516E-2</v>
      </c>
      <c r="C39" s="118">
        <v>2.3009577962954473E-2</v>
      </c>
      <c r="D39" s="119">
        <v>6.6235517618896747E-3</v>
      </c>
      <c r="E39" s="117">
        <v>2.3287837757326471E-2</v>
      </c>
      <c r="F39" s="120">
        <v>5.3295485985902766E-2</v>
      </c>
      <c r="G39" s="2">
        <v>-1.69399709493974E-2</v>
      </c>
      <c r="H39" s="2">
        <v>7.5112737860743739E-2</v>
      </c>
      <c r="I39" s="2">
        <v>1.753247679440427E-2</v>
      </c>
      <c r="J39" s="2">
        <v>-0.74240776889588911</v>
      </c>
      <c r="K39" s="2">
        <v>1</v>
      </c>
      <c r="L39" s="2">
        <v>-7.7244216230844751E-2</v>
      </c>
      <c r="M39" s="2">
        <v>0.99999999999999223</v>
      </c>
      <c r="N39" s="57"/>
      <c r="O39" s="67"/>
      <c r="P39" s="72"/>
      <c r="Q39" s="51" t="str">
        <f t="shared" si="15"/>
        <v>Hedge funds</v>
      </c>
      <c r="R39" s="72">
        <f t="shared" si="16"/>
        <v>6.6235517618896747E-3</v>
      </c>
      <c r="S39" s="52">
        <f t="shared" si="17"/>
        <v>2.2564089003864841E-2</v>
      </c>
      <c r="T39" s="52">
        <f t="shared" si="18"/>
        <v>2.410784522014825E-2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2.8132280810862321E-2</v>
      </c>
      <c r="C40" s="122">
        <v>2.3925577919826187E-2</v>
      </c>
      <c r="D40" s="123">
        <v>4.6029348125125784E-3</v>
      </c>
      <c r="E40" s="121">
        <v>2.2113837289799952E-2</v>
      </c>
      <c r="F40" s="124">
        <v>5.2276523938105939E-2</v>
      </c>
      <c r="G40" s="65">
        <v>5.4478808847444448E-3</v>
      </c>
      <c r="H40" s="65">
        <v>9.0786595150428445E-2</v>
      </c>
      <c r="I40" s="65">
        <v>1.04645223438091E-2</v>
      </c>
      <c r="J40" s="65">
        <v>1</v>
      </c>
      <c r="K40" s="65">
        <v>0.64051977334657662</v>
      </c>
      <c r="L40" s="65">
        <v>-0.12073825378412414</v>
      </c>
      <c r="M40" s="65">
        <v>0.99999999999999367</v>
      </c>
      <c r="N40" s="66"/>
      <c r="O40" s="67"/>
      <c r="P40" s="72"/>
      <c r="Q40" s="51" t="str">
        <f t="shared" si="15"/>
        <v>Onroerend goed</v>
      </c>
      <c r="R40" s="72">
        <f t="shared" si="16"/>
        <v>4.6029348125125784E-3</v>
      </c>
      <c r="S40" s="52">
        <f t="shared" si="17"/>
        <v>2.3529345998349743E-2</v>
      </c>
      <c r="T40" s="52">
        <f t="shared" si="18"/>
        <v>2.4144243127243618E-2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387" t="s">
        <v>64</v>
      </c>
      <c r="E42" s="388"/>
      <c r="F42" s="389"/>
      <c r="G42" s="387" t="s">
        <v>65</v>
      </c>
      <c r="H42" s="388"/>
      <c r="I42" s="388"/>
      <c r="J42" s="388"/>
      <c r="K42" s="388"/>
      <c r="L42" s="388"/>
      <c r="M42" s="388"/>
      <c r="N42" s="389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0.33072125974255562</v>
      </c>
      <c r="H43" s="272">
        <v>0.21249104794214146</v>
      </c>
      <c r="I43" s="272">
        <v>0.1499295064068602</v>
      </c>
      <c r="J43" s="272">
        <v>0.14106449993642944</v>
      </c>
      <c r="K43" s="272">
        <v>0.10296858297593137</v>
      </c>
      <c r="L43" s="272">
        <v>6.2825102996080795E-2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0.14989301166995181</v>
      </c>
      <c r="C44" s="118">
        <v>0.207930011646245</v>
      </c>
      <c r="D44" s="119">
        <v>8.9043719100477515E-4</v>
      </c>
      <c r="E44" s="117">
        <v>5.6585609940387457E-2</v>
      </c>
      <c r="F44" s="120">
        <v>0.34130889551092874</v>
      </c>
      <c r="G44" s="2">
        <v>-0.24983626871177589</v>
      </c>
      <c r="H44" s="2">
        <v>-0.72549614553446284</v>
      </c>
      <c r="I44" s="2">
        <v>1</v>
      </c>
      <c r="J44" s="2">
        <v>0.15393465280123603</v>
      </c>
      <c r="K44" s="2">
        <v>-0.27005569781348721</v>
      </c>
      <c r="L44" s="2">
        <v>-9.480368393662493E-2</v>
      </c>
      <c r="M44" s="2">
        <v>0.99999999999899858</v>
      </c>
      <c r="N44" s="57"/>
      <c r="O44" s="67"/>
      <c r="Q44" s="51" t="str">
        <f t="shared" ref="Q44:Q50" si="19">A44</f>
        <v>High Yield</v>
      </c>
      <c r="R44" s="72">
        <f>D44</f>
        <v>8.9043719100477515E-4</v>
      </c>
      <c r="S44" s="52">
        <f>B44-D44</f>
        <v>0.14900257447894705</v>
      </c>
      <c r="T44" s="52">
        <f>F44-B44</f>
        <v>0.19141588384097694</v>
      </c>
      <c r="U44" s="52"/>
    </row>
    <row r="45" spans="1:24">
      <c r="A45" s="59" t="str">
        <f t="shared" ref="A45:A50" si="20">A5</f>
        <v>Emerging market debt</v>
      </c>
      <c r="B45" s="117">
        <v>0.11455885138876036</v>
      </c>
      <c r="C45" s="118">
        <v>0.17641644343041613</v>
      </c>
      <c r="D45" s="119">
        <v>1.9987881910172155E-4</v>
      </c>
      <c r="E45" s="117">
        <v>2.7246764195211909E-2</v>
      </c>
      <c r="F45" s="120">
        <v>0.25946614515412492</v>
      </c>
      <c r="G45" s="2">
        <v>-0.12081931745437659</v>
      </c>
      <c r="H45" s="2">
        <v>-1.7488196661251187E-2</v>
      </c>
      <c r="I45" s="2">
        <v>-0.57817286552646219</v>
      </c>
      <c r="J45" s="2">
        <v>-0.98882217937904893</v>
      </c>
      <c r="K45" s="2">
        <v>-0.55775145352437461</v>
      </c>
      <c r="L45" s="2">
        <v>-0.25077165882341856</v>
      </c>
      <c r="M45" s="2">
        <v>0.99999999999902833</v>
      </c>
      <c r="N45" s="57"/>
      <c r="O45" s="67"/>
      <c r="Q45" s="51" t="str">
        <f t="shared" si="19"/>
        <v>Emerging market debt</v>
      </c>
      <c r="R45" s="72">
        <f t="shared" ref="R45:R50" si="21">D45</f>
        <v>1.9987881910172155E-4</v>
      </c>
      <c r="S45" s="52">
        <f t="shared" ref="S45:S50" si="22">B45-D45</f>
        <v>0.11435897256965864</v>
      </c>
      <c r="T45" s="52">
        <f t="shared" ref="T45:T50" si="23">F45-B45</f>
        <v>0.14490729376536454</v>
      </c>
      <c r="U45" s="52"/>
    </row>
    <row r="46" spans="1:24">
      <c r="A46" s="59" t="str">
        <f t="shared" si="20"/>
        <v>Aandelen ontwikkeld</v>
      </c>
      <c r="B46" s="117">
        <v>6.3898795578201231E-2</v>
      </c>
      <c r="C46" s="118">
        <v>0.12562264617836982</v>
      </c>
      <c r="D46" s="119">
        <v>2.5988629831490177E-5</v>
      </c>
      <c r="E46" s="117">
        <v>9.0993192015098347E-3</v>
      </c>
      <c r="F46" s="120">
        <v>0.11662023047848989</v>
      </c>
      <c r="G46" s="2">
        <v>-5.1213015326265425E-2</v>
      </c>
      <c r="H46" s="2">
        <v>-4.3540024239045662E-2</v>
      </c>
      <c r="I46" s="2">
        <v>-0.14832635424126567</v>
      </c>
      <c r="J46" s="2">
        <v>-0.16582942363870251</v>
      </c>
      <c r="K46" s="2">
        <v>0.13161104428403042</v>
      </c>
      <c r="L46" s="2">
        <v>1</v>
      </c>
      <c r="M46" s="2">
        <v>0.9999999999996777</v>
      </c>
      <c r="N46" s="57"/>
      <c r="O46" s="67"/>
      <c r="Q46" s="51" t="str">
        <f t="shared" si="19"/>
        <v>Aandelen ontwikkeld</v>
      </c>
      <c r="R46" s="72">
        <f t="shared" si="21"/>
        <v>2.5988629831490177E-5</v>
      </c>
      <c r="S46" s="52">
        <f t="shared" si="22"/>
        <v>6.3872806948369734E-2</v>
      </c>
      <c r="T46" s="52">
        <f t="shared" si="23"/>
        <v>5.2721434900288661E-2</v>
      </c>
      <c r="U46" s="52"/>
    </row>
    <row r="47" spans="1:24">
      <c r="A47" s="59" t="str">
        <f t="shared" si="20"/>
        <v>Aandelen opkomend</v>
      </c>
      <c r="B47" s="117">
        <v>0.12264919146392449</v>
      </c>
      <c r="C47" s="118">
        <v>0.18978321707571016</v>
      </c>
      <c r="D47" s="119">
        <v>1.7754497149607726E-4</v>
      </c>
      <c r="E47" s="117">
        <v>2.8249169822826693E-2</v>
      </c>
      <c r="F47" s="120">
        <v>0.28422284555689803</v>
      </c>
      <c r="G47" s="2">
        <v>-0.20339955988821559</v>
      </c>
      <c r="H47" s="2">
        <v>-0.163175345218148</v>
      </c>
      <c r="I47" s="2">
        <v>-0.90294602091084908</v>
      </c>
      <c r="J47" s="2">
        <v>1</v>
      </c>
      <c r="K47" s="2">
        <v>-0.1065844194707644</v>
      </c>
      <c r="L47" s="2">
        <v>-0.15226336120773096</v>
      </c>
      <c r="M47" s="2">
        <v>0.99999999999904832</v>
      </c>
      <c r="N47" s="57"/>
      <c r="O47" s="67"/>
      <c r="Q47" s="51" t="str">
        <f t="shared" si="19"/>
        <v>Aandelen opkomend</v>
      </c>
      <c r="R47" s="72">
        <f t="shared" si="21"/>
        <v>1.7754497149607726E-4</v>
      </c>
      <c r="S47" s="52">
        <f t="shared" si="22"/>
        <v>0.12247164649242841</v>
      </c>
      <c r="T47" s="52">
        <f t="shared" si="23"/>
        <v>0.16157365409297353</v>
      </c>
      <c r="U47" s="52"/>
    </row>
    <row r="48" spans="1:24">
      <c r="A48" s="59" t="str">
        <f t="shared" si="20"/>
        <v>Commodities</v>
      </c>
      <c r="B48" s="117">
        <v>9.2561675371805083E-2</v>
      </c>
      <c r="C48" s="118">
        <v>0.15738351360968242</v>
      </c>
      <c r="D48" s="119">
        <v>1.8160799380167572E-4</v>
      </c>
      <c r="E48" s="117">
        <v>1.4378135638733948E-2</v>
      </c>
      <c r="F48" s="120">
        <v>0.21021892104973819</v>
      </c>
      <c r="G48" s="2">
        <v>-9.4822339506809711E-2</v>
      </c>
      <c r="H48" s="2">
        <v>-0.10177177808546783</v>
      </c>
      <c r="I48" s="2">
        <v>-5.6354174900048452E-2</v>
      </c>
      <c r="J48" s="2">
        <v>-0.34644301080500506</v>
      </c>
      <c r="K48" s="2">
        <v>1</v>
      </c>
      <c r="L48" s="2">
        <v>-0.33020552781430995</v>
      </c>
      <c r="M48" s="2">
        <v>1</v>
      </c>
      <c r="N48" s="57"/>
      <c r="O48" s="67"/>
      <c r="Q48" s="51" t="str">
        <f t="shared" si="19"/>
        <v>Commodities</v>
      </c>
      <c r="R48" s="72">
        <f t="shared" si="21"/>
        <v>1.8160799380167572E-4</v>
      </c>
      <c r="S48" s="52">
        <f t="shared" si="22"/>
        <v>9.2380067378003403E-2</v>
      </c>
      <c r="T48" s="52">
        <f t="shared" si="23"/>
        <v>0.11765724567793311</v>
      </c>
      <c r="U48" s="52"/>
    </row>
    <row r="49" spans="1:27">
      <c r="A49" s="59" t="str">
        <f t="shared" si="20"/>
        <v>Hedge funds</v>
      </c>
      <c r="B49" s="117">
        <v>0.28606868231697352</v>
      </c>
      <c r="C49" s="118">
        <v>0.27750047256325211</v>
      </c>
      <c r="D49" s="119">
        <v>8.5848059408954076E-3</v>
      </c>
      <c r="E49" s="117">
        <v>0.2024980580156599</v>
      </c>
      <c r="F49" s="120">
        <v>0.61918600073161978</v>
      </c>
      <c r="G49" s="2">
        <v>1</v>
      </c>
      <c r="H49" s="2">
        <v>5.1471489738549127E-2</v>
      </c>
      <c r="I49" s="2">
        <v>0.13699788222673209</v>
      </c>
      <c r="J49" s="2">
        <v>0.1392437572294222</v>
      </c>
      <c r="K49" s="2">
        <v>-8.6081983139389084E-2</v>
      </c>
      <c r="L49" s="2">
        <v>-8.8430985422537092E-2</v>
      </c>
      <c r="M49" s="2">
        <v>0.99999999999882472</v>
      </c>
      <c r="N49" s="57"/>
      <c r="O49" s="67"/>
      <c r="Q49" s="51" t="str">
        <f t="shared" si="19"/>
        <v>Hedge funds</v>
      </c>
      <c r="R49" s="72">
        <f t="shared" si="21"/>
        <v>8.5848059408954076E-3</v>
      </c>
      <c r="S49" s="52">
        <f t="shared" si="22"/>
        <v>0.27748387637607813</v>
      </c>
      <c r="T49" s="52">
        <f t="shared" si="23"/>
        <v>0.33311731841464626</v>
      </c>
      <c r="U49" s="52"/>
      <c r="X49" s="51"/>
    </row>
    <row r="50" spans="1:27">
      <c r="A50" s="60" t="str">
        <f t="shared" si="20"/>
        <v>Onroerend goed</v>
      </c>
      <c r="B50" s="121">
        <v>0.17036979221006357</v>
      </c>
      <c r="C50" s="122">
        <v>0.22296341137898215</v>
      </c>
      <c r="D50" s="123">
        <v>1.4702125394448942E-3</v>
      </c>
      <c r="E50" s="121">
        <v>7.1666361050081326E-2</v>
      </c>
      <c r="F50" s="124">
        <v>0.36260412317377211</v>
      </c>
      <c r="G50" s="65">
        <v>-0.27990949911224611</v>
      </c>
      <c r="H50" s="65">
        <v>1</v>
      </c>
      <c r="I50" s="65">
        <v>0.54880153335214954</v>
      </c>
      <c r="J50" s="65">
        <v>0.20791620379256726</v>
      </c>
      <c r="K50" s="65">
        <v>-0.11113749033710192</v>
      </c>
      <c r="L50" s="65">
        <v>-8.3524782795729391E-2</v>
      </c>
      <c r="M50" s="65">
        <v>0.99999999999897404</v>
      </c>
      <c r="N50" s="66"/>
      <c r="O50" s="67"/>
      <c r="P50" s="72"/>
      <c r="Q50" s="51" t="str">
        <f t="shared" si="19"/>
        <v>Onroerend goed</v>
      </c>
      <c r="R50" s="72">
        <f t="shared" si="21"/>
        <v>1.4702125394448942E-3</v>
      </c>
      <c r="S50" s="52">
        <f t="shared" si="22"/>
        <v>0.16889957967061867</v>
      </c>
      <c r="T50" s="52">
        <f t="shared" si="23"/>
        <v>0.19223433096370854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387" t="s">
        <v>64</v>
      </c>
      <c r="E52" s="388"/>
      <c r="F52" s="389"/>
      <c r="G52" s="387" t="s">
        <v>65</v>
      </c>
      <c r="H52" s="388"/>
      <c r="I52" s="388"/>
      <c r="J52" s="388"/>
      <c r="K52" s="388"/>
      <c r="L52" s="388"/>
      <c r="M52" s="388"/>
      <c r="N52" s="389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0.65858513446875311</v>
      </c>
      <c r="H53" s="272">
        <v>0.15175336763133052</v>
      </c>
      <c r="I53" s="272">
        <v>8.0150097543030818E-2</v>
      </c>
      <c r="J53" s="272">
        <v>4.8118278502149114E-2</v>
      </c>
      <c r="K53" s="272">
        <v>3.2346104448827573E-2</v>
      </c>
      <c r="L53" s="272">
        <v>2.9047017405912312E-2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3.0159636986020907E-3</v>
      </c>
      <c r="C54" s="118">
        <v>4.346834390759848E-3</v>
      </c>
      <c r="D54" s="119">
        <v>2.147656138080642E-5</v>
      </c>
      <c r="E54" s="117">
        <v>1.228013312212299E-3</v>
      </c>
      <c r="F54" s="120">
        <v>6.0955384436138403E-3</v>
      </c>
      <c r="G54" s="2">
        <v>-4.4796924237141503E-2</v>
      </c>
      <c r="H54" s="2">
        <v>0.2263557300785714</v>
      </c>
      <c r="I54" s="2">
        <v>1</v>
      </c>
      <c r="J54" s="2">
        <v>-0.95468707914207196</v>
      </c>
      <c r="K54" s="2">
        <v>-0.28558711029282624</v>
      </c>
      <c r="L54" s="2">
        <v>-5.9193500527400991E-3</v>
      </c>
      <c r="M54" s="2">
        <v>0.99999999999999978</v>
      </c>
      <c r="N54" s="57"/>
      <c r="O54" s="67"/>
      <c r="P54" s="72"/>
      <c r="Q54" s="51" t="str">
        <f t="shared" ref="Q54:Q60" si="25">A54</f>
        <v>High Yield</v>
      </c>
      <c r="R54" s="72">
        <f>D54</f>
        <v>2.147656138080642E-5</v>
      </c>
      <c r="S54" s="52">
        <f>B54-D54</f>
        <v>2.9944871372212844E-3</v>
      </c>
      <c r="T54" s="52">
        <f>F54-B54</f>
        <v>3.0795747450117496E-3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4.1942689077927552E-3</v>
      </c>
      <c r="C55" s="118">
        <v>5.8504828370203607E-3</v>
      </c>
      <c r="D55" s="119">
        <v>1.9966662845051601E-5</v>
      </c>
      <c r="E55" s="117">
        <v>1.5870177005377036E-3</v>
      </c>
      <c r="F55" s="120">
        <v>9.7664980315061919E-3</v>
      </c>
      <c r="G55" s="2">
        <v>-0.10657331388506965</v>
      </c>
      <c r="H55" s="2">
        <v>1</v>
      </c>
      <c r="I55" s="2">
        <v>-0.92828772704500062</v>
      </c>
      <c r="J55" s="2">
        <v>-0.30516605049555445</v>
      </c>
      <c r="K55" s="2">
        <v>-0.10252387898757706</v>
      </c>
      <c r="L55" s="2">
        <v>-2.1497467537585219E-2</v>
      </c>
      <c r="M55" s="2">
        <v>0.99999999999999944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1.9966662845051601E-5</v>
      </c>
      <c r="S55" s="52">
        <f t="shared" ref="S55:S60" si="27">B55-D55</f>
        <v>4.1743022449477031E-3</v>
      </c>
      <c r="T55" s="52">
        <f t="shared" ref="T55:T60" si="28">F55-B55</f>
        <v>5.5722291237134368E-3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1.8427272102376196E-3</v>
      </c>
      <c r="C56" s="118">
        <v>3.0549507849864351E-3</v>
      </c>
      <c r="D56" s="119">
        <v>4.0514560169598211E-6</v>
      </c>
      <c r="E56" s="117">
        <v>4.7047179857287696E-4</v>
      </c>
      <c r="F56" s="120">
        <v>3.7054751456790831E-3</v>
      </c>
      <c r="G56" s="2">
        <v>2.0728473925336883E-3</v>
      </c>
      <c r="H56" s="2">
        <v>3.563564486764019E-2</v>
      </c>
      <c r="I56" s="2">
        <v>0.22695645482481944</v>
      </c>
      <c r="J56" s="2">
        <v>0.31710928132796179</v>
      </c>
      <c r="K56" s="2">
        <v>1</v>
      </c>
      <c r="L56" s="2">
        <v>-0.81184759647448201</v>
      </c>
      <c r="M56" s="2">
        <v>0.99999999999999722</v>
      </c>
      <c r="N56" s="57"/>
      <c r="O56" s="67"/>
      <c r="Q56" s="51" t="str">
        <f t="shared" si="25"/>
        <v>Aandelen ontwikkeld</v>
      </c>
      <c r="R56" s="72">
        <f t="shared" si="26"/>
        <v>4.0514560169598211E-6</v>
      </c>
      <c r="S56" s="52">
        <f t="shared" si="27"/>
        <v>1.8386757542206598E-3</v>
      </c>
      <c r="T56" s="52">
        <f t="shared" si="28"/>
        <v>1.8627479354414635E-3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2.2186087032573278E-3</v>
      </c>
      <c r="C57" s="118">
        <v>3.569491047176777E-3</v>
      </c>
      <c r="D57" s="119">
        <v>3.8068640044028753E-6</v>
      </c>
      <c r="E57" s="117">
        <v>5.1909587014424574E-4</v>
      </c>
      <c r="F57" s="120">
        <v>4.9122992276495175E-3</v>
      </c>
      <c r="G57" s="2">
        <v>-4.1599983518315113E-2</v>
      </c>
      <c r="H57" s="2">
        <v>0.15533148555359083</v>
      </c>
      <c r="I57" s="2">
        <v>0.3306515082951858</v>
      </c>
      <c r="J57" s="2">
        <v>1</v>
      </c>
      <c r="K57" s="2">
        <v>-0.95165774964864303</v>
      </c>
      <c r="L57" s="2">
        <v>-0.14502037965956358</v>
      </c>
      <c r="M57" s="2">
        <v>0.99999999999999889</v>
      </c>
      <c r="N57" s="57"/>
      <c r="O57" s="67"/>
      <c r="Q57" s="51" t="str">
        <f t="shared" si="25"/>
        <v>Aandelen opkomend</v>
      </c>
      <c r="R57" s="72">
        <f t="shared" si="26"/>
        <v>3.8068640044028753E-6</v>
      </c>
      <c r="S57" s="52">
        <f t="shared" si="27"/>
        <v>2.2148018392529247E-3</v>
      </c>
      <c r="T57" s="52">
        <f t="shared" si="28"/>
        <v>2.6936905243921897E-3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1.6638806588307178E-3</v>
      </c>
      <c r="C58" s="118">
        <v>3.0378247908197848E-3</v>
      </c>
      <c r="D58" s="119">
        <v>1.2313340814475661E-6</v>
      </c>
      <c r="E58" s="117">
        <v>3.3411154837845636E-4</v>
      </c>
      <c r="F58" s="120">
        <v>3.6243717335945678E-3</v>
      </c>
      <c r="G58" s="2">
        <v>3.8060618826111867E-3</v>
      </c>
      <c r="H58" s="2">
        <v>6.4124036330161352E-2</v>
      </c>
      <c r="I58" s="2">
        <v>0.21176806914532673</v>
      </c>
      <c r="J58" s="2">
        <v>0.38679634528029044</v>
      </c>
      <c r="K58" s="2">
        <v>0.66716106625612648</v>
      </c>
      <c r="L58" s="2">
        <v>1</v>
      </c>
      <c r="M58" s="2">
        <v>0.99999999999999889</v>
      </c>
      <c r="N58" s="57"/>
      <c r="O58" s="67"/>
      <c r="Q58" s="51" t="str">
        <f t="shared" si="25"/>
        <v>Commodities</v>
      </c>
      <c r="R58" s="72">
        <f t="shared" si="26"/>
        <v>1.2313340814475661E-6</v>
      </c>
      <c r="S58" s="52">
        <f t="shared" si="27"/>
        <v>1.6626493247492702E-3</v>
      </c>
      <c r="T58" s="52">
        <f t="shared" si="28"/>
        <v>1.96049107476385E-3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0.97925913298966361</v>
      </c>
      <c r="C59" s="118">
        <v>1.1847594872392984E-2</v>
      </c>
      <c r="D59" s="119">
        <v>0.96765066581532722</v>
      </c>
      <c r="E59" s="117">
        <v>0.98151552568747324</v>
      </c>
      <c r="F59" s="120">
        <v>0.99072845162512291</v>
      </c>
      <c r="G59" s="2">
        <v>1</v>
      </c>
      <c r="H59" s="2">
        <v>-0.59651313150384777</v>
      </c>
      <c r="I59" s="2">
        <v>-0.40012115424133776</v>
      </c>
      <c r="J59" s="2">
        <v>-0.21887105718862909</v>
      </c>
      <c r="K59" s="2">
        <v>-0.18426788591362869</v>
      </c>
      <c r="L59" s="2">
        <v>-1.2955602239580265E-2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0.96765066581532722</v>
      </c>
      <c r="S59" s="52">
        <f t="shared" si="27"/>
        <v>1.160846717433639E-2</v>
      </c>
      <c r="T59" s="52">
        <f t="shared" si="28"/>
        <v>1.1469318635459302E-2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7.8054178316142378E-3</v>
      </c>
      <c r="C60" s="122">
        <v>1.0307736978886258E-2</v>
      </c>
      <c r="D60" s="123">
        <v>9.4387089095184141E-5</v>
      </c>
      <c r="E60" s="121">
        <v>3.6316599191559998E-3</v>
      </c>
      <c r="F60" s="124">
        <v>1.6881009474116131E-2</v>
      </c>
      <c r="G60" s="65">
        <v>-0.81290868763461954</v>
      </c>
      <c r="H60" s="65">
        <v>-0.88493376532611501</v>
      </c>
      <c r="I60" s="65">
        <v>-0.44096715097899314</v>
      </c>
      <c r="J60" s="65">
        <v>-0.22518143978199506</v>
      </c>
      <c r="K60" s="65">
        <v>-0.14312444141344932</v>
      </c>
      <c r="L60" s="65">
        <v>-2.7596040360485471E-3</v>
      </c>
      <c r="M60" s="65">
        <v>0.99999999999999978</v>
      </c>
      <c r="N60" s="66"/>
      <c r="O60" s="67"/>
      <c r="Q60" s="51" t="str">
        <f t="shared" si="25"/>
        <v>Onroerend goed</v>
      </c>
      <c r="R60" s="72">
        <f t="shared" si="26"/>
        <v>9.4387089095184141E-5</v>
      </c>
      <c r="S60" s="52">
        <f t="shared" si="27"/>
        <v>7.7110307425190538E-3</v>
      </c>
      <c r="T60" s="52">
        <f t="shared" si="28"/>
        <v>9.0755916425018929E-3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387" t="s">
        <v>64</v>
      </c>
      <c r="E62" s="388"/>
      <c r="F62" s="389"/>
      <c r="G62" s="387" t="s">
        <v>65</v>
      </c>
      <c r="H62" s="388"/>
      <c r="I62" s="388"/>
      <c r="J62" s="388"/>
      <c r="K62" s="388"/>
      <c r="L62" s="388"/>
      <c r="M62" s="388"/>
      <c r="N62" s="389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0.67463465201340833</v>
      </c>
      <c r="H63" s="272">
        <v>0.24312253638438186</v>
      </c>
      <c r="I63" s="272">
        <v>6.7924246267400457E-2</v>
      </c>
      <c r="J63" s="272">
        <v>1.0215382779155346E-2</v>
      </c>
      <c r="K63" s="272">
        <v>2.217577104074997E-3</v>
      </c>
      <c r="L63" s="272">
        <v>1.8856054515792309E-3</v>
      </c>
      <c r="M63" s="272">
        <v>-2.2204460492503131E-16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0.32952309543460589</v>
      </c>
      <c r="C64" s="118">
        <v>0.16831156032067279</v>
      </c>
      <c r="D64" s="119">
        <v>0.14884150944571478</v>
      </c>
      <c r="E64" s="117">
        <v>0.31654495802897653</v>
      </c>
      <c r="F64" s="120">
        <v>0.51457289584414068</v>
      </c>
      <c r="G64" s="2">
        <v>1</v>
      </c>
      <c r="H64" s="2">
        <v>-0.46769674396111754</v>
      </c>
      <c r="I64" s="2">
        <v>-0.26745119340439527</v>
      </c>
      <c r="J64" s="2">
        <v>-0.21477214418554449</v>
      </c>
      <c r="K64" s="2">
        <v>-0.28629456875980158</v>
      </c>
      <c r="L64" s="2">
        <v>-0.11090700418221811</v>
      </c>
      <c r="M64" s="2">
        <v>0.99999999999999956</v>
      </c>
      <c r="N64" s="57"/>
      <c r="O64" s="67"/>
      <c r="Q64" s="51" t="str">
        <f t="shared" ref="Q64:Q70" si="32">A64</f>
        <v>High Yield</v>
      </c>
      <c r="R64" s="72">
        <f>D64</f>
        <v>0.14884150944571478</v>
      </c>
      <c r="S64" s="52">
        <f>B64-D64</f>
        <v>0.18068158598889111</v>
      </c>
      <c r="T64" s="52">
        <f>F64-B64</f>
        <v>0.18504980040953478</v>
      </c>
      <c r="U64" s="52"/>
    </row>
    <row r="65" spans="1:24">
      <c r="A65" s="59" t="str">
        <f t="shared" si="31"/>
        <v>Emerging market debt</v>
      </c>
      <c r="B65" s="117">
        <v>2.4384393004256124E-2</v>
      </c>
      <c r="C65" s="118">
        <v>2.4168096012172666E-2</v>
      </c>
      <c r="D65" s="119">
        <v>2.1745075601085017E-3</v>
      </c>
      <c r="E65" s="117">
        <v>1.6649747050409173E-2</v>
      </c>
      <c r="F65" s="120">
        <v>4.8272427436064733E-2</v>
      </c>
      <c r="G65" s="2">
        <v>3.1864768038600733E-3</v>
      </c>
      <c r="H65" s="2">
        <v>1.289717083126795E-2</v>
      </c>
      <c r="I65" s="2">
        <v>9.357424269286152E-2</v>
      </c>
      <c r="J65" s="2">
        <v>1</v>
      </c>
      <c r="K65" s="2">
        <v>-0.21215263777970084</v>
      </c>
      <c r="L65" s="2">
        <v>-9.9120422999853283E-2</v>
      </c>
      <c r="M65" s="2">
        <v>0.99999999999999534</v>
      </c>
      <c r="N65" s="57"/>
      <c r="O65" s="67"/>
      <c r="Q65" s="51" t="str">
        <f t="shared" si="32"/>
        <v>Emerging market debt</v>
      </c>
      <c r="R65" s="72">
        <f t="shared" ref="R65:R70" si="33">D65</f>
        <v>2.1745075601085017E-3</v>
      </c>
      <c r="S65" s="52">
        <f t="shared" ref="S65:S70" si="34">B65-D65</f>
        <v>2.2209885444147624E-2</v>
      </c>
      <c r="T65" s="52">
        <f t="shared" ref="T65:T70" si="35">F65-B65</f>
        <v>2.3888034431808609E-2</v>
      </c>
      <c r="U65" s="52"/>
    </row>
    <row r="66" spans="1:24">
      <c r="A66" s="59" t="str">
        <f t="shared" si="31"/>
        <v>Aandelen ontwikkeld</v>
      </c>
      <c r="B66" s="117">
        <v>8.70308322689607E-3</v>
      </c>
      <c r="C66" s="118">
        <v>1.1228926484528372E-2</v>
      </c>
      <c r="D66" s="119">
        <v>2.2963457884190758E-4</v>
      </c>
      <c r="E66" s="117">
        <v>4.3597923740815751E-3</v>
      </c>
      <c r="F66" s="120">
        <v>1.7824714357291993E-2</v>
      </c>
      <c r="G66" s="2">
        <v>1.0484848898605244E-2</v>
      </c>
      <c r="H66" s="2">
        <v>5.2822174671358461E-3</v>
      </c>
      <c r="I66" s="2">
        <v>-5.2329758036837454E-3</v>
      </c>
      <c r="J66" s="2">
        <v>-4.103551251373605E-2</v>
      </c>
      <c r="K66" s="2">
        <v>1</v>
      </c>
      <c r="L66" s="2">
        <v>-0.46546074961396661</v>
      </c>
      <c r="M66" s="2">
        <v>0.99999999999998967</v>
      </c>
      <c r="N66" s="57"/>
      <c r="O66" s="67"/>
      <c r="Q66" s="51" t="str">
        <f t="shared" si="32"/>
        <v>Aandelen ontwikkeld</v>
      </c>
      <c r="R66" s="72">
        <f t="shared" si="33"/>
        <v>2.2963457884190758E-4</v>
      </c>
      <c r="S66" s="52">
        <f t="shared" si="34"/>
        <v>8.4734486480541622E-3</v>
      </c>
      <c r="T66" s="52">
        <f t="shared" si="35"/>
        <v>9.1216311303959231E-3</v>
      </c>
      <c r="U66" s="52"/>
    </row>
    <row r="67" spans="1:24">
      <c r="A67" s="59" t="str">
        <f t="shared" si="31"/>
        <v>Aandelen opkomend</v>
      </c>
      <c r="B67" s="117">
        <v>8.3697971208951776E-3</v>
      </c>
      <c r="C67" s="118">
        <v>1.0481304430445905E-2</v>
      </c>
      <c r="D67" s="119">
        <v>3.3622205787612138E-4</v>
      </c>
      <c r="E67" s="117">
        <v>4.6700791172588178E-3</v>
      </c>
      <c r="F67" s="120">
        <v>1.6415885897588287E-2</v>
      </c>
      <c r="G67" s="2">
        <v>5.5232523743596893E-3</v>
      </c>
      <c r="H67" s="2">
        <v>-4.3812723245060681E-3</v>
      </c>
      <c r="I67" s="2">
        <v>3.0766134200272905E-3</v>
      </c>
      <c r="J67" s="2">
        <v>-2.2377247898156861E-2</v>
      </c>
      <c r="K67" s="2">
        <v>0.32345045850941051</v>
      </c>
      <c r="L67" s="2">
        <v>1</v>
      </c>
      <c r="M67" s="2">
        <v>0.9999999999999859</v>
      </c>
      <c r="N67" s="57"/>
      <c r="O67" s="67"/>
      <c r="Q67" s="51" t="str">
        <f t="shared" si="32"/>
        <v>Aandelen opkomend</v>
      </c>
      <c r="R67" s="72">
        <f t="shared" si="33"/>
        <v>3.3622205787612138E-4</v>
      </c>
      <c r="S67" s="52">
        <f t="shared" si="34"/>
        <v>8.0335750630190564E-3</v>
      </c>
      <c r="T67" s="52">
        <f t="shared" si="35"/>
        <v>8.046088776693109E-3</v>
      </c>
      <c r="U67" s="52"/>
    </row>
    <row r="68" spans="1:24">
      <c r="A68" s="59" t="str">
        <f t="shared" si="31"/>
        <v>Commodities</v>
      </c>
      <c r="B68" s="117">
        <v>0.26161953063460397</v>
      </c>
      <c r="C68" s="118">
        <v>5.9891199430718724E-2</v>
      </c>
      <c r="D68" s="119">
        <v>0.20113613245418732</v>
      </c>
      <c r="E68" s="117">
        <v>0.26109457300105837</v>
      </c>
      <c r="F68" s="120">
        <v>0.31905329782246594</v>
      </c>
      <c r="G68" s="2">
        <v>-4.4361914828983849E-2</v>
      </c>
      <c r="H68" s="2">
        <v>0.20723417099579097</v>
      </c>
      <c r="I68" s="2">
        <v>1</v>
      </c>
      <c r="J68" s="2">
        <v>-0.31740519599391293</v>
      </c>
      <c r="K68" s="2">
        <v>-0.27893895128789625</v>
      </c>
      <c r="L68" s="2">
        <v>-0.11241828115360845</v>
      </c>
      <c r="M68" s="2">
        <v>0.99999999999999867</v>
      </c>
      <c r="N68" s="57"/>
      <c r="O68" s="67"/>
      <c r="Q68" s="51" t="str">
        <f t="shared" si="32"/>
        <v>Commodities</v>
      </c>
      <c r="R68" s="72">
        <f t="shared" si="33"/>
        <v>0.20113613245418732</v>
      </c>
      <c r="S68" s="52">
        <f t="shared" si="34"/>
        <v>6.0483398180416648E-2</v>
      </c>
      <c r="T68" s="52">
        <f t="shared" si="35"/>
        <v>5.7433767187861973E-2</v>
      </c>
      <c r="U68" s="52"/>
    </row>
    <row r="69" spans="1:24">
      <c r="A69" s="59" t="str">
        <f t="shared" si="31"/>
        <v>Hedge funds</v>
      </c>
      <c r="B69" s="117">
        <v>0.24687270659311195</v>
      </c>
      <c r="C69" s="118">
        <v>0.15229098537172442</v>
      </c>
      <c r="D69" s="119">
        <v>8.2832160360182774E-2</v>
      </c>
      <c r="E69" s="117">
        <v>0.23662606883862766</v>
      </c>
      <c r="F69" s="120">
        <v>0.41673595945813868</v>
      </c>
      <c r="G69" s="2">
        <v>-0.82793646471485538</v>
      </c>
      <c r="H69" s="2">
        <v>-0.75333554300856942</v>
      </c>
      <c r="I69" s="2">
        <v>-0.27974151539051945</v>
      </c>
      <c r="J69" s="2">
        <v>-0.20358933452141872</v>
      </c>
      <c r="K69" s="2">
        <v>-0.26740005536544736</v>
      </c>
      <c r="L69" s="2">
        <v>-0.10929905438255436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8.2832160360182774E-2</v>
      </c>
      <c r="S69" s="52">
        <f t="shared" si="34"/>
        <v>0.16404054623292919</v>
      </c>
      <c r="T69" s="52">
        <f t="shared" si="35"/>
        <v>0.16986325286502674</v>
      </c>
      <c r="U69" s="52"/>
      <c r="X69" s="51"/>
    </row>
    <row r="70" spans="1:24">
      <c r="A70" s="60" t="str">
        <f t="shared" si="31"/>
        <v>Onroerend goed</v>
      </c>
      <c r="B70" s="121">
        <v>0.12052739398562987</v>
      </c>
      <c r="C70" s="122">
        <v>0.10156175706617342</v>
      </c>
      <c r="D70" s="123">
        <v>1.9870421054097198E-2</v>
      </c>
      <c r="E70" s="121">
        <v>9.6513438975206506E-2</v>
      </c>
      <c r="F70" s="124">
        <v>0.23079673972251169</v>
      </c>
      <c r="G70" s="65">
        <v>-0.14689619853298541</v>
      </c>
      <c r="H70" s="65">
        <v>1</v>
      </c>
      <c r="I70" s="65">
        <v>-0.54422517151428962</v>
      </c>
      <c r="J70" s="65">
        <v>-0.20082056488722794</v>
      </c>
      <c r="K70" s="65">
        <v>-0.27866424531655076</v>
      </c>
      <c r="L70" s="65">
        <v>-0.10279448766779067</v>
      </c>
      <c r="M70" s="65">
        <v>0.99999999999999856</v>
      </c>
      <c r="N70" s="66"/>
      <c r="O70" s="67"/>
      <c r="P70" s="72"/>
      <c r="Q70" s="51" t="str">
        <f t="shared" si="32"/>
        <v>Onroerend goed</v>
      </c>
      <c r="R70" s="72">
        <f t="shared" si="33"/>
        <v>1.9870421054097198E-2</v>
      </c>
      <c r="S70" s="52">
        <f t="shared" si="34"/>
        <v>0.10065697293153267</v>
      </c>
      <c r="T70" s="52">
        <f t="shared" si="35"/>
        <v>0.11026934573688182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387" t="s">
        <v>64</v>
      </c>
      <c r="E72" s="388"/>
      <c r="F72" s="389"/>
      <c r="G72" s="387" t="s">
        <v>65</v>
      </c>
      <c r="H72" s="388"/>
      <c r="I72" s="388"/>
      <c r="J72" s="388"/>
      <c r="K72" s="388"/>
      <c r="L72" s="388"/>
      <c r="M72" s="388"/>
      <c r="N72" s="389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0.68787589408354466</v>
      </c>
      <c r="H73" s="272">
        <v>0.21068815331220103</v>
      </c>
      <c r="I73" s="272">
        <v>6.2728497315269416E-2</v>
      </c>
      <c r="J73" s="272">
        <v>3.5755222122152874E-2</v>
      </c>
      <c r="K73" s="272">
        <v>2.6098030995289623E-3</v>
      </c>
      <c r="L73" s="272">
        <v>3.4243006730960701E-4</v>
      </c>
      <c r="M73" s="272">
        <v>1.1102230246251565E-16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5.0459309354182712E-2</v>
      </c>
      <c r="C74" s="118">
        <v>3.72643237246119E-2</v>
      </c>
      <c r="D74" s="119">
        <v>1.2891938175602909E-2</v>
      </c>
      <c r="E74" s="117">
        <v>4.1649117160944771E-2</v>
      </c>
      <c r="F74" s="120">
        <v>8.9752445703536868E-2</v>
      </c>
      <c r="G74" s="2">
        <v>-3.1838559739488369E-2</v>
      </c>
      <c r="H74" s="2">
        <v>-7.8276740781596573E-3</v>
      </c>
      <c r="I74" s="2">
        <v>-0.21367213044256406</v>
      </c>
      <c r="J74" s="2">
        <v>1</v>
      </c>
      <c r="K74" s="2">
        <v>-0.17230924713267073</v>
      </c>
      <c r="L74" s="2">
        <v>-0.17087280562404839</v>
      </c>
      <c r="M74" s="2">
        <v>0.99999999999999323</v>
      </c>
      <c r="N74" s="57"/>
      <c r="O74" s="67"/>
      <c r="P74" s="72"/>
      <c r="Q74" s="51" t="str">
        <f t="shared" ref="Q74:Q80" si="37">A74</f>
        <v>High Yield</v>
      </c>
      <c r="R74" s="72">
        <f>D74</f>
        <v>1.2891938175602909E-2</v>
      </c>
      <c r="S74" s="52">
        <f>B74-D74</f>
        <v>3.7567371178579806E-2</v>
      </c>
      <c r="T74" s="52">
        <f>F74-B74</f>
        <v>3.9293136349354156E-2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0.31889002302021602</v>
      </c>
      <c r="C75" s="118">
        <v>0.15017863297790501</v>
      </c>
      <c r="D75" s="119">
        <v>0.17021385980185974</v>
      </c>
      <c r="E75" s="117">
        <v>0.31494782137959554</v>
      </c>
      <c r="F75" s="120">
        <v>0.47232815288221142</v>
      </c>
      <c r="G75" s="2">
        <v>1</v>
      </c>
      <c r="H75" s="2">
        <v>-9.7763028785816497E-2</v>
      </c>
      <c r="I75" s="2">
        <v>-0.17103090863484902</v>
      </c>
      <c r="J75" s="2">
        <v>-0.26682754938299125</v>
      </c>
      <c r="K75" s="2">
        <v>-0.21075882255238046</v>
      </c>
      <c r="L75" s="2">
        <v>-0.17096054674939132</v>
      </c>
      <c r="M75" s="2">
        <v>0.99999999999999867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0.17021385980185974</v>
      </c>
      <c r="S75" s="52">
        <f t="shared" ref="S75:S80" si="39">B75-D75</f>
        <v>0.14867616321835628</v>
      </c>
      <c r="T75" s="52">
        <f t="shared" ref="T75:T80" si="40">F75-B75</f>
        <v>0.1534381298619954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3.2023695687434638E-3</v>
      </c>
      <c r="C76" s="118">
        <v>3.7125641944987867E-3</v>
      </c>
      <c r="D76" s="119">
        <v>2.276551998030159E-4</v>
      </c>
      <c r="E76" s="117">
        <v>1.8685632716868698E-3</v>
      </c>
      <c r="F76" s="120">
        <v>6.1275677034570205E-3</v>
      </c>
      <c r="G76" s="2">
        <v>-8.4637378551533505E-4</v>
      </c>
      <c r="H76" s="2">
        <v>-4.6107918852044258E-3</v>
      </c>
      <c r="I76" s="2">
        <v>-9.9057946619393496E-3</v>
      </c>
      <c r="J76" s="2">
        <v>-3.3774313380982498E-4</v>
      </c>
      <c r="K76" s="2">
        <v>-1.4434618171980726E-2</v>
      </c>
      <c r="L76" s="2">
        <v>1</v>
      </c>
      <c r="M76" s="2">
        <v>0.99999999999978739</v>
      </c>
      <c r="N76" s="57"/>
      <c r="O76" s="67"/>
      <c r="Q76" s="51" t="str">
        <f t="shared" si="37"/>
        <v>Aandelen ontwikkeld</v>
      </c>
      <c r="R76" s="72">
        <f t="shared" si="38"/>
        <v>2.276551998030159E-4</v>
      </c>
      <c r="S76" s="52">
        <f t="shared" si="39"/>
        <v>2.9747143689404479E-3</v>
      </c>
      <c r="T76" s="52">
        <f t="shared" si="40"/>
        <v>2.9251981347135567E-3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0.14704931447765546</v>
      </c>
      <c r="C77" s="118">
        <v>9.2604229691785389E-2</v>
      </c>
      <c r="D77" s="119">
        <v>5.1324843104687469E-2</v>
      </c>
      <c r="E77" s="117">
        <v>0.13686645708333986</v>
      </c>
      <c r="F77" s="120">
        <v>0.24603304146861915</v>
      </c>
      <c r="G77" s="2">
        <v>-0.34585327713632213</v>
      </c>
      <c r="H77" s="2">
        <v>1</v>
      </c>
      <c r="I77" s="2">
        <v>-0.24369379339845917</v>
      </c>
      <c r="J77" s="2">
        <v>-0.31581093001445798</v>
      </c>
      <c r="K77" s="2">
        <v>-0.21114152527616745</v>
      </c>
      <c r="L77" s="2">
        <v>-0.16914127367758378</v>
      </c>
      <c r="M77" s="2">
        <v>0.99999999999999789</v>
      </c>
      <c r="N77" s="57"/>
      <c r="O77" s="67"/>
      <c r="Q77" s="51" t="str">
        <f t="shared" si="37"/>
        <v>Aandelen opkomend</v>
      </c>
      <c r="R77" s="72">
        <f t="shared" si="38"/>
        <v>5.1324843104687469E-2</v>
      </c>
      <c r="S77" s="52">
        <f t="shared" si="39"/>
        <v>9.5724471372967995E-2</v>
      </c>
      <c r="T77" s="52">
        <f t="shared" si="40"/>
        <v>9.8983726990963694E-2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0.40218784704210481</v>
      </c>
      <c r="C78" s="118">
        <v>0.10256034863318039</v>
      </c>
      <c r="D78" s="119">
        <v>0.29957925164965754</v>
      </c>
      <c r="E78" s="117">
        <v>0.39574786710344712</v>
      </c>
      <c r="F78" s="120">
        <v>0.50095416709376539</v>
      </c>
      <c r="G78" s="2">
        <v>-0.52634647453600936</v>
      </c>
      <c r="H78" s="2">
        <v>-0.83365511044436258</v>
      </c>
      <c r="I78" s="2">
        <v>-0.32863189681000526</v>
      </c>
      <c r="J78" s="2">
        <v>-0.35504782153425585</v>
      </c>
      <c r="K78" s="2">
        <v>-0.22576640014686111</v>
      </c>
      <c r="L78" s="2">
        <v>-0.1760553108813088</v>
      </c>
      <c r="M78" s="2">
        <v>1</v>
      </c>
      <c r="N78" s="57"/>
      <c r="O78" s="67"/>
      <c r="Q78" s="51" t="str">
        <f t="shared" si="37"/>
        <v>Commodities</v>
      </c>
      <c r="R78" s="72">
        <f t="shared" si="38"/>
        <v>0.29957925164965754</v>
      </c>
      <c r="S78" s="52">
        <f t="shared" si="39"/>
        <v>0.10260859539244727</v>
      </c>
      <c r="T78" s="52">
        <f t="shared" si="40"/>
        <v>9.8766320051660583E-2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6.8269380613895994E-2</v>
      </c>
      <c r="C79" s="118">
        <v>5.0149187447613687E-2</v>
      </c>
      <c r="D79" s="119">
        <v>1.6591943830250786E-2</v>
      </c>
      <c r="E79" s="117">
        <v>5.9749974557562174E-2</v>
      </c>
      <c r="F79" s="120">
        <v>0.12447967563250217</v>
      </c>
      <c r="G79" s="2">
        <v>-9.31035457325151E-2</v>
      </c>
      <c r="H79" s="2">
        <v>-4.894849850214171E-2</v>
      </c>
      <c r="I79" s="2">
        <v>1</v>
      </c>
      <c r="J79" s="2">
        <v>-2.677220476361937E-2</v>
      </c>
      <c r="K79" s="2">
        <v>-0.16558938671990475</v>
      </c>
      <c r="L79" s="2">
        <v>-0.15997928177778387</v>
      </c>
      <c r="M79" s="2">
        <v>0.99999999999999334</v>
      </c>
      <c r="N79" s="57"/>
      <c r="O79" s="67"/>
      <c r="Q79" s="51" t="str">
        <f t="shared" si="37"/>
        <v>Hedge funds</v>
      </c>
      <c r="R79" s="72">
        <f t="shared" si="38"/>
        <v>1.6591943830250786E-2</v>
      </c>
      <c r="S79" s="52">
        <f t="shared" si="39"/>
        <v>5.1677436783645211E-2</v>
      </c>
      <c r="T79" s="52">
        <f t="shared" si="40"/>
        <v>5.6210295018606179E-2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9.9417559232009619E-3</v>
      </c>
      <c r="C80" s="122">
        <v>1.0213770040145516E-2</v>
      </c>
      <c r="D80" s="123">
        <v>1.0707936897168284E-3</v>
      </c>
      <c r="E80" s="121">
        <v>6.4802471947796782E-3</v>
      </c>
      <c r="F80" s="124">
        <v>2.0326735228110085E-2</v>
      </c>
      <c r="G80" s="65">
        <v>-2.0117690701502476E-3</v>
      </c>
      <c r="H80" s="65">
        <v>-7.1948963043142198E-3</v>
      </c>
      <c r="I80" s="65">
        <v>-3.306547605218247E-2</v>
      </c>
      <c r="J80" s="65">
        <v>-3.5203751170861608E-2</v>
      </c>
      <c r="K80" s="65">
        <v>1</v>
      </c>
      <c r="L80" s="65">
        <v>-0.15299078128968124</v>
      </c>
      <c r="M80" s="65">
        <v>0.99999999999995903</v>
      </c>
      <c r="N80" s="66"/>
      <c r="O80" s="67"/>
      <c r="Q80" s="51" t="str">
        <f t="shared" si="37"/>
        <v>Onroerend goed</v>
      </c>
      <c r="R80" s="72">
        <f t="shared" si="38"/>
        <v>1.0707936897168284E-3</v>
      </c>
      <c r="S80" s="52">
        <f t="shared" si="39"/>
        <v>8.8709622334841344E-3</v>
      </c>
      <c r="T80" s="52">
        <f t="shared" si="40"/>
        <v>1.0384979304909123E-2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85" zoomScaleNormal="85" workbookViewId="0">
      <selection activeCell="F34" sqref="F34"/>
    </sheetView>
  </sheetViews>
  <sheetFormatPr defaultRowHeight="15" outlineLevelCol="1"/>
  <cols>
    <col min="1" max="1" width="9.140625" style="332"/>
    <col min="2" max="2" width="22.28515625" style="332" bestFit="1" customWidth="1"/>
    <col min="3" max="4" width="12.7109375" style="332" customWidth="1"/>
    <col min="5" max="6" width="12.7109375" style="332" customWidth="1" outlineLevel="1"/>
    <col min="7" max="10" width="12.7109375" style="332" customWidth="1"/>
    <col min="11" max="11" width="21" style="210" customWidth="1"/>
    <col min="12" max="12" width="18.140625" style="332" bestFit="1" customWidth="1"/>
    <col min="13" max="13" width="26.85546875" style="332" customWidth="1"/>
    <col min="14" max="17" width="9.140625" style="332"/>
    <col min="18" max="18" width="10.85546875" style="332" customWidth="1"/>
    <col min="19" max="37" width="9.140625" style="210"/>
    <col min="38" max="16384" width="9.140625" style="332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55" t="s">
        <v>115</v>
      </c>
      <c r="C2" s="317" t="s">
        <v>70</v>
      </c>
      <c r="D2" s="306" t="s">
        <v>112</v>
      </c>
      <c r="E2" s="306" t="s">
        <v>147</v>
      </c>
      <c r="F2" s="306" t="s">
        <v>148</v>
      </c>
      <c r="G2" s="306" t="s">
        <v>113</v>
      </c>
      <c r="H2" s="306" t="s">
        <v>114</v>
      </c>
      <c r="I2" s="306" t="s">
        <v>128</v>
      </c>
      <c r="J2" s="317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56" t="s">
        <v>4</v>
      </c>
      <c r="C3" s="318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-2.5720358328627513E-2</v>
      </c>
      <c r="H3" s="85">
        <f>+Scenarios!G24</f>
        <v>-0.26287574291051119</v>
      </c>
      <c r="I3" s="85">
        <f>+Scenarios!H24</f>
        <v>-3.2441343963196256E-3</v>
      </c>
      <c r="J3" s="318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56" t="s">
        <v>5</v>
      </c>
      <c r="C4" s="318">
        <f>+Scenarios!B25</f>
        <v>3.0000000000000002E-2</v>
      </c>
      <c r="D4" s="85">
        <f>+Scenarios!C25</f>
        <v>1.4996171000904845E-2</v>
      </c>
      <c r="E4" s="85">
        <f>+Scenarios!D25</f>
        <v>-0.10270478546112452</v>
      </c>
      <c r="F4" s="85">
        <f>+Scenarios!E25</f>
        <v>3.7295220378336866E-2</v>
      </c>
      <c r="G4" s="85">
        <f>+Scenarios!F25</f>
        <v>-0.43424993966436087</v>
      </c>
      <c r="H4" s="85">
        <f>+Scenarios!G25</f>
        <v>-0.41153220498436088</v>
      </c>
      <c r="I4" s="85">
        <f>+Scenarios!H25</f>
        <v>0.29819819149830579</v>
      </c>
      <c r="J4" s="318">
        <f>Scenarios!D5</f>
        <v>0.15810707611932825</v>
      </c>
      <c r="L4" s="210"/>
      <c r="M4" s="345" t="s">
        <v>131</v>
      </c>
      <c r="N4" s="346" t="s">
        <v>132</v>
      </c>
      <c r="O4" s="346" t="s">
        <v>91</v>
      </c>
      <c r="P4" s="346" t="s">
        <v>92</v>
      </c>
      <c r="Q4" s="346" t="s">
        <v>133</v>
      </c>
      <c r="R4" s="347" t="s">
        <v>145</v>
      </c>
    </row>
    <row r="5" spans="1:18" ht="15.75">
      <c r="A5" s="210"/>
      <c r="B5" s="356" t="s">
        <v>6</v>
      </c>
      <c r="C5" s="318">
        <f>+Scenarios!B26</f>
        <v>3.1452343984147556E-2</v>
      </c>
      <c r="D5" s="85">
        <f>+Scenarios!C26</f>
        <v>3.3632152529915554E-2</v>
      </c>
      <c r="E5" s="85">
        <f>+Scenarios!D26</f>
        <v>-5.1463733534465664E-2</v>
      </c>
      <c r="F5" s="85">
        <f>+Scenarios!E26</f>
        <v>3.7955967038468326E-2</v>
      </c>
      <c r="G5" s="85">
        <f>+Scenarios!F26</f>
        <v>-0.52495132978596959</v>
      </c>
      <c r="H5" s="85">
        <f>+Scenarios!G26</f>
        <v>-0.34991079217679127</v>
      </c>
      <c r="I5" s="85">
        <f>+Scenarios!H26</f>
        <v>0.24979690735679014</v>
      </c>
      <c r="J5" s="318">
        <f>Scenarios!D6</f>
        <v>0.16193319430872868</v>
      </c>
      <c r="L5" s="210"/>
      <c r="M5" s="348"/>
      <c r="N5" s="349"/>
      <c r="O5" s="349"/>
      <c r="P5" s="349"/>
      <c r="Q5" s="349"/>
      <c r="R5" s="350"/>
    </row>
    <row r="6" spans="1:18" ht="15.75">
      <c r="A6" s="210"/>
      <c r="B6" s="356" t="s">
        <v>7</v>
      </c>
      <c r="C6" s="318">
        <f>+Scenarios!B27</f>
        <v>5.6804592721954011E-2</v>
      </c>
      <c r="D6" s="85">
        <f>+Scenarios!C27</f>
        <v>-1.8275706628265609E-2</v>
      </c>
      <c r="E6" s="85">
        <f>+Scenarios!D27</f>
        <v>-0.20763301199738962</v>
      </c>
      <c r="F6" s="85">
        <f>+Scenarios!E27</f>
        <v>4.4157772609314798E-2</v>
      </c>
      <c r="G6" s="85">
        <f>+Scenarios!F27</f>
        <v>-0.60718802956862361</v>
      </c>
      <c r="H6" s="85">
        <f>+Scenarios!G27</f>
        <v>-0.47851488198333225</v>
      </c>
      <c r="I6" s="85">
        <f>+Scenarios!H27</f>
        <v>0.39131495295955132</v>
      </c>
      <c r="J6" s="318">
        <f>Scenarios!D7</f>
        <v>0.28684488662827246</v>
      </c>
      <c r="L6" s="210"/>
      <c r="M6" s="343" t="s">
        <v>4</v>
      </c>
      <c r="N6" s="338">
        <f>+'Control panel'!$B3</f>
        <v>0.55549268496933957</v>
      </c>
      <c r="O6" s="338">
        <f>+'Control panel'!$C3</f>
        <v>0</v>
      </c>
      <c r="P6" s="338">
        <f>+'Control panel'!$D3</f>
        <v>1</v>
      </c>
      <c r="Q6" s="338">
        <f>+'Control panel'!$F3</f>
        <v>0.58286489010164844</v>
      </c>
      <c r="R6" s="340">
        <f t="shared" ref="R6:R13" si="0">+Q6-N6</f>
        <v>2.7372205132308869E-2</v>
      </c>
    </row>
    <row r="7" spans="1:18" ht="15.75">
      <c r="A7" s="210"/>
      <c r="B7" s="356" t="s">
        <v>8</v>
      </c>
      <c r="C7" s="318">
        <f>+Scenarios!B28</f>
        <v>5.6320387554596889E-2</v>
      </c>
      <c r="D7" s="85">
        <f>+Scenarios!C28</f>
        <v>6.1274623073284545E-2</v>
      </c>
      <c r="E7" s="85">
        <f>+Scenarios!D28</f>
        <v>-6.0480183929069335E-2</v>
      </c>
      <c r="F7" s="85">
        <f>+Scenarios!E28</f>
        <v>7.5058724753415462E-2</v>
      </c>
      <c r="G7" s="85">
        <f>+Scenarios!F28</f>
        <v>-0.41926220845987938</v>
      </c>
      <c r="H7" s="85">
        <f>+Scenarios!G28</f>
        <v>-0.25917386489837912</v>
      </c>
      <c r="I7" s="85">
        <f>+Scenarios!H28</f>
        <v>0.38663466689136228</v>
      </c>
      <c r="J7" s="318">
        <f>Scenarios!D8</f>
        <v>0.29497711980114533</v>
      </c>
      <c r="L7" s="210"/>
      <c r="M7" s="343" t="s">
        <v>5</v>
      </c>
      <c r="N7" s="338">
        <f>+'Control panel'!$B4</f>
        <v>9.7387120358343723E-2</v>
      </c>
      <c r="O7" s="338">
        <f>+'Control panel'!$C4</f>
        <v>0</v>
      </c>
      <c r="P7" s="338">
        <f>+'Control panel'!$D4</f>
        <v>1</v>
      </c>
      <c r="Q7" s="338">
        <f>+'Control panel'!$F4</f>
        <v>2.1041395285850417E-2</v>
      </c>
      <c r="R7" s="340">
        <f t="shared" si="0"/>
        <v>-7.6345725072493306E-2</v>
      </c>
    </row>
    <row r="8" spans="1:18" ht="15.75">
      <c r="A8" s="210"/>
      <c r="B8" s="356" t="s">
        <v>9</v>
      </c>
      <c r="C8" s="318">
        <f>+Scenarios!B29</f>
        <v>5.236888388126059E-2</v>
      </c>
      <c r="D8" s="85">
        <f>+Scenarios!C29</f>
        <v>7.9522702632630907E-2</v>
      </c>
      <c r="E8" s="85">
        <f>+Scenarios!D29</f>
        <v>1.2962263249297473E-2</v>
      </c>
      <c r="F8" s="85">
        <f>+Scenarios!E29</f>
        <v>8.6184790509297532E-2</v>
      </c>
      <c r="G8" s="85">
        <f>+Scenarios!F29</f>
        <v>-0.52034739633736904</v>
      </c>
      <c r="H8" s="85">
        <f>+Scenarios!G29</f>
        <v>-0.53983753129736911</v>
      </c>
      <c r="I8" s="85">
        <f>+Scenarios!H29</f>
        <v>0.62225820003596433</v>
      </c>
      <c r="J8" s="318">
        <f>Scenarios!D9</f>
        <v>0.32949402218690865</v>
      </c>
      <c r="L8" s="210"/>
      <c r="M8" s="343" t="s">
        <v>6</v>
      </c>
      <c r="N8" s="338">
        <f>+'Control panel'!$B5</f>
        <v>9.5164223805884504E-2</v>
      </c>
      <c r="O8" s="338">
        <f>+'Control panel'!$C5</f>
        <v>0</v>
      </c>
      <c r="P8" s="338">
        <f>+'Control panel'!$D5</f>
        <v>1</v>
      </c>
      <c r="Q8" s="338">
        <f>+'Control panel'!$F5</f>
        <v>0.13824669226833944</v>
      </c>
      <c r="R8" s="341">
        <f t="shared" si="0"/>
        <v>4.3082468462454934E-2</v>
      </c>
    </row>
    <row r="9" spans="1:18" ht="15.75">
      <c r="A9" s="210"/>
      <c r="B9" s="356" t="s">
        <v>10</v>
      </c>
      <c r="C9" s="318">
        <f>+Scenarios!B30</f>
        <v>2.8306574622560098E-2</v>
      </c>
      <c r="D9" s="85">
        <f>+Scenarios!C30</f>
        <v>1.7325408361865E-2</v>
      </c>
      <c r="E9" s="85">
        <f>+Scenarios!D30</f>
        <v>-4.6787554334441012E-2</v>
      </c>
      <c r="F9" s="85">
        <f>+Scenarios!E30</f>
        <v>1.6536412714843449E-2</v>
      </c>
      <c r="G9" s="85">
        <f>+Scenarios!F30</f>
        <v>-0.25573516705477994</v>
      </c>
      <c r="H9" s="85">
        <f>+Scenarios!G30</f>
        <v>-6.3153361120378204E-3</v>
      </c>
      <c r="I9" s="85">
        <f>+Scenarios!H30</f>
        <v>0.28237563833203505</v>
      </c>
      <c r="J9" s="318">
        <f>Scenarios!D10</f>
        <v>0.1608611248297202</v>
      </c>
      <c r="L9" s="210"/>
      <c r="M9" s="343" t="s">
        <v>7</v>
      </c>
      <c r="N9" s="338">
        <f>+'Control panel'!$B6</f>
        <v>0.10363483668477239</v>
      </c>
      <c r="O9" s="338">
        <f>+'Control panel'!$C6</f>
        <v>0</v>
      </c>
      <c r="P9" s="338">
        <f>+'Control panel'!$D6</f>
        <v>1</v>
      </c>
      <c r="Q9" s="338">
        <f>+'Control panel'!$F6</f>
        <v>1.32454093048489E-3</v>
      </c>
      <c r="R9" s="341">
        <f t="shared" si="0"/>
        <v>-0.10231029575428749</v>
      </c>
    </row>
    <row r="10" spans="1:18" ht="15.75">
      <c r="A10" s="210"/>
      <c r="B10" s="357" t="s">
        <v>11</v>
      </c>
      <c r="C10" s="319">
        <f>+Scenarios!B31</f>
        <v>3.9543569652327068E-2</v>
      </c>
      <c r="D10" s="309">
        <f>+Scenarios!C31</f>
        <v>-3.3454365202922019E-3</v>
      </c>
      <c r="E10" s="309">
        <f>+Scenarios!D31</f>
        <v>-8.4519819517757569E-2</v>
      </c>
      <c r="F10" s="309">
        <f>+Scenarios!E31</f>
        <v>3.2797465910270177E-2</v>
      </c>
      <c r="G10" s="309">
        <f>+Scenarios!F31</f>
        <v>-0.33580172019430399</v>
      </c>
      <c r="H10" s="309">
        <f>+Scenarios!G31</f>
        <v>-0.18031161563030054</v>
      </c>
      <c r="I10" s="309">
        <f>+Scenarios!H31</f>
        <v>0.35335277777605689</v>
      </c>
      <c r="J10" s="319">
        <f>Scenarios!D11</f>
        <v>0.19933384935580506</v>
      </c>
      <c r="L10" s="210"/>
      <c r="M10" s="343" t="s">
        <v>8</v>
      </c>
      <c r="N10" s="338">
        <f>+'Control panel'!$B7</f>
        <v>5.1404597453969164E-2</v>
      </c>
      <c r="O10" s="338">
        <f>+'Control panel'!$C7</f>
        <v>0</v>
      </c>
      <c r="P10" s="338">
        <f>+'Control panel'!$D7</f>
        <v>1</v>
      </c>
      <c r="Q10" s="338">
        <f>+'Control panel'!$F7</f>
        <v>5.9579668810771695E-2</v>
      </c>
      <c r="R10" s="340">
        <f t="shared" si="0"/>
        <v>8.175071356802531E-3</v>
      </c>
    </row>
    <row r="11" spans="1:18" ht="15.75">
      <c r="A11" s="210"/>
      <c r="B11" s="84"/>
      <c r="C11" s="84"/>
      <c r="D11" s="84"/>
      <c r="E11" s="84"/>
      <c r="F11" s="84"/>
      <c r="G11" s="84"/>
      <c r="H11" s="84"/>
      <c r="I11" s="84"/>
      <c r="J11" s="84"/>
      <c r="L11" s="210"/>
      <c r="M11" s="343" t="s">
        <v>9</v>
      </c>
      <c r="N11" s="338">
        <f>+'Control panel'!$B8</f>
        <v>1.9729061421683056E-2</v>
      </c>
      <c r="O11" s="338">
        <f>+'Control panel'!$C8</f>
        <v>0</v>
      </c>
      <c r="P11" s="338">
        <f>+'Control panel'!$D8</f>
        <v>1</v>
      </c>
      <c r="Q11" s="338">
        <f>+'Control panel'!$F8</f>
        <v>0.16444314694977685</v>
      </c>
      <c r="R11" s="341">
        <f t="shared" si="0"/>
        <v>0.14471408552809378</v>
      </c>
    </row>
    <row r="12" spans="1:18" ht="15.75">
      <c r="A12" s="210"/>
      <c r="B12" s="320" t="s">
        <v>123</v>
      </c>
      <c r="C12" s="325">
        <f>+Scenarios!B33</f>
        <v>0</v>
      </c>
      <c r="D12" s="311">
        <f>+Scenarios!C33</f>
        <v>1</v>
      </c>
      <c r="E12" s="311">
        <f>+Scenarios!D33</f>
        <v>0</v>
      </c>
      <c r="F12" s="311">
        <f>+Scenarios!E33</f>
        <v>0</v>
      </c>
      <c r="G12" s="311">
        <f>+Scenarios!F33</f>
        <v>0</v>
      </c>
      <c r="H12" s="311">
        <f>+Scenarios!G33</f>
        <v>0</v>
      </c>
      <c r="I12" s="326">
        <f>+Scenarios!H33</f>
        <v>0</v>
      </c>
      <c r="J12" s="327">
        <f>+Scenarios!I33</f>
        <v>1</v>
      </c>
      <c r="L12" s="210"/>
      <c r="M12" s="343" t="s">
        <v>10</v>
      </c>
      <c r="N12" s="338">
        <f>+'Control panel'!$B9</f>
        <v>3.1019975297703138E-2</v>
      </c>
      <c r="O12" s="338">
        <f>+'Control panel'!$C9</f>
        <v>0</v>
      </c>
      <c r="P12" s="338">
        <f>+'Control panel'!$D9</f>
        <v>1</v>
      </c>
      <c r="Q12" s="338">
        <f>+'Control panel'!$F9</f>
        <v>2.8381538622851237E-2</v>
      </c>
      <c r="R12" s="340">
        <f t="shared" si="0"/>
        <v>-2.638436674851901E-3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43" t="s">
        <v>11</v>
      </c>
      <c r="N13" s="338">
        <f>+'Control panel'!$B10</f>
        <v>4.6167500008304781E-2</v>
      </c>
      <c r="O13" s="338">
        <f>+'Control panel'!$C10</f>
        <v>0</v>
      </c>
      <c r="P13" s="338">
        <f>+'Control panel'!$D10</f>
        <v>1</v>
      </c>
      <c r="Q13" s="338">
        <f>+'Control panel'!$F10</f>
        <v>4.1181270302766866E-3</v>
      </c>
      <c r="R13" s="340">
        <f t="shared" si="0"/>
        <v>-4.2049372978028091E-2</v>
      </c>
    </row>
    <row r="14" spans="1:18" ht="15.75">
      <c r="A14" s="210"/>
      <c r="B14" s="320" t="s">
        <v>129</v>
      </c>
      <c r="C14" s="325">
        <f>+Scenarios!B35</f>
        <v>0</v>
      </c>
      <c r="D14" s="312">
        <f>+Scenarios!C35</f>
        <v>2.0255382373422153E-2</v>
      </c>
      <c r="E14" s="312">
        <f>+Scenarios!D35</f>
        <v>-1.3325803497626555E-2</v>
      </c>
      <c r="F14" s="312">
        <f>+Scenarios!E35</f>
        <v>2.3347159468454441E-2</v>
      </c>
      <c r="G14" s="312">
        <f>+Scenarios!F35</f>
        <v>-0.21669384735384981</v>
      </c>
      <c r="H14" s="312">
        <f>+Scenarios!G35</f>
        <v>-0.31602393557149794</v>
      </c>
      <c r="I14" s="313">
        <f>+Scenarios!H35</f>
        <v>0.17426659157952251</v>
      </c>
      <c r="J14" s="321">
        <f>+Scenarios!I35</f>
        <v>2.0255382373422153E-2</v>
      </c>
      <c r="L14" s="210"/>
      <c r="M14" s="344"/>
      <c r="N14" s="339"/>
      <c r="O14" s="339"/>
      <c r="P14" s="339"/>
      <c r="Q14" s="339"/>
      <c r="R14" s="342"/>
    </row>
    <row r="15" spans="1:18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L15" s="210"/>
      <c r="M15" s="210"/>
      <c r="N15" s="210"/>
      <c r="O15" s="210"/>
      <c r="P15" s="210"/>
      <c r="Q15" s="210"/>
      <c r="R15" s="210"/>
    </row>
    <row r="16" spans="1:18" ht="6.75" customHeight="1">
      <c r="A16" s="210"/>
      <c r="B16" s="210"/>
      <c r="C16" s="210"/>
      <c r="D16" s="210"/>
      <c r="E16" s="210"/>
      <c r="F16" s="210"/>
      <c r="G16" s="210"/>
      <c r="H16" s="210"/>
      <c r="I16" s="210"/>
      <c r="J16" s="210"/>
      <c r="L16" s="210"/>
      <c r="M16" s="210"/>
      <c r="N16" s="210"/>
      <c r="O16" s="210"/>
      <c r="P16" s="210"/>
      <c r="Q16" s="210"/>
      <c r="R16" s="210"/>
    </row>
    <row r="17" spans="1:18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L17" s="210"/>
      <c r="M17" s="210"/>
      <c r="N17" s="210"/>
      <c r="O17" s="210"/>
      <c r="P17" s="210"/>
      <c r="Q17" s="210"/>
      <c r="R17" s="210"/>
    </row>
    <row r="18" spans="1:18" ht="4.5" customHeight="1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L18" s="210"/>
      <c r="M18" s="210"/>
      <c r="N18" s="210"/>
      <c r="O18" s="210"/>
      <c r="P18" s="210"/>
      <c r="Q18" s="210"/>
      <c r="R18" s="210"/>
    </row>
    <row r="19" spans="1:18">
      <c r="A19" s="210"/>
      <c r="B19" s="355" t="s">
        <v>101</v>
      </c>
      <c r="C19" s="317" t="s">
        <v>70</v>
      </c>
      <c r="D19" s="322" t="s">
        <v>112</v>
      </c>
      <c r="E19" s="306" t="s">
        <v>147</v>
      </c>
      <c r="F19" s="306" t="s">
        <v>148</v>
      </c>
      <c r="G19" s="306" t="s">
        <v>113</v>
      </c>
      <c r="H19" s="306" t="s">
        <v>114</v>
      </c>
      <c r="I19" s="306" t="s">
        <v>128</v>
      </c>
      <c r="J19" s="307" t="s">
        <v>146</v>
      </c>
      <c r="L19" s="210"/>
      <c r="M19" s="210"/>
      <c r="N19" s="210"/>
      <c r="O19" s="210"/>
      <c r="P19" s="210"/>
      <c r="Q19" s="210"/>
      <c r="R19" s="210"/>
    </row>
    <row r="20" spans="1:18">
      <c r="A20" s="210"/>
      <c r="B20" s="356" t="s">
        <v>4</v>
      </c>
      <c r="C20" s="318">
        <f>'Samenvatting mixen'!B4</f>
        <v>0.51680998587027516</v>
      </c>
      <c r="D20" s="323">
        <f>'Samenvatting mixen'!B15</f>
        <v>0.58286489010164844</v>
      </c>
      <c r="E20" s="85">
        <f>'Samenvatting mixen'!B26</f>
        <v>0.78203934594187208</v>
      </c>
      <c r="F20" s="85">
        <f>'Samenvatting mixen'!B37</f>
        <v>0.55321836278449443</v>
      </c>
      <c r="G20" s="85">
        <f>'Samenvatting mixen'!B48</f>
        <v>0.99941968376134271</v>
      </c>
      <c r="H20" s="85">
        <f>'Samenvatting mixen'!B59</f>
        <v>0.87226890735135654</v>
      </c>
      <c r="I20" s="85">
        <f>'Samenvatting mixen'!B70</f>
        <v>0.70643490926390862</v>
      </c>
      <c r="J20" s="308">
        <f>'[4]Control panel'!F3</f>
        <v>0.99933044801477622</v>
      </c>
      <c r="L20" s="210"/>
      <c r="M20" s="210"/>
      <c r="N20" s="210"/>
      <c r="O20" s="210"/>
      <c r="P20" s="210"/>
      <c r="Q20" s="210"/>
      <c r="R20" s="210"/>
    </row>
    <row r="21" spans="1:18">
      <c r="A21" s="210"/>
      <c r="B21" s="356" t="s">
        <v>5</v>
      </c>
      <c r="C21" s="318">
        <f>'Samenvatting mixen'!B5</f>
        <v>9.0075318076124344E-2</v>
      </c>
      <c r="D21" s="323">
        <f>'Samenvatting mixen'!B16</f>
        <v>2.1041395285850417E-2</v>
      </c>
      <c r="E21" s="85">
        <f>'Samenvatting mixen'!B27</f>
        <v>1.6268487094437277E-3</v>
      </c>
      <c r="F21" s="85">
        <f>'Samenvatting mixen'!B38</f>
        <v>0.12110891909594974</v>
      </c>
      <c r="G21" s="85">
        <f>'Samenvatting mixen'!B49</f>
        <v>7.9795644025165165E-5</v>
      </c>
      <c r="H21" s="85">
        <f>'Samenvatting mixen'!B60</f>
        <v>3.8574247817541632E-4</v>
      </c>
      <c r="I21" s="85">
        <f>'Samenvatting mixen'!B71</f>
        <v>9.7511053923761151E-2</v>
      </c>
      <c r="J21" s="308">
        <f>'[4]Control panel'!F4</f>
        <v>5.9498856944343162E-5</v>
      </c>
      <c r="L21" s="210"/>
      <c r="M21" s="210"/>
      <c r="N21" s="210"/>
      <c r="O21" s="210"/>
      <c r="P21" s="210"/>
      <c r="Q21" s="210"/>
      <c r="R21" s="210"/>
    </row>
    <row r="22" spans="1:18">
      <c r="A22" s="210"/>
      <c r="B22" s="356" t="s">
        <v>6</v>
      </c>
      <c r="C22" s="318">
        <f>'Samenvatting mixen'!B6</f>
        <v>9.5235017524733956E-2</v>
      </c>
      <c r="D22" s="323">
        <f>'Samenvatting mixen'!B17</f>
        <v>0.13824669226833944</v>
      </c>
      <c r="E22" s="85">
        <f>'Samenvatting mixen'!B28</f>
        <v>5.066213347244262E-3</v>
      </c>
      <c r="F22" s="85">
        <f>'Samenvatting mixen'!B39</f>
        <v>9.1327033262040946E-2</v>
      </c>
      <c r="G22" s="85">
        <f>'Samenvatting mixen'!B50</f>
        <v>5.6779148014885294E-5</v>
      </c>
      <c r="H22" s="85">
        <f>'Samenvatting mixen'!B61</f>
        <v>5.366554110271969E-4</v>
      </c>
      <c r="I22" s="85">
        <f>'Samenvatting mixen'!B72</f>
        <v>7.1379484356709514E-3</v>
      </c>
      <c r="J22" s="308">
        <f>'[4]Control panel'!F5</f>
        <v>8.6775571303158883E-5</v>
      </c>
      <c r="L22" s="210"/>
      <c r="M22" s="210"/>
      <c r="N22" s="210"/>
      <c r="O22" s="210"/>
      <c r="P22" s="210"/>
      <c r="Q22" s="210"/>
      <c r="R22" s="210"/>
    </row>
    <row r="23" spans="1:18">
      <c r="A23" s="210"/>
      <c r="B23" s="356" t="s">
        <v>7</v>
      </c>
      <c r="C23" s="318">
        <f>'Samenvatting mixen'!B7</f>
        <v>9.2005208589473836E-2</v>
      </c>
      <c r="D23" s="323">
        <f>'Samenvatting mixen'!B18</f>
        <v>1.32454093048489E-3</v>
      </c>
      <c r="E23" s="85">
        <f>'Samenvatting mixen'!B29</f>
        <v>3.7866674571466888E-4</v>
      </c>
      <c r="F23" s="85">
        <f>'Samenvatting mixen'!B40</f>
        <v>5.4153201652001274E-3</v>
      </c>
      <c r="G23" s="85">
        <f>'Samenvatting mixen'!B51</f>
        <v>2.9404761929789073E-5</v>
      </c>
      <c r="H23" s="85">
        <f>'Samenvatting mixen'!B62</f>
        <v>2.3561639295799377E-4</v>
      </c>
      <c r="I23" s="85">
        <f>'Samenvatting mixen'!B73</f>
        <v>2.5454660068023917E-3</v>
      </c>
      <c r="J23" s="308">
        <f>'[4]Control panel'!F6</f>
        <v>3.3196657987390124E-5</v>
      </c>
      <c r="L23" s="210"/>
      <c r="M23" s="210"/>
      <c r="N23" s="210"/>
      <c r="O23" s="210"/>
      <c r="P23" s="210"/>
      <c r="Q23" s="210"/>
      <c r="R23" s="210"/>
    </row>
    <row r="24" spans="1:18">
      <c r="A24" s="210"/>
      <c r="B24" s="356" t="s">
        <v>8</v>
      </c>
      <c r="C24" s="318">
        <f>'Samenvatting mixen'!B8</f>
        <v>5.5806156093080386E-2</v>
      </c>
      <c r="D24" s="323">
        <f>'Samenvatting mixen'!B19</f>
        <v>5.9579668810771695E-2</v>
      </c>
      <c r="E24" s="85">
        <f>'Samenvatting mixen'!B30</f>
        <v>2.546399648864326E-3</v>
      </c>
      <c r="F24" s="85">
        <f>'Samenvatting mixen'!B41</f>
        <v>7.2607829207531574E-2</v>
      </c>
      <c r="G24" s="85">
        <f>'Samenvatting mixen'!B52</f>
        <v>6.868366415905999E-5</v>
      </c>
      <c r="H24" s="85">
        <f>'Samenvatting mixen'!B63</f>
        <v>2.8298625951132052E-4</v>
      </c>
      <c r="I24" s="85">
        <f>'Samenvatting mixen'!B74</f>
        <v>2.4514565523950245E-3</v>
      </c>
      <c r="J24" s="308">
        <f>'[4]Control panel'!F7</f>
        <v>4.8644439396432552E-5</v>
      </c>
      <c r="L24" s="210"/>
      <c r="M24" s="210"/>
      <c r="N24" s="210"/>
      <c r="O24" s="210"/>
      <c r="P24" s="210"/>
      <c r="Q24" s="210"/>
      <c r="R24" s="210"/>
    </row>
    <row r="25" spans="1:18">
      <c r="A25" s="210"/>
      <c r="B25" s="356" t="s">
        <v>9</v>
      </c>
      <c r="C25" s="318">
        <f>'Samenvatting mixen'!B9</f>
        <v>2.2974293135090414E-2</v>
      </c>
      <c r="D25" s="323">
        <f>'Samenvatting mixen'!B20</f>
        <v>0.16444314694977685</v>
      </c>
      <c r="E25" s="85">
        <f>'Samenvatting mixen'!B31</f>
        <v>0.20025905729082505</v>
      </c>
      <c r="F25" s="85">
        <f>'Samenvatting mixen'!B42</f>
        <v>0.1309806794633851</v>
      </c>
      <c r="G25" s="85">
        <f>'Samenvatting mixen'!B53</f>
        <v>4.7307968945150372E-5</v>
      </c>
      <c r="H25" s="85">
        <f>'Samenvatting mixen'!B64</f>
        <v>2.1290955663842291E-4</v>
      </c>
      <c r="I25" s="85">
        <f>'Samenvatting mixen'!B75</f>
        <v>7.5921599619472133E-2</v>
      </c>
      <c r="J25" s="308">
        <f>'[4]Control panel'!F8</f>
        <v>2.3467442398853234E-4</v>
      </c>
      <c r="L25" s="210"/>
      <c r="M25" s="210"/>
      <c r="N25" s="210"/>
      <c r="O25" s="210"/>
      <c r="P25" s="210"/>
      <c r="Q25" s="210"/>
      <c r="R25" s="210"/>
    </row>
    <row r="26" spans="1:18">
      <c r="A26" s="210"/>
      <c r="B26" s="356" t="s">
        <v>10</v>
      </c>
      <c r="C26" s="318">
        <f>'Samenvatting mixen'!B10</f>
        <v>6.0076910968351389E-2</v>
      </c>
      <c r="D26" s="323">
        <f>'Samenvatting mixen'!B21</f>
        <v>2.8381538622851237E-2</v>
      </c>
      <c r="E26" s="85">
        <f>'Samenvatting mixen'!B32</f>
        <v>6.1218525720286784E-3</v>
      </c>
      <c r="F26" s="85">
        <f>'Samenvatting mixen'!B43</f>
        <v>1.2936659409906758E-2</v>
      </c>
      <c r="G26" s="85">
        <f>'Samenvatting mixen'!B54</f>
        <v>1.9738075578495809E-4</v>
      </c>
      <c r="H26" s="85">
        <f>'Samenvatting mixen'!B65</f>
        <v>0.12507877688209407</v>
      </c>
      <c r="I26" s="85">
        <f>'Samenvatting mixen'!B76</f>
        <v>7.3177142887877356E-2</v>
      </c>
      <c r="J26" s="308">
        <f>'[4]Control panel'!F9</f>
        <v>1.5994064696340217E-4</v>
      </c>
      <c r="L26" s="210"/>
      <c r="M26" s="210"/>
      <c r="N26" s="210"/>
      <c r="O26" s="210"/>
      <c r="P26" s="210"/>
      <c r="Q26" s="210"/>
      <c r="R26" s="210"/>
    </row>
    <row r="27" spans="1:18">
      <c r="A27" s="210"/>
      <c r="B27" s="357" t="s">
        <v>11</v>
      </c>
      <c r="C27" s="319">
        <f>'Samenvatting mixen'!B11</f>
        <v>6.7017109742870451E-2</v>
      </c>
      <c r="D27" s="324">
        <f>'Samenvatting mixen'!B22</f>
        <v>4.1181270302766866E-3</v>
      </c>
      <c r="E27" s="309">
        <f>'Samenvatting mixen'!B33</f>
        <v>1.9616157440068083E-3</v>
      </c>
      <c r="F27" s="309">
        <f>'Samenvatting mixen'!B44</f>
        <v>1.2405196611491353E-2</v>
      </c>
      <c r="G27" s="309">
        <f>'Samenvatting mixen'!B55</f>
        <v>1.0096429579753327E-4</v>
      </c>
      <c r="H27" s="309">
        <f>'Samenvatting mixen'!B66</f>
        <v>9.984056682386987E-4</v>
      </c>
      <c r="I27" s="309">
        <f>'Samenvatting mixen'!B77</f>
        <v>3.4820423310112099E-2</v>
      </c>
      <c r="J27" s="310">
        <f>'[4]Control panel'!F10</f>
        <v>4.6821388640572115E-5</v>
      </c>
      <c r="L27" s="210"/>
      <c r="M27" s="210"/>
      <c r="N27" s="210"/>
      <c r="O27" s="210"/>
      <c r="P27" s="210"/>
      <c r="Q27" s="210"/>
      <c r="R27" s="210"/>
    </row>
    <row r="28" spans="1:18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18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18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18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18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L34" s="210"/>
      <c r="M34" s="210"/>
      <c r="N34" s="210"/>
      <c r="O34" s="210"/>
      <c r="P34" s="210"/>
      <c r="Q34" s="210"/>
      <c r="R34" s="210"/>
    </row>
    <row r="35" spans="1:18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L35" s="210"/>
      <c r="M35" s="210"/>
      <c r="N35" s="210"/>
      <c r="O35" s="210"/>
      <c r="P35" s="210"/>
      <c r="Q35" s="210"/>
      <c r="R35" s="210"/>
    </row>
    <row r="36" spans="1:18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L36" s="210"/>
      <c r="M36" s="210"/>
      <c r="N36" s="210"/>
      <c r="O36" s="210"/>
      <c r="P36" s="210"/>
      <c r="Q36" s="210"/>
      <c r="R36" s="210"/>
    </row>
    <row r="37" spans="1:18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L37" s="210"/>
      <c r="M37" s="210"/>
      <c r="N37" s="210"/>
      <c r="O37" s="210"/>
      <c r="P37" s="210"/>
      <c r="Q37" s="210"/>
      <c r="R37" s="210"/>
    </row>
    <row r="38" spans="1:18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L38" s="210"/>
      <c r="M38" s="210"/>
      <c r="N38" s="210"/>
      <c r="O38" s="210"/>
      <c r="P38" s="210"/>
      <c r="Q38" s="210"/>
      <c r="R38" s="210"/>
    </row>
    <row r="39" spans="1:18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L39" s="210"/>
      <c r="M39" s="210"/>
      <c r="N39" s="210"/>
      <c r="O39" s="210"/>
      <c r="P39" s="210"/>
      <c r="Q39" s="210"/>
      <c r="R39" s="210"/>
    </row>
    <row r="40" spans="1:18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L40" s="210"/>
      <c r="M40" s="210"/>
      <c r="N40" s="210"/>
      <c r="O40" s="210"/>
      <c r="P40" s="210"/>
      <c r="Q40" s="210"/>
      <c r="R40" s="210"/>
    </row>
    <row r="41" spans="1:18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L41" s="210"/>
      <c r="M41" s="210"/>
      <c r="N41" s="210"/>
      <c r="O41" s="210"/>
      <c r="P41" s="210"/>
      <c r="Q41" s="210"/>
      <c r="R41" s="210"/>
    </row>
    <row r="42" spans="1:18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L42" s="210"/>
      <c r="M42" s="210"/>
      <c r="N42" s="210"/>
      <c r="O42" s="210"/>
      <c r="P42" s="210"/>
      <c r="Q42" s="210"/>
      <c r="R42" s="210"/>
    </row>
    <row r="43" spans="1:18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390" t="s">
        <v>135</v>
      </c>
      <c r="D48" s="391"/>
      <c r="E48" s="390" t="s">
        <v>134</v>
      </c>
      <c r="F48" s="391"/>
      <c r="G48" s="391"/>
      <c r="H48" s="392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 ht="51.75">
      <c r="A49" s="210"/>
      <c r="B49" s="314"/>
      <c r="C49" s="328" t="s">
        <v>136</v>
      </c>
      <c r="D49" s="329" t="s">
        <v>137</v>
      </c>
      <c r="E49" s="329"/>
      <c r="F49" s="329"/>
      <c r="G49" s="328" t="s">
        <v>139</v>
      </c>
      <c r="H49" s="329" t="s">
        <v>138</v>
      </c>
      <c r="I49" s="307" t="s">
        <v>140</v>
      </c>
      <c r="J49" s="336" t="s">
        <v>141</v>
      </c>
      <c r="K49" s="336" t="s">
        <v>142</v>
      </c>
      <c r="L49" s="210"/>
      <c r="M49" s="210"/>
      <c r="N49" s="210"/>
      <c r="O49" s="210"/>
      <c r="P49" s="210"/>
      <c r="Q49" s="210"/>
      <c r="R49" s="210"/>
    </row>
    <row r="50" spans="1:18">
      <c r="A50" s="210"/>
      <c r="B50" s="315" t="s">
        <v>4</v>
      </c>
      <c r="C50" s="337">
        <v>4.4499999999999998E-2</v>
      </c>
      <c r="D50" s="337">
        <v>9.3000000000000096E-3</v>
      </c>
      <c r="E50" s="85"/>
      <c r="F50" s="85"/>
      <c r="G50" s="337">
        <v>-8.7300000000000003E-2</v>
      </c>
      <c r="H50" s="337">
        <f>+Scenarios!C24</f>
        <v>-3.2445168309994665E-3</v>
      </c>
      <c r="I50" s="351">
        <v>0.1023</v>
      </c>
      <c r="J50" s="352">
        <f t="shared" ref="J50:J57" si="1">+G50/I50</f>
        <v>-0.85337243401759533</v>
      </c>
      <c r="K50" s="331">
        <f t="shared" ref="K50:K57" si="2">+H50/I50</f>
        <v>-3.1715707047893123E-2</v>
      </c>
      <c r="L50" s="210"/>
      <c r="M50" s="210"/>
      <c r="N50" s="210"/>
      <c r="O50" s="210"/>
      <c r="P50" s="210"/>
      <c r="Q50" s="210"/>
      <c r="R50" s="210"/>
    </row>
    <row r="51" spans="1:18">
      <c r="A51" s="210"/>
      <c r="B51" s="315" t="s">
        <v>5</v>
      </c>
      <c r="C51" s="318">
        <v>8.5371817899603325E-2</v>
      </c>
      <c r="D51" s="318">
        <v>5.6265360838678849E-2</v>
      </c>
      <c r="E51" s="85"/>
      <c r="F51" s="85"/>
      <c r="G51" s="318">
        <v>-4.6468851830414513E-2</v>
      </c>
      <c r="H51" s="318">
        <f>+Scenarios!C25</f>
        <v>1.4996171000904845E-2</v>
      </c>
      <c r="I51" s="318">
        <f t="shared" ref="I51:I57" si="3">+J4</f>
        <v>0.15810707611932825</v>
      </c>
      <c r="J51" s="353">
        <f t="shared" si="1"/>
        <v>-0.29390747695152525</v>
      </c>
      <c r="K51" s="331">
        <f t="shared" si="2"/>
        <v>9.484819635515096E-2</v>
      </c>
      <c r="L51" s="210"/>
      <c r="M51" s="210"/>
      <c r="N51" s="210"/>
      <c r="O51" s="210"/>
      <c r="P51" s="210"/>
      <c r="Q51" s="210"/>
      <c r="R51" s="210"/>
    </row>
    <row r="52" spans="1:18">
      <c r="A52" s="210"/>
      <c r="B52" s="315" t="s">
        <v>6</v>
      </c>
      <c r="C52" s="318">
        <v>0.14294511515742836</v>
      </c>
      <c r="D52" s="318">
        <v>4.8236186870114238E-2</v>
      </c>
      <c r="E52" s="85"/>
      <c r="F52" s="85"/>
      <c r="G52" s="318">
        <v>1.1104445427410514E-2</v>
      </c>
      <c r="H52" s="318">
        <f>+Scenarios!C26</f>
        <v>3.3632152529915554E-2</v>
      </c>
      <c r="I52" s="318">
        <f t="shared" si="3"/>
        <v>0.16193319430872868</v>
      </c>
      <c r="J52" s="353">
        <f t="shared" si="1"/>
        <v>6.857423812834619E-2</v>
      </c>
      <c r="K52" s="331">
        <f>+H52/I52</f>
        <v>0.20769152781482975</v>
      </c>
      <c r="L52" s="210"/>
      <c r="M52" s="210"/>
      <c r="N52" s="210"/>
      <c r="O52" s="210"/>
      <c r="P52" s="210"/>
      <c r="Q52" s="210"/>
      <c r="R52" s="210"/>
    </row>
    <row r="53" spans="1:18">
      <c r="A53" s="210"/>
      <c r="B53" s="315" t="s">
        <v>7</v>
      </c>
      <c r="C53" s="318">
        <v>7.3688794074914882E-2</v>
      </c>
      <c r="D53" s="318">
        <v>4.4755655663184818E-2</v>
      </c>
      <c r="E53" s="85"/>
      <c r="F53" s="85"/>
      <c r="G53" s="318">
        <v>-5.8151875655102964E-2</v>
      </c>
      <c r="H53" s="318">
        <f>+Scenarios!C27</f>
        <v>-1.8275706628265609E-2</v>
      </c>
      <c r="I53" s="318">
        <f t="shared" si="3"/>
        <v>0.28684488662827246</v>
      </c>
      <c r="J53" s="353">
        <f t="shared" si="1"/>
        <v>-0.20272934385775906</v>
      </c>
      <c r="K53" s="331">
        <f>+H53/I53</f>
        <v>-6.3712854857159898E-2</v>
      </c>
      <c r="L53" s="210"/>
      <c r="M53" s="210"/>
      <c r="N53" s="210"/>
      <c r="O53" s="210"/>
      <c r="P53" s="210"/>
      <c r="Q53" s="210"/>
      <c r="R53" s="210"/>
    </row>
    <row r="54" spans="1:18">
      <c r="A54" s="210"/>
      <c r="B54" s="315" t="s">
        <v>8</v>
      </c>
      <c r="C54" s="318">
        <v>8.8200075364801303E-2</v>
      </c>
      <c r="D54" s="318">
        <v>0.11547766137672615</v>
      </c>
      <c r="E54" s="85"/>
      <c r="F54" s="85"/>
      <c r="G54" s="318">
        <v>-4.3640594365216501E-2</v>
      </c>
      <c r="H54" s="318">
        <f>+Scenarios!C28</f>
        <v>6.1274623073284545E-2</v>
      </c>
      <c r="I54" s="318">
        <f t="shared" si="3"/>
        <v>0.29497711980114533</v>
      </c>
      <c r="J54" s="353">
        <f t="shared" si="1"/>
        <v>-0.14794569285453799</v>
      </c>
      <c r="K54" s="331">
        <f t="shared" si="2"/>
        <v>0.20772669797098831</v>
      </c>
      <c r="L54" s="210"/>
      <c r="M54" s="210"/>
      <c r="N54" s="210"/>
      <c r="O54" s="210"/>
      <c r="P54" s="210"/>
      <c r="Q54" s="210"/>
      <c r="R54" s="210"/>
    </row>
    <row r="55" spans="1:18">
      <c r="B55" s="315" t="s">
        <v>9</v>
      </c>
      <c r="C55" s="318">
        <v>9.6125190679341666E-2</v>
      </c>
      <c r="D55" s="318">
        <v>8.8245130245983364E-2</v>
      </c>
      <c r="E55" s="85"/>
      <c r="F55" s="85"/>
      <c r="G55" s="318">
        <v>-3.571547905067618E-2</v>
      </c>
      <c r="H55" s="318">
        <f>+Scenarios!C29</f>
        <v>7.9522702632630907E-2</v>
      </c>
      <c r="I55" s="318">
        <f t="shared" si="3"/>
        <v>0.32949402218690865</v>
      </c>
      <c r="J55" s="353">
        <f t="shared" si="1"/>
        <v>-0.10839492265633952</v>
      </c>
      <c r="K55" s="331">
        <f t="shared" si="2"/>
        <v>0.241347937376299</v>
      </c>
      <c r="L55" s="210"/>
      <c r="M55" s="210"/>
      <c r="N55" s="210"/>
      <c r="O55" s="210"/>
      <c r="P55" s="210"/>
      <c r="Q55" s="210"/>
      <c r="R55" s="210"/>
    </row>
    <row r="56" spans="1:18">
      <c r="B56" s="315" t="s">
        <v>10</v>
      </c>
      <c r="C56" s="318">
        <v>6.2658557549145399E-2</v>
      </c>
      <c r="D56" s="318">
        <v>3.2952299000522406E-2</v>
      </c>
      <c r="E56" s="85"/>
      <c r="F56" s="85"/>
      <c r="G56" s="318">
        <v>-6.9182112180872446E-2</v>
      </c>
      <c r="H56" s="318">
        <f>+Scenarios!C30</f>
        <v>1.7325408361865E-2</v>
      </c>
      <c r="I56" s="318">
        <f t="shared" si="3"/>
        <v>0.1608611248297202</v>
      </c>
      <c r="J56" s="353">
        <f t="shared" si="1"/>
        <v>-0.43007353239699947</v>
      </c>
      <c r="K56" s="331">
        <f t="shared" si="2"/>
        <v>0.10770413535405052</v>
      </c>
      <c r="L56" s="210"/>
      <c r="M56" s="210"/>
      <c r="N56" s="210"/>
      <c r="O56" s="210"/>
      <c r="P56" s="210"/>
      <c r="Q56" s="210"/>
      <c r="R56" s="210"/>
    </row>
    <row r="57" spans="1:18">
      <c r="B57" s="316" t="s">
        <v>11</v>
      </c>
      <c r="C57" s="319">
        <v>7.3464510927495008E-2</v>
      </c>
      <c r="D57" s="319">
        <v>3.9406691481015818E-2</v>
      </c>
      <c r="E57" s="309"/>
      <c r="F57" s="309"/>
      <c r="G57" s="319">
        <v>-5.8376158802522837E-2</v>
      </c>
      <c r="H57" s="319">
        <f>+Scenarios!C31</f>
        <v>-3.3454365202922019E-3</v>
      </c>
      <c r="I57" s="319">
        <f t="shared" si="3"/>
        <v>0.19933384935580506</v>
      </c>
      <c r="J57" s="354">
        <f t="shared" si="1"/>
        <v>-0.2928562258300802</v>
      </c>
      <c r="K57" s="334">
        <f t="shared" si="2"/>
        <v>-1.6783082908917772E-2</v>
      </c>
      <c r="L57" s="210"/>
      <c r="M57" s="210"/>
      <c r="N57" s="210"/>
      <c r="O57" s="210"/>
      <c r="P57" s="210"/>
      <c r="Q57" s="210"/>
      <c r="R57" s="210"/>
    </row>
    <row r="58" spans="1:18">
      <c r="B58" s="84"/>
      <c r="C58" s="84"/>
      <c r="D58" s="84"/>
      <c r="E58" s="98"/>
      <c r="F58" s="98"/>
      <c r="G58" s="84"/>
      <c r="H58" s="84"/>
      <c r="I58" s="84"/>
      <c r="J58" s="84"/>
      <c r="L58" s="210"/>
      <c r="M58" s="210"/>
      <c r="N58" s="210"/>
      <c r="O58" s="210"/>
      <c r="P58" s="210"/>
      <c r="Q58" s="210"/>
      <c r="R58" s="210"/>
    </row>
    <row r="59" spans="1:18"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2:13"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</row>
    <row r="66" spans="2:13"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</row>
    <row r="67" spans="2:13"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</row>
    <row r="68" spans="2:13"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</row>
    <row r="69" spans="2:13"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</row>
    <row r="70" spans="2:13"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</row>
    <row r="71" spans="2:13"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</row>
    <row r="72" spans="2:13"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</row>
    <row r="73" spans="2:13"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</row>
    <row r="74" spans="2:13"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</row>
    <row r="75" spans="2:13"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</row>
    <row r="76" spans="2:13"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</row>
    <row r="77" spans="2:13"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</row>
    <row r="78" spans="2:13"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</row>
    <row r="79" spans="2:13">
      <c r="M79" s="210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D25:O36"/>
  <sheetViews>
    <sheetView workbookViewId="0">
      <selection activeCell="D29" sqref="D29:I36"/>
    </sheetView>
  </sheetViews>
  <sheetFormatPr defaultRowHeight="15"/>
  <sheetData>
    <row r="25" spans="4:15" ht="21">
      <c r="J25" s="366"/>
      <c r="K25" s="366"/>
      <c r="L25" s="366"/>
      <c r="M25" s="366"/>
      <c r="N25" s="366"/>
      <c r="O25" s="366"/>
    </row>
    <row r="26" spans="4:15" ht="21">
      <c r="J26" s="365"/>
      <c r="K26" s="365"/>
      <c r="L26" s="365"/>
      <c r="M26" s="365"/>
      <c r="N26" s="365"/>
      <c r="O26" s="365"/>
    </row>
    <row r="27" spans="4:15" ht="21">
      <c r="J27" s="365"/>
      <c r="K27" s="365"/>
      <c r="L27" s="365"/>
      <c r="M27" s="365"/>
      <c r="N27" s="365"/>
      <c r="O27" s="365"/>
    </row>
    <row r="28" spans="4:15" ht="21">
      <c r="J28" s="365"/>
      <c r="K28" s="365"/>
      <c r="L28" s="365"/>
      <c r="M28" s="365"/>
      <c r="N28" s="365"/>
      <c r="O28" s="365"/>
    </row>
    <row r="29" spans="4:15" ht="21">
      <c r="D29" s="368">
        <v>-3.2445168309994665E-3</v>
      </c>
      <c r="E29" s="368">
        <v>-1.0761362748873404E-3</v>
      </c>
      <c r="F29" s="368">
        <v>-3.4179872754884488E-3</v>
      </c>
      <c r="G29" s="368">
        <v>-2.5720358328627513E-2</v>
      </c>
      <c r="H29" s="368">
        <v>-0.26287574291051119</v>
      </c>
      <c r="I29" s="368">
        <v>-3.2441343963196256E-3</v>
      </c>
      <c r="J29" s="365"/>
      <c r="K29" s="365"/>
      <c r="L29" s="365"/>
      <c r="M29" s="365"/>
      <c r="N29" s="365"/>
      <c r="O29" s="365"/>
    </row>
    <row r="30" spans="4:15" ht="21">
      <c r="D30" s="367">
        <v>1.4996171000904845E-2</v>
      </c>
      <c r="E30" s="367">
        <v>-0.10270478546112452</v>
      </c>
      <c r="F30" s="367">
        <v>3.7295220378336866E-2</v>
      </c>
      <c r="G30" s="367">
        <v>-0.43424993966436087</v>
      </c>
      <c r="H30" s="367">
        <v>-0.41153220498436088</v>
      </c>
      <c r="I30" s="367">
        <v>0.29819819149830579</v>
      </c>
      <c r="J30" s="365"/>
      <c r="K30" s="365"/>
      <c r="L30" s="365"/>
      <c r="M30" s="365"/>
      <c r="N30" s="365"/>
      <c r="O30" s="365"/>
    </row>
    <row r="31" spans="4:15" ht="21">
      <c r="D31" s="367">
        <v>3.3632152529915554E-2</v>
      </c>
      <c r="E31" s="367">
        <v>-5.1463733534465664E-2</v>
      </c>
      <c r="F31" s="367">
        <v>3.7955967038468326E-2</v>
      </c>
      <c r="G31" s="367">
        <v>-0.52495132978596959</v>
      </c>
      <c r="H31" s="367">
        <v>-0.34991079217679127</v>
      </c>
      <c r="I31" s="367">
        <v>0.24979690735679014</v>
      </c>
      <c r="J31" s="365"/>
      <c r="K31" s="365"/>
      <c r="L31" s="365"/>
      <c r="M31" s="365"/>
      <c r="N31" s="365"/>
      <c r="O31" s="365"/>
    </row>
    <row r="32" spans="4:15" ht="21">
      <c r="D32" s="367">
        <v>-1.8275706628265609E-2</v>
      </c>
      <c r="E32" s="367">
        <v>-0.20763301199738962</v>
      </c>
      <c r="F32" s="367">
        <v>4.4157772609314798E-2</v>
      </c>
      <c r="G32" s="367">
        <v>-0.60718802956862361</v>
      </c>
      <c r="H32" s="367">
        <v>-0.47851488198333225</v>
      </c>
      <c r="I32" s="367">
        <v>0.39131495295955132</v>
      </c>
      <c r="J32" s="365"/>
      <c r="K32" s="365"/>
      <c r="L32" s="365"/>
      <c r="M32" s="365"/>
      <c r="N32" s="365"/>
      <c r="O32" s="365"/>
    </row>
    <row r="33" spans="4:9" ht="21">
      <c r="D33" s="367">
        <v>6.1274623073284545E-2</v>
      </c>
      <c r="E33" s="367">
        <v>-6.0480183929069335E-2</v>
      </c>
      <c r="F33" s="367">
        <v>7.5058724753415462E-2</v>
      </c>
      <c r="G33" s="367">
        <v>-0.41926220845987938</v>
      </c>
      <c r="H33" s="367">
        <v>-0.25917386489837912</v>
      </c>
      <c r="I33" s="367">
        <v>0.38663466689136228</v>
      </c>
    </row>
    <row r="34" spans="4:9" ht="21">
      <c r="D34" s="367">
        <v>7.8587119299297584E-2</v>
      </c>
      <c r="E34" s="367">
        <v>1.202667991596415E-2</v>
      </c>
      <c r="F34" s="367">
        <v>8.5249207175964209E-2</v>
      </c>
      <c r="G34" s="367">
        <v>-0.52128297967070236</v>
      </c>
      <c r="H34" s="367">
        <v>-0.54077311463070243</v>
      </c>
      <c r="I34" s="367">
        <v>0.621322616702631</v>
      </c>
    </row>
    <row r="35" spans="4:9" ht="21">
      <c r="D35" s="367">
        <v>1.7266845343768298E-2</v>
      </c>
      <c r="E35" s="367">
        <v>-4.6837452112218791E-2</v>
      </c>
      <c r="F35" s="367">
        <v>1.6486514937065669E-2</v>
      </c>
      <c r="G35" s="367">
        <v>-0.25578506483255775</v>
      </c>
      <c r="H35" s="367">
        <v>-6.3652338898156002E-3</v>
      </c>
      <c r="I35" s="367">
        <v>0.2823257405542573</v>
      </c>
    </row>
    <row r="36" spans="4:9" ht="21">
      <c r="D36" s="367">
        <v>-3.3454365202922019E-3</v>
      </c>
      <c r="E36" s="367">
        <v>-8.4519819517757569E-2</v>
      </c>
      <c r="F36" s="367">
        <v>3.2797465910270177E-2</v>
      </c>
      <c r="G36" s="367">
        <v>-0.33580172019430399</v>
      </c>
      <c r="H36" s="367">
        <v>-0.18031161563030054</v>
      </c>
      <c r="I36" s="367">
        <v>0.35335277777605689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2013-03-14T12:52:03Z</dcterms:modified>
</cp:coreProperties>
</file>