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0950" yWindow="570" windowWidth="14415" windowHeight="12150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Sheet1" sheetId="12" r:id="rId9"/>
  </sheets>
  <externalReferences>
    <externalReference r:id="rId10"/>
    <externalReference r:id="rId11"/>
    <externalReference r:id="rId12"/>
  </externalReferences>
  <definedNames>
    <definedName name="aan_uit">Optimalisatie!$B$101:$B$102</definedName>
    <definedName name="hh">'[1]Parameters scenarios'!$A$104:$A$118</definedName>
    <definedName name="k">'Absolute visies'!$N$4:$U$11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oncurrentCalc="0"/>
</workbook>
</file>

<file path=xl/calcChain.xml><?xml version="1.0" encoding="utf-8"?>
<calcChain xmlns="http://schemas.openxmlformats.org/spreadsheetml/2006/main">
  <c r="B24" i="7"/>
  <c r="B25"/>
  <c r="B26"/>
  <c r="B27"/>
  <c r="B28"/>
  <c r="B29"/>
  <c r="B30"/>
  <c r="B31"/>
  <c r="B11" i="9"/>
  <c r="C10" i="11"/>
  <c r="J10"/>
  <c r="C9"/>
  <c r="J9"/>
  <c r="C8"/>
  <c r="J8"/>
  <c r="C7"/>
  <c r="J7"/>
  <c r="C6"/>
  <c r="J6"/>
  <c r="C5"/>
  <c r="J5"/>
  <c r="C4"/>
  <c r="J4"/>
  <c r="C3"/>
  <c r="J3"/>
  <c r="I10"/>
  <c r="H25"/>
  <c r="H10"/>
  <c r="G25"/>
  <c r="G10"/>
  <c r="F25"/>
  <c r="F10"/>
  <c r="E25"/>
  <c r="E10"/>
  <c r="D25"/>
  <c r="D10"/>
  <c r="C25"/>
  <c r="I9"/>
  <c r="H24"/>
  <c r="H9"/>
  <c r="G24"/>
  <c r="G9"/>
  <c r="F24"/>
  <c r="F9"/>
  <c r="E24"/>
  <c r="E9"/>
  <c r="D24"/>
  <c r="D9"/>
  <c r="C24"/>
  <c r="I8"/>
  <c r="H23"/>
  <c r="H8"/>
  <c r="G23"/>
  <c r="G8"/>
  <c r="F23"/>
  <c r="F8"/>
  <c r="E23"/>
  <c r="E8"/>
  <c r="D23"/>
  <c r="D8"/>
  <c r="C23"/>
  <c r="I7"/>
  <c r="H22"/>
  <c r="H7"/>
  <c r="G22"/>
  <c r="G7"/>
  <c r="F22"/>
  <c r="F7"/>
  <c r="E22"/>
  <c r="E7"/>
  <c r="D22"/>
  <c r="D7"/>
  <c r="C22"/>
  <c r="I6"/>
  <c r="H21"/>
  <c r="H6"/>
  <c r="G21"/>
  <c r="G6"/>
  <c r="F21"/>
  <c r="F6"/>
  <c r="E21"/>
  <c r="E6"/>
  <c r="D21"/>
  <c r="D6"/>
  <c r="C21"/>
  <c r="I5"/>
  <c r="H20"/>
  <c r="H5"/>
  <c r="G20"/>
  <c r="G5"/>
  <c r="F20"/>
  <c r="F5"/>
  <c r="E20"/>
  <c r="E5"/>
  <c r="D20"/>
  <c r="D5"/>
  <c r="C20"/>
  <c r="I4"/>
  <c r="H19"/>
  <c r="H4"/>
  <c r="G19"/>
  <c r="G4"/>
  <c r="F19"/>
  <c r="F4"/>
  <c r="E19"/>
  <c r="E4"/>
  <c r="D19"/>
  <c r="D4"/>
  <c r="C19"/>
  <c r="I3"/>
  <c r="H18"/>
  <c r="H3"/>
  <c r="G18"/>
  <c r="G3"/>
  <c r="F18"/>
  <c r="F3"/>
  <c r="E18"/>
  <c r="E3"/>
  <c r="D18"/>
  <c r="D3"/>
  <c r="C18"/>
  <c r="E33" i="7"/>
  <c r="C33"/>
  <c r="J35" i="11"/>
  <c r="I35"/>
  <c r="H35"/>
  <c r="K35"/>
  <c r="I38"/>
  <c r="H38"/>
  <c r="K38"/>
  <c r="I37"/>
  <c r="J37"/>
  <c r="I39"/>
  <c r="J39"/>
  <c r="I40"/>
  <c r="I41"/>
  <c r="I42"/>
  <c r="I36"/>
  <c r="J36"/>
  <c r="H39"/>
  <c r="H36"/>
  <c r="H37"/>
  <c r="H40"/>
  <c r="H41"/>
  <c r="H42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O9" i="11"/>
  <c r="F10" i="9"/>
  <c r="Q13" i="11"/>
  <c r="N13"/>
  <c r="R13"/>
  <c r="F9" i="9"/>
  <c r="Q12" i="11"/>
  <c r="N12"/>
  <c r="R12"/>
  <c r="F8" i="9"/>
  <c r="Q11" i="11"/>
  <c r="N11"/>
  <c r="R11"/>
  <c r="F7" i="9"/>
  <c r="Q10" i="11"/>
  <c r="N10"/>
  <c r="R10"/>
  <c r="F6" i="9"/>
  <c r="Q9" i="11"/>
  <c r="N9"/>
  <c r="R9"/>
  <c r="F5" i="9"/>
  <c r="Q8" i="11"/>
  <c r="N8"/>
  <c r="R8"/>
  <c r="F4" i="9"/>
  <c r="Q7" i="11"/>
  <c r="N7"/>
  <c r="R7"/>
  <c r="F3" i="9"/>
  <c r="Q6" i="11"/>
  <c r="N6"/>
  <c r="R6"/>
  <c r="C10" i="9"/>
  <c r="D10"/>
  <c r="P13" i="11"/>
  <c r="C9" i="9"/>
  <c r="D9"/>
  <c r="P12" i="11"/>
  <c r="P11"/>
  <c r="P10"/>
  <c r="P9"/>
  <c r="P8"/>
  <c r="P7"/>
  <c r="P6"/>
  <c r="O13"/>
  <c r="O12"/>
  <c r="O11"/>
  <c r="O10"/>
  <c r="O8"/>
  <c r="O7"/>
  <c r="O6"/>
  <c r="H35" i="7"/>
  <c r="I14" i="11"/>
  <c r="D35" i="7"/>
  <c r="E14" i="11"/>
  <c r="B35" i="7"/>
  <c r="C14" i="11"/>
  <c r="D33" i="7"/>
  <c r="F33"/>
  <c r="B33"/>
  <c r="G33"/>
  <c r="H33"/>
  <c r="I33"/>
  <c r="J12" i="11"/>
  <c r="I12"/>
  <c r="H12"/>
  <c r="E12"/>
  <c r="D12"/>
  <c r="C12"/>
  <c r="E35" i="7"/>
  <c r="F35"/>
  <c r="G7" i="9"/>
  <c r="G6"/>
  <c r="G3"/>
  <c r="G4"/>
  <c r="G5"/>
  <c r="G8"/>
  <c r="G9"/>
  <c r="G10"/>
  <c r="A21" i="5"/>
  <c r="A22"/>
  <c r="A23"/>
  <c r="A24"/>
  <c r="A25"/>
  <c r="A26"/>
  <c r="G5"/>
  <c r="H5"/>
  <c r="D27"/>
  <c r="D26"/>
  <c r="D25"/>
  <c r="D24"/>
  <c r="D23"/>
  <c r="D22"/>
  <c r="D21"/>
  <c r="D20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G27"/>
  <c r="G26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A60"/>
  <c r="A70"/>
  <c r="A80"/>
  <c r="A49"/>
  <c r="A59"/>
  <c r="A69"/>
  <c r="A79"/>
  <c r="A48"/>
  <c r="A58"/>
  <c r="A68"/>
  <c r="A78"/>
  <c r="A47"/>
  <c r="A57"/>
  <c r="A67"/>
  <c r="A77"/>
  <c r="A46"/>
  <c r="A56"/>
  <c r="A66"/>
  <c r="A76"/>
  <c r="A45"/>
  <c r="A55"/>
  <c r="A65"/>
  <c r="A75"/>
  <c r="A44"/>
  <c r="A54"/>
  <c r="A64"/>
  <c r="A74"/>
  <c r="A69" i="6"/>
  <c r="A63" i="8"/>
  <c r="A58" i="6"/>
  <c r="U88"/>
  <c r="T88"/>
  <c r="S88"/>
  <c r="A22"/>
  <c r="A44"/>
  <c r="A55"/>
  <c r="A66"/>
  <c r="A77"/>
  <c r="A88"/>
  <c r="R88"/>
  <c r="U87"/>
  <c r="T87"/>
  <c r="S87"/>
  <c r="A21"/>
  <c r="A43"/>
  <c r="A54"/>
  <c r="A65"/>
  <c r="A76"/>
  <c r="A87"/>
  <c r="R87"/>
  <c r="U86"/>
  <c r="T86"/>
  <c r="S86"/>
  <c r="A20"/>
  <c r="A42"/>
  <c r="A53"/>
  <c r="A64"/>
  <c r="A75"/>
  <c r="A86"/>
  <c r="R86"/>
  <c r="U85"/>
  <c r="T85"/>
  <c r="S85"/>
  <c r="A19"/>
  <c r="A41"/>
  <c r="A52"/>
  <c r="A63"/>
  <c r="A74"/>
  <c r="A85"/>
  <c r="R85"/>
  <c r="U84"/>
  <c r="T84"/>
  <c r="S84"/>
  <c r="A18"/>
  <c r="A40"/>
  <c r="A51"/>
  <c r="A62"/>
  <c r="A73"/>
  <c r="A84"/>
  <c r="R84"/>
  <c r="U83"/>
  <c r="T83"/>
  <c r="S83"/>
  <c r="A17"/>
  <c r="A39"/>
  <c r="A50"/>
  <c r="A61"/>
  <c r="A72"/>
  <c r="A83"/>
  <c r="R83"/>
  <c r="U82"/>
  <c r="T82"/>
  <c r="S82"/>
  <c r="A16"/>
  <c r="A38"/>
  <c r="A49"/>
  <c r="A60"/>
  <c r="A71"/>
  <c r="A82"/>
  <c r="R82"/>
  <c r="U81"/>
  <c r="T81"/>
  <c r="S81"/>
  <c r="A4"/>
  <c r="A15"/>
  <c r="A37"/>
  <c r="A48"/>
  <c r="A59"/>
  <c r="A70"/>
  <c r="A81"/>
  <c r="R81"/>
  <c r="R80"/>
  <c r="U77"/>
  <c r="T77"/>
  <c r="S77"/>
  <c r="R77"/>
  <c r="U76"/>
  <c r="T76"/>
  <c r="S76"/>
  <c r="R76"/>
  <c r="U75"/>
  <c r="T75"/>
  <c r="S75"/>
  <c r="R75"/>
  <c r="U74"/>
  <c r="T74"/>
  <c r="S74"/>
  <c r="R74"/>
  <c r="U73"/>
  <c r="T73"/>
  <c r="S73"/>
  <c r="R73"/>
  <c r="U72"/>
  <c r="T72"/>
  <c r="S72"/>
  <c r="R72"/>
  <c r="U71"/>
  <c r="T71"/>
  <c r="S71"/>
  <c r="R71"/>
  <c r="U70"/>
  <c r="T70"/>
  <c r="S70"/>
  <c r="R70"/>
  <c r="R69"/>
  <c r="V80" i="8"/>
  <c r="T80"/>
  <c r="S80"/>
  <c r="R80"/>
  <c r="Q80"/>
  <c r="V79"/>
  <c r="T79"/>
  <c r="S79"/>
  <c r="R79"/>
  <c r="A30"/>
  <c r="Q79"/>
  <c r="V78"/>
  <c r="T78"/>
  <c r="S78"/>
  <c r="R78"/>
  <c r="A29"/>
  <c r="Q78"/>
  <c r="V77"/>
  <c r="T77"/>
  <c r="S77"/>
  <c r="R77"/>
  <c r="A28"/>
  <c r="Q77"/>
  <c r="V76"/>
  <c r="T76"/>
  <c r="S76"/>
  <c r="R76"/>
  <c r="A27"/>
  <c r="Q76"/>
  <c r="V75"/>
  <c r="T75"/>
  <c r="S75"/>
  <c r="R75"/>
  <c r="A26"/>
  <c r="Q75"/>
  <c r="V74"/>
  <c r="T74"/>
  <c r="S74"/>
  <c r="R74"/>
  <c r="A25"/>
  <c r="Q74"/>
  <c r="Q73"/>
  <c r="T70"/>
  <c r="S70"/>
  <c r="R70"/>
  <c r="Q70"/>
  <c r="T69"/>
  <c r="S69"/>
  <c r="R69"/>
  <c r="Q69"/>
  <c r="T68"/>
  <c r="S68"/>
  <c r="R68"/>
  <c r="Q68"/>
  <c r="T67"/>
  <c r="S67"/>
  <c r="R67"/>
  <c r="Q67"/>
  <c r="T66"/>
  <c r="S66"/>
  <c r="R66"/>
  <c r="Q66"/>
  <c r="T65"/>
  <c r="S65"/>
  <c r="R65"/>
  <c r="Q65"/>
  <c r="T64"/>
  <c r="S64"/>
  <c r="R64"/>
  <c r="Q64"/>
  <c r="Q63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A4" i="9"/>
  <c r="W4"/>
  <c r="A5"/>
  <c r="W5"/>
  <c r="A6"/>
  <c r="W6"/>
  <c r="A7"/>
  <c r="W7"/>
  <c r="A8"/>
  <c r="W8"/>
  <c r="A9"/>
  <c r="W9"/>
  <c r="A10"/>
  <c r="W10"/>
  <c r="A3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A39"/>
  <c r="Q39"/>
  <c r="T38"/>
  <c r="S38"/>
  <c r="R38"/>
  <c r="T37"/>
  <c r="S37"/>
  <c r="R37"/>
  <c r="A37"/>
  <c r="Q37"/>
  <c r="T36"/>
  <c r="S36"/>
  <c r="R36"/>
  <c r="T35"/>
  <c r="S35"/>
  <c r="R35"/>
  <c r="A35"/>
  <c r="Q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A19"/>
  <c r="Q19"/>
  <c r="T18"/>
  <c r="S18"/>
  <c r="R18"/>
  <c r="T17"/>
  <c r="S17"/>
  <c r="R17"/>
  <c r="A17"/>
  <c r="Q17"/>
  <c r="T16"/>
  <c r="S16"/>
  <c r="R16"/>
  <c r="T15"/>
  <c r="S15"/>
  <c r="R15"/>
  <c r="A15"/>
  <c r="Q15"/>
  <c r="T14"/>
  <c r="S14"/>
  <c r="R14"/>
  <c r="T10"/>
  <c r="S10"/>
  <c r="R10"/>
  <c r="A20"/>
  <c r="Q20"/>
  <c r="T9"/>
  <c r="S9"/>
  <c r="R9"/>
  <c r="Q9"/>
  <c r="Q59"/>
  <c r="T8"/>
  <c r="S8"/>
  <c r="R8"/>
  <c r="A38"/>
  <c r="Q38"/>
  <c r="T7"/>
  <c r="S7"/>
  <c r="R7"/>
  <c r="Q7"/>
  <c r="Q57"/>
  <c r="T6"/>
  <c r="S6"/>
  <c r="R6"/>
  <c r="A16"/>
  <c r="Q16"/>
  <c r="T5"/>
  <c r="S5"/>
  <c r="R5"/>
  <c r="Q5"/>
  <c r="Q55"/>
  <c r="T4"/>
  <c r="S4"/>
  <c r="R4"/>
  <c r="A34"/>
  <c r="Q34"/>
  <c r="A53"/>
  <c r="Q53"/>
  <c r="A36" i="6"/>
  <c r="A33" i="8"/>
  <c r="Q33"/>
  <c r="A14" i="6"/>
  <c r="A13" i="8"/>
  <c r="Q13"/>
  <c r="A20" i="5"/>
  <c r="A3" i="8"/>
  <c r="Q3"/>
  <c r="R58" i="6"/>
  <c r="R14"/>
  <c r="R36"/>
  <c r="R3"/>
  <c r="A24" i="8"/>
  <c r="Q24"/>
  <c r="Q28"/>
  <c r="Q46"/>
  <c r="A50"/>
  <c r="Q50"/>
  <c r="Q4"/>
  <c r="Q8"/>
  <c r="A14"/>
  <c r="Q14"/>
  <c r="A18"/>
  <c r="Q18"/>
  <c r="Q27"/>
  <c r="A36"/>
  <c r="Q36"/>
  <c r="A40"/>
  <c r="Q40"/>
  <c r="Q45"/>
  <c r="Q49"/>
  <c r="Q54"/>
  <c r="Q56"/>
  <c r="Q58"/>
  <c r="Q60"/>
  <c r="Q26"/>
  <c r="Q30"/>
  <c r="Q44"/>
  <c r="Q48"/>
  <c r="Q6"/>
  <c r="Q10"/>
  <c r="Q25"/>
  <c r="Q29"/>
  <c r="Q47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R39"/>
  <c r="A28"/>
  <c r="R28"/>
  <c r="A32"/>
  <c r="R32"/>
  <c r="R17"/>
  <c r="R43"/>
  <c r="R21"/>
  <c r="R44"/>
  <c r="R15"/>
  <c r="A26"/>
  <c r="R26"/>
  <c r="R42"/>
  <c r="R54"/>
  <c r="R65"/>
  <c r="R19"/>
  <c r="A30"/>
  <c r="R30"/>
  <c r="R40"/>
  <c r="R50"/>
  <c r="R61"/>
  <c r="R38"/>
  <c r="R64"/>
  <c r="R53"/>
  <c r="R51"/>
  <c r="R62"/>
  <c r="R37"/>
  <c r="R55"/>
  <c r="R66"/>
  <c r="R60"/>
  <c r="R49"/>
  <c r="R41"/>
  <c r="R48"/>
  <c r="R59"/>
  <c r="R52"/>
  <c r="R63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A47"/>
  <c r="A43" i="8"/>
  <c r="Q43"/>
  <c r="R47" i="6"/>
  <c r="A23" i="8"/>
  <c r="Q23"/>
  <c r="R25" i="6"/>
  <c r="A5" i="4"/>
  <c r="A108"/>
  <c r="A6"/>
  <c r="A109"/>
  <c r="A7"/>
  <c r="A110"/>
  <c r="A8"/>
  <c r="A111"/>
  <c r="A9"/>
  <c r="A112"/>
  <c r="A10"/>
  <c r="A113"/>
  <c r="A11"/>
  <c r="A114"/>
  <c r="A4"/>
  <c r="A107"/>
  <c r="A20"/>
  <c r="A21"/>
  <c r="A17"/>
  <c r="A22"/>
  <c r="A18"/>
  <c r="A16"/>
  <c r="A15"/>
  <c r="A19"/>
  <c r="I35" i="7"/>
  <c r="J14" i="11"/>
  <c r="C35" i="7"/>
  <c r="D14" i="11"/>
  <c r="G35" i="7"/>
  <c r="H14" i="11"/>
  <c r="E27" i="1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J40" i="11"/>
  <c r="K40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K36" i="11"/>
  <c r="H28" i="1"/>
  <c r="F30"/>
  <c r="D32"/>
  <c r="K33"/>
  <c r="J41" i="11"/>
  <c r="K41"/>
  <c r="K42"/>
  <c r="J42"/>
  <c r="J38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K39" i="11"/>
  <c r="K3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B15" i="9" a="1"/>
  <c r="B15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<sst xmlns="http://schemas.openxmlformats.org/spreadsheetml/2006/main" count="567" uniqueCount="150">
  <si>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</si>
  <si>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</si>
  <si>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</si>
  <si>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</si>
  <si>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</si>
  <si>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</si>
  <si>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</si>
  <si>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</si>
  <si>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</si>
  <si>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</si>
  <si>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</si>
  <si>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</si>
  <si>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</si>
  <si>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</si>
  <si>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</si>
  <si>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</si>
  <si>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</si>
  <si>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</si>
  <si>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</si>
  <si>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</si>
  <si>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</si>
  <si>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</si>
  <si>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</si>
  <si>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</si>
  <si>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</si>
  <si>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</si>
  <si>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</si>
  <si>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</si>
  <si>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</si>
  <si>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</si>
  <si>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</si>
  <si>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</si>
  <si>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</si>
  <si>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</si>
  <si>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</si>
  <si>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</si>
  <si>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</si>
  <si>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</si>
  <si>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</si>
  <si>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</si>
  <si>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</si>
  <si>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</si>
  <si>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</si>
  <si>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</si>
  <si>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</si>
  <si>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</si>
  <si>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</si>
  <si>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</si>
  <si>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</si>
  <si>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</si>
  <si>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</si>
  <si>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</si>
  <si>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</si>
  <si>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</si>
  <si>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</si>
  <si>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</si>
  <si>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</si>
  <si>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</si>
  <si>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</si>
  <si>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</si>
  <si>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</si>
  <si>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</si>
  <si>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</si>
  <si>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</si>
  <si>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</si>
  <si>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</si>
  <si>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</si>
  <si>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</si>
  <si>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</si>
  <si>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</si>
  <si>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</si>
  <si>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</si>
  <si>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</si>
  <si>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</si>
  <si>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</si>
  <si>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</si>
  <si>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</si>
  <si>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</si>
  <si>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</si>
  <si>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</si>
  <si>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</si>
  <si>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</si>
  <si>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</si>
  <si>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</si>
  <si>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</si>
  <si>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</si>
  <si>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</si>
  <si>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</si>
  <si>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</si>
  <si>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</si>
  <si>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</si>
  <si>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</si>
  <si>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</si>
  <si>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</si>
  <si>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</si>
  <si>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</si>
  <si>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</si>
  <si>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</si>
  <si>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</si>
  <si>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</si>
  <si>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</si>
  <si>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</si>
  <si>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</si>
  <si>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</si>
  <si>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</si>
  <si>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</si>
  <si>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</si>
  <si>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</si>
  <si>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</si>
  <si>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</si>
  <si>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</si>
  <si>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</si>
  <si>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</si>
  <si>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</si>
  <si>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</si>
  <si>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</si>
  <si>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</si>
  <si>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</si>
  <si>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</si>
  <si>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</si>
  <si>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</si>
  <si>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</si>
  <si>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</si>
  <si>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</si>
  <si>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</si>
  <si>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</si>
  <si>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</si>
  <si>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</si>
  <si>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</si>
  <si>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</si>
  <si>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</si>
  <si>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</si>
  <si>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</si>
  <si>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</si>
  <si>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</si>
  <si>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</si>
  <si>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Base Case verwacht rendement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</si>
  <si>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</si>
  <si>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</si>
  <si>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</si>
  <si>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</si>
  <si>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</si>
  <si>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</si>
  <si>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</si>
  <si>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</si>
  <si>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</si>
  <si>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</si>
  <si>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NaN</t>
  </si>
  <si>
    <t>Vorig IC Input</t>
  </si>
  <si>
    <t>Information Ratio</t>
  </si>
</sst>
</file>

<file path=xl/styles.xml><?xml version="1.0" encoding="utf-8"?>
<styleSheet xmlns="http://schemas.openxmlformats.org/spreadsheetml/2006/main">
  <numFmts count="45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  <numFmt numFmtId="207" formatCode="\€#,##0_);\(\€#,##0\)"/>
  </numFmts>
  <fonts count="9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9"/>
      <name val="Helvetica-Narrow"/>
    </font>
    <font>
      <sz val="9"/>
      <name val="Arial"/>
      <family val="2"/>
    </font>
    <font>
      <sz val="10"/>
      <name val="Arial Narrow"/>
      <family val="2"/>
    </font>
    <font>
      <sz val="16"/>
      <color theme="1"/>
      <name val="Calibri"/>
      <family val="2"/>
    </font>
    <font>
      <sz val="16"/>
      <color rgb="FFFF0000"/>
      <name val="Calibri"/>
      <family val="2"/>
    </font>
  </fonts>
  <fills count="6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</fills>
  <borders count="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7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79" fillId="0" borderId="0" applyNumberFormat="0" applyFill="0" applyBorder="0" applyAlignment="0" applyProtection="0"/>
    <xf numFmtId="0" fontId="80" fillId="0" borderId="55" applyNumberFormat="0" applyFill="0" applyAlignment="0" applyProtection="0"/>
    <xf numFmtId="0" fontId="81" fillId="0" borderId="56" applyNumberFormat="0" applyFill="0" applyAlignment="0" applyProtection="0"/>
    <xf numFmtId="0" fontId="82" fillId="0" borderId="57" applyNumberFormat="0" applyFill="0" applyAlignment="0" applyProtection="0"/>
    <xf numFmtId="0" fontId="82" fillId="0" borderId="0" applyNumberFormat="0" applyFill="0" applyBorder="0" applyAlignment="0" applyProtection="0"/>
    <xf numFmtId="0" fontId="83" fillId="35" borderId="0" applyNumberFormat="0" applyBorder="0" applyAlignment="0" applyProtection="0"/>
    <xf numFmtId="0" fontId="84" fillId="36" borderId="0" applyNumberFormat="0" applyBorder="0" applyAlignment="0" applyProtection="0"/>
    <xf numFmtId="0" fontId="85" fillId="37" borderId="0" applyNumberFormat="0" applyBorder="0" applyAlignment="0" applyProtection="0"/>
    <xf numFmtId="0" fontId="86" fillId="38" borderId="58" applyNumberFormat="0" applyAlignment="0" applyProtection="0"/>
    <xf numFmtId="0" fontId="87" fillId="38" borderId="1" applyNumberFormat="0" applyAlignment="0" applyProtection="0"/>
    <xf numFmtId="0" fontId="88" fillId="0" borderId="59" applyNumberFormat="0" applyFill="0" applyAlignment="0" applyProtection="0"/>
    <xf numFmtId="0" fontId="89" fillId="39" borderId="60" applyNumberFormat="0" applyAlignment="0" applyProtection="0"/>
    <xf numFmtId="0" fontId="90" fillId="0" borderId="0" applyNumberFormat="0" applyFill="0" applyBorder="0" applyAlignment="0" applyProtection="0"/>
    <xf numFmtId="0" fontId="1" fillId="40" borderId="61" applyNumberFormat="0" applyFont="0" applyAlignment="0" applyProtection="0"/>
    <xf numFmtId="0" fontId="91" fillId="0" borderId="0" applyNumberFormat="0" applyFill="0" applyBorder="0" applyAlignment="0" applyProtection="0"/>
    <xf numFmtId="0" fontId="12" fillId="0" borderId="62" applyNumberFormat="0" applyFill="0" applyAlignment="0" applyProtection="0"/>
    <xf numFmtId="0" fontId="15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5" fillId="44" borderId="0" applyNumberFormat="0" applyBorder="0" applyAlignment="0" applyProtection="0"/>
    <xf numFmtId="0" fontId="15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15" fillId="48" borderId="0" applyNumberFormat="0" applyBorder="0" applyAlignment="0" applyProtection="0"/>
    <xf numFmtId="0" fontId="15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1" borderId="0" applyNumberFormat="0" applyBorder="0" applyAlignment="0" applyProtection="0"/>
    <xf numFmtId="0" fontId="15" fillId="52" borderId="0" applyNumberFormat="0" applyBorder="0" applyAlignment="0" applyProtection="0"/>
    <xf numFmtId="0" fontId="15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5" borderId="0" applyNumberFormat="0" applyBorder="0" applyAlignment="0" applyProtection="0"/>
    <xf numFmtId="0" fontId="15" fillId="56" borderId="0" applyNumberFormat="0" applyBorder="0" applyAlignment="0" applyProtection="0"/>
    <xf numFmtId="0" fontId="15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59" borderId="0" applyNumberFormat="0" applyBorder="0" applyAlignment="0" applyProtection="0"/>
    <xf numFmtId="0" fontId="15" fillId="60" borderId="0" applyNumberFormat="0" applyBorder="0" applyAlignment="0" applyProtection="0"/>
    <xf numFmtId="0" fontId="15" fillId="61" borderId="0" applyNumberFormat="0" applyBorder="0" applyAlignment="0" applyProtection="0"/>
    <xf numFmtId="0" fontId="1" fillId="62" borderId="0" applyNumberFormat="0" applyBorder="0" applyAlignment="0" applyProtection="0"/>
    <xf numFmtId="0" fontId="1" fillId="63" borderId="0" applyNumberFormat="0" applyBorder="0" applyAlignment="0" applyProtection="0"/>
    <xf numFmtId="0" fontId="15" fillId="64" borderId="0" applyNumberFormat="0" applyBorder="0" applyAlignment="0" applyProtection="0"/>
    <xf numFmtId="0" fontId="35" fillId="10" borderId="0" applyNumberFormat="0" applyBorder="0" applyAlignment="0" applyProtection="0"/>
    <xf numFmtId="0" fontId="35" fillId="10" borderId="0" applyNumberFormat="0" applyBorder="0" applyAlignment="0" applyProtection="0"/>
    <xf numFmtId="0" fontId="35" fillId="16" borderId="0" applyNumberFormat="0" applyBorder="0" applyAlignment="0" applyProtection="0"/>
    <xf numFmtId="0" fontId="35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17" borderId="0" applyNumberFormat="0" applyBorder="0" applyAlignment="0" applyProtection="0"/>
    <xf numFmtId="0" fontId="3" fillId="0" borderId="0"/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" fillId="0" borderId="0">
      <alignment horizontal="left" wrapText="1"/>
    </xf>
    <xf numFmtId="0" fontId="35" fillId="9" borderId="0" applyNumberFormat="0" applyBorder="0" applyAlignment="0" applyProtection="0"/>
    <xf numFmtId="0" fontId="36" fillId="19" borderId="0" applyNumberFormat="0" applyBorder="0" applyAlignment="0" applyProtection="0"/>
    <xf numFmtId="0" fontId="35" fillId="8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horizontal="left" wrapText="1"/>
    </xf>
    <xf numFmtId="0" fontId="36" fillId="15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5" fillId="13" borderId="0" applyNumberFormat="0" applyBorder="0" applyAlignment="0" applyProtection="0"/>
    <xf numFmtId="0" fontId="35" fillId="13" borderId="0" applyNumberFormat="0" applyBorder="0" applyAlignment="0" applyProtection="0"/>
    <xf numFmtId="0" fontId="36" fillId="20" borderId="0" applyNumberFormat="0" applyBorder="0" applyAlignment="0" applyProtection="0"/>
    <xf numFmtId="0" fontId="35" fillId="15" borderId="0" applyNumberFormat="0" applyBorder="0" applyAlignment="0" applyProtection="0"/>
    <xf numFmtId="0" fontId="36" fillId="14" borderId="0" applyNumberFormat="0" applyBorder="0" applyAlignment="0" applyProtection="0"/>
    <xf numFmtId="0" fontId="92" fillId="0" borderId="0">
      <alignment horizontal="center"/>
    </xf>
    <xf numFmtId="0" fontId="71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Protection="0">
      <alignment horizontal="right"/>
    </xf>
    <xf numFmtId="0" fontId="37" fillId="25" borderId="37" applyNumberFormat="0" applyAlignment="0" applyProtection="0"/>
    <xf numFmtId="0" fontId="45" fillId="0" borderId="44" applyNumberFormat="0" applyFill="0" applyAlignment="0" applyProtection="0"/>
    <xf numFmtId="0" fontId="3" fillId="30" borderId="48" applyNumberFormat="0" applyFont="0" applyAlignment="0" applyProtection="0"/>
    <xf numFmtId="0" fontId="48" fillId="12" borderId="37" applyNumberFormat="0" applyAlignment="0" applyProtection="0"/>
    <xf numFmtId="207" fontId="93" fillId="0" borderId="0"/>
    <xf numFmtId="0" fontId="48" fillId="12" borderId="37" applyNumberFormat="0" applyAlignment="0" applyProtection="0"/>
    <xf numFmtId="0" fontId="58" fillId="8" borderId="0" applyNumberFormat="0" applyBorder="0" applyAlignment="0" applyProtection="0"/>
    <xf numFmtId="0" fontId="54" fillId="6" borderId="0" applyNumberFormat="0" applyBorder="0" applyAlignment="0" applyProtection="0"/>
    <xf numFmtId="0" fontId="35" fillId="0" borderId="0"/>
    <xf numFmtId="0" fontId="3" fillId="0" borderId="0"/>
    <xf numFmtId="0" fontId="3" fillId="0" borderId="0"/>
    <xf numFmtId="0" fontId="35" fillId="30" borderId="48" applyNumberFormat="0" applyFont="0" applyAlignment="0" applyProtection="0"/>
    <xf numFmtId="37" fontId="94" fillId="65" borderId="0" applyAlignment="0"/>
    <xf numFmtId="9" fontId="3" fillId="0" borderId="0" applyFont="0" applyFill="0" applyBorder="0" applyAlignment="0" applyProtection="0"/>
    <xf numFmtId="2" fontId="3" fillId="0" borderId="0" applyFont="0" applyFill="0" applyBorder="0" applyProtection="0">
      <alignment horizontal="right"/>
    </xf>
    <xf numFmtId="0" fontId="47" fillId="9" borderId="0" applyNumberFormat="0" applyBorder="0" applyAlignment="0" applyProtection="0"/>
    <xf numFmtId="0" fontId="69" fillId="25" borderId="49" applyNumberFormat="0" applyAlignment="0" applyProtection="0"/>
    <xf numFmtId="0" fontId="3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43" fillId="27" borderId="41" applyNumberFormat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3" fillId="0" borderId="0" applyFont="0" applyFill="0" applyBorder="0" applyAlignment="0" applyProtection="0"/>
  </cellStyleXfs>
  <cellXfs count="412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164" fontId="7" fillId="3" borderId="35" xfId="1" applyNumberFormat="1" applyFont="1" applyFill="1" applyBorder="1" applyAlignment="1">
      <alignment horizontal="center"/>
    </xf>
    <xf numFmtId="0" fontId="0" fillId="3" borderId="0" xfId="0" applyFont="1" applyFill="1" applyBorder="1" applyAlignment="1"/>
    <xf numFmtId="164" fontId="7" fillId="3" borderId="36" xfId="1" applyNumberFormat="1" applyFont="1" applyFill="1" applyBorder="1" applyAlignment="1">
      <alignment horizontal="center"/>
    </xf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164" fontId="7" fillId="3" borderId="34" xfId="1" applyNumberFormat="1" applyFont="1" applyFill="1" applyBorder="1" applyAlignment="1">
      <alignment horizontal="center"/>
    </xf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7" fillId="3" borderId="0" xfId="1" applyNumberFormat="1" applyFont="1" applyFill="1" applyBorder="1" applyAlignment="1">
      <alignment horizontal="center"/>
    </xf>
    <xf numFmtId="10" fontId="77" fillId="3" borderId="32" xfId="1" applyNumberFormat="1" applyFont="1" applyFill="1" applyBorder="1" applyAlignment="1">
      <alignment horizontal="center"/>
    </xf>
    <xf numFmtId="10" fontId="77" fillId="3" borderId="2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7" fillId="3" borderId="25" xfId="1" applyNumberFormat="1" applyFont="1" applyFill="1" applyBorder="1" applyAlignment="1">
      <alignment horizontal="center"/>
    </xf>
    <xf numFmtId="0" fontId="77" fillId="3" borderId="22" xfId="0" applyFont="1" applyFill="1" applyBorder="1"/>
    <xf numFmtId="0" fontId="77" fillId="3" borderId="25" xfId="0" applyFont="1" applyFill="1" applyBorder="1"/>
    <xf numFmtId="0" fontId="75" fillId="34" borderId="24" xfId="0" applyFont="1" applyFill="1" applyBorder="1" applyAlignment="1">
      <alignment horizontal="left"/>
    </xf>
    <xf numFmtId="0" fontId="75" fillId="34" borderId="35" xfId="0" applyFont="1" applyFill="1" applyBorder="1" applyAlignment="1">
      <alignment horizontal="center"/>
    </xf>
    <xf numFmtId="0" fontId="75" fillId="34" borderId="24" xfId="0" applyFont="1" applyFill="1" applyBorder="1" applyAlignment="1">
      <alignment horizontal="center"/>
    </xf>
    <xf numFmtId="0" fontId="77" fillId="3" borderId="21" xfId="0" applyFont="1" applyFill="1" applyBorder="1"/>
    <xf numFmtId="10" fontId="77" fillId="3" borderId="28" xfId="1" applyNumberFormat="1" applyFont="1" applyFill="1" applyBorder="1" applyAlignment="1">
      <alignment horizontal="center"/>
    </xf>
    <xf numFmtId="10" fontId="77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0" fontId="7" fillId="33" borderId="0" xfId="0" applyFont="1" applyFill="1"/>
    <xf numFmtId="164" fontId="7" fillId="33" borderId="0" xfId="1" applyNumberFormat="1" applyFont="1" applyFill="1" applyBorder="1" applyAlignment="1">
      <alignment horizontal="center"/>
    </xf>
    <xf numFmtId="164" fontId="7" fillId="33" borderId="8" xfId="1" applyNumberFormat="1" applyFont="1" applyFill="1" applyBorder="1" applyAlignment="1">
      <alignment horizontal="center"/>
    </xf>
    <xf numFmtId="164" fontId="7" fillId="33" borderId="42" xfId="1" applyNumberFormat="1" applyFont="1" applyFill="1" applyBorder="1" applyAlignment="1">
      <alignment horizontal="center"/>
    </xf>
    <xf numFmtId="164" fontId="7" fillId="33" borderId="53" xfId="1" applyNumberFormat="1" applyFont="1" applyFill="1" applyBorder="1" applyAlignment="1">
      <alignment horizontal="center"/>
    </xf>
    <xf numFmtId="10" fontId="0" fillId="3" borderId="0" xfId="0" applyNumberFormat="1" applyFill="1" applyBorder="1"/>
    <xf numFmtId="164" fontId="7" fillId="3" borderId="13" xfId="1" applyNumberFormat="1" applyFont="1" applyFill="1" applyBorder="1" applyAlignment="1">
      <alignment horizontal="center"/>
    </xf>
    <xf numFmtId="164" fontId="7" fillId="3" borderId="54" xfId="1" applyNumberFormat="1" applyFont="1" applyFill="1" applyBorder="1" applyAlignment="1">
      <alignment horizontal="center"/>
    </xf>
    <xf numFmtId="9" fontId="10" fillId="3" borderId="0" xfId="0" applyNumberFormat="1" applyFont="1" applyFill="1" applyBorder="1" applyAlignment="1">
      <alignment horizontal="center"/>
    </xf>
    <xf numFmtId="10" fontId="10" fillId="3" borderId="0" xfId="0" applyNumberFormat="1" applyFont="1" applyFill="1" applyBorder="1" applyAlignment="1">
      <alignment horizontal="center"/>
    </xf>
    <xf numFmtId="0" fontId="77" fillId="3" borderId="0" xfId="0" applyFont="1" applyFill="1" applyBorder="1"/>
    <xf numFmtId="43" fontId="7" fillId="3" borderId="34" xfId="3" applyFont="1" applyFill="1" applyBorder="1" applyAlignment="1">
      <alignment horizontal="center"/>
    </xf>
    <xf numFmtId="43" fontId="7" fillId="3" borderId="35" xfId="3" applyFont="1" applyFill="1" applyBorder="1" applyAlignment="1">
      <alignment horizontal="center"/>
    </xf>
    <xf numFmtId="43" fontId="7" fillId="3" borderId="36" xfId="3" applyFont="1" applyFill="1" applyBorder="1" applyAlignment="1">
      <alignment horizontal="center"/>
    </xf>
    <xf numFmtId="43" fontId="7" fillId="3" borderId="23" xfId="3" applyFont="1" applyFill="1" applyBorder="1" applyAlignment="1">
      <alignment horizontal="center"/>
    </xf>
    <xf numFmtId="43" fontId="7" fillId="3" borderId="0" xfId="3" applyFont="1" applyFill="1" applyBorder="1" applyAlignment="1">
      <alignment horizontal="center"/>
    </xf>
    <xf numFmtId="43" fontId="7" fillId="3" borderId="31" xfId="3" applyFont="1" applyFill="1" applyBorder="1" applyAlignment="1">
      <alignment horizontal="center"/>
    </xf>
    <xf numFmtId="43" fontId="7" fillId="3" borderId="26" xfId="3" applyFont="1" applyFill="1" applyBorder="1" applyAlignment="1">
      <alignment horizontal="center"/>
    </xf>
    <xf numFmtId="43" fontId="7" fillId="3" borderId="32" xfId="3" applyFont="1" applyFill="1" applyBorder="1" applyAlignment="1">
      <alignment horizontal="center"/>
    </xf>
    <xf numFmtId="43" fontId="7" fillId="3" borderId="33" xfId="3" applyFont="1" applyFill="1" applyBorder="1" applyAlignment="1">
      <alignment horizontal="center"/>
    </xf>
    <xf numFmtId="164" fontId="95" fillId="3" borderId="0" xfId="0" applyNumberFormat="1" applyFont="1" applyFill="1" applyBorder="1" applyAlignment="1">
      <alignment horizontal="center"/>
    </xf>
    <xf numFmtId="164" fontId="96" fillId="3" borderId="0" xfId="0" applyNumberFormat="1" applyFont="1" applyFill="1" applyBorder="1" applyAlignment="1">
      <alignment horizontal="center"/>
    </xf>
    <xf numFmtId="164" fontId="95" fillId="3" borderId="0" xfId="0" applyNumberFormat="1" applyFont="1" applyFill="1" applyBorder="1" applyAlignment="1">
      <alignment horizontal="center"/>
    </xf>
    <xf numFmtId="164" fontId="96" fillId="3" borderId="35" xfId="0" applyNumberFormat="1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  <xf numFmtId="164" fontId="90" fillId="4" borderId="7" xfId="0" applyNumberFormat="1" applyFont="1" applyFill="1" applyBorder="1" applyAlignment="1">
      <alignment horizontal="center"/>
    </xf>
    <xf numFmtId="164" fontId="90" fillId="4" borderId="6" xfId="0" applyNumberFormat="1" applyFont="1" applyFill="1" applyBorder="1" applyAlignment="1">
      <alignment horizontal="center"/>
    </xf>
  </cellXfs>
  <cellStyles count="7700">
    <cellStyle name="_x000a_bidires=100_x000d_" xfId="7646"/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default forecast" xfId="7653"/>
    <cellStyle name="_defaulted issuers" xfId="7659"/>
    <cellStyle name="_defaults" xfId="7660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Liquidity" xfId="7647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paired spreads" xfId="7649"/>
    <cellStyle name="_S&amp;P Trailing-12-Month Default Rate" xfId="7658"/>
    <cellStyle name="_spread &amp; return forecast" xfId="7654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 % - Accent1" xfId="7648"/>
    <cellStyle name="20 % - Accent2" xfId="7652"/>
    <cellStyle name="20 % - Accent3" xfId="7650"/>
    <cellStyle name="20 % - Accent4" xfId="7640"/>
    <cellStyle name="20 % - Accent5" xfId="7656"/>
    <cellStyle name="20 % - Accent6" xfId="7657"/>
    <cellStyle name="20% - Accent1" xfId="7617" builtinId="30" customBuiltin="1"/>
    <cellStyle name="20% - Accent1 2" xfId="5534"/>
    <cellStyle name="20% - Accent1 3" xfId="1166"/>
    <cellStyle name="20% - Accent2" xfId="7621" builtinId="34" customBuiltin="1"/>
    <cellStyle name="20% - Accent2 2" xfId="5535"/>
    <cellStyle name="20% - Accent2 3" xfId="1167"/>
    <cellStyle name="20% - Accent3" xfId="7625" builtinId="38" customBuiltin="1"/>
    <cellStyle name="20% - Accent3 2" xfId="5536"/>
    <cellStyle name="20% - Accent3 3" xfId="1168"/>
    <cellStyle name="20% - Accent4" xfId="7629" builtinId="42" customBuiltin="1"/>
    <cellStyle name="20% - Accent4 2" xfId="5537"/>
    <cellStyle name="20% - Accent4 3" xfId="1169"/>
    <cellStyle name="20% - Accent5" xfId="7633" builtinId="46" customBuiltin="1"/>
    <cellStyle name="20% - Accent5 2" xfId="5538"/>
    <cellStyle name="20% - Accent5 3" xfId="1170"/>
    <cellStyle name="20% - Accent6" xfId="7637" builtinId="50" customBuiltin="1"/>
    <cellStyle name="20% - Accent6 2" xfId="5539"/>
    <cellStyle name="20% - Accent6 3" xfId="1171"/>
    <cellStyle name="40 % - Accent1" xfId="7661"/>
    <cellStyle name="40 % - Accent2" xfId="7643"/>
    <cellStyle name="40 % - Accent3" xfId="7664"/>
    <cellStyle name="40 % - Accent4" xfId="7641"/>
    <cellStyle name="40 % - Accent5" xfId="7662"/>
    <cellStyle name="40 % - Accent6" xfId="7642"/>
    <cellStyle name="40% - Accent1" xfId="7618" builtinId="31" customBuiltin="1"/>
    <cellStyle name="40% - Accent1 2" xfId="5540"/>
    <cellStyle name="40% - Accent1 3" xfId="1172"/>
    <cellStyle name="40% - Accent2" xfId="7622" builtinId="35" customBuiltin="1"/>
    <cellStyle name="40% - Accent2 2" xfId="5541"/>
    <cellStyle name="40% - Accent2 3" xfId="1173"/>
    <cellStyle name="40% - Accent3" xfId="7626" builtinId="39" customBuiltin="1"/>
    <cellStyle name="40% - Accent3 2" xfId="5542"/>
    <cellStyle name="40% - Accent3 3" xfId="1174"/>
    <cellStyle name="40% - Accent4" xfId="7630" builtinId="43" customBuiltin="1"/>
    <cellStyle name="40% - Accent4 2" xfId="5543"/>
    <cellStyle name="40% - Accent4 3" xfId="1175"/>
    <cellStyle name="40% - Accent5" xfId="7634" builtinId="47" customBuiltin="1"/>
    <cellStyle name="40% - Accent5 2" xfId="5544"/>
    <cellStyle name="40% - Accent5 3" xfId="1176"/>
    <cellStyle name="40% - Accent6" xfId="7638" builtinId="51" customBuiltin="1"/>
    <cellStyle name="40% - Accent6 2" xfId="5545"/>
    <cellStyle name="40% - Accent6 3" xfId="1177"/>
    <cellStyle name="60 % - Accent1" xfId="7645"/>
    <cellStyle name="60 % - Accent2" xfId="7665"/>
    <cellStyle name="60 % - Accent3" xfId="7655"/>
    <cellStyle name="60 % - Accent4" xfId="7644"/>
    <cellStyle name="60 % - Accent5" xfId="7651"/>
    <cellStyle name="60 % - Accent6" xfId="7663"/>
    <cellStyle name="60% - Accent1" xfId="7619" builtinId="32" customBuiltin="1"/>
    <cellStyle name="60% - Accent1 2" xfId="5546"/>
    <cellStyle name="60% - Accent1 3" xfId="1178"/>
    <cellStyle name="60% - Accent2" xfId="7623" builtinId="36" customBuiltin="1"/>
    <cellStyle name="60% - Accent2 2" xfId="5547"/>
    <cellStyle name="60% - Accent2 3" xfId="1179"/>
    <cellStyle name="60% - Accent3" xfId="7627" builtinId="40" customBuiltin="1"/>
    <cellStyle name="60% - Accent3 2" xfId="5548"/>
    <cellStyle name="60% - Accent3 3" xfId="1180"/>
    <cellStyle name="60% - Accent4" xfId="7631" builtinId="44" customBuiltin="1"/>
    <cellStyle name="60% - Accent4 2" xfId="5549"/>
    <cellStyle name="60% - Accent4 3" xfId="1181"/>
    <cellStyle name="60% - Accent5" xfId="7635" builtinId="48" customBuiltin="1"/>
    <cellStyle name="60% - Accent5 2" xfId="5550"/>
    <cellStyle name="60% - Accent5 3" xfId="1182"/>
    <cellStyle name="60% - Accent6" xfId="7639" builtinId="52" customBuiltin="1"/>
    <cellStyle name="60% - Accent6 2" xfId="5551"/>
    <cellStyle name="60% - Accent6 3" xfId="1183"/>
    <cellStyle name="ABC" xfId="7666"/>
    <cellStyle name="Accent1" xfId="7616" builtinId="29" customBuiltin="1"/>
    <cellStyle name="Accent1 2" xfId="5552"/>
    <cellStyle name="Accent1 3" xfId="1184"/>
    <cellStyle name="Accent2" xfId="7620" builtinId="33" customBuiltin="1"/>
    <cellStyle name="Accent2 2" xfId="5553"/>
    <cellStyle name="Accent2 3" xfId="1185"/>
    <cellStyle name="Accent3" xfId="7624" builtinId="37" customBuiltin="1"/>
    <cellStyle name="Accent3 2" xfId="5554"/>
    <cellStyle name="Accent3 3" xfId="1186"/>
    <cellStyle name="Accent4" xfId="7628" builtinId="41" customBuiltin="1"/>
    <cellStyle name="Accent4 2" xfId="5555"/>
    <cellStyle name="Accent4 3" xfId="1187"/>
    <cellStyle name="Accent5" xfId="7632" builtinId="45" customBuiltin="1"/>
    <cellStyle name="Accent5 2" xfId="5556"/>
    <cellStyle name="Accent5 3" xfId="1188"/>
    <cellStyle name="Accent6" xfId="7636" builtinId="49" customBuiltin="1"/>
    <cellStyle name="Accent6 2" xfId="5557"/>
    <cellStyle name="Accent6 3" xfId="1189"/>
    <cellStyle name="Andre's Title" xfId="1190"/>
    <cellStyle name="Andre's Title 2" xfId="3560"/>
    <cellStyle name="Andre's Title 3" xfId="2346"/>
    <cellStyle name="Avertissement" xfId="7667"/>
    <cellStyle name="Bad" xfId="7606" builtinId="27" customBuiltin="1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ld" xfId="7668"/>
    <cellStyle name="BoldRight" xfId="7669"/>
    <cellStyle name="BoxHeading" xfId="1196"/>
    <cellStyle name="BoxHeading 2" xfId="3566"/>
    <cellStyle name="BoxHeading 3" xfId="2348"/>
    <cellStyle name="Calcul" xfId="7670"/>
    <cellStyle name="Calculation" xfId="7609" builtinId="22" customBuiltin="1"/>
    <cellStyle name="Calculation 2" xfId="5559"/>
    <cellStyle name="Calculation 3" xfId="1197"/>
    <cellStyle name="Cast" xfId="1198"/>
    <cellStyle name="Cellule liée" xfId="7671"/>
    <cellStyle name="Check Cell" xfId="7611" builtinId="23" customBuiltin="1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22" xfId="7697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4 2" xfId="7699"/>
    <cellStyle name="Comma 4 3" xfId="7698"/>
    <cellStyle name="Comma 5" xfId="4"/>
    <cellStyle name="Comma 6" xfId="7574"/>
    <cellStyle name="Comma 7" xfId="7589"/>
    <cellStyle name="Comma 8" xfId="7590"/>
    <cellStyle name="Comma 9" xfId="7586"/>
    <cellStyle name="Commentaire" xfId="7672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ntrée" xfId="7673"/>
    <cellStyle name="Euro" xfId="1212"/>
    <cellStyle name="Euro 2" xfId="7535"/>
    <cellStyle name="Euro 3" xfId="7674"/>
    <cellStyle name="Explanatory Text" xfId="7614" builtinId="53" customBuiltin="1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" xfId="7605" builtinId="26" customBuiltin="1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" xfId="7601" builtinId="16" customBuiltin="1"/>
    <cellStyle name="Heading 1 2" xfId="5566"/>
    <cellStyle name="Heading 1 3" xfId="1225"/>
    <cellStyle name="Heading 2" xfId="7602" builtinId="17" customBuiltin="1"/>
    <cellStyle name="Heading 2 2" xfId="5567"/>
    <cellStyle name="Heading 2 3" xfId="1226"/>
    <cellStyle name="Heading 3" xfId="7603" builtinId="18" customBuiltin="1"/>
    <cellStyle name="Heading 3 2" xfId="5568"/>
    <cellStyle name="Heading 3 3" xfId="1227"/>
    <cellStyle name="Heading 4" xfId="7604" builtinId="19" customBuiltin="1"/>
    <cellStyle name="Heading 4 2" xfId="5569"/>
    <cellStyle name="Heading 4 3" xfId="1228"/>
    <cellStyle name="Input" xfId="2" builtinId="20" customBuiltin="1"/>
    <cellStyle name="Input 2" xfId="3592"/>
    <cellStyle name="Input 2 2" xfId="7675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satisfaisant" xfId="7676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" xfId="7610" builtinId="24" customBuiltin="1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" xfId="7607" builtinId="28" customBuiltin="1"/>
    <cellStyle name="Neutral 2" xfId="5573"/>
    <cellStyle name="Neutral 3" xfId="1252"/>
    <cellStyle name="Neutre" xfId="7677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2 2 2" xfId="7678"/>
    <cellStyle name="Normal 3" xfId="5575"/>
    <cellStyle name="Normal 3 2" xfId="7680"/>
    <cellStyle name="Normal 3 3" xfId="7679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" xfId="7613" builtinId="10" customBuiltin="1"/>
    <cellStyle name="Note 2" xfId="5578"/>
    <cellStyle name="Note 2 2" xfId="7681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" xfId="7608" builtinId="21" customBuiltin="1"/>
    <cellStyle name="Output 2" xfId="5584"/>
    <cellStyle name="Output 3" xfId="1264"/>
    <cellStyle name="OutputPlain" xfId="7682"/>
    <cellStyle name="Percent" xfId="1" builtinId="5"/>
    <cellStyle name="Percent 2" xfId="5585"/>
    <cellStyle name="Percent 2 10" xfId="7696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3 2 2" xfId="7683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ghtNumber" xfId="7684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atisfaisant" xfId="7685"/>
    <cellStyle name="Sortie" xfId="7686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1 4" xfId="7687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exte explicatif" xfId="7688"/>
    <cellStyle name="Titel" xfId="1305"/>
    <cellStyle name="Title" xfId="7600" builtinId="15" customBuiltin="1"/>
    <cellStyle name="Title - PROJECT" xfId="1307"/>
    <cellStyle name="Title - Underline" xfId="1308"/>
    <cellStyle name="Title 2" xfId="5638"/>
    <cellStyle name="Title 2 2" xfId="7689"/>
    <cellStyle name="Title 3" xfId="1306"/>
    <cellStyle name="Titles - Col. Headings" xfId="1309"/>
    <cellStyle name="Titles - Other" xfId="1310"/>
    <cellStyle name="Titre" xfId="7690"/>
    <cellStyle name="Titre 1" xfId="7691"/>
    <cellStyle name="Titre 2" xfId="7692"/>
    <cellStyle name="Titre 3" xfId="7693"/>
    <cellStyle name="Titre 4" xfId="7694"/>
    <cellStyle name="Totaal" xfId="1311"/>
    <cellStyle name="Total" xfId="7615" builtinId="25" customBuiltin="1"/>
    <cellStyle name="Total 2" xfId="5639"/>
    <cellStyle name="Total 3" xfId="1312"/>
    <cellStyle name="Uitvoer" xfId="1313"/>
    <cellStyle name="Valuta_Inputrapportages jaar" xfId="1314"/>
    <cellStyle name="Vérification" xfId="7695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" xfId="7612" builtinId="11" customBuiltin="1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843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0.55549268496933957</c:v>
                </c:pt>
                <c:pt idx="1">
                  <c:v>9.7387120358343723E-2</c:v>
                </c:pt>
                <c:pt idx="2">
                  <c:v>9.5164223805884504E-2</c:v>
                </c:pt>
                <c:pt idx="3">
                  <c:v>0.10363483668477239</c:v>
                </c:pt>
                <c:pt idx="4">
                  <c:v>5.1404597453969164E-2</c:v>
                </c:pt>
                <c:pt idx="5">
                  <c:v>1.9729061421683056E-2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101"/>
          <c:w val="0.5562682138416909"/>
          <c:h val="0.69258218413304939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0.55729152448219943</c:v>
                </c:pt>
                <c:pt idx="1">
                  <c:v>7.1185671029254202E-2</c:v>
                </c:pt>
                <c:pt idx="2">
                  <c:v>0.10322339803416485</c:v>
                </c:pt>
                <c:pt idx="3">
                  <c:v>8.0482208233379524E-2</c:v>
                </c:pt>
                <c:pt idx="4">
                  <c:v>9.0629722914994285E-2</c:v>
                </c:pt>
                <c:pt idx="5">
                  <c:v>1.9999999999999751E-2</c:v>
                </c:pt>
                <c:pt idx="6">
                  <c:v>3.1019975297702843E-2</c:v>
                </c:pt>
                <c:pt idx="7">
                  <c:v>4.6167500008305204E-2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51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0.55262885258168271</c:v>
                </c:pt>
                <c:pt idx="1">
                  <c:v>5.9930425338430647E-2</c:v>
                </c:pt>
                <c:pt idx="2">
                  <c:v>9.144011419314646E-2</c:v>
                </c:pt>
                <c:pt idx="3">
                  <c:v>7.6822019206565895E-2</c:v>
                </c:pt>
                <c:pt idx="4">
                  <c:v>8.5517556150670346E-2</c:v>
                </c:pt>
                <c:pt idx="5">
                  <c:v>0.02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4.6626719005167239E-3</c:v>
                </c:pt>
                <c:pt idx="1">
                  <c:v>1.1255245690823555E-2</c:v>
                </c:pt>
                <c:pt idx="2">
                  <c:v>1.1783283841018385E-2</c:v>
                </c:pt>
                <c:pt idx="3">
                  <c:v>3.6601890268136289E-3</c:v>
                </c:pt>
                <c:pt idx="4">
                  <c:v>5.1121667643239388E-3</c:v>
                </c:pt>
                <c:pt idx="5">
                  <c:v>-2.4980018054066022E-16</c:v>
                </c:pt>
                <c:pt idx="6">
                  <c:v>-2.9490299091605721E-16</c:v>
                </c:pt>
                <c:pt idx="7">
                  <c:v>4.2327252813834093E-16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3.3408137116065495E-3</c:v>
                </c:pt>
                <c:pt idx="1">
                  <c:v>9.1246695263648842E-3</c:v>
                </c:pt>
                <c:pt idx="2">
                  <c:v>1.1734354474723943E-2</c:v>
                </c:pt>
                <c:pt idx="3">
                  <c:v>2.628620266683937E-3</c:v>
                </c:pt>
                <c:pt idx="4">
                  <c:v>6.0931665205361946E-3</c:v>
                </c:pt>
                <c:pt idx="5">
                  <c:v>2.4980018054066022E-16</c:v>
                </c:pt>
                <c:pt idx="6">
                  <c:v>2.9490299091605721E-16</c:v>
                </c:pt>
                <c:pt idx="7">
                  <c:v>-4.2327252813834093E-16</c:v>
                </c:pt>
              </c:numCache>
            </c:numRef>
          </c:val>
        </c:ser>
        <c:overlap val="100"/>
        <c:axId val="80209024"/>
        <c:axId val="80210944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0.55549268496933957</c:v>
                </c:pt>
                <c:pt idx="1">
                  <c:v>9.7387120358343723E-2</c:v>
                </c:pt>
                <c:pt idx="2">
                  <c:v>9.5164223805884504E-2</c:v>
                </c:pt>
                <c:pt idx="3">
                  <c:v>0.10363483668477239</c:v>
                </c:pt>
                <c:pt idx="4">
                  <c:v>5.1404597453969164E-2</c:v>
                </c:pt>
                <c:pt idx="5">
                  <c:v>1.9729061421683056E-2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marker val="1"/>
        <c:axId val="80209024"/>
        <c:axId val="80210944"/>
      </c:lineChart>
      <c:catAx>
        <c:axId val="80209024"/>
        <c:scaling>
          <c:orientation val="minMax"/>
        </c:scaling>
        <c:axPos val="b"/>
        <c:tickLblPos val="nextTo"/>
        <c:crossAx val="80210944"/>
        <c:crosses val="autoZero"/>
        <c:auto val="1"/>
        <c:lblAlgn val="ctr"/>
        <c:lblOffset val="100"/>
      </c:catAx>
      <c:valAx>
        <c:axId val="80210944"/>
        <c:scaling>
          <c:orientation val="minMax"/>
        </c:scaling>
        <c:axPos val="l"/>
        <c:majorGridlines/>
        <c:numFmt formatCode="0%" sourceLinked="0"/>
        <c:tickLblPos val="nextTo"/>
        <c:crossAx val="8020902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3.1452343984147556E-2</c:v>
                </c:pt>
                <c:pt idx="3">
                  <c:v>5.6804592721954011E-2</c:v>
                </c:pt>
                <c:pt idx="4">
                  <c:v>5.6320387554596889E-2</c:v>
                </c:pt>
                <c:pt idx="5">
                  <c:v>5.236888388126059E-2</c:v>
                </c:pt>
                <c:pt idx="6">
                  <c:v>2.8306574622560098E-2</c:v>
                </c:pt>
                <c:pt idx="7">
                  <c:v>3.9543569652327068E-2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2.0858431515344899E-2</c:v>
                </c:pt>
                <c:pt idx="2">
                  <c:v>3.3632152529915554E-2</c:v>
                </c:pt>
                <c:pt idx="3">
                  <c:v>-1.8275706628265609E-2</c:v>
                </c:pt>
                <c:pt idx="4">
                  <c:v>6.1274623073284545E-2</c:v>
                </c:pt>
                <c:pt idx="5">
                  <c:v>7.9522702632630907E-2</c:v>
                </c:pt>
                <c:pt idx="6">
                  <c:v>1.7870017799650671E-2</c:v>
                </c:pt>
                <c:pt idx="7">
                  <c:v>-3.3454365202922019E-3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-0.10270478546112452</c:v>
                </c:pt>
                <c:pt idx="2">
                  <c:v>-5.1463733534465664E-2</c:v>
                </c:pt>
                <c:pt idx="3">
                  <c:v>-0.20763301199738962</c:v>
                </c:pt>
                <c:pt idx="4">
                  <c:v>-6.0480183929069335E-2</c:v>
                </c:pt>
                <c:pt idx="5">
                  <c:v>1.2962263249297473E-2</c:v>
                </c:pt>
                <c:pt idx="6">
                  <c:v>-4.6787554334441012E-2</c:v>
                </c:pt>
                <c:pt idx="7">
                  <c:v>-8.4519819517757569E-2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4.4464965951199177E-2</c:v>
                </c:pt>
                <c:pt idx="2">
                  <c:v>3.7955967038468326E-2</c:v>
                </c:pt>
                <c:pt idx="3">
                  <c:v>4.4157772609314798E-2</c:v>
                </c:pt>
                <c:pt idx="4">
                  <c:v>7.5058724753415462E-2</c:v>
                </c:pt>
                <c:pt idx="5">
                  <c:v>8.6184790509297532E-2</c:v>
                </c:pt>
                <c:pt idx="6">
                  <c:v>1.7186704939249599E-2</c:v>
                </c:pt>
                <c:pt idx="7">
                  <c:v>3.2797465910270177E-2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-0.43424993966436087</c:v>
                </c:pt>
                <c:pt idx="2">
                  <c:v>-0.52495132978596959</c:v>
                </c:pt>
                <c:pt idx="3">
                  <c:v>-0.60718802956862361</c:v>
                </c:pt>
                <c:pt idx="4">
                  <c:v>-0.41926220845987938</c:v>
                </c:pt>
                <c:pt idx="5">
                  <c:v>-0.52034739633736904</c:v>
                </c:pt>
                <c:pt idx="6">
                  <c:v>-0.25573516705477994</c:v>
                </c:pt>
                <c:pt idx="7">
                  <c:v>-0.33580172019430399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-0.41153220498436088</c:v>
                </c:pt>
                <c:pt idx="2">
                  <c:v>-0.34991079217679127</c:v>
                </c:pt>
                <c:pt idx="3">
                  <c:v>-0.47851488198333225</c:v>
                </c:pt>
                <c:pt idx="4">
                  <c:v>-0.25917386489837912</c:v>
                </c:pt>
                <c:pt idx="5">
                  <c:v>-0.53983753129736911</c:v>
                </c:pt>
                <c:pt idx="6">
                  <c:v>-6.3153361120378204E-3</c:v>
                </c:pt>
                <c:pt idx="7">
                  <c:v>-0.18031161563030054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0.31635819149830574</c:v>
                </c:pt>
                <c:pt idx="2">
                  <c:v>0.24979690735679014</c:v>
                </c:pt>
                <c:pt idx="3">
                  <c:v>0.39131495295955132</c:v>
                </c:pt>
                <c:pt idx="4">
                  <c:v>0.38663466689136228</c:v>
                </c:pt>
                <c:pt idx="5">
                  <c:v>0.62225820003596433</c:v>
                </c:pt>
                <c:pt idx="6">
                  <c:v>0.28400230499870172</c:v>
                </c:pt>
                <c:pt idx="7">
                  <c:v>0.35335277777605689</c:v>
                </c:pt>
              </c:numCache>
            </c:numRef>
          </c:val>
        </c:ser>
        <c:axId val="83770368"/>
        <c:axId val="83776256"/>
      </c:barChart>
      <c:catAx>
        <c:axId val="83770368"/>
        <c:scaling>
          <c:orientation val="minMax"/>
        </c:scaling>
        <c:axPos val="b"/>
        <c:tickLblPos val="nextTo"/>
        <c:crossAx val="83776256"/>
        <c:crosses val="autoZero"/>
        <c:auto val="1"/>
        <c:lblAlgn val="ctr"/>
        <c:lblOffset val="100"/>
      </c:catAx>
      <c:valAx>
        <c:axId val="83776256"/>
        <c:scaling>
          <c:orientation val="minMax"/>
        </c:scaling>
        <c:axPos val="l"/>
        <c:majorGridlines/>
        <c:numFmt formatCode="0.0%" sourceLinked="1"/>
        <c:tickLblPos val="nextTo"/>
        <c:crossAx val="837703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993"/>
          <c:y val="0.30999086720262192"/>
          <c:w val="0.27290015295627634"/>
          <c:h val="0.50313982945017732"/>
        </c:manualLayout>
      </c:layout>
    </c:legend>
    <c:plotVisOnly val="1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23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0.12822310885108884</c:v>
                </c:pt>
                <c:pt idx="1">
                  <c:v>0.19572632896197031</c:v>
                </c:pt>
                <c:pt idx="2">
                  <c:v>0.17255672844622949</c:v>
                </c:pt>
                <c:pt idx="3">
                  <c:v>0.18714217402772404</c:v>
                </c:pt>
                <c:pt idx="4">
                  <c:v>4.4604771256911493E-2</c:v>
                </c:pt>
                <c:pt idx="5">
                  <c:v>6.9181945127454667E-2</c:v>
                </c:pt>
                <c:pt idx="6">
                  <c:v>0.10296453886869471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3.2492931884757104E-2</c:v>
                </c:pt>
                <c:pt idx="1">
                  <c:v>3.7399540765005512E-2</c:v>
                </c:pt>
                <c:pt idx="2">
                  <c:v>9.2297039889964461E-3</c:v>
                </c:pt>
                <c:pt idx="3">
                  <c:v>1.7659129287888542E-2</c:v>
                </c:pt>
                <c:pt idx="4">
                  <c:v>5.801361799763205E-4</c:v>
                </c:pt>
                <c:pt idx="5">
                  <c:v>8.9979049860847149E-4</c:v>
                </c:pt>
                <c:pt idx="6">
                  <c:v>1.3391718546936354E-3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3.4258247872765824E-2</c:v>
                </c:pt>
                <c:pt idx="1">
                  <c:v>3.938147585771265E-2</c:v>
                </c:pt>
                <c:pt idx="2">
                  <c:v>1.0264858896412071E-2</c:v>
                </c:pt>
                <c:pt idx="3">
                  <c:v>1.6304162208851003E-2</c:v>
                </c:pt>
                <c:pt idx="4">
                  <c:v>6.2022920647210322E-4</c:v>
                </c:pt>
                <c:pt idx="5">
                  <c:v>9.6197473318394844E-4</c:v>
                </c:pt>
                <c:pt idx="6">
                  <c:v>1.4317215947476924E-3</c:v>
                </c:pt>
              </c:numCache>
            </c:numRef>
          </c:val>
        </c:ser>
        <c:overlap val="100"/>
        <c:axId val="84421248"/>
        <c:axId val="84427520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0.21909002858957732</c:v>
                </c:pt>
                <c:pt idx="1">
                  <c:v>0.21408921875519724</c:v>
                </c:pt>
                <c:pt idx="2">
                  <c:v>0.23314540206750922</c:v>
                </c:pt>
                <c:pt idx="3">
                  <c:v>0.11564398540983163</c:v>
                </c:pt>
                <c:pt idx="4">
                  <c:v>4.4384109675050465E-2</c:v>
                </c:pt>
                <c:pt idx="5">
                  <c:v>6.978507270586419E-2</c:v>
                </c:pt>
                <c:pt idx="6">
                  <c:v>0.10386218279696992</c:v>
                </c:pt>
              </c:numCache>
            </c:numRef>
          </c:val>
        </c:ser>
        <c:marker val="1"/>
        <c:axId val="84421248"/>
        <c:axId val="84427520"/>
      </c:lineChart>
      <c:catAx>
        <c:axId val="84421248"/>
        <c:scaling>
          <c:orientation val="minMax"/>
        </c:scaling>
        <c:axPos val="b"/>
        <c:numFmt formatCode="General" sourceLinked="1"/>
        <c:tickLblPos val="nextTo"/>
        <c:crossAx val="84427520"/>
        <c:crosses val="autoZero"/>
        <c:auto val="1"/>
        <c:lblAlgn val="ctr"/>
        <c:lblOffset val="100"/>
      </c:catAx>
      <c:valAx>
        <c:axId val="84427520"/>
        <c:scaling>
          <c:orientation val="minMax"/>
        </c:scaling>
        <c:axPos val="l"/>
        <c:majorGridlines/>
        <c:numFmt formatCode="0%" sourceLinked="0"/>
        <c:tickLblPos val="nextTo"/>
        <c:crossAx val="8442124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3.1452343984147556E-2</c:v>
                </c:pt>
                <c:pt idx="3">
                  <c:v>5.6804592721954011E-2</c:v>
                </c:pt>
                <c:pt idx="4">
                  <c:v>5.6320387554596889E-2</c:v>
                </c:pt>
                <c:pt idx="5">
                  <c:v>5.236888388126059E-2</c:v>
                </c:pt>
                <c:pt idx="6">
                  <c:v>2.8306574622560098E-2</c:v>
                </c:pt>
                <c:pt idx="7">
                  <c:v>3.9543569652327068E-2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2.0858431515344899E-2</c:v>
                </c:pt>
                <c:pt idx="2">
                  <c:v>3.3632152529915554E-2</c:v>
                </c:pt>
                <c:pt idx="3">
                  <c:v>-1.8275706628265609E-2</c:v>
                </c:pt>
                <c:pt idx="4">
                  <c:v>6.1274623073284545E-2</c:v>
                </c:pt>
                <c:pt idx="5">
                  <c:v>7.9522702632630907E-2</c:v>
                </c:pt>
                <c:pt idx="6">
                  <c:v>1.7870017799650671E-2</c:v>
                </c:pt>
                <c:pt idx="7">
                  <c:v>-3.3454365202922019E-3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-0.10270478546112452</c:v>
                </c:pt>
                <c:pt idx="2">
                  <c:v>-5.1463733534465664E-2</c:v>
                </c:pt>
                <c:pt idx="3">
                  <c:v>-0.20763301199738962</c:v>
                </c:pt>
                <c:pt idx="4">
                  <c:v>-6.0480183929069335E-2</c:v>
                </c:pt>
                <c:pt idx="5">
                  <c:v>1.2962263249297473E-2</c:v>
                </c:pt>
                <c:pt idx="6">
                  <c:v>-4.6787554334441012E-2</c:v>
                </c:pt>
                <c:pt idx="7">
                  <c:v>-8.4519819517757569E-2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4.4464965951199177E-2</c:v>
                </c:pt>
                <c:pt idx="2">
                  <c:v>3.7955967038468326E-2</c:v>
                </c:pt>
                <c:pt idx="3">
                  <c:v>4.4157772609314798E-2</c:v>
                </c:pt>
                <c:pt idx="4">
                  <c:v>7.5058724753415462E-2</c:v>
                </c:pt>
                <c:pt idx="5">
                  <c:v>8.6184790509297532E-2</c:v>
                </c:pt>
                <c:pt idx="6">
                  <c:v>1.7186704939249599E-2</c:v>
                </c:pt>
                <c:pt idx="7">
                  <c:v>3.2797465910270177E-2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-0.43424993966436087</c:v>
                </c:pt>
                <c:pt idx="2">
                  <c:v>-0.52495132978596959</c:v>
                </c:pt>
                <c:pt idx="3">
                  <c:v>-0.60718802956862361</c:v>
                </c:pt>
                <c:pt idx="4">
                  <c:v>-0.41926220845987938</c:v>
                </c:pt>
                <c:pt idx="5">
                  <c:v>-0.52034739633736904</c:v>
                </c:pt>
                <c:pt idx="6">
                  <c:v>-0.25573516705477994</c:v>
                </c:pt>
                <c:pt idx="7">
                  <c:v>-0.33580172019430399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-0.41153220498436088</c:v>
                </c:pt>
                <c:pt idx="2">
                  <c:v>-0.34991079217679127</c:v>
                </c:pt>
                <c:pt idx="3">
                  <c:v>-0.47851488198333225</c:v>
                </c:pt>
                <c:pt idx="4">
                  <c:v>-0.25917386489837912</c:v>
                </c:pt>
                <c:pt idx="5">
                  <c:v>-0.53983753129736911</c:v>
                </c:pt>
                <c:pt idx="6">
                  <c:v>-6.3153361120378204E-3</c:v>
                </c:pt>
                <c:pt idx="7">
                  <c:v>-0.18031161563030054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0.31635819149830574</c:v>
                </c:pt>
                <c:pt idx="2">
                  <c:v>0.24979690735679014</c:v>
                </c:pt>
                <c:pt idx="3">
                  <c:v>0.39131495295955132</c:v>
                </c:pt>
                <c:pt idx="4">
                  <c:v>0.38663466689136228</c:v>
                </c:pt>
                <c:pt idx="5">
                  <c:v>0.62225820003596433</c:v>
                </c:pt>
                <c:pt idx="6">
                  <c:v>0.28400230499870172</c:v>
                </c:pt>
                <c:pt idx="7">
                  <c:v>0.35335277777605689</c:v>
                </c:pt>
              </c:numCache>
            </c:numRef>
          </c:val>
        </c:ser>
        <c:axId val="84575360"/>
        <c:axId val="84576896"/>
      </c:barChart>
      <c:catAx>
        <c:axId val="84575360"/>
        <c:scaling>
          <c:orientation val="minMax"/>
        </c:scaling>
        <c:axPos val="b"/>
        <c:tickLblPos val="nextTo"/>
        <c:crossAx val="84576896"/>
        <c:crosses val="autoZero"/>
        <c:auto val="1"/>
        <c:lblAlgn val="ctr"/>
        <c:lblOffset val="100"/>
      </c:catAx>
      <c:valAx>
        <c:axId val="84576896"/>
        <c:scaling>
          <c:orientation val="minMax"/>
        </c:scaling>
        <c:axPos val="l"/>
        <c:majorGridlines/>
        <c:numFmt formatCode="0.0%" sourceLinked="1"/>
        <c:tickLblPos val="nextTo"/>
        <c:crossAx val="845753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488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0.58124654345623461</c:v>
                </c:pt>
                <c:pt idx="1">
                  <c:v>7.8241841099571413E-2</c:v>
                </c:pt>
                <c:pt idx="2">
                  <c:v>6.5230540723158675E-2</c:v>
                </c:pt>
                <c:pt idx="3">
                  <c:v>0.10176771845428198</c:v>
                </c:pt>
                <c:pt idx="4">
                  <c:v>3.3895417289285454E-2</c:v>
                </c:pt>
                <c:pt idx="5">
                  <c:v>7.3962316174081634E-5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7.4531385724114774E-3</c:v>
                </c:pt>
                <c:pt idx="1">
                  <c:v>1.5682960987225103E-2</c:v>
                </c:pt>
                <c:pt idx="2">
                  <c:v>1.5832812451389955E-2</c:v>
                </c:pt>
                <c:pt idx="3">
                  <c:v>9.494251889479069E-3</c:v>
                </c:pt>
                <c:pt idx="4">
                  <c:v>9.369890542756526E-3</c:v>
                </c:pt>
                <c:pt idx="5">
                  <c:v>9.7174466296295263E-4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8.4498509283492673E-3</c:v>
                </c:pt>
                <c:pt idx="1">
                  <c:v>1.3507103800199025E-2</c:v>
                </c:pt>
                <c:pt idx="2">
                  <c:v>1.2189416728764613E-2</c:v>
                </c:pt>
                <c:pt idx="3">
                  <c:v>9.8884750876806066E-3</c:v>
                </c:pt>
                <c:pt idx="4">
                  <c:v>7.5238263931674543E-3</c:v>
                </c:pt>
                <c:pt idx="5">
                  <c:v>6.3128982319550107E-4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112902528"/>
        <c:axId val="112904064"/>
      </c:barChart>
      <c:catAx>
        <c:axId val="112902528"/>
        <c:scaling>
          <c:orientation val="minMax"/>
        </c:scaling>
        <c:axPos val="l"/>
        <c:numFmt formatCode="0%" sourceLinked="1"/>
        <c:tickLblPos val="nextTo"/>
        <c:crossAx val="112904064"/>
        <c:crosses val="autoZero"/>
        <c:auto val="1"/>
        <c:lblAlgn val="ctr"/>
        <c:lblOffset val="100"/>
      </c:catAx>
      <c:valAx>
        <c:axId val="112904064"/>
        <c:scaling>
          <c:orientation val="minMax"/>
        </c:scaling>
        <c:axPos val="b"/>
        <c:majorGridlines/>
        <c:numFmt formatCode="0%" sourceLinked="0"/>
        <c:tickLblPos val="nextTo"/>
        <c:crossAx val="112902528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0.55262885258168271</c:v>
                </c:pt>
                <c:pt idx="1">
                  <c:v>5.9930425338430647E-2</c:v>
                </c:pt>
                <c:pt idx="2">
                  <c:v>9.144011419314646E-2</c:v>
                </c:pt>
                <c:pt idx="3">
                  <c:v>7.6822019206565895E-2</c:v>
                </c:pt>
                <c:pt idx="4">
                  <c:v>8.5517556150670346E-2</c:v>
                </c:pt>
                <c:pt idx="5">
                  <c:v>0.02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4.6626719005167239E-3</c:v>
                </c:pt>
                <c:pt idx="1">
                  <c:v>1.1255245690823555E-2</c:v>
                </c:pt>
                <c:pt idx="2">
                  <c:v>1.1783283841018385E-2</c:v>
                </c:pt>
                <c:pt idx="3">
                  <c:v>3.6601890268136289E-3</c:v>
                </c:pt>
                <c:pt idx="4">
                  <c:v>5.1121667643239388E-3</c:v>
                </c:pt>
                <c:pt idx="5">
                  <c:v>-2.4980018054066022E-16</c:v>
                </c:pt>
                <c:pt idx="6">
                  <c:v>-2.9490299091605721E-16</c:v>
                </c:pt>
                <c:pt idx="7">
                  <c:v>4.2327252813834093E-16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3.3408137116065495E-3</c:v>
                </c:pt>
                <c:pt idx="1">
                  <c:v>9.1246695263648842E-3</c:v>
                </c:pt>
                <c:pt idx="2">
                  <c:v>1.1734354474723943E-2</c:v>
                </c:pt>
                <c:pt idx="3">
                  <c:v>2.628620266683937E-3</c:v>
                </c:pt>
                <c:pt idx="4">
                  <c:v>6.0931665205361946E-3</c:v>
                </c:pt>
                <c:pt idx="5">
                  <c:v>2.4980018054066022E-16</c:v>
                </c:pt>
                <c:pt idx="6">
                  <c:v>2.9490299091605721E-16</c:v>
                </c:pt>
                <c:pt idx="7">
                  <c:v>-4.2327252813834093E-16</c:v>
                </c:pt>
              </c:numCache>
            </c:numRef>
          </c:val>
        </c:ser>
        <c:gapWidth val="100"/>
        <c:overlap val="100"/>
        <c:axId val="111544960"/>
        <c:axId val="111563136"/>
      </c:barChart>
      <c:catAx>
        <c:axId val="111544960"/>
        <c:scaling>
          <c:orientation val="minMax"/>
        </c:scaling>
        <c:axPos val="l"/>
        <c:numFmt formatCode="0%" sourceLinked="1"/>
        <c:tickLblPos val="nextTo"/>
        <c:crossAx val="111563136"/>
        <c:crosses val="autoZero"/>
        <c:auto val="1"/>
        <c:lblAlgn val="ctr"/>
        <c:lblOffset val="100"/>
      </c:catAx>
      <c:valAx>
        <c:axId val="111563136"/>
        <c:scaling>
          <c:orientation val="minMax"/>
        </c:scaling>
        <c:axPos val="b"/>
        <c:majorGridlines/>
        <c:numFmt formatCode="0%" sourceLinked="0"/>
        <c:tickLblPos val="nextTo"/>
        <c:crossAx val="11154496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mixen'!$R$14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mixen'!$S$15:$S$22</c:f>
              <c:numCache>
                <c:formatCode>0.0%</c:formatCode>
                <c:ptCount val="8"/>
                <c:pt idx="0">
                  <c:v>0.59747781542027889</c:v>
                </c:pt>
                <c:pt idx="1">
                  <c:v>6.974408278266836E-2</c:v>
                </c:pt>
                <c:pt idx="2">
                  <c:v>5.5068965266086914E-2</c:v>
                </c:pt>
                <c:pt idx="3">
                  <c:v>7.625642323090015E-2</c:v>
                </c:pt>
                <c:pt idx="4">
                  <c:v>3.4472676260430803E-2</c:v>
                </c:pt>
                <c:pt idx="5">
                  <c:v>2.3834633032890976E-2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mixen'!$T$15:$T$22</c:f>
              <c:numCache>
                <c:formatCode>0.0%</c:formatCode>
                <c:ptCount val="8"/>
                <c:pt idx="0">
                  <c:v>1.1003062073888237E-2</c:v>
                </c:pt>
                <c:pt idx="1">
                  <c:v>1.9577886037692088E-2</c:v>
                </c:pt>
                <c:pt idx="2">
                  <c:v>8.3728996479427581E-3</c:v>
                </c:pt>
                <c:pt idx="3">
                  <c:v>2.3534081896997711E-3</c:v>
                </c:pt>
                <c:pt idx="4">
                  <c:v>1.2407507045586498E-2</c:v>
                </c:pt>
                <c:pt idx="5">
                  <c:v>8.6914634568663954E-3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mixen'!$U$15:$U$22</c:f>
              <c:numCache>
                <c:formatCode>0.0%</c:formatCode>
                <c:ptCount val="8"/>
                <c:pt idx="0">
                  <c:v>1.0403379538456603E-2</c:v>
                </c:pt>
                <c:pt idx="1">
                  <c:v>1.84835379552864E-2</c:v>
                </c:pt>
                <c:pt idx="2">
                  <c:v>5.7527912987701546E-3</c:v>
                </c:pt>
                <c:pt idx="3">
                  <c:v>1.4973566707752323E-3</c:v>
                </c:pt>
                <c:pt idx="4">
                  <c:v>8.1668106228833248E-3</c:v>
                </c:pt>
                <c:pt idx="5">
                  <c:v>1.061381988089246E-2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111601152"/>
        <c:axId val="111602688"/>
      </c:barChart>
      <c:catAx>
        <c:axId val="111601152"/>
        <c:scaling>
          <c:orientation val="minMax"/>
        </c:scaling>
        <c:axPos val="l"/>
        <c:numFmt formatCode="0%" sourceLinked="1"/>
        <c:tickLblPos val="nextTo"/>
        <c:crossAx val="111602688"/>
        <c:crosses val="autoZero"/>
        <c:auto val="1"/>
        <c:lblAlgn val="ctr"/>
        <c:lblOffset val="100"/>
      </c:catAx>
      <c:valAx>
        <c:axId val="111602688"/>
        <c:scaling>
          <c:orientation val="minMax"/>
        </c:scaling>
        <c:axPos val="b"/>
        <c:majorGridlines/>
        <c:numFmt formatCode="0%" sourceLinked="0"/>
        <c:tickLblPos val="nextTo"/>
        <c:crossAx val="11160115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mixen'!$R$36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mixen'!$S$37:$S$44</c:f>
              <c:numCache>
                <c:formatCode>0.0%</c:formatCode>
                <c:ptCount val="8"/>
                <c:pt idx="0">
                  <c:v>0.58118242113117968</c:v>
                </c:pt>
                <c:pt idx="1">
                  <c:v>0.11524828242074993</c:v>
                </c:pt>
                <c:pt idx="2">
                  <c:v>5.2954997309752325E-2</c:v>
                </c:pt>
                <c:pt idx="3">
                  <c:v>7.8443973225628211E-2</c:v>
                </c:pt>
                <c:pt idx="4">
                  <c:v>4.4027785107077153E-2</c:v>
                </c:pt>
                <c:pt idx="5">
                  <c:v>1.1289145740709032E-3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mixen'!$T$37:$T$44</c:f>
              <c:numCache>
                <c:formatCode>0.0%</c:formatCode>
                <c:ptCount val="8"/>
                <c:pt idx="0">
                  <c:v>6.6448995455005155E-3</c:v>
                </c:pt>
                <c:pt idx="1">
                  <c:v>1.125088358078731E-2</c:v>
                </c:pt>
                <c:pt idx="2">
                  <c:v>4.4461321632111722E-3</c:v>
                </c:pt>
                <c:pt idx="3">
                  <c:v>5.7817462088580046E-3</c:v>
                </c:pt>
                <c:pt idx="4">
                  <c:v>9.9167574005725179E-3</c:v>
                </c:pt>
                <c:pt idx="5">
                  <c:v>8.2340297775434848E-3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mixen'!$U$37:$U$44</c:f>
              <c:numCache>
                <c:formatCode>0.0%</c:formatCode>
                <c:ptCount val="8"/>
                <c:pt idx="0">
                  <c:v>6.4295911017366869E-3</c:v>
                </c:pt>
                <c:pt idx="1">
                  <c:v>1.3645618950355015E-2</c:v>
                </c:pt>
                <c:pt idx="2">
                  <c:v>3.528031282478597E-3</c:v>
                </c:pt>
                <c:pt idx="3">
                  <c:v>4.068808737861182E-3</c:v>
                </c:pt>
                <c:pt idx="4">
                  <c:v>8.1832953296436944E-3</c:v>
                </c:pt>
                <c:pt idx="5">
                  <c:v>5.8261859406036846E-3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112766976"/>
        <c:axId val="112768512"/>
      </c:barChart>
      <c:catAx>
        <c:axId val="112766976"/>
        <c:scaling>
          <c:orientation val="minMax"/>
        </c:scaling>
        <c:axPos val="l"/>
        <c:tickLblPos val="nextTo"/>
        <c:crossAx val="112768512"/>
        <c:crosses val="autoZero"/>
        <c:auto val="1"/>
        <c:lblAlgn val="ctr"/>
        <c:lblOffset val="100"/>
      </c:catAx>
      <c:valAx>
        <c:axId val="112768512"/>
        <c:scaling>
          <c:orientation val="minMax"/>
        </c:scaling>
        <c:axPos val="b"/>
        <c:majorGridlines/>
        <c:numFmt formatCode="0%" sourceLinked="0"/>
        <c:tickLblPos val="nextTo"/>
        <c:crossAx val="11276697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mixen'!$R$47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mixen'!$S$48:$S$55</c:f>
              <c:numCache>
                <c:formatCode>0.0%</c:formatCode>
                <c:ptCount val="8"/>
                <c:pt idx="0">
                  <c:v>0.64595771324157536</c:v>
                </c:pt>
                <c:pt idx="1">
                  <c:v>7.1103052121758742E-2</c:v>
                </c:pt>
                <c:pt idx="2">
                  <c:v>6.5985570622912437E-2</c:v>
                </c:pt>
                <c:pt idx="3">
                  <c:v>7.5407437891429313E-2</c:v>
                </c:pt>
                <c:pt idx="4">
                  <c:v>2.5589274678429148E-2</c:v>
                </c:pt>
                <c:pt idx="5">
                  <c:v>8.9271252252749768E-5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mixen'!$T$48:$T$55</c:f>
              <c:numCache>
                <c:formatCode>0.0%</c:formatCode>
                <c:ptCount val="8"/>
                <c:pt idx="0">
                  <c:v>1.7074636210844263E-3</c:v>
                </c:pt>
                <c:pt idx="1">
                  <c:v>1.3138834679831415E-2</c:v>
                </c:pt>
                <c:pt idx="2">
                  <c:v>1.3348977055544081E-2</c:v>
                </c:pt>
                <c:pt idx="3">
                  <c:v>2.5033892251303952E-3</c:v>
                </c:pt>
                <c:pt idx="4">
                  <c:v>2.5273914674655597E-3</c:v>
                </c:pt>
                <c:pt idx="5">
                  <c:v>1.9024465875178422E-3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mixen'!$U$48:$U$55</c:f>
              <c:numCache>
                <c:formatCode>0.0%</c:formatCode>
                <c:ptCount val="8"/>
                <c:pt idx="0">
                  <c:v>2.0354814290582945E-3</c:v>
                </c:pt>
                <c:pt idx="1">
                  <c:v>1.338073679609228E-2</c:v>
                </c:pt>
                <c:pt idx="2">
                  <c:v>1.2590648835305279E-2</c:v>
                </c:pt>
                <c:pt idx="3">
                  <c:v>1.7469278077963807E-3</c:v>
                </c:pt>
                <c:pt idx="4">
                  <c:v>2.1657590887208637E-3</c:v>
                </c:pt>
                <c:pt idx="5">
                  <c:v>1.0977596918004331E-3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112777472"/>
        <c:axId val="112926720"/>
      </c:barChart>
      <c:catAx>
        <c:axId val="112777472"/>
        <c:scaling>
          <c:orientation val="minMax"/>
        </c:scaling>
        <c:axPos val="l"/>
        <c:tickLblPos val="nextTo"/>
        <c:crossAx val="112926720"/>
        <c:crosses val="autoZero"/>
        <c:auto val="1"/>
        <c:lblAlgn val="ctr"/>
        <c:lblOffset val="100"/>
      </c:catAx>
      <c:valAx>
        <c:axId val="112926720"/>
        <c:scaling>
          <c:orientation val="minMax"/>
        </c:scaling>
        <c:axPos val="b"/>
        <c:majorGridlines/>
        <c:numFmt formatCode="0%" sourceLinked="0"/>
        <c:tickLblPos val="nextTo"/>
        <c:crossAx val="11277747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44" l="0.70000000000000062" r="0.70000000000000062" t="0.750000000000011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mixen'!$R$58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mixen'!$S$59:$S$66</c:f>
              <c:numCache>
                <c:formatCode>0.0%</c:formatCode>
                <c:ptCount val="8"/>
                <c:pt idx="0">
                  <c:v>0.64653478143230725</c:v>
                </c:pt>
                <c:pt idx="1">
                  <c:v>7.9284281816252855E-2</c:v>
                </c:pt>
                <c:pt idx="2">
                  <c:v>6.146671202516199E-2</c:v>
                </c:pt>
                <c:pt idx="3">
                  <c:v>7.5492867517471793E-2</c:v>
                </c:pt>
                <c:pt idx="4">
                  <c:v>2.50513810662947E-2</c:v>
                </c:pt>
                <c:pt idx="5">
                  <c:v>1.1461764960437912E-4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mixen'!$T$59:$T$66</c:f>
              <c:numCache>
                <c:formatCode>0.0%</c:formatCode>
                <c:ptCount val="8"/>
                <c:pt idx="0">
                  <c:v>1.4925550522845166E-3</c:v>
                </c:pt>
                <c:pt idx="1">
                  <c:v>1.107171377700257E-2</c:v>
                </c:pt>
                <c:pt idx="2">
                  <c:v>1.2321481590119948E-2</c:v>
                </c:pt>
                <c:pt idx="3">
                  <c:v>2.5140007473852116E-3</c:v>
                </c:pt>
                <c:pt idx="4">
                  <c:v>1.9810224858183845E-3</c:v>
                </c:pt>
                <c:pt idx="5">
                  <c:v>1.935407285227879E-3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mixen'!$U$59:$U$66</c:f>
              <c:numCache>
                <c:formatCode>0.0%</c:formatCode>
                <c:ptCount val="8"/>
                <c:pt idx="0">
                  <c:v>1.9135111599561938E-3</c:v>
                </c:pt>
                <c:pt idx="1">
                  <c:v>1.2276104226401255E-2</c:v>
                </c:pt>
                <c:pt idx="2">
                  <c:v>1.1658930931913752E-2</c:v>
                </c:pt>
                <c:pt idx="3">
                  <c:v>1.7008249089034838E-3</c:v>
                </c:pt>
                <c:pt idx="4">
                  <c:v>1.6565124309841535E-3</c:v>
                </c:pt>
                <c:pt idx="5">
                  <c:v>1.0856837702770046E-3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112952064"/>
        <c:axId val="112953600"/>
      </c:barChart>
      <c:catAx>
        <c:axId val="112952064"/>
        <c:scaling>
          <c:orientation val="minMax"/>
        </c:scaling>
        <c:axPos val="l"/>
        <c:tickLblPos val="nextTo"/>
        <c:crossAx val="112953600"/>
        <c:crosses val="autoZero"/>
        <c:auto val="1"/>
        <c:lblAlgn val="ctr"/>
        <c:lblOffset val="100"/>
      </c:catAx>
      <c:valAx>
        <c:axId val="112953600"/>
        <c:scaling>
          <c:orientation val="minMax"/>
        </c:scaling>
        <c:axPos val="b"/>
        <c:majorGridlines/>
        <c:numFmt formatCode="0%" sourceLinked="0"/>
        <c:tickLblPos val="nextTo"/>
        <c:crossAx val="1129520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66" l="0.70000000000000062" r="0.70000000000000062" t="0.75000000000001166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mixen'!$R$25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mixen'!$S$26:$S$33</c:f>
              <c:numCache>
                <c:formatCode>0.0%</c:formatCode>
                <c:ptCount val="8"/>
                <c:pt idx="0">
                  <c:v>0.62656725137739477</c:v>
                </c:pt>
                <c:pt idx="1">
                  <c:v>5.2525186785217226E-2</c:v>
                </c:pt>
                <c:pt idx="2">
                  <c:v>7.235063063541719E-2</c:v>
                </c:pt>
                <c:pt idx="3">
                  <c:v>7.5797867194146468E-2</c:v>
                </c:pt>
                <c:pt idx="4">
                  <c:v>2.8168215653425678E-2</c:v>
                </c:pt>
                <c:pt idx="5">
                  <c:v>1.2407929018324758E-2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mixen'!$T$26:$T$33</c:f>
              <c:numCache>
                <c:formatCode>0.0%</c:formatCode>
                <c:ptCount val="8"/>
                <c:pt idx="0">
                  <c:v>7.7265515147867392E-3</c:v>
                </c:pt>
                <c:pt idx="1">
                  <c:v>4.3250497373148039E-3</c:v>
                </c:pt>
                <c:pt idx="2">
                  <c:v>1.7579914516261216E-2</c:v>
                </c:pt>
                <c:pt idx="3">
                  <c:v>1.7713127999347267E-3</c:v>
                </c:pt>
                <c:pt idx="4">
                  <c:v>5.1570240582093432E-3</c:v>
                </c:pt>
                <c:pt idx="5">
                  <c:v>1.4883889154498174E-2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mixen'!$U$26:$U$33</c:f>
              <c:numCache>
                <c:formatCode>0.0%</c:formatCode>
                <c:ptCount val="8"/>
                <c:pt idx="0">
                  <c:v>9.6874147240660902E-3</c:v>
                </c:pt>
                <c:pt idx="1">
                  <c:v>3.0240220629719899E-3</c:v>
                </c:pt>
                <c:pt idx="2">
                  <c:v>1.6205580016612389E-2</c:v>
                </c:pt>
                <c:pt idx="3">
                  <c:v>1.0363519938038773E-3</c:v>
                </c:pt>
                <c:pt idx="4">
                  <c:v>2.9792996920619125E-3</c:v>
                </c:pt>
                <c:pt idx="5">
                  <c:v>1.4066176088670161E-2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112974848"/>
        <c:axId val="112993024"/>
      </c:barChart>
      <c:catAx>
        <c:axId val="112974848"/>
        <c:scaling>
          <c:orientation val="minMax"/>
        </c:scaling>
        <c:axPos val="l"/>
        <c:numFmt formatCode="0%" sourceLinked="1"/>
        <c:tickLblPos val="nextTo"/>
        <c:crossAx val="112993024"/>
        <c:crosses val="autoZero"/>
        <c:auto val="1"/>
        <c:lblAlgn val="ctr"/>
        <c:lblOffset val="100"/>
      </c:catAx>
      <c:valAx>
        <c:axId val="112993024"/>
        <c:scaling>
          <c:orientation val="minMax"/>
        </c:scaling>
        <c:axPos val="b"/>
        <c:majorGridlines/>
        <c:numFmt formatCode="0%" sourceLinked="0"/>
        <c:tickLblPos val="nextTo"/>
        <c:crossAx val="11297484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mixen'!$R$69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mixen'!$S$70:$S$77</c:f>
              <c:numCache>
                <c:formatCode>0.0%</c:formatCode>
                <c:ptCount val="8"/>
                <c:pt idx="0">
                  <c:v>0.64595771324157536</c:v>
                </c:pt>
                <c:pt idx="1">
                  <c:v>7.1103052121758742E-2</c:v>
                </c:pt>
                <c:pt idx="2">
                  <c:v>6.5985570622912437E-2</c:v>
                </c:pt>
                <c:pt idx="3">
                  <c:v>7.5407437891429313E-2</c:v>
                </c:pt>
                <c:pt idx="4">
                  <c:v>2.5589274678429148E-2</c:v>
                </c:pt>
                <c:pt idx="5">
                  <c:v>8.9271252252749768E-5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mixen'!$T$70:$T$77</c:f>
              <c:numCache>
                <c:formatCode>0.0%</c:formatCode>
                <c:ptCount val="8"/>
                <c:pt idx="0">
                  <c:v>1.7074636210844263E-3</c:v>
                </c:pt>
                <c:pt idx="1">
                  <c:v>1.3138834679831415E-2</c:v>
                </c:pt>
                <c:pt idx="2">
                  <c:v>1.3348977055544081E-2</c:v>
                </c:pt>
                <c:pt idx="3">
                  <c:v>2.5033892251303952E-3</c:v>
                </c:pt>
                <c:pt idx="4">
                  <c:v>2.5273914674655597E-3</c:v>
                </c:pt>
                <c:pt idx="5">
                  <c:v>1.9024465875178422E-3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mixen'!$U$70:$U$77</c:f>
              <c:numCache>
                <c:formatCode>0.0%</c:formatCode>
                <c:ptCount val="8"/>
                <c:pt idx="0">
                  <c:v>2.0354814290582945E-3</c:v>
                </c:pt>
                <c:pt idx="1">
                  <c:v>1.338073679609228E-2</c:v>
                </c:pt>
                <c:pt idx="2">
                  <c:v>1.2590648835305279E-2</c:v>
                </c:pt>
                <c:pt idx="3">
                  <c:v>1.7469278077963807E-3</c:v>
                </c:pt>
                <c:pt idx="4">
                  <c:v>2.1657590887208637E-3</c:v>
                </c:pt>
                <c:pt idx="5">
                  <c:v>1.0977596918004331E-3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113022464"/>
        <c:axId val="113024000"/>
      </c:barChart>
      <c:catAx>
        <c:axId val="113022464"/>
        <c:scaling>
          <c:orientation val="minMax"/>
        </c:scaling>
        <c:axPos val="l"/>
        <c:tickLblPos val="nextTo"/>
        <c:crossAx val="113024000"/>
        <c:crosses val="autoZero"/>
        <c:auto val="1"/>
        <c:lblAlgn val="ctr"/>
        <c:lblOffset val="100"/>
      </c:catAx>
      <c:valAx>
        <c:axId val="113024000"/>
        <c:scaling>
          <c:orientation val="minMax"/>
        </c:scaling>
        <c:axPos val="b"/>
        <c:majorGridlines/>
        <c:numFmt formatCode="0%" sourceLinked="0"/>
        <c:tickLblPos val="nextTo"/>
        <c:crossAx val="1130224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88" l="0.70000000000000062" r="0.70000000000000062" t="0.7500000000000118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0.17931875226053665</c:v>
                </c:pt>
                <c:pt idx="1">
                  <c:v>0.14950353377783079</c:v>
                </c:pt>
                <c:pt idx="2">
                  <c:v>0.23383164932612815</c:v>
                </c:pt>
                <c:pt idx="3">
                  <c:v>7.4774577957042745E-2</c:v>
                </c:pt>
                <c:pt idx="4">
                  <c:v>5.0815875857100815E-5</c:v>
                </c:pt>
                <c:pt idx="5">
                  <c:v>7.6172302858184951E-2</c:v>
                </c:pt>
                <c:pt idx="6">
                  <c:v>0.11484170803191623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4.8196806803966957E-2</c:v>
                </c:pt>
                <c:pt idx="1">
                  <c:v>4.7094608034736946E-2</c:v>
                </c:pt>
                <c:pt idx="2">
                  <c:v>3.7500004265181353E-2</c:v>
                </c:pt>
                <c:pt idx="3">
                  <c:v>3.0781412093554103E-2</c:v>
                </c:pt>
                <c:pt idx="4">
                  <c:v>2.495021203511865E-3</c:v>
                </c:pt>
                <c:pt idx="5">
                  <c:v>2.1688801309745626E-3</c:v>
                </c:pt>
                <c:pt idx="6">
                  <c:v>3.2699273805775614E-3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5.0249767845523929E-2</c:v>
                </c:pt>
                <c:pt idx="1">
                  <c:v>5.0202955361703161E-2</c:v>
                </c:pt>
                <c:pt idx="2">
                  <c:v>4.1761640786914467E-2</c:v>
                </c:pt>
                <c:pt idx="3">
                  <c:v>3.5547725314730383E-2</c:v>
                </c:pt>
                <c:pt idx="4">
                  <c:v>2.7974332607930133E-3</c:v>
                </c:pt>
                <c:pt idx="5">
                  <c:v>2.3423570218795292E-3</c:v>
                </c:pt>
                <c:pt idx="6">
                  <c:v>3.5314710350032724E-3</c:v>
                </c:pt>
              </c:numCache>
            </c:numRef>
          </c:val>
        </c:ser>
        <c:gapWidth val="101"/>
        <c:overlap val="100"/>
        <c:axId val="113115520"/>
        <c:axId val="113117056"/>
      </c:barChart>
      <c:catAx>
        <c:axId val="113115520"/>
        <c:scaling>
          <c:orientation val="minMax"/>
        </c:scaling>
        <c:axPos val="l"/>
        <c:tickLblPos val="nextTo"/>
        <c:crossAx val="113117056"/>
        <c:crosses val="autoZero"/>
        <c:auto val="1"/>
        <c:lblAlgn val="ctr"/>
        <c:lblOffset val="100"/>
      </c:catAx>
      <c:valAx>
        <c:axId val="113117056"/>
        <c:scaling>
          <c:orientation val="minMax"/>
        </c:scaling>
        <c:axPos val="b"/>
        <c:majorGridlines/>
        <c:numFmt formatCode="0%" sourceLinked="0"/>
        <c:tickLblPos val="nextTo"/>
        <c:crossAx val="1131155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0.16841577234071184</c:v>
                </c:pt>
                <c:pt idx="1">
                  <c:v>0.13773387876542881</c:v>
                </c:pt>
                <c:pt idx="2">
                  <c:v>0.19016780472342332</c:v>
                </c:pt>
                <c:pt idx="3">
                  <c:v>8.0199352391903206E-2</c:v>
                </c:pt>
                <c:pt idx="4">
                  <c:v>4.2561985301584719E-2</c:v>
                </c:pt>
                <c:pt idx="5">
                  <c:v>7.8847971529003469E-2</c:v>
                </c:pt>
                <c:pt idx="6">
                  <c:v>0.11887569871822076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5.8016075820513519E-2</c:v>
                </c:pt>
                <c:pt idx="1">
                  <c:v>2.4267974195921194E-2</c:v>
                </c:pt>
                <c:pt idx="2">
                  <c:v>1.0931751624681935E-2</c:v>
                </c:pt>
                <c:pt idx="3">
                  <c:v>3.9576601529449251E-2</c:v>
                </c:pt>
                <c:pt idx="4">
                  <c:v>4.1611665105786809E-2</c:v>
                </c:pt>
                <c:pt idx="5">
                  <c:v>3.5066469783899129E-3</c:v>
                </c:pt>
                <c:pt idx="6">
                  <c:v>5.2868209749809547E-3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6.2081298702234666E-2</c:v>
                </c:pt>
                <c:pt idx="1">
                  <c:v>2.6846614202124391E-2</c:v>
                </c:pt>
                <c:pt idx="2">
                  <c:v>1.1616370931115449E-2</c:v>
                </c:pt>
                <c:pt idx="3">
                  <c:v>4.0133786479605055E-2</c:v>
                </c:pt>
                <c:pt idx="4">
                  <c:v>3.8837882885786948E-2</c:v>
                </c:pt>
                <c:pt idx="5">
                  <c:v>3.1095399409383634E-3</c:v>
                </c:pt>
                <c:pt idx="6">
                  <c:v>4.6881197575931732E-3</c:v>
                </c:pt>
              </c:numCache>
            </c:numRef>
          </c:val>
        </c:ser>
        <c:gapWidth val="101"/>
        <c:overlap val="100"/>
        <c:axId val="113142400"/>
        <c:axId val="113148288"/>
      </c:barChart>
      <c:catAx>
        <c:axId val="113142400"/>
        <c:scaling>
          <c:orientation val="minMax"/>
        </c:scaling>
        <c:axPos val="l"/>
        <c:tickLblPos val="nextTo"/>
        <c:crossAx val="113148288"/>
        <c:crosses val="autoZero"/>
        <c:auto val="1"/>
        <c:lblAlgn val="ctr"/>
        <c:lblOffset val="100"/>
      </c:catAx>
      <c:valAx>
        <c:axId val="113148288"/>
        <c:scaling>
          <c:orientation val="minMax"/>
        </c:scaling>
        <c:axPos val="b"/>
        <c:majorGridlines/>
        <c:numFmt formatCode="0%" sourceLinked="0"/>
        <c:tickLblPos val="nextTo"/>
        <c:crossAx val="11314240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0.14097293579353526</c:v>
                </c:pt>
                <c:pt idx="1">
                  <c:v>0.18177237365014368</c:v>
                </c:pt>
                <c:pt idx="2">
                  <c:v>0.20266485498286241</c:v>
                </c:pt>
                <c:pt idx="3">
                  <c:v>7.3612414821564803E-2</c:v>
                </c:pt>
                <c:pt idx="4">
                  <c:v>2.153251691338014E-2</c:v>
                </c:pt>
                <c:pt idx="5">
                  <c:v>8.5052782294835955E-2</c:v>
                </c:pt>
                <c:pt idx="6">
                  <c:v>0.12823042530026549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1.4631794290299233E-2</c:v>
                </c:pt>
                <c:pt idx="1">
                  <c:v>6.3687207273807001E-2</c:v>
                </c:pt>
                <c:pt idx="2">
                  <c:v>9.6784081377051523E-3</c:v>
                </c:pt>
                <c:pt idx="3">
                  <c:v>1.769012205077522E-2</c:v>
                </c:pt>
                <c:pt idx="4">
                  <c:v>5.2756736204320545E-2</c:v>
                </c:pt>
                <c:pt idx="5">
                  <c:v>3.077545369508175E-3</c:v>
                </c:pt>
                <c:pt idx="6">
                  <c:v>4.639882916997129E-3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1.4763966751856428E-2</c:v>
                </c:pt>
                <c:pt idx="1">
                  <c:v>6.2438193499397249E-2</c:v>
                </c:pt>
                <c:pt idx="2">
                  <c:v>9.3370446855208233E-3</c:v>
                </c:pt>
                <c:pt idx="3">
                  <c:v>1.8183638550214098E-2</c:v>
                </c:pt>
                <c:pt idx="4">
                  <c:v>5.1676058909877115E-2</c:v>
                </c:pt>
                <c:pt idx="5">
                  <c:v>2.829745198180536E-3</c:v>
                </c:pt>
                <c:pt idx="6">
                  <c:v>4.2662852462160561E-3</c:v>
                </c:pt>
              </c:numCache>
            </c:numRef>
          </c:val>
        </c:ser>
        <c:gapWidth val="101"/>
        <c:overlap val="100"/>
        <c:axId val="113177728"/>
        <c:axId val="113179264"/>
      </c:barChart>
      <c:catAx>
        <c:axId val="113177728"/>
        <c:scaling>
          <c:orientation val="minMax"/>
        </c:scaling>
        <c:axPos val="l"/>
        <c:tickLblPos val="nextTo"/>
        <c:crossAx val="113179264"/>
        <c:crosses val="autoZero"/>
        <c:auto val="1"/>
        <c:lblAlgn val="ctr"/>
        <c:lblOffset val="100"/>
      </c:catAx>
      <c:valAx>
        <c:axId val="113179264"/>
        <c:scaling>
          <c:orientation val="minMax"/>
        </c:scaling>
        <c:axPos val="b"/>
        <c:majorGridlines/>
        <c:numFmt formatCode="0%" sourceLinked="0"/>
        <c:tickLblPos val="nextTo"/>
        <c:crossAx val="11317772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0.26612285328127222</c:v>
                </c:pt>
                <c:pt idx="1">
                  <c:v>0.12704844353016562</c:v>
                </c:pt>
                <c:pt idx="2">
                  <c:v>0.18835027428870005</c:v>
                </c:pt>
                <c:pt idx="3">
                  <c:v>9.4716468110087562E-2</c:v>
                </c:pt>
                <c:pt idx="4">
                  <c:v>8.1175686258579648E-4</c:v>
                </c:pt>
                <c:pt idx="5">
                  <c:v>7.6356349495767598E-2</c:v>
                </c:pt>
                <c:pt idx="6">
                  <c:v>0.11511918723924534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4.0104822138429252E-2</c:v>
                </c:pt>
                <c:pt idx="1">
                  <c:v>1.2135360021790415E-2</c:v>
                </c:pt>
                <c:pt idx="2">
                  <c:v>1.5985181770990814E-2</c:v>
                </c:pt>
                <c:pt idx="3">
                  <c:v>3.655834165411205E-2</c:v>
                </c:pt>
                <c:pt idx="4">
                  <c:v>2.2175931047974787E-2</c:v>
                </c:pt>
                <c:pt idx="5">
                  <c:v>1.8004976364940084E-3</c:v>
                </c:pt>
                <c:pt idx="6">
                  <c:v>2.7145329223846604E-3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3.6880698387033728E-2</c:v>
                </c:pt>
                <c:pt idx="1">
                  <c:v>1.2656964102002954E-2</c:v>
                </c:pt>
                <c:pt idx="2">
                  <c:v>1.7960674874574062E-2</c:v>
                </c:pt>
                <c:pt idx="3">
                  <c:v>3.4187379387177502E-2</c:v>
                </c:pt>
                <c:pt idx="4">
                  <c:v>2.4983942206999822E-2</c:v>
                </c:pt>
                <c:pt idx="5">
                  <c:v>2.0391864648853231E-3</c:v>
                </c:pt>
                <c:pt idx="6">
                  <c:v>3.0743938129190185E-3</c:v>
                </c:pt>
              </c:numCache>
            </c:numRef>
          </c:val>
        </c:ser>
        <c:gapWidth val="100"/>
        <c:overlap val="100"/>
        <c:axId val="113216896"/>
        <c:axId val="113226880"/>
      </c:barChart>
      <c:catAx>
        <c:axId val="113216896"/>
        <c:scaling>
          <c:orientation val="minMax"/>
        </c:scaling>
        <c:axPos val="l"/>
        <c:tickLblPos val="nextTo"/>
        <c:crossAx val="113226880"/>
        <c:crosses val="autoZero"/>
        <c:auto val="1"/>
        <c:lblAlgn val="ctr"/>
        <c:lblOffset val="100"/>
      </c:catAx>
      <c:valAx>
        <c:axId val="113226880"/>
        <c:scaling>
          <c:orientation val="minMax"/>
        </c:scaling>
        <c:axPos val="b"/>
        <c:majorGridlines/>
        <c:numFmt formatCode="0%" sourceLinked="0"/>
        <c:tickLblPos val="nextTo"/>
        <c:crossAx val="11321689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0.18667738370713693</c:v>
                </c:pt>
                <c:pt idx="1">
                  <c:v>0.17075513077932775</c:v>
                </c:pt>
                <c:pt idx="2">
                  <c:v>0.21263980419544706</c:v>
                </c:pt>
                <c:pt idx="3">
                  <c:v>7.1281953324095648E-2</c:v>
                </c:pt>
                <c:pt idx="4">
                  <c:v>4.8630023340398279E-5</c:v>
                </c:pt>
                <c:pt idx="5">
                  <c:v>9.0720721043367702E-2</c:v>
                </c:pt>
                <c:pt idx="6">
                  <c:v>0.1367757330102545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5.2360138288052582E-2</c:v>
                </c:pt>
                <c:pt idx="1">
                  <c:v>5.4427715480654171E-2</c:v>
                </c:pt>
                <c:pt idx="2">
                  <c:v>8.504667854299236E-3</c:v>
                </c:pt>
                <c:pt idx="3">
                  <c:v>8.5302850960392307E-3</c:v>
                </c:pt>
                <c:pt idx="4">
                  <c:v>5.6076931314055249E-3</c:v>
                </c:pt>
                <c:pt idx="5">
                  <c:v>6.6601773903079975E-4</c:v>
                </c:pt>
                <c:pt idx="6">
                  <c:v>1.0041263275476497E-3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5.3633487260463852E-2</c:v>
                </c:pt>
                <c:pt idx="1">
                  <c:v>5.4556371510091684E-2</c:v>
                </c:pt>
                <c:pt idx="2">
                  <c:v>8.942737635204534E-3</c:v>
                </c:pt>
                <c:pt idx="3">
                  <c:v>9.3713153473928001E-3</c:v>
                </c:pt>
                <c:pt idx="4">
                  <c:v>7.1209219633165148E-3</c:v>
                </c:pt>
                <c:pt idx="5">
                  <c:v>6.1623407916444606E-4</c:v>
                </c:pt>
                <c:pt idx="6">
                  <c:v>9.2906964268224534E-4</c:v>
                </c:pt>
              </c:numCache>
            </c:numRef>
          </c:val>
        </c:ser>
        <c:gapWidth val="100"/>
        <c:overlap val="100"/>
        <c:axId val="113260416"/>
        <c:axId val="113261952"/>
      </c:barChart>
      <c:catAx>
        <c:axId val="113260416"/>
        <c:scaling>
          <c:orientation val="minMax"/>
        </c:scaling>
        <c:axPos val="l"/>
        <c:tickLblPos val="nextTo"/>
        <c:crossAx val="113261952"/>
        <c:crosses val="autoZero"/>
        <c:auto val="1"/>
        <c:lblAlgn val="ctr"/>
        <c:lblOffset val="100"/>
      </c:catAx>
      <c:valAx>
        <c:axId val="113261952"/>
        <c:scaling>
          <c:orientation val="minMax"/>
        </c:scaling>
        <c:axPos val="b"/>
        <c:majorGridlines/>
        <c:numFmt formatCode="0%" sourceLinked="0"/>
        <c:tickLblPos val="nextTo"/>
        <c:crossAx val="11326041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0.12822310885108884</c:v>
                </c:pt>
                <c:pt idx="1">
                  <c:v>0.19572632896197031</c:v>
                </c:pt>
                <c:pt idx="2">
                  <c:v>0.17255672844622949</c:v>
                </c:pt>
                <c:pt idx="3">
                  <c:v>0.18714217402772404</c:v>
                </c:pt>
                <c:pt idx="4">
                  <c:v>4.4604771256911493E-2</c:v>
                </c:pt>
                <c:pt idx="5">
                  <c:v>6.9181945127454667E-2</c:v>
                </c:pt>
                <c:pt idx="6">
                  <c:v>0.10296453886869471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3.2492931884757104E-2</c:v>
                </c:pt>
                <c:pt idx="1">
                  <c:v>3.7399540765005512E-2</c:v>
                </c:pt>
                <c:pt idx="2">
                  <c:v>9.2297039889964461E-3</c:v>
                </c:pt>
                <c:pt idx="3">
                  <c:v>1.7659129287888542E-2</c:v>
                </c:pt>
                <c:pt idx="4">
                  <c:v>5.801361799763205E-4</c:v>
                </c:pt>
                <c:pt idx="5">
                  <c:v>8.9979049860847149E-4</c:v>
                </c:pt>
                <c:pt idx="6">
                  <c:v>1.3391718546936354E-3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3.4258247872765824E-2</c:v>
                </c:pt>
                <c:pt idx="1">
                  <c:v>3.938147585771265E-2</c:v>
                </c:pt>
                <c:pt idx="2">
                  <c:v>1.0264858896412071E-2</c:v>
                </c:pt>
                <c:pt idx="3">
                  <c:v>1.6304162208851003E-2</c:v>
                </c:pt>
                <c:pt idx="4">
                  <c:v>6.2022920647210322E-4</c:v>
                </c:pt>
                <c:pt idx="5">
                  <c:v>9.6197473318394844E-4</c:v>
                </c:pt>
                <c:pt idx="6">
                  <c:v>1.4317215947476924E-3</c:v>
                </c:pt>
              </c:numCache>
            </c:numRef>
          </c:val>
        </c:ser>
        <c:gapWidth val="100"/>
        <c:overlap val="100"/>
        <c:axId val="113308032"/>
        <c:axId val="113309568"/>
      </c:barChart>
      <c:catAx>
        <c:axId val="113308032"/>
        <c:scaling>
          <c:orientation val="minMax"/>
        </c:scaling>
        <c:axPos val="l"/>
        <c:tickLblPos val="nextTo"/>
        <c:crossAx val="113309568"/>
        <c:crosses val="autoZero"/>
        <c:auto val="1"/>
        <c:lblAlgn val="ctr"/>
        <c:lblOffset val="100"/>
      </c:catAx>
      <c:valAx>
        <c:axId val="113309568"/>
        <c:scaling>
          <c:orientation val="minMax"/>
        </c:scaling>
        <c:axPos val="b"/>
        <c:majorGridlines/>
        <c:numFmt formatCode="0%" sourceLinked="0"/>
        <c:tickLblPos val="nextTo"/>
        <c:crossAx val="11330803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0.16071604073584594</c:v>
                </c:pt>
                <c:pt idx="1">
                  <c:v>0.23312586972697583</c:v>
                </c:pt>
                <c:pt idx="2">
                  <c:v>0.18178643243522594</c:v>
                </c:pt>
                <c:pt idx="3">
                  <c:v>0.20480130331561258</c:v>
                </c:pt>
                <c:pt idx="4">
                  <c:v>4.5184907436887814E-2</c:v>
                </c:pt>
                <c:pt idx="5">
                  <c:v>7.0081735626063138E-2</c:v>
                </c:pt>
                <c:pt idx="6">
                  <c:v>0.10430371072338834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0.18667738370713693</c:v>
                </c:pt>
                <c:pt idx="1">
                  <c:v>0.17075513077932775</c:v>
                </c:pt>
                <c:pt idx="2">
                  <c:v>0.21263980419544706</c:v>
                </c:pt>
                <c:pt idx="3">
                  <c:v>7.1281953324095648E-2</c:v>
                </c:pt>
                <c:pt idx="4">
                  <c:v>4.8630023340398279E-5</c:v>
                </c:pt>
                <c:pt idx="5">
                  <c:v>9.0720721043367702E-2</c:v>
                </c:pt>
                <c:pt idx="6">
                  <c:v>0.1367757330102545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5.2360138288052582E-2</c:v>
                </c:pt>
                <c:pt idx="1">
                  <c:v>5.4427715480654171E-2</c:v>
                </c:pt>
                <c:pt idx="2">
                  <c:v>8.504667854299236E-3</c:v>
                </c:pt>
                <c:pt idx="3">
                  <c:v>8.5302850960392307E-3</c:v>
                </c:pt>
                <c:pt idx="4">
                  <c:v>5.6076931314055249E-3</c:v>
                </c:pt>
                <c:pt idx="5">
                  <c:v>6.6601773903079975E-4</c:v>
                </c:pt>
                <c:pt idx="6">
                  <c:v>1.0041263275476497E-3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5.3633487260463852E-2</c:v>
                </c:pt>
                <c:pt idx="1">
                  <c:v>5.4556371510091684E-2</c:v>
                </c:pt>
                <c:pt idx="2">
                  <c:v>8.942737635204534E-3</c:v>
                </c:pt>
                <c:pt idx="3">
                  <c:v>9.3713153473928001E-3</c:v>
                </c:pt>
                <c:pt idx="4">
                  <c:v>7.1209219633165148E-3</c:v>
                </c:pt>
                <c:pt idx="5">
                  <c:v>6.1623407916444606E-4</c:v>
                </c:pt>
                <c:pt idx="6">
                  <c:v>9.2906964268224534E-4</c:v>
                </c:pt>
              </c:numCache>
            </c:numRef>
          </c:val>
        </c:ser>
        <c:gapWidth val="100"/>
        <c:overlap val="100"/>
        <c:axId val="113396352"/>
        <c:axId val="113406336"/>
      </c:barChart>
      <c:catAx>
        <c:axId val="113396352"/>
        <c:scaling>
          <c:orientation val="minMax"/>
        </c:scaling>
        <c:axPos val="l"/>
        <c:tickLblPos val="nextTo"/>
        <c:crossAx val="113406336"/>
        <c:crosses val="autoZero"/>
        <c:auto val="1"/>
        <c:lblAlgn val="ctr"/>
        <c:lblOffset val="100"/>
      </c:catAx>
      <c:valAx>
        <c:axId val="113406336"/>
        <c:scaling>
          <c:orientation val="minMax"/>
        </c:scaling>
        <c:axPos val="b"/>
        <c:majorGridlines/>
        <c:numFmt formatCode="0%" sourceLinked="0"/>
        <c:tickLblPos val="nextTo"/>
        <c:crossAx val="11339635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2061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0.20949723281385896</c:v>
                </c:pt>
                <c:pt idx="1">
                  <c:v>0.15968935194608702</c:v>
                </c:pt>
                <c:pt idx="2">
                  <c:v>0.21276853393409331</c:v>
                </c:pt>
                <c:pt idx="3">
                  <c:v>6.9766047595129166E-2</c:v>
                </c:pt>
                <c:pt idx="4">
                  <c:v>6.3609621127734106E-5</c:v>
                </c:pt>
                <c:pt idx="5">
                  <c:v>9.0818563076099479E-2</c:v>
                </c:pt>
                <c:pt idx="6">
                  <c:v>0.13692324523890739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4.7163894269099449E-2</c:v>
                </c:pt>
                <c:pt idx="1">
                  <c:v>4.9966135333287143E-2</c:v>
                </c:pt>
                <c:pt idx="2">
                  <c:v>8.8720428126195516E-3</c:v>
                </c:pt>
                <c:pt idx="3">
                  <c:v>7.046312755084827E-3</c:v>
                </c:pt>
                <c:pt idx="4">
                  <c:v>5.7645619473709235E-3</c:v>
                </c:pt>
                <c:pt idx="5">
                  <c:v>6.6215939268547686E-4</c:v>
                </c:pt>
                <c:pt idx="6">
                  <c:v>9.9830926454932967E-4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4.699650775069919E-2</c:v>
                </c:pt>
                <c:pt idx="1">
                  <c:v>4.5479243025724869E-2</c:v>
                </c:pt>
                <c:pt idx="2">
                  <c:v>9.3385386325545994E-3</c:v>
                </c:pt>
                <c:pt idx="3">
                  <c:v>8.4885069318584166E-3</c:v>
                </c:pt>
                <c:pt idx="4">
                  <c:v>6.7650637226834408E-3</c:v>
                </c:pt>
                <c:pt idx="5">
                  <c:v>6.1750690341073888E-4</c:v>
                </c:pt>
                <c:pt idx="6">
                  <c:v>9.3098862510707092E-4</c:v>
                </c:pt>
              </c:numCache>
            </c:numRef>
          </c:val>
        </c:ser>
        <c:gapWidth val="100"/>
        <c:overlap val="100"/>
        <c:axId val="113427584"/>
        <c:axId val="113429120"/>
      </c:barChart>
      <c:catAx>
        <c:axId val="113427584"/>
        <c:scaling>
          <c:orientation val="minMax"/>
        </c:scaling>
        <c:axPos val="l"/>
        <c:tickLblPos val="nextTo"/>
        <c:crossAx val="113429120"/>
        <c:crosses val="autoZero"/>
        <c:auto val="1"/>
        <c:lblAlgn val="ctr"/>
        <c:lblOffset val="100"/>
      </c:catAx>
      <c:valAx>
        <c:axId val="113429120"/>
        <c:scaling>
          <c:orientation val="minMax"/>
        </c:scaling>
        <c:axPos val="b"/>
        <c:majorGridlines/>
        <c:numFmt formatCode="0%" sourceLinked="0"/>
        <c:tickLblPos val="nextTo"/>
        <c:crossAx val="1134275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44" l="0.70000000000000062" r="0.70000000000000062" t="0.75000000000001144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642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099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0.55262885258168271</c:v>
                </c:pt>
                <c:pt idx="1">
                  <c:v>5.9930425338430647E-2</c:v>
                </c:pt>
                <c:pt idx="2">
                  <c:v>9.144011419314646E-2</c:v>
                </c:pt>
                <c:pt idx="3">
                  <c:v>7.6822019206565895E-2</c:v>
                </c:pt>
                <c:pt idx="4">
                  <c:v>8.5517556150670346E-2</c:v>
                </c:pt>
                <c:pt idx="5">
                  <c:v>0.02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4.6626719005167239E-3</c:v>
                </c:pt>
                <c:pt idx="1">
                  <c:v>1.1255245690823555E-2</c:v>
                </c:pt>
                <c:pt idx="2">
                  <c:v>1.1783283841018385E-2</c:v>
                </c:pt>
                <c:pt idx="3">
                  <c:v>3.6601890268136289E-3</c:v>
                </c:pt>
                <c:pt idx="4">
                  <c:v>5.1121667643239388E-3</c:v>
                </c:pt>
                <c:pt idx="5">
                  <c:v>-2.4980018054066022E-16</c:v>
                </c:pt>
                <c:pt idx="6">
                  <c:v>-2.9490299091605721E-16</c:v>
                </c:pt>
                <c:pt idx="7">
                  <c:v>4.2327252813834093E-16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3.3408137116065495E-3</c:v>
                </c:pt>
                <c:pt idx="1">
                  <c:v>9.1246695263648842E-3</c:v>
                </c:pt>
                <c:pt idx="2">
                  <c:v>1.1734354474723943E-2</c:v>
                </c:pt>
                <c:pt idx="3">
                  <c:v>2.628620266683937E-3</c:v>
                </c:pt>
                <c:pt idx="4">
                  <c:v>6.0931665205361946E-3</c:v>
                </c:pt>
                <c:pt idx="5">
                  <c:v>2.4980018054066022E-16</c:v>
                </c:pt>
                <c:pt idx="6">
                  <c:v>2.9490299091605721E-16</c:v>
                </c:pt>
                <c:pt idx="7">
                  <c:v>-4.2327252813834093E-16</c:v>
                </c:pt>
              </c:numCache>
            </c:numRef>
          </c:val>
        </c:ser>
        <c:overlap val="100"/>
        <c:axId val="113619712"/>
        <c:axId val="113621632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0.55549268496933957</c:v>
                </c:pt>
                <c:pt idx="1">
                  <c:v>9.7387120358343723E-2</c:v>
                </c:pt>
                <c:pt idx="2">
                  <c:v>9.5164223805884504E-2</c:v>
                </c:pt>
                <c:pt idx="3">
                  <c:v>0.10363483668477239</c:v>
                </c:pt>
                <c:pt idx="4">
                  <c:v>5.1404597453969164E-2</c:v>
                </c:pt>
                <c:pt idx="5">
                  <c:v>1.9729061421683056E-2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marker val="1"/>
        <c:axId val="113619712"/>
        <c:axId val="113621632"/>
      </c:lineChart>
      <c:catAx>
        <c:axId val="113619712"/>
        <c:scaling>
          <c:orientation val="minMax"/>
        </c:scaling>
        <c:axPos val="b"/>
        <c:tickLblPos val="nextTo"/>
        <c:crossAx val="113621632"/>
        <c:crosses val="autoZero"/>
        <c:auto val="1"/>
        <c:lblAlgn val="ctr"/>
        <c:lblOffset val="100"/>
      </c:catAx>
      <c:valAx>
        <c:axId val="113621632"/>
        <c:scaling>
          <c:orientation val="minMax"/>
        </c:scaling>
        <c:axPos val="l"/>
        <c:majorGridlines/>
        <c:numFmt formatCode="0%" sourceLinked="0"/>
        <c:tickLblPos val="nextTo"/>
        <c:crossAx val="11361971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25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0.12822310885108884</c:v>
                </c:pt>
                <c:pt idx="1">
                  <c:v>0.19572632896197031</c:v>
                </c:pt>
                <c:pt idx="2">
                  <c:v>0.17255672844622949</c:v>
                </c:pt>
                <c:pt idx="3">
                  <c:v>0.18714217402772404</c:v>
                </c:pt>
                <c:pt idx="4">
                  <c:v>4.4604771256911493E-2</c:v>
                </c:pt>
                <c:pt idx="5">
                  <c:v>6.9181945127454667E-2</c:v>
                </c:pt>
                <c:pt idx="6">
                  <c:v>0.10296453886869471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3.2492931884757104E-2</c:v>
                </c:pt>
                <c:pt idx="1">
                  <c:v>3.7399540765005512E-2</c:v>
                </c:pt>
                <c:pt idx="2">
                  <c:v>9.2297039889964461E-3</c:v>
                </c:pt>
                <c:pt idx="3">
                  <c:v>1.7659129287888542E-2</c:v>
                </c:pt>
                <c:pt idx="4">
                  <c:v>5.801361799763205E-4</c:v>
                </c:pt>
                <c:pt idx="5">
                  <c:v>8.9979049860847149E-4</c:v>
                </c:pt>
                <c:pt idx="6">
                  <c:v>1.3391718546936354E-3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3.4258247872765824E-2</c:v>
                </c:pt>
                <c:pt idx="1">
                  <c:v>3.938147585771265E-2</c:v>
                </c:pt>
                <c:pt idx="2">
                  <c:v>1.0264858896412071E-2</c:v>
                </c:pt>
                <c:pt idx="3">
                  <c:v>1.6304162208851003E-2</c:v>
                </c:pt>
                <c:pt idx="4">
                  <c:v>6.2022920647210322E-4</c:v>
                </c:pt>
                <c:pt idx="5">
                  <c:v>9.6197473318394844E-4</c:v>
                </c:pt>
                <c:pt idx="6">
                  <c:v>1.4317215947476924E-3</c:v>
                </c:pt>
              </c:numCache>
            </c:numRef>
          </c:val>
        </c:ser>
        <c:overlap val="100"/>
        <c:axId val="113668480"/>
        <c:axId val="113670400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0.21909002858957732</c:v>
                </c:pt>
                <c:pt idx="1">
                  <c:v>0.21408921875519724</c:v>
                </c:pt>
                <c:pt idx="2">
                  <c:v>0.23314540206750922</c:v>
                </c:pt>
                <c:pt idx="3">
                  <c:v>0.11564398540983163</c:v>
                </c:pt>
                <c:pt idx="4">
                  <c:v>4.4384109675050465E-2</c:v>
                </c:pt>
                <c:pt idx="5">
                  <c:v>6.978507270586419E-2</c:v>
                </c:pt>
                <c:pt idx="6">
                  <c:v>0.10386218279696992</c:v>
                </c:pt>
              </c:numCache>
            </c:numRef>
          </c:val>
        </c:ser>
        <c:marker val="1"/>
        <c:axId val="113668480"/>
        <c:axId val="113670400"/>
      </c:lineChart>
      <c:catAx>
        <c:axId val="113668480"/>
        <c:scaling>
          <c:orientation val="minMax"/>
        </c:scaling>
        <c:axPos val="b"/>
        <c:numFmt formatCode="General" sourceLinked="1"/>
        <c:tickLblPos val="nextTo"/>
        <c:crossAx val="113670400"/>
        <c:crosses val="autoZero"/>
        <c:auto val="1"/>
        <c:lblAlgn val="ctr"/>
        <c:lblOffset val="100"/>
      </c:catAx>
      <c:valAx>
        <c:axId val="113670400"/>
        <c:scaling>
          <c:orientation val="minMax"/>
        </c:scaling>
        <c:axPos val="l"/>
        <c:majorGridlines/>
        <c:numFmt formatCode="0%" sourceLinked="0"/>
        <c:tickLblPos val="nextTo"/>
        <c:crossAx val="11366848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106"/>
          <c:w val="0.5562682138416909"/>
          <c:h val="0.69258218413304917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0.55729152448219943</c:v>
                </c:pt>
                <c:pt idx="1">
                  <c:v>7.1185671029254202E-2</c:v>
                </c:pt>
                <c:pt idx="2">
                  <c:v>0.10322339803416485</c:v>
                </c:pt>
                <c:pt idx="3">
                  <c:v>8.0482208233379524E-2</c:v>
                </c:pt>
                <c:pt idx="4">
                  <c:v>9.0629722914994285E-2</c:v>
                </c:pt>
                <c:pt idx="5">
                  <c:v>1.9999999999999751E-2</c:v>
                </c:pt>
                <c:pt idx="6">
                  <c:v>3.1019975297702843E-2</c:v>
                </c:pt>
                <c:pt idx="7">
                  <c:v>4.6167500008305204E-2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IC'!$C$34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IC'!$C$35:$C$42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IC'!$D$34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IC'!$D$35:$D$42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113734400"/>
        <c:axId val="113735936"/>
      </c:barChart>
      <c:catAx>
        <c:axId val="113734400"/>
        <c:scaling>
          <c:orientation val="minMax"/>
        </c:scaling>
        <c:axPos val="l"/>
        <c:tickLblPos val="nextTo"/>
        <c:crossAx val="113735936"/>
        <c:crosses val="autoZero"/>
        <c:auto val="1"/>
        <c:lblAlgn val="ctr"/>
        <c:lblOffset val="100"/>
      </c:catAx>
      <c:valAx>
        <c:axId val="113735936"/>
        <c:scaling>
          <c:orientation val="minMax"/>
        </c:scaling>
        <c:axPos val="b"/>
        <c:majorGridlines/>
        <c:numFmt formatCode="0.0%" sourceLinked="1"/>
        <c:tickLblPos val="nextTo"/>
        <c:crossAx val="113734400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467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8"/>
          <c:y val="5.1400554097404488E-2"/>
          <c:w val="0.8216434820647468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IC'!$I$35:$I$42</c:f>
              <c:numCache>
                <c:formatCode>0.0%</c:formatCode>
                <c:ptCount val="8"/>
                <c:pt idx="0">
                  <c:v>4.3571419993869868E-2</c:v>
                </c:pt>
                <c:pt idx="1">
                  <c:v>0.15810707611932825</c:v>
                </c:pt>
                <c:pt idx="2">
                  <c:v>0.16193319430872868</c:v>
                </c:pt>
                <c:pt idx="3">
                  <c:v>0.28684488662827246</c:v>
                </c:pt>
                <c:pt idx="4">
                  <c:v>0.29497711980114533</c:v>
                </c:pt>
                <c:pt idx="5">
                  <c:v>0.32949402218690865</c:v>
                </c:pt>
                <c:pt idx="6">
                  <c:v>0.1608611248297202</c:v>
                </c:pt>
                <c:pt idx="7">
                  <c:v>0.19933384935580506</c:v>
                </c:pt>
              </c:numCache>
            </c:numRef>
          </c:xVal>
          <c:yVal>
            <c:numRef>
              <c:f>'output IC'!$H$35:$H$42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2.0858431515344899E-2</c:v>
                </c:pt>
                <c:pt idx="2">
                  <c:v>3.3632152529915554E-2</c:v>
                </c:pt>
                <c:pt idx="3">
                  <c:v>-1.8275706628265609E-2</c:v>
                </c:pt>
                <c:pt idx="4">
                  <c:v>6.1274623073284545E-2</c:v>
                </c:pt>
                <c:pt idx="5">
                  <c:v>7.9522702632630907E-2</c:v>
                </c:pt>
                <c:pt idx="6">
                  <c:v>1.7870017799650671E-2</c:v>
                </c:pt>
                <c:pt idx="7">
                  <c:v>-3.3454365202922019E-3</c:v>
                </c:pt>
              </c:numCache>
            </c:numRef>
          </c:yVal>
        </c:ser>
        <c:axId val="113753088"/>
        <c:axId val="113792128"/>
      </c:scatterChart>
      <c:valAx>
        <c:axId val="113753088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401"/>
            </c:manualLayout>
          </c:layout>
        </c:title>
        <c:numFmt formatCode="0%" sourceLinked="0"/>
        <c:tickLblPos val="nextTo"/>
        <c:crossAx val="113792128"/>
        <c:crosses val="autoZero"/>
        <c:crossBetween val="midCat"/>
      </c:valAx>
      <c:valAx>
        <c:axId val="11379212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113753088"/>
        <c:crosses val="autoZero"/>
        <c:crossBetween val="midCat"/>
      </c:valAx>
    </c:plotArea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5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85"/>
          <c:y val="5.1400554097404488E-2"/>
          <c:w val="0.82164348206474702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953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246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855E-2"/>
                  <c:y val="-6.7336991255980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IC'!$I$35:$I$42</c:f>
              <c:numCache>
                <c:formatCode>0.0%</c:formatCode>
                <c:ptCount val="8"/>
                <c:pt idx="0">
                  <c:v>4.3571419993869868E-2</c:v>
                </c:pt>
                <c:pt idx="1">
                  <c:v>0.15810707611932825</c:v>
                </c:pt>
                <c:pt idx="2">
                  <c:v>0.16193319430872868</c:v>
                </c:pt>
                <c:pt idx="3">
                  <c:v>0.28684488662827246</c:v>
                </c:pt>
                <c:pt idx="4">
                  <c:v>0.29497711980114533</c:v>
                </c:pt>
                <c:pt idx="5">
                  <c:v>0.32949402218690865</c:v>
                </c:pt>
                <c:pt idx="6">
                  <c:v>0.1608611248297202</c:v>
                </c:pt>
                <c:pt idx="7">
                  <c:v>0.19933384935580506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3.1452343984147556E-2</c:v>
                </c:pt>
                <c:pt idx="3">
                  <c:v>5.6804592721954011E-2</c:v>
                </c:pt>
                <c:pt idx="4">
                  <c:v>5.6320387554596889E-2</c:v>
                </c:pt>
                <c:pt idx="5">
                  <c:v>5.236888388126059E-2</c:v>
                </c:pt>
                <c:pt idx="6">
                  <c:v>2.8306574622560098E-2</c:v>
                </c:pt>
                <c:pt idx="7">
                  <c:v>3.9543569652327068E-2</c:v>
                </c:pt>
              </c:numCache>
            </c:numRef>
          </c:yVal>
        </c:ser>
        <c:axId val="113866624"/>
        <c:axId val="113897472"/>
      </c:scatterChart>
      <c:valAx>
        <c:axId val="113866624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423"/>
            </c:manualLayout>
          </c:layout>
        </c:title>
        <c:numFmt formatCode="0%" sourceLinked="0"/>
        <c:tickLblPos val="nextTo"/>
        <c:crossAx val="113897472"/>
        <c:crosses val="autoZero"/>
        <c:crossBetween val="midCat"/>
      </c:valAx>
      <c:valAx>
        <c:axId val="1138974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113866624"/>
        <c:crosses val="autoZero"/>
        <c:crossBetween val="midCat"/>
      </c:valAx>
    </c:plotArea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IC'!$E$34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IC'!$E$35:$E$42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IC'!$H$34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IC'!$H$35:$H$42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2.0858431515344899E-2</c:v>
                </c:pt>
                <c:pt idx="2">
                  <c:v>3.3632152529915554E-2</c:v>
                </c:pt>
                <c:pt idx="3">
                  <c:v>-1.8275706628265609E-2</c:v>
                </c:pt>
                <c:pt idx="4">
                  <c:v>6.1274623073284545E-2</c:v>
                </c:pt>
                <c:pt idx="5">
                  <c:v>7.9522702632630907E-2</c:v>
                </c:pt>
                <c:pt idx="6">
                  <c:v>1.7870017799650671E-2</c:v>
                </c:pt>
                <c:pt idx="7">
                  <c:v>-3.3454365202922019E-3</c:v>
                </c:pt>
              </c:numCache>
            </c:numRef>
          </c:val>
        </c:ser>
        <c:axId val="113930624"/>
        <c:axId val="113932160"/>
      </c:barChart>
      <c:catAx>
        <c:axId val="113930624"/>
        <c:scaling>
          <c:orientation val="minMax"/>
        </c:scaling>
        <c:axPos val="l"/>
        <c:tickLblPos val="none"/>
        <c:crossAx val="113932160"/>
        <c:crosses val="autoZero"/>
        <c:auto val="1"/>
        <c:lblAlgn val="ctr"/>
        <c:lblOffset val="100"/>
      </c:catAx>
      <c:valAx>
        <c:axId val="113932160"/>
        <c:scaling>
          <c:orientation val="minMax"/>
        </c:scaling>
        <c:axPos val="b"/>
        <c:majorGridlines/>
        <c:numFmt formatCode="0.0%" sourceLinked="1"/>
        <c:tickLblPos val="nextTo"/>
        <c:crossAx val="113930624"/>
        <c:crosses val="autoZero"/>
        <c:crossBetween val="between"/>
      </c:valAx>
    </c:plotArea>
    <c:legend>
      <c:legendPos val="b"/>
    </c:legend>
    <c:plotVisOnly val="1"/>
  </c:chart>
  <c:spPr>
    <a:noFill/>
    <a:ln>
      <a:noFill/>
    </a:ln>
  </c:spPr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IC'!$J$34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IC'!$J$35:$J$42</c:f>
              <c:numCache>
                <c:formatCode>#,##0.00_ ;\-#,##0.00\ </c:formatCode>
                <c:ptCount val="8"/>
                <c:pt idx="0">
                  <c:v>-0.85588235294117654</c:v>
                </c:pt>
                <c:pt idx="1">
                  <c:v>-0.29390747695152525</c:v>
                </c:pt>
                <c:pt idx="2">
                  <c:v>6.857423812834619E-2</c:v>
                </c:pt>
                <c:pt idx="3">
                  <c:v>-0.20272934385775906</c:v>
                </c:pt>
                <c:pt idx="4">
                  <c:v>-0.14794569285453799</c:v>
                </c:pt>
                <c:pt idx="5">
                  <c:v>-0.10839492265633952</c:v>
                </c:pt>
                <c:pt idx="6">
                  <c:v>-0.43007353239699947</c:v>
                </c:pt>
                <c:pt idx="7">
                  <c:v>-0.2928562258300802</c:v>
                </c:pt>
              </c:numCache>
            </c:numRef>
          </c:val>
        </c:ser>
        <c:ser>
          <c:idx val="1"/>
          <c:order val="1"/>
          <c:tx>
            <c:strRef>
              <c:f>'output IC'!$K$34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IC'!$K$35:$K$42</c:f>
              <c:numCache>
                <c:formatCode>#,##0.00_ ;[Red]\-#,##0.00\ </c:formatCode>
                <c:ptCount val="8"/>
                <c:pt idx="0">
                  <c:v>-7.4464335370661383E-2</c:v>
                </c:pt>
                <c:pt idx="1">
                  <c:v>0.13192598349995671</c:v>
                </c:pt>
                <c:pt idx="2">
                  <c:v>0.20769152781482975</c:v>
                </c:pt>
                <c:pt idx="3">
                  <c:v>-6.3712854857159898E-2</c:v>
                </c:pt>
                <c:pt idx="4">
                  <c:v>0.20772669797098831</c:v>
                </c:pt>
                <c:pt idx="5">
                  <c:v>0.241347937376299</c:v>
                </c:pt>
                <c:pt idx="6">
                  <c:v>0.11108972300527555</c:v>
                </c:pt>
                <c:pt idx="7">
                  <c:v>-1.6783082908917772E-2</c:v>
                </c:pt>
              </c:numCache>
            </c:numRef>
          </c:val>
        </c:ser>
        <c:axId val="113949312"/>
        <c:axId val="113963392"/>
      </c:barChart>
      <c:catAx>
        <c:axId val="113949312"/>
        <c:scaling>
          <c:orientation val="minMax"/>
        </c:scaling>
        <c:axPos val="l"/>
        <c:tickLblPos val="high"/>
        <c:crossAx val="113963392"/>
        <c:crosses val="autoZero"/>
        <c:auto val="1"/>
        <c:lblAlgn val="ctr"/>
        <c:lblOffset val="100"/>
      </c:catAx>
      <c:valAx>
        <c:axId val="113963392"/>
        <c:scaling>
          <c:orientation val="minMax"/>
          <c:max val="0.30000000000000032"/>
        </c:scaling>
        <c:axPos val="b"/>
        <c:majorGridlines/>
        <c:numFmt formatCode="#,##0.00_ ;\-#,##0.00\ " sourceLinked="1"/>
        <c:tickLblPos val="nextTo"/>
        <c:crossAx val="113949312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36</xdr:row>
      <xdr:rowOff>136152</xdr:rowOff>
    </xdr:from>
    <xdr:to>
      <xdr:col>37</xdr:col>
      <xdr:colOff>372035</xdr:colOff>
      <xdr:row>56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288548</xdr:colOff>
      <xdr:row>12</xdr:row>
      <xdr:rowOff>33619</xdr:rowOff>
    </xdr:from>
    <xdr:to>
      <xdr:col>27</xdr:col>
      <xdr:colOff>538441</xdr:colOff>
      <xdr:row>38</xdr:row>
      <xdr:rowOff>44825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28</xdr:row>
      <xdr:rowOff>14008</xdr:rowOff>
    </xdr:from>
    <xdr:to>
      <xdr:col>36</xdr:col>
      <xdr:colOff>445433</xdr:colOff>
      <xdr:row>35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299197</xdr:colOff>
      <xdr:row>45</xdr:row>
      <xdr:rowOff>17929</xdr:rowOff>
    </xdr:from>
    <xdr:to>
      <xdr:col>4</xdr:col>
      <xdr:colOff>13447</xdr:colOff>
      <xdr:row>60</xdr:row>
      <xdr:rowOff>170329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424144</xdr:colOff>
      <xdr:row>45</xdr:row>
      <xdr:rowOff>148478</xdr:rowOff>
    </xdr:from>
    <xdr:to>
      <xdr:col>20</xdr:col>
      <xdr:colOff>505946</xdr:colOff>
      <xdr:row>58</xdr:row>
      <xdr:rowOff>123825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424142</xdr:colOff>
      <xdr:row>61</xdr:row>
      <xdr:rowOff>143996</xdr:rowOff>
    </xdr:from>
    <xdr:to>
      <xdr:col>20</xdr:col>
      <xdr:colOff>505945</xdr:colOff>
      <xdr:row>74</xdr:row>
      <xdr:rowOff>119343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45</xdr:row>
      <xdr:rowOff>22412</xdr:rowOff>
    </xdr:from>
    <xdr:to>
      <xdr:col>9</xdr:col>
      <xdr:colOff>930087</xdr:colOff>
      <xdr:row>60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15</xdr:row>
      <xdr:rowOff>199465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45</xdr:row>
      <xdr:rowOff>56031</xdr:rowOff>
    </xdr:from>
    <xdr:to>
      <xdr:col>12</xdr:col>
      <xdr:colOff>705971</xdr:colOff>
      <xdr:row>61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roups1/groups1/groups1/Projecten/Norm2012/Excel/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groups1/groups1/groups1/Projecten/Norm2012/Excel/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roups1/groups1/groups1/Projecten/Port2012/Excel/Portefeuilles2012_Zoetware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tabSelected="1" zoomScale="85" zoomScaleNormal="85" workbookViewId="0">
      <selection activeCell="D22" sqref="D22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86" t="s">
        <v>93</v>
      </c>
      <c r="D1" s="386"/>
      <c r="E1" s="387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218">
        <v>0.55549268496933957</v>
      </c>
      <c r="C3" s="303">
        <v>0.55000000000000004</v>
      </c>
      <c r="D3" s="218">
        <v>0.65</v>
      </c>
      <c r="E3" s="145">
        <v>0.99</v>
      </c>
      <c r="F3" s="144">
        <f>'Samenvatting mixen'!B81</f>
        <v>0.55729152448219943</v>
      </c>
      <c r="G3" s="144">
        <f>+F3-B3</f>
        <v>1.7988395128598622E-3</v>
      </c>
      <c r="H3" s="305"/>
    </row>
    <row r="4" spans="1:24">
      <c r="A4" s="143" t="str">
        <f>Scenarios!A5</f>
        <v>High Yield</v>
      </c>
      <c r="B4" s="218">
        <v>9.7387120358343723E-2</v>
      </c>
      <c r="C4" s="303">
        <v>0.05</v>
      </c>
      <c r="D4" s="218">
        <v>0.15</v>
      </c>
      <c r="E4" s="145">
        <v>0.99</v>
      </c>
      <c r="F4" s="144">
        <f>'Samenvatting mixen'!B82</f>
        <v>7.1185671029254202E-2</v>
      </c>
      <c r="G4" s="144">
        <f t="shared" ref="G4:G10" si="0">+F4-B4</f>
        <v>-2.6201449329089521E-2</v>
      </c>
      <c r="H4" s="306"/>
      <c r="W4" s="133" t="str">
        <f>A4</f>
        <v>High Yield</v>
      </c>
      <c r="X4" s="134">
        <f>B4/SUM($B$4:$B$10)</f>
        <v>0.21909002858957732</v>
      </c>
    </row>
    <row r="5" spans="1:24">
      <c r="A5" s="143" t="str">
        <f>Scenarios!A6</f>
        <v>Emerging market debt</v>
      </c>
      <c r="B5" s="218">
        <v>9.5164223805884504E-2</v>
      </c>
      <c r="C5" s="303">
        <v>0.05</v>
      </c>
      <c r="D5" s="410">
        <v>0.15</v>
      </c>
      <c r="E5" s="145">
        <v>0.99</v>
      </c>
      <c r="F5" s="144">
        <f>'Samenvatting mixen'!B83</f>
        <v>0.10322339803416485</v>
      </c>
      <c r="G5" s="144">
        <f t="shared" si="0"/>
        <v>8.0591742282803414E-3</v>
      </c>
      <c r="W5" s="133" t="str">
        <f t="shared" ref="W5:W10" si="1">A5</f>
        <v>Emerging market debt</v>
      </c>
      <c r="X5" s="134">
        <f t="shared" ref="X5:X10" si="2">B5/SUM($B$4:$B$10)</f>
        <v>0.21408921875519724</v>
      </c>
    </row>
    <row r="6" spans="1:24">
      <c r="A6" s="143" t="str">
        <f>Scenarios!A7</f>
        <v>Aandelen ontwikkeld</v>
      </c>
      <c r="B6" s="303">
        <v>0.10363483668477239</v>
      </c>
      <c r="C6" s="303">
        <v>7.4999999999999997E-2</v>
      </c>
      <c r="D6" s="218">
        <v>0.3</v>
      </c>
      <c r="E6" s="145">
        <v>0.99</v>
      </c>
      <c r="F6" s="144">
        <f>'Samenvatting mixen'!B84</f>
        <v>8.0482208233379524E-2</v>
      </c>
      <c r="G6" s="144">
        <f t="shared" si="0"/>
        <v>-2.3152628451392862E-2</v>
      </c>
      <c r="H6" s="305"/>
      <c r="W6" s="133" t="str">
        <f t="shared" si="1"/>
        <v>Aandelen ontwikkeld</v>
      </c>
      <c r="X6" s="134">
        <f t="shared" si="2"/>
        <v>0.23314540206750922</v>
      </c>
    </row>
    <row r="7" spans="1:24">
      <c r="A7" s="143" t="str">
        <f>Scenarios!A8</f>
        <v>Aandelen opkomend</v>
      </c>
      <c r="B7" s="303">
        <v>5.1404597453969164E-2</v>
      </c>
      <c r="C7" s="303">
        <v>2.5000000000000001E-2</v>
      </c>
      <c r="D7" s="410">
        <v>0.1</v>
      </c>
      <c r="E7" s="145">
        <v>0.99</v>
      </c>
      <c r="F7" s="144">
        <f>'Samenvatting mixen'!B85</f>
        <v>9.0629722914994285E-2</v>
      </c>
      <c r="G7" s="144">
        <f t="shared" si="0"/>
        <v>3.922512546102512E-2</v>
      </c>
      <c r="H7" s="305"/>
      <c r="W7" s="133" t="str">
        <f t="shared" si="1"/>
        <v>Aandelen opkomend</v>
      </c>
      <c r="X7" s="134">
        <f t="shared" si="2"/>
        <v>0.11564398540983163</v>
      </c>
    </row>
    <row r="8" spans="1:24">
      <c r="A8" s="143" t="str">
        <f>Scenarios!A9</f>
        <v>Commodities</v>
      </c>
      <c r="B8" s="218">
        <v>1.9729061421683056E-2</v>
      </c>
      <c r="C8" s="411">
        <v>0.02</v>
      </c>
      <c r="D8" s="410">
        <v>0.02</v>
      </c>
      <c r="E8" s="145">
        <v>0.99</v>
      </c>
      <c r="F8" s="144">
        <f>'Samenvatting mixen'!B86</f>
        <v>1.9999999999999751E-2</v>
      </c>
      <c r="G8" s="144">
        <f t="shared" si="0"/>
        <v>2.7093857831669496E-4</v>
      </c>
      <c r="H8" s="305"/>
      <c r="W8" s="133" t="str">
        <f t="shared" si="1"/>
        <v>Commodities</v>
      </c>
      <c r="X8" s="134">
        <f t="shared" si="2"/>
        <v>4.4384109675050465E-2</v>
      </c>
    </row>
    <row r="9" spans="1:24">
      <c r="A9" s="143" t="str">
        <f>Scenarios!A10</f>
        <v>Hedge funds</v>
      </c>
      <c r="B9" s="218">
        <v>3.1019975297703138E-2</v>
      </c>
      <c r="C9" s="303">
        <f>B9</f>
        <v>3.1019975297703138E-2</v>
      </c>
      <c r="D9" s="218">
        <f>C9</f>
        <v>3.1019975297703138E-2</v>
      </c>
      <c r="E9" s="145">
        <v>0.99</v>
      </c>
      <c r="F9" s="144">
        <f>'Samenvatting mixen'!B87</f>
        <v>3.1019975297702843E-2</v>
      </c>
      <c r="G9" s="144">
        <f t="shared" si="0"/>
        <v>-2.9490299091605721E-16</v>
      </c>
      <c r="W9" s="133" t="str">
        <f t="shared" si="1"/>
        <v>Hedge funds</v>
      </c>
      <c r="X9" s="134">
        <f t="shared" si="2"/>
        <v>6.978507270586419E-2</v>
      </c>
    </row>
    <row r="10" spans="1:24" ht="15.75" thickBot="1">
      <c r="A10" s="139" t="str">
        <f>Scenarios!A11</f>
        <v>Onroerend goed</v>
      </c>
      <c r="B10" s="219">
        <v>4.6167500008304781E-2</v>
      </c>
      <c r="C10" s="304">
        <f>B10</f>
        <v>4.6167500008304781E-2</v>
      </c>
      <c r="D10" s="219">
        <f>C10</f>
        <v>4.6167500008304781E-2</v>
      </c>
      <c r="E10" s="147">
        <v>0.99</v>
      </c>
      <c r="F10" s="146">
        <f>'Samenvatting mixen'!B88</f>
        <v>4.6167500008305204E-2</v>
      </c>
      <c r="G10" s="146">
        <f t="shared" si="0"/>
        <v>4.2327252813834093E-16</v>
      </c>
      <c r="W10" s="133" t="str">
        <f t="shared" si="1"/>
        <v>Onroerend goed</v>
      </c>
      <c r="X10" s="134">
        <f t="shared" si="2"/>
        <v>0.10386218279696992</v>
      </c>
    </row>
    <row r="11" spans="1:24" ht="15.75" thickBot="1">
      <c r="A11" s="148" t="s">
        <v>89</v>
      </c>
      <c r="B11" s="149">
        <f>Scenarios!C12</f>
        <v>9.9916807995241289E-2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41" t="s">
        <v>144</v>
      </c>
      <c r="B15" s="334">
        <f t="array" ref="B15">+MMULT(TRANSPOSE(F3:F10),MMULT(k,F3:F10))^(0.5)</f>
        <v>0.10160857643761877</v>
      </c>
      <c r="C15" s="338"/>
      <c r="D15" s="338"/>
      <c r="E15" s="338"/>
      <c r="F15" s="217"/>
    </row>
    <row r="16" spans="1:24">
      <c r="A16" s="165"/>
      <c r="B16" s="217"/>
      <c r="C16" s="217"/>
      <c r="D16" s="217"/>
      <c r="E16" s="217"/>
      <c r="F16" s="165"/>
    </row>
    <row r="17" spans="1:6">
      <c r="A17" s="165"/>
      <c r="B17" s="163"/>
      <c r="C17" s="163"/>
      <c r="D17" s="163"/>
      <c r="E17" s="163"/>
      <c r="F17" s="154"/>
    </row>
    <row r="18" spans="1:6">
      <c r="A18" s="165"/>
      <c r="B18" s="163"/>
      <c r="C18" s="163"/>
      <c r="D18" s="163"/>
      <c r="E18" s="163"/>
      <c r="F18" s="154"/>
    </row>
    <row r="19" spans="1:6">
      <c r="A19" s="165"/>
      <c r="B19" s="163"/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218">
        <v>0.105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88" t="s">
        <v>98</v>
      </c>
      <c r="C200" s="386"/>
      <c r="D200" s="386"/>
      <c r="E200" s="387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D38" sqref="D38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301" t="s">
        <v>79</v>
      </c>
      <c r="C2" s="13" t="s">
        <v>79</v>
      </c>
      <c r="D2" s="302" t="s">
        <v>116</v>
      </c>
      <c r="E2" s="390" t="s">
        <v>117</v>
      </c>
      <c r="F2" s="390"/>
      <c r="G2" s="390"/>
      <c r="H2" s="390"/>
      <c r="I2" s="390"/>
      <c r="J2" s="390"/>
      <c r="K2" s="390"/>
      <c r="L2" s="391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0.55549268496933957</v>
      </c>
      <c r="C4" s="178">
        <v>0</v>
      </c>
      <c r="D4" s="223">
        <v>4.3571419993869868E-2</v>
      </c>
      <c r="E4" s="220">
        <v>0.99999999999999989</v>
      </c>
      <c r="F4" s="221">
        <v>0.53809608757973648</v>
      </c>
      <c r="G4" s="221">
        <v>0.51691057431478837</v>
      </c>
      <c r="H4" s="221">
        <v>0.26512268753745427</v>
      </c>
      <c r="I4" s="221">
        <v>0.30633091260285272</v>
      </c>
      <c r="J4" s="221">
        <v>0.25776542912961581</v>
      </c>
      <c r="K4" s="221">
        <v>0.49880026622502738</v>
      </c>
      <c r="L4" s="222">
        <v>0.40988870730079396</v>
      </c>
      <c r="M4" s="3" t="s">
        <v>118</v>
      </c>
      <c r="S4" s="84"/>
      <c r="T4" s="6"/>
      <c r="U4" s="85"/>
    </row>
    <row r="5" spans="1:21">
      <c r="A5" s="102" t="s">
        <v>5</v>
      </c>
      <c r="B5" s="106">
        <f>'Control panel'!B4</f>
        <v>9.7387120358343723E-2</v>
      </c>
      <c r="C5" s="178">
        <v>3.0000000000000002E-2</v>
      </c>
      <c r="D5" s="223">
        <v>0.15810707611932825</v>
      </c>
      <c r="E5" s="223">
        <v>0.53809608757973648</v>
      </c>
      <c r="F5" s="293">
        <v>1.0000000000000002</v>
      </c>
      <c r="G5" s="293">
        <v>0.94177115286639357</v>
      </c>
      <c r="H5" s="293">
        <v>0.73614790661359208</v>
      </c>
      <c r="I5" s="224">
        <v>0.74216818464687206</v>
      </c>
      <c r="J5" s="224">
        <v>0.6048417122454024</v>
      </c>
      <c r="K5" s="224">
        <v>0.86164575178315306</v>
      </c>
      <c r="L5" s="225">
        <v>0.86125970507824035</v>
      </c>
      <c r="S5" s="84"/>
      <c r="T5" s="6"/>
      <c r="U5" s="85"/>
    </row>
    <row r="6" spans="1:21">
      <c r="A6" s="102" t="s">
        <v>6</v>
      </c>
      <c r="B6" s="106">
        <f>'Control panel'!B5</f>
        <v>9.5164223805884504E-2</v>
      </c>
      <c r="C6" s="178">
        <v>3.1452343984147556E-2</v>
      </c>
      <c r="D6" s="223">
        <v>0.16193319430872868</v>
      </c>
      <c r="E6" s="223">
        <v>0.51691057431478837</v>
      </c>
      <c r="F6" s="293">
        <v>0.94177115286639357</v>
      </c>
      <c r="G6" s="293">
        <v>1</v>
      </c>
      <c r="H6" s="293">
        <v>0.7682232653061406</v>
      </c>
      <c r="I6" s="224">
        <v>0.79170142390806597</v>
      </c>
      <c r="J6" s="224">
        <v>0.62860572473116894</v>
      </c>
      <c r="K6" s="224">
        <v>0.86583564760808152</v>
      </c>
      <c r="L6" s="225">
        <v>0.86330366967843342</v>
      </c>
      <c r="S6" s="84"/>
      <c r="T6" s="6"/>
      <c r="U6" s="85"/>
    </row>
    <row r="7" spans="1:21">
      <c r="A7" s="102" t="s">
        <v>7</v>
      </c>
      <c r="B7" s="106">
        <f>'Control panel'!B6</f>
        <v>0.10363483668477239</v>
      </c>
      <c r="C7" s="178">
        <v>5.6804592721954011E-2</v>
      </c>
      <c r="D7" s="223">
        <v>0.28684488662827246</v>
      </c>
      <c r="E7" s="223">
        <v>0.26512268753745388</v>
      </c>
      <c r="F7" s="293">
        <v>0.7361479066135922</v>
      </c>
      <c r="G7" s="293">
        <v>0.7682232653061406</v>
      </c>
      <c r="H7" s="293">
        <v>1.0000000000000002</v>
      </c>
      <c r="I7" s="224">
        <v>0.810869651798099</v>
      </c>
      <c r="J7" s="224">
        <v>0.698944093128679</v>
      </c>
      <c r="K7" s="224">
        <v>0.74165364419402413</v>
      </c>
      <c r="L7" s="225">
        <v>0.88368691913192909</v>
      </c>
      <c r="S7" s="84"/>
      <c r="T7" s="6"/>
      <c r="U7" s="85"/>
    </row>
    <row r="8" spans="1:21">
      <c r="A8" s="102" t="s">
        <v>8</v>
      </c>
      <c r="B8" s="106">
        <f>'Control panel'!B7</f>
        <v>5.1404597453969164E-2</v>
      </c>
      <c r="C8" s="178">
        <v>5.6320387554596889E-2</v>
      </c>
      <c r="D8" s="223">
        <v>0.29497711980114533</v>
      </c>
      <c r="E8" s="223">
        <v>0.30633091260285283</v>
      </c>
      <c r="F8" s="293">
        <v>0.74216818464687206</v>
      </c>
      <c r="G8" s="293">
        <v>0.79170142390806608</v>
      </c>
      <c r="H8" s="293">
        <v>0.81086965179809911</v>
      </c>
      <c r="I8" s="224">
        <v>0.99999999999999978</v>
      </c>
      <c r="J8" s="224">
        <v>0.64038553303047341</v>
      </c>
      <c r="K8" s="224">
        <v>0.64285674252709391</v>
      </c>
      <c r="L8" s="225">
        <v>0.78565246061343619</v>
      </c>
      <c r="S8" s="84"/>
      <c r="T8" s="6"/>
      <c r="U8" s="85"/>
    </row>
    <row r="9" spans="1:21">
      <c r="A9" s="102" t="s">
        <v>9</v>
      </c>
      <c r="B9" s="106">
        <f>'Control panel'!B8</f>
        <v>1.9729061421683056E-2</v>
      </c>
      <c r="C9" s="178">
        <v>5.236888388126059E-2</v>
      </c>
      <c r="D9" s="223">
        <v>0.32949402218690865</v>
      </c>
      <c r="E9" s="223">
        <v>0.25776542912961575</v>
      </c>
      <c r="F9" s="224">
        <v>0.60484171224540262</v>
      </c>
      <c r="G9" s="224">
        <v>0.62860572473116916</v>
      </c>
      <c r="H9" s="224">
        <v>0.698944093128679</v>
      </c>
      <c r="I9" s="224">
        <v>0.64038553303047341</v>
      </c>
      <c r="J9" s="224">
        <v>1.0000000000000002</v>
      </c>
      <c r="K9" s="224">
        <v>0.56967702853737867</v>
      </c>
      <c r="L9" s="225">
        <v>0.67129908624723933</v>
      </c>
      <c r="S9" s="84"/>
      <c r="T9" s="6"/>
      <c r="U9" s="85"/>
    </row>
    <row r="10" spans="1:21">
      <c r="A10" s="102" t="s">
        <v>10</v>
      </c>
      <c r="B10" s="106">
        <f>'Control panel'!B9</f>
        <v>3.1019975297703138E-2</v>
      </c>
      <c r="C10" s="178">
        <v>2.8306574622560098E-2</v>
      </c>
      <c r="D10" s="223">
        <v>0.1608611248297202</v>
      </c>
      <c r="E10" s="223">
        <v>0.49880026622502749</v>
      </c>
      <c r="F10" s="224">
        <v>0.86164575178315295</v>
      </c>
      <c r="G10" s="224">
        <v>0.86583564760808163</v>
      </c>
      <c r="H10" s="224">
        <v>0.74165364419402413</v>
      </c>
      <c r="I10" s="224">
        <v>0.64285674252709391</v>
      </c>
      <c r="J10" s="224">
        <v>0.56967702853737878</v>
      </c>
      <c r="K10" s="224">
        <v>0.99999999999999978</v>
      </c>
      <c r="L10" s="225">
        <v>0.79252565178528167</v>
      </c>
      <c r="S10" s="84"/>
      <c r="T10" s="6"/>
      <c r="U10" s="85"/>
    </row>
    <row r="11" spans="1:21" ht="13.5" thickBot="1">
      <c r="A11" s="103" t="s">
        <v>11</v>
      </c>
      <c r="B11" s="107">
        <f>'Control panel'!B10</f>
        <v>4.6167500008304781E-2</v>
      </c>
      <c r="C11" s="179">
        <v>3.9543569652327068E-2</v>
      </c>
      <c r="D11" s="226">
        <v>0.19933384935580506</v>
      </c>
      <c r="E11" s="226">
        <v>0.40988870730079396</v>
      </c>
      <c r="F11" s="227">
        <v>0.86125970507824035</v>
      </c>
      <c r="G11" s="227">
        <v>0.86330366967843342</v>
      </c>
      <c r="H11" s="227">
        <v>0.88368691913192909</v>
      </c>
      <c r="I11" s="227">
        <v>0.78565246061343608</v>
      </c>
      <c r="J11" s="227">
        <v>0.67129908624723922</v>
      </c>
      <c r="K11" s="227">
        <v>0.79252565178528178</v>
      </c>
      <c r="L11" s="228">
        <v>1</v>
      </c>
    </row>
    <row r="12" spans="1:21">
      <c r="A12" s="84"/>
      <c r="B12" s="110" t="s">
        <v>89</v>
      </c>
      <c r="C12" s="85">
        <v>9.9916807995241289E-2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89"/>
      <c r="H17" s="389"/>
      <c r="I17" s="389"/>
      <c r="J17" s="389"/>
    </row>
    <row r="18" spans="1:24">
      <c r="D18" s="98"/>
      <c r="E18" s="98"/>
      <c r="S18" s="84"/>
      <c r="T18" s="389"/>
      <c r="U18" s="389"/>
      <c r="V18" s="389"/>
      <c r="W18" s="389"/>
      <c r="X18" s="389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126</v>
      </c>
      <c r="E23" s="288" t="s">
        <v>127</v>
      </c>
      <c r="F23" s="288" t="s">
        <v>113</v>
      </c>
      <c r="G23" s="288" t="s">
        <v>114</v>
      </c>
      <c r="H23" s="289" t="s">
        <v>128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293">
        <v>-3.2445168309994665E-3</v>
      </c>
      <c r="D24" s="293">
        <v>-1.0761362748873404E-3</v>
      </c>
      <c r="E24" s="293">
        <v>-3.4179872754884488E-3</v>
      </c>
      <c r="F24" s="293">
        <v>-2.5720358328627513E-2</v>
      </c>
      <c r="G24" s="293">
        <v>-0.26287574291051119</v>
      </c>
      <c r="H24" s="294">
        <v>-3.2441343963196256E-3</v>
      </c>
      <c r="I24" s="368">
        <v>-2.5720358328627513E-2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3.0000000000000002E-2</v>
      </c>
      <c r="C25" s="363">
        <v>2.0858431515344899E-2</v>
      </c>
      <c r="D25" s="293">
        <v>-0.10270478546112452</v>
      </c>
      <c r="E25" s="293">
        <v>4.4464965951199177E-2</v>
      </c>
      <c r="F25" s="293">
        <v>-0.43424993966436087</v>
      </c>
      <c r="G25" s="293">
        <v>-0.41153220498436088</v>
      </c>
      <c r="H25" s="294">
        <v>0.31635819149830574</v>
      </c>
      <c r="I25" s="178">
        <v>-0.41893086979769423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3.1452343984147556E-2</v>
      </c>
      <c r="C26" s="293">
        <v>3.3632152529915554E-2</v>
      </c>
      <c r="D26" s="293">
        <v>-5.1463733534465664E-2</v>
      </c>
      <c r="E26" s="293">
        <v>3.7955967038468326E-2</v>
      </c>
      <c r="F26" s="293">
        <v>-0.52495132978596959</v>
      </c>
      <c r="G26" s="293">
        <v>-0.34991079217679127</v>
      </c>
      <c r="H26" s="294">
        <v>0.24979690735679014</v>
      </c>
      <c r="I26" s="178">
        <v>-0.42616369164996948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5.6804592721954011E-2</v>
      </c>
      <c r="C27" s="293">
        <v>-1.8275706628265609E-2</v>
      </c>
      <c r="D27" s="293">
        <v>-0.20763301199738962</v>
      </c>
      <c r="E27" s="293">
        <v>4.4157772609314798E-2</v>
      </c>
      <c r="F27" s="293">
        <v>-0.60718802956862361</v>
      </c>
      <c r="G27" s="293">
        <v>-0.47851488198333225</v>
      </c>
      <c r="H27" s="294">
        <v>0.39131495295955132</v>
      </c>
      <c r="I27" s="178">
        <v>-0.60475489289212414</v>
      </c>
      <c r="J27" s="76"/>
    </row>
    <row r="28" spans="1:24">
      <c r="A28" s="18" t="s">
        <v>8</v>
      </c>
      <c r="B28" s="21">
        <f t="shared" si="0"/>
        <v>5.6320387554596889E-2</v>
      </c>
      <c r="C28" s="293">
        <v>6.1274623073284545E-2</v>
      </c>
      <c r="D28" s="293">
        <v>-6.0480183929069335E-2</v>
      </c>
      <c r="E28" s="293">
        <v>7.5058724753415462E-2</v>
      </c>
      <c r="F28" s="293">
        <v>-0.41926220845987938</v>
      </c>
      <c r="G28" s="293">
        <v>-0.25917386489837912</v>
      </c>
      <c r="H28" s="294">
        <v>0.38663466689136228</v>
      </c>
      <c r="I28" s="178">
        <v>-0.41926220845987938</v>
      </c>
      <c r="J28" s="94"/>
      <c r="U28" s="95"/>
    </row>
    <row r="29" spans="1:24">
      <c r="A29" s="18" t="s">
        <v>9</v>
      </c>
      <c r="B29" s="21">
        <f t="shared" si="0"/>
        <v>5.236888388126059E-2</v>
      </c>
      <c r="C29" s="293">
        <v>7.9522702632630907E-2</v>
      </c>
      <c r="D29" s="293">
        <v>1.2962263249297473E-2</v>
      </c>
      <c r="E29" s="293">
        <v>8.6184790509297532E-2</v>
      </c>
      <c r="F29" s="293">
        <v>-0.52034739633736904</v>
      </c>
      <c r="G29" s="293">
        <v>-0.53983753129736911</v>
      </c>
      <c r="H29" s="294">
        <v>0.62225820003596433</v>
      </c>
      <c r="I29" s="178">
        <v>-0.18957553129736909</v>
      </c>
      <c r="J29" s="96"/>
      <c r="U29" s="95"/>
    </row>
    <row r="30" spans="1:24">
      <c r="A30" s="18" t="s">
        <v>10</v>
      </c>
      <c r="B30" s="21">
        <f t="shared" si="0"/>
        <v>2.8306574622560098E-2</v>
      </c>
      <c r="C30" s="293">
        <v>1.7870017799650671E-2</v>
      </c>
      <c r="D30" s="293">
        <v>-4.6787554334441012E-2</v>
      </c>
      <c r="E30" s="293">
        <v>1.7186704939249599E-2</v>
      </c>
      <c r="F30" s="293">
        <v>-0.25573516705477994</v>
      </c>
      <c r="G30" s="293">
        <v>-6.3153361120378204E-3</v>
      </c>
      <c r="H30" s="294">
        <v>0.28400230499870172</v>
      </c>
      <c r="I30" s="178">
        <v>-0.23714062136375774</v>
      </c>
      <c r="J30" s="96"/>
      <c r="U30" s="95"/>
    </row>
    <row r="31" spans="1:24" ht="13.5" thickBot="1">
      <c r="A31" s="22" t="s">
        <v>11</v>
      </c>
      <c r="B31" s="25">
        <f t="shared" si="0"/>
        <v>3.9543569652327068E-2</v>
      </c>
      <c r="C31" s="295">
        <v>-3.3454365202922019E-3</v>
      </c>
      <c r="D31" s="295">
        <v>-8.4519819517757569E-2</v>
      </c>
      <c r="E31" s="295">
        <v>3.2797465910270177E-2</v>
      </c>
      <c r="F31" s="295">
        <v>-0.33580172019430399</v>
      </c>
      <c r="G31" s="295">
        <v>-0.18031161563030054</v>
      </c>
      <c r="H31" s="296">
        <v>0.35335277777605689</v>
      </c>
      <c r="I31" s="369">
        <v>-0.29873723652806683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7" t="s">
        <v>123</v>
      </c>
      <c r="B33" s="290">
        <f>Optimalisatie!B13</f>
        <v>0</v>
      </c>
      <c r="C33" s="290">
        <f>Optimalisatie!C13</f>
        <v>1</v>
      </c>
      <c r="D33" s="290">
        <f>Optimalisatie!D13</f>
        <v>0</v>
      </c>
      <c r="E33" s="290">
        <f>Optimalisatie!E13</f>
        <v>0</v>
      </c>
      <c r="F33" s="290">
        <f>Optimalisatie!F13</f>
        <v>0</v>
      </c>
      <c r="G33" s="290">
        <f>Optimalisatie!G13</f>
        <v>0</v>
      </c>
      <c r="H33" s="290">
        <f>Optimalisatie!H13</f>
        <v>0</v>
      </c>
      <c r="I33" s="300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7" t="s">
        <v>129</v>
      </c>
      <c r="B35" s="308">
        <f>Optimalisatie!B15</f>
        <v>0</v>
      </c>
      <c r="C35" s="307">
        <f>SUMPRODUCT(C24:C31,'Control panel'!$F$3:$F$10)</f>
        <v>9.2210687875961053E-3</v>
      </c>
      <c r="D35" s="307">
        <f>SUMPRODUCT(D24:D31,'Control panel'!$F$3:$F$10)</f>
        <v>-4.0509330049134158E-2</v>
      </c>
      <c r="E35" s="307">
        <f>SUMPRODUCT(E24:E31,'Control panel'!$F$3:$F$10)</f>
        <v>1.9305867450049904E-2</v>
      </c>
      <c r="F35" s="307">
        <f>SUMPRODUCT(F24:F31,'Control panel'!$F$3:$F$10)</f>
        <v>-0.22014179474107592</v>
      </c>
      <c r="G35" s="307">
        <f>SUMPRODUCT(G24:G31,'Control panel'!$F$3:$F$10)</f>
        <v>-0.29323057930461532</v>
      </c>
      <c r="H35" s="307">
        <f>SUMPRODUCT(H24:H31,'Control panel'!$F$3:$F$10)</f>
        <v>0.15059993425565274</v>
      </c>
      <c r="I35" s="309">
        <f>SUMPRODUCT(I24:I31,'Control panel'!$F$3:$F$10)</f>
        <v>-0.19975486236947126</v>
      </c>
    </row>
    <row r="38" spans="1:21" ht="13.5" thickBot="1"/>
    <row r="39" spans="1:21" ht="13.5" thickBot="1">
      <c r="A39" s="298" t="s">
        <v>119</v>
      </c>
      <c r="B39" s="299">
        <v>8</v>
      </c>
    </row>
    <row r="40" spans="1:21" ht="13.5" thickBot="1">
      <c r="A40" s="298" t="s">
        <v>145</v>
      </c>
      <c r="B40" s="299">
        <v>8</v>
      </c>
    </row>
    <row r="42" spans="1:21">
      <c r="K42" s="84"/>
      <c r="L42" s="84"/>
      <c r="M42" s="84"/>
      <c r="N42" s="84"/>
      <c r="O42" s="84"/>
      <c r="P42" s="84"/>
      <c r="Q42" s="84"/>
    </row>
    <row r="43" spans="1:21">
      <c r="K43" s="84"/>
      <c r="L43" s="84"/>
      <c r="M43" s="84"/>
      <c r="N43" s="84"/>
      <c r="O43" s="84"/>
      <c r="P43" s="84"/>
      <c r="Q43" s="84"/>
    </row>
    <row r="44" spans="1:21" ht="21.75" thickBot="1">
      <c r="C44" s="362" t="s">
        <v>148</v>
      </c>
      <c r="D44" s="292"/>
      <c r="E44" s="292"/>
      <c r="F44" s="292"/>
      <c r="G44" s="292"/>
      <c r="H44" s="292"/>
      <c r="K44" s="383"/>
      <c r="L44" s="383"/>
      <c r="M44" s="383"/>
      <c r="N44" s="383"/>
      <c r="O44" s="383"/>
      <c r="P44" s="383"/>
      <c r="Q44" s="84"/>
    </row>
    <row r="45" spans="1:21" ht="21.75" thickBot="1">
      <c r="A45" s="292"/>
      <c r="B45" s="292"/>
      <c r="C45" s="288" t="s">
        <v>112</v>
      </c>
      <c r="D45" s="288" t="s">
        <v>126</v>
      </c>
      <c r="E45" s="288" t="s">
        <v>127</v>
      </c>
      <c r="F45" s="288" t="s">
        <v>113</v>
      </c>
      <c r="G45" s="288" t="s">
        <v>114</v>
      </c>
      <c r="H45" s="289" t="s">
        <v>128</v>
      </c>
      <c r="I45" s="292"/>
      <c r="K45" s="382"/>
      <c r="L45" s="382"/>
      <c r="M45" s="382"/>
      <c r="N45" s="382"/>
      <c r="O45" s="382"/>
      <c r="P45" s="382"/>
      <c r="Q45" s="84"/>
    </row>
    <row r="46" spans="1:21" ht="21">
      <c r="A46" s="292"/>
      <c r="B46" s="292"/>
      <c r="C46" s="363">
        <v>-3.2445168309994665E-3</v>
      </c>
      <c r="D46" s="363">
        <v>-1.0761362748873404E-3</v>
      </c>
      <c r="E46" s="363">
        <v>-3.4179872754884488E-3</v>
      </c>
      <c r="F46" s="363">
        <v>-2.5720358328627513E-2</v>
      </c>
      <c r="G46" s="363">
        <v>-0.26287574291051119</v>
      </c>
      <c r="H46" s="364">
        <v>-3.2441343963196256E-3</v>
      </c>
      <c r="I46" s="292"/>
      <c r="K46" s="382"/>
      <c r="L46" s="382"/>
      <c r="M46" s="382"/>
      <c r="N46" s="382"/>
      <c r="O46" s="382"/>
      <c r="P46" s="382"/>
    </row>
    <row r="47" spans="1:21" ht="21">
      <c r="A47" s="292"/>
      <c r="B47" s="292"/>
      <c r="C47" s="363">
        <v>3.2492969125133414E-2</v>
      </c>
      <c r="D47" s="363">
        <v>-8.65324500372157E-2</v>
      </c>
      <c r="E47" s="363">
        <v>5.1526244290784291E-2</v>
      </c>
      <c r="F47" s="363">
        <v>-0.43934344866388231</v>
      </c>
      <c r="G47" s="363">
        <v>-0.41627425662388229</v>
      </c>
      <c r="H47" s="364">
        <v>0.27529934429078429</v>
      </c>
      <c r="I47" s="292"/>
      <c r="K47" s="382"/>
      <c r="L47" s="382"/>
      <c r="M47" s="382"/>
      <c r="N47" s="382"/>
      <c r="O47" s="382"/>
      <c r="P47" s="382"/>
    </row>
    <row r="48" spans="1:21" ht="21">
      <c r="A48" s="292"/>
      <c r="B48" s="292"/>
      <c r="C48" s="363">
        <v>1.45681608513176E-2</v>
      </c>
      <c r="D48" s="363">
        <v>-2.1111513867647543E-2</v>
      </c>
      <c r="E48" s="363">
        <v>3.2357333960853253E-3</v>
      </c>
      <c r="F48" s="363">
        <v>-0.41802644813429485</v>
      </c>
      <c r="G48" s="363">
        <v>-0.17149574156312622</v>
      </c>
      <c r="H48" s="364">
        <v>0.25817653707968463</v>
      </c>
      <c r="I48" s="292"/>
      <c r="K48" s="382"/>
      <c r="L48" s="382"/>
      <c r="M48" s="382"/>
      <c r="N48" s="382"/>
      <c r="O48" s="382"/>
      <c r="P48" s="382"/>
    </row>
    <row r="49" spans="1:16" ht="21">
      <c r="A49" s="292"/>
      <c r="B49" s="292"/>
      <c r="C49" s="363">
        <v>-1.272492445230269E-2</v>
      </c>
      <c r="D49" s="363">
        <v>-0.19311368459773193</v>
      </c>
      <c r="E49" s="363">
        <v>4.3944352615336905E-2</v>
      </c>
      <c r="F49" s="363">
        <v>-0.5992014650452413</v>
      </c>
      <c r="G49" s="363">
        <v>-0.47126055414190038</v>
      </c>
      <c r="H49" s="364">
        <v>0.40935864013329615</v>
      </c>
      <c r="I49" s="292"/>
      <c r="K49" s="382"/>
      <c r="L49" s="382"/>
      <c r="M49" s="382"/>
      <c r="N49" s="382"/>
      <c r="O49" s="382"/>
      <c r="P49" s="382"/>
    </row>
    <row r="50" spans="1:16" ht="21">
      <c r="A50" s="292"/>
      <c r="B50" s="292"/>
      <c r="C50" s="363">
        <v>5.7893485302571407E-2</v>
      </c>
      <c r="D50" s="363">
        <v>-6.9261756645690273E-2</v>
      </c>
      <c r="E50" s="363">
        <v>7.474963400472559E-2</v>
      </c>
      <c r="F50" s="363">
        <v>-0.42661422498990775</v>
      </c>
      <c r="G50" s="363">
        <v>-0.26558788944909251</v>
      </c>
      <c r="H50" s="364">
        <v>0.37672139820686834</v>
      </c>
      <c r="I50" s="292"/>
      <c r="K50" s="382"/>
      <c r="L50" s="382"/>
      <c r="M50" s="382"/>
      <c r="N50" s="382"/>
      <c r="O50" s="382"/>
      <c r="P50" s="382"/>
    </row>
    <row r="51" spans="1:16" ht="21">
      <c r="A51" s="292"/>
      <c r="B51" s="292"/>
      <c r="C51" s="363">
        <v>7.1999999999999995E-2</v>
      </c>
      <c r="D51" s="363">
        <v>1.202667991596415E-2</v>
      </c>
      <c r="E51" s="363">
        <v>8.5249207175964209E-2</v>
      </c>
      <c r="F51" s="363">
        <v>-0.52128297967070236</v>
      </c>
      <c r="G51" s="363">
        <v>-0.54077311463070243</v>
      </c>
      <c r="H51" s="364">
        <v>0.621322616702631</v>
      </c>
      <c r="I51" s="292"/>
      <c r="K51" s="382"/>
      <c r="L51" s="382"/>
      <c r="M51" s="382"/>
      <c r="N51" s="382"/>
      <c r="O51" s="382"/>
      <c r="P51" s="382"/>
    </row>
    <row r="52" spans="1:16">
      <c r="A52" s="292"/>
      <c r="B52" s="292"/>
      <c r="C52" s="363">
        <v>1.8730269708989476E-2</v>
      </c>
      <c r="D52" s="363">
        <v>-4.6790508294452839E-2</v>
      </c>
      <c r="E52" s="363">
        <v>1.8215216611987023E-2</v>
      </c>
      <c r="F52" s="363">
        <v>-0.25630468560846492</v>
      </c>
      <c r="G52" s="363">
        <v>-6.931471876793301E-3</v>
      </c>
      <c r="H52" s="364">
        <v>0.28021842301080391</v>
      </c>
      <c r="I52" s="292"/>
    </row>
    <row r="53" spans="1:16" ht="13.5" thickBot="1">
      <c r="A53" s="292"/>
      <c r="B53" s="292"/>
      <c r="C53" s="365">
        <v>-5.9825766089863959E-3</v>
      </c>
      <c r="D53" s="365">
        <v>-0.13956067047136589</v>
      </c>
      <c r="E53" s="365">
        <v>2.7964399001126676E-2</v>
      </c>
      <c r="F53" s="365">
        <v>-0.45200242221105646</v>
      </c>
      <c r="G53" s="365">
        <v>-0.48031312669988807</v>
      </c>
      <c r="H53" s="366">
        <v>0.41038049782760322</v>
      </c>
      <c r="I53" s="292"/>
    </row>
    <row r="54" spans="1:16">
      <c r="A54" s="292"/>
      <c r="B54" s="292"/>
      <c r="C54" s="292"/>
      <c r="D54" s="292"/>
      <c r="E54" s="292"/>
      <c r="F54" s="292"/>
      <c r="G54" s="292"/>
      <c r="H54" s="292"/>
      <c r="I54" s="292"/>
    </row>
    <row r="55" spans="1:16">
      <c r="A55" s="292"/>
      <c r="B55" s="292"/>
      <c r="C55" s="292"/>
      <c r="D55" s="292"/>
      <c r="E55" s="292"/>
      <c r="F55" s="292"/>
      <c r="G55" s="292"/>
      <c r="H55" s="292"/>
      <c r="I55" s="292"/>
    </row>
    <row r="56" spans="1:16">
      <c r="A56" s="292"/>
      <c r="B56" s="292"/>
      <c r="C56" s="292"/>
      <c r="D56" s="292"/>
      <c r="E56" s="292"/>
      <c r="F56" s="292"/>
      <c r="G56" s="292"/>
      <c r="H56" s="292"/>
      <c r="I56" s="292"/>
    </row>
    <row r="57" spans="1:16">
      <c r="I57" s="292"/>
    </row>
    <row r="58" spans="1:16">
      <c r="I58" s="292"/>
    </row>
    <row r="59" spans="1:16">
      <c r="B59" s="292"/>
      <c r="C59" s="292"/>
      <c r="D59" s="292"/>
      <c r="E59" s="292"/>
      <c r="F59" s="292"/>
      <c r="G59" s="292"/>
      <c r="H59" s="292"/>
      <c r="I59" s="292"/>
    </row>
    <row r="60" spans="1:16">
      <c r="B60" s="292"/>
      <c r="C60" s="292"/>
      <c r="D60" s="292"/>
      <c r="E60" s="292"/>
      <c r="F60" s="292"/>
      <c r="G60" s="292"/>
      <c r="H60" s="292"/>
      <c r="I60" s="292"/>
    </row>
    <row r="61" spans="1:16">
      <c r="B61" s="292"/>
      <c r="C61" s="292"/>
      <c r="D61" s="292"/>
      <c r="E61" s="292"/>
      <c r="F61" s="292"/>
      <c r="G61" s="292"/>
      <c r="H61" s="292"/>
      <c r="I61" s="292"/>
    </row>
    <row r="62" spans="1:16">
      <c r="B62" s="292"/>
      <c r="C62" s="292"/>
      <c r="D62" s="292"/>
      <c r="E62" s="292"/>
      <c r="F62" s="292"/>
      <c r="G62" s="292"/>
      <c r="H62" s="292"/>
      <c r="I62" s="292"/>
    </row>
    <row r="63" spans="1:16">
      <c r="B63" s="292"/>
      <c r="C63" s="292"/>
      <c r="D63" s="292"/>
      <c r="E63" s="292"/>
      <c r="F63" s="292"/>
      <c r="G63" s="292"/>
      <c r="H63" s="292"/>
      <c r="I63" s="292"/>
    </row>
    <row r="64" spans="1:16">
      <c r="B64" s="292"/>
      <c r="C64" s="292"/>
      <c r="D64" s="292"/>
      <c r="E64" s="292"/>
      <c r="F64" s="292"/>
      <c r="G64" s="292"/>
      <c r="H64" s="292"/>
      <c r="I64" s="292"/>
    </row>
    <row r="65" spans="2:9">
      <c r="B65" s="292"/>
      <c r="C65" s="292"/>
      <c r="D65" s="292"/>
      <c r="E65" s="292"/>
      <c r="F65" s="292"/>
      <c r="G65" s="292"/>
      <c r="H65" s="292"/>
      <c r="I65" s="292"/>
    </row>
    <row r="66" spans="2:9">
      <c r="B66" s="292"/>
      <c r="C66" s="292"/>
      <c r="D66" s="292"/>
      <c r="E66" s="292"/>
      <c r="F66" s="292"/>
      <c r="G66" s="292"/>
      <c r="H66" s="292"/>
      <c r="I66" s="292"/>
    </row>
    <row r="67" spans="2:9">
      <c r="B67" s="292"/>
      <c r="C67" s="292"/>
      <c r="D67" s="292"/>
      <c r="E67" s="292"/>
      <c r="F67" s="292"/>
      <c r="G67" s="292"/>
      <c r="H67" s="292"/>
      <c r="I67" s="292"/>
    </row>
    <row r="68" spans="2:9">
      <c r="B68" s="292"/>
      <c r="C68" s="292"/>
      <c r="D68" s="292"/>
      <c r="E68" s="292"/>
      <c r="F68" s="292"/>
      <c r="G68" s="292"/>
      <c r="H68" s="292"/>
      <c r="I68" s="292"/>
    </row>
    <row r="69" spans="2:9">
      <c r="B69" s="292"/>
      <c r="C69" s="292"/>
      <c r="D69" s="292"/>
      <c r="E69" s="292"/>
      <c r="F69" s="292"/>
      <c r="G69" s="292"/>
      <c r="H69" s="292"/>
      <c r="I69" s="292"/>
    </row>
    <row r="70" spans="2:9">
      <c r="B70" s="292"/>
      <c r="C70" s="292"/>
      <c r="D70" s="292"/>
      <c r="E70" s="292"/>
      <c r="F70" s="292"/>
      <c r="G70" s="292"/>
      <c r="H70" s="292"/>
      <c r="I70" s="292"/>
    </row>
    <row r="71" spans="2:9">
      <c r="B71" s="292"/>
      <c r="C71" s="292"/>
      <c r="D71" s="292"/>
      <c r="E71" s="292"/>
      <c r="F71" s="292"/>
      <c r="G71" s="292"/>
      <c r="H71" s="292"/>
      <c r="I71" s="292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1">A5</f>
        <v>High Yield</v>
      </c>
      <c r="B105" s="99">
        <v>2</v>
      </c>
    </row>
    <row r="106" spans="1:2">
      <c r="A106" s="3" t="str">
        <f t="shared" si="1"/>
        <v>Emerging market debt</v>
      </c>
      <c r="B106" s="99">
        <v>3</v>
      </c>
    </row>
    <row r="107" spans="1:2">
      <c r="A107" s="3" t="str">
        <f t="shared" si="1"/>
        <v>Aandelen ontwikkeld</v>
      </c>
      <c r="B107" s="99">
        <v>4</v>
      </c>
    </row>
    <row r="108" spans="1:2">
      <c r="A108" s="3" t="str">
        <f t="shared" si="1"/>
        <v>Aandelen opkomend</v>
      </c>
      <c r="B108" s="99">
        <v>5</v>
      </c>
    </row>
    <row r="109" spans="1:2">
      <c r="A109" s="3" t="str">
        <f t="shared" si="1"/>
        <v>Commodities</v>
      </c>
      <c r="B109" s="99">
        <v>6</v>
      </c>
    </row>
    <row r="110" spans="1:2">
      <c r="A110" s="3" t="str">
        <f t="shared" si="1"/>
        <v>Hedge funds</v>
      </c>
      <c r="B110" s="99">
        <v>7</v>
      </c>
    </row>
    <row r="111" spans="1:2">
      <c r="A111" s="3" t="str">
        <f t="shared" si="1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2">VLOOKUP(B15,$A$103:$B$111,2,0)</f>
        <v>1</v>
      </c>
    </row>
    <row r="116" spans="1:2">
      <c r="A116" s="3" t="s">
        <v>88</v>
      </c>
      <c r="B116" s="99">
        <f t="shared" si="2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workbookViewId="0">
      <selection activeCell="N4" sqref="N4:U11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93" t="s">
        <v>3</v>
      </c>
      <c r="E3" s="393"/>
      <c r="F3" s="393"/>
      <c r="G3" s="393"/>
      <c r="H3" s="393"/>
      <c r="I3" s="393"/>
      <c r="J3" s="393"/>
      <c r="K3" s="394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4.3571419993869868E-2</v>
      </c>
      <c r="D4" s="111">
        <f>Scenarios!E4</f>
        <v>0.99999999999999989</v>
      </c>
      <c r="E4" s="112">
        <f>Scenarios!F4</f>
        <v>0.53809608757973648</v>
      </c>
      <c r="F4" s="112">
        <f>Scenarios!G4</f>
        <v>0.51691057431478837</v>
      </c>
      <c r="G4" s="112">
        <f>Scenarios!H4</f>
        <v>0.26512268753745427</v>
      </c>
      <c r="H4" s="112">
        <f>Scenarios!I4</f>
        <v>0.30633091260285272</v>
      </c>
      <c r="I4" s="112">
        <f>Scenarios!J4</f>
        <v>0.25776542912961581</v>
      </c>
      <c r="J4" s="112">
        <f>Scenarios!K4</f>
        <v>0.49880026622502738</v>
      </c>
      <c r="K4" s="113">
        <f>Scenarios!L4</f>
        <v>0.40988870730079396</v>
      </c>
      <c r="L4" s="239" t="s">
        <v>120</v>
      </c>
      <c r="N4" s="36">
        <f t="array" ref="N4:U11">+D4:K11*TRANSPOSE(C4:C11)*C4:C11</f>
        <v>1.8984686402822026E-3</v>
      </c>
      <c r="O4" s="36">
        <v>3.7069169443826253E-3</v>
      </c>
      <c r="P4" s="36">
        <v>3.6471448596698615E-3</v>
      </c>
      <c r="Q4" s="36">
        <v>3.3135667206881342E-3</v>
      </c>
      <c r="R4" s="36">
        <v>3.9371401025297022E-3</v>
      </c>
      <c r="S4" s="36">
        <v>3.7006151639920222E-3</v>
      </c>
      <c r="T4" s="36">
        <v>3.496064944121538E-3</v>
      </c>
      <c r="U4" s="36">
        <v>3.5599895305005284E-3</v>
      </c>
    </row>
    <row r="5" spans="1:21">
      <c r="A5" s="41" t="s">
        <v>5</v>
      </c>
      <c r="B5" s="42">
        <f>Scenarios!B25</f>
        <v>3.0000000000000002E-2</v>
      </c>
      <c r="C5" s="42">
        <f>Scenarios!D5</f>
        <v>0.15810707611932825</v>
      </c>
      <c r="D5" s="111">
        <f>Scenarios!E5</f>
        <v>0.53809608757973648</v>
      </c>
      <c r="E5" s="112">
        <f>Scenarios!F5</f>
        <v>1.0000000000000002</v>
      </c>
      <c r="F5" s="112">
        <f>Scenarios!G5</f>
        <v>0.94177115286639357</v>
      </c>
      <c r="G5" s="112">
        <f>Scenarios!H5</f>
        <v>0.73614790661359208</v>
      </c>
      <c r="H5" s="112">
        <f>Scenarios!I5</f>
        <v>0.74216818464687206</v>
      </c>
      <c r="I5" s="112">
        <f>Scenarios!J5</f>
        <v>0.6048417122454024</v>
      </c>
      <c r="J5" s="112">
        <f>Scenarios!K5</f>
        <v>0.86164575178315306</v>
      </c>
      <c r="K5" s="113">
        <f>Scenarios!L5</f>
        <v>0.86125970507824035</v>
      </c>
      <c r="N5" s="36">
        <v>3.7069169443826257E-3</v>
      </c>
      <c r="O5" s="36">
        <v>2.4997847519003063E-2</v>
      </c>
      <c r="P5" s="36">
        <v>2.4111963290141789E-2</v>
      </c>
      <c r="Q5" s="36">
        <v>3.3385931746144598E-2</v>
      </c>
      <c r="R5" s="36">
        <v>3.4613217481428198E-2</v>
      </c>
      <c r="S5" s="36">
        <v>3.15094324964642E-2</v>
      </c>
      <c r="T5" s="36">
        <v>2.1914479482341098E-2</v>
      </c>
      <c r="U5" s="36">
        <v>2.7143540181457169E-2</v>
      </c>
    </row>
    <row r="6" spans="1:21">
      <c r="A6" s="41" t="s">
        <v>6</v>
      </c>
      <c r="B6" s="42">
        <f>Scenarios!B26</f>
        <v>3.1452343984147556E-2</v>
      </c>
      <c r="C6" s="42">
        <f>Scenarios!D6</f>
        <v>0.16193319430872868</v>
      </c>
      <c r="D6" s="111">
        <f>Scenarios!E6</f>
        <v>0.51691057431478837</v>
      </c>
      <c r="E6" s="112">
        <f>Scenarios!F6</f>
        <v>0.94177115286639357</v>
      </c>
      <c r="F6" s="112">
        <f>Scenarios!G6</f>
        <v>1</v>
      </c>
      <c r="G6" s="112">
        <f>Scenarios!H6</f>
        <v>0.7682232653061406</v>
      </c>
      <c r="H6" s="112">
        <f>Scenarios!I6</f>
        <v>0.79170142390806597</v>
      </c>
      <c r="I6" s="112">
        <f>Scenarios!J6</f>
        <v>0.62860572473116894</v>
      </c>
      <c r="J6" s="112">
        <f>Scenarios!K6</f>
        <v>0.86583564760808152</v>
      </c>
      <c r="K6" s="113">
        <f>Scenarios!L6</f>
        <v>0.86330366967843342</v>
      </c>
      <c r="N6" s="36">
        <v>3.6471448596698615E-3</v>
      </c>
      <c r="O6" s="36">
        <v>2.4111963290141793E-2</v>
      </c>
      <c r="P6" s="36">
        <v>2.6222359419028479E-2</v>
      </c>
      <c r="Q6" s="36">
        <v>3.568374693830919E-2</v>
      </c>
      <c r="R6" s="36">
        <v>3.7816875146902962E-2</v>
      </c>
      <c r="S6" s="36">
        <v>3.3539899318107344E-2</v>
      </c>
      <c r="T6" s="36">
        <v>2.2553941333426766E-2</v>
      </c>
      <c r="U6" s="36">
        <v>2.7866377969297876E-2</v>
      </c>
    </row>
    <row r="7" spans="1:21">
      <c r="A7" s="41" t="s">
        <v>7</v>
      </c>
      <c r="B7" s="42">
        <f>Scenarios!B27</f>
        <v>5.6804592721954011E-2</v>
      </c>
      <c r="C7" s="42">
        <f>Scenarios!D7</f>
        <v>0.28684488662827246</v>
      </c>
      <c r="D7" s="111">
        <f>Scenarios!E7</f>
        <v>0.26512268753745388</v>
      </c>
      <c r="E7" s="112">
        <f>Scenarios!F7</f>
        <v>0.7361479066135922</v>
      </c>
      <c r="F7" s="112">
        <f>Scenarios!G7</f>
        <v>0.7682232653061406</v>
      </c>
      <c r="G7" s="112">
        <f>Scenarios!H7</f>
        <v>1.0000000000000002</v>
      </c>
      <c r="H7" s="112">
        <f>Scenarios!I7</f>
        <v>0.810869651798099</v>
      </c>
      <c r="I7" s="112">
        <f>Scenarios!J7</f>
        <v>0.698944093128679</v>
      </c>
      <c r="J7" s="112">
        <f>Scenarios!K7</f>
        <v>0.74165364419402413</v>
      </c>
      <c r="K7" s="113">
        <f>Scenarios!L7</f>
        <v>0.88368691913192909</v>
      </c>
      <c r="N7" s="36">
        <v>3.3135667206881294E-3</v>
      </c>
      <c r="O7" s="36">
        <v>3.3385931746144605E-2</v>
      </c>
      <c r="P7" s="36">
        <v>3.568374693830919E-2</v>
      </c>
      <c r="Q7" s="36">
        <v>8.2279988984786501E-2</v>
      </c>
      <c r="R7" s="36">
        <v>6.8609853142696492E-2</v>
      </c>
      <c r="S7" s="36">
        <v>6.6059775167898377E-2</v>
      </c>
      <c r="T7" s="36">
        <v>3.4221524191297668E-2</v>
      </c>
      <c r="U7" s="36">
        <v>5.0527358245832002E-2</v>
      </c>
    </row>
    <row r="8" spans="1:21">
      <c r="A8" s="41" t="s">
        <v>8</v>
      </c>
      <c r="B8" s="42">
        <f>Scenarios!B28</f>
        <v>5.6320387554596889E-2</v>
      </c>
      <c r="C8" s="42">
        <f>Scenarios!D8</f>
        <v>0.29497711980114533</v>
      </c>
      <c r="D8" s="111">
        <f>Scenarios!E8</f>
        <v>0.30633091260285283</v>
      </c>
      <c r="E8" s="112">
        <f>Scenarios!F8</f>
        <v>0.74216818464687206</v>
      </c>
      <c r="F8" s="112">
        <f>Scenarios!G8</f>
        <v>0.79170142390806608</v>
      </c>
      <c r="G8" s="112">
        <f>Scenarios!H8</f>
        <v>0.81086965179809911</v>
      </c>
      <c r="H8" s="112">
        <f>Scenarios!I8</f>
        <v>0.99999999999999978</v>
      </c>
      <c r="I8" s="112">
        <f>Scenarios!J8</f>
        <v>0.64038553303047341</v>
      </c>
      <c r="J8" s="112">
        <f>Scenarios!K8</f>
        <v>0.64285674252709391</v>
      </c>
      <c r="K8" s="113">
        <f>Scenarios!L8</f>
        <v>0.78565246061343619</v>
      </c>
      <c r="N8" s="36">
        <v>3.937140102529703E-3</v>
      </c>
      <c r="O8" s="36">
        <v>3.4613217481428198E-2</v>
      </c>
      <c r="P8" s="36">
        <v>3.7816875146902969E-2</v>
      </c>
      <c r="Q8" s="36">
        <v>6.8609853142696492E-2</v>
      </c>
      <c r="R8" s="36">
        <v>8.7011501206179231E-2</v>
      </c>
      <c r="S8" s="36">
        <v>6.2241117688122821E-2</v>
      </c>
      <c r="T8" s="36">
        <v>3.050377826221214E-2</v>
      </c>
      <c r="U8" s="36">
        <v>4.6195519920572352E-2</v>
      </c>
    </row>
    <row r="9" spans="1:21">
      <c r="A9" s="41" t="s">
        <v>9</v>
      </c>
      <c r="B9" s="42">
        <f>Scenarios!B29</f>
        <v>5.236888388126059E-2</v>
      </c>
      <c r="C9" s="42">
        <f>Scenarios!D9</f>
        <v>0.32949402218690865</v>
      </c>
      <c r="D9" s="111">
        <f>Scenarios!E9</f>
        <v>0.25776542912961575</v>
      </c>
      <c r="E9" s="112">
        <f>Scenarios!F9</f>
        <v>0.60484171224540262</v>
      </c>
      <c r="F9" s="112">
        <f>Scenarios!G9</f>
        <v>0.62860572473116916</v>
      </c>
      <c r="G9" s="112">
        <f>Scenarios!H9</f>
        <v>0.698944093128679</v>
      </c>
      <c r="H9" s="112">
        <f>Scenarios!I9</f>
        <v>0.64038553303047341</v>
      </c>
      <c r="I9" s="112">
        <f>Scenarios!J9</f>
        <v>1.0000000000000002</v>
      </c>
      <c r="J9" s="112">
        <f>Scenarios!K9</f>
        <v>0.56967702853737867</v>
      </c>
      <c r="K9" s="113">
        <f>Scenarios!L9</f>
        <v>0.67129908624723933</v>
      </c>
      <c r="N9" s="36">
        <v>3.7006151639920213E-3</v>
      </c>
      <c r="O9" s="36">
        <v>3.1509432496464214E-2</v>
      </c>
      <c r="P9" s="36">
        <v>3.3539899318107358E-2</v>
      </c>
      <c r="Q9" s="36">
        <v>6.6059775167898377E-2</v>
      </c>
      <c r="R9" s="36">
        <v>6.2241117688122821E-2</v>
      </c>
      <c r="S9" s="36">
        <v>0.10856631065690707</v>
      </c>
      <c r="T9" s="36">
        <v>3.0194465664115801E-2</v>
      </c>
      <c r="U9" s="36">
        <v>4.4090461984767626E-2</v>
      </c>
    </row>
    <row r="10" spans="1:21">
      <c r="A10" s="41" t="s">
        <v>10</v>
      </c>
      <c r="B10" s="42">
        <f>Scenarios!B30</f>
        <v>2.8306574622560098E-2</v>
      </c>
      <c r="C10" s="42">
        <f>Scenarios!D10</f>
        <v>0.1608611248297202</v>
      </c>
      <c r="D10" s="111">
        <f>Scenarios!E10</f>
        <v>0.49880026622502749</v>
      </c>
      <c r="E10" s="112">
        <f>Scenarios!F10</f>
        <v>0.86164575178315295</v>
      </c>
      <c r="F10" s="112">
        <f>Scenarios!G10</f>
        <v>0.86583564760808163</v>
      </c>
      <c r="G10" s="112">
        <f>Scenarios!H10</f>
        <v>0.74165364419402413</v>
      </c>
      <c r="H10" s="112">
        <f>Scenarios!I10</f>
        <v>0.64285674252709391</v>
      </c>
      <c r="I10" s="112">
        <f>Scenarios!J10</f>
        <v>0.56967702853737878</v>
      </c>
      <c r="J10" s="112">
        <f>Scenarios!K10</f>
        <v>0.99999999999999978</v>
      </c>
      <c r="K10" s="113">
        <f>Scenarios!L10</f>
        <v>0.79252565178528167</v>
      </c>
      <c r="N10" s="36">
        <v>3.4960649441215389E-3</v>
      </c>
      <c r="O10" s="36">
        <v>2.1914479482341098E-2</v>
      </c>
      <c r="P10" s="36">
        <v>2.255394133342677E-2</v>
      </c>
      <c r="Q10" s="36">
        <v>3.4221524191297668E-2</v>
      </c>
      <c r="R10" s="36">
        <v>3.050377826221214E-2</v>
      </c>
      <c r="S10" s="36">
        <v>3.0194465664115811E-2</v>
      </c>
      <c r="T10" s="36">
        <v>2.587630148148282E-2</v>
      </c>
      <c r="U10" s="36">
        <v>2.5412388301249617E-2</v>
      </c>
    </row>
    <row r="11" spans="1:21" ht="13.5" thickBot="1">
      <c r="A11" s="43" t="s">
        <v>11</v>
      </c>
      <c r="B11" s="44">
        <f>Scenarios!B31</f>
        <v>3.9543569652327068E-2</v>
      </c>
      <c r="C11" s="44">
        <f>Scenarios!D11</f>
        <v>0.19933384935580506</v>
      </c>
      <c r="D11" s="114">
        <f>Scenarios!E11</f>
        <v>0.40988870730079396</v>
      </c>
      <c r="E11" s="115">
        <f>Scenarios!F11</f>
        <v>0.86125970507824035</v>
      </c>
      <c r="F11" s="115">
        <f>Scenarios!G11</f>
        <v>0.86330366967843342</v>
      </c>
      <c r="G11" s="115">
        <f>Scenarios!H11</f>
        <v>0.88368691913192909</v>
      </c>
      <c r="H11" s="115">
        <f>Scenarios!I11</f>
        <v>0.78565246061343608</v>
      </c>
      <c r="I11" s="115">
        <f>Scenarios!J11</f>
        <v>0.67129908624723922</v>
      </c>
      <c r="J11" s="115">
        <f>Scenarios!K11</f>
        <v>0.79252565178528178</v>
      </c>
      <c r="K11" s="116">
        <f>Scenarios!L11</f>
        <v>1</v>
      </c>
      <c r="N11" s="36">
        <v>3.5599895305005284E-3</v>
      </c>
      <c r="O11" s="36">
        <v>2.7143540181457169E-2</v>
      </c>
      <c r="P11" s="36">
        <v>2.7866377969297876E-2</v>
      </c>
      <c r="Q11" s="36">
        <v>5.0527358245832002E-2</v>
      </c>
      <c r="R11" s="36">
        <v>4.6195519920572352E-2</v>
      </c>
      <c r="S11" s="36">
        <v>4.4090461984767626E-2</v>
      </c>
      <c r="T11" s="36">
        <v>2.541238830124962E-2</v>
      </c>
      <c r="U11" s="36">
        <v>3.9733983499002784E-2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92" t="s">
        <v>3</v>
      </c>
      <c r="E14" s="393"/>
      <c r="F14" s="393"/>
      <c r="G14" s="393"/>
      <c r="H14" s="393"/>
      <c r="I14" s="393"/>
      <c r="J14" s="393"/>
      <c r="K14" s="394"/>
    </row>
    <row r="15" spans="1:21">
      <c r="A15" s="41" t="s">
        <v>4</v>
      </c>
      <c r="B15" s="46">
        <f>Scenarios!C24</f>
        <v>-3.2445168309994665E-3</v>
      </c>
      <c r="C15" s="42">
        <f>C4</f>
        <v>4.3571419993869868E-2</v>
      </c>
      <c r="D15" s="111">
        <f t="shared" ref="D15:K15" si="0">D4</f>
        <v>0.99999999999999989</v>
      </c>
      <c r="E15" s="112">
        <f t="shared" si="0"/>
        <v>0.53809608757973648</v>
      </c>
      <c r="F15" s="112">
        <f t="shared" si="0"/>
        <v>0.51691057431478837</v>
      </c>
      <c r="G15" s="112">
        <f t="shared" si="0"/>
        <v>0.26512268753745427</v>
      </c>
      <c r="H15" s="112">
        <f t="shared" si="0"/>
        <v>0.30633091260285272</v>
      </c>
      <c r="I15" s="112">
        <f t="shared" si="0"/>
        <v>0.25776542912961581</v>
      </c>
      <c r="J15" s="112">
        <f t="shared" si="0"/>
        <v>0.49880026622502738</v>
      </c>
      <c r="K15" s="113">
        <f t="shared" si="0"/>
        <v>0.40988870730079396</v>
      </c>
      <c r="L15" s="239" t="s">
        <v>120</v>
      </c>
    </row>
    <row r="16" spans="1:21">
      <c r="A16" s="41" t="s">
        <v>5</v>
      </c>
      <c r="B16" s="46">
        <f>Scenarios!C25</f>
        <v>2.0858431515344899E-2</v>
      </c>
      <c r="C16" s="42">
        <f t="shared" ref="C16:K16" si="1">C5</f>
        <v>0.15810707611932825</v>
      </c>
      <c r="D16" s="111">
        <f t="shared" si="1"/>
        <v>0.53809608757973648</v>
      </c>
      <c r="E16" s="112">
        <f t="shared" si="1"/>
        <v>1.0000000000000002</v>
      </c>
      <c r="F16" s="112">
        <f t="shared" si="1"/>
        <v>0.94177115286639357</v>
      </c>
      <c r="G16" s="112">
        <f t="shared" si="1"/>
        <v>0.73614790661359208</v>
      </c>
      <c r="H16" s="112">
        <f t="shared" si="1"/>
        <v>0.74216818464687206</v>
      </c>
      <c r="I16" s="112">
        <f t="shared" si="1"/>
        <v>0.6048417122454024</v>
      </c>
      <c r="J16" s="112">
        <f t="shared" si="1"/>
        <v>0.86164575178315306</v>
      </c>
      <c r="K16" s="113">
        <f t="shared" si="1"/>
        <v>0.86125970507824035</v>
      </c>
    </row>
    <row r="17" spans="1:12">
      <c r="A17" s="41" t="s">
        <v>6</v>
      </c>
      <c r="B17" s="46">
        <f>Scenarios!C26</f>
        <v>3.3632152529915554E-2</v>
      </c>
      <c r="C17" s="42">
        <f t="shared" ref="C17:K17" si="2">C6</f>
        <v>0.16193319430872868</v>
      </c>
      <c r="D17" s="111">
        <f t="shared" si="2"/>
        <v>0.51691057431478837</v>
      </c>
      <c r="E17" s="112">
        <f t="shared" si="2"/>
        <v>0.94177115286639357</v>
      </c>
      <c r="F17" s="112">
        <f t="shared" si="2"/>
        <v>1</v>
      </c>
      <c r="G17" s="112">
        <f t="shared" si="2"/>
        <v>0.7682232653061406</v>
      </c>
      <c r="H17" s="112">
        <f t="shared" si="2"/>
        <v>0.79170142390806597</v>
      </c>
      <c r="I17" s="112">
        <f t="shared" si="2"/>
        <v>0.62860572473116894</v>
      </c>
      <c r="J17" s="112">
        <f t="shared" si="2"/>
        <v>0.86583564760808152</v>
      </c>
      <c r="K17" s="113">
        <f t="shared" si="2"/>
        <v>0.86330366967843342</v>
      </c>
    </row>
    <row r="18" spans="1:12">
      <c r="A18" s="41" t="s">
        <v>7</v>
      </c>
      <c r="B18" s="46">
        <f>Scenarios!C27</f>
        <v>-1.8275706628265609E-2</v>
      </c>
      <c r="C18" s="42">
        <f t="shared" ref="C18:K18" si="3">C7</f>
        <v>0.28684488662827246</v>
      </c>
      <c r="D18" s="111">
        <f t="shared" si="3"/>
        <v>0.26512268753745388</v>
      </c>
      <c r="E18" s="112">
        <f t="shared" si="3"/>
        <v>0.7361479066135922</v>
      </c>
      <c r="F18" s="112">
        <f t="shared" si="3"/>
        <v>0.7682232653061406</v>
      </c>
      <c r="G18" s="112">
        <f t="shared" si="3"/>
        <v>1.0000000000000002</v>
      </c>
      <c r="H18" s="112">
        <f t="shared" si="3"/>
        <v>0.810869651798099</v>
      </c>
      <c r="I18" s="112">
        <f t="shared" si="3"/>
        <v>0.698944093128679</v>
      </c>
      <c r="J18" s="112">
        <f t="shared" si="3"/>
        <v>0.74165364419402413</v>
      </c>
      <c r="K18" s="113">
        <f t="shared" si="3"/>
        <v>0.88368691913192909</v>
      </c>
    </row>
    <row r="19" spans="1:12">
      <c r="A19" s="41" t="s">
        <v>8</v>
      </c>
      <c r="B19" s="46">
        <f>Scenarios!C28</f>
        <v>6.1274623073284545E-2</v>
      </c>
      <c r="C19" s="42">
        <f t="shared" ref="C19:K19" si="4">C8</f>
        <v>0.29497711980114533</v>
      </c>
      <c r="D19" s="111">
        <f t="shared" si="4"/>
        <v>0.30633091260285283</v>
      </c>
      <c r="E19" s="112">
        <f t="shared" si="4"/>
        <v>0.74216818464687206</v>
      </c>
      <c r="F19" s="112">
        <f t="shared" si="4"/>
        <v>0.79170142390806608</v>
      </c>
      <c r="G19" s="112">
        <f t="shared" si="4"/>
        <v>0.81086965179809911</v>
      </c>
      <c r="H19" s="112">
        <f t="shared" si="4"/>
        <v>0.99999999999999978</v>
      </c>
      <c r="I19" s="112">
        <f t="shared" si="4"/>
        <v>0.64038553303047341</v>
      </c>
      <c r="J19" s="112">
        <f t="shared" si="4"/>
        <v>0.64285674252709391</v>
      </c>
      <c r="K19" s="113">
        <f t="shared" si="4"/>
        <v>0.78565246061343619</v>
      </c>
    </row>
    <row r="20" spans="1:12">
      <c r="A20" s="41" t="s">
        <v>9</v>
      </c>
      <c r="B20" s="46">
        <f>Scenarios!C29</f>
        <v>7.9522702632630907E-2</v>
      </c>
      <c r="C20" s="42">
        <f t="shared" ref="C20:K20" si="5">C9</f>
        <v>0.32949402218690865</v>
      </c>
      <c r="D20" s="111">
        <f t="shared" si="5"/>
        <v>0.25776542912961575</v>
      </c>
      <c r="E20" s="112">
        <f t="shared" si="5"/>
        <v>0.60484171224540262</v>
      </c>
      <c r="F20" s="112">
        <f t="shared" si="5"/>
        <v>0.62860572473116916</v>
      </c>
      <c r="G20" s="112">
        <f t="shared" si="5"/>
        <v>0.698944093128679</v>
      </c>
      <c r="H20" s="112">
        <f t="shared" si="5"/>
        <v>0.64038553303047341</v>
      </c>
      <c r="I20" s="112">
        <f t="shared" si="5"/>
        <v>1.0000000000000002</v>
      </c>
      <c r="J20" s="112">
        <f t="shared" si="5"/>
        <v>0.56967702853737867</v>
      </c>
      <c r="K20" s="113">
        <f t="shared" si="5"/>
        <v>0.67129908624723933</v>
      </c>
    </row>
    <row r="21" spans="1:12">
      <c r="A21" s="41" t="s">
        <v>10</v>
      </c>
      <c r="B21" s="46">
        <f>Scenarios!C30</f>
        <v>1.7870017799650671E-2</v>
      </c>
      <c r="C21" s="42">
        <f t="shared" ref="C21:K21" si="6">C10</f>
        <v>0.1608611248297202</v>
      </c>
      <c r="D21" s="111">
        <f t="shared" si="6"/>
        <v>0.49880026622502749</v>
      </c>
      <c r="E21" s="112">
        <f t="shared" si="6"/>
        <v>0.86164575178315295</v>
      </c>
      <c r="F21" s="112">
        <f t="shared" si="6"/>
        <v>0.86583564760808163</v>
      </c>
      <c r="G21" s="112">
        <f t="shared" si="6"/>
        <v>0.74165364419402413</v>
      </c>
      <c r="H21" s="112">
        <f t="shared" si="6"/>
        <v>0.64285674252709391</v>
      </c>
      <c r="I21" s="112">
        <f t="shared" si="6"/>
        <v>0.56967702853737878</v>
      </c>
      <c r="J21" s="112">
        <f t="shared" si="6"/>
        <v>0.99999999999999978</v>
      </c>
      <c r="K21" s="113">
        <f t="shared" si="6"/>
        <v>0.79252565178528167</v>
      </c>
    </row>
    <row r="22" spans="1:12" ht="13.5" thickBot="1">
      <c r="A22" s="43" t="s">
        <v>11</v>
      </c>
      <c r="B22" s="47">
        <f>Scenarios!C31</f>
        <v>-3.3454365202922019E-3</v>
      </c>
      <c r="C22" s="44">
        <f t="shared" ref="C22:K22" si="7">C11</f>
        <v>0.19933384935580506</v>
      </c>
      <c r="D22" s="114">
        <f t="shared" si="7"/>
        <v>0.40988870730079396</v>
      </c>
      <c r="E22" s="115">
        <f t="shared" si="7"/>
        <v>0.86125970507824035</v>
      </c>
      <c r="F22" s="115">
        <f t="shared" si="7"/>
        <v>0.86330366967843342</v>
      </c>
      <c r="G22" s="115">
        <f t="shared" si="7"/>
        <v>0.88368691913192909</v>
      </c>
      <c r="H22" s="115">
        <f t="shared" si="7"/>
        <v>0.78565246061343608</v>
      </c>
      <c r="I22" s="115">
        <f t="shared" si="7"/>
        <v>0.67129908624723922</v>
      </c>
      <c r="J22" s="115">
        <f t="shared" si="7"/>
        <v>0.79252565178528178</v>
      </c>
      <c r="K22" s="116">
        <f t="shared" si="7"/>
        <v>1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92" t="s">
        <v>3</v>
      </c>
      <c r="E25" s="393"/>
      <c r="F25" s="393"/>
      <c r="G25" s="393"/>
      <c r="H25" s="393"/>
      <c r="I25" s="393"/>
      <c r="J25" s="393"/>
      <c r="K25" s="394"/>
    </row>
    <row r="26" spans="1:12">
      <c r="A26" s="41" t="s">
        <v>4</v>
      </c>
      <c r="B26" s="46">
        <f>Scenarios!D24</f>
        <v>-1.0761362748873404E-3</v>
      </c>
      <c r="C26" s="243">
        <f>C4</f>
        <v>4.3571419993869868E-2</v>
      </c>
      <c r="D26" s="249">
        <f t="shared" ref="D26:K26" si="8">D4</f>
        <v>0.99999999999999989</v>
      </c>
      <c r="E26" s="250">
        <f t="shared" si="8"/>
        <v>0.53809608757973648</v>
      </c>
      <c r="F26" s="250">
        <f t="shared" si="8"/>
        <v>0.51691057431478837</v>
      </c>
      <c r="G26" s="250">
        <f t="shared" si="8"/>
        <v>0.26512268753745427</v>
      </c>
      <c r="H26" s="250">
        <f t="shared" si="8"/>
        <v>0.30633091260285272</v>
      </c>
      <c r="I26" s="250">
        <f t="shared" si="8"/>
        <v>0.25776542912961581</v>
      </c>
      <c r="J26" s="250">
        <f t="shared" si="8"/>
        <v>0.49880026622502738</v>
      </c>
      <c r="K26" s="251">
        <f t="shared" si="8"/>
        <v>0.40988870730079396</v>
      </c>
      <c r="L26" s="239" t="s">
        <v>120</v>
      </c>
    </row>
    <row r="27" spans="1:12">
      <c r="A27" s="41" t="s">
        <v>5</v>
      </c>
      <c r="B27" s="46">
        <f>Scenarios!D25</f>
        <v>-0.10270478546112452</v>
      </c>
      <c r="C27" s="243">
        <f t="shared" ref="C27:K27" si="9">C5</f>
        <v>0.15810707611932825</v>
      </c>
      <c r="D27" s="249">
        <f t="shared" si="9"/>
        <v>0.53809608757973648</v>
      </c>
      <c r="E27" s="250">
        <f t="shared" si="9"/>
        <v>1.0000000000000002</v>
      </c>
      <c r="F27" s="250">
        <f t="shared" si="9"/>
        <v>0.94177115286639357</v>
      </c>
      <c r="G27" s="250">
        <f t="shared" si="9"/>
        <v>0.73614790661359208</v>
      </c>
      <c r="H27" s="250">
        <f t="shared" si="9"/>
        <v>0.74216818464687206</v>
      </c>
      <c r="I27" s="250">
        <f t="shared" si="9"/>
        <v>0.6048417122454024</v>
      </c>
      <c r="J27" s="250">
        <f t="shared" si="9"/>
        <v>0.86164575178315306</v>
      </c>
      <c r="K27" s="251">
        <f t="shared" si="9"/>
        <v>0.86125970507824035</v>
      </c>
    </row>
    <row r="28" spans="1:12">
      <c r="A28" s="41" t="s">
        <v>6</v>
      </c>
      <c r="B28" s="46">
        <f>Scenarios!D26</f>
        <v>-5.1463733534465664E-2</v>
      </c>
      <c r="C28" s="243">
        <f t="shared" ref="C28:K28" si="10">C6</f>
        <v>0.16193319430872868</v>
      </c>
      <c r="D28" s="249">
        <f t="shared" si="10"/>
        <v>0.51691057431478837</v>
      </c>
      <c r="E28" s="250">
        <f t="shared" si="10"/>
        <v>0.94177115286639357</v>
      </c>
      <c r="F28" s="250">
        <f t="shared" si="10"/>
        <v>1</v>
      </c>
      <c r="G28" s="250">
        <f t="shared" si="10"/>
        <v>0.7682232653061406</v>
      </c>
      <c r="H28" s="250">
        <f t="shared" si="10"/>
        <v>0.79170142390806597</v>
      </c>
      <c r="I28" s="250">
        <f t="shared" si="10"/>
        <v>0.62860572473116894</v>
      </c>
      <c r="J28" s="250">
        <f t="shared" si="10"/>
        <v>0.86583564760808152</v>
      </c>
      <c r="K28" s="251">
        <f t="shared" si="10"/>
        <v>0.86330366967843342</v>
      </c>
    </row>
    <row r="29" spans="1:12">
      <c r="A29" s="41" t="s">
        <v>7</v>
      </c>
      <c r="B29" s="46">
        <f>Scenarios!D27</f>
        <v>-0.20763301199738962</v>
      </c>
      <c r="C29" s="243">
        <f t="shared" ref="C29:K29" si="11">C7</f>
        <v>0.28684488662827246</v>
      </c>
      <c r="D29" s="249">
        <f t="shared" si="11"/>
        <v>0.26512268753745388</v>
      </c>
      <c r="E29" s="250">
        <f t="shared" si="11"/>
        <v>0.7361479066135922</v>
      </c>
      <c r="F29" s="250">
        <f t="shared" si="11"/>
        <v>0.7682232653061406</v>
      </c>
      <c r="G29" s="250">
        <f t="shared" si="11"/>
        <v>1.0000000000000002</v>
      </c>
      <c r="H29" s="250">
        <f t="shared" si="11"/>
        <v>0.810869651798099</v>
      </c>
      <c r="I29" s="250">
        <f t="shared" si="11"/>
        <v>0.698944093128679</v>
      </c>
      <c r="J29" s="250">
        <f t="shared" si="11"/>
        <v>0.74165364419402413</v>
      </c>
      <c r="K29" s="251">
        <f t="shared" si="11"/>
        <v>0.88368691913192909</v>
      </c>
    </row>
    <row r="30" spans="1:12">
      <c r="A30" s="41" t="s">
        <v>8</v>
      </c>
      <c r="B30" s="46">
        <f>Scenarios!D28</f>
        <v>-6.0480183929069335E-2</v>
      </c>
      <c r="C30" s="243">
        <f t="shared" ref="C30:K30" si="12">C8</f>
        <v>0.29497711980114533</v>
      </c>
      <c r="D30" s="249">
        <f t="shared" si="12"/>
        <v>0.30633091260285283</v>
      </c>
      <c r="E30" s="250">
        <f t="shared" si="12"/>
        <v>0.74216818464687206</v>
      </c>
      <c r="F30" s="250">
        <f t="shared" si="12"/>
        <v>0.79170142390806608</v>
      </c>
      <c r="G30" s="250">
        <f t="shared" si="12"/>
        <v>0.81086965179809911</v>
      </c>
      <c r="H30" s="250">
        <f t="shared" si="12"/>
        <v>0.99999999999999978</v>
      </c>
      <c r="I30" s="250">
        <f t="shared" si="12"/>
        <v>0.64038553303047341</v>
      </c>
      <c r="J30" s="250">
        <f t="shared" si="12"/>
        <v>0.64285674252709391</v>
      </c>
      <c r="K30" s="251">
        <f t="shared" si="12"/>
        <v>0.78565246061343619</v>
      </c>
    </row>
    <row r="31" spans="1:12">
      <c r="A31" s="41" t="s">
        <v>9</v>
      </c>
      <c r="B31" s="46">
        <f>Scenarios!D29</f>
        <v>1.2962263249297473E-2</v>
      </c>
      <c r="C31" s="243">
        <f t="shared" ref="C31:K31" si="13">C9</f>
        <v>0.32949402218690865</v>
      </c>
      <c r="D31" s="249">
        <f t="shared" si="13"/>
        <v>0.25776542912961575</v>
      </c>
      <c r="E31" s="250">
        <f t="shared" si="13"/>
        <v>0.60484171224540262</v>
      </c>
      <c r="F31" s="250">
        <f t="shared" si="13"/>
        <v>0.62860572473116916</v>
      </c>
      <c r="G31" s="250">
        <f t="shared" si="13"/>
        <v>0.698944093128679</v>
      </c>
      <c r="H31" s="250">
        <f t="shared" si="13"/>
        <v>0.64038553303047341</v>
      </c>
      <c r="I31" s="250">
        <f t="shared" si="13"/>
        <v>1.0000000000000002</v>
      </c>
      <c r="J31" s="250">
        <f t="shared" si="13"/>
        <v>0.56967702853737867</v>
      </c>
      <c r="K31" s="251">
        <f t="shared" si="13"/>
        <v>0.67129908624723933</v>
      </c>
    </row>
    <row r="32" spans="1:12">
      <c r="A32" s="41" t="s">
        <v>10</v>
      </c>
      <c r="B32" s="46">
        <f>Scenarios!D30</f>
        <v>-4.6787554334441012E-2</v>
      </c>
      <c r="C32" s="243">
        <f t="shared" ref="C32:K32" si="14">C10</f>
        <v>0.1608611248297202</v>
      </c>
      <c r="D32" s="249">
        <f t="shared" si="14"/>
        <v>0.49880026622502749</v>
      </c>
      <c r="E32" s="250">
        <f t="shared" si="14"/>
        <v>0.86164575178315295</v>
      </c>
      <c r="F32" s="250">
        <f t="shared" si="14"/>
        <v>0.86583564760808163</v>
      </c>
      <c r="G32" s="250">
        <f t="shared" si="14"/>
        <v>0.74165364419402413</v>
      </c>
      <c r="H32" s="250">
        <f t="shared" si="14"/>
        <v>0.64285674252709391</v>
      </c>
      <c r="I32" s="250">
        <f t="shared" si="14"/>
        <v>0.56967702853737878</v>
      </c>
      <c r="J32" s="250">
        <f t="shared" si="14"/>
        <v>0.99999999999999978</v>
      </c>
      <c r="K32" s="251">
        <f t="shared" si="14"/>
        <v>0.79252565178528167</v>
      </c>
    </row>
    <row r="33" spans="1:12" ht="13.5" thickBot="1">
      <c r="A33" s="43" t="s">
        <v>11</v>
      </c>
      <c r="B33" s="47">
        <f>Scenarios!D31</f>
        <v>-8.4519819517757569E-2</v>
      </c>
      <c r="C33" s="246">
        <f t="shared" ref="C33:K33" si="15">C11</f>
        <v>0.19933384935580506</v>
      </c>
      <c r="D33" s="252">
        <f t="shared" si="15"/>
        <v>0.40988870730079396</v>
      </c>
      <c r="E33" s="253">
        <f t="shared" si="15"/>
        <v>0.86125970507824035</v>
      </c>
      <c r="F33" s="253">
        <f t="shared" si="15"/>
        <v>0.86330366967843342</v>
      </c>
      <c r="G33" s="253">
        <f t="shared" si="15"/>
        <v>0.88368691913192909</v>
      </c>
      <c r="H33" s="253">
        <f t="shared" si="15"/>
        <v>0.78565246061343608</v>
      </c>
      <c r="I33" s="253">
        <f t="shared" si="15"/>
        <v>0.67129908624723922</v>
      </c>
      <c r="J33" s="253">
        <f t="shared" si="15"/>
        <v>0.79252565178528178</v>
      </c>
      <c r="K33" s="254">
        <f t="shared" si="15"/>
        <v>1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92" t="s">
        <v>3</v>
      </c>
      <c r="E36" s="393"/>
      <c r="F36" s="393"/>
      <c r="G36" s="393"/>
      <c r="H36" s="393"/>
      <c r="I36" s="393"/>
      <c r="J36" s="393"/>
      <c r="K36" s="394"/>
    </row>
    <row r="37" spans="1:12">
      <c r="A37" s="41" t="s">
        <v>4</v>
      </c>
      <c r="B37" s="46">
        <f>Scenarios!E24</f>
        <v>-3.4179872754884488E-3</v>
      </c>
      <c r="C37" s="243">
        <f t="shared" ref="C37:K37" si="16">C15</f>
        <v>4.3571419993869868E-2</v>
      </c>
      <c r="D37" s="249">
        <f t="shared" si="16"/>
        <v>0.99999999999999989</v>
      </c>
      <c r="E37" s="250">
        <f t="shared" si="16"/>
        <v>0.53809608757973648</v>
      </c>
      <c r="F37" s="250">
        <f t="shared" si="16"/>
        <v>0.51691057431478837</v>
      </c>
      <c r="G37" s="250">
        <f t="shared" si="16"/>
        <v>0.26512268753745427</v>
      </c>
      <c r="H37" s="250">
        <f t="shared" si="16"/>
        <v>0.30633091260285272</v>
      </c>
      <c r="I37" s="250">
        <f t="shared" si="16"/>
        <v>0.25776542912961581</v>
      </c>
      <c r="J37" s="250">
        <f t="shared" si="16"/>
        <v>0.49880026622502738</v>
      </c>
      <c r="K37" s="251">
        <f t="shared" si="16"/>
        <v>0.40988870730079396</v>
      </c>
      <c r="L37" s="239" t="s">
        <v>120</v>
      </c>
    </row>
    <row r="38" spans="1:12">
      <c r="A38" s="41" t="s">
        <v>5</v>
      </c>
      <c r="B38" s="46">
        <f>Scenarios!E25</f>
        <v>4.4464965951199177E-2</v>
      </c>
      <c r="C38" s="243">
        <f t="shared" ref="C38:K38" si="17">C16</f>
        <v>0.15810707611932825</v>
      </c>
      <c r="D38" s="249">
        <f t="shared" si="17"/>
        <v>0.53809608757973648</v>
      </c>
      <c r="E38" s="250">
        <f t="shared" si="17"/>
        <v>1.0000000000000002</v>
      </c>
      <c r="F38" s="250">
        <f t="shared" si="17"/>
        <v>0.94177115286639357</v>
      </c>
      <c r="G38" s="250">
        <f t="shared" si="17"/>
        <v>0.73614790661359208</v>
      </c>
      <c r="H38" s="250">
        <f t="shared" si="17"/>
        <v>0.74216818464687206</v>
      </c>
      <c r="I38" s="250">
        <f t="shared" si="17"/>
        <v>0.6048417122454024</v>
      </c>
      <c r="J38" s="250">
        <f t="shared" si="17"/>
        <v>0.86164575178315306</v>
      </c>
      <c r="K38" s="251">
        <f t="shared" si="17"/>
        <v>0.86125970507824035</v>
      </c>
    </row>
    <row r="39" spans="1:12">
      <c r="A39" s="41" t="s">
        <v>6</v>
      </c>
      <c r="B39" s="46">
        <f>Scenarios!E26</f>
        <v>3.7955967038468326E-2</v>
      </c>
      <c r="C39" s="243">
        <f t="shared" ref="C39:K39" si="18">C17</f>
        <v>0.16193319430872868</v>
      </c>
      <c r="D39" s="249">
        <f t="shared" si="18"/>
        <v>0.51691057431478837</v>
      </c>
      <c r="E39" s="250">
        <f t="shared" si="18"/>
        <v>0.94177115286639357</v>
      </c>
      <c r="F39" s="250">
        <f t="shared" si="18"/>
        <v>1</v>
      </c>
      <c r="G39" s="250">
        <f t="shared" si="18"/>
        <v>0.7682232653061406</v>
      </c>
      <c r="H39" s="250">
        <f t="shared" si="18"/>
        <v>0.79170142390806597</v>
      </c>
      <c r="I39" s="250">
        <f t="shared" si="18"/>
        <v>0.62860572473116894</v>
      </c>
      <c r="J39" s="250">
        <f t="shared" si="18"/>
        <v>0.86583564760808152</v>
      </c>
      <c r="K39" s="251">
        <f t="shared" si="18"/>
        <v>0.86330366967843342</v>
      </c>
    </row>
    <row r="40" spans="1:12">
      <c r="A40" s="41" t="s">
        <v>7</v>
      </c>
      <c r="B40" s="46">
        <f>Scenarios!E27</f>
        <v>4.4157772609314798E-2</v>
      </c>
      <c r="C40" s="243">
        <f t="shared" ref="C40:K40" si="19">C18</f>
        <v>0.28684488662827246</v>
      </c>
      <c r="D40" s="249">
        <f t="shared" si="19"/>
        <v>0.26512268753745388</v>
      </c>
      <c r="E40" s="250">
        <f t="shared" si="19"/>
        <v>0.7361479066135922</v>
      </c>
      <c r="F40" s="250">
        <f t="shared" si="19"/>
        <v>0.7682232653061406</v>
      </c>
      <c r="G40" s="250">
        <f t="shared" si="19"/>
        <v>1.0000000000000002</v>
      </c>
      <c r="H40" s="250">
        <f t="shared" si="19"/>
        <v>0.810869651798099</v>
      </c>
      <c r="I40" s="250">
        <f t="shared" si="19"/>
        <v>0.698944093128679</v>
      </c>
      <c r="J40" s="250">
        <f t="shared" si="19"/>
        <v>0.74165364419402413</v>
      </c>
      <c r="K40" s="251">
        <f t="shared" si="19"/>
        <v>0.88368691913192909</v>
      </c>
    </row>
    <row r="41" spans="1:12">
      <c r="A41" s="41" t="s">
        <v>8</v>
      </c>
      <c r="B41" s="46">
        <f>Scenarios!E28</f>
        <v>7.5058724753415462E-2</v>
      </c>
      <c r="C41" s="243">
        <f t="shared" ref="C41:K41" si="20">C19</f>
        <v>0.29497711980114533</v>
      </c>
      <c r="D41" s="249">
        <f t="shared" si="20"/>
        <v>0.30633091260285283</v>
      </c>
      <c r="E41" s="250">
        <f t="shared" si="20"/>
        <v>0.74216818464687206</v>
      </c>
      <c r="F41" s="250">
        <f t="shared" si="20"/>
        <v>0.79170142390806608</v>
      </c>
      <c r="G41" s="250">
        <f t="shared" si="20"/>
        <v>0.81086965179809911</v>
      </c>
      <c r="H41" s="250">
        <f t="shared" si="20"/>
        <v>0.99999999999999978</v>
      </c>
      <c r="I41" s="250">
        <f t="shared" si="20"/>
        <v>0.64038553303047341</v>
      </c>
      <c r="J41" s="250">
        <f t="shared" si="20"/>
        <v>0.64285674252709391</v>
      </c>
      <c r="K41" s="251">
        <f t="shared" si="20"/>
        <v>0.78565246061343619</v>
      </c>
    </row>
    <row r="42" spans="1:12">
      <c r="A42" s="41" t="s">
        <v>9</v>
      </c>
      <c r="B42" s="46">
        <f>Scenarios!E29</f>
        <v>8.6184790509297532E-2</v>
      </c>
      <c r="C42" s="243">
        <f t="shared" ref="C42:K42" si="21">C20</f>
        <v>0.32949402218690865</v>
      </c>
      <c r="D42" s="249">
        <f t="shared" si="21"/>
        <v>0.25776542912961575</v>
      </c>
      <c r="E42" s="250">
        <f t="shared" si="21"/>
        <v>0.60484171224540262</v>
      </c>
      <c r="F42" s="250">
        <f t="shared" si="21"/>
        <v>0.62860572473116916</v>
      </c>
      <c r="G42" s="250">
        <f t="shared" si="21"/>
        <v>0.698944093128679</v>
      </c>
      <c r="H42" s="250">
        <f t="shared" si="21"/>
        <v>0.64038553303047341</v>
      </c>
      <c r="I42" s="250">
        <f t="shared" si="21"/>
        <v>1.0000000000000002</v>
      </c>
      <c r="J42" s="250">
        <f t="shared" si="21"/>
        <v>0.56967702853737867</v>
      </c>
      <c r="K42" s="251">
        <f t="shared" si="21"/>
        <v>0.67129908624723933</v>
      </c>
    </row>
    <row r="43" spans="1:12">
      <c r="A43" s="41" t="s">
        <v>10</v>
      </c>
      <c r="B43" s="46">
        <f>Scenarios!E30</f>
        <v>1.7186704939249599E-2</v>
      </c>
      <c r="C43" s="243">
        <f t="shared" ref="C43:K43" si="22">C21</f>
        <v>0.1608611248297202</v>
      </c>
      <c r="D43" s="249">
        <f t="shared" si="22"/>
        <v>0.49880026622502749</v>
      </c>
      <c r="E43" s="250">
        <f t="shared" si="22"/>
        <v>0.86164575178315295</v>
      </c>
      <c r="F43" s="250">
        <f t="shared" si="22"/>
        <v>0.86583564760808163</v>
      </c>
      <c r="G43" s="250">
        <f t="shared" si="22"/>
        <v>0.74165364419402413</v>
      </c>
      <c r="H43" s="250">
        <f t="shared" si="22"/>
        <v>0.64285674252709391</v>
      </c>
      <c r="I43" s="250">
        <f t="shared" si="22"/>
        <v>0.56967702853737878</v>
      </c>
      <c r="J43" s="250">
        <f t="shared" si="22"/>
        <v>0.99999999999999978</v>
      </c>
      <c r="K43" s="251">
        <f t="shared" si="22"/>
        <v>0.79252565178528167</v>
      </c>
    </row>
    <row r="44" spans="1:12" ht="13.5" thickBot="1">
      <c r="A44" s="43" t="s">
        <v>11</v>
      </c>
      <c r="B44" s="47">
        <f>Scenarios!E31</f>
        <v>3.2797465910270177E-2</v>
      </c>
      <c r="C44" s="246">
        <f t="shared" ref="C44:K44" si="23">C22</f>
        <v>0.19933384935580506</v>
      </c>
      <c r="D44" s="252">
        <f t="shared" si="23"/>
        <v>0.40988870730079396</v>
      </c>
      <c r="E44" s="253">
        <f t="shared" si="23"/>
        <v>0.86125970507824035</v>
      </c>
      <c r="F44" s="253">
        <f t="shared" si="23"/>
        <v>0.86330366967843342</v>
      </c>
      <c r="G44" s="253">
        <f t="shared" si="23"/>
        <v>0.88368691913192909</v>
      </c>
      <c r="H44" s="253">
        <f t="shared" si="23"/>
        <v>0.78565246061343608</v>
      </c>
      <c r="I44" s="253">
        <f t="shared" si="23"/>
        <v>0.67129908624723922</v>
      </c>
      <c r="J44" s="253">
        <f t="shared" si="23"/>
        <v>0.79252565178528178</v>
      </c>
      <c r="K44" s="254">
        <f t="shared" si="23"/>
        <v>1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2" t="s">
        <v>2</v>
      </c>
      <c r="D47" s="395" t="s">
        <v>3</v>
      </c>
      <c r="E47" s="396"/>
      <c r="F47" s="396"/>
      <c r="G47" s="396"/>
      <c r="H47" s="396"/>
      <c r="I47" s="396"/>
      <c r="J47" s="396"/>
      <c r="K47" s="397"/>
    </row>
    <row r="48" spans="1:12">
      <c r="A48" s="41" t="s">
        <v>4</v>
      </c>
      <c r="B48" s="230">
        <f>Scenarios!F24</f>
        <v>-2.5720358328627513E-2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-0.43424993966436087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-0.52495132978596959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-0.60718802956862361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-0.41926220845987938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-0.52034739633736904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-0.25573516705477994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-0.33580172019430399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4" t="s">
        <v>2</v>
      </c>
      <c r="D58" s="392" t="s">
        <v>3</v>
      </c>
      <c r="E58" s="393"/>
      <c r="F58" s="393"/>
      <c r="G58" s="393"/>
      <c r="H58" s="393"/>
      <c r="I58" s="393"/>
      <c r="J58" s="393"/>
      <c r="K58" s="394"/>
      <c r="M58" s="78"/>
    </row>
    <row r="59" spans="1:13">
      <c r="A59" s="41" t="s">
        <v>4</v>
      </c>
      <c r="B59" s="46">
        <f>Scenarios!G24</f>
        <v>-0.26287574291051119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-0.41153220498436088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-0.34991079217679127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-0.47851488198333225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-0.25917386489837912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-0.53983753129736911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-6.3153361120378204E-3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-0.18031161563030054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4" t="s">
        <v>2</v>
      </c>
      <c r="D69" s="392" t="s">
        <v>3</v>
      </c>
      <c r="E69" s="393"/>
      <c r="F69" s="393"/>
      <c r="G69" s="393"/>
      <c r="H69" s="393"/>
      <c r="I69" s="393"/>
      <c r="J69" s="393"/>
      <c r="K69" s="394"/>
      <c r="M69" s="78"/>
    </row>
    <row r="70" spans="1:13">
      <c r="A70" s="41" t="s">
        <v>4</v>
      </c>
      <c r="B70" s="46">
        <f>+Scenarios!H24</f>
        <v>-3.2441343963196256E-3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0.31635819149830574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0.24979690735679014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0.39131495295955132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0.38663466689136228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0.62225820003596433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0.28400230499870172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0.35335277777605689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Q26" sqref="Q26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98" t="s">
        <v>16</v>
      </c>
      <c r="D2" s="399"/>
      <c r="E2" s="400" t="s">
        <v>17</v>
      </c>
      <c r="F2" s="401"/>
      <c r="G2" s="402" t="s">
        <v>33</v>
      </c>
      <c r="H2" s="403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0.55000000000000004</v>
      </c>
      <c r="D4" s="16">
        <f>'Control panel'!D3</f>
        <v>0.65</v>
      </c>
      <c r="E4" s="16">
        <v>0</v>
      </c>
      <c r="F4" s="16">
        <v>1</v>
      </c>
      <c r="G4" s="17">
        <f>'Control panel'!B3</f>
        <v>0.55549268496933957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0.05</v>
      </c>
      <c r="D5" s="20">
        <f>'Control panel'!D4</f>
        <v>0.15</v>
      </c>
      <c r="E5" s="20">
        <v>0</v>
      </c>
      <c r="F5" s="20">
        <v>1</v>
      </c>
      <c r="G5" s="21">
        <f>'Control panel'!B4</f>
        <v>9.7387120358343723E-2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0.05</v>
      </c>
      <c r="D6" s="20">
        <f>'Control panel'!D5</f>
        <v>0.15</v>
      </c>
      <c r="E6" s="20">
        <v>0</v>
      </c>
      <c r="F6" s="20">
        <v>1</v>
      </c>
      <c r="G6" s="21">
        <f>'Control panel'!B5</f>
        <v>9.5164223805884504E-2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7.4999999999999997E-2</v>
      </c>
      <c r="D7" s="20">
        <f>'Control panel'!D6</f>
        <v>0.3</v>
      </c>
      <c r="E7" s="20">
        <v>0</v>
      </c>
      <c r="F7" s="20">
        <v>1</v>
      </c>
      <c r="G7" s="21">
        <f>'Control panel'!B6</f>
        <v>0.10363483668477239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2.5000000000000001E-2</v>
      </c>
      <c r="D8" s="20">
        <f>'Control panel'!D7</f>
        <v>0.1</v>
      </c>
      <c r="E8" s="20">
        <v>0</v>
      </c>
      <c r="F8" s="20">
        <v>1</v>
      </c>
      <c r="G8" s="21">
        <f>'Control panel'!B7</f>
        <v>5.1404597453969164E-2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0.02</v>
      </c>
      <c r="D9" s="20">
        <f>'Control panel'!D8</f>
        <v>0.02</v>
      </c>
      <c r="E9" s="20">
        <v>0</v>
      </c>
      <c r="F9" s="20">
        <v>1</v>
      </c>
      <c r="G9" s="21">
        <f>'Control panel'!B8</f>
        <v>1.9729061421683056E-2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3.1019975297703138E-2</v>
      </c>
      <c r="D10" s="20">
        <f>'Control panel'!D9</f>
        <v>3.1019975297703138E-2</v>
      </c>
      <c r="E10" s="20">
        <v>0</v>
      </c>
      <c r="F10" s="20">
        <v>1</v>
      </c>
      <c r="G10" s="21">
        <f>'Control panel'!B9</f>
        <v>3.1019975297703138E-2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4.6167500008304781E-2</v>
      </c>
      <c r="D11" s="24">
        <f>'Control panel'!D10</f>
        <v>4.6167500008304781E-2</v>
      </c>
      <c r="E11" s="24">
        <v>0</v>
      </c>
      <c r="F11" s="24">
        <v>1</v>
      </c>
      <c r="G11" s="25">
        <f>'Control panel'!B10</f>
        <v>4.6167500008304781E-2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D45" sqref="D45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Base - muddle down</v>
      </c>
      <c r="E5" s="184" t="str">
        <f>Scenarios!E23</f>
        <v>Base - muddle up</v>
      </c>
      <c r="F5" s="213" t="str">
        <f>Scenarios!F23</f>
        <v>Bear case</v>
      </c>
      <c r="G5" s="213" t="str">
        <f>Scenarios!G23</f>
        <v>Tail risk</v>
      </c>
      <c r="H5" s="213" t="str">
        <f>Scenarios!H23</f>
        <v>Bull case</v>
      </c>
    </row>
    <row r="6" spans="1:8">
      <c r="A6" s="185" t="s">
        <v>70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">
        <v>112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">
        <v>126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">
        <v>127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">
        <v>113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">
        <v>114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">
        <v>128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0</v>
      </c>
      <c r="C13" s="261">
        <v>1</v>
      </c>
      <c r="D13" s="262">
        <v>0</v>
      </c>
      <c r="E13" s="262">
        <v>0</v>
      </c>
      <c r="F13" s="262">
        <v>0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0.105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61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0.105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61</v>
      </c>
    </row>
    <row r="22" spans="1:9">
      <c r="A22" s="185" t="str">
        <f t="shared" si="0"/>
        <v>Base - muddle down</v>
      </c>
      <c r="B22" s="192">
        <v>0</v>
      </c>
      <c r="C22" s="193">
        <v>0</v>
      </c>
      <c r="D22" s="106">
        <f t="shared" si="1"/>
        <v>0.105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61</v>
      </c>
    </row>
    <row r="23" spans="1:9">
      <c r="A23" s="185" t="str">
        <f t="shared" si="0"/>
        <v>Base - muddle up</v>
      </c>
      <c r="B23" s="192">
        <v>0</v>
      </c>
      <c r="C23" s="193">
        <v>0</v>
      </c>
      <c r="D23" s="106">
        <f t="shared" si="1"/>
        <v>0.105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61</v>
      </c>
    </row>
    <row r="24" spans="1:9">
      <c r="A24" s="185" t="str">
        <f t="shared" si="0"/>
        <v>Bear case</v>
      </c>
      <c r="B24" s="192">
        <v>0</v>
      </c>
      <c r="C24" s="193">
        <v>0</v>
      </c>
      <c r="D24" s="106">
        <f t="shared" si="1"/>
        <v>0.105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61</v>
      </c>
    </row>
    <row r="25" spans="1:9">
      <c r="A25" s="185" t="str">
        <f t="shared" si="0"/>
        <v>Tail risk</v>
      </c>
      <c r="B25" s="192">
        <v>0</v>
      </c>
      <c r="C25" s="193">
        <v>0</v>
      </c>
      <c r="D25" s="106">
        <f t="shared" si="1"/>
        <v>0.105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61</v>
      </c>
    </row>
    <row r="26" spans="1:9">
      <c r="A26" s="185" t="str">
        <f t="shared" si="0"/>
        <v>Bull case</v>
      </c>
      <c r="B26" s="192">
        <v>0</v>
      </c>
      <c r="C26" s="193">
        <v>0</v>
      </c>
      <c r="D26" s="106">
        <f t="shared" si="1"/>
        <v>0.105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61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0.105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workbookViewId="0">
      <selection activeCell="M80" sqref="M8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404" t="s">
        <v>64</v>
      </c>
      <c r="E2" s="405"/>
      <c r="F2" s="406"/>
      <c r="G2" s="404" t="s">
        <v>65</v>
      </c>
      <c r="H2" s="405"/>
      <c r="I2" s="405"/>
      <c r="J2" s="405"/>
      <c r="K2" s="405"/>
      <c r="L2" s="405"/>
      <c r="M2" s="405"/>
      <c r="N2" s="405"/>
      <c r="O2" s="406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0.4646985944140728</v>
      </c>
      <c r="H3" s="272">
        <v>0.35541667073986005</v>
      </c>
      <c r="I3" s="272">
        <v>0.17786872678824162</v>
      </c>
      <c r="J3" s="272">
        <v>1.9298330746966297E-3</v>
      </c>
      <c r="K3" s="272">
        <v>8.6174983130349325E-5</v>
      </c>
      <c r="L3" s="272">
        <v>0</v>
      </c>
      <c r="M3" s="272" t="s">
        <v>147</v>
      </c>
      <c r="N3" s="272" t="s">
        <v>147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0.58869968202864609</v>
      </c>
      <c r="C4" s="54">
        <v>1.1399848442167593E-2</v>
      </c>
      <c r="D4" s="55">
        <v>0.58124654345623461</v>
      </c>
      <c r="E4" s="1">
        <v>0.58826591528196392</v>
      </c>
      <c r="F4" s="56">
        <v>0.59714953295699535</v>
      </c>
      <c r="G4" s="2">
        <v>-0.41721778814478888</v>
      </c>
      <c r="H4" s="2">
        <v>-0.36473766984652711</v>
      </c>
      <c r="I4" s="2">
        <v>0.12713841896771011</v>
      </c>
      <c r="J4" s="2">
        <v>0.24069064349483679</v>
      </c>
      <c r="K4" s="2">
        <v>1</v>
      </c>
      <c r="L4" s="2">
        <v>1</v>
      </c>
      <c r="M4" s="2" t="s">
        <v>147</v>
      </c>
      <c r="N4" s="2" t="s">
        <v>147</v>
      </c>
      <c r="O4" s="57"/>
      <c r="R4" s="51" t="str">
        <f>A4</f>
        <v>Nominale matching</v>
      </c>
      <c r="S4" s="52">
        <f>D4</f>
        <v>0.58124654345623461</v>
      </c>
      <c r="T4" s="52">
        <f>B4-D4</f>
        <v>7.4531385724114774E-3</v>
      </c>
      <c r="U4" s="52">
        <f>F4-B4</f>
        <v>8.4498509283492673E-3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9.3924802086796516E-2</v>
      </c>
      <c r="C5" s="54">
        <v>2.166392103913722E-2</v>
      </c>
      <c r="D5" s="55">
        <v>7.8241841099571413E-2</v>
      </c>
      <c r="E5" s="1">
        <v>9.1667198293103158E-2</v>
      </c>
      <c r="F5" s="56">
        <v>0.10743190588699554</v>
      </c>
      <c r="G5" s="2">
        <v>1</v>
      </c>
      <c r="H5" s="2">
        <v>-0.15127512814272129</v>
      </c>
      <c r="I5" s="2">
        <v>-0.22081238694687363</v>
      </c>
      <c r="J5" s="2">
        <v>-0.13909939469886673</v>
      </c>
      <c r="K5" s="2">
        <v>0.24797224817747957</v>
      </c>
      <c r="L5" s="2">
        <v>0.99999999999920619</v>
      </c>
      <c r="M5" s="2" t="s">
        <v>147</v>
      </c>
      <c r="N5" s="2" t="s">
        <v>147</v>
      </c>
      <c r="O5" s="57"/>
      <c r="R5" s="51" t="str">
        <f t="shared" ref="R5:R11" si="0">A5</f>
        <v>High Yield</v>
      </c>
      <c r="S5" s="52">
        <f t="shared" ref="S5:S11" si="1">D5</f>
        <v>7.8241841099571413E-2</v>
      </c>
      <c r="T5" s="52">
        <f t="shared" ref="T5:T11" si="2">B5-D5</f>
        <v>1.5682960987225103E-2</v>
      </c>
      <c r="U5" s="52">
        <f t="shared" ref="U5:U11" si="3">F5-B5</f>
        <v>1.3507103800199025E-2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8.106335317454863E-2</v>
      </c>
      <c r="C6" s="54">
        <v>1.9354697377518909E-2</v>
      </c>
      <c r="D6" s="55">
        <v>6.5230540723158675E-2</v>
      </c>
      <c r="E6" s="1">
        <v>7.8402528376559671E-2</v>
      </c>
      <c r="F6" s="56">
        <v>9.3252769903313243E-2</v>
      </c>
      <c r="G6" s="2">
        <v>-0.13786615154939644</v>
      </c>
      <c r="H6" s="2">
        <v>1</v>
      </c>
      <c r="I6" s="2">
        <v>-9.6583750856826467E-2</v>
      </c>
      <c r="J6" s="2">
        <v>-0.15877253591587695</v>
      </c>
      <c r="K6" s="2">
        <v>0.19141051203322271</v>
      </c>
      <c r="L6" s="2">
        <v>0.99999999999914668</v>
      </c>
      <c r="M6" s="2" t="s">
        <v>147</v>
      </c>
      <c r="N6" s="2" t="s">
        <v>147</v>
      </c>
      <c r="O6" s="57"/>
      <c r="R6" s="51" t="str">
        <f t="shared" si="0"/>
        <v>Emerging market debt</v>
      </c>
      <c r="S6" s="52">
        <f t="shared" si="1"/>
        <v>6.5230540723158675E-2</v>
      </c>
      <c r="T6" s="52">
        <f t="shared" si="2"/>
        <v>1.5832812451389955E-2</v>
      </c>
      <c r="U6" s="52">
        <f t="shared" si="3"/>
        <v>1.2189416728764613E-2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0.11126197034376105</v>
      </c>
      <c r="C7" s="54">
        <v>1.4051189681484999E-2</v>
      </c>
      <c r="D7" s="55">
        <v>0.10176771845428198</v>
      </c>
      <c r="E7" s="1">
        <v>0.11088741312520137</v>
      </c>
      <c r="F7" s="56">
        <v>0.12115044543144166</v>
      </c>
      <c r="G7" s="2">
        <v>-0.39285620593167703</v>
      </c>
      <c r="H7" s="2">
        <v>-0.32760442068358664</v>
      </c>
      <c r="I7" s="2">
        <v>-0.80097179646372674</v>
      </c>
      <c r="J7" s="2">
        <v>-0.48581463352506543</v>
      </c>
      <c r="K7" s="2">
        <v>-0.44391235697914178</v>
      </c>
      <c r="L7" s="2">
        <v>0.99999999999847566</v>
      </c>
      <c r="M7" s="2" t="s">
        <v>147</v>
      </c>
      <c r="N7" s="2" t="s">
        <v>147</v>
      </c>
      <c r="O7" s="57"/>
      <c r="R7" s="51" t="str">
        <f t="shared" si="0"/>
        <v>Aandelen ontwikkeld</v>
      </c>
      <c r="S7" s="52">
        <f t="shared" si="1"/>
        <v>0.10176771845428198</v>
      </c>
      <c r="T7" s="52">
        <f t="shared" si="2"/>
        <v>9.494251889479069E-3</v>
      </c>
      <c r="U7" s="52">
        <f t="shared" si="3"/>
        <v>9.8884750876806066E-3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4.326530783204198E-2</v>
      </c>
      <c r="C8" s="54">
        <v>1.2126169524901042E-2</v>
      </c>
      <c r="D8" s="55">
        <v>3.3895417289285454E-2</v>
      </c>
      <c r="E8" s="1">
        <v>4.1172984777483532E-2</v>
      </c>
      <c r="F8" s="56">
        <v>5.0789134225209434E-2</v>
      </c>
      <c r="G8" s="2">
        <v>-5.410761430589698E-2</v>
      </c>
      <c r="H8" s="2">
        <v>-0.15288012197644474</v>
      </c>
      <c r="I8" s="2">
        <v>1</v>
      </c>
      <c r="J8" s="2">
        <v>-0.45700407935503834</v>
      </c>
      <c r="K8" s="2">
        <v>-0.41455214250532485</v>
      </c>
      <c r="L8" s="2">
        <v>0.99999999999850575</v>
      </c>
      <c r="M8" s="2" t="s">
        <v>147</v>
      </c>
      <c r="N8" s="2" t="s">
        <v>147</v>
      </c>
      <c r="O8" s="57"/>
      <c r="R8" s="51" t="str">
        <f t="shared" si="0"/>
        <v>Aandelen opkomend</v>
      </c>
      <c r="S8" s="52">
        <f t="shared" si="1"/>
        <v>3.3895417289285454E-2</v>
      </c>
      <c r="T8" s="52">
        <f t="shared" si="2"/>
        <v>9.369890542756526E-3</v>
      </c>
      <c r="U8" s="52">
        <f t="shared" si="3"/>
        <v>7.5238263931674543E-3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1.0457069791370342E-3</v>
      </c>
      <c r="C9" s="54">
        <v>1.2978899401344913E-3</v>
      </c>
      <c r="D9" s="55">
        <v>7.3962316174081634E-5</v>
      </c>
      <c r="E9" s="1">
        <v>5.0467940006468446E-4</v>
      </c>
      <c r="F9" s="56">
        <v>1.6769968023325353E-3</v>
      </c>
      <c r="G9" s="2">
        <v>2.0477599317589479E-3</v>
      </c>
      <c r="H9" s="2">
        <v>-3.5026593507202783E-3</v>
      </c>
      <c r="I9" s="2">
        <v>-8.7704847002822977E-3</v>
      </c>
      <c r="J9" s="2">
        <v>1</v>
      </c>
      <c r="K9" s="2">
        <v>-0.58091826072813535</v>
      </c>
      <c r="L9" s="2">
        <v>0.99999999999834133</v>
      </c>
      <c r="M9" s="2" t="s">
        <v>147</v>
      </c>
      <c r="N9" s="2" t="s">
        <v>147</v>
      </c>
      <c r="O9" s="57"/>
      <c r="R9" s="51" t="str">
        <f t="shared" si="0"/>
        <v>Commodities</v>
      </c>
      <c r="S9" s="52">
        <f t="shared" si="1"/>
        <v>7.3962316174081634E-5</v>
      </c>
      <c r="T9" s="52">
        <f t="shared" si="2"/>
        <v>9.7174466296295263E-4</v>
      </c>
      <c r="U9" s="52">
        <f t="shared" si="3"/>
        <v>6.3128982319550107E-4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3.2197057464982567E-2</v>
      </c>
      <c r="C10" s="54">
        <v>3.1256294505883375E-16</v>
      </c>
      <c r="D10" s="55">
        <v>3.219705746498288E-2</v>
      </c>
      <c r="E10" s="1">
        <v>3.219705746498288E-2</v>
      </c>
      <c r="F10" s="56">
        <v>3.219705746498288E-2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 t="s">
        <v>147</v>
      </c>
      <c r="N10" s="2" t="s">
        <v>147</v>
      </c>
      <c r="O10" s="57"/>
      <c r="R10" s="51" t="str">
        <f t="shared" si="0"/>
        <v>Hedge funds</v>
      </c>
      <c r="S10" s="52">
        <f t="shared" si="1"/>
        <v>3.219705746498288E-2</v>
      </c>
      <c r="T10" s="52">
        <f t="shared" si="2"/>
        <v>-3.1225022567582528E-16</v>
      </c>
      <c r="U10" s="52">
        <f t="shared" si="3"/>
        <v>3.1225022567582528E-16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4.8542120090085746E-2</v>
      </c>
      <c r="C11" s="62">
        <v>3.4729216117648195E-17</v>
      </c>
      <c r="D11" s="63">
        <v>4.8542120090085711E-2</v>
      </c>
      <c r="E11" s="61">
        <v>4.8542120090085711E-2</v>
      </c>
      <c r="F11" s="64">
        <v>4.8542120090085711E-2</v>
      </c>
      <c r="G11" s="65">
        <v>0</v>
      </c>
      <c r="H11" s="65">
        <v>0</v>
      </c>
      <c r="I11" s="65">
        <v>0</v>
      </c>
      <c r="J11" s="65">
        <v>0</v>
      </c>
      <c r="K11" s="65">
        <v>0</v>
      </c>
      <c r="L11" s="65">
        <v>0</v>
      </c>
      <c r="M11" s="65" t="s">
        <v>147</v>
      </c>
      <c r="N11" s="65" t="s">
        <v>147</v>
      </c>
      <c r="O11" s="66"/>
      <c r="R11" s="51" t="str">
        <f t="shared" si="0"/>
        <v>Onroerend goed</v>
      </c>
      <c r="S11" s="52">
        <f t="shared" si="1"/>
        <v>4.8542120090085711E-2</v>
      </c>
      <c r="T11" s="52">
        <f t="shared" si="2"/>
        <v>0</v>
      </c>
      <c r="U11" s="52">
        <f t="shared" si="3"/>
        <v>0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404" t="s">
        <v>64</v>
      </c>
      <c r="E13" s="405"/>
      <c r="F13" s="406"/>
      <c r="G13" s="404" t="s">
        <v>65</v>
      </c>
      <c r="H13" s="405"/>
      <c r="I13" s="405"/>
      <c r="J13" s="405"/>
      <c r="K13" s="405"/>
      <c r="L13" s="405"/>
      <c r="M13" s="405"/>
      <c r="N13" s="405"/>
      <c r="O13" s="406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0.62512169619116886</v>
      </c>
      <c r="H14" s="272">
        <v>0.25814997548510188</v>
      </c>
      <c r="I14" s="272">
        <v>0.10200443300958184</v>
      </c>
      <c r="J14" s="272">
        <v>8.2890513743258953E-3</v>
      </c>
      <c r="K14" s="272">
        <v>6.4348439398205226E-3</v>
      </c>
      <c r="L14" s="272">
        <v>0</v>
      </c>
      <c r="M14" s="272" t="s">
        <v>147</v>
      </c>
      <c r="N14" s="272" t="s">
        <v>147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0.60848087749416713</v>
      </c>
      <c r="C15" s="54">
        <v>1.4875316936215041E-2</v>
      </c>
      <c r="D15" s="55">
        <v>0.59747781542027889</v>
      </c>
      <c r="E15" s="1">
        <v>0.6095250096467062</v>
      </c>
      <c r="F15" s="56">
        <v>0.61888425703262373</v>
      </c>
      <c r="G15" s="2">
        <v>-0.60059367513907846</v>
      </c>
      <c r="H15" s="2">
        <v>3.4642794096680543E-2</v>
      </c>
      <c r="I15" s="2">
        <v>-0.41909602484825015</v>
      </c>
      <c r="J15" s="2">
        <v>-0.81644947768799003</v>
      </c>
      <c r="K15" s="2">
        <v>-0.57912747109993745</v>
      </c>
      <c r="L15" s="2">
        <v>1</v>
      </c>
      <c r="M15" s="2" t="s">
        <v>147</v>
      </c>
      <c r="N15" s="2" t="s">
        <v>147</v>
      </c>
      <c r="O15" s="57"/>
      <c r="R15" s="51" t="str">
        <f>A15</f>
        <v>Nominale matching</v>
      </c>
      <c r="S15" s="52">
        <f>D15</f>
        <v>0.59747781542027889</v>
      </c>
      <c r="T15" s="52">
        <f>B15-D15</f>
        <v>1.1003062073888237E-2</v>
      </c>
      <c r="U15" s="52">
        <f>F15-B15</f>
        <v>1.0403379538456603E-2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8.9321968820360448E-2</v>
      </c>
      <c r="C16" s="54">
        <v>2.4139937243486762E-2</v>
      </c>
      <c r="D16" s="55">
        <v>6.974408278266836E-2</v>
      </c>
      <c r="E16" s="1">
        <v>8.5311791953799732E-2</v>
      </c>
      <c r="F16" s="56">
        <v>0.10780550677564685</v>
      </c>
      <c r="G16" s="2">
        <v>1</v>
      </c>
      <c r="H16" s="2">
        <v>-0.32119645804080976</v>
      </c>
      <c r="I16" s="2">
        <v>-0.30798978909044422</v>
      </c>
      <c r="J16" s="2">
        <v>-0.33067316737400454</v>
      </c>
      <c r="K16" s="2">
        <v>5.3738457116708604E-2</v>
      </c>
      <c r="L16" s="2">
        <v>0.99999999999999467</v>
      </c>
      <c r="M16" s="2" t="s">
        <v>147</v>
      </c>
      <c r="N16" s="2" t="s">
        <v>147</v>
      </c>
      <c r="O16" s="57"/>
      <c r="R16" s="51" t="str">
        <f t="shared" ref="R16:R22" si="5">A16</f>
        <v>High Yield</v>
      </c>
      <c r="S16" s="52">
        <f t="shared" ref="S16:S22" si="6">D16</f>
        <v>6.974408278266836E-2</v>
      </c>
      <c r="T16" s="52">
        <f t="shared" ref="T16:T22" si="7">B16-D16</f>
        <v>1.9577886037692088E-2</v>
      </c>
      <c r="U16" s="52">
        <f t="shared" ref="U16:U22" si="8">F16-B16</f>
        <v>1.84835379552864E-2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6.3441864914029672E-2</v>
      </c>
      <c r="C17" s="54">
        <v>1.0612225469199908E-2</v>
      </c>
      <c r="D17" s="55">
        <v>5.5068965266086914E-2</v>
      </c>
      <c r="E17" s="1">
        <v>6.1222371735146566E-2</v>
      </c>
      <c r="F17" s="56">
        <v>6.9194656212799827E-2</v>
      </c>
      <c r="G17" s="2">
        <v>-1.0703260171210085E-2</v>
      </c>
      <c r="H17" s="2">
        <v>-0.12068131650959063</v>
      </c>
      <c r="I17" s="2">
        <v>1</v>
      </c>
      <c r="J17" s="2">
        <v>-0.31547628070300771</v>
      </c>
      <c r="K17" s="2">
        <v>-0.10966047908471627</v>
      </c>
      <c r="L17" s="2">
        <v>0.999999999999995</v>
      </c>
      <c r="M17" s="2" t="s">
        <v>147</v>
      </c>
      <c r="N17" s="2" t="s">
        <v>147</v>
      </c>
      <c r="O17" s="57"/>
      <c r="R17" s="51" t="str">
        <f t="shared" si="5"/>
        <v>Emerging market debt</v>
      </c>
      <c r="S17" s="52">
        <f t="shared" si="6"/>
        <v>5.5068965266086914E-2</v>
      </c>
      <c r="T17" s="52">
        <f t="shared" si="7"/>
        <v>8.3728996479427581E-3</v>
      </c>
      <c r="U17" s="52">
        <f t="shared" si="8"/>
        <v>5.7527912987701546E-3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7.8609831420599921E-2</v>
      </c>
      <c r="C18" s="54">
        <v>3.1262391966075526E-3</v>
      </c>
      <c r="D18" s="55">
        <v>7.625642323090015E-2</v>
      </c>
      <c r="E18" s="1">
        <v>7.781137339284537E-2</v>
      </c>
      <c r="F18" s="56">
        <v>8.0107188091375153E-2</v>
      </c>
      <c r="G18" s="2">
        <v>-1.4057315220504792E-2</v>
      </c>
      <c r="H18" s="2">
        <v>-4.4586812917465399E-2</v>
      </c>
      <c r="I18" s="2">
        <v>-7.0012117216770364E-2</v>
      </c>
      <c r="J18" s="2">
        <v>1</v>
      </c>
      <c r="K18" s="2">
        <v>-0.89721402454025545</v>
      </c>
      <c r="L18" s="2">
        <v>0.99999999999998679</v>
      </c>
      <c r="M18" s="2" t="s">
        <v>147</v>
      </c>
      <c r="N18" s="2" t="s">
        <v>147</v>
      </c>
      <c r="O18" s="57"/>
      <c r="R18" s="51" t="str">
        <f t="shared" si="5"/>
        <v>Aandelen ontwikkeld</v>
      </c>
      <c r="S18" s="52">
        <f t="shared" si="6"/>
        <v>7.625642323090015E-2</v>
      </c>
      <c r="T18" s="52">
        <f t="shared" si="7"/>
        <v>2.3534081896997711E-3</v>
      </c>
      <c r="U18" s="52">
        <f t="shared" si="8"/>
        <v>1.4973566707752323E-3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4.6880183306017301E-2</v>
      </c>
      <c r="C19" s="54">
        <v>1.6012538086971409E-2</v>
      </c>
      <c r="D19" s="55">
        <v>3.4472676260430803E-2</v>
      </c>
      <c r="E19" s="1">
        <v>4.3530362314266192E-2</v>
      </c>
      <c r="F19" s="56">
        <v>5.5046993928900625E-2</v>
      </c>
      <c r="G19" s="2">
        <v>8.7012987917170048E-2</v>
      </c>
      <c r="H19" s="2">
        <v>1</v>
      </c>
      <c r="I19" s="2">
        <v>-5.0429184845729613E-2</v>
      </c>
      <c r="J19" s="2">
        <v>0.11767018149794893</v>
      </c>
      <c r="K19" s="2">
        <v>0.53226351760820656</v>
      </c>
      <c r="L19" s="2">
        <v>0.99999999999998967</v>
      </c>
      <c r="M19" s="2" t="s">
        <v>147</v>
      </c>
      <c r="N19" s="2" t="s">
        <v>147</v>
      </c>
      <c r="O19" s="57"/>
      <c r="R19" s="51" t="str">
        <f t="shared" si="5"/>
        <v>Aandelen opkomend</v>
      </c>
      <c r="S19" s="52">
        <f t="shared" si="6"/>
        <v>3.4472676260430803E-2</v>
      </c>
      <c r="T19" s="52">
        <f t="shared" si="7"/>
        <v>1.2407507045586498E-2</v>
      </c>
      <c r="U19" s="52">
        <f t="shared" si="8"/>
        <v>8.1668106228833248E-3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3.2526096489757371E-2</v>
      </c>
      <c r="C20" s="54">
        <v>1.4092116563256464E-2</v>
      </c>
      <c r="D20" s="55">
        <v>2.3834633032890976E-2</v>
      </c>
      <c r="E20" s="1">
        <v>3.263558468987296E-2</v>
      </c>
      <c r="F20" s="56">
        <v>4.3139916370649831E-2</v>
      </c>
      <c r="G20" s="2">
        <v>-0.46165873738637686</v>
      </c>
      <c r="H20" s="2">
        <v>-0.54817820662881389</v>
      </c>
      <c r="I20" s="2">
        <v>-0.15247288399880629</v>
      </c>
      <c r="J20" s="2">
        <v>0.34492874426706871</v>
      </c>
      <c r="K20" s="2">
        <v>1</v>
      </c>
      <c r="L20" s="2">
        <v>0.99999999999998745</v>
      </c>
      <c r="M20" s="2" t="s">
        <v>147</v>
      </c>
      <c r="N20" s="2" t="s">
        <v>147</v>
      </c>
      <c r="O20" s="57"/>
      <c r="R20" s="51" t="str">
        <f t="shared" si="5"/>
        <v>Commodities</v>
      </c>
      <c r="S20" s="52">
        <f t="shared" si="6"/>
        <v>2.3834633032890976E-2</v>
      </c>
      <c r="T20" s="52">
        <f t="shared" si="7"/>
        <v>8.6914634568663954E-3</v>
      </c>
      <c r="U20" s="52">
        <f t="shared" si="8"/>
        <v>1.061381988089246E-2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3.2197057464982567E-2</v>
      </c>
      <c r="C21" s="54">
        <v>3.1256294505883375E-16</v>
      </c>
      <c r="D21" s="55">
        <v>3.219705746498288E-2</v>
      </c>
      <c r="E21" s="1">
        <v>3.219705746498288E-2</v>
      </c>
      <c r="F21" s="56">
        <v>3.219705746498288E-2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 t="s">
        <v>147</v>
      </c>
      <c r="N21" s="2" t="s">
        <v>147</v>
      </c>
      <c r="O21" s="57"/>
      <c r="R21" s="51" t="str">
        <f t="shared" si="5"/>
        <v>Hedge funds</v>
      </c>
      <c r="S21" s="52">
        <f t="shared" si="6"/>
        <v>3.219705746498288E-2</v>
      </c>
      <c r="T21" s="52">
        <f t="shared" si="7"/>
        <v>-3.1225022567582528E-16</v>
      </c>
      <c r="U21" s="52">
        <f t="shared" si="8"/>
        <v>3.1225022567582528E-16</v>
      </c>
    </row>
    <row r="22" spans="1:30">
      <c r="A22" s="60" t="str">
        <f t="shared" si="4"/>
        <v>Onroerend goed</v>
      </c>
      <c r="B22" s="286">
        <v>4.8542120090085746E-2</v>
      </c>
      <c r="C22" s="62">
        <v>3.4729216117648195E-17</v>
      </c>
      <c r="D22" s="63">
        <v>4.8542120090085711E-2</v>
      </c>
      <c r="E22" s="61">
        <v>4.8542120090085711E-2</v>
      </c>
      <c r="F22" s="64">
        <v>4.8542120090085711E-2</v>
      </c>
      <c r="G22" s="65">
        <v>0</v>
      </c>
      <c r="H22" s="65">
        <v>0</v>
      </c>
      <c r="I22" s="65">
        <v>0</v>
      </c>
      <c r="J22" s="65">
        <v>0</v>
      </c>
      <c r="K22" s="65">
        <v>0</v>
      </c>
      <c r="L22" s="65">
        <v>0</v>
      </c>
      <c r="M22" s="65" t="s">
        <v>147</v>
      </c>
      <c r="N22" s="65" t="s">
        <v>147</v>
      </c>
      <c r="O22" s="66"/>
      <c r="R22" s="51" t="str">
        <f t="shared" si="5"/>
        <v>Onroerend goed</v>
      </c>
      <c r="S22" s="52">
        <f t="shared" si="6"/>
        <v>4.8542120090085711E-2</v>
      </c>
      <c r="T22" s="52">
        <f t="shared" si="7"/>
        <v>0</v>
      </c>
      <c r="U22" s="52">
        <f t="shared" si="8"/>
        <v>0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404" t="s">
        <v>64</v>
      </c>
      <c r="E24" s="405"/>
      <c r="F24" s="406"/>
      <c r="G24" s="404" t="s">
        <v>65</v>
      </c>
      <c r="H24" s="405"/>
      <c r="I24" s="405"/>
      <c r="J24" s="405"/>
      <c r="K24" s="405"/>
      <c r="L24" s="405"/>
      <c r="M24" s="405"/>
      <c r="N24" s="405"/>
      <c r="O24" s="406"/>
    </row>
    <row r="25" spans="1:30">
      <c r="A25" s="266" t="str">
        <f>Optimalisatie!A22</f>
        <v>Base - muddle down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0.69687573814838266</v>
      </c>
      <c r="H25" s="272">
        <v>0.22247958770924436</v>
      </c>
      <c r="I25" s="272">
        <v>4.7342281459347269E-2</v>
      </c>
      <c r="J25" s="272">
        <v>2.9078973034202038E-2</v>
      </c>
      <c r="K25" s="272">
        <v>4.2234196488276643E-3</v>
      </c>
      <c r="L25" s="272">
        <v>-2.2204460492503131E-16</v>
      </c>
      <c r="M25" s="272" t="s">
        <v>147</v>
      </c>
      <c r="N25" s="272" t="s">
        <v>147</v>
      </c>
      <c r="O25" s="273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0.63429380289218151</v>
      </c>
      <c r="C26" s="54">
        <v>1.1826112621391589E-2</v>
      </c>
      <c r="D26" s="55">
        <v>0.62656725137739477</v>
      </c>
      <c r="E26" s="1">
        <v>0.63707781663170482</v>
      </c>
      <c r="F26" s="56">
        <v>0.6439812176162476</v>
      </c>
      <c r="G26" s="68">
        <v>-0.11131868309338476</v>
      </c>
      <c r="H26" s="68">
        <v>1</v>
      </c>
      <c r="I26" s="68">
        <v>-0.24734710459877909</v>
      </c>
      <c r="J26" s="68">
        <v>-0.43551232378221277</v>
      </c>
      <c r="K26" s="68">
        <v>-0.32213618098774249</v>
      </c>
      <c r="L26" s="68">
        <v>0.99999999999999933</v>
      </c>
      <c r="M26" s="2" t="s">
        <v>147</v>
      </c>
      <c r="N26" s="2" t="s">
        <v>147</v>
      </c>
      <c r="O26" s="69"/>
      <c r="R26" s="51" t="str">
        <f>A26</f>
        <v>Nominale matching</v>
      </c>
      <c r="S26" s="52">
        <f>D26</f>
        <v>0.62656725137739477</v>
      </c>
      <c r="T26" s="52">
        <f>B26-D26</f>
        <v>7.7265515147867392E-3</v>
      </c>
      <c r="U26" s="52">
        <f>F26-B26</f>
        <v>9.6874147240660902E-3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5.685023652253203E-2</v>
      </c>
      <c r="C27" s="54">
        <v>5.579220943212863E-3</v>
      </c>
      <c r="D27" s="55">
        <v>5.2525186785217226E-2</v>
      </c>
      <c r="E27" s="1">
        <v>5.5337518689829182E-2</v>
      </c>
      <c r="F27" s="56">
        <v>5.987425858550402E-2</v>
      </c>
      <c r="G27" s="68">
        <v>-8.5604868003779089E-2</v>
      </c>
      <c r="H27" s="68">
        <v>-1.65825217759192E-2</v>
      </c>
      <c r="I27" s="68">
        <v>-0.54355337038981943</v>
      </c>
      <c r="J27" s="68">
        <v>1</v>
      </c>
      <c r="K27" s="68">
        <v>-2.1683071113799617E-2</v>
      </c>
      <c r="L27" s="68">
        <v>0.99999999999999301</v>
      </c>
      <c r="M27" s="2" t="s">
        <v>147</v>
      </c>
      <c r="N27" s="2" t="s">
        <v>147</v>
      </c>
      <c r="O27" s="69"/>
      <c r="R27" s="51" t="str">
        <f t="shared" ref="R27:R33" si="10">A27</f>
        <v>High Yield</v>
      </c>
      <c r="S27" s="52">
        <f t="shared" ref="S27:S33" si="11">D27</f>
        <v>5.2525186785217226E-2</v>
      </c>
      <c r="T27" s="52">
        <f t="shared" ref="T27:T33" si="12">B27-D27</f>
        <v>4.3250497373148039E-3</v>
      </c>
      <c r="U27" s="52">
        <f t="shared" ref="U27:U33" si="13">F27-B27</f>
        <v>3.0240220629719899E-3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8.9930545151678407E-2</v>
      </c>
      <c r="C28" s="54">
        <v>2.1945964513208443E-2</v>
      </c>
      <c r="D28" s="55">
        <v>7.235063063541719E-2</v>
      </c>
      <c r="E28" s="1">
        <v>8.869224444889115E-2</v>
      </c>
      <c r="F28" s="56">
        <v>0.1061361251682908</v>
      </c>
      <c r="G28" s="68">
        <v>1</v>
      </c>
      <c r="H28" s="68">
        <v>-0.38259734095393128</v>
      </c>
      <c r="I28" s="68">
        <v>-5.7183703974495285E-2</v>
      </c>
      <c r="J28" s="68">
        <v>-0.22808327152195665</v>
      </c>
      <c r="K28" s="68">
        <v>-0.23777147037630506</v>
      </c>
      <c r="L28" s="68">
        <v>0.99999999999999822</v>
      </c>
      <c r="M28" s="2" t="s">
        <v>147</v>
      </c>
      <c r="N28" s="2" t="s">
        <v>147</v>
      </c>
      <c r="O28" s="69"/>
      <c r="R28" s="51" t="str">
        <f t="shared" si="10"/>
        <v>Emerging market debt</v>
      </c>
      <c r="S28" s="52">
        <f t="shared" si="11"/>
        <v>7.235063063541719E-2</v>
      </c>
      <c r="T28" s="52">
        <f t="shared" si="12"/>
        <v>1.7579914516261216E-2</v>
      </c>
      <c r="U28" s="52">
        <f t="shared" si="13"/>
        <v>1.6205580016612389E-2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7.7569179994081194E-2</v>
      </c>
      <c r="C29" s="54">
        <v>2.3173783847541276E-3</v>
      </c>
      <c r="D29" s="55">
        <v>7.5797867194146468E-2</v>
      </c>
      <c r="E29" s="1">
        <v>7.6970772296579087E-2</v>
      </c>
      <c r="F29" s="56">
        <v>7.8605531987885072E-2</v>
      </c>
      <c r="G29" s="68">
        <v>-3.5708281565432744E-2</v>
      </c>
      <c r="H29" s="68">
        <v>-5.2025625055642883E-3</v>
      </c>
      <c r="I29" s="68">
        <v>-5.4538721318769474E-2</v>
      </c>
      <c r="J29" s="68">
        <v>-0.28309270952025201</v>
      </c>
      <c r="K29" s="68">
        <v>1</v>
      </c>
      <c r="L29" s="68">
        <v>0.99999999999997236</v>
      </c>
      <c r="M29" s="2" t="s">
        <v>147</v>
      </c>
      <c r="N29" s="2" t="s">
        <v>147</v>
      </c>
      <c r="O29" s="69"/>
      <c r="R29" s="51" t="str">
        <f t="shared" si="10"/>
        <v>Aandelen ontwikkeld</v>
      </c>
      <c r="S29" s="52">
        <f t="shared" si="11"/>
        <v>7.5797867194146468E-2</v>
      </c>
      <c r="T29" s="52">
        <f t="shared" si="12"/>
        <v>1.7713127999347267E-3</v>
      </c>
      <c r="U29" s="52">
        <f t="shared" si="13"/>
        <v>1.0363519938038773E-3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3.3325239711635021E-2</v>
      </c>
      <c r="C30" s="54">
        <v>6.5223489113642643E-3</v>
      </c>
      <c r="D30" s="55">
        <v>2.8168215653425678E-2</v>
      </c>
      <c r="E30" s="1">
        <v>3.1969734317076517E-2</v>
      </c>
      <c r="F30" s="56">
        <v>3.6304539403696934E-2</v>
      </c>
      <c r="G30" s="68">
        <v>-8.525149202955648E-2</v>
      </c>
      <c r="H30" s="68">
        <v>0.14413644395681791</v>
      </c>
      <c r="I30" s="68">
        <v>1</v>
      </c>
      <c r="J30" s="68">
        <v>0.36647125154980786</v>
      </c>
      <c r="K30" s="68">
        <v>-8.3168103342643962E-2</v>
      </c>
      <c r="L30" s="68">
        <v>0.99999999999999178</v>
      </c>
      <c r="M30" s="2" t="s">
        <v>147</v>
      </c>
      <c r="N30" s="2" t="s">
        <v>147</v>
      </c>
      <c r="O30" s="69"/>
      <c r="R30" s="51" t="str">
        <f t="shared" si="10"/>
        <v>Aandelen opkomend</v>
      </c>
      <c r="S30" s="52">
        <f t="shared" si="11"/>
        <v>2.8168215653425678E-2</v>
      </c>
      <c r="T30" s="52">
        <f t="shared" si="12"/>
        <v>5.1570240582093432E-3</v>
      </c>
      <c r="U30" s="52">
        <f t="shared" si="13"/>
        <v>2.9792996920619125E-3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2.7291818172822932E-2</v>
      </c>
      <c r="C31" s="54">
        <v>1.6994944245942771E-2</v>
      </c>
      <c r="D31" s="55">
        <v>1.2407929018324758E-2</v>
      </c>
      <c r="E31" s="1">
        <v>2.7343551981582413E-2</v>
      </c>
      <c r="F31" s="56">
        <v>4.1357994261493093E-2</v>
      </c>
      <c r="G31" s="68">
        <v>-0.68211667530784625</v>
      </c>
      <c r="H31" s="68">
        <v>-0.73975401872140234</v>
      </c>
      <c r="I31" s="68">
        <v>-9.7377099718134436E-2</v>
      </c>
      <c r="J31" s="68">
        <v>-0.41978294672538502</v>
      </c>
      <c r="K31" s="68">
        <v>-0.33524117417948351</v>
      </c>
      <c r="L31" s="68">
        <v>1</v>
      </c>
      <c r="M31" s="2" t="s">
        <v>147</v>
      </c>
      <c r="N31" s="2" t="s">
        <v>147</v>
      </c>
      <c r="O31" s="69"/>
      <c r="R31" s="51" t="str">
        <f t="shared" si="10"/>
        <v>Commodities</v>
      </c>
      <c r="S31" s="52">
        <f t="shared" si="11"/>
        <v>1.2407929018324758E-2</v>
      </c>
      <c r="T31" s="52">
        <f t="shared" si="12"/>
        <v>1.4883889154498174E-2</v>
      </c>
      <c r="U31" s="52">
        <f t="shared" si="13"/>
        <v>1.4066176088670161E-2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3.2197057464982567E-2</v>
      </c>
      <c r="C32" s="54">
        <v>3.1256294505883375E-16</v>
      </c>
      <c r="D32" s="55">
        <v>3.219705746498288E-2</v>
      </c>
      <c r="E32" s="1">
        <v>3.219705746498288E-2</v>
      </c>
      <c r="F32" s="56">
        <v>3.219705746498288E-2</v>
      </c>
      <c r="G32" s="68">
        <v>0</v>
      </c>
      <c r="H32" s="68">
        <v>0</v>
      </c>
      <c r="I32" s="68">
        <v>0</v>
      </c>
      <c r="J32" s="68">
        <v>0</v>
      </c>
      <c r="K32" s="68">
        <v>0</v>
      </c>
      <c r="L32" s="68">
        <v>0</v>
      </c>
      <c r="M32" s="2" t="s">
        <v>147</v>
      </c>
      <c r="N32" s="2" t="s">
        <v>147</v>
      </c>
      <c r="O32" s="69"/>
      <c r="R32" s="51" t="str">
        <f t="shared" si="10"/>
        <v>Hedge funds</v>
      </c>
      <c r="S32" s="52">
        <f t="shared" si="11"/>
        <v>3.219705746498288E-2</v>
      </c>
      <c r="T32" s="52">
        <f t="shared" si="12"/>
        <v>-3.1225022567582528E-16</v>
      </c>
      <c r="U32" s="52">
        <f t="shared" si="13"/>
        <v>3.1225022567582528E-16</v>
      </c>
    </row>
    <row r="33" spans="1:30">
      <c r="A33" s="60" t="str">
        <f t="shared" si="9"/>
        <v>Onroerend goed</v>
      </c>
      <c r="B33" s="61">
        <v>4.8542120090085746E-2</v>
      </c>
      <c r="C33" s="62">
        <v>3.4729216117648195E-17</v>
      </c>
      <c r="D33" s="63">
        <v>4.8542120090085711E-2</v>
      </c>
      <c r="E33" s="61">
        <v>4.8542120090085711E-2</v>
      </c>
      <c r="F33" s="64">
        <v>4.8542120090085711E-2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70">
        <v>0</v>
      </c>
      <c r="M33" s="65" t="s">
        <v>147</v>
      </c>
      <c r="N33" s="65" t="s">
        <v>147</v>
      </c>
      <c r="O33" s="71"/>
      <c r="R33" s="51" t="str">
        <f t="shared" si="10"/>
        <v>Onroerend goed</v>
      </c>
      <c r="S33" s="52">
        <f t="shared" si="11"/>
        <v>4.8542120090085711E-2</v>
      </c>
      <c r="T33" s="52">
        <f t="shared" si="12"/>
        <v>0</v>
      </c>
      <c r="U33" s="52">
        <f t="shared" si="13"/>
        <v>0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404" t="s">
        <v>64</v>
      </c>
      <c r="E35" s="405"/>
      <c r="F35" s="406"/>
      <c r="G35" s="404" t="s">
        <v>65</v>
      </c>
      <c r="H35" s="405"/>
      <c r="I35" s="405"/>
      <c r="J35" s="405"/>
      <c r="K35" s="405"/>
      <c r="L35" s="405"/>
      <c r="M35" s="405"/>
      <c r="N35" s="405"/>
      <c r="O35" s="406"/>
    </row>
    <row r="36" spans="1:30">
      <c r="A36" s="266" t="str">
        <f>Optimalisatie!A23</f>
        <v>Base - muddle up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0.60886635634209574</v>
      </c>
      <c r="H36" s="272">
        <v>0.26373868679681278</v>
      </c>
      <c r="I36" s="272">
        <v>7.7799529299628301E-2</v>
      </c>
      <c r="J36" s="272">
        <v>4.3021310225376364E-2</v>
      </c>
      <c r="K36" s="272">
        <v>6.5741173360877037E-3</v>
      </c>
      <c r="L36" s="272">
        <v>-2.2204460492503131E-16</v>
      </c>
      <c r="M36" s="272" t="s">
        <v>147</v>
      </c>
      <c r="N36" s="272" t="s">
        <v>147</v>
      </c>
      <c r="O36" s="273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0.5878273206766802</v>
      </c>
      <c r="C37" s="54">
        <v>9.4459602321498876E-3</v>
      </c>
      <c r="D37" s="55">
        <v>0.58118242113117968</v>
      </c>
      <c r="E37" s="1">
        <v>0.58642723485180692</v>
      </c>
      <c r="F37" s="56">
        <v>0.59425691177841689</v>
      </c>
      <c r="G37" s="2">
        <v>-0.48727411590582492</v>
      </c>
      <c r="H37" s="2">
        <v>0.39054661708782407</v>
      </c>
      <c r="I37" s="2">
        <v>0.24120774638113368</v>
      </c>
      <c r="J37" s="2">
        <v>-0.59660825000443263</v>
      </c>
      <c r="K37" s="2">
        <v>1</v>
      </c>
      <c r="L37" s="2">
        <v>0.99999999999999623</v>
      </c>
      <c r="M37" s="2" t="s">
        <v>147</v>
      </c>
      <c r="N37" s="2" t="s">
        <v>147</v>
      </c>
      <c r="O37" s="57"/>
      <c r="R37" s="51" t="str">
        <f>A37</f>
        <v>Nominale matching</v>
      </c>
      <c r="S37" s="52">
        <f>D37</f>
        <v>0.58118242113117968</v>
      </c>
      <c r="T37" s="52">
        <f>B37-D37</f>
        <v>6.6448995455005155E-3</v>
      </c>
      <c r="U37" s="52">
        <f>F37-B37</f>
        <v>6.4295911017366869E-3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0.12649916600153724</v>
      </c>
      <c r="C38" s="54">
        <v>1.7069943495330822E-2</v>
      </c>
      <c r="D38" s="55">
        <v>0.11524828242074993</v>
      </c>
      <c r="E38" s="1">
        <v>0.12936225590945108</v>
      </c>
      <c r="F38" s="56">
        <v>0.14014478495189225</v>
      </c>
      <c r="G38" s="2">
        <v>1</v>
      </c>
      <c r="H38" s="2">
        <v>-0.35511219219194745</v>
      </c>
      <c r="I38" s="2">
        <v>-0.15140150011025272</v>
      </c>
      <c r="J38" s="2">
        <v>-0.62271107439022599</v>
      </c>
      <c r="K38" s="2">
        <v>6.225591602838202E-2</v>
      </c>
      <c r="L38" s="2">
        <v>0.99999999999999778</v>
      </c>
      <c r="M38" s="2" t="s">
        <v>147</v>
      </c>
      <c r="N38" s="2" t="s">
        <v>147</v>
      </c>
      <c r="O38" s="57"/>
      <c r="R38" s="51" t="str">
        <f t="shared" ref="R38:R44" si="15">A38</f>
        <v>High Yield</v>
      </c>
      <c r="S38" s="52">
        <f t="shared" ref="S38:S44" si="16">D38</f>
        <v>0.11524828242074993</v>
      </c>
      <c r="T38" s="52">
        <f t="shared" ref="T38:T44" si="17">B38-D38</f>
        <v>1.125088358078731E-2</v>
      </c>
      <c r="U38" s="52">
        <f t="shared" ref="U38:U44" si="18">F38-B38</f>
        <v>1.3645618950355015E-2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5.7401129472963497E-2</v>
      </c>
      <c r="C39" s="54">
        <v>5.6418349874569019E-3</v>
      </c>
      <c r="D39" s="55">
        <v>5.2954997309752325E-2</v>
      </c>
      <c r="E39" s="1">
        <v>5.6230773638077172E-2</v>
      </c>
      <c r="F39" s="56">
        <v>6.0929160755442094E-2</v>
      </c>
      <c r="G39" s="2">
        <v>7.7700773571525925E-2</v>
      </c>
      <c r="H39" s="2">
        <v>-6.5912591457635006E-2</v>
      </c>
      <c r="I39" s="2">
        <v>-0.58545337612945592</v>
      </c>
      <c r="J39" s="2">
        <v>1</v>
      </c>
      <c r="K39" s="2">
        <v>0.56889630085467668</v>
      </c>
      <c r="L39" s="2">
        <v>0.99999999999999578</v>
      </c>
      <c r="M39" s="2" t="s">
        <v>147</v>
      </c>
      <c r="N39" s="2" t="s">
        <v>147</v>
      </c>
      <c r="O39" s="57"/>
      <c r="R39" s="51" t="str">
        <f t="shared" si="15"/>
        <v>Emerging market debt</v>
      </c>
      <c r="S39" s="52">
        <f t="shared" si="16"/>
        <v>5.2954997309752325E-2</v>
      </c>
      <c r="T39" s="52">
        <f t="shared" si="17"/>
        <v>4.4461321632111722E-3</v>
      </c>
      <c r="U39" s="52">
        <f t="shared" si="18"/>
        <v>3.528031282478597E-3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8.4225719434486215E-2</v>
      </c>
      <c r="C40" s="54">
        <v>7.1669983446816087E-3</v>
      </c>
      <c r="D40" s="55">
        <v>7.8443973225628211E-2</v>
      </c>
      <c r="E40" s="1">
        <v>8.2366808856240981E-2</v>
      </c>
      <c r="F40" s="56">
        <v>8.8294528172347397E-2</v>
      </c>
      <c r="G40" s="2">
        <v>0.16483540984174924</v>
      </c>
      <c r="H40" s="2">
        <v>-3.8448414712169608E-2</v>
      </c>
      <c r="I40" s="2">
        <v>1</v>
      </c>
      <c r="J40" s="2">
        <v>0.55755847215314502</v>
      </c>
      <c r="K40" s="2">
        <v>-0.26407594912721116</v>
      </c>
      <c r="L40" s="2">
        <v>0.999999999999997</v>
      </c>
      <c r="M40" s="2" t="s">
        <v>147</v>
      </c>
      <c r="N40" s="2" t="s">
        <v>147</v>
      </c>
      <c r="O40" s="57"/>
      <c r="R40" s="51" t="str">
        <f t="shared" si="15"/>
        <v>Aandelen ontwikkeld</v>
      </c>
      <c r="S40" s="52">
        <f t="shared" si="16"/>
        <v>7.8443973225628211E-2</v>
      </c>
      <c r="T40" s="52">
        <f t="shared" si="17"/>
        <v>5.7817462088580046E-3</v>
      </c>
      <c r="U40" s="52">
        <f t="shared" si="18"/>
        <v>4.068808737861182E-3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5.394454250764967E-2</v>
      </c>
      <c r="C41" s="54">
        <v>1.452930448868305E-2</v>
      </c>
      <c r="D41" s="55">
        <v>4.4027785107077153E-2</v>
      </c>
      <c r="E41" s="1">
        <v>5.2250297617670236E-2</v>
      </c>
      <c r="F41" s="56">
        <v>6.2127837837293365E-2</v>
      </c>
      <c r="G41" s="2">
        <v>-0.67948562912108301</v>
      </c>
      <c r="H41" s="2">
        <v>-0.93107341872607285</v>
      </c>
      <c r="I41" s="2">
        <v>-0.184480374609715</v>
      </c>
      <c r="J41" s="2">
        <v>-0.22653722710622812</v>
      </c>
      <c r="K41" s="2">
        <v>-0.53130119413846788</v>
      </c>
      <c r="L41" s="2">
        <v>0.99999999999999845</v>
      </c>
      <c r="M41" s="2" t="s">
        <v>147</v>
      </c>
      <c r="N41" s="2" t="s">
        <v>147</v>
      </c>
      <c r="O41" s="57"/>
      <c r="R41" s="51" t="str">
        <f t="shared" si="15"/>
        <v>Aandelen opkomend</v>
      </c>
      <c r="S41" s="52">
        <f t="shared" si="16"/>
        <v>4.4027785107077153E-2</v>
      </c>
      <c r="T41" s="52">
        <f t="shared" si="17"/>
        <v>9.9167574005725179E-3</v>
      </c>
      <c r="U41" s="52">
        <f t="shared" si="18"/>
        <v>8.1832953296436944E-3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9.3629443516143884E-3</v>
      </c>
      <c r="C42" s="54">
        <v>1.0126057687587548E-2</v>
      </c>
      <c r="D42" s="55">
        <v>1.1289145740709032E-3</v>
      </c>
      <c r="E42" s="1">
        <v>5.0776148618132365E-3</v>
      </c>
      <c r="F42" s="56">
        <v>1.5189130292218073E-2</v>
      </c>
      <c r="G42" s="2">
        <v>-7.5776438386366884E-2</v>
      </c>
      <c r="H42" s="2">
        <v>1</v>
      </c>
      <c r="I42" s="2">
        <v>-0.31987249553170916</v>
      </c>
      <c r="J42" s="2">
        <v>-0.11170192065225533</v>
      </c>
      <c r="K42" s="2">
        <v>-0.83577507361737391</v>
      </c>
      <c r="L42" s="2">
        <v>1</v>
      </c>
      <c r="M42" s="2" t="s">
        <v>147</v>
      </c>
      <c r="N42" s="2" t="s">
        <v>147</v>
      </c>
      <c r="O42" s="57"/>
      <c r="R42" s="51" t="str">
        <f t="shared" si="15"/>
        <v>Commodities</v>
      </c>
      <c r="S42" s="52">
        <f t="shared" si="16"/>
        <v>1.1289145740709032E-3</v>
      </c>
      <c r="T42" s="52">
        <f t="shared" si="17"/>
        <v>8.2340297775434848E-3</v>
      </c>
      <c r="U42" s="52">
        <f t="shared" si="18"/>
        <v>5.8261859406036846E-3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3.2197057464982567E-2</v>
      </c>
      <c r="C43" s="54">
        <v>3.1256294505883375E-16</v>
      </c>
      <c r="D43" s="55">
        <v>3.219705746498288E-2</v>
      </c>
      <c r="E43" s="1">
        <v>3.219705746498288E-2</v>
      </c>
      <c r="F43" s="56">
        <v>3.219705746498288E-2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 t="s">
        <v>147</v>
      </c>
      <c r="N43" s="2" t="s">
        <v>147</v>
      </c>
      <c r="O43" s="57"/>
      <c r="R43" s="51" t="str">
        <f t="shared" si="15"/>
        <v>Hedge funds</v>
      </c>
      <c r="S43" s="52">
        <f t="shared" si="16"/>
        <v>3.219705746498288E-2</v>
      </c>
      <c r="T43" s="52">
        <f t="shared" si="17"/>
        <v>-3.1225022567582528E-16</v>
      </c>
      <c r="U43" s="52">
        <f t="shared" si="18"/>
        <v>3.1225022567582528E-16</v>
      </c>
    </row>
    <row r="44" spans="1:30">
      <c r="A44" s="60" t="str">
        <f t="shared" si="14"/>
        <v>Onroerend goed</v>
      </c>
      <c r="B44" s="61">
        <v>4.8542120090085746E-2</v>
      </c>
      <c r="C44" s="62">
        <v>3.4729216117648195E-17</v>
      </c>
      <c r="D44" s="63">
        <v>4.8542120090085711E-2</v>
      </c>
      <c r="E44" s="61">
        <v>4.8542120090085711E-2</v>
      </c>
      <c r="F44" s="64">
        <v>4.8542120090085711E-2</v>
      </c>
      <c r="G44" s="65">
        <v>0</v>
      </c>
      <c r="H44" s="65">
        <v>0</v>
      </c>
      <c r="I44" s="65">
        <v>0</v>
      </c>
      <c r="J44" s="65">
        <v>0</v>
      </c>
      <c r="K44" s="65">
        <v>0</v>
      </c>
      <c r="L44" s="65">
        <v>0</v>
      </c>
      <c r="M44" s="65" t="s">
        <v>147</v>
      </c>
      <c r="N44" s="65" t="s">
        <v>147</v>
      </c>
      <c r="O44" s="66"/>
      <c r="R44" s="51" t="str">
        <f t="shared" si="15"/>
        <v>Onroerend goed</v>
      </c>
      <c r="S44" s="52">
        <f t="shared" si="16"/>
        <v>4.8542120090085711E-2</v>
      </c>
      <c r="T44" s="52">
        <f t="shared" si="17"/>
        <v>0</v>
      </c>
      <c r="U44" s="52">
        <f t="shared" si="18"/>
        <v>0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404" t="s">
        <v>64</v>
      </c>
      <c r="E46" s="405"/>
      <c r="F46" s="406"/>
      <c r="G46" s="404" t="s">
        <v>65</v>
      </c>
      <c r="H46" s="405"/>
      <c r="I46" s="405"/>
      <c r="J46" s="405"/>
      <c r="K46" s="405"/>
      <c r="L46" s="405"/>
      <c r="M46" s="405"/>
      <c r="N46" s="405"/>
      <c r="O46" s="406"/>
    </row>
    <row r="47" spans="1:30">
      <c r="A47" s="266" t="str">
        <f>Optimalisatie!A24</f>
        <v>Bear case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0.92305592957443661</v>
      </c>
      <c r="H47" s="272">
        <v>3.7064077084081326E-2</v>
      </c>
      <c r="I47" s="272">
        <v>1.85566636555341E-2</v>
      </c>
      <c r="J47" s="272">
        <v>1.2844168012279944E-2</v>
      </c>
      <c r="K47" s="272">
        <v>8.4791616736694664E-3</v>
      </c>
      <c r="L47" s="272">
        <v>0</v>
      </c>
      <c r="M47" s="272" t="s">
        <v>147</v>
      </c>
      <c r="N47" s="272" t="s">
        <v>147</v>
      </c>
      <c r="O47" s="273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0.64766517686265979</v>
      </c>
      <c r="C48" s="54">
        <v>2.5495195171585518E-3</v>
      </c>
      <c r="D48" s="55">
        <v>0.64595771324157536</v>
      </c>
      <c r="E48" s="1">
        <v>0.64826144771266647</v>
      </c>
      <c r="F48" s="56">
        <v>0.64970065829171808</v>
      </c>
      <c r="G48" s="68">
        <v>-1.6483341620526955E-2</v>
      </c>
      <c r="H48" s="68">
        <v>-0.57970079247163475</v>
      </c>
      <c r="I48" s="68">
        <v>7.1517703773399305E-2</v>
      </c>
      <c r="J48" s="68">
        <v>0.26957048691200708</v>
      </c>
      <c r="K48" s="68">
        <v>1</v>
      </c>
      <c r="L48" s="68">
        <v>0.99999999999999711</v>
      </c>
      <c r="M48" s="2" t="s">
        <v>147</v>
      </c>
      <c r="N48" s="2" t="s">
        <v>147</v>
      </c>
      <c r="O48" s="69"/>
      <c r="R48" s="51" t="str">
        <f>A48</f>
        <v>Nominale matching</v>
      </c>
      <c r="S48" s="52">
        <f>D48</f>
        <v>0.64595771324157536</v>
      </c>
      <c r="T48" s="52">
        <f>B48-D48</f>
        <v>1.7074636210844263E-3</v>
      </c>
      <c r="U48" s="52">
        <f>F48-B48</f>
        <v>2.0354814290582945E-3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8.4241886801590157E-2</v>
      </c>
      <c r="C49" s="54">
        <v>1.7132271236015094E-2</v>
      </c>
      <c r="D49" s="55">
        <v>7.1103052121758742E-2</v>
      </c>
      <c r="E49" s="1">
        <v>8.4383358509610346E-2</v>
      </c>
      <c r="F49" s="56">
        <v>9.7622623597682437E-2</v>
      </c>
      <c r="G49" s="68">
        <v>1</v>
      </c>
      <c r="H49" s="68">
        <v>0.99005231363440993</v>
      </c>
      <c r="I49" s="68">
        <v>-5.5308831310676536E-2</v>
      </c>
      <c r="J49" s="68">
        <v>-0.1009529243729157</v>
      </c>
      <c r="K49" s="68">
        <v>6.9758257852044162E-2</v>
      </c>
      <c r="L49" s="68">
        <v>0.99999999999999967</v>
      </c>
      <c r="M49" s="2" t="s">
        <v>147</v>
      </c>
      <c r="N49" s="2" t="s">
        <v>147</v>
      </c>
      <c r="O49" s="69"/>
      <c r="R49" s="51" t="str">
        <f t="shared" ref="R49:R55" si="20">A49</f>
        <v>High Yield</v>
      </c>
      <c r="S49" s="52">
        <f t="shared" ref="S49:S55" si="21">D49</f>
        <v>7.1103052121758742E-2</v>
      </c>
      <c r="T49" s="52">
        <f t="shared" ref="T49:T55" si="22">B49-D49</f>
        <v>1.3138834679831415E-2</v>
      </c>
      <c r="U49" s="52">
        <f t="shared" ref="U49:U55" si="23">F49-B49</f>
        <v>1.338073679609228E-2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7.9334547678456518E-2</v>
      </c>
      <c r="C50" s="54">
        <v>1.7043974511421849E-2</v>
      </c>
      <c r="D50" s="55">
        <v>6.5985570622912437E-2</v>
      </c>
      <c r="E50" s="1">
        <v>7.8219485328115679E-2</v>
      </c>
      <c r="F50" s="56">
        <v>9.1925196513761798E-2</v>
      </c>
      <c r="G50" s="68">
        <v>-0.99445543543233261</v>
      </c>
      <c r="H50" s="68">
        <v>1</v>
      </c>
      <c r="I50" s="68">
        <v>-6.2309033791841981E-2</v>
      </c>
      <c r="J50" s="68">
        <v>-0.10355169828838409</v>
      </c>
      <c r="K50" s="68">
        <v>4.9151001833410111E-2</v>
      </c>
      <c r="L50" s="68">
        <v>1</v>
      </c>
      <c r="M50" s="2" t="s">
        <v>147</v>
      </c>
      <c r="N50" s="2" t="s">
        <v>147</v>
      </c>
      <c r="O50" s="69"/>
      <c r="R50" s="51" t="str">
        <f t="shared" si="20"/>
        <v>Emerging market debt</v>
      </c>
      <c r="S50" s="52">
        <f t="shared" si="21"/>
        <v>6.5985570622912437E-2</v>
      </c>
      <c r="T50" s="52">
        <f t="shared" si="22"/>
        <v>1.3348977055544081E-2</v>
      </c>
      <c r="U50" s="52">
        <f t="shared" si="23"/>
        <v>1.2590648835305279E-2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7.7910827116559708E-2</v>
      </c>
      <c r="C51" s="54">
        <v>3.0676907571575204E-3</v>
      </c>
      <c r="D51" s="55">
        <v>7.5407437891429313E-2</v>
      </c>
      <c r="E51" s="1">
        <v>7.7268054510879841E-2</v>
      </c>
      <c r="F51" s="56">
        <v>7.9657754924356089E-2</v>
      </c>
      <c r="G51" s="68">
        <v>-1.4059489006950935E-4</v>
      </c>
      <c r="H51" s="68">
        <v>-0.47269102793258294</v>
      </c>
      <c r="I51" s="68">
        <v>1</v>
      </c>
      <c r="J51" s="68">
        <v>-0.50524266751987734</v>
      </c>
      <c r="K51" s="68">
        <v>-0.31409637155062159</v>
      </c>
      <c r="L51" s="68">
        <v>0.99999999999999234</v>
      </c>
      <c r="M51" s="2" t="s">
        <v>147</v>
      </c>
      <c r="N51" s="2" t="s">
        <v>147</v>
      </c>
      <c r="O51" s="69"/>
      <c r="R51" s="51" t="str">
        <f t="shared" si="20"/>
        <v>Aandelen ontwikkeld</v>
      </c>
      <c r="S51" s="52">
        <f t="shared" si="21"/>
        <v>7.5407437891429313E-2</v>
      </c>
      <c r="T51" s="52">
        <f t="shared" si="22"/>
        <v>2.5033892251303952E-3</v>
      </c>
      <c r="U51" s="52">
        <f t="shared" si="23"/>
        <v>1.7469278077963807E-3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2.8116666145894708E-2</v>
      </c>
      <c r="C52" s="54">
        <v>3.2144263889301197E-3</v>
      </c>
      <c r="D52" s="55">
        <v>2.5589274678429148E-2</v>
      </c>
      <c r="E52" s="1">
        <v>2.728872820479368E-2</v>
      </c>
      <c r="F52" s="56">
        <v>3.0282425234615572E-2</v>
      </c>
      <c r="G52" s="68">
        <v>5.5978196183787618E-3</v>
      </c>
      <c r="H52" s="68">
        <v>-0.67867141552025501</v>
      </c>
      <c r="I52" s="68">
        <v>-0.91537787899420175</v>
      </c>
      <c r="J52" s="68">
        <v>-0.55982319673082592</v>
      </c>
      <c r="K52" s="68">
        <v>-0.24918175550834859</v>
      </c>
      <c r="L52" s="68">
        <v>0.99999999999999167</v>
      </c>
      <c r="M52" s="2" t="s">
        <v>147</v>
      </c>
      <c r="N52" s="2" t="s">
        <v>147</v>
      </c>
      <c r="O52" s="69"/>
      <c r="R52" s="51" t="str">
        <f t="shared" si="20"/>
        <v>Aandelen opkomend</v>
      </c>
      <c r="S52" s="52">
        <f t="shared" si="21"/>
        <v>2.5589274678429148E-2</v>
      </c>
      <c r="T52" s="52">
        <f t="shared" si="22"/>
        <v>2.5273914674655597E-3</v>
      </c>
      <c r="U52" s="52">
        <f t="shared" si="23"/>
        <v>2.1657590887208637E-3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1.9917178397705921E-3</v>
      </c>
      <c r="C53" s="54">
        <v>2.5249307810921041E-3</v>
      </c>
      <c r="D53" s="55">
        <v>8.9271252252749768E-5</v>
      </c>
      <c r="E53" s="1">
        <v>8.1666478839083746E-4</v>
      </c>
      <c r="F53" s="56">
        <v>3.0894775315710252E-3</v>
      </c>
      <c r="G53" s="68">
        <v>5.4815523245502146E-3</v>
      </c>
      <c r="H53" s="68">
        <v>-0.25898907770995144</v>
      </c>
      <c r="I53" s="68">
        <v>-3.8521959676678943E-2</v>
      </c>
      <c r="J53" s="68">
        <v>1</v>
      </c>
      <c r="K53" s="68">
        <v>-0.55563113262649189</v>
      </c>
      <c r="L53" s="68">
        <v>0.99999999999998834</v>
      </c>
      <c r="M53" s="2" t="s">
        <v>147</v>
      </c>
      <c r="N53" s="2" t="s">
        <v>147</v>
      </c>
      <c r="O53" s="69"/>
      <c r="R53" s="51" t="str">
        <f t="shared" si="20"/>
        <v>Commodities</v>
      </c>
      <c r="S53" s="52">
        <f t="shared" si="21"/>
        <v>8.9271252252749768E-5</v>
      </c>
      <c r="T53" s="52">
        <f t="shared" si="22"/>
        <v>1.9024465875178422E-3</v>
      </c>
      <c r="U53" s="52">
        <f t="shared" si="23"/>
        <v>1.0977596918004331E-3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3.2197057464982567E-2</v>
      </c>
      <c r="C54" s="54">
        <v>3.1256294505883375E-16</v>
      </c>
      <c r="D54" s="55">
        <v>3.219705746498288E-2</v>
      </c>
      <c r="E54" s="1">
        <v>3.219705746498288E-2</v>
      </c>
      <c r="F54" s="56">
        <v>3.219705746498288E-2</v>
      </c>
      <c r="G54" s="68">
        <v>0</v>
      </c>
      <c r="H54" s="68">
        <v>0</v>
      </c>
      <c r="I54" s="68">
        <v>0</v>
      </c>
      <c r="J54" s="68">
        <v>0</v>
      </c>
      <c r="K54" s="68">
        <v>0</v>
      </c>
      <c r="L54" s="68">
        <v>0</v>
      </c>
      <c r="M54" s="2" t="s">
        <v>147</v>
      </c>
      <c r="N54" s="2" t="s">
        <v>147</v>
      </c>
      <c r="O54" s="69"/>
      <c r="R54" s="51" t="str">
        <f t="shared" si="20"/>
        <v>Hedge funds</v>
      </c>
      <c r="S54" s="52">
        <f t="shared" si="21"/>
        <v>3.219705746498288E-2</v>
      </c>
      <c r="T54" s="52">
        <f t="shared" si="22"/>
        <v>-3.1225022567582528E-16</v>
      </c>
      <c r="U54" s="52">
        <f t="shared" si="23"/>
        <v>3.1225022567582528E-16</v>
      </c>
    </row>
    <row r="55" spans="1:36">
      <c r="A55" s="60" t="str">
        <f t="shared" si="19"/>
        <v>Onroerend goed</v>
      </c>
      <c r="B55" s="61">
        <v>4.8542120090085746E-2</v>
      </c>
      <c r="C55" s="62">
        <v>3.4729216117648195E-17</v>
      </c>
      <c r="D55" s="63">
        <v>4.8542120090085711E-2</v>
      </c>
      <c r="E55" s="61">
        <v>4.8542120090085711E-2</v>
      </c>
      <c r="F55" s="64">
        <v>4.8542120090085711E-2</v>
      </c>
      <c r="G55" s="70">
        <v>0</v>
      </c>
      <c r="H55" s="70">
        <v>0</v>
      </c>
      <c r="I55" s="70">
        <v>0</v>
      </c>
      <c r="J55" s="70">
        <v>0</v>
      </c>
      <c r="K55" s="70">
        <v>0</v>
      </c>
      <c r="L55" s="70">
        <v>0</v>
      </c>
      <c r="M55" s="65" t="s">
        <v>147</v>
      </c>
      <c r="N55" s="65" t="s">
        <v>147</v>
      </c>
      <c r="O55" s="71"/>
      <c r="R55" s="51" t="str">
        <f t="shared" si="20"/>
        <v>Onroerend goed</v>
      </c>
      <c r="S55" s="52">
        <f t="shared" si="21"/>
        <v>4.8542120090085711E-2</v>
      </c>
      <c r="T55" s="52">
        <f t="shared" si="22"/>
        <v>0</v>
      </c>
      <c r="U55" s="52">
        <f t="shared" si="23"/>
        <v>0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404" t="s">
        <v>64</v>
      </c>
      <c r="E57" s="405"/>
      <c r="F57" s="406"/>
      <c r="G57" s="404" t="s">
        <v>65</v>
      </c>
      <c r="H57" s="405"/>
      <c r="I57" s="405"/>
      <c r="J57" s="405"/>
      <c r="K57" s="405"/>
      <c r="L57" s="405"/>
      <c r="M57" s="405"/>
      <c r="N57" s="405"/>
      <c r="O57" s="406"/>
    </row>
    <row r="58" spans="1:36">
      <c r="A58" s="266" t="str">
        <f>Optimalisatie!A11</f>
        <v>Tail risk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0.91153916211330455</v>
      </c>
      <c r="H58" s="272">
        <v>4.3777300920336382E-2</v>
      </c>
      <c r="I58" s="272">
        <v>1.9748444003926724E-2</v>
      </c>
      <c r="J58" s="272">
        <v>1.4513039311287113E-2</v>
      </c>
      <c r="K58" s="272">
        <v>1.0422053651150232E-2</v>
      </c>
      <c r="L58" s="272">
        <v>-2.2204460492503131E-16</v>
      </c>
      <c r="M58" s="272" t="s">
        <v>147</v>
      </c>
      <c r="N58" s="272" t="s">
        <v>147</v>
      </c>
      <c r="O58" s="273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0.64802733648459176</v>
      </c>
      <c r="C59" s="54">
        <v>2.5340682429086121E-3</v>
      </c>
      <c r="D59" s="55">
        <v>0.64653478143230725</v>
      </c>
      <c r="E59" s="1">
        <v>0.648539105011534</v>
      </c>
      <c r="F59" s="56">
        <v>0.64994084764454796</v>
      </c>
      <c r="G59" s="2">
        <v>-1.7945404000881186E-2</v>
      </c>
      <c r="H59" s="2">
        <v>-0.49295176691275866</v>
      </c>
      <c r="I59" s="2">
        <v>-0.31828168589825795</v>
      </c>
      <c r="J59" s="2">
        <v>-8.5482608349261538E-2</v>
      </c>
      <c r="K59" s="2">
        <v>1</v>
      </c>
      <c r="L59" s="2">
        <v>0.99999999999999378</v>
      </c>
      <c r="M59" s="2" t="s">
        <v>147</v>
      </c>
      <c r="N59" s="2" t="s">
        <v>147</v>
      </c>
      <c r="O59" s="69"/>
      <c r="R59" s="51" t="str">
        <f>A59</f>
        <v>Nominale matching</v>
      </c>
      <c r="S59" s="52">
        <f>D59</f>
        <v>0.64653478143230725</v>
      </c>
      <c r="T59" s="52">
        <f>B59-D59</f>
        <v>1.4925550522845166E-3</v>
      </c>
      <c r="U59" s="52">
        <f>F59-B59</f>
        <v>1.9135111599561938E-3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9.0355995593255425E-2</v>
      </c>
      <c r="C60" s="54">
        <v>1.5876618885837843E-2</v>
      </c>
      <c r="D60" s="55">
        <v>7.9284281816252855E-2</v>
      </c>
      <c r="E60" s="1">
        <v>9.0210980658044754E-2</v>
      </c>
      <c r="F60" s="56">
        <v>0.10263209981965668</v>
      </c>
      <c r="G60" s="2">
        <v>1</v>
      </c>
      <c r="H60" s="2">
        <v>0.99202694654568002</v>
      </c>
      <c r="I60" s="2">
        <v>0.12193533052886898</v>
      </c>
      <c r="J60" s="2">
        <v>-1.3301338553623003E-2</v>
      </c>
      <c r="K60" s="2">
        <v>3.5826698061321875E-2</v>
      </c>
      <c r="L60" s="2">
        <v>0.99999999999999811</v>
      </c>
      <c r="M60" s="2" t="s">
        <v>147</v>
      </c>
      <c r="N60" s="2" t="s">
        <v>147</v>
      </c>
      <c r="O60" s="69"/>
      <c r="R60" s="51" t="str">
        <f t="shared" ref="R60:R66" si="25">A60</f>
        <v>High Yield</v>
      </c>
      <c r="S60" s="52">
        <f t="shared" ref="S60:S66" si="26">D60</f>
        <v>7.9284281816252855E-2</v>
      </c>
      <c r="T60" s="52">
        <f t="shared" ref="T60:T66" si="27">B60-D60</f>
        <v>1.107171377700257E-2</v>
      </c>
      <c r="U60" s="52">
        <f t="shared" ref="U60:U66" si="28">F60-B60</f>
        <v>1.2276104226401255E-2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7.3788193615281938E-2</v>
      </c>
      <c r="C61" s="54">
        <v>1.574935489918456E-2</v>
      </c>
      <c r="D61" s="55">
        <v>6.146671202516199E-2</v>
      </c>
      <c r="E61" s="1">
        <v>7.1822507512057002E-2</v>
      </c>
      <c r="F61" s="56">
        <v>8.5447124547195691E-2</v>
      </c>
      <c r="G61" s="2">
        <v>-0.99140679934939302</v>
      </c>
      <c r="H61" s="2">
        <v>1</v>
      </c>
      <c r="I61" s="2">
        <v>0.14672753016510079</v>
      </c>
      <c r="J61" s="2">
        <v>-5.6681077209310114E-3</v>
      </c>
      <c r="K61" s="2">
        <v>1.9196533619396904E-2</v>
      </c>
      <c r="L61" s="2">
        <v>0.999999999999999</v>
      </c>
      <c r="M61" s="2" t="s">
        <v>147</v>
      </c>
      <c r="N61" s="2" t="s">
        <v>147</v>
      </c>
      <c r="O61" s="69"/>
      <c r="R61" s="51" t="str">
        <f t="shared" si="25"/>
        <v>Emerging market debt</v>
      </c>
      <c r="S61" s="52">
        <f t="shared" si="26"/>
        <v>6.146671202516199E-2</v>
      </c>
      <c r="T61" s="52">
        <f t="shared" si="27"/>
        <v>1.2321481590119948E-2</v>
      </c>
      <c r="U61" s="52">
        <f t="shared" si="28"/>
        <v>1.1658930931913752E-2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7.8006868264857004E-2</v>
      </c>
      <c r="C62" s="54">
        <v>3.3488118688255251E-3</v>
      </c>
      <c r="D62" s="55">
        <v>7.5492867517471793E-2</v>
      </c>
      <c r="E62" s="1">
        <v>7.7334090001091968E-2</v>
      </c>
      <c r="F62" s="56">
        <v>7.9707693173760488E-2</v>
      </c>
      <c r="G62" s="2">
        <v>1.5036655251504929E-2</v>
      </c>
      <c r="H62" s="2">
        <v>-0.77083564179013386</v>
      </c>
      <c r="I62" s="2">
        <v>1</v>
      </c>
      <c r="J62" s="2">
        <v>1.330797365365305E-3</v>
      </c>
      <c r="K62" s="2">
        <v>-0.13011653439401993</v>
      </c>
      <c r="L62" s="2">
        <v>0.99999999999999789</v>
      </c>
      <c r="M62" s="2" t="s">
        <v>147</v>
      </c>
      <c r="N62" s="2" t="s">
        <v>147</v>
      </c>
      <c r="O62" s="69"/>
      <c r="R62" s="51" t="str">
        <f t="shared" si="25"/>
        <v>Aandelen ontwikkeld</v>
      </c>
      <c r="S62" s="52">
        <f t="shared" si="26"/>
        <v>7.5492867517471793E-2</v>
      </c>
      <c r="T62" s="52">
        <f t="shared" si="27"/>
        <v>2.5140007473852116E-3</v>
      </c>
      <c r="U62" s="52">
        <f t="shared" si="28"/>
        <v>1.7008249089034838E-3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2.7032403552113084E-2</v>
      </c>
      <c r="C63" s="54">
        <v>2.6711149546946394E-3</v>
      </c>
      <c r="D63" s="55">
        <v>2.50513810662947E-2</v>
      </c>
      <c r="E63" s="1">
        <v>2.6529147057132801E-2</v>
      </c>
      <c r="F63" s="56">
        <v>2.8688915983097238E-2</v>
      </c>
      <c r="G63" s="2">
        <v>-6.2272611167204246E-3</v>
      </c>
      <c r="H63" s="2">
        <v>-0.37218507390136202</v>
      </c>
      <c r="I63" s="2">
        <v>-0.48727226388424666</v>
      </c>
      <c r="J63" s="2">
        <v>-0.89687874274154844</v>
      </c>
      <c r="K63" s="2">
        <v>-0.53305875207199926</v>
      </c>
      <c r="L63" s="2">
        <v>1</v>
      </c>
      <c r="M63" s="2" t="s">
        <v>147</v>
      </c>
      <c r="N63" s="2" t="s">
        <v>147</v>
      </c>
      <c r="O63" s="69"/>
      <c r="R63" s="51" t="str">
        <f t="shared" si="25"/>
        <v>Aandelen opkomend</v>
      </c>
      <c r="S63" s="52">
        <f t="shared" si="26"/>
        <v>2.50513810662947E-2</v>
      </c>
      <c r="T63" s="52">
        <f t="shared" si="27"/>
        <v>1.9810224858183845E-3</v>
      </c>
      <c r="U63" s="52">
        <f t="shared" si="28"/>
        <v>1.6565124309841535E-3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2.0500249348322582E-3</v>
      </c>
      <c r="C64" s="54">
        <v>2.6872506429015978E-3</v>
      </c>
      <c r="D64" s="55">
        <v>1.1461764960437912E-4</v>
      </c>
      <c r="E64" s="1">
        <v>9.4028289256007985E-4</v>
      </c>
      <c r="F64" s="56">
        <v>3.1357087051092627E-3</v>
      </c>
      <c r="G64" s="2">
        <v>5.4280921549039007E-4</v>
      </c>
      <c r="H64" s="2">
        <v>-0.35605446394142776</v>
      </c>
      <c r="I64" s="2">
        <v>-0.46310891091146544</v>
      </c>
      <c r="J64" s="2">
        <v>1</v>
      </c>
      <c r="K64" s="2">
        <v>-0.39184794521469479</v>
      </c>
      <c r="L64" s="2">
        <v>0.99999999999999734</v>
      </c>
      <c r="M64" s="2" t="s">
        <v>147</v>
      </c>
      <c r="N64" s="2" t="s">
        <v>147</v>
      </c>
      <c r="O64" s="69"/>
      <c r="R64" s="51" t="str">
        <f t="shared" si="25"/>
        <v>Commodities</v>
      </c>
      <c r="S64" s="52">
        <f t="shared" si="26"/>
        <v>1.1461764960437912E-4</v>
      </c>
      <c r="T64" s="52">
        <f t="shared" si="27"/>
        <v>1.935407285227879E-3</v>
      </c>
      <c r="U64" s="52">
        <f t="shared" si="28"/>
        <v>1.0856837702770046E-3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3.2197057464982567E-2</v>
      </c>
      <c r="C65" s="54">
        <v>3.1256294505883375E-16</v>
      </c>
      <c r="D65" s="55">
        <v>3.219705746498288E-2</v>
      </c>
      <c r="E65" s="1">
        <v>3.219705746498288E-2</v>
      </c>
      <c r="F65" s="56">
        <v>3.219705746498288E-2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 t="s">
        <v>147</v>
      </c>
      <c r="N65" s="2" t="s">
        <v>147</v>
      </c>
      <c r="O65" s="69"/>
      <c r="R65" s="51" t="str">
        <f t="shared" si="25"/>
        <v>Hedge funds</v>
      </c>
      <c r="S65" s="52">
        <f t="shared" si="26"/>
        <v>3.219705746498288E-2</v>
      </c>
      <c r="T65" s="52">
        <f t="shared" si="27"/>
        <v>-3.1225022567582528E-16</v>
      </c>
      <c r="U65" s="52">
        <f t="shared" si="28"/>
        <v>3.1225022567582528E-16</v>
      </c>
    </row>
    <row r="66" spans="1:36">
      <c r="A66" s="60" t="str">
        <f t="shared" si="24"/>
        <v>Onroerend goed</v>
      </c>
      <c r="B66" s="61">
        <v>4.8542120090085746E-2</v>
      </c>
      <c r="C66" s="62">
        <v>3.4729216117648195E-17</v>
      </c>
      <c r="D66" s="63">
        <v>4.8542120090085711E-2</v>
      </c>
      <c r="E66" s="61">
        <v>4.8542120090085711E-2</v>
      </c>
      <c r="F66" s="64">
        <v>4.8542120090085711E-2</v>
      </c>
      <c r="G66" s="65">
        <v>0</v>
      </c>
      <c r="H66" s="65">
        <v>0</v>
      </c>
      <c r="I66" s="65">
        <v>0</v>
      </c>
      <c r="J66" s="65">
        <v>0</v>
      </c>
      <c r="K66" s="65">
        <v>0</v>
      </c>
      <c r="L66" s="65">
        <v>0</v>
      </c>
      <c r="M66" s="65" t="s">
        <v>147</v>
      </c>
      <c r="N66" s="65" t="s">
        <v>147</v>
      </c>
      <c r="O66" s="71"/>
      <c r="R66" s="51" t="str">
        <f t="shared" si="25"/>
        <v>Onroerend goed</v>
      </c>
      <c r="S66" s="52">
        <f t="shared" si="26"/>
        <v>4.8542120090085711E-2</v>
      </c>
      <c r="T66" s="52">
        <f t="shared" si="27"/>
        <v>0</v>
      </c>
      <c r="U66" s="52">
        <f t="shared" si="28"/>
        <v>0</v>
      </c>
    </row>
    <row r="69" spans="1:36">
      <c r="A69" s="266" t="str">
        <f>Optimalisatie!A12</f>
        <v>Bull case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0.92305592957443661</v>
      </c>
      <c r="H69" s="272">
        <v>3.7064077084081326E-2</v>
      </c>
      <c r="I69" s="272">
        <v>1.85566636555341E-2</v>
      </c>
      <c r="J69" s="272">
        <v>1.2844168012279944E-2</v>
      </c>
      <c r="K69" s="272">
        <v>8.4791616736694664E-3</v>
      </c>
      <c r="L69" s="272">
        <v>0</v>
      </c>
      <c r="M69" s="272" t="s">
        <v>147</v>
      </c>
      <c r="N69" s="272" t="s">
        <v>147</v>
      </c>
      <c r="O69" s="273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0.64766517686265979</v>
      </c>
      <c r="C70" s="54">
        <v>2.5495195171585518E-3</v>
      </c>
      <c r="D70" s="55">
        <v>0.64595771324157536</v>
      </c>
      <c r="E70" s="1">
        <v>0.64826144771266647</v>
      </c>
      <c r="F70" s="56">
        <v>0.64970065829171808</v>
      </c>
      <c r="G70" s="68">
        <v>-1.6483341620526955E-2</v>
      </c>
      <c r="H70" s="68">
        <v>-0.57970079247163475</v>
      </c>
      <c r="I70" s="68">
        <v>7.1517703773399305E-2</v>
      </c>
      <c r="J70" s="68">
        <v>0.26957048691200708</v>
      </c>
      <c r="K70" s="68">
        <v>1</v>
      </c>
      <c r="L70" s="68">
        <v>0.99999999999999711</v>
      </c>
      <c r="M70" s="2" t="s">
        <v>147</v>
      </c>
      <c r="N70" s="2" t="s">
        <v>147</v>
      </c>
      <c r="O70" s="69"/>
      <c r="R70" s="51" t="str">
        <f>A70</f>
        <v>Nominale matching</v>
      </c>
      <c r="S70" s="52">
        <f>D70</f>
        <v>0.64595771324157536</v>
      </c>
      <c r="T70" s="52">
        <f>B70-D70</f>
        <v>1.7074636210844263E-3</v>
      </c>
      <c r="U70" s="52">
        <f>F70-B70</f>
        <v>2.0354814290582945E-3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8.4241886801590157E-2</v>
      </c>
      <c r="C71" s="54">
        <v>1.7132271236015094E-2</v>
      </c>
      <c r="D71" s="55">
        <v>7.1103052121758742E-2</v>
      </c>
      <c r="E71" s="1">
        <v>8.4383358509610346E-2</v>
      </c>
      <c r="F71" s="56">
        <v>9.7622623597682437E-2</v>
      </c>
      <c r="G71" s="68">
        <v>1</v>
      </c>
      <c r="H71" s="68">
        <v>0.99005231363440993</v>
      </c>
      <c r="I71" s="68">
        <v>-5.5308831310676536E-2</v>
      </c>
      <c r="J71" s="68">
        <v>-0.1009529243729157</v>
      </c>
      <c r="K71" s="68">
        <v>6.9758257852044162E-2</v>
      </c>
      <c r="L71" s="68">
        <v>0.99999999999999967</v>
      </c>
      <c r="M71" s="2" t="s">
        <v>147</v>
      </c>
      <c r="N71" s="2" t="s">
        <v>147</v>
      </c>
      <c r="O71" s="69"/>
      <c r="R71" s="51" t="str">
        <f t="shared" ref="R71:R77" si="30">A71</f>
        <v>High Yield</v>
      </c>
      <c r="S71" s="52">
        <f t="shared" ref="S71:S77" si="31">D71</f>
        <v>7.1103052121758742E-2</v>
      </c>
      <c r="T71" s="52">
        <f t="shared" ref="T71:T77" si="32">B71-D71</f>
        <v>1.3138834679831415E-2</v>
      </c>
      <c r="U71" s="52">
        <f t="shared" ref="U71:U77" si="33">F71-B71</f>
        <v>1.338073679609228E-2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7.9334547678456518E-2</v>
      </c>
      <c r="C72" s="54">
        <v>1.7043974511421849E-2</v>
      </c>
      <c r="D72" s="55">
        <v>6.5985570622912437E-2</v>
      </c>
      <c r="E72" s="1">
        <v>7.8219485328115679E-2</v>
      </c>
      <c r="F72" s="56">
        <v>9.1925196513761798E-2</v>
      </c>
      <c r="G72" s="68">
        <v>-0.99445543543233261</v>
      </c>
      <c r="H72" s="68">
        <v>1</v>
      </c>
      <c r="I72" s="68">
        <v>-6.2309033791841981E-2</v>
      </c>
      <c r="J72" s="68">
        <v>-0.10355169828838409</v>
      </c>
      <c r="K72" s="68">
        <v>4.9151001833410111E-2</v>
      </c>
      <c r="L72" s="68">
        <v>1</v>
      </c>
      <c r="M72" s="2" t="s">
        <v>147</v>
      </c>
      <c r="N72" s="2" t="s">
        <v>147</v>
      </c>
      <c r="O72" s="69"/>
      <c r="R72" s="51" t="str">
        <f t="shared" si="30"/>
        <v>Emerging market debt</v>
      </c>
      <c r="S72" s="52">
        <f t="shared" si="31"/>
        <v>6.5985570622912437E-2</v>
      </c>
      <c r="T72" s="52">
        <f t="shared" si="32"/>
        <v>1.3348977055544081E-2</v>
      </c>
      <c r="U72" s="52">
        <f t="shared" si="33"/>
        <v>1.2590648835305279E-2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7.7910827116559708E-2</v>
      </c>
      <c r="C73" s="54">
        <v>3.0676907571575204E-3</v>
      </c>
      <c r="D73" s="55">
        <v>7.5407437891429313E-2</v>
      </c>
      <c r="E73" s="1">
        <v>7.7268054510879841E-2</v>
      </c>
      <c r="F73" s="56">
        <v>7.9657754924356089E-2</v>
      </c>
      <c r="G73" s="68">
        <v>-1.4059489006950935E-4</v>
      </c>
      <c r="H73" s="68">
        <v>-0.47269102793258294</v>
      </c>
      <c r="I73" s="68">
        <v>1</v>
      </c>
      <c r="J73" s="68">
        <v>-0.50524266751987734</v>
      </c>
      <c r="K73" s="68">
        <v>-0.31409637155062159</v>
      </c>
      <c r="L73" s="68">
        <v>0.99999999999999234</v>
      </c>
      <c r="M73" s="2" t="s">
        <v>147</v>
      </c>
      <c r="N73" s="2" t="s">
        <v>147</v>
      </c>
      <c r="O73" s="69"/>
      <c r="R73" s="51" t="str">
        <f t="shared" si="30"/>
        <v>Aandelen ontwikkeld</v>
      </c>
      <c r="S73" s="52">
        <f t="shared" si="31"/>
        <v>7.5407437891429313E-2</v>
      </c>
      <c r="T73" s="52">
        <f t="shared" si="32"/>
        <v>2.5033892251303952E-3</v>
      </c>
      <c r="U73" s="52">
        <f t="shared" si="33"/>
        <v>1.7469278077963807E-3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2.8116666145894708E-2</v>
      </c>
      <c r="C74" s="54">
        <v>3.2144263889301197E-3</v>
      </c>
      <c r="D74" s="55">
        <v>2.5589274678429148E-2</v>
      </c>
      <c r="E74" s="1">
        <v>2.728872820479368E-2</v>
      </c>
      <c r="F74" s="56">
        <v>3.0282425234615572E-2</v>
      </c>
      <c r="G74" s="68">
        <v>5.5978196183787618E-3</v>
      </c>
      <c r="H74" s="68">
        <v>-0.67867141552025501</v>
      </c>
      <c r="I74" s="68">
        <v>-0.91537787899420175</v>
      </c>
      <c r="J74" s="68">
        <v>-0.55982319673082592</v>
      </c>
      <c r="K74" s="68">
        <v>-0.24918175550834859</v>
      </c>
      <c r="L74" s="68">
        <v>0.99999999999999167</v>
      </c>
      <c r="M74" s="2" t="s">
        <v>147</v>
      </c>
      <c r="N74" s="2" t="s">
        <v>147</v>
      </c>
      <c r="O74" s="69"/>
      <c r="R74" s="51" t="str">
        <f t="shared" si="30"/>
        <v>Aandelen opkomend</v>
      </c>
      <c r="S74" s="52">
        <f t="shared" si="31"/>
        <v>2.5589274678429148E-2</v>
      </c>
      <c r="T74" s="52">
        <f t="shared" si="32"/>
        <v>2.5273914674655597E-3</v>
      </c>
      <c r="U74" s="52">
        <f t="shared" si="33"/>
        <v>2.1657590887208637E-3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1.9917178397705921E-3</v>
      </c>
      <c r="C75" s="54">
        <v>2.5249307810921041E-3</v>
      </c>
      <c r="D75" s="55">
        <v>8.9271252252749768E-5</v>
      </c>
      <c r="E75" s="1">
        <v>8.1666478839083746E-4</v>
      </c>
      <c r="F75" s="56">
        <v>3.0894775315710252E-3</v>
      </c>
      <c r="G75" s="68">
        <v>5.4815523245502146E-3</v>
      </c>
      <c r="H75" s="68">
        <v>-0.25898907770995144</v>
      </c>
      <c r="I75" s="68">
        <v>-3.8521959676678943E-2</v>
      </c>
      <c r="J75" s="68">
        <v>1</v>
      </c>
      <c r="K75" s="68">
        <v>-0.55563113262649189</v>
      </c>
      <c r="L75" s="68">
        <v>0.99999999999998834</v>
      </c>
      <c r="M75" s="2" t="s">
        <v>147</v>
      </c>
      <c r="N75" s="2" t="s">
        <v>147</v>
      </c>
      <c r="O75" s="69"/>
      <c r="R75" s="51" t="str">
        <f t="shared" si="30"/>
        <v>Commodities</v>
      </c>
      <c r="S75" s="52">
        <f t="shared" si="31"/>
        <v>8.9271252252749768E-5</v>
      </c>
      <c r="T75" s="52">
        <f t="shared" si="32"/>
        <v>1.9024465875178422E-3</v>
      </c>
      <c r="U75" s="52">
        <f t="shared" si="33"/>
        <v>1.0977596918004331E-3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3.2197057464982567E-2</v>
      </c>
      <c r="C76" s="54">
        <v>3.1256294505883375E-16</v>
      </c>
      <c r="D76" s="55">
        <v>3.219705746498288E-2</v>
      </c>
      <c r="E76" s="1">
        <v>3.219705746498288E-2</v>
      </c>
      <c r="F76" s="56">
        <v>3.219705746498288E-2</v>
      </c>
      <c r="G76" s="68">
        <v>0</v>
      </c>
      <c r="H76" s="68">
        <v>0</v>
      </c>
      <c r="I76" s="68">
        <v>0</v>
      </c>
      <c r="J76" s="68">
        <v>0</v>
      </c>
      <c r="K76" s="68">
        <v>0</v>
      </c>
      <c r="L76" s="68">
        <v>0</v>
      </c>
      <c r="M76" s="2" t="s">
        <v>147</v>
      </c>
      <c r="N76" s="2" t="s">
        <v>147</v>
      </c>
      <c r="O76" s="69"/>
      <c r="R76" s="51" t="str">
        <f t="shared" si="30"/>
        <v>Hedge funds</v>
      </c>
      <c r="S76" s="52">
        <f t="shared" si="31"/>
        <v>3.219705746498288E-2</v>
      </c>
      <c r="T76" s="52">
        <f t="shared" si="32"/>
        <v>-3.1225022567582528E-16</v>
      </c>
      <c r="U76" s="52">
        <f t="shared" si="33"/>
        <v>3.1225022567582528E-16</v>
      </c>
    </row>
    <row r="77" spans="1:36">
      <c r="A77" s="60" t="str">
        <f t="shared" si="29"/>
        <v>Onroerend goed</v>
      </c>
      <c r="B77" s="61">
        <v>4.8542120090085746E-2</v>
      </c>
      <c r="C77" s="62">
        <v>3.4729216117648195E-17</v>
      </c>
      <c r="D77" s="63">
        <v>4.8542120090085711E-2</v>
      </c>
      <c r="E77" s="61">
        <v>4.8542120090085711E-2</v>
      </c>
      <c r="F77" s="64">
        <v>4.8542120090085711E-2</v>
      </c>
      <c r="G77" s="70">
        <v>0</v>
      </c>
      <c r="H77" s="70">
        <v>0</v>
      </c>
      <c r="I77" s="70">
        <v>0</v>
      </c>
      <c r="J77" s="70">
        <v>0</v>
      </c>
      <c r="K77" s="70">
        <v>0</v>
      </c>
      <c r="L77" s="70">
        <v>0</v>
      </c>
      <c r="M77" s="65" t="s">
        <v>147</v>
      </c>
      <c r="N77" s="65" t="s">
        <v>147</v>
      </c>
      <c r="O77" s="71"/>
      <c r="R77" s="51" t="str">
        <f t="shared" si="30"/>
        <v>Onroerend goed</v>
      </c>
      <c r="S77" s="52">
        <f t="shared" si="31"/>
        <v>4.8542120090085711E-2</v>
      </c>
      <c r="T77" s="52">
        <f t="shared" si="32"/>
        <v>0</v>
      </c>
      <c r="U77" s="52">
        <f t="shared" si="33"/>
        <v>0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404" t="s">
        <v>64</v>
      </c>
      <c r="E79" s="405"/>
      <c r="F79" s="406"/>
      <c r="G79" s="404" t="s">
        <v>65</v>
      </c>
      <c r="H79" s="405"/>
      <c r="I79" s="405"/>
      <c r="J79" s="405"/>
      <c r="K79" s="405"/>
      <c r="L79" s="405"/>
      <c r="M79" s="405"/>
      <c r="N79" s="405"/>
      <c r="O79" s="406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0.74214273269144915</v>
      </c>
      <c r="H80" s="272">
        <v>0.17300838588343992</v>
      </c>
      <c r="I80" s="272">
        <v>6.2691743690401314E-2</v>
      </c>
      <c r="J80" s="272">
        <v>2.2157137734705734E-2</v>
      </c>
      <c r="K80" s="272">
        <v>0</v>
      </c>
      <c r="L80" s="272">
        <v>65535</v>
      </c>
      <c r="M80" s="272">
        <v>65535</v>
      </c>
      <c r="N80" s="272">
        <v>65535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0.55729152448219943</v>
      </c>
      <c r="C81" s="54">
        <v>6.0133919928175815E-3</v>
      </c>
      <c r="D81" s="55">
        <v>0.55262885258168271</v>
      </c>
      <c r="E81" s="1">
        <v>0.55582287361247573</v>
      </c>
      <c r="F81" s="56">
        <v>0.56063233819380598</v>
      </c>
      <c r="G81" s="2">
        <v>-3.1836848681689365E-3</v>
      </c>
      <c r="H81" s="2">
        <v>-0.52508598454313393</v>
      </c>
      <c r="I81" s="2">
        <v>1</v>
      </c>
      <c r="J81" s="2">
        <v>0.40142699661437226</v>
      </c>
      <c r="K81" s="2">
        <v>0.99999999999999445</v>
      </c>
      <c r="L81" s="2">
        <v>65535</v>
      </c>
      <c r="M81" s="2">
        <v>65535</v>
      </c>
      <c r="N81" s="2">
        <v>65535</v>
      </c>
      <c r="O81" s="69"/>
      <c r="R81" s="51" t="str">
        <f>A81</f>
        <v>Nominale matching</v>
      </c>
      <c r="S81" s="52">
        <f>D81</f>
        <v>0.55262885258168271</v>
      </c>
      <c r="T81" s="52">
        <f>B81-D81</f>
        <v>4.6626719005167239E-3</v>
      </c>
      <c r="U81" s="52">
        <f>F81-B81</f>
        <v>3.3408137116065495E-3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7.1185671029254202E-2</v>
      </c>
      <c r="C82" s="54">
        <v>1.4345111528306299E-2</v>
      </c>
      <c r="D82" s="55">
        <v>5.9930425338430647E-2</v>
      </c>
      <c r="E82" s="1">
        <v>6.8302163820008699E-2</v>
      </c>
      <c r="F82" s="56">
        <v>8.0310340555619086E-2</v>
      </c>
      <c r="G82" s="2">
        <v>-0.77191189851331932</v>
      </c>
      <c r="H82" s="2">
        <v>1</v>
      </c>
      <c r="I82" s="2">
        <v>7.5597834190253718E-2</v>
      </c>
      <c r="J82" s="2">
        <v>-0.12387355086699374</v>
      </c>
      <c r="K82" s="2">
        <v>0.99999999999999623</v>
      </c>
      <c r="L82" s="2">
        <v>65535</v>
      </c>
      <c r="M82" s="2">
        <v>65535</v>
      </c>
      <c r="N82" s="2">
        <v>65535</v>
      </c>
      <c r="O82" s="69"/>
      <c r="R82" s="51" t="str">
        <f t="shared" ref="R82:R88" si="35">A82</f>
        <v>High Yield</v>
      </c>
      <c r="S82" s="52">
        <f t="shared" ref="S82:S88" si="36">D82</f>
        <v>5.9930425338430647E-2</v>
      </c>
      <c r="T82" s="52">
        <f t="shared" ref="T82:T88" si="37">B82-D82</f>
        <v>1.1255245690823555E-2</v>
      </c>
      <c r="U82" s="52">
        <f t="shared" ref="U82:U88" si="38">F82-B82</f>
        <v>9.1246695263648842E-3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0.10322339803416485</v>
      </c>
      <c r="C83" s="54">
        <v>1.6916777125314454E-2</v>
      </c>
      <c r="D83" s="55">
        <v>9.144011419314646E-2</v>
      </c>
      <c r="E83" s="1">
        <v>0.10347510251606581</v>
      </c>
      <c r="F83" s="56">
        <v>0.11495775250888879</v>
      </c>
      <c r="G83" s="2">
        <v>1</v>
      </c>
      <c r="H83" s="2">
        <v>0.58526805730273634</v>
      </c>
      <c r="I83" s="2">
        <v>-1.2919175844633538E-2</v>
      </c>
      <c r="J83" s="2">
        <v>-0.32052907841694439</v>
      </c>
      <c r="K83" s="2">
        <v>0.99999999999999756</v>
      </c>
      <c r="L83" s="2">
        <v>65535</v>
      </c>
      <c r="M83" s="2">
        <v>65535</v>
      </c>
      <c r="N83" s="2">
        <v>65535</v>
      </c>
      <c r="O83" s="69"/>
      <c r="R83" s="51" t="str">
        <f t="shared" si="35"/>
        <v>Emerging market debt</v>
      </c>
      <c r="S83" s="52">
        <f t="shared" si="36"/>
        <v>9.144011419314646E-2</v>
      </c>
      <c r="T83" s="52">
        <f t="shared" si="37"/>
        <v>1.1783283841018385E-2</v>
      </c>
      <c r="U83" s="52">
        <f t="shared" si="38"/>
        <v>1.1734354474723943E-2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8.0482208233379524E-2</v>
      </c>
      <c r="C84" s="54">
        <v>4.5646261466387008E-3</v>
      </c>
      <c r="D84" s="55">
        <v>7.6822019206565895E-2</v>
      </c>
      <c r="E84" s="1">
        <v>7.9185343607582739E-2</v>
      </c>
      <c r="F84" s="56">
        <v>8.3110828500063461E-2</v>
      </c>
      <c r="G84" s="2">
        <v>5.5945244244444735E-3</v>
      </c>
      <c r="H84" s="2">
        <v>-0.25158981871487296</v>
      </c>
      <c r="I84" s="2">
        <v>-0.72212323477059348</v>
      </c>
      <c r="J84" s="2">
        <v>1</v>
      </c>
      <c r="K84" s="2">
        <v>0.99999999999999067</v>
      </c>
      <c r="L84" s="2">
        <v>65535</v>
      </c>
      <c r="M84" s="2">
        <v>65535</v>
      </c>
      <c r="N84" s="2">
        <v>65535</v>
      </c>
      <c r="O84" s="69"/>
      <c r="R84" s="51" t="str">
        <f t="shared" si="35"/>
        <v>Aandelen ontwikkeld</v>
      </c>
      <c r="S84" s="52">
        <f t="shared" si="36"/>
        <v>7.6822019206565895E-2</v>
      </c>
      <c r="T84" s="52">
        <f t="shared" si="37"/>
        <v>3.6601890268136289E-3</v>
      </c>
      <c r="U84" s="52">
        <f t="shared" si="38"/>
        <v>2.628620266683937E-3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9.0629722914994285E-2</v>
      </c>
      <c r="C85" s="54">
        <v>7.1877181200302211E-3</v>
      </c>
      <c r="D85" s="55">
        <v>8.5517556150670346E-2</v>
      </c>
      <c r="E85" s="1">
        <v>9.2251174634766439E-2</v>
      </c>
      <c r="F85" s="56">
        <v>9.6722889435530479E-2</v>
      </c>
      <c r="G85" s="2">
        <v>-0.23049894104295682</v>
      </c>
      <c r="H85" s="2">
        <v>-0.80859225404473001</v>
      </c>
      <c r="I85" s="2">
        <v>-0.34055542357502783</v>
      </c>
      <c r="J85" s="2">
        <v>-0.95702436733042406</v>
      </c>
      <c r="K85" s="2">
        <v>1</v>
      </c>
      <c r="L85" s="2">
        <v>65535</v>
      </c>
      <c r="M85" s="2">
        <v>65535</v>
      </c>
      <c r="N85" s="2">
        <v>65535</v>
      </c>
      <c r="O85" s="69"/>
      <c r="R85" s="51" t="str">
        <f t="shared" si="35"/>
        <v>Aandelen opkomend</v>
      </c>
      <c r="S85" s="52">
        <f t="shared" si="36"/>
        <v>8.5517556150670346E-2</v>
      </c>
      <c r="T85" s="52">
        <f t="shared" si="37"/>
        <v>5.1121667643239388E-3</v>
      </c>
      <c r="U85" s="52">
        <f t="shared" si="38"/>
        <v>6.0931665205361946E-3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1.9999999999999751E-2</v>
      </c>
      <c r="C86" s="54">
        <v>2.5005035604706699E-16</v>
      </c>
      <c r="D86" s="55">
        <v>0.02</v>
      </c>
      <c r="E86" s="1">
        <v>0.02</v>
      </c>
      <c r="F86" s="56">
        <v>0.02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65535</v>
      </c>
      <c r="M86" s="2">
        <v>65535</v>
      </c>
      <c r="N86" s="2">
        <v>65535</v>
      </c>
      <c r="O86" s="69"/>
      <c r="R86" s="51" t="str">
        <f t="shared" si="35"/>
        <v>Commodities</v>
      </c>
      <c r="S86" s="52">
        <f t="shared" si="36"/>
        <v>0.02</v>
      </c>
      <c r="T86" s="52">
        <f t="shared" si="37"/>
        <v>-2.4980018054066022E-16</v>
      </c>
      <c r="U86" s="52">
        <f t="shared" si="38"/>
        <v>2.4980018054066022E-16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3.1019975297702843E-2</v>
      </c>
      <c r="C87" s="54">
        <v>2.9519833700000965E-16</v>
      </c>
      <c r="D87" s="55">
        <v>3.1019975297703138E-2</v>
      </c>
      <c r="E87" s="1">
        <v>3.1019975297703138E-2</v>
      </c>
      <c r="F87" s="56">
        <v>3.1019975297703138E-2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65535</v>
      </c>
      <c r="M87" s="2">
        <v>65535</v>
      </c>
      <c r="N87" s="2">
        <v>65535</v>
      </c>
      <c r="O87" s="69"/>
      <c r="R87" s="51" t="str">
        <f t="shared" si="35"/>
        <v>Hedge funds</v>
      </c>
      <c r="S87" s="52">
        <f t="shared" si="36"/>
        <v>3.1019975297703138E-2</v>
      </c>
      <c r="T87" s="52">
        <f t="shared" si="37"/>
        <v>-2.9490299091605721E-16</v>
      </c>
      <c r="U87" s="52">
        <f t="shared" si="38"/>
        <v>2.9490299091605721E-16</v>
      </c>
    </row>
    <row r="88" spans="1:36">
      <c r="A88" s="60" t="str">
        <f t="shared" si="34"/>
        <v>Onroerend goed</v>
      </c>
      <c r="B88" s="286">
        <v>4.6167500008305204E-2</v>
      </c>
      <c r="C88" s="62">
        <v>4.2369643663530793E-16</v>
      </c>
      <c r="D88" s="63">
        <v>4.6167500008304781E-2</v>
      </c>
      <c r="E88" s="61">
        <v>4.6167500008304781E-2</v>
      </c>
      <c r="F88" s="64">
        <v>4.6167500008304781E-2</v>
      </c>
      <c r="G88" s="65">
        <v>0</v>
      </c>
      <c r="H88" s="65">
        <v>0</v>
      </c>
      <c r="I88" s="65">
        <v>0</v>
      </c>
      <c r="J88" s="65">
        <v>0</v>
      </c>
      <c r="K88" s="65">
        <v>0</v>
      </c>
      <c r="L88" s="65">
        <v>65535</v>
      </c>
      <c r="M88" s="65">
        <v>65535</v>
      </c>
      <c r="N88" s="65">
        <v>65535</v>
      </c>
      <c r="O88" s="71"/>
      <c r="R88" s="51" t="str">
        <f t="shared" si="35"/>
        <v>Onroerend goed</v>
      </c>
      <c r="S88" s="52">
        <f t="shared" si="36"/>
        <v>4.6167500008304781E-2</v>
      </c>
      <c r="T88" s="52">
        <f t="shared" si="37"/>
        <v>4.2327252813834093E-16</v>
      </c>
      <c r="U88" s="52">
        <f t="shared" si="38"/>
        <v>-4.2327252813834093E-16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topLeftCell="A49" workbookViewId="0">
      <selection activeCell="A4" sqref="A4:A1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404" t="s">
        <v>64</v>
      </c>
      <c r="E2" s="405"/>
      <c r="F2" s="406"/>
      <c r="G2" s="404" t="s">
        <v>65</v>
      </c>
      <c r="H2" s="405"/>
      <c r="I2" s="405"/>
      <c r="J2" s="405"/>
      <c r="K2" s="405"/>
      <c r="L2" s="405"/>
      <c r="M2" s="405"/>
      <c r="N2" s="406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0.4726587069824989</v>
      </c>
      <c r="H3" s="272">
        <v>0.33379983751082942</v>
      </c>
      <c r="I3" s="272">
        <v>0.19165215595900209</v>
      </c>
      <c r="J3" s="272">
        <v>1.8853867729202722E-3</v>
      </c>
      <c r="K3" s="272">
        <v>3.912774749981196E-6</v>
      </c>
      <c r="L3" s="272">
        <v>0</v>
      </c>
      <c r="M3" s="272">
        <v>0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0.2275155590645036</v>
      </c>
      <c r="C4" s="118">
        <v>4.8057672539001686E-2</v>
      </c>
      <c r="D4" s="119">
        <v>0.17931875226053665</v>
      </c>
      <c r="E4" s="117">
        <v>0.22342976532172332</v>
      </c>
      <c r="F4" s="120">
        <v>0.27776532691002753</v>
      </c>
      <c r="G4" s="2">
        <v>1</v>
      </c>
      <c r="H4" s="2">
        <v>-0.265712297896949</v>
      </c>
      <c r="I4" s="2">
        <v>-0.34327758109423451</v>
      </c>
      <c r="J4" s="2">
        <v>-0.25382515336863665</v>
      </c>
      <c r="K4" s="2">
        <v>-0.23909487132820637</v>
      </c>
      <c r="L4" s="2">
        <v>0.94870762539872222</v>
      </c>
      <c r="M4" s="2">
        <v>-3.2480313958378838E-2</v>
      </c>
      <c r="N4" s="57"/>
      <c r="O4" s="72"/>
      <c r="Q4" s="72" t="str">
        <f>A4</f>
        <v>High Yield</v>
      </c>
      <c r="R4" s="72">
        <f>D4</f>
        <v>0.17931875226053665</v>
      </c>
      <c r="S4" s="52">
        <f>B4-D4</f>
        <v>4.8196806803966957E-2</v>
      </c>
      <c r="T4" s="52">
        <f>F4-B4</f>
        <v>5.0249767845523929E-2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0.19659814181256774</v>
      </c>
      <c r="C5" s="118">
        <v>4.4331568951806323E-2</v>
      </c>
      <c r="D5" s="119">
        <v>0.14950353377783079</v>
      </c>
      <c r="E5" s="117">
        <v>0.19067159933466493</v>
      </c>
      <c r="F5" s="120">
        <v>0.2468010971742709</v>
      </c>
      <c r="G5" s="2">
        <v>-0.62777600179618631</v>
      </c>
      <c r="H5" s="2">
        <v>-0.98264310649364606</v>
      </c>
      <c r="I5" s="2">
        <v>-0.25653476023062155</v>
      </c>
      <c r="J5" s="2">
        <v>-0.24973824969141536</v>
      </c>
      <c r="K5" s="2">
        <v>-0.25105456521673497</v>
      </c>
      <c r="L5" s="2">
        <v>0.94870762539883124</v>
      </c>
      <c r="M5" s="2">
        <v>-3.2480313958378998E-2</v>
      </c>
      <c r="N5" s="57"/>
      <c r="O5" s="72"/>
      <c r="Q5" s="72" t="str">
        <f t="shared" ref="Q5:Q10" si="0">A5</f>
        <v>Emerging market debt</v>
      </c>
      <c r="R5" s="72">
        <f t="shared" ref="R5:R10" si="1">D5</f>
        <v>0.14950353377783079</v>
      </c>
      <c r="S5" s="52">
        <f t="shared" ref="S5:S10" si="2">B5-D5</f>
        <v>4.7094608034736946E-2</v>
      </c>
      <c r="T5" s="52">
        <f t="shared" ref="T5:T10" si="3">F5-B5</f>
        <v>5.0202955361703161E-2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0.27133165359130951</v>
      </c>
      <c r="C6" s="118">
        <v>3.9500843114937921E-2</v>
      </c>
      <c r="D6" s="119">
        <v>0.23383164932612815</v>
      </c>
      <c r="E6" s="117">
        <v>0.26962922941152051</v>
      </c>
      <c r="F6" s="120">
        <v>0.31309329437822397</v>
      </c>
      <c r="G6" s="2">
        <v>-0.35027556776010421</v>
      </c>
      <c r="H6" s="2">
        <v>1</v>
      </c>
      <c r="I6" s="2">
        <v>-0.45481561505118395</v>
      </c>
      <c r="J6" s="2">
        <v>-0.29295991938642096</v>
      </c>
      <c r="K6" s="2">
        <v>-0.38598606905151284</v>
      </c>
      <c r="L6" s="2">
        <v>0.94870762540006048</v>
      </c>
      <c r="M6" s="2">
        <v>-3.2480313958380698E-2</v>
      </c>
      <c r="N6" s="57"/>
      <c r="O6" s="72"/>
      <c r="Q6" s="72" t="str">
        <f t="shared" si="0"/>
        <v>Aandelen ontwikkeld</v>
      </c>
      <c r="R6" s="72">
        <f t="shared" si="1"/>
        <v>0.23383164932612815</v>
      </c>
      <c r="S6" s="52">
        <f t="shared" si="2"/>
        <v>3.7500004265181353E-2</v>
      </c>
      <c r="T6" s="52">
        <f t="shared" si="3"/>
        <v>4.1761640786914467E-2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0.10555599005059685</v>
      </c>
      <c r="C7" s="118">
        <v>3.0859881106416246E-2</v>
      </c>
      <c r="D7" s="119">
        <v>7.4774577957042745E-2</v>
      </c>
      <c r="E7" s="117">
        <v>0.10000520463110077</v>
      </c>
      <c r="F7" s="120">
        <v>0.14110371536532723</v>
      </c>
      <c r="G7" s="2">
        <v>2.4569980506773156E-2</v>
      </c>
      <c r="H7" s="2">
        <v>0.10709857324114475</v>
      </c>
      <c r="I7" s="2">
        <v>1</v>
      </c>
      <c r="J7" s="2">
        <v>-0.27883143634462615</v>
      </c>
      <c r="K7" s="2">
        <v>-0.37959987951228302</v>
      </c>
      <c r="L7" s="2">
        <v>0.94870762540000142</v>
      </c>
      <c r="M7" s="2">
        <v>-3.2480313958380594E-2</v>
      </c>
      <c r="N7" s="57"/>
      <c r="O7" s="72"/>
      <c r="Q7" s="72" t="str">
        <f t="shared" si="0"/>
        <v>Aandelen opkomend</v>
      </c>
      <c r="R7" s="72">
        <f t="shared" si="1"/>
        <v>7.4774577957042745E-2</v>
      </c>
      <c r="S7" s="52">
        <f t="shared" si="2"/>
        <v>3.0781412093554103E-2</v>
      </c>
      <c r="T7" s="52">
        <f t="shared" si="3"/>
        <v>3.5547725314730383E-2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2.5458370793689658E-3</v>
      </c>
      <c r="C8" s="118">
        <v>3.1687122926497336E-3</v>
      </c>
      <c r="D8" s="119">
        <v>5.0815875857100815E-5</v>
      </c>
      <c r="E8" s="117">
        <v>1.233015748245705E-3</v>
      </c>
      <c r="F8" s="120">
        <v>5.3432703401619791E-3</v>
      </c>
      <c r="G8" s="2">
        <v>3.2308975555057542E-3</v>
      </c>
      <c r="H8" s="2">
        <v>4.6150360276118714E-3</v>
      </c>
      <c r="I8" s="2">
        <v>-8.0694223847114117E-3</v>
      </c>
      <c r="J8" s="2">
        <v>1</v>
      </c>
      <c r="K8" s="2">
        <v>-0.40754543996268899</v>
      </c>
      <c r="L8" s="2">
        <v>0.94870762540022602</v>
      </c>
      <c r="M8" s="2">
        <v>-3.2480313958381073E-2</v>
      </c>
      <c r="N8" s="57"/>
      <c r="O8" s="72"/>
      <c r="Q8" s="72" t="str">
        <f t="shared" si="0"/>
        <v>Commodities</v>
      </c>
      <c r="R8" s="72">
        <f t="shared" si="1"/>
        <v>5.0815875857100815E-5</v>
      </c>
      <c r="S8" s="52">
        <f t="shared" si="2"/>
        <v>2.495021203511865E-3</v>
      </c>
      <c r="T8" s="52">
        <f t="shared" si="3"/>
        <v>2.7974332607930133E-3</v>
      </c>
      <c r="U8" s="52"/>
      <c r="V8" s="52"/>
      <c r="W8" s="52"/>
    </row>
    <row r="9" spans="1:23">
      <c r="A9" s="59" t="str">
        <f>+'Samenvatting mixen'!A10</f>
        <v>Hedge funds</v>
      </c>
      <c r="B9" s="117">
        <v>7.8341182989159514E-2</v>
      </c>
      <c r="C9" s="118">
        <v>2.171956952095197E-3</v>
      </c>
      <c r="D9" s="119">
        <v>7.6172302858184951E-2</v>
      </c>
      <c r="E9" s="117">
        <v>7.8198669282889044E-2</v>
      </c>
      <c r="F9" s="120">
        <v>8.0683540011039043E-2</v>
      </c>
      <c r="G9" s="2">
        <v>-1.983896038225014E-2</v>
      </c>
      <c r="H9" s="2">
        <v>5.4489825916985396E-2</v>
      </c>
      <c r="I9" s="2">
        <v>2.5002373915524158E-2</v>
      </c>
      <c r="J9" s="2">
        <v>3.0049866403497272E-2</v>
      </c>
      <c r="K9" s="2">
        <v>0.66328082509085373</v>
      </c>
      <c r="L9" s="2">
        <v>0.87137631612856359</v>
      </c>
      <c r="M9" s="2">
        <v>1</v>
      </c>
      <c r="N9" s="57"/>
      <c r="O9" s="72"/>
      <c r="Q9" s="72" t="str">
        <f t="shared" si="0"/>
        <v>Hedge funds</v>
      </c>
      <c r="R9" s="72">
        <f t="shared" si="1"/>
        <v>7.6172302858184951E-2</v>
      </c>
      <c r="S9" s="52">
        <f t="shared" si="2"/>
        <v>2.1688801309745626E-3</v>
      </c>
      <c r="T9" s="52">
        <f t="shared" si="3"/>
        <v>2.3423570218795292E-3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0.1181116354124938</v>
      </c>
      <c r="C10" s="122">
        <v>3.2745661715753833E-3</v>
      </c>
      <c r="D10" s="123">
        <v>0.11484170803191623</v>
      </c>
      <c r="E10" s="121">
        <v>0.11789677362110815</v>
      </c>
      <c r="F10" s="124">
        <v>0.12164310644749707</v>
      </c>
      <c r="G10" s="65">
        <v>-2.9910348123738103E-2</v>
      </c>
      <c r="H10" s="65">
        <v>8.2151969204853403E-2</v>
      </c>
      <c r="I10" s="65">
        <v>3.7695004845227573E-2</v>
      </c>
      <c r="J10" s="65">
        <v>4.530489238763475E-2</v>
      </c>
      <c r="K10" s="65">
        <v>1</v>
      </c>
      <c r="L10" s="65">
        <v>1</v>
      </c>
      <c r="M10" s="65">
        <v>-0.71730470849012717</v>
      </c>
      <c r="N10" s="66"/>
      <c r="O10" s="72"/>
      <c r="Q10" s="72" t="str">
        <f t="shared" si="0"/>
        <v>Onroerend goed</v>
      </c>
      <c r="R10" s="72">
        <f t="shared" si="1"/>
        <v>0.11484170803191623</v>
      </c>
      <c r="S10" s="52">
        <f t="shared" si="2"/>
        <v>3.2699273805775614E-3</v>
      </c>
      <c r="T10" s="52">
        <f t="shared" si="3"/>
        <v>3.5314710350032724E-3</v>
      </c>
      <c r="U10" s="52"/>
      <c r="V10" s="52"/>
      <c r="W10" s="52"/>
    </row>
    <row r="12" spans="1:23">
      <c r="A12" s="48" t="s">
        <v>68</v>
      </c>
      <c r="D12" s="404" t="s">
        <v>64</v>
      </c>
      <c r="E12" s="405"/>
      <c r="F12" s="406"/>
      <c r="G12" s="404" t="s">
        <v>65</v>
      </c>
      <c r="H12" s="405"/>
      <c r="I12" s="405"/>
      <c r="J12" s="405"/>
      <c r="K12" s="405"/>
      <c r="L12" s="405"/>
      <c r="M12" s="405"/>
      <c r="N12" s="406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0.54977357526995563</v>
      </c>
      <c r="H13" s="272">
        <v>0.3381594603571999</v>
      </c>
      <c r="I13" s="272">
        <v>0.10229388324698874</v>
      </c>
      <c r="J13" s="272">
        <v>9.2474107722093635E-3</v>
      </c>
      <c r="K13" s="272">
        <v>5.2567035364869952E-4</v>
      </c>
      <c r="L13" s="272">
        <v>0</v>
      </c>
      <c r="M13" s="272">
        <v>0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0.22643184816122536</v>
      </c>
      <c r="C14" s="118">
        <v>5.3668479892724261E-2</v>
      </c>
      <c r="D14" s="119">
        <v>0.16841577234071184</v>
      </c>
      <c r="E14" s="117">
        <v>0.22019163932292973</v>
      </c>
      <c r="F14" s="120">
        <v>0.28851314686346002</v>
      </c>
      <c r="G14" s="2">
        <v>1</v>
      </c>
      <c r="H14" s="2">
        <v>-0.41829231488962981</v>
      </c>
      <c r="I14" s="2">
        <v>-7.1393544339439396E-2</v>
      </c>
      <c r="J14" s="2">
        <v>-0.14731371742593952</v>
      </c>
      <c r="K14" s="2">
        <v>-0.23376483678972104</v>
      </c>
      <c r="L14" s="2">
        <v>0.96466784760234492</v>
      </c>
      <c r="M14" s="2">
        <v>-5.8805106940723433E-2</v>
      </c>
      <c r="N14" s="57"/>
      <c r="Q14" s="51" t="str">
        <f t="shared" ref="Q14:Q20" si="4">A14</f>
        <v>High Yield</v>
      </c>
      <c r="R14" s="72">
        <f>D14</f>
        <v>0.16841577234071184</v>
      </c>
      <c r="S14" s="52">
        <f>B14-D14</f>
        <v>5.8016075820513519E-2</v>
      </c>
      <c r="T14" s="52">
        <f>F14-B14</f>
        <v>6.2081298702234666E-2</v>
      </c>
      <c r="U14" s="52"/>
    </row>
    <row r="15" spans="1:23">
      <c r="A15" s="59" t="str">
        <f t="shared" ref="A15:A20" si="5">A5</f>
        <v>Emerging market debt</v>
      </c>
      <c r="B15" s="117">
        <v>0.16200185296135</v>
      </c>
      <c r="C15" s="118">
        <v>2.595722454056076E-2</v>
      </c>
      <c r="D15" s="119">
        <v>0.13773387876542881</v>
      </c>
      <c r="E15" s="117">
        <v>0.15680059953780864</v>
      </c>
      <c r="F15" s="120">
        <v>0.18884846716347439</v>
      </c>
      <c r="G15" s="2">
        <v>-0.20120609490940211</v>
      </c>
      <c r="H15" s="2">
        <v>-7.1443576881556975E-2</v>
      </c>
      <c r="I15" s="2">
        <v>1</v>
      </c>
      <c r="J15" s="2">
        <v>-2.9872995968188331E-2</v>
      </c>
      <c r="K15" s="2">
        <v>-0.22988017208756126</v>
      </c>
      <c r="L15" s="2">
        <v>0.96466784760234692</v>
      </c>
      <c r="M15" s="2">
        <v>-5.8805106940723433E-2</v>
      </c>
      <c r="N15" s="57"/>
      <c r="Q15" s="51" t="str">
        <f t="shared" si="4"/>
        <v>Emerging market debt</v>
      </c>
      <c r="R15" s="72">
        <f t="shared" ref="R15:R20" si="6">D15</f>
        <v>0.13773387876542881</v>
      </c>
      <c r="S15" s="52">
        <f t="shared" ref="S15:S20" si="7">B15-D15</f>
        <v>2.4267974195921194E-2</v>
      </c>
      <c r="T15" s="52">
        <f t="shared" ref="T15:T20" si="8">F15-B15</f>
        <v>2.6846614202124391E-2</v>
      </c>
      <c r="U15" s="52"/>
    </row>
    <row r="16" spans="1:23">
      <c r="A16" s="59" t="str">
        <f t="shared" si="5"/>
        <v>Aandelen ontwikkeld</v>
      </c>
      <c r="B16" s="117">
        <v>0.20109955634810525</v>
      </c>
      <c r="C16" s="118">
        <v>1.1589351635861221E-2</v>
      </c>
      <c r="D16" s="119">
        <v>0.19016780472342332</v>
      </c>
      <c r="E16" s="117">
        <v>0.19948208464941597</v>
      </c>
      <c r="F16" s="120">
        <v>0.2127159272792207</v>
      </c>
      <c r="G16" s="2">
        <v>-0.14688406345511812</v>
      </c>
      <c r="H16" s="2">
        <v>-2.8133922411653463E-2</v>
      </c>
      <c r="I16" s="2">
        <v>-0.23324848747304069</v>
      </c>
      <c r="J16" s="2">
        <v>1</v>
      </c>
      <c r="K16" s="2">
        <v>-0.36837449231129393</v>
      </c>
      <c r="L16" s="2">
        <v>0.9646678476023357</v>
      </c>
      <c r="M16" s="2">
        <v>-5.8805106940723564E-2</v>
      </c>
      <c r="N16" s="57"/>
      <c r="Q16" s="51" t="str">
        <f t="shared" si="4"/>
        <v>Aandelen ontwikkeld</v>
      </c>
      <c r="R16" s="72">
        <f t="shared" si="6"/>
        <v>0.19016780472342332</v>
      </c>
      <c r="S16" s="52">
        <f t="shared" si="7"/>
        <v>1.0931751624681935E-2</v>
      </c>
      <c r="T16" s="52">
        <f t="shared" si="8"/>
        <v>1.1616370931115449E-2</v>
      </c>
      <c r="U16" s="52"/>
    </row>
    <row r="17" spans="1:24">
      <c r="A17" s="59" t="str">
        <f t="shared" si="5"/>
        <v>Aandelen opkomend</v>
      </c>
      <c r="B17" s="117">
        <v>0.11977595392135246</v>
      </c>
      <c r="C17" s="118">
        <v>4.0831610888166191E-2</v>
      </c>
      <c r="D17" s="119">
        <v>8.0199352391903206E-2</v>
      </c>
      <c r="E17" s="117">
        <v>0.11014012556614318</v>
      </c>
      <c r="F17" s="120">
        <v>0.15990974040095751</v>
      </c>
      <c r="G17" s="2">
        <v>9.4913550208787487E-2</v>
      </c>
      <c r="H17" s="2">
        <v>1</v>
      </c>
      <c r="I17" s="2">
        <v>-0.16236423512497117</v>
      </c>
      <c r="J17" s="2">
        <v>-0.29085924035240351</v>
      </c>
      <c r="K17" s="2">
        <v>-0.36917543232374833</v>
      </c>
      <c r="L17" s="2">
        <v>0.9646678476023286</v>
      </c>
      <c r="M17" s="2">
        <v>-5.8805106940723592E-2</v>
      </c>
      <c r="N17" s="57"/>
      <c r="Q17" s="51" t="str">
        <f t="shared" si="4"/>
        <v>Aandelen opkomend</v>
      </c>
      <c r="R17" s="72">
        <f t="shared" si="6"/>
        <v>8.0199352391903206E-2</v>
      </c>
      <c r="S17" s="52">
        <f t="shared" si="7"/>
        <v>3.9576601529449251E-2</v>
      </c>
      <c r="T17" s="52">
        <f t="shared" si="8"/>
        <v>4.0133786479605055E-2</v>
      </c>
      <c r="U17" s="52"/>
    </row>
    <row r="18" spans="1:24">
      <c r="A18" s="59" t="str">
        <f t="shared" si="5"/>
        <v>Commodities</v>
      </c>
      <c r="B18" s="117">
        <v>8.4173650407371528E-2</v>
      </c>
      <c r="C18" s="118">
        <v>3.8494305474664009E-2</v>
      </c>
      <c r="D18" s="119">
        <v>4.2561985301584719E-2</v>
      </c>
      <c r="E18" s="117">
        <v>8.2958823220956518E-2</v>
      </c>
      <c r="F18" s="120">
        <v>0.12301153329315848</v>
      </c>
      <c r="G18" s="2">
        <v>-0.61378201718964098</v>
      </c>
      <c r="H18" s="2">
        <v>-0.49856368771993292</v>
      </c>
      <c r="I18" s="2">
        <v>-0.39821408706643313</v>
      </c>
      <c r="J18" s="2">
        <v>-0.512285539520556</v>
      </c>
      <c r="K18" s="2">
        <v>-0.46208589157817487</v>
      </c>
      <c r="L18" s="2">
        <v>0.96466784760231539</v>
      </c>
      <c r="M18" s="2">
        <v>-5.8805106940723696E-2</v>
      </c>
      <c r="N18" s="57"/>
      <c r="Q18" s="51" t="str">
        <f t="shared" si="4"/>
        <v>Commodities</v>
      </c>
      <c r="R18" s="72">
        <f t="shared" si="6"/>
        <v>4.2561985301584719E-2</v>
      </c>
      <c r="S18" s="52">
        <f t="shared" si="7"/>
        <v>4.1611665105786809E-2</v>
      </c>
      <c r="T18" s="52">
        <f t="shared" si="8"/>
        <v>3.8837882885786948E-2</v>
      </c>
      <c r="U18" s="52"/>
    </row>
    <row r="19" spans="1:24">
      <c r="A19" s="59" t="str">
        <f t="shared" si="5"/>
        <v>Hedge funds</v>
      </c>
      <c r="B19" s="117">
        <v>8.2354618507393382E-2</v>
      </c>
      <c r="C19" s="118">
        <v>3.1255195432161758E-3</v>
      </c>
      <c r="D19" s="119">
        <v>7.8847971529003469E-2</v>
      </c>
      <c r="E19" s="117">
        <v>8.2456133546022478E-2</v>
      </c>
      <c r="F19" s="120">
        <v>8.5464158448331745E-2</v>
      </c>
      <c r="G19" s="2">
        <v>-5.3054055226828482E-2</v>
      </c>
      <c r="H19" s="2">
        <v>6.5533291412785046E-3</v>
      </c>
      <c r="I19" s="2">
        <v>-5.3747240666246102E-2</v>
      </c>
      <c r="J19" s="2">
        <v>-7.8433798895009999E-3</v>
      </c>
      <c r="K19" s="2">
        <v>0.66328082509025155</v>
      </c>
      <c r="L19" s="2">
        <v>1</v>
      </c>
      <c r="M19" s="2">
        <v>1</v>
      </c>
      <c r="N19" s="57"/>
      <c r="Q19" s="51" t="str">
        <f t="shared" si="4"/>
        <v>Hedge funds</v>
      </c>
      <c r="R19" s="72">
        <f t="shared" si="6"/>
        <v>7.8847971529003469E-2</v>
      </c>
      <c r="S19" s="52">
        <f t="shared" si="7"/>
        <v>3.5066469783899129E-3</v>
      </c>
      <c r="T19" s="52">
        <f t="shared" si="8"/>
        <v>3.1095399409383634E-3</v>
      </c>
      <c r="U19" s="52"/>
    </row>
    <row r="20" spans="1:24">
      <c r="A20" s="60" t="str">
        <f t="shared" si="5"/>
        <v>Onroerend goed</v>
      </c>
      <c r="B20" s="121">
        <v>0.12416251969320172</v>
      </c>
      <c r="C20" s="122">
        <v>4.7122115173325197E-3</v>
      </c>
      <c r="D20" s="123">
        <v>0.11887569871822076</v>
      </c>
      <c r="E20" s="121">
        <v>0.12431556955502351</v>
      </c>
      <c r="F20" s="124">
        <v>0.12885063945079489</v>
      </c>
      <c r="G20" s="65">
        <v>-7.9987319427797826E-2</v>
      </c>
      <c r="H20" s="65">
        <v>9.8801727614946325E-3</v>
      </c>
      <c r="I20" s="65">
        <v>-8.1032405329871368E-2</v>
      </c>
      <c r="J20" s="65">
        <v>-1.182512684341972E-2</v>
      </c>
      <c r="K20" s="65">
        <v>1</v>
      </c>
      <c r="L20" s="65">
        <v>0.9412327084080313</v>
      </c>
      <c r="M20" s="65">
        <v>-0.76109023188215297</v>
      </c>
      <c r="N20" s="66"/>
      <c r="Q20" s="51" t="str">
        <f t="shared" si="4"/>
        <v>Onroerend goed</v>
      </c>
      <c r="R20" s="72">
        <f t="shared" si="6"/>
        <v>0.11887569871822076</v>
      </c>
      <c r="S20" s="52">
        <f t="shared" si="7"/>
        <v>5.2868209749809547E-3</v>
      </c>
      <c r="T20" s="52">
        <f t="shared" si="8"/>
        <v>4.6881197575931732E-3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404" t="s">
        <v>64</v>
      </c>
      <c r="E22" s="405"/>
      <c r="F22" s="406"/>
      <c r="G22" s="404" t="s">
        <v>65</v>
      </c>
      <c r="H22" s="405"/>
      <c r="I22" s="405"/>
      <c r="J22" s="405"/>
      <c r="K22" s="405"/>
      <c r="L22" s="405"/>
      <c r="M22" s="405"/>
      <c r="N22" s="406"/>
      <c r="O22" s="67"/>
    </row>
    <row r="23" spans="1:24">
      <c r="A23" s="266" t="str">
        <f>'Samenvatting mixen'!A25</f>
        <v>Base - muddle down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0.82524153423845736</v>
      </c>
      <c r="H23" s="272">
        <v>0.10167059356185959</v>
      </c>
      <c r="I23" s="272">
        <v>5.326963675136398E-2</v>
      </c>
      <c r="J23" s="272">
        <v>1.9031925749542822E-2</v>
      </c>
      <c r="K23" s="272">
        <v>7.8630969877524493E-4</v>
      </c>
      <c r="L23" s="272">
        <v>0</v>
      </c>
      <c r="M23" s="272">
        <v>0</v>
      </c>
      <c r="N23" s="272"/>
      <c r="O23" s="273"/>
      <c r="Q23" s="51" t="str">
        <f>A23</f>
        <v>Base - muddle down</v>
      </c>
    </row>
    <row r="24" spans="1:24">
      <c r="A24" s="59" t="str">
        <f>A4</f>
        <v>High Yield</v>
      </c>
      <c r="B24" s="117">
        <v>0.15560473008383449</v>
      </c>
      <c r="C24" s="118">
        <v>1.594510004750796E-2</v>
      </c>
      <c r="D24" s="119">
        <v>0.14097293579353526</v>
      </c>
      <c r="E24" s="117">
        <v>0.15258628407904437</v>
      </c>
      <c r="F24" s="120">
        <v>0.17036869683569092</v>
      </c>
      <c r="G24" s="2">
        <v>-9.5996771296272779E-2</v>
      </c>
      <c r="H24" s="2">
        <v>-0.28377479178893344</v>
      </c>
      <c r="I24" s="2">
        <v>1</v>
      </c>
      <c r="J24" s="2">
        <v>-0.62654331915798223</v>
      </c>
      <c r="K24" s="2">
        <v>-0.32556852864496849</v>
      </c>
      <c r="L24" s="2">
        <v>0.87689683294620824</v>
      </c>
      <c r="M24" s="2">
        <v>-4.6328937150643939E-3</v>
      </c>
      <c r="N24" s="57"/>
      <c r="O24" s="67"/>
      <c r="Q24" s="51" t="str">
        <f t="shared" ref="Q24:Q30" si="9">A24</f>
        <v>High Yield</v>
      </c>
      <c r="R24" s="72">
        <f>D24</f>
        <v>0.14097293579353526</v>
      </c>
      <c r="S24" s="52">
        <f>B24-D24</f>
        <v>1.4631794290299233E-2</v>
      </c>
      <c r="T24" s="52">
        <f>F24-B24</f>
        <v>1.4763966751856428E-2</v>
      </c>
      <c r="U24" s="52"/>
    </row>
    <row r="25" spans="1:24">
      <c r="A25" s="59" t="str">
        <f t="shared" ref="A25:A30" si="10">A5</f>
        <v>Emerging market debt</v>
      </c>
      <c r="B25" s="117">
        <v>0.24545958092395068</v>
      </c>
      <c r="C25" s="118">
        <v>5.7196921178084649E-2</v>
      </c>
      <c r="D25" s="119">
        <v>0.18177237365014368</v>
      </c>
      <c r="E25" s="117">
        <v>0.24593242574535729</v>
      </c>
      <c r="F25" s="120">
        <v>0.30789777442334793</v>
      </c>
      <c r="G25" s="2">
        <v>1</v>
      </c>
      <c r="H25" s="2">
        <v>0.65234594007044577</v>
      </c>
      <c r="I25" s="2">
        <v>-0.1580115865945782</v>
      </c>
      <c r="J25" s="2">
        <v>-0.16327273663141836</v>
      </c>
      <c r="K25" s="2">
        <v>-0.17547296511455832</v>
      </c>
      <c r="L25" s="2">
        <v>0.8768968329462109</v>
      </c>
      <c r="M25" s="2">
        <v>-4.6328937150643366E-3</v>
      </c>
      <c r="N25" s="57"/>
      <c r="O25" s="67"/>
      <c r="Q25" s="51" t="str">
        <f t="shared" si="9"/>
        <v>Emerging market debt</v>
      </c>
      <c r="R25" s="72">
        <f t="shared" ref="R25:R30" si="11">D25</f>
        <v>0.18177237365014368</v>
      </c>
      <c r="S25" s="52">
        <f t="shared" ref="S25:S30" si="12">B25-D25</f>
        <v>6.3687207273807001E-2</v>
      </c>
      <c r="T25" s="52">
        <f t="shared" ref="T25:T30" si="13">F25-B25</f>
        <v>6.2438193499397249E-2</v>
      </c>
      <c r="U25" s="52"/>
      <c r="X25" s="51"/>
    </row>
    <row r="26" spans="1:24">
      <c r="A26" s="59" t="str">
        <f t="shared" si="10"/>
        <v>Aandelen ontwikkeld</v>
      </c>
      <c r="B26" s="117">
        <v>0.21234326312056756</v>
      </c>
      <c r="C26" s="118">
        <v>9.6565220611457628E-3</v>
      </c>
      <c r="D26" s="119">
        <v>0.20266485498286241</v>
      </c>
      <c r="E26" s="117">
        <v>0.21245882436871183</v>
      </c>
      <c r="F26" s="120">
        <v>0.22168030780608838</v>
      </c>
      <c r="G26" s="2">
        <v>-4.5808281269612561E-2</v>
      </c>
      <c r="H26" s="2">
        <v>-0.24920090609613496</v>
      </c>
      <c r="I26" s="2">
        <v>0.12256643522994019</v>
      </c>
      <c r="J26" s="2">
        <v>1</v>
      </c>
      <c r="K26" s="2">
        <v>-0.75246069360958734</v>
      </c>
      <c r="L26" s="2">
        <v>0.87689683294620069</v>
      </c>
      <c r="M26" s="2">
        <v>-4.6328937150648536E-3</v>
      </c>
      <c r="N26" s="57"/>
      <c r="O26" s="67"/>
      <c r="P26" s="72"/>
      <c r="Q26" s="51" t="str">
        <f t="shared" si="9"/>
        <v>Aandelen ontwikkeld</v>
      </c>
      <c r="R26" s="72">
        <f t="shared" si="11"/>
        <v>0.20266485498286241</v>
      </c>
      <c r="S26" s="52">
        <f t="shared" si="12"/>
        <v>9.6784081377051523E-3</v>
      </c>
      <c r="T26" s="52">
        <f t="shared" si="13"/>
        <v>9.3370446855208233E-3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9.1302536872340023E-2</v>
      </c>
      <c r="C27" s="118">
        <v>1.8559655609698834E-2</v>
      </c>
      <c r="D27" s="119">
        <v>7.3612414821564803E-2</v>
      </c>
      <c r="E27" s="117">
        <v>8.7343409380055956E-2</v>
      </c>
      <c r="F27" s="120">
        <v>0.10948617542255412</v>
      </c>
      <c r="G27" s="2">
        <v>-8.690934322988049E-2</v>
      </c>
      <c r="H27" s="2">
        <v>-0.80161961511773039</v>
      </c>
      <c r="I27" s="2">
        <v>-0.8526645349677946</v>
      </c>
      <c r="J27" s="2">
        <v>-0.48615479626565827</v>
      </c>
      <c r="K27" s="2">
        <v>-0.28831274725107275</v>
      </c>
      <c r="L27" s="2">
        <v>0.87689683294620924</v>
      </c>
      <c r="M27" s="2">
        <v>-4.6328937150643791E-3</v>
      </c>
      <c r="N27" s="57"/>
      <c r="O27" s="67"/>
      <c r="P27" s="72"/>
      <c r="Q27" s="51" t="str">
        <f t="shared" si="9"/>
        <v>Aandelen opkomend</v>
      </c>
      <c r="R27" s="72">
        <f t="shared" si="11"/>
        <v>7.3612414821564803E-2</v>
      </c>
      <c r="S27" s="52">
        <f t="shared" si="12"/>
        <v>1.769012205077522E-2</v>
      </c>
      <c r="T27" s="52">
        <f t="shared" si="13"/>
        <v>1.8183638550214098E-2</v>
      </c>
      <c r="U27" s="52"/>
      <c r="V27" s="52"/>
      <c r="W27" s="52"/>
    </row>
    <row r="28" spans="1:24">
      <c r="A28" s="59" t="str">
        <f t="shared" si="10"/>
        <v>Commodities</v>
      </c>
      <c r="B28" s="117">
        <v>7.4289253117700682E-2</v>
      </c>
      <c r="C28" s="118">
        <v>4.5990966460410981E-2</v>
      </c>
      <c r="D28" s="119">
        <v>2.153251691338014E-2</v>
      </c>
      <c r="E28" s="117">
        <v>7.5017732731894451E-2</v>
      </c>
      <c r="F28" s="120">
        <v>0.1259653120275778</v>
      </c>
      <c r="G28" s="2">
        <v>-0.76217746646178441</v>
      </c>
      <c r="H28" s="2">
        <v>1</v>
      </c>
      <c r="I28" s="2">
        <v>-0.24422892025012796</v>
      </c>
      <c r="J28" s="2">
        <v>-0.14257531656627598</v>
      </c>
      <c r="K28" s="2">
        <v>-0.12146589047013989</v>
      </c>
      <c r="L28" s="2">
        <v>0.87689683294621168</v>
      </c>
      <c r="M28" s="2">
        <v>-4.6328937150643072E-3</v>
      </c>
      <c r="N28" s="57"/>
      <c r="O28" s="67"/>
      <c r="P28" s="72"/>
      <c r="Q28" s="51" t="str">
        <f t="shared" si="9"/>
        <v>Commodities</v>
      </c>
      <c r="R28" s="72">
        <f t="shared" si="11"/>
        <v>2.153251691338014E-2</v>
      </c>
      <c r="S28" s="52">
        <f t="shared" si="12"/>
        <v>5.2756736204320545E-2</v>
      </c>
      <c r="T28" s="52">
        <f t="shared" si="13"/>
        <v>5.1676058909877115E-2</v>
      </c>
      <c r="U28" s="52"/>
      <c r="V28" s="52"/>
      <c r="W28" s="52"/>
    </row>
    <row r="29" spans="1:24">
      <c r="A29" s="59" t="str">
        <f t="shared" si="10"/>
        <v>Hedge funds</v>
      </c>
      <c r="B29" s="117">
        <v>8.813032766434413E-2</v>
      </c>
      <c r="C29" s="118">
        <v>2.7768517799204679E-3</v>
      </c>
      <c r="D29" s="119">
        <v>8.5052782294835955E-2</v>
      </c>
      <c r="E29" s="117">
        <v>8.8716146306892688E-2</v>
      </c>
      <c r="F29" s="120">
        <v>9.0960072862524666E-2</v>
      </c>
      <c r="G29" s="2">
        <v>-3.6321305613079536E-3</v>
      </c>
      <c r="H29" s="2">
        <v>-0.12671215522666679</v>
      </c>
      <c r="I29" s="2">
        <v>5.2773806347832325E-2</v>
      </c>
      <c r="J29" s="2">
        <v>0.16690726176468754</v>
      </c>
      <c r="K29" s="2">
        <v>0.66328082509026542</v>
      </c>
      <c r="L29" s="2">
        <v>0.69129947750179499</v>
      </c>
      <c r="M29" s="2">
        <v>1</v>
      </c>
      <c r="N29" s="57"/>
      <c r="O29" s="67"/>
      <c r="P29" s="72"/>
      <c r="Q29" s="51" t="str">
        <f t="shared" si="9"/>
        <v>Hedge funds</v>
      </c>
      <c r="R29" s="72">
        <f t="shared" si="11"/>
        <v>8.5052782294835955E-2</v>
      </c>
      <c r="S29" s="52">
        <f t="shared" si="12"/>
        <v>3.077545369508175E-3</v>
      </c>
      <c r="T29" s="52">
        <f t="shared" si="13"/>
        <v>2.829745198180536E-3</v>
      </c>
      <c r="U29" s="52"/>
      <c r="V29" s="52"/>
      <c r="W29" s="52"/>
    </row>
    <row r="30" spans="1:24">
      <c r="A30" s="60" t="str">
        <f t="shared" si="10"/>
        <v>Onroerend goed</v>
      </c>
      <c r="B30" s="121">
        <v>0.13287030821726262</v>
      </c>
      <c r="C30" s="122">
        <v>4.1865401122406342E-3</v>
      </c>
      <c r="D30" s="123">
        <v>0.12823042530026549</v>
      </c>
      <c r="E30" s="121">
        <v>0.13375352181305583</v>
      </c>
      <c r="F30" s="124">
        <v>0.13713659346347867</v>
      </c>
      <c r="G30" s="65">
        <v>-5.4760071811417853E-3</v>
      </c>
      <c r="H30" s="65">
        <v>-0.19103847184097675</v>
      </c>
      <c r="I30" s="65">
        <v>7.9564800234727479E-2</v>
      </c>
      <c r="J30" s="65">
        <v>0.25163890685664347</v>
      </c>
      <c r="K30" s="65">
        <v>1</v>
      </c>
      <c r="L30" s="65">
        <v>1</v>
      </c>
      <c r="M30" s="65">
        <v>-0.67098662837121392</v>
      </c>
      <c r="N30" s="66"/>
      <c r="O30" s="67"/>
      <c r="P30" s="72"/>
      <c r="Q30" s="51" t="str">
        <f t="shared" si="9"/>
        <v>Onroerend goed</v>
      </c>
      <c r="R30" s="72">
        <f t="shared" si="11"/>
        <v>0.12823042530026549</v>
      </c>
      <c r="S30" s="52">
        <f t="shared" si="12"/>
        <v>4.639882916997129E-3</v>
      </c>
      <c r="T30" s="52">
        <f t="shared" si="13"/>
        <v>4.2662852462160561E-3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404" t="s">
        <v>64</v>
      </c>
      <c r="E32" s="405"/>
      <c r="F32" s="406"/>
      <c r="G32" s="404" t="s">
        <v>65</v>
      </c>
      <c r="H32" s="405"/>
      <c r="I32" s="405"/>
      <c r="J32" s="405"/>
      <c r="K32" s="405"/>
      <c r="L32" s="405"/>
      <c r="M32" s="405"/>
      <c r="N32" s="406"/>
      <c r="O32" s="67"/>
    </row>
    <row r="33" spans="1:24">
      <c r="A33" s="266" t="str">
        <f>'Samenvatting mixen'!A36</f>
        <v>Base - muddle up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0.60446153409742021</v>
      </c>
      <c r="H33" s="272">
        <v>0.26544283102840738</v>
      </c>
      <c r="I33" s="272">
        <v>9.1147719755179213E-2</v>
      </c>
      <c r="J33" s="272">
        <v>3.8541756078481426E-2</v>
      </c>
      <c r="K33" s="272">
        <v>4.0615904051244378E-4</v>
      </c>
      <c r="L33" s="272">
        <v>-2.2204460492503131E-16</v>
      </c>
      <c r="M33" s="272">
        <v>0</v>
      </c>
      <c r="N33" s="272"/>
      <c r="O33" s="273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0.30622767541970147</v>
      </c>
      <c r="C34" s="118">
        <v>3.5994704271590405E-2</v>
      </c>
      <c r="D34" s="119">
        <v>0.26612285328127222</v>
      </c>
      <c r="E34" s="117">
        <v>0.31246654159518128</v>
      </c>
      <c r="F34" s="120">
        <v>0.3431083738067352</v>
      </c>
      <c r="G34" s="2">
        <v>-0.92090476642819175</v>
      </c>
      <c r="H34" s="2">
        <v>-0.6345755362278882</v>
      </c>
      <c r="I34" s="2">
        <v>-0.25720610354957218</v>
      </c>
      <c r="J34" s="2">
        <v>-0.3258170479986085</v>
      </c>
      <c r="K34" s="2">
        <v>-0.26870231632208125</v>
      </c>
      <c r="L34" s="2">
        <v>0.94744345796824536</v>
      </c>
      <c r="M34" s="2">
        <v>-3.2017100706419485E-2</v>
      </c>
      <c r="N34" s="57"/>
      <c r="O34" s="67"/>
      <c r="Q34" s="51" t="str">
        <f t="shared" ref="Q34:Q40" si="15">A34</f>
        <v>High Yield</v>
      </c>
      <c r="R34" s="72">
        <f>D34</f>
        <v>0.26612285328127222</v>
      </c>
      <c r="S34" s="52">
        <f>B34-D34</f>
        <v>4.0104822138429252E-2</v>
      </c>
      <c r="T34" s="52">
        <f>F34-B34</f>
        <v>3.6880698387033728E-2</v>
      </c>
      <c r="U34" s="52"/>
    </row>
    <row r="35" spans="1:24">
      <c r="A35" s="59" t="str">
        <f t="shared" si="14"/>
        <v>Emerging market debt</v>
      </c>
      <c r="B35" s="117">
        <v>0.13918380355195603</v>
      </c>
      <c r="C35" s="118">
        <v>1.2273173830389316E-2</v>
      </c>
      <c r="D35" s="119">
        <v>0.12704844353016562</v>
      </c>
      <c r="E35" s="117">
        <v>0.13732337819519783</v>
      </c>
      <c r="F35" s="120">
        <v>0.15184076765395899</v>
      </c>
      <c r="G35" s="2">
        <v>1.3164586520116737E-2</v>
      </c>
      <c r="H35" s="2">
        <v>5.989087543838427E-2</v>
      </c>
      <c r="I35" s="2">
        <v>-0.43244886504847813</v>
      </c>
      <c r="J35" s="2">
        <v>1</v>
      </c>
      <c r="K35" s="2">
        <v>-0.1977428077147057</v>
      </c>
      <c r="L35" s="2">
        <v>0.94744345796824225</v>
      </c>
      <c r="M35" s="2">
        <v>-3.2017100706419638E-2</v>
      </c>
      <c r="N35" s="57"/>
      <c r="O35" s="67"/>
      <c r="Q35" s="51" t="str">
        <f t="shared" si="15"/>
        <v>Emerging market debt</v>
      </c>
      <c r="R35" s="72">
        <f t="shared" ref="R35:R40" si="16">D35</f>
        <v>0.12704844353016562</v>
      </c>
      <c r="S35" s="52">
        <f t="shared" ref="S35:S40" si="17">B35-D35</f>
        <v>1.2135360021790415E-2</v>
      </c>
      <c r="T35" s="52">
        <f t="shared" ref="T35:T40" si="18">F35-B35</f>
        <v>1.2656964102002954E-2</v>
      </c>
      <c r="U35" s="52"/>
    </row>
    <row r="36" spans="1:24">
      <c r="A36" s="59" t="str">
        <f t="shared" si="14"/>
        <v>Aandelen ontwikkeld</v>
      </c>
      <c r="B36" s="117">
        <v>0.20433545605969086</v>
      </c>
      <c r="C36" s="118">
        <v>1.6522035901496441E-2</v>
      </c>
      <c r="D36" s="119">
        <v>0.18835027428870005</v>
      </c>
      <c r="E36" s="117">
        <v>0.2003376116747988</v>
      </c>
      <c r="F36" s="120">
        <v>0.22229613093426492</v>
      </c>
      <c r="G36" s="2">
        <v>-8.5943627211781809E-2</v>
      </c>
      <c r="H36" s="2">
        <v>-2.9502092323962413E-2</v>
      </c>
      <c r="I36" s="2">
        <v>1</v>
      </c>
      <c r="J36" s="2">
        <v>0.21827701721808593</v>
      </c>
      <c r="K36" s="2">
        <v>-0.34912626263569629</v>
      </c>
      <c r="L36" s="2">
        <v>0.94744345796824769</v>
      </c>
      <c r="M36" s="2">
        <v>-3.2017100706419353E-2</v>
      </c>
      <c r="N36" s="57"/>
      <c r="O36" s="67"/>
      <c r="Q36" s="51" t="str">
        <f t="shared" si="15"/>
        <v>Aandelen ontwikkeld</v>
      </c>
      <c r="R36" s="72">
        <f t="shared" si="16"/>
        <v>0.18835027428870005</v>
      </c>
      <c r="S36" s="52">
        <f t="shared" si="17"/>
        <v>1.5985181770990814E-2</v>
      </c>
      <c r="T36" s="52">
        <f t="shared" si="18"/>
        <v>1.7960674874574062E-2</v>
      </c>
      <c r="U36" s="52"/>
    </row>
    <row r="37" spans="1:24">
      <c r="A37" s="59" t="str">
        <f t="shared" si="14"/>
        <v>Aandelen opkomend</v>
      </c>
      <c r="B37" s="117">
        <v>0.13127480976419961</v>
      </c>
      <c r="C37" s="118">
        <v>3.710736291480965E-2</v>
      </c>
      <c r="D37" s="119">
        <v>9.4716468110087562E-2</v>
      </c>
      <c r="E37" s="117">
        <v>0.1266698577867757</v>
      </c>
      <c r="F37" s="120">
        <v>0.16546218915137711</v>
      </c>
      <c r="G37" s="2">
        <v>1</v>
      </c>
      <c r="H37" s="2">
        <v>-0.49770912774537029</v>
      </c>
      <c r="I37" s="2">
        <v>-0.16570197643385029</v>
      </c>
      <c r="J37" s="2">
        <v>-0.32679609378667207</v>
      </c>
      <c r="K37" s="2">
        <v>-0.39428676603676527</v>
      </c>
      <c r="L37" s="2">
        <v>0.94744345796825147</v>
      </c>
      <c r="M37" s="2">
        <v>-3.2017100706419312E-2</v>
      </c>
      <c r="N37" s="57"/>
      <c r="O37" s="67"/>
      <c r="Q37" s="51" t="str">
        <f t="shared" si="15"/>
        <v>Aandelen opkomend</v>
      </c>
      <c r="R37" s="72">
        <f t="shared" si="16"/>
        <v>9.4716468110087562E-2</v>
      </c>
      <c r="S37" s="52">
        <f t="shared" si="17"/>
        <v>3.655834165411205E-2</v>
      </c>
      <c r="T37" s="52">
        <f t="shared" si="18"/>
        <v>3.4187379387177502E-2</v>
      </c>
      <c r="U37" s="52"/>
      <c r="X37" s="51"/>
    </row>
    <row r="38" spans="1:24">
      <c r="A38" s="59" t="str">
        <f t="shared" si="14"/>
        <v>Commodities</v>
      </c>
      <c r="B38" s="117">
        <v>2.2987687910560585E-2</v>
      </c>
      <c r="C38" s="118">
        <v>2.5224558114412647E-2</v>
      </c>
      <c r="D38" s="119">
        <v>8.1175686258579648E-4</v>
      </c>
      <c r="E38" s="117">
        <v>1.2519939493046472E-2</v>
      </c>
      <c r="F38" s="120">
        <v>4.7971630117560407E-2</v>
      </c>
      <c r="G38" s="2">
        <v>-9.4685197196600179E-2</v>
      </c>
      <c r="H38" s="2">
        <v>1</v>
      </c>
      <c r="I38" s="2">
        <v>-0.19284256003932163</v>
      </c>
      <c r="J38" s="2">
        <v>-0.41485804387194009</v>
      </c>
      <c r="K38" s="2">
        <v>-0.45342267238092648</v>
      </c>
      <c r="L38" s="2">
        <v>0.94744345796825313</v>
      </c>
      <c r="M38" s="2">
        <v>-3.2017100706419208E-2</v>
      </c>
      <c r="N38" s="57"/>
      <c r="O38" s="67"/>
      <c r="P38" s="72"/>
      <c r="Q38" s="51" t="str">
        <f t="shared" si="15"/>
        <v>Commodities</v>
      </c>
      <c r="R38" s="72">
        <f t="shared" si="16"/>
        <v>8.1175686258579648E-4</v>
      </c>
      <c r="S38" s="52">
        <f t="shared" si="17"/>
        <v>2.2175931047974787E-2</v>
      </c>
      <c r="T38" s="52">
        <f t="shared" si="18"/>
        <v>2.4983942206999822E-2</v>
      </c>
      <c r="U38" s="52"/>
      <c r="V38" s="52"/>
      <c r="W38" s="52"/>
    </row>
    <row r="39" spans="1:24">
      <c r="A39" s="59" t="str">
        <f t="shared" si="14"/>
        <v>Hedge funds</v>
      </c>
      <c r="B39" s="117">
        <v>7.8156847132261606E-2</v>
      </c>
      <c r="C39" s="118">
        <v>1.8103416231432085E-3</v>
      </c>
      <c r="D39" s="119">
        <v>7.6356349495767598E-2</v>
      </c>
      <c r="E39" s="117">
        <v>7.7851009975922231E-2</v>
      </c>
      <c r="F39" s="120">
        <v>8.0196033597146929E-2</v>
      </c>
      <c r="G39" s="2">
        <v>3.5239669219564292E-2</v>
      </c>
      <c r="H39" s="2">
        <v>4.0633898323021694E-2</v>
      </c>
      <c r="I39" s="2">
        <v>1.9220931913796702E-2</v>
      </c>
      <c r="J39" s="2">
        <v>-6.0138140762060061E-2</v>
      </c>
      <c r="K39" s="2">
        <v>0.66328082509027264</v>
      </c>
      <c r="L39" s="2">
        <v>0.86820621780727991</v>
      </c>
      <c r="M39" s="2">
        <v>1</v>
      </c>
      <c r="N39" s="57"/>
      <c r="O39" s="67"/>
      <c r="P39" s="72"/>
      <c r="Q39" s="51" t="str">
        <f t="shared" si="15"/>
        <v>Hedge funds</v>
      </c>
      <c r="R39" s="72">
        <f t="shared" si="16"/>
        <v>7.6356349495767598E-2</v>
      </c>
      <c r="S39" s="52">
        <f t="shared" si="17"/>
        <v>1.8004976364940084E-3</v>
      </c>
      <c r="T39" s="52">
        <f t="shared" si="18"/>
        <v>2.0391864648853231E-3</v>
      </c>
      <c r="U39" s="52"/>
      <c r="V39" s="52"/>
      <c r="W39" s="52"/>
    </row>
    <row r="40" spans="1:24">
      <c r="A40" s="60" t="str">
        <f t="shared" si="14"/>
        <v>Onroerend goed</v>
      </c>
      <c r="B40" s="121">
        <v>0.11783372016163</v>
      </c>
      <c r="C40" s="122">
        <v>2.7293742780772168E-3</v>
      </c>
      <c r="D40" s="123">
        <v>0.11511918723924534</v>
      </c>
      <c r="E40" s="121">
        <v>0.11737262262229178</v>
      </c>
      <c r="F40" s="124">
        <v>0.12090811397454902</v>
      </c>
      <c r="G40" s="65">
        <v>5.3129335096892702E-2</v>
      </c>
      <c r="H40" s="65">
        <v>6.126198253581619E-2</v>
      </c>
      <c r="I40" s="65">
        <v>2.8978573157426774E-2</v>
      </c>
      <c r="J40" s="65">
        <v>-9.0667690798804268E-2</v>
      </c>
      <c r="K40" s="65">
        <v>1</v>
      </c>
      <c r="L40" s="65">
        <v>1</v>
      </c>
      <c r="M40" s="65">
        <v>-0.71653425477024124</v>
      </c>
      <c r="N40" s="66"/>
      <c r="O40" s="67"/>
      <c r="P40" s="72"/>
      <c r="Q40" s="51" t="str">
        <f t="shared" si="15"/>
        <v>Onroerend goed</v>
      </c>
      <c r="R40" s="72">
        <f t="shared" si="16"/>
        <v>0.11511918723924534</v>
      </c>
      <c r="S40" s="52">
        <f t="shared" si="17"/>
        <v>2.7145329223846604E-3</v>
      </c>
      <c r="T40" s="52">
        <f t="shared" si="18"/>
        <v>3.0743938129190185E-3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404" t="s">
        <v>64</v>
      </c>
      <c r="E42" s="405"/>
      <c r="F42" s="406"/>
      <c r="G42" s="404" t="s">
        <v>65</v>
      </c>
      <c r="H42" s="405"/>
      <c r="I42" s="405"/>
      <c r="J42" s="405"/>
      <c r="K42" s="405"/>
      <c r="L42" s="405"/>
      <c r="M42" s="405"/>
      <c r="N42" s="406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Bear case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0.93604060378739984</v>
      </c>
      <c r="H43" s="272">
        <v>3.1935924849421427E-2</v>
      </c>
      <c r="I43" s="272">
        <v>1.9062739708928023E-2</v>
      </c>
      <c r="J43" s="272">
        <v>1.263371757573295E-2</v>
      </c>
      <c r="K43" s="272">
        <v>3.2701407851476461E-4</v>
      </c>
      <c r="L43" s="272">
        <v>-2.2204460492503131E-16</v>
      </c>
      <c r="M43" s="272">
        <v>0</v>
      </c>
      <c r="N43" s="272"/>
      <c r="O43" s="273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0.23903752199518952</v>
      </c>
      <c r="C44" s="118">
        <v>4.8261385816334594E-2</v>
      </c>
      <c r="D44" s="119">
        <v>0.18667738370713693</v>
      </c>
      <c r="E44" s="117">
        <v>0.23920126875990719</v>
      </c>
      <c r="F44" s="120">
        <v>0.29267100925565337</v>
      </c>
      <c r="G44" s="2">
        <v>-0.99744405517594859</v>
      </c>
      <c r="H44" s="2">
        <v>1</v>
      </c>
      <c r="I44" s="2">
        <v>-3.2714255859532283E-2</v>
      </c>
      <c r="J44" s="2">
        <v>-0.1531061648766858</v>
      </c>
      <c r="K44" s="2">
        <v>-0.29544263203855187</v>
      </c>
      <c r="L44" s="2">
        <v>0.87335655323569994</v>
      </c>
      <c r="M44" s="2">
        <v>-3.1742360277584231E-3</v>
      </c>
      <c r="N44" s="57"/>
      <c r="O44" s="67"/>
      <c r="Q44" s="51" t="str">
        <f t="shared" ref="Q44:Q50" si="19">A44</f>
        <v>High Yield</v>
      </c>
      <c r="R44" s="72">
        <f>D44</f>
        <v>0.18667738370713693</v>
      </c>
      <c r="S44" s="52">
        <f>B44-D44</f>
        <v>5.2360138288052582E-2</v>
      </c>
      <c r="T44" s="52">
        <f>F44-B44</f>
        <v>5.3633487260463852E-2</v>
      </c>
      <c r="U44" s="52"/>
    </row>
    <row r="45" spans="1:24">
      <c r="A45" s="59" t="str">
        <f t="shared" ref="A45:A50" si="20">A5</f>
        <v>Emerging market debt</v>
      </c>
      <c r="B45" s="117">
        <v>0.22518284625998192</v>
      </c>
      <c r="C45" s="118">
        <v>4.8377245592678801E-2</v>
      </c>
      <c r="D45" s="119">
        <v>0.17075513077932775</v>
      </c>
      <c r="E45" s="117">
        <v>0.22193318445574159</v>
      </c>
      <c r="F45" s="120">
        <v>0.2797392177700736</v>
      </c>
      <c r="G45" s="2">
        <v>1</v>
      </c>
      <c r="H45" s="2">
        <v>0.99484514724730044</v>
      </c>
      <c r="I45" s="2">
        <v>-4.0778783831232034E-2</v>
      </c>
      <c r="J45" s="2">
        <v>-0.147979139322202</v>
      </c>
      <c r="K45" s="2">
        <v>-0.29990882512013689</v>
      </c>
      <c r="L45" s="2">
        <v>0.87335655323569983</v>
      </c>
      <c r="M45" s="2">
        <v>-3.1742360277584244E-3</v>
      </c>
      <c r="N45" s="57"/>
      <c r="O45" s="67"/>
      <c r="Q45" s="51" t="str">
        <f t="shared" si="19"/>
        <v>Emerging market debt</v>
      </c>
      <c r="R45" s="72">
        <f t="shared" ref="R45:R50" si="21">D45</f>
        <v>0.17075513077932775</v>
      </c>
      <c r="S45" s="52">
        <f t="shared" ref="S45:S50" si="22">B45-D45</f>
        <v>5.4427715480654171E-2</v>
      </c>
      <c r="T45" s="52">
        <f t="shared" ref="T45:T50" si="23">F45-B45</f>
        <v>5.4556371510091684E-2</v>
      </c>
      <c r="U45" s="52"/>
    </row>
    <row r="46" spans="1:24">
      <c r="A46" s="59" t="str">
        <f t="shared" si="20"/>
        <v>Aandelen ontwikkeld</v>
      </c>
      <c r="B46" s="117">
        <v>0.2211444720497463</v>
      </c>
      <c r="C46" s="118">
        <v>9.0036992269772863E-3</v>
      </c>
      <c r="D46" s="119">
        <v>0.21263980419544706</v>
      </c>
      <c r="E46" s="117">
        <v>0.21960088105210507</v>
      </c>
      <c r="F46" s="120">
        <v>0.23008720968495083</v>
      </c>
      <c r="G46" s="2">
        <v>3.7454907469183034E-3</v>
      </c>
      <c r="H46" s="2">
        <v>-0.73228587702080572</v>
      </c>
      <c r="I46" s="2">
        <v>1</v>
      </c>
      <c r="J46" s="2">
        <v>-0.30534480663230384</v>
      </c>
      <c r="K46" s="2">
        <v>-0.37248465343561349</v>
      </c>
      <c r="L46" s="2">
        <v>0.87335655323569661</v>
      </c>
      <c r="M46" s="2">
        <v>-3.1742360277584635E-3</v>
      </c>
      <c r="N46" s="57"/>
      <c r="O46" s="67"/>
      <c r="Q46" s="51" t="str">
        <f t="shared" si="19"/>
        <v>Aandelen ontwikkeld</v>
      </c>
      <c r="R46" s="72">
        <f t="shared" si="21"/>
        <v>0.21263980419544706</v>
      </c>
      <c r="S46" s="52">
        <f t="shared" si="22"/>
        <v>8.504667854299236E-3</v>
      </c>
      <c r="T46" s="52">
        <f t="shared" si="23"/>
        <v>8.942737635204534E-3</v>
      </c>
      <c r="U46" s="52"/>
    </row>
    <row r="47" spans="1:24">
      <c r="A47" s="59" t="str">
        <f t="shared" si="20"/>
        <v>Aandelen opkomend</v>
      </c>
      <c r="B47" s="117">
        <v>7.9812238420134879E-2</v>
      </c>
      <c r="C47" s="118">
        <v>9.2166643901170405E-3</v>
      </c>
      <c r="D47" s="119">
        <v>7.1281953324095648E-2</v>
      </c>
      <c r="E47" s="117">
        <v>7.7503081909245847E-2</v>
      </c>
      <c r="F47" s="120">
        <v>8.9183553767527679E-2</v>
      </c>
      <c r="G47" s="2">
        <v>-4.5546438440945769E-3</v>
      </c>
      <c r="H47" s="2">
        <v>-0.88880066935557622</v>
      </c>
      <c r="I47" s="2">
        <v>-0.88978877750678964</v>
      </c>
      <c r="J47" s="2">
        <v>-0.39538783595395499</v>
      </c>
      <c r="K47" s="2">
        <v>-0.35152971081433976</v>
      </c>
      <c r="L47" s="2">
        <v>0.87335655323569816</v>
      </c>
      <c r="M47" s="2">
        <v>-3.1742360277584344E-3</v>
      </c>
      <c r="N47" s="57"/>
      <c r="O47" s="67"/>
      <c r="Q47" s="51" t="str">
        <f t="shared" si="19"/>
        <v>Aandelen opkomend</v>
      </c>
      <c r="R47" s="72">
        <f t="shared" si="21"/>
        <v>7.1281953324095648E-2</v>
      </c>
      <c r="S47" s="52">
        <f t="shared" si="22"/>
        <v>8.5302850960392307E-3</v>
      </c>
      <c r="T47" s="52">
        <f t="shared" si="23"/>
        <v>9.3713153473928001E-3</v>
      </c>
      <c r="U47" s="52"/>
    </row>
    <row r="48" spans="1:24">
      <c r="A48" s="59" t="str">
        <f t="shared" si="20"/>
        <v>Commodities</v>
      </c>
      <c r="B48" s="117">
        <v>5.6563231547459231E-3</v>
      </c>
      <c r="C48" s="118">
        <v>7.1758575129133185E-3</v>
      </c>
      <c r="D48" s="119">
        <v>4.8630023340398279E-5</v>
      </c>
      <c r="E48" s="117">
        <v>2.3242815082483289E-3</v>
      </c>
      <c r="F48" s="120">
        <v>1.2777245118062438E-2</v>
      </c>
      <c r="G48" s="2">
        <v>-5.3963325601545419E-3</v>
      </c>
      <c r="H48" s="2">
        <v>-0.27460434691934904</v>
      </c>
      <c r="I48" s="2">
        <v>-5.752970855265397E-2</v>
      </c>
      <c r="J48" s="2">
        <v>1</v>
      </c>
      <c r="K48" s="2">
        <v>-0.34391500368177291</v>
      </c>
      <c r="L48" s="2">
        <v>0.87335655323569938</v>
      </c>
      <c r="M48" s="2">
        <v>-3.1742360277584249E-3</v>
      </c>
      <c r="N48" s="57"/>
      <c r="O48" s="67"/>
      <c r="Q48" s="51" t="str">
        <f t="shared" si="19"/>
        <v>Commodities</v>
      </c>
      <c r="R48" s="72">
        <f t="shared" si="21"/>
        <v>4.8630023340398279E-5</v>
      </c>
      <c r="S48" s="52">
        <f t="shared" si="22"/>
        <v>5.6076931314055249E-3</v>
      </c>
      <c r="T48" s="52">
        <f t="shared" si="23"/>
        <v>7.1209219633165148E-3</v>
      </c>
      <c r="U48" s="52"/>
    </row>
    <row r="49" spans="1:27">
      <c r="A49" s="59" t="str">
        <f t="shared" si="20"/>
        <v>Hedge funds</v>
      </c>
      <c r="B49" s="117">
        <v>9.1386738782398502E-2</v>
      </c>
      <c r="C49" s="118">
        <v>6.5753512183363769E-4</v>
      </c>
      <c r="D49" s="119">
        <v>9.0720721043367702E-2</v>
      </c>
      <c r="E49" s="117">
        <v>9.1536902294493266E-2</v>
      </c>
      <c r="F49" s="120">
        <v>9.2002972861562948E-2</v>
      </c>
      <c r="G49" s="2">
        <v>1.4553588417438681E-3</v>
      </c>
      <c r="H49" s="2">
        <v>-3.954059613994252E-2</v>
      </c>
      <c r="I49" s="2">
        <v>8.2991914310298811E-3</v>
      </c>
      <c r="J49" s="2">
        <v>7.249583025497442E-4</v>
      </c>
      <c r="K49" s="2">
        <v>0.66328082509026676</v>
      </c>
      <c r="L49" s="2">
        <v>0.68242167019134614</v>
      </c>
      <c r="M49" s="2">
        <v>1</v>
      </c>
      <c r="N49" s="57"/>
      <c r="O49" s="67"/>
      <c r="Q49" s="51" t="str">
        <f t="shared" si="19"/>
        <v>Hedge funds</v>
      </c>
      <c r="R49" s="72">
        <f t="shared" si="21"/>
        <v>9.0720721043367702E-2</v>
      </c>
      <c r="S49" s="52">
        <f t="shared" si="22"/>
        <v>6.6601773903079975E-4</v>
      </c>
      <c r="T49" s="52">
        <f t="shared" si="23"/>
        <v>6.1623407916444606E-4</v>
      </c>
      <c r="U49" s="52"/>
      <c r="X49" s="51"/>
    </row>
    <row r="50" spans="1:27">
      <c r="A50" s="60" t="str">
        <f t="shared" si="20"/>
        <v>Onroerend goed</v>
      </c>
      <c r="B50" s="121">
        <v>0.13777985933780215</v>
      </c>
      <c r="C50" s="122">
        <v>9.9133745008255295E-4</v>
      </c>
      <c r="D50" s="123">
        <v>0.1367757330102545</v>
      </c>
      <c r="E50" s="121">
        <v>0.13800625441273059</v>
      </c>
      <c r="F50" s="124">
        <v>0.1387089289804844</v>
      </c>
      <c r="G50" s="65">
        <v>2.1941819915354912E-3</v>
      </c>
      <c r="H50" s="65">
        <v>-5.9613657811623519E-2</v>
      </c>
      <c r="I50" s="65">
        <v>1.2512334319178297E-2</v>
      </c>
      <c r="J50" s="65">
        <v>1.0929884825950059E-3</v>
      </c>
      <c r="K50" s="65">
        <v>1</v>
      </c>
      <c r="L50" s="65">
        <v>1</v>
      </c>
      <c r="M50" s="65">
        <v>-0.66856047100954841</v>
      </c>
      <c r="N50" s="66"/>
      <c r="O50" s="67"/>
      <c r="P50" s="72"/>
      <c r="Q50" s="51" t="str">
        <f t="shared" si="19"/>
        <v>Onroerend goed</v>
      </c>
      <c r="R50" s="72">
        <f t="shared" si="21"/>
        <v>0.1367757330102545</v>
      </c>
      <c r="S50" s="52">
        <f t="shared" si="22"/>
        <v>1.0041263275476497E-3</v>
      </c>
      <c r="T50" s="52">
        <f t="shared" si="23"/>
        <v>9.2906964268224534E-4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404" t="s">
        <v>64</v>
      </c>
      <c r="E52" s="405"/>
      <c r="F52" s="406"/>
      <c r="G52" s="404" t="s">
        <v>65</v>
      </c>
      <c r="H52" s="405"/>
      <c r="I52" s="405"/>
      <c r="J52" s="405"/>
      <c r="K52" s="405"/>
      <c r="L52" s="405"/>
      <c r="M52" s="405"/>
      <c r="N52" s="406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Tail risk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0.92616541344261671</v>
      </c>
      <c r="H53" s="272">
        <v>3.9920778291881454E-2</v>
      </c>
      <c r="I53" s="272">
        <v>1.8666728442868985E-2</v>
      </c>
      <c r="J53" s="272">
        <v>1.4846394063423696E-2</v>
      </c>
      <c r="K53" s="272">
        <v>4.0068575920892968E-4</v>
      </c>
      <c r="L53" s="272">
        <v>0</v>
      </c>
      <c r="M53" s="272">
        <v>0</v>
      </c>
      <c r="N53" s="272"/>
      <c r="O53" s="273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0.25666112708295841</v>
      </c>
      <c r="C54" s="118">
        <v>4.4742847891249313E-2</v>
      </c>
      <c r="D54" s="119">
        <v>0.20949723281385896</v>
      </c>
      <c r="E54" s="117">
        <v>0.25747487343506581</v>
      </c>
      <c r="F54" s="120">
        <v>0.3036576348336576</v>
      </c>
      <c r="G54" s="2">
        <v>-0.99897908300297777</v>
      </c>
      <c r="H54" s="2">
        <v>-0.90376949652280769</v>
      </c>
      <c r="I54" s="2">
        <v>0.24685635595375247</v>
      </c>
      <c r="J54" s="2">
        <v>-1.1162517732510455E-2</v>
      </c>
      <c r="K54" s="2">
        <v>-0.30150462421415231</v>
      </c>
      <c r="L54" s="2">
        <v>0.85364964397050513</v>
      </c>
      <c r="M54" s="2">
        <v>5.1044720953976703E-3</v>
      </c>
      <c r="N54" s="57"/>
      <c r="O54" s="67"/>
      <c r="P54" s="72"/>
      <c r="Q54" s="51" t="str">
        <f t="shared" ref="Q54:Q60" si="25">A54</f>
        <v>High Yield</v>
      </c>
      <c r="R54" s="72">
        <f>D54</f>
        <v>0.20949723281385896</v>
      </c>
      <c r="S54" s="52">
        <f>B54-D54</f>
        <v>4.7163894269099449E-2</v>
      </c>
      <c r="T54" s="52">
        <f>F54-B54</f>
        <v>4.699650775069919E-2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0.20965548727937416</v>
      </c>
      <c r="C55" s="118">
        <v>4.4779292449798024E-2</v>
      </c>
      <c r="D55" s="119">
        <v>0.15968935194608702</v>
      </c>
      <c r="E55" s="117">
        <v>0.20427778327444807</v>
      </c>
      <c r="F55" s="120">
        <v>0.25513473030509903</v>
      </c>
      <c r="G55" s="2">
        <v>1</v>
      </c>
      <c r="H55" s="2">
        <v>-0.89407662997378101</v>
      </c>
      <c r="I55" s="2">
        <v>0.26306356041628354</v>
      </c>
      <c r="J55" s="2">
        <v>-3.1259158540126127E-3</v>
      </c>
      <c r="K55" s="2">
        <v>-0.30608737675436587</v>
      </c>
      <c r="L55" s="2">
        <v>0.85364964397050536</v>
      </c>
      <c r="M55" s="2">
        <v>5.1044720953976729E-3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0.15968935194608702</v>
      </c>
      <c r="S55" s="52">
        <f t="shared" ref="S55:S60" si="27">B55-D55</f>
        <v>4.9966135333287143E-2</v>
      </c>
      <c r="T55" s="52">
        <f t="shared" ref="T55:T60" si="28">F55-B55</f>
        <v>4.5479243025724869E-2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0.22164057674671286</v>
      </c>
      <c r="C56" s="118">
        <v>9.6924311842609429E-3</v>
      </c>
      <c r="D56" s="119">
        <v>0.21276853393409331</v>
      </c>
      <c r="E56" s="117">
        <v>0.21973737471716789</v>
      </c>
      <c r="F56" s="120">
        <v>0.23097911537926746</v>
      </c>
      <c r="G56" s="2">
        <v>-1.1492218970859915E-2</v>
      </c>
      <c r="H56" s="2">
        <v>1</v>
      </c>
      <c r="I56" s="2">
        <v>1</v>
      </c>
      <c r="J56" s="2">
        <v>2.3913706371664747E-2</v>
      </c>
      <c r="K56" s="2">
        <v>-0.35272162687938824</v>
      </c>
      <c r="L56" s="2">
        <v>0.85364964397050591</v>
      </c>
      <c r="M56" s="2">
        <v>5.1044720953976365E-3</v>
      </c>
      <c r="N56" s="57"/>
      <c r="O56" s="67"/>
      <c r="Q56" s="51" t="str">
        <f t="shared" si="25"/>
        <v>Aandelen ontwikkeld</v>
      </c>
      <c r="R56" s="72">
        <f t="shared" si="26"/>
        <v>0.21276853393409331</v>
      </c>
      <c r="S56" s="52">
        <f t="shared" si="27"/>
        <v>8.8720428126195516E-3</v>
      </c>
      <c r="T56" s="52">
        <f t="shared" si="28"/>
        <v>9.3385386325545994E-3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7.6812360350213993E-2</v>
      </c>
      <c r="C57" s="118">
        <v>7.6790594642651092E-3</v>
      </c>
      <c r="D57" s="119">
        <v>6.9766047595129166E-2</v>
      </c>
      <c r="E57" s="117">
        <v>7.5391899999857515E-2</v>
      </c>
      <c r="F57" s="120">
        <v>8.530086728207241E-2</v>
      </c>
      <c r="G57" s="2">
        <v>7.2320050512649928E-3</v>
      </c>
      <c r="H57" s="2">
        <v>0.38282427346447334</v>
      </c>
      <c r="I57" s="2">
        <v>-0.73875153639514402</v>
      </c>
      <c r="J57" s="2">
        <v>-0.99065903385038012</v>
      </c>
      <c r="K57" s="2">
        <v>-0.36344709605404607</v>
      </c>
      <c r="L57" s="2">
        <v>0.8536496439705058</v>
      </c>
      <c r="M57" s="2">
        <v>5.1044720953976538E-3</v>
      </c>
      <c r="N57" s="57"/>
      <c r="O57" s="67"/>
      <c r="Q57" s="51" t="str">
        <f t="shared" si="25"/>
        <v>Aandelen opkomend</v>
      </c>
      <c r="R57" s="72">
        <f t="shared" si="26"/>
        <v>6.9766047595129166E-2</v>
      </c>
      <c r="S57" s="52">
        <f t="shared" si="27"/>
        <v>7.046312755084827E-3</v>
      </c>
      <c r="T57" s="52">
        <f t="shared" si="28"/>
        <v>8.4885069318584166E-3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5.8281715684986579E-3</v>
      </c>
      <c r="C58" s="118">
        <v>7.6466170169399586E-3</v>
      </c>
      <c r="D58" s="119">
        <v>6.3609621127734106E-5</v>
      </c>
      <c r="E58" s="117">
        <v>2.6647216469370648E-3</v>
      </c>
      <c r="F58" s="120">
        <v>1.2593235291182099E-2</v>
      </c>
      <c r="G58" s="2">
        <v>-5.4854053917804805E-4</v>
      </c>
      <c r="H58" s="2">
        <v>0.34316086211830055</v>
      </c>
      <c r="I58" s="2">
        <v>-0.75237228731215211</v>
      </c>
      <c r="J58" s="2">
        <v>1</v>
      </c>
      <c r="K58" s="2">
        <v>-0.33952010118824405</v>
      </c>
      <c r="L58" s="2">
        <v>0.85364964397050558</v>
      </c>
      <c r="M58" s="2">
        <v>5.1044720953976851E-3</v>
      </c>
      <c r="N58" s="57"/>
      <c r="O58" s="67"/>
      <c r="Q58" s="51" t="str">
        <f t="shared" si="25"/>
        <v>Commodities</v>
      </c>
      <c r="R58" s="72">
        <f t="shared" si="26"/>
        <v>6.3609621127734106E-5</v>
      </c>
      <c r="S58" s="52">
        <f t="shared" si="27"/>
        <v>5.7645619473709235E-3</v>
      </c>
      <c r="T58" s="52">
        <f t="shared" si="28"/>
        <v>6.7650637226834408E-3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9.1480722468784956E-2</v>
      </c>
      <c r="C59" s="118">
        <v>6.548669764148635E-4</v>
      </c>
      <c r="D59" s="119">
        <v>9.0818563076099479E-2</v>
      </c>
      <c r="E59" s="117">
        <v>9.1609217290221312E-2</v>
      </c>
      <c r="F59" s="120">
        <v>9.2098229372195695E-2</v>
      </c>
      <c r="G59" s="2">
        <v>1.5105085798132127E-3</v>
      </c>
      <c r="H59" s="2">
        <v>2.8656626485508884E-2</v>
      </c>
      <c r="I59" s="2">
        <v>-7.4954798142034072E-3</v>
      </c>
      <c r="J59" s="2">
        <v>-7.5633305090410255E-3</v>
      </c>
      <c r="K59" s="2">
        <v>0.66328082509026665</v>
      </c>
      <c r="L59" s="2">
        <v>0.63300350059731614</v>
      </c>
      <c r="M59" s="2">
        <v>1</v>
      </c>
      <c r="N59" s="57"/>
      <c r="O59" s="67"/>
      <c r="Q59" s="51" t="str">
        <f t="shared" si="25"/>
        <v>Hedge funds</v>
      </c>
      <c r="R59" s="72">
        <f t="shared" si="26"/>
        <v>9.0818563076099479E-2</v>
      </c>
      <c r="S59" s="52">
        <f t="shared" si="27"/>
        <v>6.6215939268547686E-4</v>
      </c>
      <c r="T59" s="52">
        <f t="shared" si="28"/>
        <v>6.1750690341073888E-4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0.13792155450345672</v>
      </c>
      <c r="C60" s="122">
        <v>9.8731480188009595E-4</v>
      </c>
      <c r="D60" s="123">
        <v>0.13692324523890739</v>
      </c>
      <c r="E60" s="121">
        <v>0.13811528062454401</v>
      </c>
      <c r="F60" s="124">
        <v>0.13885254312856379</v>
      </c>
      <c r="G60" s="65">
        <v>2.2773288819372172E-3</v>
      </c>
      <c r="H60" s="65">
        <v>4.3204364428308203E-2</v>
      </c>
      <c r="I60" s="65">
        <v>-1.1300612848537216E-2</v>
      </c>
      <c r="J60" s="65">
        <v>-1.1402908425721055E-2</v>
      </c>
      <c r="K60" s="65">
        <v>1</v>
      </c>
      <c r="L60" s="65">
        <v>1</v>
      </c>
      <c r="M60" s="65">
        <v>-0.65479065453178364</v>
      </c>
      <c r="N60" s="66"/>
      <c r="O60" s="67"/>
      <c r="Q60" s="51" t="str">
        <f t="shared" si="25"/>
        <v>Onroerend goed</v>
      </c>
      <c r="R60" s="72">
        <f t="shared" si="26"/>
        <v>0.13692324523890739</v>
      </c>
      <c r="S60" s="52">
        <f t="shared" si="27"/>
        <v>9.9830926454932967E-4</v>
      </c>
      <c r="T60" s="52">
        <f t="shared" si="28"/>
        <v>9.3098862510707092E-4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404" t="s">
        <v>64</v>
      </c>
      <c r="E62" s="405"/>
      <c r="F62" s="406"/>
      <c r="G62" s="404" t="s">
        <v>65</v>
      </c>
      <c r="H62" s="405"/>
      <c r="I62" s="405"/>
      <c r="J62" s="405"/>
      <c r="K62" s="405"/>
      <c r="L62" s="405"/>
      <c r="M62" s="405"/>
      <c r="N62" s="406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Bull case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0.93604060378739984</v>
      </c>
      <c r="H63" s="272">
        <v>3.1935924849421427E-2</v>
      </c>
      <c r="I63" s="272">
        <v>1.9062739708928023E-2</v>
      </c>
      <c r="J63" s="272">
        <v>1.263371757573295E-2</v>
      </c>
      <c r="K63" s="272">
        <v>3.2701407851476461E-4</v>
      </c>
      <c r="L63" s="272">
        <v>-2.2204460492503131E-16</v>
      </c>
      <c r="M63" s="272">
        <v>0</v>
      </c>
      <c r="N63" s="272"/>
      <c r="O63" s="273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0.23903752199518952</v>
      </c>
      <c r="C64" s="118">
        <v>4.8261385816334594E-2</v>
      </c>
      <c r="D64" s="119">
        <v>0.18667738370713693</v>
      </c>
      <c r="E64" s="117">
        <v>0.23920126875990719</v>
      </c>
      <c r="F64" s="120">
        <v>0.29267100925565337</v>
      </c>
      <c r="G64" s="2">
        <v>-0.99744405517594859</v>
      </c>
      <c r="H64" s="2">
        <v>1</v>
      </c>
      <c r="I64" s="2">
        <v>-3.2714255859532283E-2</v>
      </c>
      <c r="J64" s="2">
        <v>-0.1531061648766858</v>
      </c>
      <c r="K64" s="2">
        <v>-0.29544263203855187</v>
      </c>
      <c r="L64" s="2">
        <v>0.87335655323569994</v>
      </c>
      <c r="M64" s="2">
        <v>-3.1742360277584231E-3</v>
      </c>
      <c r="N64" s="57"/>
      <c r="O64" s="67"/>
      <c r="Q64" s="51" t="str">
        <f t="shared" ref="Q64:Q70" si="32">A64</f>
        <v>High Yield</v>
      </c>
      <c r="R64" s="72">
        <f>D64</f>
        <v>0.18667738370713693</v>
      </c>
      <c r="S64" s="52">
        <f>B64-D64</f>
        <v>5.2360138288052582E-2</v>
      </c>
      <c r="T64" s="52">
        <f>F64-B64</f>
        <v>5.3633487260463852E-2</v>
      </c>
      <c r="U64" s="52"/>
    </row>
    <row r="65" spans="1:24">
      <c r="A65" s="59" t="str">
        <f t="shared" si="31"/>
        <v>Emerging market debt</v>
      </c>
      <c r="B65" s="117">
        <v>0.22518284625998192</v>
      </c>
      <c r="C65" s="118">
        <v>4.8377245592678801E-2</v>
      </c>
      <c r="D65" s="119">
        <v>0.17075513077932775</v>
      </c>
      <c r="E65" s="117">
        <v>0.22193318445574159</v>
      </c>
      <c r="F65" s="120">
        <v>0.2797392177700736</v>
      </c>
      <c r="G65" s="2">
        <v>1</v>
      </c>
      <c r="H65" s="2">
        <v>0.99484514724730044</v>
      </c>
      <c r="I65" s="2">
        <v>-4.0778783831232034E-2</v>
      </c>
      <c r="J65" s="2">
        <v>-0.147979139322202</v>
      </c>
      <c r="K65" s="2">
        <v>-0.29990882512013689</v>
      </c>
      <c r="L65" s="2">
        <v>0.87335655323569983</v>
      </c>
      <c r="M65" s="2">
        <v>-3.1742360277584244E-3</v>
      </c>
      <c r="N65" s="57"/>
      <c r="O65" s="67"/>
      <c r="Q65" s="51" t="str">
        <f t="shared" si="32"/>
        <v>Emerging market debt</v>
      </c>
      <c r="R65" s="72">
        <f t="shared" ref="R65:R70" si="33">D65</f>
        <v>0.17075513077932775</v>
      </c>
      <c r="S65" s="52">
        <f t="shared" ref="S65:S70" si="34">B65-D65</f>
        <v>5.4427715480654171E-2</v>
      </c>
      <c r="T65" s="52">
        <f t="shared" ref="T65:T70" si="35">F65-B65</f>
        <v>5.4556371510091684E-2</v>
      </c>
      <c r="U65" s="52"/>
    </row>
    <row r="66" spans="1:24">
      <c r="A66" s="59" t="str">
        <f t="shared" si="31"/>
        <v>Aandelen ontwikkeld</v>
      </c>
      <c r="B66" s="117">
        <v>0.2211444720497463</v>
      </c>
      <c r="C66" s="118">
        <v>9.0036992269772863E-3</v>
      </c>
      <c r="D66" s="119">
        <v>0.21263980419544706</v>
      </c>
      <c r="E66" s="117">
        <v>0.21960088105210507</v>
      </c>
      <c r="F66" s="120">
        <v>0.23008720968495083</v>
      </c>
      <c r="G66" s="2">
        <v>3.7454907469183034E-3</v>
      </c>
      <c r="H66" s="2">
        <v>-0.73228587702080572</v>
      </c>
      <c r="I66" s="2">
        <v>1</v>
      </c>
      <c r="J66" s="2">
        <v>-0.30534480663230384</v>
      </c>
      <c r="K66" s="2">
        <v>-0.37248465343561349</v>
      </c>
      <c r="L66" s="2">
        <v>0.87335655323569661</v>
      </c>
      <c r="M66" s="2">
        <v>-3.1742360277584635E-3</v>
      </c>
      <c r="N66" s="57"/>
      <c r="O66" s="67"/>
      <c r="Q66" s="51" t="str">
        <f t="shared" si="32"/>
        <v>Aandelen ontwikkeld</v>
      </c>
      <c r="R66" s="72">
        <f t="shared" si="33"/>
        <v>0.21263980419544706</v>
      </c>
      <c r="S66" s="52">
        <f t="shared" si="34"/>
        <v>8.504667854299236E-3</v>
      </c>
      <c r="T66" s="52">
        <f t="shared" si="35"/>
        <v>8.942737635204534E-3</v>
      </c>
      <c r="U66" s="52"/>
    </row>
    <row r="67" spans="1:24">
      <c r="A67" s="59" t="str">
        <f t="shared" si="31"/>
        <v>Aandelen opkomend</v>
      </c>
      <c r="B67" s="117">
        <v>7.9812238420134879E-2</v>
      </c>
      <c r="C67" s="118">
        <v>9.2166643901170405E-3</v>
      </c>
      <c r="D67" s="119">
        <v>7.1281953324095648E-2</v>
      </c>
      <c r="E67" s="117">
        <v>7.7503081909245847E-2</v>
      </c>
      <c r="F67" s="120">
        <v>8.9183553767527679E-2</v>
      </c>
      <c r="G67" s="2">
        <v>-4.5546438440945769E-3</v>
      </c>
      <c r="H67" s="2">
        <v>-0.88880066935557622</v>
      </c>
      <c r="I67" s="2">
        <v>-0.88978877750678964</v>
      </c>
      <c r="J67" s="2">
        <v>-0.39538783595395499</v>
      </c>
      <c r="K67" s="2">
        <v>-0.35152971081433976</v>
      </c>
      <c r="L67" s="2">
        <v>0.87335655323569816</v>
      </c>
      <c r="M67" s="2">
        <v>-3.1742360277584344E-3</v>
      </c>
      <c r="N67" s="57"/>
      <c r="O67" s="67"/>
      <c r="Q67" s="51" t="str">
        <f t="shared" si="32"/>
        <v>Aandelen opkomend</v>
      </c>
      <c r="R67" s="72">
        <f t="shared" si="33"/>
        <v>7.1281953324095648E-2</v>
      </c>
      <c r="S67" s="52">
        <f t="shared" si="34"/>
        <v>8.5302850960392307E-3</v>
      </c>
      <c r="T67" s="52">
        <f t="shared" si="35"/>
        <v>9.3713153473928001E-3</v>
      </c>
      <c r="U67" s="52"/>
    </row>
    <row r="68" spans="1:24">
      <c r="A68" s="59" t="str">
        <f t="shared" si="31"/>
        <v>Commodities</v>
      </c>
      <c r="B68" s="117">
        <v>5.6563231547459231E-3</v>
      </c>
      <c r="C68" s="118">
        <v>7.1758575129133185E-3</v>
      </c>
      <c r="D68" s="119">
        <v>4.8630023340398279E-5</v>
      </c>
      <c r="E68" s="117">
        <v>2.3242815082483289E-3</v>
      </c>
      <c r="F68" s="120">
        <v>1.2777245118062438E-2</v>
      </c>
      <c r="G68" s="2">
        <v>-5.3963325601545419E-3</v>
      </c>
      <c r="H68" s="2">
        <v>-0.27460434691934904</v>
      </c>
      <c r="I68" s="2">
        <v>-5.752970855265397E-2</v>
      </c>
      <c r="J68" s="2">
        <v>1</v>
      </c>
      <c r="K68" s="2">
        <v>-0.34391500368177291</v>
      </c>
      <c r="L68" s="2">
        <v>0.87335655323569938</v>
      </c>
      <c r="M68" s="2">
        <v>-3.1742360277584249E-3</v>
      </c>
      <c r="N68" s="57"/>
      <c r="O68" s="67"/>
      <c r="Q68" s="51" t="str">
        <f t="shared" si="32"/>
        <v>Commodities</v>
      </c>
      <c r="R68" s="72">
        <f t="shared" si="33"/>
        <v>4.8630023340398279E-5</v>
      </c>
      <c r="S68" s="52">
        <f t="shared" si="34"/>
        <v>5.6076931314055249E-3</v>
      </c>
      <c r="T68" s="52">
        <f t="shared" si="35"/>
        <v>7.1209219633165148E-3</v>
      </c>
      <c r="U68" s="52"/>
    </row>
    <row r="69" spans="1:24">
      <c r="A69" s="59" t="str">
        <f t="shared" si="31"/>
        <v>Hedge funds</v>
      </c>
      <c r="B69" s="117">
        <v>9.1386738782398502E-2</v>
      </c>
      <c r="C69" s="118">
        <v>6.5753512183363769E-4</v>
      </c>
      <c r="D69" s="119">
        <v>9.0720721043367702E-2</v>
      </c>
      <c r="E69" s="117">
        <v>9.1536902294493266E-2</v>
      </c>
      <c r="F69" s="120">
        <v>9.2002972861562948E-2</v>
      </c>
      <c r="G69" s="2">
        <v>1.4553588417438681E-3</v>
      </c>
      <c r="H69" s="2">
        <v>-3.954059613994252E-2</v>
      </c>
      <c r="I69" s="2">
        <v>8.2991914310298811E-3</v>
      </c>
      <c r="J69" s="2">
        <v>7.249583025497442E-4</v>
      </c>
      <c r="K69" s="2">
        <v>0.66328082509026676</v>
      </c>
      <c r="L69" s="2">
        <v>0.68242167019134614</v>
      </c>
      <c r="M69" s="2">
        <v>1</v>
      </c>
      <c r="N69" s="57"/>
      <c r="O69" s="67"/>
      <c r="Q69" s="51" t="str">
        <f t="shared" si="32"/>
        <v>Hedge funds</v>
      </c>
      <c r="R69" s="72">
        <f t="shared" si="33"/>
        <v>9.0720721043367702E-2</v>
      </c>
      <c r="S69" s="52">
        <f t="shared" si="34"/>
        <v>6.6601773903079975E-4</v>
      </c>
      <c r="T69" s="52">
        <f t="shared" si="35"/>
        <v>6.1623407916444606E-4</v>
      </c>
      <c r="U69" s="52"/>
      <c r="X69" s="51"/>
    </row>
    <row r="70" spans="1:24">
      <c r="A70" s="60" t="str">
        <f t="shared" si="31"/>
        <v>Onroerend goed</v>
      </c>
      <c r="B70" s="121">
        <v>0.13777985933780215</v>
      </c>
      <c r="C70" s="122">
        <v>9.9133745008255295E-4</v>
      </c>
      <c r="D70" s="123">
        <v>0.1367757330102545</v>
      </c>
      <c r="E70" s="121">
        <v>0.13800625441273059</v>
      </c>
      <c r="F70" s="124">
        <v>0.1387089289804844</v>
      </c>
      <c r="G70" s="65">
        <v>2.1941819915354912E-3</v>
      </c>
      <c r="H70" s="65">
        <v>-5.9613657811623519E-2</v>
      </c>
      <c r="I70" s="65">
        <v>1.2512334319178297E-2</v>
      </c>
      <c r="J70" s="65">
        <v>1.0929884825950059E-3</v>
      </c>
      <c r="K70" s="65">
        <v>1</v>
      </c>
      <c r="L70" s="65">
        <v>1</v>
      </c>
      <c r="M70" s="65">
        <v>-0.66856047100954841</v>
      </c>
      <c r="N70" s="66"/>
      <c r="O70" s="67"/>
      <c r="P70" s="72"/>
      <c r="Q70" s="51" t="str">
        <f t="shared" si="32"/>
        <v>Onroerend goed</v>
      </c>
      <c r="R70" s="72">
        <f t="shared" si="33"/>
        <v>0.1367757330102545</v>
      </c>
      <c r="S70" s="52">
        <f t="shared" si="34"/>
        <v>1.0041263275476497E-3</v>
      </c>
      <c r="T70" s="52">
        <f t="shared" si="35"/>
        <v>9.2906964268224534E-4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404" t="s">
        <v>64</v>
      </c>
      <c r="E72" s="405"/>
      <c r="F72" s="406"/>
      <c r="G72" s="404" t="s">
        <v>65</v>
      </c>
      <c r="H72" s="405"/>
      <c r="I72" s="405"/>
      <c r="J72" s="405"/>
      <c r="K72" s="405"/>
      <c r="L72" s="405"/>
      <c r="M72" s="405"/>
      <c r="N72" s="406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0.79910903534843669</v>
      </c>
      <c r="H73" s="272">
        <v>0.17027821952707767</v>
      </c>
      <c r="I73" s="272">
        <v>2.9119330357442519E-2</v>
      </c>
      <c r="J73" s="272">
        <v>1.4934147670427889E-3</v>
      </c>
      <c r="K73" s="272">
        <v>-2.2204460492503131E-16</v>
      </c>
      <c r="L73" s="272">
        <v>0</v>
      </c>
      <c r="M73" s="272">
        <v>-2.2204460492503131E-16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0.16071604073584594</v>
      </c>
      <c r="C74" s="118">
        <v>3.1863542485691281E-2</v>
      </c>
      <c r="D74" s="119">
        <v>0.12822310885108884</v>
      </c>
      <c r="E74" s="117">
        <v>0.15491279012856707</v>
      </c>
      <c r="F74" s="120">
        <v>0.19497428860861177</v>
      </c>
      <c r="G74" s="2">
        <v>-0.77679665430034306</v>
      </c>
      <c r="H74" s="2">
        <v>-0.98319506684154867</v>
      </c>
      <c r="I74" s="2">
        <v>-6.7497705297295416E-2</v>
      </c>
      <c r="J74" s="2">
        <v>-0.49504063702534556</v>
      </c>
      <c r="K74" s="2">
        <v>0.81992228376798093</v>
      </c>
      <c r="L74" s="2">
        <v>9.4146002929625539E-3</v>
      </c>
      <c r="M74" s="2">
        <v>-8.3611228668202517E-2</v>
      </c>
      <c r="N74" s="57"/>
      <c r="O74" s="67"/>
      <c r="P74" s="72"/>
      <c r="Q74" s="51" t="str">
        <f t="shared" ref="Q74:Q80" si="37">A74</f>
        <v>High Yield</v>
      </c>
      <c r="R74" s="72">
        <f>D74</f>
        <v>0.12822310885108884</v>
      </c>
      <c r="S74" s="52">
        <f>B74-D74</f>
        <v>3.2492931884757104E-2</v>
      </c>
      <c r="T74" s="52">
        <f>F74-B74</f>
        <v>3.4258247872765824E-2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0.23312586972697583</v>
      </c>
      <c r="C75" s="118">
        <v>3.7757678730241551E-2</v>
      </c>
      <c r="D75" s="119">
        <v>0.19572632896197031</v>
      </c>
      <c r="E75" s="117">
        <v>0.23385273517907978</v>
      </c>
      <c r="F75" s="120">
        <v>0.27250734558468848</v>
      </c>
      <c r="G75" s="2">
        <v>1</v>
      </c>
      <c r="H75" s="2">
        <v>-0.53730270132467162</v>
      </c>
      <c r="I75" s="2">
        <v>-0.19540744100686652</v>
      </c>
      <c r="J75" s="2">
        <v>-0.5317299233528312</v>
      </c>
      <c r="K75" s="2">
        <v>0.81992228376798093</v>
      </c>
      <c r="L75" s="2">
        <v>9.4146002929625661E-3</v>
      </c>
      <c r="M75" s="2">
        <v>-8.3611228668202545E-2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0.19572632896197031</v>
      </c>
      <c r="S75" s="52">
        <f t="shared" ref="S75:S80" si="39">B75-D75</f>
        <v>3.7399540765005512E-2</v>
      </c>
      <c r="T75" s="52">
        <f t="shared" ref="T75:T80" si="40">F75-B75</f>
        <v>3.938147585771265E-2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0.18178643243522594</v>
      </c>
      <c r="C76" s="118">
        <v>9.8039386506411849E-3</v>
      </c>
      <c r="D76" s="119">
        <v>0.17255672844622949</v>
      </c>
      <c r="E76" s="117">
        <v>0.1793542278551799</v>
      </c>
      <c r="F76" s="120">
        <v>0.19205129133163801</v>
      </c>
      <c r="G76" s="2">
        <v>4.9761553730058167E-3</v>
      </c>
      <c r="H76" s="2">
        <v>0.43648825587345924</v>
      </c>
      <c r="I76" s="2">
        <v>1</v>
      </c>
      <c r="J76" s="2">
        <v>-0.42678933370469924</v>
      </c>
      <c r="K76" s="2">
        <v>0.81992228376798149</v>
      </c>
      <c r="L76" s="2">
        <v>9.4146002929624932E-3</v>
      </c>
      <c r="M76" s="2">
        <v>-8.3611228668202628E-2</v>
      </c>
      <c r="N76" s="57"/>
      <c r="O76" s="67"/>
      <c r="Q76" s="51" t="str">
        <f t="shared" si="37"/>
        <v>Aandelen ontwikkeld</v>
      </c>
      <c r="R76" s="72">
        <f t="shared" si="38"/>
        <v>0.17255672844622949</v>
      </c>
      <c r="S76" s="52">
        <f t="shared" si="39"/>
        <v>9.2297039889964461E-3</v>
      </c>
      <c r="T76" s="52">
        <f t="shared" si="40"/>
        <v>1.0264858896412071E-2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0.20480130331561258</v>
      </c>
      <c r="C77" s="118">
        <v>1.7033920330840602E-2</v>
      </c>
      <c r="D77" s="119">
        <v>0.18714217402772404</v>
      </c>
      <c r="E77" s="117">
        <v>0.20836800638643899</v>
      </c>
      <c r="F77" s="120">
        <v>0.22110546552446358</v>
      </c>
      <c r="G77" s="2">
        <v>-0.22862583982308549</v>
      </c>
      <c r="H77" s="2">
        <v>1</v>
      </c>
      <c r="I77" s="2">
        <v>-0.60369954956132688</v>
      </c>
      <c r="J77" s="2">
        <v>-0.65154597668174097</v>
      </c>
      <c r="K77" s="2">
        <v>0.81992228376798026</v>
      </c>
      <c r="L77" s="2">
        <v>9.4146002929626112E-3</v>
      </c>
      <c r="M77" s="2">
        <v>-8.3611228668202503E-2</v>
      </c>
      <c r="N77" s="57"/>
      <c r="O77" s="67"/>
      <c r="Q77" s="51" t="str">
        <f t="shared" si="37"/>
        <v>Aandelen opkomend</v>
      </c>
      <c r="R77" s="72">
        <f t="shared" si="38"/>
        <v>0.18714217402772404</v>
      </c>
      <c r="S77" s="52">
        <f t="shared" si="39"/>
        <v>1.7659129287888542E-2</v>
      </c>
      <c r="T77" s="52">
        <f t="shared" si="40"/>
        <v>1.6304162208851003E-2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4.5184907436887814E-2</v>
      </c>
      <c r="C78" s="118">
        <v>6.2354270817312175E-4</v>
      </c>
      <c r="D78" s="119">
        <v>4.4604771256911493E-2</v>
      </c>
      <c r="E78" s="117">
        <v>4.5027082248140018E-2</v>
      </c>
      <c r="F78" s="120">
        <v>4.5805136643359917E-2</v>
      </c>
      <c r="G78" s="2">
        <v>9.1851084518313001E-5</v>
      </c>
      <c r="H78" s="2">
        <v>1.7288135539738184E-2</v>
      </c>
      <c r="I78" s="2">
        <v>-2.7451130655364593E-2</v>
      </c>
      <c r="J78" s="2">
        <v>0.43320517672393688</v>
      </c>
      <c r="K78" s="2">
        <v>0.8297240634359403</v>
      </c>
      <c r="L78" s="2">
        <v>0.19069652122409511</v>
      </c>
      <c r="M78" s="2">
        <v>1</v>
      </c>
      <c r="N78" s="57"/>
      <c r="O78" s="67"/>
      <c r="Q78" s="51" t="str">
        <f t="shared" si="37"/>
        <v>Commodities</v>
      </c>
      <c r="R78" s="72">
        <f t="shared" si="38"/>
        <v>4.4604771256911493E-2</v>
      </c>
      <c r="S78" s="52">
        <f t="shared" si="39"/>
        <v>5.801361799763205E-4</v>
      </c>
      <c r="T78" s="52">
        <f t="shared" si="40"/>
        <v>6.2022920647210322E-4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7.0081735626063138E-2</v>
      </c>
      <c r="C79" s="118">
        <v>9.6711397022965727E-4</v>
      </c>
      <c r="D79" s="119">
        <v>6.9181945127454667E-2</v>
      </c>
      <c r="E79" s="117">
        <v>6.9836948953247546E-2</v>
      </c>
      <c r="F79" s="120">
        <v>7.1043710359247086E-2</v>
      </c>
      <c r="G79" s="2">
        <v>1.4246091864126564E-4</v>
      </c>
      <c r="H79" s="2">
        <v>2.6813876869301083E-2</v>
      </c>
      <c r="I79" s="2">
        <v>-4.2576669741171524E-2</v>
      </c>
      <c r="J79" s="2">
        <v>0.67190069404068142</v>
      </c>
      <c r="K79" s="2">
        <v>0.54559022910555899</v>
      </c>
      <c r="L79" s="2">
        <v>1</v>
      </c>
      <c r="M79" s="2">
        <v>-0.42522557319362492</v>
      </c>
      <c r="N79" s="57"/>
      <c r="O79" s="67"/>
      <c r="Q79" s="51" t="str">
        <f t="shared" si="37"/>
        <v>Hedge funds</v>
      </c>
      <c r="R79" s="72">
        <f t="shared" si="38"/>
        <v>6.9181945127454667E-2</v>
      </c>
      <c r="S79" s="52">
        <f t="shared" si="39"/>
        <v>8.9979049860847149E-4</v>
      </c>
      <c r="T79" s="52">
        <f t="shared" si="40"/>
        <v>9.6197473318394844E-4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0.10430371072338834</v>
      </c>
      <c r="C80" s="122">
        <v>1.4393703992380494E-3</v>
      </c>
      <c r="D80" s="123">
        <v>0.10296453886869471</v>
      </c>
      <c r="E80" s="121">
        <v>0.10393939100324723</v>
      </c>
      <c r="F80" s="124">
        <v>0.10573543231813604</v>
      </c>
      <c r="G80" s="65">
        <v>2.1202674726310088E-4</v>
      </c>
      <c r="H80" s="65">
        <v>3.9907499883721803E-2</v>
      </c>
      <c r="I80" s="65">
        <v>-6.3367503737976089E-2</v>
      </c>
      <c r="J80" s="65">
        <v>1</v>
      </c>
      <c r="K80" s="65">
        <v>1</v>
      </c>
      <c r="L80" s="65">
        <v>-0.73469268387058784</v>
      </c>
      <c r="M80" s="65">
        <v>-0.32350630730256963</v>
      </c>
      <c r="N80" s="66"/>
      <c r="O80" s="67"/>
      <c r="Q80" s="51" t="str">
        <f t="shared" si="37"/>
        <v>Onroerend goed</v>
      </c>
      <c r="R80" s="72">
        <f t="shared" si="38"/>
        <v>0.10296453886869471</v>
      </c>
      <c r="S80" s="52">
        <f t="shared" si="39"/>
        <v>1.3391718546936354E-3</v>
      </c>
      <c r="T80" s="52">
        <f t="shared" si="40"/>
        <v>1.4317215947476924E-3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  <mergeCell ref="D2:F2"/>
    <mergeCell ref="G2:N2"/>
    <mergeCell ref="D12:F12"/>
    <mergeCell ref="G12:N12"/>
    <mergeCell ref="D22:F22"/>
    <mergeCell ref="G22:N2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222"/>
  <sheetViews>
    <sheetView zoomScale="85" zoomScaleNormal="85" workbookViewId="0">
      <selection activeCell="E22" sqref="E22"/>
    </sheetView>
  </sheetViews>
  <sheetFormatPr defaultRowHeight="15"/>
  <cols>
    <col min="1" max="1" width="9.140625" style="336"/>
    <col min="2" max="2" width="22.28515625" style="336" bestFit="1" customWidth="1"/>
    <col min="3" max="3" width="14" style="336" customWidth="1"/>
    <col min="4" max="10" width="18.7109375" style="336" customWidth="1"/>
    <col min="11" max="11" width="21" style="210" customWidth="1"/>
    <col min="12" max="12" width="18.140625" style="336" bestFit="1" customWidth="1"/>
    <col min="13" max="13" width="26.85546875" style="336" customWidth="1"/>
    <col min="14" max="17" width="9.140625" style="336"/>
    <col min="18" max="18" width="10.85546875" style="336" customWidth="1"/>
    <col min="19" max="37" width="9.140625" style="210"/>
    <col min="38" max="16384" width="9.140625" style="336"/>
  </cols>
  <sheetData>
    <row r="1" spans="1:18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8">
      <c r="A2" s="210"/>
      <c r="B2" s="318" t="s">
        <v>115</v>
      </c>
      <c r="C2" s="326" t="s">
        <v>70</v>
      </c>
      <c r="D2" s="310" t="s">
        <v>112</v>
      </c>
      <c r="E2" s="310" t="s">
        <v>126</v>
      </c>
      <c r="F2" s="310" t="s">
        <v>127</v>
      </c>
      <c r="G2" s="310" t="s">
        <v>113</v>
      </c>
      <c r="H2" s="310" t="s">
        <v>114</v>
      </c>
      <c r="I2" s="311" t="s">
        <v>128</v>
      </c>
      <c r="J2" s="321" t="s">
        <v>130</v>
      </c>
      <c r="L2" s="210"/>
      <c r="M2" s="210"/>
      <c r="N2" s="210"/>
      <c r="O2" s="210"/>
      <c r="P2" s="210"/>
      <c r="Q2" s="210"/>
      <c r="R2" s="210"/>
    </row>
    <row r="3" spans="1:18">
      <c r="A3" s="210"/>
      <c r="B3" s="319" t="s">
        <v>4</v>
      </c>
      <c r="C3" s="327">
        <f>+Scenarios!B24</f>
        <v>0</v>
      </c>
      <c r="D3" s="342">
        <f>+Scenarios!C24</f>
        <v>-3.2445168309994665E-3</v>
      </c>
      <c r="E3" s="337">
        <f>+Scenarios!D24</f>
        <v>-1.0761362748873404E-3</v>
      </c>
      <c r="F3" s="337">
        <f>+Scenarios!E24</f>
        <v>-3.4179872754884488E-3</v>
      </c>
      <c r="G3" s="337">
        <f>+Scenarios!F24</f>
        <v>-2.5720358328627513E-2</v>
      </c>
      <c r="H3" s="337">
        <f>+Scenarios!G24</f>
        <v>-0.26287574291051119</v>
      </c>
      <c r="I3" s="339">
        <f>+Scenarios!H24</f>
        <v>-3.2441343963196256E-3</v>
      </c>
      <c r="J3" s="312">
        <f>Scenarios!D4</f>
        <v>4.3571419993869868E-2</v>
      </c>
      <c r="L3" s="210"/>
      <c r="M3" s="210"/>
      <c r="N3" s="210"/>
      <c r="O3" s="210"/>
      <c r="P3" s="210"/>
      <c r="Q3" s="210"/>
      <c r="R3" s="210"/>
    </row>
    <row r="4" spans="1:18" ht="15.75">
      <c r="A4" s="210"/>
      <c r="B4" s="319" t="s">
        <v>5</v>
      </c>
      <c r="C4" s="327">
        <f>+Scenarios!B25</f>
        <v>3.0000000000000002E-2</v>
      </c>
      <c r="D4" s="327">
        <f>+Scenarios!C25</f>
        <v>2.0858431515344899E-2</v>
      </c>
      <c r="E4" s="85">
        <f>+Scenarios!D25</f>
        <v>-0.10270478546112452</v>
      </c>
      <c r="F4" s="85">
        <f>+Scenarios!E25</f>
        <v>4.4464965951199177E-2</v>
      </c>
      <c r="G4" s="85">
        <f>+Scenarios!F25</f>
        <v>-0.43424993966436087</v>
      </c>
      <c r="H4" s="85">
        <f>+Scenarios!G25</f>
        <v>-0.41153220498436088</v>
      </c>
      <c r="I4" s="312">
        <f>+Scenarios!H25</f>
        <v>0.31635819149830574</v>
      </c>
      <c r="J4" s="312">
        <f>Scenarios!D5</f>
        <v>0.15810707611932825</v>
      </c>
      <c r="L4" s="210"/>
      <c r="M4" s="352" t="s">
        <v>131</v>
      </c>
      <c r="N4" s="353" t="s">
        <v>132</v>
      </c>
      <c r="O4" s="353" t="s">
        <v>91</v>
      </c>
      <c r="P4" s="353" t="s">
        <v>92</v>
      </c>
      <c r="Q4" s="353" t="s">
        <v>133</v>
      </c>
      <c r="R4" s="354" t="s">
        <v>146</v>
      </c>
    </row>
    <row r="5" spans="1:18" ht="15.75">
      <c r="A5" s="210"/>
      <c r="B5" s="319" t="s">
        <v>6</v>
      </c>
      <c r="C5" s="327">
        <f>+Scenarios!B26</f>
        <v>3.1452343984147556E-2</v>
      </c>
      <c r="D5" s="327">
        <f>+Scenarios!C26</f>
        <v>3.3632152529915554E-2</v>
      </c>
      <c r="E5" s="85">
        <f>+Scenarios!D26</f>
        <v>-5.1463733534465664E-2</v>
      </c>
      <c r="F5" s="85">
        <f>+Scenarios!E26</f>
        <v>3.7955967038468326E-2</v>
      </c>
      <c r="G5" s="85">
        <f>+Scenarios!F26</f>
        <v>-0.52495132978596959</v>
      </c>
      <c r="H5" s="85">
        <f>+Scenarios!G26</f>
        <v>-0.34991079217679127</v>
      </c>
      <c r="I5" s="312">
        <f>+Scenarios!H26</f>
        <v>0.24979690735679014</v>
      </c>
      <c r="J5" s="312">
        <f>Scenarios!D6</f>
        <v>0.16193319430872868</v>
      </c>
      <c r="L5" s="210"/>
      <c r="M5" s="355"/>
      <c r="N5" s="356"/>
      <c r="O5" s="356"/>
      <c r="P5" s="356"/>
      <c r="Q5" s="356"/>
      <c r="R5" s="357"/>
    </row>
    <row r="6" spans="1:18" ht="15.75">
      <c r="A6" s="210"/>
      <c r="B6" s="319" t="s">
        <v>7</v>
      </c>
      <c r="C6" s="327">
        <f>+Scenarios!B27</f>
        <v>5.6804592721954011E-2</v>
      </c>
      <c r="D6" s="327">
        <f>+Scenarios!C27</f>
        <v>-1.8275706628265609E-2</v>
      </c>
      <c r="E6" s="85">
        <f>+Scenarios!D27</f>
        <v>-0.20763301199738962</v>
      </c>
      <c r="F6" s="85">
        <f>+Scenarios!E27</f>
        <v>4.4157772609314798E-2</v>
      </c>
      <c r="G6" s="85">
        <f>+Scenarios!F27</f>
        <v>-0.60718802956862361</v>
      </c>
      <c r="H6" s="85">
        <f>+Scenarios!G27</f>
        <v>-0.47851488198333225</v>
      </c>
      <c r="I6" s="312">
        <f>+Scenarios!H27</f>
        <v>0.39131495295955132</v>
      </c>
      <c r="J6" s="312">
        <f>Scenarios!D7</f>
        <v>0.28684488662827246</v>
      </c>
      <c r="L6" s="210"/>
      <c r="M6" s="350" t="s">
        <v>4</v>
      </c>
      <c r="N6" s="345">
        <f>+'Control panel'!$B3</f>
        <v>0.55549268496933957</v>
      </c>
      <c r="O6" s="345">
        <f>+'Control panel'!$C3</f>
        <v>0.55000000000000004</v>
      </c>
      <c r="P6" s="345">
        <f>+'Control panel'!$D3</f>
        <v>0.65</v>
      </c>
      <c r="Q6" s="345">
        <f>+'Control panel'!$F3</f>
        <v>0.55729152448219943</v>
      </c>
      <c r="R6" s="347">
        <f t="shared" ref="R6:R13" si="0">+Q6-N6</f>
        <v>1.7988395128598622E-3</v>
      </c>
    </row>
    <row r="7" spans="1:18" ht="15.75">
      <c r="A7" s="210"/>
      <c r="B7" s="319" t="s">
        <v>8</v>
      </c>
      <c r="C7" s="327">
        <f>+Scenarios!B28</f>
        <v>5.6320387554596889E-2</v>
      </c>
      <c r="D7" s="327">
        <f>+Scenarios!C28</f>
        <v>6.1274623073284545E-2</v>
      </c>
      <c r="E7" s="85">
        <f>+Scenarios!D28</f>
        <v>-6.0480183929069335E-2</v>
      </c>
      <c r="F7" s="85">
        <f>+Scenarios!E28</f>
        <v>7.5058724753415462E-2</v>
      </c>
      <c r="G7" s="85">
        <f>+Scenarios!F28</f>
        <v>-0.41926220845987938</v>
      </c>
      <c r="H7" s="85">
        <f>+Scenarios!G28</f>
        <v>-0.25917386489837912</v>
      </c>
      <c r="I7" s="312">
        <f>+Scenarios!H28</f>
        <v>0.38663466689136228</v>
      </c>
      <c r="J7" s="312">
        <f>Scenarios!D8</f>
        <v>0.29497711980114533</v>
      </c>
      <c r="L7" s="210"/>
      <c r="M7" s="350" t="s">
        <v>5</v>
      </c>
      <c r="N7" s="345">
        <f>+'Control panel'!$B4</f>
        <v>9.7387120358343723E-2</v>
      </c>
      <c r="O7" s="345">
        <f>+'Control panel'!$C4</f>
        <v>0.05</v>
      </c>
      <c r="P7" s="345">
        <f>+'Control panel'!$D4</f>
        <v>0.15</v>
      </c>
      <c r="Q7" s="345">
        <f>+'Control panel'!$F4</f>
        <v>7.1185671029254202E-2</v>
      </c>
      <c r="R7" s="347">
        <f t="shared" si="0"/>
        <v>-2.6201449329089521E-2</v>
      </c>
    </row>
    <row r="8" spans="1:18" ht="15.75">
      <c r="A8" s="210"/>
      <c r="B8" s="319" t="s">
        <v>9</v>
      </c>
      <c r="C8" s="327">
        <f>+Scenarios!B29</f>
        <v>5.236888388126059E-2</v>
      </c>
      <c r="D8" s="327">
        <f>+Scenarios!C29</f>
        <v>7.9522702632630907E-2</v>
      </c>
      <c r="E8" s="85">
        <f>+Scenarios!D29</f>
        <v>1.2962263249297473E-2</v>
      </c>
      <c r="F8" s="85">
        <f>+Scenarios!E29</f>
        <v>8.6184790509297532E-2</v>
      </c>
      <c r="G8" s="85">
        <f>+Scenarios!F29</f>
        <v>-0.52034739633736904</v>
      </c>
      <c r="H8" s="85">
        <f>+Scenarios!G29</f>
        <v>-0.53983753129736911</v>
      </c>
      <c r="I8" s="312">
        <f>+Scenarios!H29</f>
        <v>0.62225820003596433</v>
      </c>
      <c r="J8" s="312">
        <f>Scenarios!D9</f>
        <v>0.32949402218690865</v>
      </c>
      <c r="L8" s="210"/>
      <c r="M8" s="350" t="s">
        <v>6</v>
      </c>
      <c r="N8" s="345">
        <f>+'Control panel'!$B5</f>
        <v>9.5164223805884504E-2</v>
      </c>
      <c r="O8" s="345">
        <f>+'Control panel'!$C5</f>
        <v>0.05</v>
      </c>
      <c r="P8" s="345">
        <f>+'Control panel'!$D5</f>
        <v>0.15</v>
      </c>
      <c r="Q8" s="345">
        <f>+'Control panel'!$F5</f>
        <v>0.10322339803416485</v>
      </c>
      <c r="R8" s="348">
        <f t="shared" si="0"/>
        <v>8.0591742282803414E-3</v>
      </c>
    </row>
    <row r="9" spans="1:18" ht="15.75">
      <c r="A9" s="210"/>
      <c r="B9" s="319" t="s">
        <v>10</v>
      </c>
      <c r="C9" s="327">
        <f>+Scenarios!B30</f>
        <v>2.8306574622560098E-2</v>
      </c>
      <c r="D9" s="327">
        <f>+Scenarios!C30</f>
        <v>1.7870017799650671E-2</v>
      </c>
      <c r="E9" s="85">
        <f>+Scenarios!D30</f>
        <v>-4.6787554334441012E-2</v>
      </c>
      <c r="F9" s="85">
        <f>+Scenarios!E30</f>
        <v>1.7186704939249599E-2</v>
      </c>
      <c r="G9" s="85">
        <f>+Scenarios!F30</f>
        <v>-0.25573516705477994</v>
      </c>
      <c r="H9" s="85">
        <f>+Scenarios!G30</f>
        <v>-6.3153361120378204E-3</v>
      </c>
      <c r="I9" s="312">
        <f>+Scenarios!H30</f>
        <v>0.28400230499870172</v>
      </c>
      <c r="J9" s="312">
        <f>Scenarios!D10</f>
        <v>0.1608611248297202</v>
      </c>
      <c r="L9" s="210"/>
      <c r="M9" s="350" t="s">
        <v>7</v>
      </c>
      <c r="N9" s="345">
        <f>+'Control panel'!$B6</f>
        <v>0.10363483668477239</v>
      </c>
      <c r="O9" s="345">
        <f>+'Control panel'!$C6</f>
        <v>7.4999999999999997E-2</v>
      </c>
      <c r="P9" s="345">
        <f>+'Control panel'!$D6</f>
        <v>0.3</v>
      </c>
      <c r="Q9" s="345">
        <f>+'Control panel'!$F6</f>
        <v>8.0482208233379524E-2</v>
      </c>
      <c r="R9" s="348">
        <f t="shared" si="0"/>
        <v>-2.3152628451392862E-2</v>
      </c>
    </row>
    <row r="10" spans="1:18" ht="15.75">
      <c r="A10" s="210"/>
      <c r="B10" s="320" t="s">
        <v>11</v>
      </c>
      <c r="C10" s="328">
        <f>+Scenarios!B31</f>
        <v>3.9543569652327068E-2</v>
      </c>
      <c r="D10" s="328">
        <f>+Scenarios!C31</f>
        <v>-3.3454365202922019E-3</v>
      </c>
      <c r="E10" s="313">
        <f>+Scenarios!D31</f>
        <v>-8.4519819517757569E-2</v>
      </c>
      <c r="F10" s="313">
        <f>+Scenarios!E31</f>
        <v>3.2797465910270177E-2</v>
      </c>
      <c r="G10" s="313">
        <f>+Scenarios!F31</f>
        <v>-0.33580172019430399</v>
      </c>
      <c r="H10" s="313">
        <f>+Scenarios!G31</f>
        <v>-0.18031161563030054</v>
      </c>
      <c r="I10" s="314">
        <f>+Scenarios!H31</f>
        <v>0.35335277777605689</v>
      </c>
      <c r="J10" s="314">
        <f>Scenarios!D11</f>
        <v>0.19933384935580506</v>
      </c>
      <c r="L10" s="210"/>
      <c r="M10" s="350" t="s">
        <v>8</v>
      </c>
      <c r="N10" s="345">
        <f>+'Control panel'!$B7</f>
        <v>5.1404597453969164E-2</v>
      </c>
      <c r="O10" s="345">
        <f>+'Control panel'!$C7</f>
        <v>2.5000000000000001E-2</v>
      </c>
      <c r="P10" s="345">
        <f>+'Control panel'!$D7</f>
        <v>0.1</v>
      </c>
      <c r="Q10" s="345">
        <f>+'Control panel'!$F7</f>
        <v>9.0629722914994285E-2</v>
      </c>
      <c r="R10" s="347">
        <f t="shared" si="0"/>
        <v>3.922512546102512E-2</v>
      </c>
    </row>
    <row r="11" spans="1:18" ht="15.75">
      <c r="A11" s="210"/>
      <c r="B11" s="84"/>
      <c r="C11" s="84"/>
      <c r="D11" s="84"/>
      <c r="E11" s="98"/>
      <c r="F11" s="98"/>
      <c r="G11" s="84"/>
      <c r="H11" s="84"/>
      <c r="I11" s="84"/>
      <c r="J11" s="84"/>
      <c r="L11" s="210"/>
      <c r="M11" s="350" t="s">
        <v>9</v>
      </c>
      <c r="N11" s="345">
        <f>+'Control panel'!$B8</f>
        <v>1.9729061421683056E-2</v>
      </c>
      <c r="O11" s="345">
        <f>+'Control panel'!$C8</f>
        <v>0.02</v>
      </c>
      <c r="P11" s="345">
        <f>+'Control panel'!$D8</f>
        <v>0.02</v>
      </c>
      <c r="Q11" s="345">
        <f>+'Control panel'!$F8</f>
        <v>1.9999999999999751E-2</v>
      </c>
      <c r="R11" s="348">
        <f t="shared" si="0"/>
        <v>2.7093857831669496E-4</v>
      </c>
    </row>
    <row r="12" spans="1:18" ht="15.75">
      <c r="A12" s="210"/>
      <c r="B12" s="324" t="s">
        <v>123</v>
      </c>
      <c r="C12" s="329">
        <f>+Scenarios!B33</f>
        <v>0</v>
      </c>
      <c r="D12" s="315">
        <f>+Scenarios!C33</f>
        <v>1</v>
      </c>
      <c r="E12" s="315">
        <f>+Scenarios!D33</f>
        <v>0</v>
      </c>
      <c r="F12" s="315">
        <v>0</v>
      </c>
      <c r="G12" s="315">
        <v>0</v>
      </c>
      <c r="H12" s="315">
        <f>+Scenarios!G33</f>
        <v>0</v>
      </c>
      <c r="I12" s="330">
        <f>+Scenarios!H33</f>
        <v>0</v>
      </c>
      <c r="J12" s="331">
        <f>+Scenarios!I33</f>
        <v>1</v>
      </c>
      <c r="L12" s="210"/>
      <c r="M12" s="350" t="s">
        <v>10</v>
      </c>
      <c r="N12" s="345">
        <f>+'Control panel'!$B9</f>
        <v>3.1019975297703138E-2</v>
      </c>
      <c r="O12" s="345">
        <f>+'Control panel'!$C9</f>
        <v>3.1019975297703138E-2</v>
      </c>
      <c r="P12" s="345">
        <f>+'Control panel'!$D9</f>
        <v>3.1019975297703138E-2</v>
      </c>
      <c r="Q12" s="345">
        <f>+'Control panel'!$F9</f>
        <v>3.1019975297702843E-2</v>
      </c>
      <c r="R12" s="347">
        <f t="shared" si="0"/>
        <v>-2.9490299091605721E-16</v>
      </c>
    </row>
    <row r="13" spans="1:18" ht="15.75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350" t="s">
        <v>11</v>
      </c>
      <c r="N13" s="345">
        <f>+'Control panel'!$B10</f>
        <v>4.6167500008304781E-2</v>
      </c>
      <c r="O13" s="345">
        <f>+'Control panel'!$C10</f>
        <v>4.6167500008304781E-2</v>
      </c>
      <c r="P13" s="345">
        <f>+'Control panel'!$D10</f>
        <v>4.6167500008304781E-2</v>
      </c>
      <c r="Q13" s="345">
        <f>+'Control panel'!$F10</f>
        <v>4.6167500008305204E-2</v>
      </c>
      <c r="R13" s="347">
        <f t="shared" si="0"/>
        <v>4.2327252813834093E-16</v>
      </c>
    </row>
    <row r="14" spans="1:18" ht="15.75">
      <c r="A14" s="210"/>
      <c r="B14" s="324" t="s">
        <v>129</v>
      </c>
      <c r="C14" s="329">
        <f>+Scenarios!B35</f>
        <v>0</v>
      </c>
      <c r="D14" s="316">
        <f>+Scenarios!C35</f>
        <v>9.2210687875961053E-3</v>
      </c>
      <c r="E14" s="316">
        <f>+Scenarios!D35</f>
        <v>-4.0509330049134158E-2</v>
      </c>
      <c r="F14" s="316">
        <v>5.2856851617787103E-2</v>
      </c>
      <c r="G14" s="316">
        <v>-0.28178446547461966</v>
      </c>
      <c r="H14" s="316">
        <f>+Scenarios!G35</f>
        <v>-0.29323057930461532</v>
      </c>
      <c r="I14" s="317">
        <f>+Scenarios!H35</f>
        <v>0.15059993425565274</v>
      </c>
      <c r="J14" s="325">
        <f>+Scenarios!I35</f>
        <v>-0.19975486236947126</v>
      </c>
      <c r="L14" s="210"/>
      <c r="M14" s="351"/>
      <c r="N14" s="346"/>
      <c r="O14" s="346"/>
      <c r="P14" s="346"/>
      <c r="Q14" s="346"/>
      <c r="R14" s="349"/>
    </row>
    <row r="15" spans="1:18" ht="15.75">
      <c r="A15" s="210"/>
      <c r="B15" s="82"/>
      <c r="C15" s="370"/>
      <c r="D15" s="371"/>
      <c r="E15" s="371"/>
      <c r="F15" s="371"/>
      <c r="G15" s="371"/>
      <c r="H15" s="371"/>
      <c r="I15" s="371"/>
      <c r="J15" s="371"/>
      <c r="L15" s="210"/>
      <c r="M15" s="372"/>
      <c r="N15" s="345"/>
      <c r="O15" s="345"/>
      <c r="P15" s="345"/>
      <c r="Q15" s="345"/>
      <c r="R15" s="345"/>
    </row>
    <row r="16" spans="1:18" ht="15.75">
      <c r="A16" s="210"/>
      <c r="B16" s="318" t="s">
        <v>149</v>
      </c>
      <c r="C16" s="370"/>
      <c r="D16" s="371"/>
      <c r="E16" s="371"/>
      <c r="F16" s="371"/>
      <c r="G16" s="371"/>
      <c r="H16" s="371"/>
      <c r="I16" s="371"/>
      <c r="J16" s="371"/>
      <c r="L16" s="210"/>
      <c r="M16" s="372"/>
      <c r="N16" s="345"/>
      <c r="O16" s="345"/>
      <c r="P16" s="345"/>
      <c r="Q16" s="345"/>
      <c r="R16" s="345"/>
    </row>
    <row r="17" spans="1:37" ht="15.75">
      <c r="A17" s="210"/>
      <c r="B17" s="318" t="s">
        <v>149</v>
      </c>
      <c r="C17" s="310" t="s">
        <v>112</v>
      </c>
      <c r="D17" s="310" t="s">
        <v>126</v>
      </c>
      <c r="E17" s="310" t="s">
        <v>127</v>
      </c>
      <c r="F17" s="310" t="s">
        <v>113</v>
      </c>
      <c r="G17" s="310" t="s">
        <v>114</v>
      </c>
      <c r="H17" s="311" t="s">
        <v>128</v>
      </c>
      <c r="I17" s="321" t="s">
        <v>130</v>
      </c>
      <c r="J17" s="210"/>
      <c r="L17" s="372"/>
      <c r="M17" s="345"/>
      <c r="N17" s="345"/>
      <c r="O17" s="345"/>
      <c r="P17" s="345"/>
      <c r="Q17" s="345"/>
      <c r="R17" s="210"/>
      <c r="AK17" s="336"/>
    </row>
    <row r="18" spans="1:37" ht="15.75">
      <c r="A18" s="210"/>
      <c r="B18" s="319" t="s">
        <v>4</v>
      </c>
      <c r="C18" s="373">
        <f>+D3/$J3</f>
        <v>-7.4464335370661383E-2</v>
      </c>
      <c r="D18" s="374">
        <f t="shared" ref="D18:H18" si="1">+E3/$J3</f>
        <v>-2.4698214449718273E-2</v>
      </c>
      <c r="E18" s="374">
        <f t="shared" si="1"/>
        <v>-7.8445625044337108E-2</v>
      </c>
      <c r="F18" s="374">
        <f t="shared" si="1"/>
        <v>-0.59030342211124054</v>
      </c>
      <c r="G18" s="374">
        <f t="shared" si="1"/>
        <v>-6.0332149594274318</v>
      </c>
      <c r="H18" s="375">
        <f t="shared" si="1"/>
        <v>-7.4455558179560094E-2</v>
      </c>
      <c r="I18" s="312"/>
      <c r="J18" s="210"/>
      <c r="L18" s="372"/>
      <c r="M18" s="345"/>
      <c r="N18" s="345"/>
      <c r="O18" s="345"/>
      <c r="P18" s="345"/>
      <c r="Q18" s="345"/>
      <c r="R18" s="210"/>
      <c r="AK18" s="336"/>
    </row>
    <row r="19" spans="1:37" ht="15.75">
      <c r="A19" s="210"/>
      <c r="B19" s="319" t="s">
        <v>5</v>
      </c>
      <c r="C19" s="376">
        <f t="shared" ref="C19:H19" si="2">+D4/$J4</f>
        <v>0.13192598349995671</v>
      </c>
      <c r="D19" s="377">
        <f t="shared" si="2"/>
        <v>-0.64959006251946672</v>
      </c>
      <c r="E19" s="377">
        <f t="shared" si="2"/>
        <v>0.28123324422013918</v>
      </c>
      <c r="F19" s="377">
        <f t="shared" si="2"/>
        <v>-2.7465560069975563</v>
      </c>
      <c r="G19" s="377">
        <f t="shared" si="2"/>
        <v>-2.6028702515108488</v>
      </c>
      <c r="H19" s="378">
        <f t="shared" si="2"/>
        <v>2.0009110234860108</v>
      </c>
      <c r="I19" s="312"/>
      <c r="J19" s="210"/>
      <c r="L19" s="372"/>
      <c r="M19" s="345"/>
      <c r="N19" s="345"/>
      <c r="O19" s="345"/>
      <c r="P19" s="345"/>
      <c r="Q19" s="345"/>
      <c r="R19" s="210"/>
      <c r="AK19" s="336"/>
    </row>
    <row r="20" spans="1:37" ht="15.75">
      <c r="A20" s="210"/>
      <c r="B20" s="319" t="s">
        <v>6</v>
      </c>
      <c r="C20" s="376">
        <f t="shared" ref="C20:H20" si="3">+D5/$J5</f>
        <v>0.20769152781482975</v>
      </c>
      <c r="D20" s="377">
        <f t="shared" si="3"/>
        <v>-0.31780842559277306</v>
      </c>
      <c r="E20" s="377">
        <f t="shared" si="3"/>
        <v>0.23439275190301354</v>
      </c>
      <c r="F20" s="377">
        <f t="shared" si="3"/>
        <v>-3.2417771540104372</v>
      </c>
      <c r="G20" s="377">
        <f t="shared" si="3"/>
        <v>-2.1608342481633493</v>
      </c>
      <c r="H20" s="378">
        <f t="shared" si="3"/>
        <v>1.5425923537366133</v>
      </c>
      <c r="I20" s="312"/>
      <c r="J20" s="210"/>
      <c r="L20" s="372"/>
      <c r="M20" s="345"/>
      <c r="N20" s="345"/>
      <c r="O20" s="345"/>
      <c r="P20" s="345"/>
      <c r="Q20" s="345"/>
      <c r="R20" s="210"/>
      <c r="AK20" s="336"/>
    </row>
    <row r="21" spans="1:37" ht="15.75">
      <c r="A21" s="210"/>
      <c r="B21" s="319" t="s">
        <v>7</v>
      </c>
      <c r="C21" s="376">
        <f t="shared" ref="C21:H21" si="4">+D6/$J6</f>
        <v>-6.3712854857159898E-2</v>
      </c>
      <c r="D21" s="377">
        <f t="shared" si="4"/>
        <v>-0.72385118813871363</v>
      </c>
      <c r="E21" s="377">
        <f t="shared" si="4"/>
        <v>0.15394303565375966</v>
      </c>
      <c r="F21" s="377">
        <f t="shared" si="4"/>
        <v>-2.1167817795388828</v>
      </c>
      <c r="G21" s="377">
        <f t="shared" si="4"/>
        <v>-1.6682008440451945</v>
      </c>
      <c r="H21" s="378">
        <f t="shared" si="4"/>
        <v>1.3642040391909218</v>
      </c>
      <c r="I21" s="312"/>
      <c r="J21" s="210"/>
      <c r="L21" s="372"/>
      <c r="M21" s="345"/>
      <c r="N21" s="345"/>
      <c r="O21" s="345"/>
      <c r="P21" s="345"/>
      <c r="Q21" s="345"/>
      <c r="R21" s="210"/>
      <c r="AK21" s="336"/>
    </row>
    <row r="22" spans="1:37" ht="15.75">
      <c r="A22" s="210"/>
      <c r="B22" s="319" t="s">
        <v>8</v>
      </c>
      <c r="C22" s="376">
        <f t="shared" ref="C22:H22" si="5">+D7/$J7</f>
        <v>0.20772669797098831</v>
      </c>
      <c r="D22" s="377">
        <f t="shared" si="5"/>
        <v>-0.20503347503644079</v>
      </c>
      <c r="E22" s="377">
        <f t="shared" si="5"/>
        <v>0.25445609070973113</v>
      </c>
      <c r="F22" s="377">
        <f t="shared" si="5"/>
        <v>-1.4213380642624727</v>
      </c>
      <c r="G22" s="377">
        <f t="shared" si="5"/>
        <v>-0.87862362027637109</v>
      </c>
      <c r="H22" s="378">
        <f t="shared" si="5"/>
        <v>1.3107276494936508</v>
      </c>
      <c r="I22" s="312"/>
      <c r="J22" s="210"/>
      <c r="L22" s="372"/>
      <c r="M22" s="345"/>
      <c r="N22" s="345"/>
      <c r="O22" s="345"/>
      <c r="P22" s="345"/>
      <c r="Q22" s="345"/>
      <c r="R22" s="210"/>
      <c r="AK22" s="336"/>
    </row>
    <row r="23" spans="1:37" ht="15.75">
      <c r="A23" s="210"/>
      <c r="B23" s="319" t="s">
        <v>9</v>
      </c>
      <c r="C23" s="376">
        <f t="shared" ref="C23:H23" si="6">+D8/$J8</f>
        <v>0.241347937376299</v>
      </c>
      <c r="D23" s="377">
        <f t="shared" si="6"/>
        <v>3.9339904145345932E-2</v>
      </c>
      <c r="E23" s="377">
        <f t="shared" si="6"/>
        <v>0.26156708378887789</v>
      </c>
      <c r="F23" s="377">
        <f t="shared" si="6"/>
        <v>-1.5792316743221428</v>
      </c>
      <c r="G23" s="377">
        <f t="shared" si="6"/>
        <v>-1.6383833846646878</v>
      </c>
      <c r="H23" s="378">
        <f t="shared" si="6"/>
        <v>1.8885265228969235</v>
      </c>
      <c r="I23" s="312"/>
      <c r="J23" s="210"/>
      <c r="L23" s="372"/>
      <c r="M23" s="345"/>
      <c r="N23" s="345"/>
      <c r="O23" s="345"/>
      <c r="P23" s="345"/>
      <c r="Q23" s="345"/>
      <c r="R23" s="210"/>
      <c r="AK23" s="336"/>
    </row>
    <row r="24" spans="1:37">
      <c r="A24" s="210"/>
      <c r="B24" s="319" t="s">
        <v>10</v>
      </c>
      <c r="C24" s="376">
        <f t="shared" ref="C24:H24" si="7">+D9/$J9</f>
        <v>0.11108972300527555</v>
      </c>
      <c r="D24" s="377">
        <f t="shared" si="7"/>
        <v>-0.29085681443523442</v>
      </c>
      <c r="E24" s="377">
        <f t="shared" si="7"/>
        <v>0.10684187964893702</v>
      </c>
      <c r="F24" s="377">
        <f t="shared" si="7"/>
        <v>-1.5897885043728794</v>
      </c>
      <c r="G24" s="377">
        <f t="shared" si="7"/>
        <v>-3.9259554592341248E-2</v>
      </c>
      <c r="H24" s="378">
        <f t="shared" si="7"/>
        <v>1.7655123653979965</v>
      </c>
      <c r="I24" s="312"/>
      <c r="J24" s="210"/>
      <c r="L24" s="210"/>
      <c r="M24" s="210"/>
      <c r="N24" s="210"/>
      <c r="O24" s="210"/>
      <c r="P24" s="210"/>
      <c r="Q24" s="210"/>
      <c r="R24" s="210"/>
      <c r="AK24" s="336"/>
    </row>
    <row r="25" spans="1:37" ht="15.75" customHeight="1">
      <c r="A25" s="210"/>
      <c r="B25" s="320" t="s">
        <v>11</v>
      </c>
      <c r="C25" s="379">
        <f t="shared" ref="C25:H25" si="8">+D10/$J10</f>
        <v>-1.6783082908917772E-2</v>
      </c>
      <c r="D25" s="380">
        <f t="shared" si="8"/>
        <v>-0.42401137484127033</v>
      </c>
      <c r="E25" s="380">
        <f t="shared" si="8"/>
        <v>0.16453535621904167</v>
      </c>
      <c r="F25" s="380">
        <f t="shared" si="8"/>
        <v>-1.6846196533078925</v>
      </c>
      <c r="G25" s="380">
        <f t="shared" si="8"/>
        <v>-0.90457098085960108</v>
      </c>
      <c r="H25" s="381">
        <f t="shared" si="8"/>
        <v>1.7726682092278898</v>
      </c>
      <c r="I25" s="314"/>
      <c r="J25" s="210"/>
      <c r="L25" s="210"/>
      <c r="M25" s="210"/>
      <c r="N25" s="210"/>
      <c r="O25" s="210"/>
      <c r="P25" s="210"/>
      <c r="Q25" s="210"/>
      <c r="R25" s="210"/>
      <c r="AK25" s="336"/>
    </row>
    <row r="26" spans="1:37">
      <c r="A26" s="210"/>
      <c r="B26" s="210"/>
      <c r="C26" s="210"/>
      <c r="D26" s="210"/>
      <c r="E26" s="210"/>
      <c r="F26" s="210"/>
      <c r="G26" s="210"/>
      <c r="H26" s="210"/>
      <c r="I26" s="210"/>
      <c r="J26" s="210"/>
      <c r="L26" s="210"/>
      <c r="M26" s="210"/>
      <c r="N26" s="210"/>
      <c r="O26" s="210"/>
      <c r="P26" s="210"/>
      <c r="Q26" s="210"/>
      <c r="R26" s="210"/>
    </row>
    <row r="27" spans="1:37" ht="4.5" customHeight="1">
      <c r="A27" s="210"/>
      <c r="B27" s="210"/>
      <c r="C27" s="210"/>
      <c r="D27" s="210"/>
      <c r="E27" s="210"/>
      <c r="F27" s="210"/>
      <c r="G27" s="210"/>
      <c r="H27" s="210"/>
      <c r="I27" s="210"/>
      <c r="J27" s="210"/>
      <c r="L27" s="210"/>
      <c r="M27" s="210"/>
      <c r="N27" s="210"/>
      <c r="O27" s="210"/>
      <c r="P27" s="210"/>
      <c r="Q27" s="210"/>
      <c r="R27" s="210"/>
    </row>
    <row r="28" spans="1:37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L28" s="210"/>
      <c r="M28" s="210"/>
      <c r="N28" s="210"/>
      <c r="O28" s="210"/>
      <c r="P28" s="210"/>
      <c r="Q28" s="210"/>
      <c r="R28" s="210"/>
    </row>
    <row r="29" spans="1:37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L29" s="210"/>
      <c r="M29" s="210"/>
      <c r="N29" s="210"/>
      <c r="O29" s="210"/>
      <c r="P29" s="210"/>
      <c r="Q29" s="210"/>
      <c r="R29" s="210"/>
    </row>
    <row r="30" spans="1:37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L30" s="210"/>
      <c r="M30" s="210"/>
      <c r="N30" s="210"/>
      <c r="O30" s="210"/>
      <c r="P30" s="210"/>
      <c r="Q30" s="210"/>
      <c r="R30" s="210"/>
    </row>
    <row r="31" spans="1:37">
      <c r="A31" s="210"/>
      <c r="B31" s="210"/>
      <c r="C31" s="210"/>
      <c r="D31" s="210"/>
      <c r="E31" s="210"/>
      <c r="F31" s="210"/>
      <c r="G31" s="210"/>
      <c r="H31" s="210"/>
      <c r="I31" s="210"/>
      <c r="J31" s="210"/>
      <c r="L31" s="210"/>
      <c r="M31" s="210"/>
      <c r="N31" s="210"/>
      <c r="O31" s="210"/>
      <c r="P31" s="210"/>
      <c r="Q31" s="210"/>
      <c r="R31" s="210"/>
    </row>
    <row r="32" spans="1:37">
      <c r="A32" s="210"/>
      <c r="B32" s="210"/>
      <c r="C32" s="210"/>
      <c r="D32" s="210"/>
      <c r="E32" s="210"/>
      <c r="F32" s="210"/>
      <c r="G32" s="210"/>
      <c r="H32" s="210"/>
      <c r="I32" s="367">
        <v>0.10199999999999999</v>
      </c>
      <c r="J32" s="210"/>
      <c r="L32" s="210"/>
      <c r="M32" s="210"/>
      <c r="N32" s="210"/>
      <c r="O32" s="210"/>
      <c r="P32" s="210"/>
      <c r="Q32" s="210"/>
      <c r="R32" s="210"/>
    </row>
    <row r="33" spans="1:18">
      <c r="A33" s="210"/>
      <c r="B33" s="210"/>
      <c r="C33" s="407" t="s">
        <v>135</v>
      </c>
      <c r="D33" s="408"/>
      <c r="E33" s="407" t="s">
        <v>134</v>
      </c>
      <c r="F33" s="408"/>
      <c r="G33" s="408"/>
      <c r="H33" s="409"/>
      <c r="I33" s="210"/>
      <c r="J33" s="210"/>
      <c r="L33" s="210"/>
      <c r="M33" s="210"/>
      <c r="N33" s="210"/>
      <c r="O33" s="210"/>
      <c r="P33" s="210"/>
      <c r="Q33" s="210"/>
      <c r="R33" s="210"/>
    </row>
    <row r="34" spans="1:18" ht="39">
      <c r="A34" s="210"/>
      <c r="B34" s="318"/>
      <c r="C34" s="332" t="s">
        <v>137</v>
      </c>
      <c r="D34" s="333" t="s">
        <v>138</v>
      </c>
      <c r="E34" s="332" t="s">
        <v>140</v>
      </c>
      <c r="F34" s="333" t="s">
        <v>136</v>
      </c>
      <c r="G34" s="333"/>
      <c r="H34" s="333" t="s">
        <v>139</v>
      </c>
      <c r="I34" s="311" t="s">
        <v>141</v>
      </c>
      <c r="J34" s="343" t="s">
        <v>142</v>
      </c>
      <c r="K34" s="343" t="s">
        <v>143</v>
      </c>
      <c r="L34" s="210"/>
      <c r="M34" s="210"/>
      <c r="N34" s="210"/>
      <c r="O34" s="210"/>
      <c r="P34" s="210"/>
      <c r="Q34" s="210"/>
      <c r="R34" s="210"/>
    </row>
    <row r="35" spans="1:18">
      <c r="A35" s="210"/>
      <c r="B35" s="319" t="s">
        <v>4</v>
      </c>
      <c r="C35" s="344">
        <v>4.4499999999999998E-2</v>
      </c>
      <c r="D35" s="344">
        <v>9.3000000000000096E-3</v>
      </c>
      <c r="E35" s="344">
        <v>-8.7300000000000003E-2</v>
      </c>
      <c r="F35" s="85"/>
      <c r="G35" s="85"/>
      <c r="H35" s="344">
        <f>+Scenarios!C24</f>
        <v>-3.2445168309994665E-3</v>
      </c>
      <c r="I35" s="358">
        <f>+J3</f>
        <v>4.3571419993869868E-2</v>
      </c>
      <c r="J35" s="359">
        <f>+E35/I32</f>
        <v>-0.85588235294117654</v>
      </c>
      <c r="K35" s="335">
        <f>+H35/I35</f>
        <v>-7.4464335370661383E-2</v>
      </c>
      <c r="L35" s="210"/>
      <c r="M35" s="210"/>
      <c r="N35" s="210"/>
      <c r="O35" s="210"/>
      <c r="P35" s="210"/>
      <c r="Q35" s="210"/>
      <c r="R35" s="210"/>
    </row>
    <row r="36" spans="1:18">
      <c r="A36" s="210"/>
      <c r="B36" s="319" t="s">
        <v>5</v>
      </c>
      <c r="C36" s="322">
        <v>8.5371817899603325E-2</v>
      </c>
      <c r="D36" s="322">
        <v>5.6265360838678849E-2</v>
      </c>
      <c r="E36" s="322">
        <v>-4.6468851830414513E-2</v>
      </c>
      <c r="F36" s="85"/>
      <c r="G36" s="85"/>
      <c r="H36" s="322">
        <f>+Scenarios!C25</f>
        <v>2.0858431515344899E-2</v>
      </c>
      <c r="I36" s="322">
        <f t="shared" ref="I36:I42" si="9">+J4</f>
        <v>0.15810707611932825</v>
      </c>
      <c r="J36" s="360">
        <f>+E36/I36</f>
        <v>-0.29390747695152525</v>
      </c>
      <c r="K36" s="335">
        <f t="shared" ref="K36:K42" si="10">+H36/I36</f>
        <v>0.13192598349995671</v>
      </c>
      <c r="L36" s="210"/>
      <c r="M36" s="210"/>
      <c r="N36" s="210"/>
      <c r="O36" s="210"/>
      <c r="P36" s="210"/>
      <c r="Q36" s="210"/>
      <c r="R36" s="210"/>
    </row>
    <row r="37" spans="1:18">
      <c r="A37" s="210"/>
      <c r="B37" s="319" t="s">
        <v>6</v>
      </c>
      <c r="C37" s="322">
        <v>0.14294511515742836</v>
      </c>
      <c r="D37" s="322">
        <v>4.8236186870114238E-2</v>
      </c>
      <c r="E37" s="322">
        <v>1.1104445427410514E-2</v>
      </c>
      <c r="F37" s="85"/>
      <c r="G37" s="85"/>
      <c r="H37" s="322">
        <f>+Scenarios!C26</f>
        <v>3.3632152529915554E-2</v>
      </c>
      <c r="I37" s="322">
        <f t="shared" si="9"/>
        <v>0.16193319430872868</v>
      </c>
      <c r="J37" s="360">
        <f>+E37/I37</f>
        <v>6.857423812834619E-2</v>
      </c>
      <c r="K37" s="335">
        <f>+H37/I37</f>
        <v>0.20769152781482975</v>
      </c>
      <c r="L37" s="210"/>
      <c r="M37" s="210"/>
      <c r="N37" s="210"/>
      <c r="O37" s="210"/>
      <c r="P37" s="210"/>
      <c r="Q37" s="210"/>
      <c r="R37" s="210"/>
    </row>
    <row r="38" spans="1:18">
      <c r="A38" s="210"/>
      <c r="B38" s="319" t="s">
        <v>7</v>
      </c>
      <c r="C38" s="322">
        <v>7.3688794074914882E-2</v>
      </c>
      <c r="D38" s="322">
        <v>4.4755655663184818E-2</v>
      </c>
      <c r="E38" s="322">
        <v>-5.8151875655102964E-2</v>
      </c>
      <c r="F38" s="85"/>
      <c r="G38" s="85"/>
      <c r="H38" s="322">
        <f>+Scenarios!C27</f>
        <v>-1.8275706628265609E-2</v>
      </c>
      <c r="I38" s="322">
        <f t="shared" si="9"/>
        <v>0.28684488662827246</v>
      </c>
      <c r="J38" s="360">
        <f t="shared" ref="J38:J42" si="11">+E38/I38</f>
        <v>-0.20272934385775906</v>
      </c>
      <c r="K38" s="335">
        <f>+H38/I38</f>
        <v>-6.3712854857159898E-2</v>
      </c>
      <c r="L38" s="210"/>
      <c r="M38" s="210"/>
      <c r="N38" s="210"/>
      <c r="O38" s="210"/>
      <c r="P38" s="210"/>
      <c r="Q38" s="210"/>
      <c r="R38" s="210"/>
    </row>
    <row r="39" spans="1:18">
      <c r="A39" s="210"/>
      <c r="B39" s="319" t="s">
        <v>8</v>
      </c>
      <c r="C39" s="322">
        <v>8.8200075364801303E-2</v>
      </c>
      <c r="D39" s="322">
        <v>0.11547766137672615</v>
      </c>
      <c r="E39" s="322">
        <v>-4.3640594365216501E-2</v>
      </c>
      <c r="F39" s="85"/>
      <c r="G39" s="85"/>
      <c r="H39" s="322">
        <f>+Scenarios!C28</f>
        <v>6.1274623073284545E-2</v>
      </c>
      <c r="I39" s="322">
        <f t="shared" si="9"/>
        <v>0.29497711980114533</v>
      </c>
      <c r="J39" s="360">
        <f t="shared" si="11"/>
        <v>-0.14794569285453799</v>
      </c>
      <c r="K39" s="335">
        <f t="shared" si="10"/>
        <v>0.20772669797098831</v>
      </c>
      <c r="L39" s="210"/>
      <c r="M39" s="210"/>
      <c r="N39" s="210"/>
      <c r="O39" s="210"/>
      <c r="P39" s="210"/>
      <c r="Q39" s="210"/>
      <c r="R39" s="210"/>
    </row>
    <row r="40" spans="1:18">
      <c r="A40" s="210"/>
      <c r="B40" s="319" t="s">
        <v>9</v>
      </c>
      <c r="C40" s="322">
        <v>9.6125190679341666E-2</v>
      </c>
      <c r="D40" s="322">
        <v>8.8245130245983364E-2</v>
      </c>
      <c r="E40" s="322">
        <v>-3.571547905067618E-2</v>
      </c>
      <c r="F40" s="85"/>
      <c r="G40" s="85"/>
      <c r="H40" s="322">
        <f>+Scenarios!C29</f>
        <v>7.9522702632630907E-2</v>
      </c>
      <c r="I40" s="322">
        <f t="shared" si="9"/>
        <v>0.32949402218690865</v>
      </c>
      <c r="J40" s="360">
        <f t="shared" si="11"/>
        <v>-0.10839492265633952</v>
      </c>
      <c r="K40" s="335">
        <f t="shared" si="10"/>
        <v>0.241347937376299</v>
      </c>
      <c r="L40" s="210"/>
      <c r="M40" s="210"/>
      <c r="N40" s="210"/>
      <c r="O40" s="210"/>
      <c r="P40" s="210"/>
      <c r="Q40" s="210"/>
      <c r="R40" s="210"/>
    </row>
    <row r="41" spans="1:18">
      <c r="A41" s="210"/>
      <c r="B41" s="319" t="s">
        <v>10</v>
      </c>
      <c r="C41" s="322">
        <v>6.2658557549145399E-2</v>
      </c>
      <c r="D41" s="322">
        <v>3.2952299000522406E-2</v>
      </c>
      <c r="E41" s="322">
        <v>-6.9182112180872446E-2</v>
      </c>
      <c r="F41" s="85"/>
      <c r="G41" s="85"/>
      <c r="H41" s="322">
        <f>+Scenarios!C30</f>
        <v>1.7870017799650671E-2</v>
      </c>
      <c r="I41" s="322">
        <f t="shared" si="9"/>
        <v>0.1608611248297202</v>
      </c>
      <c r="J41" s="360">
        <f t="shared" si="11"/>
        <v>-0.43007353239699947</v>
      </c>
      <c r="K41" s="335">
        <f t="shared" si="10"/>
        <v>0.11108972300527555</v>
      </c>
      <c r="L41" s="210"/>
      <c r="M41" s="210"/>
      <c r="N41" s="210"/>
      <c r="O41" s="210"/>
      <c r="P41" s="210"/>
      <c r="Q41" s="210"/>
      <c r="R41" s="210"/>
    </row>
    <row r="42" spans="1:18">
      <c r="A42" s="210"/>
      <c r="B42" s="320" t="s">
        <v>11</v>
      </c>
      <c r="C42" s="323">
        <v>7.3464510927495008E-2</v>
      </c>
      <c r="D42" s="323">
        <v>3.9406691481015818E-2</v>
      </c>
      <c r="E42" s="323">
        <v>-5.8376158802522837E-2</v>
      </c>
      <c r="F42" s="313"/>
      <c r="G42" s="313"/>
      <c r="H42" s="323">
        <f>+Scenarios!C31</f>
        <v>-3.3454365202922019E-3</v>
      </c>
      <c r="I42" s="323">
        <f t="shared" si="9"/>
        <v>0.19933384935580506</v>
      </c>
      <c r="J42" s="361">
        <f t="shared" si="11"/>
        <v>-0.2928562258300802</v>
      </c>
      <c r="K42" s="340">
        <f t="shared" si="10"/>
        <v>-1.6783082908917772E-2</v>
      </c>
      <c r="L42" s="210"/>
      <c r="M42" s="210"/>
      <c r="N42" s="210"/>
      <c r="O42" s="210"/>
      <c r="P42" s="210"/>
      <c r="Q42" s="210"/>
      <c r="R42" s="210"/>
    </row>
    <row r="43" spans="1:18">
      <c r="A43" s="210"/>
      <c r="B43" s="84"/>
      <c r="C43" s="84"/>
      <c r="D43" s="84"/>
      <c r="E43" s="98"/>
      <c r="F43" s="98"/>
      <c r="G43" s="84"/>
      <c r="H43" s="84"/>
      <c r="I43" s="84"/>
      <c r="J43" s="84"/>
      <c r="L43" s="210"/>
      <c r="M43" s="210"/>
      <c r="N43" s="210"/>
      <c r="O43" s="210"/>
      <c r="P43" s="210"/>
      <c r="Q43" s="210"/>
      <c r="R43" s="210"/>
    </row>
    <row r="44" spans="1:18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L44" s="210"/>
      <c r="M44" s="210"/>
      <c r="N44" s="210"/>
      <c r="O44" s="210"/>
      <c r="P44" s="210"/>
      <c r="Q44" s="210"/>
      <c r="R44" s="210"/>
    </row>
    <row r="45" spans="1:18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L45" s="210"/>
      <c r="M45" s="210"/>
      <c r="N45" s="210"/>
      <c r="O45" s="210"/>
      <c r="P45" s="210"/>
      <c r="Q45" s="210"/>
      <c r="R45" s="210"/>
    </row>
    <row r="46" spans="1:18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L46" s="210"/>
      <c r="M46" s="210"/>
      <c r="N46" s="210"/>
      <c r="O46" s="210"/>
      <c r="P46" s="210"/>
      <c r="Q46" s="210"/>
      <c r="R46" s="210"/>
    </row>
    <row r="47" spans="1:18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L47" s="210"/>
      <c r="M47" s="210"/>
      <c r="N47" s="210"/>
      <c r="O47" s="210"/>
      <c r="P47" s="210"/>
      <c r="Q47" s="210"/>
      <c r="R47" s="210"/>
    </row>
    <row r="48" spans="1:18">
      <c r="A48" s="210"/>
      <c r="B48" s="210"/>
      <c r="C48" s="210"/>
      <c r="D48" s="210"/>
      <c r="E48" s="210"/>
      <c r="F48" s="210"/>
      <c r="G48" s="210"/>
      <c r="H48" s="210"/>
      <c r="I48" s="210"/>
      <c r="J48" s="210"/>
      <c r="L48" s="210"/>
      <c r="M48" s="210"/>
      <c r="N48" s="210"/>
      <c r="O48" s="210"/>
      <c r="P48" s="210"/>
      <c r="Q48" s="210"/>
      <c r="R48" s="210"/>
    </row>
    <row r="49" spans="1:18">
      <c r="A49" s="210"/>
      <c r="B49" s="210"/>
      <c r="C49" s="210"/>
      <c r="D49" s="210"/>
      <c r="E49" s="210"/>
      <c r="F49" s="210"/>
      <c r="G49" s="210"/>
      <c r="H49" s="210"/>
      <c r="I49" s="210"/>
      <c r="J49" s="210"/>
      <c r="L49" s="210"/>
      <c r="M49" s="210"/>
      <c r="N49" s="210"/>
      <c r="O49" s="210"/>
      <c r="P49" s="210"/>
      <c r="Q49" s="210"/>
      <c r="R49" s="210"/>
    </row>
    <row r="50" spans="1:18">
      <c r="A50" s="210"/>
      <c r="B50" s="210"/>
      <c r="C50" s="210"/>
      <c r="D50" s="210"/>
      <c r="E50" s="210"/>
      <c r="F50" s="210"/>
      <c r="G50" s="210"/>
      <c r="H50" s="210"/>
      <c r="I50" s="210"/>
      <c r="J50" s="210"/>
      <c r="L50" s="210"/>
      <c r="M50" s="210"/>
      <c r="N50" s="210"/>
      <c r="O50" s="210"/>
      <c r="P50" s="210"/>
      <c r="Q50" s="210"/>
      <c r="R50" s="210"/>
    </row>
    <row r="51" spans="1:18">
      <c r="A51" s="210"/>
      <c r="B51" s="210"/>
      <c r="C51" s="210"/>
      <c r="D51" s="210"/>
      <c r="E51" s="210"/>
      <c r="F51" s="210"/>
      <c r="G51" s="210"/>
      <c r="H51" s="210"/>
      <c r="I51" s="210"/>
      <c r="J51" s="210"/>
      <c r="L51" s="210"/>
      <c r="M51" s="210"/>
      <c r="N51" s="210"/>
      <c r="O51" s="210"/>
      <c r="P51" s="210"/>
      <c r="Q51" s="210"/>
      <c r="R51" s="210"/>
    </row>
    <row r="52" spans="1:18">
      <c r="A52" s="210"/>
      <c r="B52" s="210"/>
      <c r="C52" s="210"/>
      <c r="D52" s="210"/>
      <c r="E52" s="210"/>
      <c r="F52" s="210"/>
      <c r="G52" s="210"/>
      <c r="H52" s="210"/>
      <c r="I52" s="210"/>
      <c r="J52" s="210"/>
      <c r="L52" s="210"/>
      <c r="M52" s="210"/>
      <c r="N52" s="210"/>
      <c r="O52" s="210"/>
      <c r="P52" s="210"/>
      <c r="Q52" s="210"/>
      <c r="R52" s="210"/>
    </row>
    <row r="53" spans="1:18">
      <c r="A53" s="210"/>
      <c r="B53" s="210"/>
      <c r="C53" s="210"/>
      <c r="D53" s="210"/>
      <c r="E53" s="210"/>
      <c r="F53" s="210"/>
      <c r="G53" s="210"/>
      <c r="H53" s="210"/>
      <c r="I53" s="210"/>
      <c r="J53" s="210"/>
      <c r="L53" s="210"/>
      <c r="M53" s="210"/>
      <c r="N53" s="210"/>
      <c r="O53" s="210"/>
      <c r="P53" s="210"/>
      <c r="Q53" s="210"/>
      <c r="R53" s="210"/>
    </row>
    <row r="54" spans="1:18">
      <c r="A54" s="210"/>
      <c r="B54" s="210"/>
      <c r="C54" s="210"/>
      <c r="D54" s="210"/>
      <c r="E54" s="210"/>
      <c r="F54" s="210"/>
      <c r="G54" s="210"/>
      <c r="H54" s="210"/>
      <c r="I54" s="210"/>
      <c r="J54" s="210"/>
      <c r="L54" s="210"/>
      <c r="M54" s="210"/>
      <c r="N54" s="210"/>
      <c r="O54" s="210"/>
      <c r="P54" s="210"/>
      <c r="Q54" s="210"/>
      <c r="R54" s="210"/>
    </row>
    <row r="55" spans="1:18">
      <c r="A55" s="210"/>
      <c r="B55" s="210"/>
      <c r="C55" s="210"/>
      <c r="D55" s="210"/>
      <c r="E55" s="210"/>
      <c r="F55" s="210"/>
      <c r="G55" s="210"/>
      <c r="H55" s="210"/>
      <c r="I55" s="210"/>
      <c r="J55" s="210"/>
      <c r="L55" s="210"/>
      <c r="M55" s="210"/>
      <c r="N55" s="210"/>
      <c r="O55" s="210"/>
      <c r="P55" s="210"/>
      <c r="Q55" s="210"/>
      <c r="R55" s="210"/>
    </row>
    <row r="56" spans="1:18">
      <c r="A56" s="210"/>
      <c r="B56" s="210"/>
      <c r="C56" s="210"/>
      <c r="D56" s="210"/>
      <c r="E56" s="210"/>
      <c r="F56" s="210"/>
      <c r="G56" s="210"/>
      <c r="H56" s="210"/>
      <c r="I56" s="210"/>
      <c r="J56" s="210"/>
      <c r="L56" s="210"/>
      <c r="M56" s="210"/>
      <c r="N56" s="210"/>
      <c r="O56" s="210"/>
      <c r="P56" s="210"/>
      <c r="Q56" s="210"/>
      <c r="R56" s="210"/>
    </row>
    <row r="57" spans="1:18">
      <c r="A57" s="210"/>
      <c r="B57" s="210"/>
      <c r="C57" s="210"/>
      <c r="D57" s="210"/>
      <c r="E57" s="210"/>
      <c r="F57" s="210"/>
      <c r="G57" s="210"/>
      <c r="H57" s="210"/>
      <c r="I57" s="210"/>
      <c r="J57" s="210"/>
      <c r="L57" s="210"/>
      <c r="M57" s="210"/>
      <c r="N57" s="210"/>
      <c r="O57" s="210"/>
      <c r="P57" s="210"/>
      <c r="Q57" s="210"/>
      <c r="R57" s="210"/>
    </row>
    <row r="58" spans="1:18">
      <c r="A58" s="210"/>
      <c r="B58" s="210"/>
      <c r="C58" s="210"/>
      <c r="D58" s="210"/>
      <c r="E58" s="210"/>
      <c r="F58" s="210"/>
      <c r="G58" s="210"/>
      <c r="H58" s="210"/>
      <c r="I58" s="210"/>
      <c r="J58" s="210"/>
      <c r="L58" s="210"/>
      <c r="M58" s="210"/>
      <c r="N58" s="210"/>
      <c r="O58" s="210"/>
      <c r="P58" s="210"/>
      <c r="Q58" s="210"/>
      <c r="R58" s="210"/>
    </row>
    <row r="59" spans="1:18">
      <c r="A59" s="210"/>
      <c r="B59" s="210"/>
      <c r="C59" s="210"/>
      <c r="D59" s="210"/>
      <c r="E59" s="210"/>
      <c r="F59" s="210"/>
      <c r="G59" s="210"/>
      <c r="H59" s="210"/>
      <c r="I59" s="210"/>
      <c r="J59" s="210"/>
      <c r="L59" s="210"/>
      <c r="M59" s="210"/>
      <c r="N59" s="210"/>
      <c r="O59" s="210"/>
      <c r="P59" s="210"/>
      <c r="Q59" s="210"/>
      <c r="R59" s="210"/>
    </row>
    <row r="60" spans="1:18">
      <c r="A60" s="210"/>
      <c r="B60" s="210"/>
      <c r="C60" s="210"/>
      <c r="D60" s="210"/>
      <c r="E60" s="210"/>
      <c r="F60" s="210"/>
      <c r="G60" s="210"/>
      <c r="H60" s="210"/>
      <c r="I60" s="210"/>
      <c r="J60" s="210"/>
      <c r="L60" s="210"/>
      <c r="M60" s="210"/>
      <c r="N60" s="210"/>
      <c r="O60" s="210"/>
      <c r="P60" s="210"/>
      <c r="Q60" s="210"/>
      <c r="R60" s="210"/>
    </row>
    <row r="61" spans="1:18">
      <c r="A61" s="210"/>
      <c r="B61" s="210"/>
      <c r="C61" s="210"/>
      <c r="D61" s="210"/>
      <c r="E61" s="210"/>
      <c r="F61" s="210"/>
      <c r="G61" s="210"/>
      <c r="H61" s="210"/>
      <c r="I61" s="210"/>
      <c r="J61" s="210"/>
      <c r="L61" s="210"/>
      <c r="M61" s="210"/>
      <c r="N61" s="210"/>
      <c r="O61" s="210"/>
      <c r="P61" s="210"/>
      <c r="Q61" s="210"/>
      <c r="R61" s="210"/>
    </row>
    <row r="62" spans="1:18">
      <c r="A62" s="210"/>
      <c r="B62" s="210"/>
      <c r="C62" s="210"/>
      <c r="D62" s="210"/>
      <c r="E62" s="210"/>
      <c r="F62" s="210"/>
      <c r="G62" s="210"/>
      <c r="H62" s="210"/>
      <c r="I62" s="210"/>
      <c r="J62" s="210"/>
      <c r="L62" s="210"/>
      <c r="M62" s="210"/>
      <c r="N62" s="210"/>
      <c r="O62" s="210"/>
      <c r="P62" s="210"/>
      <c r="Q62" s="210"/>
      <c r="R62" s="210"/>
    </row>
    <row r="63" spans="1:18">
      <c r="A63" s="210"/>
      <c r="B63" s="210"/>
      <c r="C63" s="210"/>
      <c r="D63" s="210"/>
      <c r="E63" s="210"/>
      <c r="F63" s="210"/>
      <c r="G63" s="210"/>
      <c r="H63" s="210"/>
      <c r="I63" s="210"/>
      <c r="J63" s="210"/>
      <c r="L63" s="210"/>
      <c r="M63" s="210"/>
      <c r="N63" s="210"/>
      <c r="O63" s="210"/>
      <c r="P63" s="210"/>
      <c r="Q63" s="210"/>
      <c r="R63" s="210"/>
    </row>
    <row r="64" spans="1:18">
      <c r="A64" s="210"/>
      <c r="B64" s="210"/>
      <c r="C64" s="210"/>
      <c r="D64" s="210"/>
      <c r="E64" s="210"/>
      <c r="F64" s="210"/>
      <c r="G64" s="210"/>
      <c r="H64" s="210"/>
      <c r="I64" s="210"/>
      <c r="J64" s="210"/>
      <c r="L64" s="210"/>
      <c r="M64" s="210"/>
      <c r="N64" s="210"/>
      <c r="O64" s="210"/>
      <c r="P64" s="210"/>
      <c r="Q64" s="210"/>
      <c r="R64" s="210"/>
    </row>
    <row r="65" spans="1:18">
      <c r="A65" s="210"/>
      <c r="B65" s="210"/>
      <c r="C65" s="210"/>
      <c r="D65" s="210"/>
      <c r="E65" s="210"/>
      <c r="F65" s="210"/>
      <c r="G65" s="210"/>
      <c r="H65" s="210"/>
      <c r="I65" s="210"/>
      <c r="J65" s="210"/>
      <c r="L65" s="210"/>
      <c r="M65" s="210"/>
      <c r="N65" s="210"/>
      <c r="O65" s="210"/>
      <c r="P65" s="210"/>
      <c r="Q65" s="210"/>
      <c r="R65" s="210"/>
    </row>
    <row r="66" spans="1:18">
      <c r="A66" s="210"/>
      <c r="B66" s="210"/>
      <c r="C66" s="210"/>
      <c r="D66" s="210"/>
      <c r="E66" s="210"/>
      <c r="F66" s="210"/>
      <c r="G66" s="210"/>
      <c r="H66" s="210"/>
      <c r="I66" s="210"/>
      <c r="J66" s="210"/>
      <c r="L66" s="210"/>
      <c r="M66" s="210"/>
      <c r="N66" s="210"/>
      <c r="O66" s="210"/>
      <c r="P66" s="210"/>
      <c r="Q66" s="210"/>
      <c r="R66" s="210"/>
    </row>
    <row r="67" spans="1:18">
      <c r="A67" s="210"/>
      <c r="B67" s="210"/>
      <c r="C67" s="210"/>
      <c r="D67" s="210"/>
      <c r="E67" s="210"/>
      <c r="F67" s="210"/>
      <c r="G67" s="210"/>
      <c r="H67" s="210"/>
      <c r="I67" s="210"/>
      <c r="J67" s="210"/>
      <c r="L67" s="210"/>
      <c r="M67" s="210"/>
      <c r="N67" s="210"/>
      <c r="O67" s="210"/>
      <c r="P67" s="210"/>
      <c r="Q67" s="210"/>
      <c r="R67" s="210"/>
    </row>
    <row r="68" spans="1:18">
      <c r="A68" s="210"/>
      <c r="B68" s="210"/>
      <c r="C68" s="210"/>
      <c r="D68" s="210"/>
      <c r="E68" s="210"/>
      <c r="F68" s="210"/>
      <c r="G68" s="210"/>
      <c r="H68" s="210"/>
      <c r="I68" s="210"/>
      <c r="J68" s="210"/>
      <c r="L68" s="210"/>
      <c r="M68" s="210"/>
      <c r="N68" s="210"/>
      <c r="O68" s="210"/>
      <c r="P68" s="210"/>
      <c r="Q68" s="210"/>
      <c r="R68" s="210"/>
    </row>
    <row r="69" spans="1:18">
      <c r="A69" s="210"/>
      <c r="B69" s="210"/>
      <c r="C69" s="210"/>
      <c r="D69" s="210"/>
      <c r="E69" s="210"/>
      <c r="F69" s="210"/>
      <c r="G69" s="210"/>
      <c r="H69" s="210"/>
      <c r="I69" s="210"/>
      <c r="J69" s="210"/>
      <c r="L69" s="210"/>
      <c r="M69" s="210"/>
      <c r="N69" s="210"/>
      <c r="O69" s="210"/>
      <c r="P69" s="210"/>
      <c r="Q69" s="210"/>
      <c r="R69" s="210"/>
    </row>
    <row r="70" spans="1:18">
      <c r="A70" s="210"/>
      <c r="B70" s="210"/>
      <c r="C70" s="210"/>
      <c r="D70" s="210"/>
      <c r="E70" s="210"/>
      <c r="F70" s="210"/>
      <c r="G70" s="210"/>
      <c r="H70" s="210"/>
      <c r="I70" s="210"/>
      <c r="J70" s="210"/>
      <c r="L70" s="210"/>
      <c r="M70" s="210"/>
      <c r="N70" s="210"/>
      <c r="O70" s="210"/>
      <c r="P70" s="210"/>
      <c r="Q70" s="210"/>
      <c r="R70" s="210"/>
    </row>
    <row r="71" spans="1:18">
      <c r="A71" s="210"/>
      <c r="B71" s="210"/>
      <c r="C71" s="210"/>
      <c r="D71" s="210"/>
      <c r="E71" s="210"/>
      <c r="F71" s="210"/>
      <c r="G71" s="210"/>
      <c r="H71" s="210"/>
      <c r="I71" s="210"/>
      <c r="J71" s="210"/>
      <c r="L71" s="210"/>
      <c r="M71" s="210"/>
      <c r="N71" s="210"/>
      <c r="O71" s="210"/>
      <c r="P71" s="210"/>
      <c r="Q71" s="210"/>
      <c r="R71" s="210"/>
    </row>
    <row r="72" spans="1:18">
      <c r="A72" s="210"/>
      <c r="B72" s="210"/>
      <c r="C72" s="210"/>
      <c r="D72" s="210"/>
      <c r="E72" s="210"/>
      <c r="F72" s="210"/>
      <c r="G72" s="210"/>
      <c r="H72" s="210"/>
      <c r="I72" s="210"/>
      <c r="J72" s="210"/>
      <c r="L72" s="210"/>
      <c r="M72" s="210"/>
      <c r="N72" s="210"/>
      <c r="O72" s="210"/>
      <c r="P72" s="210"/>
      <c r="Q72" s="210"/>
      <c r="R72" s="210"/>
    </row>
    <row r="73" spans="1:18">
      <c r="A73" s="210"/>
      <c r="B73" s="210"/>
      <c r="C73" s="210"/>
      <c r="D73" s="210"/>
      <c r="E73" s="210"/>
      <c r="F73" s="210"/>
      <c r="G73" s="210"/>
      <c r="H73" s="210"/>
      <c r="I73" s="210"/>
      <c r="J73" s="210"/>
      <c r="L73" s="210"/>
      <c r="M73" s="210"/>
      <c r="N73" s="210"/>
      <c r="O73" s="210"/>
      <c r="P73" s="210"/>
      <c r="Q73" s="210"/>
      <c r="R73" s="210"/>
    </row>
    <row r="74" spans="1:18">
      <c r="A74" s="210"/>
      <c r="B74" s="210"/>
      <c r="C74" s="210"/>
      <c r="D74" s="210"/>
      <c r="E74" s="210"/>
      <c r="F74" s="210"/>
      <c r="G74" s="210"/>
      <c r="H74" s="210"/>
      <c r="I74" s="210"/>
      <c r="J74" s="210"/>
      <c r="L74" s="210"/>
      <c r="M74" s="210"/>
      <c r="N74" s="210"/>
      <c r="O74" s="210"/>
      <c r="P74" s="210"/>
      <c r="Q74" s="210"/>
      <c r="R74" s="210"/>
    </row>
    <row r="75" spans="1:18">
      <c r="A75" s="210"/>
      <c r="B75" s="210"/>
      <c r="C75" s="210"/>
      <c r="D75" s="210"/>
      <c r="E75" s="210"/>
      <c r="F75" s="210"/>
      <c r="G75" s="210"/>
      <c r="H75" s="210"/>
      <c r="I75" s="210"/>
      <c r="J75" s="210"/>
      <c r="L75" s="210"/>
      <c r="M75" s="210"/>
      <c r="N75" s="210"/>
      <c r="O75" s="210"/>
      <c r="P75" s="210"/>
      <c r="Q75" s="210"/>
      <c r="R75" s="210"/>
    </row>
    <row r="76" spans="1:18">
      <c r="A76" s="210"/>
      <c r="B76" s="210"/>
      <c r="C76" s="210"/>
      <c r="D76" s="210"/>
      <c r="E76" s="210"/>
      <c r="F76" s="210"/>
      <c r="G76" s="210"/>
      <c r="H76" s="210"/>
      <c r="I76" s="210"/>
      <c r="J76" s="210"/>
      <c r="L76" s="210"/>
      <c r="M76" s="210"/>
      <c r="N76" s="210"/>
      <c r="O76" s="210"/>
      <c r="P76" s="210"/>
      <c r="Q76" s="210"/>
      <c r="R76" s="210"/>
    </row>
    <row r="77" spans="1:18">
      <c r="A77" s="210"/>
      <c r="B77" s="210"/>
      <c r="C77" s="210"/>
      <c r="D77" s="210"/>
      <c r="E77" s="210"/>
      <c r="F77" s="210"/>
      <c r="G77" s="210"/>
      <c r="H77" s="210"/>
      <c r="I77" s="210"/>
      <c r="J77" s="210"/>
      <c r="L77" s="210"/>
      <c r="M77" s="210"/>
      <c r="N77" s="210"/>
      <c r="O77" s="210"/>
      <c r="P77" s="210"/>
      <c r="Q77" s="210"/>
      <c r="R77" s="210"/>
    </row>
    <row r="78" spans="1:18">
      <c r="A78" s="210"/>
      <c r="B78" s="210"/>
      <c r="C78" s="210"/>
      <c r="D78" s="210"/>
      <c r="E78" s="210"/>
      <c r="F78" s="210"/>
      <c r="G78" s="210"/>
      <c r="H78" s="210"/>
      <c r="I78" s="210"/>
      <c r="J78" s="210"/>
      <c r="L78" s="210"/>
      <c r="M78" s="210"/>
      <c r="N78" s="210"/>
      <c r="O78" s="210"/>
      <c r="P78" s="210"/>
      <c r="Q78" s="210"/>
      <c r="R78" s="210"/>
    </row>
    <row r="79" spans="1:18">
      <c r="A79" s="210"/>
      <c r="B79" s="210"/>
      <c r="C79" s="210"/>
      <c r="D79" s="210"/>
      <c r="E79" s="210"/>
      <c r="F79" s="210"/>
      <c r="G79" s="210"/>
      <c r="H79" s="210"/>
      <c r="I79" s="210"/>
      <c r="J79" s="210"/>
      <c r="L79" s="210"/>
      <c r="M79" s="210"/>
      <c r="N79" s="210"/>
      <c r="O79" s="210"/>
      <c r="P79" s="210"/>
      <c r="Q79" s="210"/>
      <c r="R79" s="210"/>
    </row>
    <row r="80" spans="1:18">
      <c r="A80" s="210"/>
      <c r="B80" s="210"/>
      <c r="C80" s="210"/>
      <c r="D80" s="210"/>
      <c r="E80" s="210"/>
      <c r="F80" s="210"/>
      <c r="G80" s="210"/>
      <c r="H80" s="210"/>
      <c r="I80" s="210"/>
      <c r="J80" s="210"/>
      <c r="L80" s="210"/>
      <c r="M80" s="210"/>
      <c r="N80" s="210"/>
      <c r="O80" s="210"/>
      <c r="P80" s="210"/>
      <c r="Q80" s="210"/>
      <c r="R80" s="210"/>
    </row>
    <row r="81" spans="1:18">
      <c r="A81" s="210"/>
      <c r="B81" s="210"/>
      <c r="C81" s="210"/>
      <c r="D81" s="210"/>
      <c r="E81" s="210"/>
      <c r="F81" s="210"/>
      <c r="G81" s="210"/>
      <c r="H81" s="210"/>
      <c r="I81" s="210"/>
      <c r="J81" s="210"/>
      <c r="L81" s="210"/>
      <c r="M81" s="210"/>
      <c r="N81" s="210"/>
      <c r="O81" s="210"/>
      <c r="P81" s="210"/>
      <c r="Q81" s="210"/>
      <c r="R81" s="210"/>
    </row>
    <row r="82" spans="1:18">
      <c r="A82" s="210"/>
      <c r="B82" s="210"/>
      <c r="C82" s="210"/>
      <c r="D82" s="210"/>
      <c r="E82" s="210"/>
      <c r="F82" s="210"/>
      <c r="G82" s="210"/>
      <c r="H82" s="210"/>
      <c r="I82" s="210"/>
      <c r="J82" s="210"/>
      <c r="L82" s="210"/>
      <c r="M82" s="210"/>
      <c r="N82" s="210"/>
      <c r="O82" s="210"/>
      <c r="P82" s="210"/>
      <c r="Q82" s="210"/>
      <c r="R82" s="210"/>
    </row>
    <row r="83" spans="1:18">
      <c r="A83" s="210"/>
      <c r="B83" s="210"/>
      <c r="C83" s="210"/>
      <c r="D83" s="210"/>
      <c r="E83" s="210"/>
      <c r="F83" s="210"/>
      <c r="G83" s="210"/>
      <c r="H83" s="210"/>
      <c r="I83" s="210"/>
      <c r="J83" s="210"/>
      <c r="L83" s="210"/>
      <c r="M83" s="210"/>
      <c r="N83" s="210"/>
      <c r="O83" s="210"/>
      <c r="P83" s="210"/>
      <c r="Q83" s="210"/>
      <c r="R83" s="210"/>
    </row>
    <row r="84" spans="1:18">
      <c r="A84" s="210"/>
      <c r="B84" s="210"/>
      <c r="C84" s="210"/>
      <c r="D84" s="210"/>
      <c r="E84" s="210"/>
      <c r="F84" s="210"/>
      <c r="G84" s="210"/>
      <c r="H84" s="210"/>
      <c r="I84" s="210"/>
      <c r="J84" s="210"/>
      <c r="L84" s="210"/>
      <c r="M84" s="210"/>
      <c r="N84" s="210"/>
      <c r="O84" s="210"/>
      <c r="P84" s="210"/>
      <c r="Q84" s="210"/>
      <c r="R84" s="210"/>
    </row>
    <row r="85" spans="1:18">
      <c r="A85" s="210"/>
      <c r="B85" s="210"/>
      <c r="C85" s="210"/>
      <c r="D85" s="210"/>
      <c r="E85" s="210"/>
      <c r="F85" s="210"/>
      <c r="G85" s="210"/>
      <c r="H85" s="210"/>
      <c r="I85" s="210"/>
      <c r="J85" s="210"/>
      <c r="L85" s="210"/>
      <c r="M85" s="210"/>
      <c r="N85" s="210"/>
      <c r="O85" s="210"/>
      <c r="P85" s="210"/>
      <c r="Q85" s="210"/>
      <c r="R85" s="210"/>
    </row>
    <row r="86" spans="1:18">
      <c r="A86" s="210"/>
      <c r="B86" s="210"/>
      <c r="C86" s="210"/>
      <c r="D86" s="210"/>
      <c r="E86" s="210"/>
      <c r="F86" s="210"/>
      <c r="G86" s="210"/>
      <c r="H86" s="210"/>
      <c r="I86" s="210"/>
      <c r="J86" s="210"/>
      <c r="L86" s="210"/>
      <c r="M86" s="210"/>
      <c r="N86" s="210"/>
      <c r="O86" s="210"/>
      <c r="P86" s="210"/>
      <c r="Q86" s="210"/>
      <c r="R86" s="210"/>
    </row>
    <row r="87" spans="1:18">
      <c r="A87" s="210"/>
      <c r="B87" s="210"/>
      <c r="C87" s="210"/>
      <c r="D87" s="210"/>
      <c r="E87" s="210"/>
      <c r="F87" s="210"/>
      <c r="G87" s="210"/>
      <c r="H87" s="210"/>
      <c r="I87" s="210"/>
      <c r="J87" s="210"/>
      <c r="L87" s="210"/>
      <c r="M87" s="210"/>
      <c r="N87" s="210"/>
      <c r="O87" s="210"/>
      <c r="P87" s="210"/>
      <c r="Q87" s="210"/>
      <c r="R87" s="210"/>
    </row>
    <row r="88" spans="1:18">
      <c r="A88" s="210"/>
      <c r="B88" s="210"/>
      <c r="C88" s="210"/>
      <c r="D88" s="210"/>
      <c r="E88" s="210"/>
      <c r="F88" s="210"/>
      <c r="G88" s="210"/>
      <c r="H88" s="210"/>
      <c r="I88" s="210"/>
      <c r="J88" s="210"/>
      <c r="L88" s="210"/>
      <c r="M88" s="210"/>
      <c r="N88" s="210"/>
      <c r="O88" s="210"/>
      <c r="P88" s="210"/>
      <c r="Q88" s="210"/>
      <c r="R88" s="210"/>
    </row>
    <row r="89" spans="1:18">
      <c r="A89" s="210"/>
      <c r="B89" s="210"/>
      <c r="C89" s="210"/>
      <c r="D89" s="210"/>
      <c r="E89" s="210"/>
      <c r="F89" s="210"/>
      <c r="G89" s="210"/>
      <c r="H89" s="210"/>
      <c r="I89" s="210"/>
      <c r="J89" s="210"/>
      <c r="L89" s="210"/>
      <c r="M89" s="210"/>
      <c r="N89" s="210"/>
      <c r="O89" s="210"/>
      <c r="P89" s="210"/>
      <c r="Q89" s="210"/>
      <c r="R89" s="210"/>
    </row>
    <row r="90" spans="1:18">
      <c r="A90" s="210"/>
      <c r="B90" s="210"/>
      <c r="C90" s="210"/>
      <c r="D90" s="210"/>
      <c r="E90" s="210"/>
      <c r="F90" s="210"/>
      <c r="G90" s="210"/>
      <c r="H90" s="210"/>
      <c r="I90" s="210"/>
      <c r="J90" s="210"/>
      <c r="L90" s="210"/>
      <c r="M90" s="210"/>
      <c r="N90" s="210"/>
      <c r="O90" s="210"/>
      <c r="P90" s="210"/>
      <c r="Q90" s="210"/>
      <c r="R90" s="210"/>
    </row>
    <row r="91" spans="1:18">
      <c r="A91" s="210"/>
      <c r="B91" s="210"/>
      <c r="C91" s="210"/>
      <c r="D91" s="210"/>
      <c r="E91" s="210"/>
      <c r="F91" s="210"/>
      <c r="G91" s="210"/>
      <c r="H91" s="210"/>
      <c r="I91" s="210"/>
      <c r="J91" s="210"/>
      <c r="L91" s="210"/>
      <c r="M91" s="210"/>
      <c r="N91" s="210"/>
      <c r="O91" s="210"/>
      <c r="P91" s="210"/>
      <c r="Q91" s="210"/>
      <c r="R91" s="210"/>
    </row>
    <row r="92" spans="1:18">
      <c r="A92" s="210"/>
      <c r="B92" s="210"/>
      <c r="C92" s="210"/>
      <c r="D92" s="210"/>
      <c r="E92" s="210"/>
      <c r="F92" s="210"/>
      <c r="G92" s="210"/>
      <c r="H92" s="210"/>
      <c r="I92" s="210"/>
      <c r="J92" s="210"/>
      <c r="L92" s="210"/>
      <c r="M92" s="210"/>
      <c r="N92" s="210"/>
      <c r="O92" s="210"/>
      <c r="P92" s="210"/>
      <c r="Q92" s="210"/>
      <c r="R92" s="210"/>
    </row>
    <row r="93" spans="1:18">
      <c r="A93" s="210"/>
      <c r="B93" s="210"/>
      <c r="C93" s="210"/>
      <c r="D93" s="210"/>
      <c r="E93" s="210"/>
      <c r="F93" s="210"/>
      <c r="G93" s="210"/>
      <c r="H93" s="210"/>
      <c r="I93" s="210"/>
      <c r="J93" s="210"/>
      <c r="L93" s="210"/>
      <c r="M93" s="210"/>
      <c r="N93" s="210"/>
      <c r="O93" s="210"/>
      <c r="P93" s="210"/>
      <c r="Q93" s="210"/>
      <c r="R93" s="210"/>
    </row>
    <row r="94" spans="1:18">
      <c r="A94" s="210"/>
      <c r="B94" s="210"/>
      <c r="C94" s="210"/>
      <c r="D94" s="210"/>
      <c r="E94" s="210"/>
      <c r="F94" s="210"/>
      <c r="G94" s="210"/>
      <c r="H94" s="210"/>
      <c r="I94" s="210"/>
      <c r="J94" s="210"/>
      <c r="L94" s="210"/>
      <c r="M94" s="210"/>
      <c r="N94" s="210"/>
      <c r="O94" s="210"/>
      <c r="P94" s="210"/>
      <c r="Q94" s="210"/>
      <c r="R94" s="210"/>
    </row>
    <row r="95" spans="1:18">
      <c r="A95" s="210"/>
      <c r="B95" s="210"/>
      <c r="C95" s="210"/>
      <c r="D95" s="210"/>
      <c r="E95" s="210"/>
      <c r="F95" s="210"/>
      <c r="G95" s="210"/>
      <c r="H95" s="210"/>
      <c r="I95" s="210"/>
      <c r="J95" s="210"/>
      <c r="L95" s="210"/>
      <c r="M95" s="210"/>
      <c r="N95" s="210"/>
      <c r="O95" s="210"/>
      <c r="P95" s="210"/>
      <c r="Q95" s="210"/>
      <c r="R95" s="210"/>
    </row>
    <row r="96" spans="1:18">
      <c r="A96" s="210"/>
      <c r="B96" s="210"/>
      <c r="C96" s="210"/>
      <c r="D96" s="210"/>
      <c r="E96" s="210"/>
      <c r="F96" s="210"/>
      <c r="G96" s="210"/>
      <c r="H96" s="210"/>
      <c r="I96" s="210"/>
      <c r="J96" s="210"/>
      <c r="L96" s="210"/>
      <c r="M96" s="210"/>
      <c r="N96" s="210"/>
      <c r="O96" s="210"/>
      <c r="P96" s="210"/>
      <c r="Q96" s="210"/>
      <c r="R96" s="210"/>
    </row>
    <row r="97" spans="1:18">
      <c r="A97" s="210"/>
      <c r="B97" s="210"/>
      <c r="C97" s="210"/>
      <c r="D97" s="210"/>
      <c r="E97" s="210"/>
      <c r="F97" s="210"/>
      <c r="G97" s="210"/>
      <c r="H97" s="210"/>
      <c r="I97" s="210"/>
      <c r="J97" s="210"/>
      <c r="L97" s="210"/>
      <c r="M97" s="210"/>
      <c r="N97" s="210"/>
      <c r="O97" s="210"/>
      <c r="P97" s="210"/>
      <c r="Q97" s="210"/>
      <c r="R97" s="210"/>
    </row>
    <row r="98" spans="1:18">
      <c r="A98" s="210"/>
      <c r="B98" s="210"/>
      <c r="C98" s="210"/>
      <c r="D98" s="210"/>
      <c r="E98" s="210"/>
      <c r="F98" s="210"/>
      <c r="G98" s="210"/>
      <c r="H98" s="210"/>
      <c r="I98" s="210"/>
      <c r="J98" s="210"/>
      <c r="L98" s="210"/>
      <c r="M98" s="210"/>
      <c r="N98" s="210"/>
      <c r="O98" s="210"/>
      <c r="P98" s="210"/>
      <c r="Q98" s="210"/>
      <c r="R98" s="210"/>
    </row>
    <row r="99" spans="1:18">
      <c r="A99" s="210"/>
      <c r="B99" s="210"/>
      <c r="C99" s="210"/>
      <c r="D99" s="210"/>
      <c r="E99" s="210"/>
      <c r="F99" s="210"/>
      <c r="G99" s="210"/>
      <c r="H99" s="210"/>
      <c r="I99" s="210"/>
      <c r="J99" s="210"/>
      <c r="L99" s="210"/>
      <c r="M99" s="210"/>
      <c r="N99" s="210"/>
      <c r="O99" s="210"/>
      <c r="P99" s="210"/>
      <c r="Q99" s="210"/>
      <c r="R99" s="210"/>
    </row>
    <row r="100" spans="1:18">
      <c r="A100" s="210"/>
      <c r="B100" s="210"/>
      <c r="C100" s="210"/>
      <c r="D100" s="210"/>
      <c r="E100" s="210"/>
      <c r="F100" s="210"/>
      <c r="G100" s="210"/>
      <c r="H100" s="210"/>
      <c r="I100" s="210"/>
      <c r="J100" s="210"/>
      <c r="L100" s="210"/>
      <c r="M100" s="210"/>
      <c r="N100" s="210"/>
      <c r="O100" s="210"/>
      <c r="P100" s="210"/>
      <c r="Q100" s="210"/>
      <c r="R100" s="210"/>
    </row>
    <row r="101" spans="1:18">
      <c r="A101" s="210"/>
      <c r="B101" s="210"/>
      <c r="C101" s="210"/>
      <c r="D101" s="210"/>
      <c r="E101" s="210"/>
      <c r="F101" s="210"/>
      <c r="G101" s="210"/>
      <c r="H101" s="210"/>
      <c r="I101" s="210"/>
      <c r="J101" s="210"/>
      <c r="L101" s="210"/>
      <c r="M101" s="210"/>
      <c r="N101" s="210"/>
      <c r="O101" s="210"/>
      <c r="P101" s="210"/>
      <c r="Q101" s="210"/>
      <c r="R101" s="210"/>
    </row>
    <row r="102" spans="1:18">
      <c r="A102" s="210"/>
      <c r="B102" s="210"/>
      <c r="C102" s="210"/>
      <c r="D102" s="210"/>
      <c r="E102" s="210"/>
      <c r="F102" s="210"/>
      <c r="G102" s="210"/>
      <c r="H102" s="210"/>
      <c r="I102" s="210"/>
      <c r="J102" s="210"/>
      <c r="L102" s="210"/>
      <c r="M102" s="210"/>
      <c r="N102" s="210"/>
      <c r="O102" s="210"/>
      <c r="P102" s="210"/>
      <c r="Q102" s="210"/>
      <c r="R102" s="210"/>
    </row>
    <row r="103" spans="1:18">
      <c r="A103" s="210"/>
      <c r="B103" s="210"/>
      <c r="C103" s="210"/>
      <c r="D103" s="210"/>
      <c r="E103" s="210"/>
      <c r="F103" s="210"/>
      <c r="G103" s="210"/>
      <c r="H103" s="210"/>
      <c r="I103" s="210"/>
      <c r="J103" s="210"/>
      <c r="L103" s="210"/>
      <c r="M103" s="210"/>
      <c r="N103" s="210"/>
      <c r="O103" s="210"/>
      <c r="P103" s="210"/>
      <c r="Q103" s="210"/>
      <c r="R103" s="210"/>
    </row>
    <row r="104" spans="1:18">
      <c r="A104" s="210"/>
      <c r="B104" s="210"/>
      <c r="C104" s="210"/>
      <c r="D104" s="210"/>
      <c r="E104" s="210"/>
      <c r="F104" s="210"/>
      <c r="G104" s="210"/>
      <c r="H104" s="210"/>
      <c r="I104" s="210"/>
      <c r="J104" s="210"/>
      <c r="L104" s="210"/>
      <c r="M104" s="210"/>
      <c r="N104" s="210"/>
      <c r="O104" s="210"/>
      <c r="P104" s="210"/>
      <c r="Q104" s="210"/>
      <c r="R104" s="210"/>
    </row>
    <row r="105" spans="1:18">
      <c r="A105" s="210"/>
      <c r="B105" s="210"/>
      <c r="C105" s="210"/>
      <c r="D105" s="210"/>
      <c r="E105" s="210"/>
      <c r="F105" s="210"/>
      <c r="G105" s="210"/>
      <c r="H105" s="210"/>
      <c r="I105" s="210"/>
      <c r="J105" s="210"/>
      <c r="L105" s="210"/>
      <c r="M105" s="210"/>
      <c r="N105" s="210"/>
      <c r="O105" s="210"/>
      <c r="P105" s="210"/>
      <c r="Q105" s="210"/>
      <c r="R105" s="210"/>
    </row>
    <row r="106" spans="1:18">
      <c r="A106" s="210"/>
      <c r="B106" s="210"/>
      <c r="C106" s="210"/>
      <c r="D106" s="210"/>
      <c r="E106" s="210"/>
      <c r="F106" s="210"/>
      <c r="G106" s="210"/>
      <c r="H106" s="210"/>
      <c r="I106" s="210"/>
      <c r="J106" s="210"/>
      <c r="L106" s="210"/>
      <c r="M106" s="210"/>
      <c r="N106" s="210"/>
      <c r="O106" s="210"/>
      <c r="P106" s="210"/>
      <c r="Q106" s="210"/>
      <c r="R106" s="210"/>
    </row>
    <row r="107" spans="1:18">
      <c r="A107" s="210"/>
      <c r="B107" s="210"/>
      <c r="C107" s="210"/>
      <c r="D107" s="210"/>
      <c r="E107" s="210"/>
      <c r="F107" s="210"/>
      <c r="G107" s="210"/>
      <c r="H107" s="210"/>
      <c r="I107" s="210"/>
      <c r="J107" s="210"/>
      <c r="L107" s="210"/>
      <c r="M107" s="210"/>
      <c r="N107" s="210"/>
      <c r="O107" s="210"/>
      <c r="P107" s="210"/>
      <c r="Q107" s="210"/>
      <c r="R107" s="210"/>
    </row>
    <row r="108" spans="1:18">
      <c r="A108" s="210"/>
      <c r="B108" s="210"/>
      <c r="C108" s="210"/>
      <c r="D108" s="210"/>
      <c r="E108" s="210"/>
      <c r="F108" s="210"/>
      <c r="G108" s="210"/>
      <c r="H108" s="210"/>
      <c r="I108" s="210"/>
      <c r="J108" s="210"/>
      <c r="L108" s="210"/>
      <c r="M108" s="210"/>
      <c r="N108" s="210"/>
      <c r="O108" s="210"/>
      <c r="P108" s="210"/>
      <c r="Q108" s="210"/>
      <c r="R108" s="210"/>
    </row>
    <row r="109" spans="1:18">
      <c r="A109" s="210"/>
      <c r="B109" s="210"/>
      <c r="C109" s="210"/>
      <c r="D109" s="210"/>
      <c r="E109" s="210"/>
      <c r="F109" s="210"/>
      <c r="G109" s="210"/>
      <c r="H109" s="210"/>
      <c r="I109" s="210"/>
      <c r="J109" s="210"/>
      <c r="L109" s="210"/>
      <c r="M109" s="210"/>
      <c r="N109" s="210"/>
      <c r="O109" s="210"/>
      <c r="P109" s="210"/>
      <c r="Q109" s="210"/>
      <c r="R109" s="210"/>
    </row>
    <row r="110" spans="1:18">
      <c r="A110" s="210"/>
      <c r="B110" s="210"/>
      <c r="C110" s="210"/>
      <c r="D110" s="210"/>
      <c r="E110" s="210"/>
      <c r="F110" s="210"/>
      <c r="G110" s="210"/>
      <c r="H110" s="210"/>
      <c r="I110" s="210"/>
      <c r="J110" s="210"/>
      <c r="L110" s="210"/>
      <c r="M110" s="210"/>
      <c r="N110" s="210"/>
      <c r="O110" s="210"/>
      <c r="P110" s="210"/>
      <c r="Q110" s="210"/>
      <c r="R110" s="210"/>
    </row>
    <row r="111" spans="1:18">
      <c r="A111" s="210"/>
      <c r="B111" s="210"/>
      <c r="C111" s="210"/>
      <c r="D111" s="210"/>
      <c r="E111" s="210"/>
      <c r="F111" s="210"/>
      <c r="G111" s="210"/>
      <c r="H111" s="210"/>
      <c r="I111" s="210"/>
      <c r="J111" s="210"/>
      <c r="L111" s="210"/>
      <c r="M111" s="210"/>
      <c r="N111" s="210"/>
      <c r="O111" s="210"/>
      <c r="P111" s="210"/>
      <c r="Q111" s="210"/>
      <c r="R111" s="210"/>
    </row>
    <row r="112" spans="1:18">
      <c r="A112" s="210"/>
      <c r="B112" s="210"/>
      <c r="C112" s="210"/>
      <c r="D112" s="210"/>
      <c r="E112" s="210"/>
      <c r="F112" s="210"/>
      <c r="G112" s="210"/>
      <c r="H112" s="210"/>
      <c r="I112" s="210"/>
      <c r="J112" s="210"/>
      <c r="L112" s="210"/>
      <c r="M112" s="210"/>
      <c r="N112" s="210"/>
      <c r="O112" s="210"/>
      <c r="P112" s="210"/>
      <c r="Q112" s="210"/>
      <c r="R112" s="210"/>
    </row>
    <row r="113" spans="1:18">
      <c r="A113" s="210"/>
      <c r="B113" s="210"/>
      <c r="C113" s="210"/>
      <c r="D113" s="210"/>
      <c r="E113" s="210"/>
      <c r="F113" s="210"/>
      <c r="G113" s="210"/>
      <c r="H113" s="210"/>
      <c r="I113" s="210"/>
      <c r="J113" s="210"/>
      <c r="L113" s="210"/>
      <c r="M113" s="210"/>
      <c r="N113" s="210"/>
      <c r="O113" s="210"/>
      <c r="P113" s="210"/>
      <c r="Q113" s="210"/>
      <c r="R113" s="210"/>
    </row>
    <row r="114" spans="1:18">
      <c r="A114" s="210"/>
      <c r="B114" s="210"/>
      <c r="C114" s="210"/>
      <c r="D114" s="210"/>
      <c r="E114" s="210"/>
      <c r="F114" s="210"/>
      <c r="G114" s="210"/>
      <c r="H114" s="210"/>
      <c r="I114" s="210"/>
      <c r="J114" s="210"/>
      <c r="L114" s="210"/>
      <c r="M114" s="210"/>
      <c r="N114" s="210"/>
      <c r="O114" s="210"/>
      <c r="P114" s="210"/>
      <c r="Q114" s="210"/>
      <c r="R114" s="210"/>
    </row>
    <row r="115" spans="1:18">
      <c r="A115" s="210"/>
      <c r="B115" s="210"/>
      <c r="C115" s="210"/>
      <c r="D115" s="210"/>
      <c r="E115" s="210"/>
      <c r="F115" s="210"/>
      <c r="G115" s="210"/>
      <c r="H115" s="210"/>
      <c r="I115" s="210"/>
      <c r="J115" s="210"/>
      <c r="L115" s="210"/>
      <c r="M115" s="210"/>
      <c r="N115" s="210"/>
      <c r="O115" s="210"/>
      <c r="P115" s="210"/>
      <c r="Q115" s="210"/>
      <c r="R115" s="210"/>
    </row>
    <row r="116" spans="1:18">
      <c r="A116" s="210"/>
      <c r="B116" s="210"/>
      <c r="C116" s="210"/>
      <c r="D116" s="210"/>
      <c r="E116" s="210"/>
      <c r="F116" s="210"/>
      <c r="G116" s="210"/>
      <c r="H116" s="210"/>
      <c r="I116" s="210"/>
      <c r="J116" s="210"/>
      <c r="L116" s="210"/>
      <c r="M116" s="210"/>
      <c r="N116" s="210"/>
      <c r="O116" s="210"/>
      <c r="P116" s="210"/>
      <c r="Q116" s="210"/>
      <c r="R116" s="210"/>
    </row>
    <row r="117" spans="1:18">
      <c r="A117" s="210"/>
      <c r="B117" s="210"/>
      <c r="C117" s="210"/>
      <c r="D117" s="210"/>
      <c r="E117" s="210"/>
      <c r="F117" s="210"/>
      <c r="G117" s="210"/>
      <c r="H117" s="210"/>
      <c r="I117" s="210"/>
      <c r="J117" s="210"/>
      <c r="L117" s="210"/>
      <c r="M117" s="210"/>
      <c r="N117" s="210"/>
      <c r="O117" s="210"/>
      <c r="P117" s="210"/>
      <c r="Q117" s="210"/>
      <c r="R117" s="210"/>
    </row>
    <row r="118" spans="1:18">
      <c r="A118" s="210"/>
      <c r="B118" s="210"/>
      <c r="C118" s="210"/>
      <c r="D118" s="210"/>
      <c r="E118" s="210"/>
      <c r="F118" s="210"/>
      <c r="G118" s="210"/>
      <c r="H118" s="210"/>
      <c r="I118" s="210"/>
      <c r="J118" s="210"/>
      <c r="L118" s="210"/>
      <c r="M118" s="210"/>
      <c r="N118" s="210"/>
      <c r="O118" s="210"/>
      <c r="P118" s="210"/>
      <c r="Q118" s="210"/>
      <c r="R118" s="210"/>
    </row>
    <row r="119" spans="1:18">
      <c r="A119" s="210"/>
      <c r="B119" s="210"/>
      <c r="C119" s="210"/>
      <c r="D119" s="210"/>
      <c r="E119" s="210"/>
      <c r="F119" s="210"/>
      <c r="G119" s="210"/>
      <c r="H119" s="210"/>
      <c r="I119" s="210"/>
      <c r="J119" s="210"/>
      <c r="L119" s="210"/>
      <c r="M119" s="210"/>
      <c r="N119" s="210"/>
      <c r="O119" s="210"/>
      <c r="P119" s="210"/>
      <c r="Q119" s="210"/>
      <c r="R119" s="210"/>
    </row>
    <row r="120" spans="1:18">
      <c r="A120" s="210"/>
      <c r="B120" s="210"/>
      <c r="C120" s="210"/>
      <c r="D120" s="210"/>
      <c r="E120" s="210"/>
      <c r="F120" s="210"/>
      <c r="G120" s="210"/>
      <c r="H120" s="210"/>
      <c r="I120" s="210"/>
      <c r="J120" s="210"/>
      <c r="L120" s="210"/>
      <c r="M120" s="210"/>
      <c r="N120" s="210"/>
      <c r="O120" s="210"/>
      <c r="P120" s="210"/>
      <c r="Q120" s="210"/>
      <c r="R120" s="210"/>
    </row>
    <row r="121" spans="1:18">
      <c r="A121" s="210"/>
      <c r="B121" s="210"/>
      <c r="C121" s="210"/>
      <c r="D121" s="210"/>
      <c r="E121" s="210"/>
      <c r="F121" s="210"/>
      <c r="G121" s="210"/>
      <c r="H121" s="210"/>
      <c r="I121" s="210"/>
      <c r="J121" s="210"/>
      <c r="L121" s="210"/>
      <c r="M121" s="210"/>
      <c r="N121" s="210"/>
      <c r="O121" s="210"/>
      <c r="P121" s="210"/>
      <c r="Q121" s="210"/>
      <c r="R121" s="210"/>
    </row>
    <row r="122" spans="1:18">
      <c r="A122" s="210"/>
      <c r="B122" s="210"/>
      <c r="C122" s="210"/>
      <c r="D122" s="210"/>
      <c r="E122" s="210"/>
      <c r="F122" s="210"/>
      <c r="G122" s="210"/>
      <c r="H122" s="210"/>
      <c r="I122" s="210"/>
      <c r="J122" s="210"/>
      <c r="L122" s="210"/>
      <c r="M122" s="210"/>
      <c r="N122" s="210"/>
      <c r="O122" s="210"/>
      <c r="P122" s="210"/>
      <c r="Q122" s="210"/>
      <c r="R122" s="210"/>
    </row>
    <row r="123" spans="1:18">
      <c r="A123" s="210"/>
      <c r="B123" s="210"/>
      <c r="C123" s="210"/>
      <c r="D123" s="210"/>
      <c r="E123" s="210"/>
      <c r="F123" s="210"/>
      <c r="G123" s="210"/>
      <c r="H123" s="210"/>
      <c r="I123" s="210"/>
      <c r="J123" s="210"/>
      <c r="L123" s="210"/>
      <c r="M123" s="210"/>
      <c r="N123" s="210"/>
      <c r="O123" s="210"/>
      <c r="P123" s="210"/>
      <c r="Q123" s="210"/>
      <c r="R123" s="210"/>
    </row>
    <row r="124" spans="1:18">
      <c r="A124" s="210"/>
      <c r="B124" s="210"/>
      <c r="C124" s="210"/>
      <c r="D124" s="210"/>
      <c r="E124" s="210"/>
      <c r="F124" s="210"/>
      <c r="G124" s="210"/>
      <c r="H124" s="210"/>
      <c r="I124" s="210"/>
      <c r="J124" s="210"/>
      <c r="L124" s="210"/>
      <c r="M124" s="210"/>
      <c r="N124" s="210"/>
      <c r="O124" s="210"/>
      <c r="P124" s="210"/>
      <c r="Q124" s="210"/>
      <c r="R124" s="210"/>
    </row>
    <row r="125" spans="1:18">
      <c r="A125" s="210"/>
      <c r="B125" s="210"/>
      <c r="C125" s="210"/>
      <c r="D125" s="210"/>
      <c r="E125" s="210"/>
      <c r="F125" s="210"/>
      <c r="G125" s="210"/>
      <c r="H125" s="210"/>
      <c r="I125" s="210"/>
      <c r="J125" s="210"/>
      <c r="L125" s="210"/>
      <c r="M125" s="210"/>
      <c r="N125" s="210"/>
      <c r="O125" s="210"/>
      <c r="P125" s="210"/>
      <c r="Q125" s="210"/>
      <c r="R125" s="210"/>
    </row>
    <row r="126" spans="1:18">
      <c r="A126" s="210"/>
      <c r="B126" s="210"/>
      <c r="C126" s="210"/>
      <c r="D126" s="210"/>
      <c r="E126" s="210"/>
      <c r="F126" s="210"/>
      <c r="G126" s="210"/>
      <c r="H126" s="210"/>
      <c r="I126" s="210"/>
      <c r="J126" s="210"/>
      <c r="L126" s="210"/>
      <c r="M126" s="210"/>
      <c r="N126" s="210"/>
      <c r="O126" s="210"/>
      <c r="P126" s="210"/>
      <c r="Q126" s="210"/>
      <c r="R126" s="210"/>
    </row>
    <row r="127" spans="1:18">
      <c r="A127" s="210"/>
      <c r="B127" s="210"/>
      <c r="C127" s="210"/>
      <c r="D127" s="210"/>
      <c r="E127" s="210"/>
      <c r="F127" s="210"/>
      <c r="G127" s="210"/>
      <c r="H127" s="210"/>
      <c r="I127" s="210"/>
      <c r="J127" s="210"/>
      <c r="L127" s="210"/>
      <c r="M127" s="210"/>
      <c r="N127" s="210"/>
      <c r="O127" s="210"/>
      <c r="P127" s="210"/>
      <c r="Q127" s="210"/>
      <c r="R127" s="210"/>
    </row>
    <row r="128" spans="1:18">
      <c r="A128" s="210"/>
      <c r="B128" s="210"/>
      <c r="C128" s="210"/>
      <c r="D128" s="210"/>
      <c r="E128" s="210"/>
      <c r="F128" s="210"/>
      <c r="G128" s="210"/>
      <c r="H128" s="210"/>
      <c r="I128" s="210"/>
      <c r="J128" s="210"/>
      <c r="L128" s="210"/>
      <c r="M128" s="210"/>
      <c r="N128" s="210"/>
      <c r="O128" s="210"/>
      <c r="P128" s="210"/>
      <c r="Q128" s="210"/>
      <c r="R128" s="210"/>
    </row>
    <row r="129" spans="1:18">
      <c r="A129" s="210"/>
      <c r="B129" s="210"/>
      <c r="C129" s="210"/>
      <c r="D129" s="210"/>
      <c r="E129" s="210"/>
      <c r="F129" s="210"/>
      <c r="G129" s="210"/>
      <c r="H129" s="210"/>
      <c r="I129" s="210"/>
      <c r="J129" s="210"/>
      <c r="L129" s="210"/>
      <c r="M129" s="210"/>
      <c r="N129" s="210"/>
      <c r="O129" s="210"/>
      <c r="P129" s="210"/>
      <c r="Q129" s="210"/>
      <c r="R129" s="210"/>
    </row>
    <row r="130" spans="1:18">
      <c r="A130" s="210"/>
      <c r="B130" s="210"/>
      <c r="C130" s="210"/>
      <c r="D130" s="210"/>
      <c r="E130" s="210"/>
      <c r="F130" s="210"/>
      <c r="G130" s="210"/>
      <c r="H130" s="210"/>
      <c r="I130" s="210"/>
      <c r="J130" s="210"/>
      <c r="L130" s="210"/>
      <c r="M130" s="210"/>
      <c r="N130" s="210"/>
      <c r="O130" s="210"/>
      <c r="P130" s="210"/>
      <c r="Q130" s="210"/>
      <c r="R130" s="210"/>
    </row>
    <row r="131" spans="1:18">
      <c r="A131" s="210"/>
      <c r="B131" s="210"/>
      <c r="C131" s="210"/>
      <c r="D131" s="210"/>
      <c r="E131" s="210"/>
      <c r="F131" s="210"/>
      <c r="G131" s="210"/>
      <c r="H131" s="210"/>
      <c r="I131" s="210"/>
      <c r="J131" s="210"/>
      <c r="L131" s="210"/>
      <c r="M131" s="210"/>
      <c r="N131" s="210"/>
      <c r="O131" s="210"/>
      <c r="P131" s="210"/>
      <c r="Q131" s="210"/>
      <c r="R131" s="210"/>
    </row>
    <row r="132" spans="1:18">
      <c r="A132" s="210"/>
      <c r="B132" s="210"/>
      <c r="C132" s="210"/>
      <c r="D132" s="210"/>
      <c r="E132" s="210"/>
      <c r="F132" s="210"/>
      <c r="G132" s="210"/>
      <c r="H132" s="210"/>
      <c r="I132" s="210"/>
      <c r="J132" s="210"/>
      <c r="L132" s="210"/>
      <c r="M132" s="210"/>
      <c r="N132" s="210"/>
      <c r="O132" s="210"/>
      <c r="P132" s="210"/>
      <c r="Q132" s="210"/>
      <c r="R132" s="210"/>
    </row>
    <row r="133" spans="1:18">
      <c r="A133" s="210"/>
      <c r="B133" s="210"/>
      <c r="C133" s="210"/>
      <c r="D133" s="210"/>
      <c r="E133" s="210"/>
      <c r="F133" s="210"/>
      <c r="G133" s="210"/>
      <c r="H133" s="210"/>
      <c r="I133" s="210"/>
      <c r="J133" s="210"/>
      <c r="L133" s="210"/>
      <c r="M133" s="210"/>
      <c r="N133" s="210"/>
      <c r="O133" s="210"/>
      <c r="P133" s="210"/>
      <c r="Q133" s="210"/>
      <c r="R133" s="210"/>
    </row>
    <row r="134" spans="1:18">
      <c r="A134" s="210"/>
      <c r="B134" s="210"/>
      <c r="C134" s="210"/>
      <c r="D134" s="210"/>
      <c r="E134" s="210"/>
      <c r="F134" s="210"/>
      <c r="G134" s="210"/>
      <c r="H134" s="210"/>
      <c r="I134" s="210"/>
      <c r="J134" s="210"/>
      <c r="L134" s="210"/>
      <c r="M134" s="210"/>
      <c r="N134" s="210"/>
      <c r="O134" s="210"/>
      <c r="P134" s="210"/>
      <c r="Q134" s="210"/>
      <c r="R134" s="210"/>
    </row>
    <row r="135" spans="1:18">
      <c r="A135" s="210"/>
      <c r="B135" s="210"/>
      <c r="C135" s="210"/>
      <c r="D135" s="210"/>
      <c r="E135" s="210"/>
      <c r="F135" s="210"/>
      <c r="G135" s="210"/>
      <c r="H135" s="210"/>
      <c r="I135" s="210"/>
      <c r="J135" s="210"/>
      <c r="L135" s="210"/>
      <c r="M135" s="210"/>
      <c r="N135" s="210"/>
      <c r="O135" s="210"/>
      <c r="P135" s="210"/>
      <c r="Q135" s="210"/>
      <c r="R135" s="210"/>
    </row>
    <row r="136" spans="1:18">
      <c r="A136" s="210"/>
      <c r="B136" s="210"/>
      <c r="C136" s="210"/>
      <c r="D136" s="210"/>
      <c r="E136" s="210"/>
      <c r="F136" s="210"/>
      <c r="G136" s="210"/>
      <c r="H136" s="210"/>
      <c r="I136" s="210"/>
      <c r="J136" s="210"/>
      <c r="L136" s="210"/>
      <c r="M136" s="210"/>
      <c r="N136" s="210"/>
      <c r="O136" s="210"/>
      <c r="P136" s="210"/>
      <c r="Q136" s="210"/>
      <c r="R136" s="210"/>
    </row>
    <row r="137" spans="1:18">
      <c r="A137" s="210"/>
      <c r="B137" s="210"/>
      <c r="C137" s="210"/>
      <c r="D137" s="210"/>
      <c r="E137" s="210"/>
      <c r="F137" s="210"/>
      <c r="G137" s="210"/>
      <c r="H137" s="210"/>
      <c r="I137" s="210"/>
      <c r="J137" s="210"/>
      <c r="L137" s="210"/>
      <c r="M137" s="210"/>
      <c r="N137" s="210"/>
      <c r="O137" s="210"/>
      <c r="P137" s="210"/>
      <c r="Q137" s="210"/>
      <c r="R137" s="210"/>
    </row>
    <row r="138" spans="1:18">
      <c r="A138" s="210"/>
      <c r="B138" s="210"/>
      <c r="C138" s="210"/>
      <c r="D138" s="210"/>
      <c r="E138" s="210"/>
      <c r="F138" s="210"/>
      <c r="G138" s="210"/>
      <c r="H138" s="210"/>
      <c r="I138" s="210"/>
      <c r="J138" s="210"/>
      <c r="L138" s="210"/>
      <c r="M138" s="210"/>
      <c r="N138" s="210"/>
      <c r="O138" s="210"/>
      <c r="P138" s="210"/>
      <c r="Q138" s="210"/>
      <c r="R138" s="210"/>
    </row>
    <row r="139" spans="1:18">
      <c r="A139" s="210"/>
      <c r="B139" s="210"/>
      <c r="C139" s="210"/>
      <c r="D139" s="210"/>
      <c r="E139" s="210"/>
      <c r="F139" s="210"/>
      <c r="G139" s="210"/>
      <c r="H139" s="210"/>
      <c r="I139" s="210"/>
      <c r="J139" s="210"/>
      <c r="L139" s="210"/>
      <c r="M139" s="210"/>
      <c r="N139" s="210"/>
      <c r="O139" s="210"/>
      <c r="P139" s="210"/>
      <c r="Q139" s="210"/>
      <c r="R139" s="210"/>
    </row>
    <row r="140" spans="1:18">
      <c r="A140" s="210"/>
      <c r="B140" s="210"/>
      <c r="C140" s="210"/>
      <c r="D140" s="210"/>
      <c r="E140" s="210"/>
      <c r="F140" s="210"/>
      <c r="G140" s="210"/>
      <c r="H140" s="210"/>
      <c r="I140" s="210"/>
      <c r="J140" s="210"/>
      <c r="L140" s="210"/>
      <c r="M140" s="210"/>
      <c r="N140" s="210"/>
      <c r="O140" s="210"/>
      <c r="P140" s="210"/>
      <c r="Q140" s="210"/>
      <c r="R140" s="210"/>
    </row>
    <row r="141" spans="1:18">
      <c r="A141" s="210"/>
      <c r="B141" s="210"/>
      <c r="C141" s="210"/>
      <c r="D141" s="210"/>
      <c r="E141" s="210"/>
      <c r="F141" s="210"/>
      <c r="G141" s="210"/>
      <c r="H141" s="210"/>
      <c r="I141" s="210"/>
      <c r="J141" s="210"/>
      <c r="L141" s="210"/>
      <c r="M141" s="210"/>
      <c r="N141" s="210"/>
      <c r="O141" s="210"/>
      <c r="P141" s="210"/>
      <c r="Q141" s="210"/>
      <c r="R141" s="210"/>
    </row>
    <row r="142" spans="1:18">
      <c r="A142" s="210"/>
      <c r="B142" s="210"/>
      <c r="C142" s="210"/>
      <c r="D142" s="210"/>
      <c r="E142" s="210"/>
      <c r="F142" s="210"/>
      <c r="G142" s="210"/>
      <c r="H142" s="210"/>
      <c r="I142" s="210"/>
      <c r="J142" s="210"/>
      <c r="L142" s="210"/>
      <c r="M142" s="210"/>
      <c r="N142" s="210"/>
      <c r="O142" s="210"/>
      <c r="P142" s="210"/>
      <c r="Q142" s="210"/>
      <c r="R142" s="210"/>
    </row>
    <row r="143" spans="1:18">
      <c r="A143" s="210"/>
      <c r="B143" s="210"/>
      <c r="C143" s="210"/>
      <c r="D143" s="210"/>
      <c r="E143" s="210"/>
      <c r="F143" s="210"/>
      <c r="G143" s="210"/>
      <c r="H143" s="210"/>
      <c r="I143" s="210"/>
      <c r="J143" s="210"/>
      <c r="L143" s="210"/>
      <c r="M143" s="210"/>
      <c r="N143" s="210"/>
      <c r="O143" s="210"/>
      <c r="P143" s="210"/>
      <c r="Q143" s="210"/>
      <c r="R143" s="210"/>
    </row>
    <row r="144" spans="1:18">
      <c r="A144" s="210"/>
      <c r="B144" s="210"/>
      <c r="C144" s="210"/>
      <c r="D144" s="210"/>
      <c r="E144" s="210"/>
      <c r="F144" s="210"/>
      <c r="G144" s="210"/>
      <c r="H144" s="210"/>
      <c r="I144" s="210"/>
      <c r="J144" s="210"/>
      <c r="L144" s="210"/>
      <c r="M144" s="210"/>
      <c r="N144" s="210"/>
      <c r="O144" s="210"/>
      <c r="P144" s="210"/>
      <c r="Q144" s="210"/>
      <c r="R144" s="210"/>
    </row>
    <row r="145" spans="1:18">
      <c r="A145" s="210"/>
      <c r="B145" s="210"/>
      <c r="C145" s="210"/>
      <c r="D145" s="210"/>
      <c r="E145" s="210"/>
      <c r="F145" s="210"/>
      <c r="G145" s="210"/>
      <c r="H145" s="210"/>
      <c r="I145" s="210"/>
      <c r="J145" s="210"/>
      <c r="L145" s="210"/>
      <c r="M145" s="210"/>
      <c r="N145" s="210"/>
      <c r="O145" s="210"/>
      <c r="P145" s="210"/>
      <c r="Q145" s="210"/>
      <c r="R145" s="210"/>
    </row>
    <row r="146" spans="1:18">
      <c r="A146" s="210"/>
      <c r="B146" s="210"/>
      <c r="C146" s="210"/>
      <c r="D146" s="210"/>
      <c r="E146" s="210"/>
      <c r="F146" s="210"/>
      <c r="G146" s="210"/>
      <c r="H146" s="210"/>
      <c r="I146" s="210"/>
      <c r="J146" s="210"/>
      <c r="L146" s="210"/>
      <c r="M146" s="210"/>
      <c r="N146" s="210"/>
      <c r="O146" s="210"/>
      <c r="P146" s="210"/>
      <c r="Q146" s="210"/>
      <c r="R146" s="210"/>
    </row>
    <row r="147" spans="1:18">
      <c r="A147" s="210"/>
      <c r="B147" s="210"/>
      <c r="C147" s="210"/>
      <c r="D147" s="210"/>
      <c r="E147" s="210"/>
      <c r="F147" s="210"/>
      <c r="G147" s="210"/>
      <c r="H147" s="210"/>
      <c r="I147" s="210"/>
      <c r="J147" s="210"/>
      <c r="L147" s="210"/>
      <c r="M147" s="210"/>
      <c r="N147" s="210"/>
      <c r="O147" s="210"/>
      <c r="P147" s="210"/>
      <c r="Q147" s="210"/>
      <c r="R147" s="210"/>
    </row>
    <row r="148" spans="1:18">
      <c r="A148" s="210"/>
      <c r="B148" s="210"/>
      <c r="C148" s="210"/>
      <c r="D148" s="210"/>
      <c r="E148" s="210"/>
      <c r="F148" s="210"/>
      <c r="G148" s="210"/>
      <c r="H148" s="210"/>
      <c r="I148" s="210"/>
      <c r="J148" s="210"/>
      <c r="L148" s="210"/>
      <c r="M148" s="210"/>
      <c r="N148" s="210"/>
      <c r="O148" s="210"/>
      <c r="P148" s="210"/>
      <c r="Q148" s="210"/>
      <c r="R148" s="210"/>
    </row>
    <row r="149" spans="1:18">
      <c r="A149" s="210"/>
      <c r="B149" s="210"/>
      <c r="C149" s="210"/>
      <c r="D149" s="210"/>
      <c r="E149" s="210"/>
      <c r="F149" s="210"/>
      <c r="G149" s="210"/>
      <c r="H149" s="210"/>
      <c r="I149" s="210"/>
      <c r="J149" s="210"/>
      <c r="L149" s="210"/>
      <c r="M149" s="210"/>
      <c r="N149" s="210"/>
      <c r="O149" s="210"/>
      <c r="P149" s="210"/>
      <c r="Q149" s="210"/>
      <c r="R149" s="210"/>
    </row>
    <row r="150" spans="1:18">
      <c r="A150" s="210"/>
      <c r="B150" s="210"/>
      <c r="C150" s="210"/>
      <c r="D150" s="210"/>
      <c r="E150" s="210"/>
      <c r="F150" s="210"/>
      <c r="G150" s="210"/>
      <c r="H150" s="210"/>
      <c r="I150" s="210"/>
      <c r="J150" s="210"/>
      <c r="L150" s="210"/>
      <c r="M150" s="210"/>
      <c r="N150" s="210"/>
      <c r="O150" s="210"/>
      <c r="P150" s="210"/>
      <c r="Q150" s="210"/>
      <c r="R150" s="210"/>
    </row>
    <row r="151" spans="1:18">
      <c r="A151" s="210"/>
      <c r="B151" s="210"/>
      <c r="C151" s="210"/>
      <c r="D151" s="210"/>
      <c r="E151" s="210"/>
      <c r="F151" s="210"/>
      <c r="G151" s="210"/>
      <c r="H151" s="210"/>
      <c r="I151" s="210"/>
      <c r="J151" s="210"/>
      <c r="L151" s="210"/>
      <c r="M151" s="210"/>
      <c r="N151" s="210"/>
      <c r="O151" s="210"/>
      <c r="P151" s="210"/>
      <c r="Q151" s="210"/>
      <c r="R151" s="210"/>
    </row>
    <row r="152" spans="1:18">
      <c r="A152" s="210"/>
      <c r="B152" s="210"/>
      <c r="C152" s="210"/>
      <c r="D152" s="210"/>
      <c r="E152" s="210"/>
      <c r="F152" s="210"/>
      <c r="G152" s="210"/>
      <c r="H152" s="210"/>
      <c r="I152" s="210"/>
      <c r="J152" s="210"/>
      <c r="L152" s="210"/>
      <c r="M152" s="210"/>
      <c r="N152" s="210"/>
      <c r="O152" s="210"/>
      <c r="P152" s="210"/>
      <c r="Q152" s="210"/>
      <c r="R152" s="210"/>
    </row>
    <row r="153" spans="1:18">
      <c r="A153" s="210"/>
      <c r="B153" s="210"/>
      <c r="C153" s="210"/>
      <c r="D153" s="210"/>
      <c r="E153" s="210"/>
      <c r="F153" s="210"/>
      <c r="G153" s="210"/>
      <c r="H153" s="210"/>
      <c r="I153" s="210"/>
      <c r="J153" s="210"/>
      <c r="L153" s="210"/>
      <c r="M153" s="210"/>
      <c r="N153" s="210"/>
      <c r="O153" s="210"/>
      <c r="P153" s="210"/>
      <c r="Q153" s="210"/>
      <c r="R153" s="210"/>
    </row>
    <row r="154" spans="1:18">
      <c r="A154" s="210"/>
      <c r="B154" s="210"/>
      <c r="C154" s="210"/>
      <c r="D154" s="210"/>
      <c r="E154" s="210"/>
      <c r="F154" s="210"/>
      <c r="G154" s="210"/>
      <c r="H154" s="210"/>
      <c r="I154" s="210"/>
      <c r="J154" s="210"/>
      <c r="L154" s="210"/>
      <c r="M154" s="210"/>
      <c r="N154" s="210"/>
      <c r="O154" s="210"/>
      <c r="P154" s="210"/>
      <c r="Q154" s="210"/>
      <c r="R154" s="210"/>
    </row>
    <row r="155" spans="1:18">
      <c r="A155" s="210"/>
      <c r="B155" s="210"/>
      <c r="C155" s="210"/>
      <c r="D155" s="210"/>
      <c r="E155" s="210"/>
      <c r="F155" s="210"/>
      <c r="G155" s="210"/>
      <c r="H155" s="210"/>
      <c r="I155" s="210"/>
      <c r="J155" s="210"/>
      <c r="L155" s="210"/>
      <c r="M155" s="210"/>
      <c r="N155" s="210"/>
      <c r="O155" s="210"/>
      <c r="P155" s="210"/>
      <c r="Q155" s="210"/>
      <c r="R155" s="210"/>
    </row>
    <row r="156" spans="1:18">
      <c r="A156" s="210"/>
      <c r="B156" s="210"/>
      <c r="C156" s="210"/>
      <c r="D156" s="210"/>
      <c r="E156" s="210"/>
      <c r="F156" s="210"/>
      <c r="G156" s="210"/>
      <c r="H156" s="210"/>
      <c r="I156" s="210"/>
      <c r="J156" s="210"/>
      <c r="L156" s="210"/>
      <c r="M156" s="210"/>
      <c r="N156" s="210"/>
      <c r="O156" s="210"/>
      <c r="P156" s="210"/>
      <c r="Q156" s="210"/>
      <c r="R156" s="210"/>
    </row>
    <row r="157" spans="1:18">
      <c r="A157" s="210"/>
      <c r="B157" s="210"/>
      <c r="C157" s="210"/>
      <c r="D157" s="210"/>
      <c r="E157" s="210"/>
      <c r="F157" s="210"/>
      <c r="G157" s="210"/>
      <c r="H157" s="210"/>
      <c r="I157" s="210"/>
      <c r="J157" s="210"/>
      <c r="L157" s="210"/>
      <c r="M157" s="210"/>
      <c r="N157" s="210"/>
      <c r="O157" s="210"/>
      <c r="P157" s="210"/>
      <c r="Q157" s="210"/>
      <c r="R157" s="210"/>
    </row>
    <row r="158" spans="1:18">
      <c r="A158" s="210"/>
      <c r="B158" s="210"/>
      <c r="C158" s="210"/>
      <c r="D158" s="210"/>
      <c r="E158" s="210"/>
      <c r="F158" s="210"/>
      <c r="G158" s="210"/>
      <c r="H158" s="210"/>
      <c r="I158" s="210"/>
      <c r="J158" s="210"/>
      <c r="L158" s="210"/>
      <c r="M158" s="210"/>
      <c r="N158" s="210"/>
      <c r="O158" s="210"/>
      <c r="P158" s="210"/>
      <c r="Q158" s="210"/>
      <c r="R158" s="210"/>
    </row>
    <row r="159" spans="1:18">
      <c r="A159" s="210"/>
      <c r="B159" s="210"/>
      <c r="C159" s="210"/>
      <c r="D159" s="210"/>
      <c r="E159" s="210"/>
      <c r="F159" s="210"/>
      <c r="G159" s="210"/>
      <c r="H159" s="210"/>
      <c r="I159" s="210"/>
      <c r="J159" s="210"/>
      <c r="L159" s="210"/>
      <c r="M159" s="210"/>
      <c r="N159" s="210"/>
      <c r="O159" s="210"/>
      <c r="P159" s="210"/>
      <c r="Q159" s="210"/>
      <c r="R159" s="210"/>
    </row>
    <row r="160" spans="1:18">
      <c r="A160" s="210"/>
      <c r="B160" s="210"/>
      <c r="C160" s="210"/>
      <c r="D160" s="210"/>
      <c r="E160" s="210"/>
      <c r="F160" s="210"/>
      <c r="G160" s="210"/>
      <c r="H160" s="210"/>
      <c r="I160" s="210"/>
      <c r="J160" s="210"/>
      <c r="L160" s="210"/>
      <c r="M160" s="210"/>
      <c r="N160" s="210"/>
      <c r="O160" s="210"/>
      <c r="P160" s="210"/>
      <c r="Q160" s="210"/>
      <c r="R160" s="210"/>
    </row>
    <row r="161" spans="1:18">
      <c r="A161" s="210"/>
      <c r="B161" s="210"/>
      <c r="C161" s="210"/>
      <c r="D161" s="210"/>
      <c r="E161" s="210"/>
      <c r="F161" s="210"/>
      <c r="G161" s="210"/>
      <c r="H161" s="210"/>
      <c r="I161" s="210"/>
      <c r="J161" s="210"/>
      <c r="L161" s="210"/>
      <c r="M161" s="210"/>
      <c r="N161" s="210"/>
      <c r="O161" s="210"/>
      <c r="P161" s="210"/>
      <c r="Q161" s="210"/>
      <c r="R161" s="210"/>
    </row>
    <row r="162" spans="1:18">
      <c r="A162" s="210"/>
      <c r="B162" s="210"/>
      <c r="C162" s="210"/>
      <c r="D162" s="210"/>
      <c r="E162" s="210"/>
      <c r="F162" s="210"/>
      <c r="G162" s="210"/>
      <c r="H162" s="210"/>
      <c r="I162" s="210"/>
      <c r="J162" s="210"/>
      <c r="L162" s="210"/>
      <c r="M162" s="210"/>
      <c r="N162" s="210"/>
      <c r="O162" s="210"/>
      <c r="P162" s="210"/>
      <c r="Q162" s="210"/>
      <c r="R162" s="210"/>
    </row>
    <row r="163" spans="1:18">
      <c r="A163" s="210"/>
      <c r="B163" s="210"/>
      <c r="C163" s="210"/>
      <c r="D163" s="210"/>
      <c r="E163" s="210"/>
      <c r="F163" s="210"/>
      <c r="G163" s="210"/>
      <c r="H163" s="210"/>
      <c r="I163" s="210"/>
      <c r="J163" s="210"/>
      <c r="L163" s="210"/>
      <c r="M163" s="210"/>
      <c r="N163" s="210"/>
      <c r="O163" s="210"/>
      <c r="P163" s="210"/>
      <c r="Q163" s="210"/>
      <c r="R163" s="210"/>
    </row>
    <row r="164" spans="1:18">
      <c r="A164" s="210"/>
      <c r="B164" s="210"/>
      <c r="C164" s="210"/>
      <c r="D164" s="210"/>
      <c r="E164" s="210"/>
      <c r="F164" s="210"/>
      <c r="G164" s="210"/>
      <c r="H164" s="210"/>
      <c r="I164" s="210"/>
      <c r="J164" s="210"/>
      <c r="L164" s="210"/>
      <c r="M164" s="210"/>
      <c r="N164" s="210"/>
      <c r="O164" s="210"/>
      <c r="P164" s="210"/>
      <c r="Q164" s="210"/>
      <c r="R164" s="210"/>
    </row>
    <row r="165" spans="1:18">
      <c r="A165" s="210"/>
      <c r="B165" s="210"/>
      <c r="C165" s="210"/>
      <c r="D165" s="210"/>
      <c r="E165" s="210"/>
      <c r="F165" s="210"/>
      <c r="G165" s="210"/>
      <c r="H165" s="210"/>
      <c r="I165" s="210"/>
      <c r="J165" s="210"/>
      <c r="L165" s="210"/>
      <c r="M165" s="210"/>
      <c r="N165" s="210"/>
      <c r="O165" s="210"/>
      <c r="P165" s="210"/>
      <c r="Q165" s="210"/>
      <c r="R165" s="210"/>
    </row>
    <row r="166" spans="1:18">
      <c r="A166" s="210"/>
      <c r="B166" s="210"/>
      <c r="C166" s="210"/>
      <c r="D166" s="210"/>
      <c r="E166" s="210"/>
      <c r="F166" s="210"/>
      <c r="G166" s="210"/>
      <c r="H166" s="210"/>
      <c r="I166" s="210"/>
      <c r="J166" s="210"/>
      <c r="L166" s="210"/>
      <c r="M166" s="210"/>
      <c r="N166" s="210"/>
      <c r="O166" s="210"/>
      <c r="P166" s="210"/>
      <c r="Q166" s="210"/>
      <c r="R166" s="210"/>
    </row>
    <row r="167" spans="1:18">
      <c r="A167" s="210"/>
      <c r="B167" s="210"/>
      <c r="C167" s="210"/>
      <c r="D167" s="210"/>
      <c r="E167" s="210"/>
      <c r="F167" s="210"/>
      <c r="G167" s="210"/>
      <c r="H167" s="210"/>
      <c r="I167" s="210"/>
      <c r="J167" s="210"/>
      <c r="L167" s="210"/>
      <c r="M167" s="210"/>
      <c r="N167" s="210"/>
      <c r="O167" s="210"/>
      <c r="P167" s="210"/>
      <c r="Q167" s="210"/>
      <c r="R167" s="210"/>
    </row>
    <row r="168" spans="1:18">
      <c r="A168" s="210"/>
      <c r="B168" s="210"/>
      <c r="C168" s="210"/>
      <c r="D168" s="210"/>
      <c r="E168" s="210"/>
      <c r="F168" s="210"/>
      <c r="G168" s="210"/>
      <c r="H168" s="210"/>
      <c r="I168" s="210"/>
      <c r="J168" s="210"/>
      <c r="L168" s="210"/>
      <c r="M168" s="210"/>
      <c r="N168" s="210"/>
      <c r="O168" s="210"/>
      <c r="P168" s="210"/>
      <c r="Q168" s="210"/>
      <c r="R168" s="210"/>
    </row>
    <row r="169" spans="1:18">
      <c r="A169" s="210"/>
      <c r="B169" s="210"/>
      <c r="C169" s="210"/>
      <c r="D169" s="210"/>
      <c r="E169" s="210"/>
      <c r="F169" s="210"/>
      <c r="G169" s="210"/>
      <c r="H169" s="210"/>
      <c r="I169" s="210"/>
      <c r="J169" s="210"/>
      <c r="L169" s="210"/>
      <c r="M169" s="210"/>
      <c r="N169" s="210"/>
      <c r="O169" s="210"/>
      <c r="P169" s="210"/>
      <c r="Q169" s="210"/>
      <c r="R169" s="210"/>
    </row>
    <row r="170" spans="1:18">
      <c r="A170" s="210"/>
      <c r="B170" s="210"/>
      <c r="C170" s="210"/>
      <c r="D170" s="210"/>
      <c r="E170" s="210"/>
      <c r="F170" s="210"/>
      <c r="G170" s="210"/>
      <c r="H170" s="210"/>
      <c r="I170" s="210"/>
      <c r="J170" s="210"/>
      <c r="L170" s="210"/>
      <c r="M170" s="210"/>
      <c r="N170" s="210"/>
      <c r="O170" s="210"/>
      <c r="P170" s="210"/>
      <c r="Q170" s="210"/>
      <c r="R170" s="210"/>
    </row>
    <row r="171" spans="1:18">
      <c r="A171" s="210"/>
      <c r="B171" s="210"/>
      <c r="C171" s="210"/>
      <c r="D171" s="210"/>
      <c r="E171" s="210"/>
      <c r="F171" s="210"/>
      <c r="G171" s="210"/>
      <c r="H171" s="210"/>
      <c r="I171" s="210"/>
      <c r="J171" s="210"/>
      <c r="L171" s="210"/>
      <c r="M171" s="210"/>
      <c r="N171" s="210"/>
      <c r="O171" s="210"/>
      <c r="P171" s="210"/>
      <c r="Q171" s="210"/>
      <c r="R171" s="210"/>
    </row>
    <row r="172" spans="1:18">
      <c r="A172" s="210"/>
      <c r="B172" s="210"/>
      <c r="C172" s="210"/>
      <c r="D172" s="210"/>
      <c r="E172" s="210"/>
      <c r="F172" s="210"/>
      <c r="G172" s="210"/>
      <c r="H172" s="210"/>
      <c r="I172" s="210"/>
      <c r="J172" s="210"/>
      <c r="L172" s="210"/>
      <c r="M172" s="210"/>
      <c r="N172" s="210"/>
      <c r="O172" s="210"/>
      <c r="P172" s="210"/>
      <c r="Q172" s="210"/>
      <c r="R172" s="210"/>
    </row>
    <row r="173" spans="1:18">
      <c r="A173" s="210"/>
      <c r="B173" s="210"/>
      <c r="C173" s="210"/>
      <c r="D173" s="210"/>
      <c r="E173" s="210"/>
      <c r="F173" s="210"/>
      <c r="G173" s="210"/>
      <c r="H173" s="210"/>
      <c r="I173" s="210"/>
      <c r="J173" s="210"/>
      <c r="L173" s="210"/>
      <c r="M173" s="210"/>
      <c r="N173" s="210"/>
      <c r="O173" s="210"/>
      <c r="P173" s="210"/>
      <c r="Q173" s="210"/>
      <c r="R173" s="210"/>
    </row>
    <row r="174" spans="1:18">
      <c r="A174" s="210"/>
      <c r="B174" s="210"/>
      <c r="C174" s="210"/>
      <c r="D174" s="210"/>
      <c r="E174" s="210"/>
      <c r="F174" s="210"/>
      <c r="G174" s="210"/>
      <c r="H174" s="210"/>
      <c r="I174" s="210"/>
      <c r="J174" s="210"/>
      <c r="L174" s="210"/>
      <c r="M174" s="210"/>
      <c r="N174" s="210"/>
      <c r="O174" s="210"/>
      <c r="P174" s="210"/>
      <c r="Q174" s="210"/>
      <c r="R174" s="210"/>
    </row>
    <row r="175" spans="1:18">
      <c r="A175" s="210"/>
      <c r="B175" s="210"/>
      <c r="C175" s="210"/>
      <c r="D175" s="210"/>
      <c r="E175" s="210"/>
      <c r="F175" s="210"/>
      <c r="G175" s="210"/>
      <c r="H175" s="210"/>
      <c r="I175" s="210"/>
      <c r="J175" s="210"/>
      <c r="L175" s="210"/>
      <c r="M175" s="210"/>
      <c r="N175" s="210"/>
      <c r="O175" s="210"/>
      <c r="P175" s="210"/>
      <c r="Q175" s="210"/>
      <c r="R175" s="210"/>
    </row>
    <row r="176" spans="1:18">
      <c r="A176" s="210"/>
      <c r="B176" s="210"/>
      <c r="C176" s="210"/>
      <c r="D176" s="210"/>
      <c r="E176" s="210"/>
      <c r="F176" s="210"/>
      <c r="G176" s="210"/>
      <c r="H176" s="210"/>
      <c r="I176" s="210"/>
      <c r="J176" s="210"/>
      <c r="L176" s="210"/>
      <c r="M176" s="210"/>
      <c r="N176" s="210"/>
      <c r="O176" s="210"/>
      <c r="P176" s="210"/>
      <c r="Q176" s="210"/>
      <c r="R176" s="210"/>
    </row>
    <row r="177" spans="1:18">
      <c r="A177" s="210"/>
      <c r="B177" s="210"/>
      <c r="C177" s="210"/>
      <c r="D177" s="210"/>
      <c r="E177" s="210"/>
      <c r="F177" s="210"/>
      <c r="G177" s="210"/>
      <c r="H177" s="210"/>
      <c r="I177" s="210"/>
      <c r="J177" s="210"/>
      <c r="L177" s="210"/>
      <c r="M177" s="210"/>
      <c r="N177" s="210"/>
      <c r="O177" s="210"/>
      <c r="P177" s="210"/>
      <c r="Q177" s="210"/>
      <c r="R177" s="210"/>
    </row>
    <row r="178" spans="1:18">
      <c r="A178" s="210"/>
      <c r="B178" s="210"/>
      <c r="C178" s="210"/>
      <c r="D178" s="210"/>
      <c r="E178" s="210"/>
      <c r="F178" s="210"/>
      <c r="G178" s="210"/>
      <c r="H178" s="210"/>
      <c r="I178" s="210"/>
      <c r="J178" s="210"/>
      <c r="L178" s="210"/>
      <c r="M178" s="210"/>
      <c r="N178" s="210"/>
      <c r="O178" s="210"/>
      <c r="P178" s="210"/>
      <c r="Q178" s="210"/>
      <c r="R178" s="210"/>
    </row>
    <row r="179" spans="1:18">
      <c r="A179" s="210"/>
      <c r="B179" s="210"/>
      <c r="C179" s="210"/>
      <c r="D179" s="210"/>
      <c r="E179" s="210"/>
      <c r="F179" s="210"/>
      <c r="G179" s="210"/>
      <c r="H179" s="210"/>
      <c r="I179" s="210"/>
      <c r="J179" s="210"/>
      <c r="L179" s="210"/>
      <c r="M179" s="210"/>
      <c r="N179" s="210"/>
      <c r="O179" s="210"/>
      <c r="P179" s="210"/>
      <c r="Q179" s="210"/>
      <c r="R179" s="210"/>
    </row>
    <row r="180" spans="1:18">
      <c r="A180" s="210"/>
      <c r="B180" s="210"/>
      <c r="C180" s="210"/>
      <c r="D180" s="210"/>
      <c r="E180" s="210"/>
      <c r="F180" s="210"/>
      <c r="G180" s="210"/>
      <c r="H180" s="210"/>
      <c r="I180" s="210"/>
      <c r="J180" s="210"/>
      <c r="L180" s="210"/>
      <c r="M180" s="210"/>
      <c r="N180" s="210"/>
      <c r="O180" s="210"/>
      <c r="P180" s="210"/>
      <c r="Q180" s="210"/>
      <c r="R180" s="210"/>
    </row>
    <row r="181" spans="1:18">
      <c r="A181" s="210"/>
      <c r="B181" s="210"/>
      <c r="C181" s="210"/>
      <c r="D181" s="210"/>
      <c r="E181" s="210"/>
      <c r="F181" s="210"/>
      <c r="G181" s="210"/>
      <c r="H181" s="210"/>
      <c r="I181" s="210"/>
      <c r="J181" s="210"/>
      <c r="L181" s="210"/>
      <c r="M181" s="210"/>
      <c r="N181" s="210"/>
      <c r="O181" s="210"/>
      <c r="P181" s="210"/>
      <c r="Q181" s="210"/>
      <c r="R181" s="210"/>
    </row>
    <row r="182" spans="1:18">
      <c r="A182" s="210"/>
      <c r="B182" s="210"/>
      <c r="C182" s="210"/>
      <c r="D182" s="210"/>
      <c r="E182" s="210"/>
      <c r="F182" s="210"/>
      <c r="G182" s="210"/>
      <c r="H182" s="210"/>
      <c r="I182" s="210"/>
      <c r="J182" s="210"/>
      <c r="L182" s="210"/>
      <c r="M182" s="210"/>
      <c r="N182" s="210"/>
      <c r="O182" s="210"/>
      <c r="P182" s="210"/>
      <c r="Q182" s="210"/>
      <c r="R182" s="210"/>
    </row>
    <row r="183" spans="1:18">
      <c r="A183" s="210"/>
      <c r="B183" s="210"/>
      <c r="C183" s="210"/>
      <c r="D183" s="210"/>
      <c r="E183" s="210"/>
      <c r="F183" s="210"/>
      <c r="G183" s="210"/>
      <c r="H183" s="210"/>
      <c r="I183" s="210"/>
      <c r="J183" s="210"/>
      <c r="L183" s="210"/>
      <c r="M183" s="210"/>
      <c r="N183" s="210"/>
      <c r="O183" s="210"/>
      <c r="P183" s="210"/>
      <c r="Q183" s="210"/>
      <c r="R183" s="210"/>
    </row>
    <row r="184" spans="1:18">
      <c r="A184" s="210"/>
      <c r="B184" s="210"/>
      <c r="C184" s="210"/>
      <c r="D184" s="210"/>
      <c r="E184" s="210"/>
      <c r="F184" s="210"/>
      <c r="G184" s="210"/>
      <c r="H184" s="210"/>
      <c r="I184" s="210"/>
      <c r="J184" s="210"/>
      <c r="L184" s="210"/>
      <c r="M184" s="210"/>
      <c r="N184" s="210"/>
      <c r="O184" s="210"/>
      <c r="P184" s="210"/>
      <c r="Q184" s="210"/>
      <c r="R184" s="210"/>
    </row>
    <row r="185" spans="1:18">
      <c r="A185" s="210"/>
      <c r="B185" s="210"/>
      <c r="C185" s="210"/>
      <c r="D185" s="210"/>
      <c r="E185" s="210"/>
      <c r="F185" s="210"/>
      <c r="G185" s="210"/>
      <c r="H185" s="210"/>
      <c r="I185" s="210"/>
      <c r="J185" s="210"/>
      <c r="L185" s="210"/>
      <c r="M185" s="210"/>
      <c r="N185" s="210"/>
      <c r="O185" s="210"/>
      <c r="P185" s="210"/>
      <c r="Q185" s="210"/>
      <c r="R185" s="210"/>
    </row>
    <row r="186" spans="1:18">
      <c r="A186" s="210"/>
      <c r="B186" s="210"/>
      <c r="C186" s="210"/>
      <c r="D186" s="210"/>
      <c r="E186" s="210"/>
      <c r="F186" s="210"/>
      <c r="G186" s="210"/>
      <c r="H186" s="210"/>
      <c r="I186" s="210"/>
      <c r="J186" s="210"/>
      <c r="L186" s="210"/>
      <c r="M186" s="210"/>
      <c r="N186" s="210"/>
      <c r="O186" s="210"/>
      <c r="P186" s="210"/>
      <c r="Q186" s="210"/>
      <c r="R186" s="210"/>
    </row>
    <row r="187" spans="1:18">
      <c r="A187" s="210"/>
      <c r="B187" s="210"/>
      <c r="C187" s="210"/>
      <c r="D187" s="210"/>
      <c r="E187" s="210"/>
      <c r="F187" s="210"/>
      <c r="G187" s="210"/>
      <c r="H187" s="210"/>
      <c r="I187" s="210"/>
      <c r="J187" s="210"/>
      <c r="L187" s="210"/>
      <c r="M187" s="210"/>
      <c r="N187" s="210"/>
      <c r="O187" s="210"/>
      <c r="P187" s="210"/>
      <c r="Q187" s="210"/>
      <c r="R187" s="210"/>
    </row>
    <row r="188" spans="1:18">
      <c r="A188" s="210"/>
      <c r="B188" s="210"/>
      <c r="C188" s="210"/>
      <c r="D188" s="210"/>
      <c r="E188" s="210"/>
      <c r="F188" s="210"/>
      <c r="G188" s="210"/>
      <c r="H188" s="210"/>
      <c r="I188" s="210"/>
      <c r="J188" s="210"/>
      <c r="L188" s="210"/>
      <c r="M188" s="210"/>
      <c r="N188" s="210"/>
      <c r="O188" s="210"/>
      <c r="P188" s="210"/>
      <c r="Q188" s="210"/>
      <c r="R188" s="210"/>
    </row>
    <row r="189" spans="1:18">
      <c r="A189" s="210"/>
      <c r="B189" s="210"/>
      <c r="C189" s="210"/>
      <c r="D189" s="210"/>
      <c r="E189" s="210"/>
      <c r="F189" s="210"/>
      <c r="G189" s="210"/>
      <c r="H189" s="210"/>
      <c r="I189" s="210"/>
      <c r="J189" s="210"/>
      <c r="L189" s="210"/>
      <c r="M189" s="210"/>
      <c r="N189" s="210"/>
      <c r="O189" s="210"/>
      <c r="P189" s="210"/>
      <c r="Q189" s="210"/>
      <c r="R189" s="210"/>
    </row>
    <row r="190" spans="1:18">
      <c r="A190" s="210"/>
      <c r="B190" s="210"/>
      <c r="C190" s="210"/>
      <c r="D190" s="210"/>
      <c r="E190" s="210"/>
      <c r="F190" s="210"/>
      <c r="G190" s="210"/>
      <c r="H190" s="210"/>
      <c r="I190" s="210"/>
      <c r="J190" s="210"/>
      <c r="L190" s="210"/>
      <c r="M190" s="210"/>
      <c r="N190" s="210"/>
      <c r="O190" s="210"/>
      <c r="P190" s="210"/>
      <c r="Q190" s="210"/>
      <c r="R190" s="210"/>
    </row>
    <row r="191" spans="1:18">
      <c r="A191" s="210"/>
      <c r="B191" s="210"/>
      <c r="C191" s="210"/>
      <c r="D191" s="210"/>
      <c r="E191" s="210"/>
      <c r="F191" s="210"/>
      <c r="G191" s="210"/>
      <c r="H191" s="210"/>
      <c r="I191" s="210"/>
      <c r="J191" s="210"/>
      <c r="L191" s="210"/>
      <c r="M191" s="210"/>
      <c r="N191" s="210"/>
      <c r="O191" s="210"/>
      <c r="P191" s="210"/>
      <c r="Q191" s="210"/>
      <c r="R191" s="210"/>
    </row>
    <row r="192" spans="1:18">
      <c r="A192" s="210"/>
      <c r="B192" s="210"/>
      <c r="C192" s="210"/>
      <c r="D192" s="210"/>
      <c r="E192" s="210"/>
      <c r="F192" s="210"/>
      <c r="G192" s="210"/>
      <c r="H192" s="210"/>
      <c r="I192" s="210"/>
      <c r="J192" s="210"/>
      <c r="L192" s="210"/>
      <c r="M192" s="210"/>
      <c r="N192" s="210"/>
      <c r="O192" s="210"/>
      <c r="P192" s="210"/>
      <c r="Q192" s="210"/>
      <c r="R192" s="210"/>
    </row>
    <row r="193" spans="1:18">
      <c r="A193" s="210"/>
      <c r="B193" s="210"/>
      <c r="C193" s="210"/>
      <c r="D193" s="210"/>
      <c r="E193" s="210"/>
      <c r="F193" s="210"/>
      <c r="G193" s="210"/>
      <c r="H193" s="210"/>
      <c r="I193" s="210"/>
      <c r="J193" s="210"/>
      <c r="L193" s="210"/>
      <c r="M193" s="210"/>
      <c r="N193" s="210"/>
      <c r="O193" s="210"/>
      <c r="P193" s="210"/>
      <c r="Q193" s="210"/>
      <c r="R193" s="210"/>
    </row>
    <row r="194" spans="1:18">
      <c r="A194" s="210"/>
      <c r="B194" s="210"/>
      <c r="C194" s="210"/>
      <c r="D194" s="210"/>
      <c r="E194" s="210"/>
      <c r="F194" s="210"/>
      <c r="G194" s="210"/>
      <c r="H194" s="210"/>
      <c r="I194" s="210"/>
      <c r="J194" s="210"/>
      <c r="L194" s="210"/>
      <c r="M194" s="210"/>
      <c r="N194" s="210"/>
      <c r="O194" s="210"/>
      <c r="P194" s="210"/>
      <c r="Q194" s="210"/>
      <c r="R194" s="210"/>
    </row>
    <row r="195" spans="1:18">
      <c r="A195" s="210"/>
      <c r="B195" s="210"/>
      <c r="C195" s="210"/>
      <c r="D195" s="210"/>
      <c r="E195" s="210"/>
      <c r="F195" s="210"/>
      <c r="G195" s="210"/>
      <c r="H195" s="210"/>
      <c r="I195" s="210"/>
      <c r="J195" s="210"/>
      <c r="L195" s="210"/>
      <c r="M195" s="210"/>
      <c r="N195" s="210"/>
      <c r="O195" s="210"/>
      <c r="P195" s="210"/>
      <c r="Q195" s="210"/>
      <c r="R195" s="210"/>
    </row>
    <row r="196" spans="1:18">
      <c r="A196" s="210"/>
      <c r="B196" s="210"/>
      <c r="C196" s="210"/>
      <c r="D196" s="210"/>
      <c r="E196" s="210"/>
      <c r="F196" s="210"/>
      <c r="G196" s="210"/>
      <c r="H196" s="210"/>
      <c r="I196" s="210"/>
      <c r="J196" s="210"/>
      <c r="L196" s="210"/>
      <c r="M196" s="210"/>
      <c r="N196" s="210"/>
      <c r="O196" s="210"/>
      <c r="P196" s="210"/>
      <c r="Q196" s="210"/>
      <c r="R196" s="210"/>
    </row>
    <row r="197" spans="1:18">
      <c r="A197" s="210"/>
      <c r="B197" s="210"/>
      <c r="C197" s="210"/>
      <c r="D197" s="210"/>
      <c r="E197" s="210"/>
      <c r="F197" s="210"/>
      <c r="G197" s="210"/>
      <c r="H197" s="210"/>
      <c r="I197" s="210"/>
      <c r="J197" s="210"/>
      <c r="L197" s="210"/>
      <c r="M197" s="210"/>
      <c r="N197" s="210"/>
      <c r="O197" s="210"/>
      <c r="P197" s="210"/>
      <c r="Q197" s="210"/>
      <c r="R197" s="210"/>
    </row>
    <row r="198" spans="1:18">
      <c r="A198" s="210"/>
      <c r="B198" s="210"/>
      <c r="C198" s="210"/>
      <c r="D198" s="210"/>
      <c r="E198" s="210"/>
      <c r="F198" s="210"/>
      <c r="G198" s="210"/>
      <c r="H198" s="210"/>
      <c r="I198" s="210"/>
      <c r="J198" s="210"/>
      <c r="L198" s="210"/>
      <c r="M198" s="210"/>
      <c r="N198" s="210"/>
      <c r="O198" s="210"/>
      <c r="P198" s="210"/>
      <c r="Q198" s="210"/>
      <c r="R198" s="210"/>
    </row>
    <row r="199" spans="1:18">
      <c r="A199" s="210"/>
      <c r="B199" s="210"/>
      <c r="C199" s="210"/>
      <c r="D199" s="210"/>
      <c r="E199" s="210"/>
      <c r="F199" s="210"/>
      <c r="G199" s="210"/>
      <c r="H199" s="210"/>
      <c r="I199" s="210"/>
      <c r="J199" s="210"/>
      <c r="L199" s="210"/>
      <c r="M199" s="210"/>
      <c r="N199" s="210"/>
      <c r="O199" s="210"/>
      <c r="P199" s="210"/>
      <c r="Q199" s="210"/>
      <c r="R199" s="210"/>
    </row>
    <row r="200" spans="1:18">
      <c r="A200" s="210"/>
      <c r="B200" s="210"/>
      <c r="C200" s="210"/>
      <c r="D200" s="210"/>
      <c r="E200" s="210"/>
      <c r="F200" s="210"/>
      <c r="G200" s="210"/>
      <c r="H200" s="210"/>
      <c r="I200" s="210"/>
      <c r="J200" s="210"/>
      <c r="L200" s="210"/>
      <c r="M200" s="210"/>
      <c r="N200" s="210"/>
      <c r="O200" s="210"/>
      <c r="P200" s="210"/>
      <c r="Q200" s="210"/>
      <c r="R200" s="210"/>
    </row>
    <row r="201" spans="1:18">
      <c r="A201" s="210"/>
      <c r="B201" s="210"/>
      <c r="C201" s="210"/>
      <c r="D201" s="210"/>
      <c r="E201" s="210"/>
      <c r="F201" s="210"/>
      <c r="G201" s="210"/>
      <c r="H201" s="210"/>
      <c r="I201" s="210"/>
      <c r="J201" s="210"/>
      <c r="L201" s="210"/>
      <c r="M201" s="210"/>
      <c r="N201" s="210"/>
      <c r="O201" s="210"/>
      <c r="P201" s="210"/>
      <c r="Q201" s="210"/>
      <c r="R201" s="210"/>
    </row>
    <row r="202" spans="1:18">
      <c r="A202" s="210"/>
      <c r="B202" s="210"/>
      <c r="C202" s="210"/>
      <c r="D202" s="210"/>
      <c r="E202" s="210"/>
      <c r="F202" s="210"/>
      <c r="G202" s="210"/>
      <c r="H202" s="210"/>
      <c r="I202" s="210"/>
      <c r="J202" s="210"/>
      <c r="L202" s="210"/>
      <c r="M202" s="210"/>
      <c r="N202" s="210"/>
      <c r="O202" s="210"/>
      <c r="P202" s="210"/>
      <c r="Q202" s="210"/>
      <c r="R202" s="210"/>
    </row>
    <row r="203" spans="1:18">
      <c r="A203" s="210"/>
      <c r="B203" s="210"/>
      <c r="C203" s="210"/>
      <c r="D203" s="210"/>
      <c r="E203" s="210"/>
      <c r="F203" s="210"/>
      <c r="G203" s="210"/>
      <c r="H203" s="210"/>
      <c r="I203" s="210"/>
      <c r="J203" s="210"/>
      <c r="L203" s="210"/>
      <c r="M203" s="210"/>
      <c r="N203" s="210"/>
      <c r="O203" s="210"/>
      <c r="P203" s="210"/>
      <c r="Q203" s="210"/>
      <c r="R203" s="210"/>
    </row>
    <row r="204" spans="1:18">
      <c r="A204" s="210"/>
      <c r="B204" s="210"/>
      <c r="C204" s="210"/>
      <c r="D204" s="210"/>
      <c r="E204" s="210"/>
      <c r="F204" s="210"/>
      <c r="G204" s="210"/>
      <c r="H204" s="210"/>
      <c r="I204" s="210"/>
      <c r="J204" s="210"/>
      <c r="L204" s="210"/>
      <c r="M204" s="210"/>
      <c r="N204" s="210"/>
      <c r="O204" s="210"/>
      <c r="P204" s="210"/>
      <c r="Q204" s="210"/>
      <c r="R204" s="210"/>
    </row>
    <row r="205" spans="1:18">
      <c r="A205" s="210"/>
      <c r="B205" s="210"/>
      <c r="C205" s="210"/>
      <c r="D205" s="210"/>
      <c r="E205" s="210"/>
      <c r="F205" s="210"/>
      <c r="G205" s="210"/>
      <c r="H205" s="210"/>
      <c r="I205" s="210"/>
      <c r="J205" s="210"/>
      <c r="L205" s="210"/>
      <c r="M205" s="210"/>
      <c r="N205" s="210"/>
      <c r="O205" s="210"/>
      <c r="P205" s="210"/>
      <c r="Q205" s="210"/>
      <c r="R205" s="210"/>
    </row>
    <row r="206" spans="1:18">
      <c r="A206" s="210"/>
      <c r="B206" s="210"/>
      <c r="C206" s="210"/>
      <c r="D206" s="210"/>
      <c r="E206" s="210"/>
      <c r="F206" s="210"/>
      <c r="G206" s="210"/>
      <c r="H206" s="210"/>
      <c r="I206" s="210"/>
      <c r="J206" s="210"/>
      <c r="L206" s="210"/>
      <c r="M206" s="210"/>
      <c r="N206" s="210"/>
      <c r="O206" s="210"/>
      <c r="P206" s="210"/>
      <c r="Q206" s="210"/>
      <c r="R206" s="210"/>
    </row>
    <row r="207" spans="1:18">
      <c r="A207" s="210"/>
      <c r="B207" s="210"/>
      <c r="C207" s="210"/>
      <c r="D207" s="210"/>
      <c r="E207" s="210"/>
      <c r="F207" s="210"/>
      <c r="G207" s="210"/>
      <c r="H207" s="210"/>
      <c r="I207" s="210"/>
      <c r="J207" s="210"/>
      <c r="L207" s="210"/>
      <c r="M207" s="210"/>
      <c r="N207" s="210"/>
      <c r="O207" s="210"/>
      <c r="P207" s="210"/>
      <c r="Q207" s="210"/>
      <c r="R207" s="210"/>
    </row>
    <row r="208" spans="1:18">
      <c r="A208" s="210"/>
      <c r="B208" s="210"/>
      <c r="C208" s="210"/>
      <c r="D208" s="210"/>
      <c r="E208" s="210"/>
      <c r="F208" s="210"/>
      <c r="G208" s="210"/>
      <c r="H208" s="210"/>
      <c r="I208" s="210"/>
      <c r="J208" s="210"/>
      <c r="L208" s="210"/>
      <c r="M208" s="210"/>
      <c r="N208" s="210"/>
      <c r="O208" s="210"/>
      <c r="P208" s="210"/>
      <c r="Q208" s="210"/>
      <c r="R208" s="210"/>
    </row>
    <row r="209" spans="1:18">
      <c r="A209" s="210"/>
      <c r="B209" s="210"/>
      <c r="C209" s="210"/>
      <c r="D209" s="210"/>
      <c r="E209" s="210"/>
      <c r="F209" s="210"/>
      <c r="G209" s="210"/>
      <c r="H209" s="210"/>
      <c r="I209" s="210"/>
      <c r="J209" s="210"/>
      <c r="L209" s="210"/>
      <c r="M209" s="210"/>
      <c r="N209" s="210"/>
      <c r="O209" s="210"/>
      <c r="P209" s="210"/>
      <c r="Q209" s="210"/>
      <c r="R209" s="210"/>
    </row>
    <row r="210" spans="1:18">
      <c r="A210" s="210"/>
      <c r="B210" s="210"/>
      <c r="C210" s="210"/>
      <c r="D210" s="210"/>
      <c r="E210" s="210"/>
      <c r="F210" s="210"/>
      <c r="G210" s="210"/>
      <c r="H210" s="210"/>
      <c r="I210" s="210"/>
      <c r="J210" s="210"/>
      <c r="L210" s="210"/>
      <c r="M210" s="210"/>
      <c r="N210" s="210"/>
      <c r="O210" s="210"/>
      <c r="P210" s="210"/>
      <c r="Q210" s="210"/>
      <c r="R210" s="210"/>
    </row>
    <row r="211" spans="1:18">
      <c r="A211" s="210"/>
      <c r="B211" s="210"/>
      <c r="C211" s="210"/>
      <c r="D211" s="210"/>
      <c r="E211" s="210"/>
      <c r="F211" s="210"/>
      <c r="G211" s="210"/>
      <c r="H211" s="210"/>
      <c r="I211" s="210"/>
      <c r="J211" s="210"/>
      <c r="L211" s="210"/>
      <c r="M211" s="210"/>
      <c r="N211" s="210"/>
      <c r="O211" s="210"/>
      <c r="P211" s="210"/>
      <c r="Q211" s="210"/>
      <c r="R211" s="210"/>
    </row>
    <row r="212" spans="1:18">
      <c r="A212" s="210"/>
      <c r="B212" s="210"/>
      <c r="C212" s="210"/>
      <c r="D212" s="210"/>
      <c r="E212" s="210"/>
      <c r="F212" s="210"/>
      <c r="G212" s="210"/>
      <c r="H212" s="210"/>
      <c r="I212" s="210"/>
      <c r="J212" s="210"/>
      <c r="L212" s="210"/>
      <c r="M212" s="210"/>
      <c r="N212" s="210"/>
      <c r="O212" s="210"/>
      <c r="P212" s="210"/>
      <c r="Q212" s="210"/>
      <c r="R212" s="210"/>
    </row>
    <row r="213" spans="1:18">
      <c r="A213" s="210"/>
      <c r="B213" s="210"/>
      <c r="C213" s="210"/>
      <c r="D213" s="210"/>
      <c r="E213" s="210"/>
      <c r="F213" s="210"/>
      <c r="G213" s="210"/>
      <c r="H213" s="210"/>
      <c r="I213" s="210"/>
      <c r="J213" s="210"/>
      <c r="L213" s="210"/>
      <c r="M213" s="210"/>
      <c r="N213" s="210"/>
      <c r="O213" s="210"/>
      <c r="P213" s="210"/>
      <c r="Q213" s="210"/>
      <c r="R213" s="210"/>
    </row>
    <row r="214" spans="1:18">
      <c r="A214" s="210"/>
      <c r="B214" s="210"/>
      <c r="C214" s="210"/>
      <c r="D214" s="210"/>
      <c r="E214" s="210"/>
      <c r="F214" s="210"/>
      <c r="G214" s="210"/>
      <c r="H214" s="210"/>
      <c r="I214" s="210"/>
      <c r="J214" s="210"/>
      <c r="L214" s="210"/>
      <c r="M214" s="210"/>
      <c r="N214" s="210"/>
      <c r="O214" s="210"/>
      <c r="P214" s="210"/>
      <c r="Q214" s="210"/>
      <c r="R214" s="210"/>
    </row>
    <row r="215" spans="1:18">
      <c r="A215" s="210"/>
      <c r="B215" s="210"/>
      <c r="C215" s="210"/>
      <c r="D215" s="210"/>
      <c r="E215" s="210"/>
      <c r="F215" s="210"/>
      <c r="G215" s="210"/>
      <c r="H215" s="210"/>
      <c r="I215" s="210"/>
      <c r="J215" s="210"/>
      <c r="L215" s="210"/>
      <c r="M215" s="210"/>
      <c r="N215" s="210"/>
      <c r="O215" s="210"/>
      <c r="P215" s="210"/>
      <c r="Q215" s="210"/>
      <c r="R215" s="210"/>
    </row>
    <row r="216" spans="1:18">
      <c r="A216" s="210"/>
      <c r="B216" s="210"/>
      <c r="C216" s="210"/>
      <c r="D216" s="210"/>
      <c r="E216" s="210"/>
      <c r="F216" s="210"/>
      <c r="G216" s="210"/>
      <c r="H216" s="210"/>
      <c r="I216" s="210"/>
      <c r="J216" s="210"/>
      <c r="L216" s="210"/>
      <c r="M216" s="210"/>
      <c r="N216" s="210"/>
      <c r="O216" s="210"/>
      <c r="P216" s="210"/>
      <c r="Q216" s="210"/>
      <c r="R216" s="210"/>
    </row>
    <row r="217" spans="1:18">
      <c r="A217" s="210"/>
      <c r="B217" s="210"/>
      <c r="C217" s="210"/>
      <c r="D217" s="210"/>
      <c r="E217" s="210"/>
      <c r="F217" s="210"/>
      <c r="G217" s="210"/>
      <c r="H217" s="210"/>
      <c r="I217" s="210"/>
      <c r="J217" s="210"/>
      <c r="L217" s="210"/>
      <c r="M217" s="210"/>
      <c r="N217" s="210"/>
      <c r="O217" s="210"/>
      <c r="P217" s="210"/>
      <c r="Q217" s="210"/>
      <c r="R217" s="210"/>
    </row>
    <row r="218" spans="1:18">
      <c r="A218" s="210"/>
      <c r="B218" s="210"/>
      <c r="C218" s="210"/>
      <c r="D218" s="210"/>
      <c r="E218" s="210"/>
      <c r="F218" s="210"/>
      <c r="G218" s="210"/>
      <c r="H218" s="210"/>
      <c r="I218" s="210"/>
      <c r="J218" s="210"/>
      <c r="L218" s="210"/>
      <c r="M218" s="210"/>
      <c r="N218" s="210"/>
      <c r="O218" s="210"/>
      <c r="P218" s="210"/>
      <c r="Q218" s="210"/>
      <c r="R218" s="210"/>
    </row>
    <row r="219" spans="1:18">
      <c r="A219" s="210"/>
      <c r="B219" s="210"/>
      <c r="C219" s="210"/>
      <c r="D219" s="210"/>
      <c r="E219" s="210"/>
      <c r="F219" s="210"/>
      <c r="G219" s="210"/>
      <c r="H219" s="210"/>
      <c r="I219" s="210"/>
      <c r="J219" s="210"/>
      <c r="L219" s="210"/>
      <c r="M219" s="210"/>
      <c r="N219" s="210"/>
      <c r="O219" s="210"/>
      <c r="P219" s="210"/>
      <c r="Q219" s="210"/>
      <c r="R219" s="210"/>
    </row>
    <row r="220" spans="1:18">
      <c r="A220" s="210"/>
      <c r="B220" s="210"/>
      <c r="C220" s="210"/>
      <c r="D220" s="210"/>
      <c r="E220" s="210"/>
      <c r="F220" s="210"/>
      <c r="G220" s="210"/>
      <c r="H220" s="210"/>
      <c r="I220" s="210"/>
      <c r="J220" s="210"/>
      <c r="L220" s="210"/>
      <c r="M220" s="210"/>
      <c r="N220" s="210"/>
      <c r="O220" s="210"/>
      <c r="P220" s="210"/>
      <c r="Q220" s="210"/>
      <c r="R220" s="210"/>
    </row>
    <row r="221" spans="1:18">
      <c r="A221" s="210"/>
      <c r="B221" s="210"/>
      <c r="C221" s="210"/>
      <c r="D221" s="210"/>
      <c r="E221" s="210"/>
      <c r="F221" s="210"/>
      <c r="G221" s="210"/>
      <c r="H221" s="210"/>
      <c r="I221" s="210"/>
      <c r="J221" s="210"/>
      <c r="L221" s="210"/>
      <c r="M221" s="210"/>
      <c r="N221" s="210"/>
      <c r="O221" s="210"/>
      <c r="P221" s="210"/>
      <c r="Q221" s="210"/>
      <c r="R221" s="210"/>
    </row>
    <row r="222" spans="1:18">
      <c r="A222" s="210"/>
      <c r="B222" s="210"/>
      <c r="C222" s="210"/>
      <c r="D222" s="210"/>
      <c r="E222" s="210"/>
      <c r="F222" s="210"/>
      <c r="G222" s="210"/>
      <c r="H222" s="210"/>
      <c r="I222" s="210"/>
      <c r="J222" s="210"/>
      <c r="L222" s="210"/>
      <c r="M222" s="210"/>
      <c r="N222" s="210"/>
      <c r="O222" s="210"/>
      <c r="P222" s="210"/>
      <c r="Q222" s="210"/>
      <c r="R222" s="210"/>
    </row>
  </sheetData>
  <mergeCells count="2">
    <mergeCell ref="C33:D33"/>
    <mergeCell ref="E33:H33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M19:R26"/>
  <sheetViews>
    <sheetView workbookViewId="0">
      <selection activeCell="M19" sqref="M19:R26"/>
    </sheetView>
  </sheetViews>
  <sheetFormatPr defaultRowHeight="15"/>
  <sheetData>
    <row r="19" spans="13:18" ht="21">
      <c r="M19" s="385"/>
      <c r="N19" s="385"/>
      <c r="O19" s="385"/>
      <c r="P19" s="385"/>
      <c r="Q19" s="385"/>
      <c r="R19" s="385"/>
    </row>
    <row r="20" spans="13:18" ht="21">
      <c r="M20" s="384"/>
      <c r="N20" s="384"/>
      <c r="O20" s="384"/>
      <c r="P20" s="384"/>
      <c r="Q20" s="384"/>
      <c r="R20" s="384"/>
    </row>
    <row r="21" spans="13:18" ht="21">
      <c r="M21" s="384"/>
      <c r="N21" s="384"/>
      <c r="O21" s="384"/>
      <c r="P21" s="384"/>
      <c r="Q21" s="384"/>
      <c r="R21" s="384"/>
    </row>
    <row r="22" spans="13:18" ht="21">
      <c r="M22" s="384"/>
      <c r="N22" s="384"/>
      <c r="O22" s="384"/>
      <c r="P22" s="384"/>
      <c r="Q22" s="384"/>
      <c r="R22" s="384"/>
    </row>
    <row r="23" spans="13:18" ht="21">
      <c r="M23" s="384"/>
      <c r="N23" s="384"/>
      <c r="O23" s="384"/>
      <c r="P23" s="384"/>
      <c r="Q23" s="384"/>
      <c r="R23" s="384"/>
    </row>
    <row r="24" spans="13:18" ht="21">
      <c r="M24" s="384"/>
      <c r="N24" s="384"/>
      <c r="O24" s="384"/>
      <c r="P24" s="384"/>
      <c r="Q24" s="384"/>
      <c r="R24" s="384"/>
    </row>
    <row r="25" spans="13:18" ht="21">
      <c r="M25" s="384"/>
      <c r="N25" s="384"/>
      <c r="O25" s="384"/>
      <c r="P25" s="384"/>
      <c r="Q25" s="384"/>
      <c r="R25" s="384"/>
    </row>
    <row r="26" spans="13:18" ht="21">
      <c r="M26" s="384"/>
      <c r="N26" s="384"/>
      <c r="O26" s="384"/>
      <c r="P26" s="384"/>
      <c r="Q26" s="384"/>
      <c r="R26" s="38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Sheet1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jjn</cp:lastModifiedBy>
  <cp:lastPrinted>2012-10-17T06:43:27Z</cp:lastPrinted>
  <dcterms:created xsi:type="dcterms:W3CDTF">2012-01-02T14:02:34Z</dcterms:created>
  <dcterms:modified xsi:type="dcterms:W3CDTF">2013-03-15T11:14:49Z</dcterms:modified>
</cp:coreProperties>
</file>