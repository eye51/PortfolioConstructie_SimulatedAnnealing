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32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0950" yWindow="570" windowWidth="14415" windowHeight="12150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amenvatting mixen" sheetId="6" r:id="rId6"/>
    <sheet name="Samenvatting mixen - return" sheetId="8" r:id="rId7"/>
    <sheet name="output IC" sheetId="11" r:id="rId8"/>
    <sheet name="Sheet1" sheetId="12" r:id="rId9"/>
  </sheets>
  <externalReferences>
    <externalReference r:id="rId10"/>
    <externalReference r:id="rId11"/>
    <externalReference r:id="rId12"/>
  </externalReferences>
  <definedNames>
    <definedName name="aan_uit">Optimalisatie!$B$101:$B$102</definedName>
    <definedName name="hh">'[1]Parameters scenarios'!$A$104:$A$118</definedName>
    <definedName name="k">'Absolute visies'!$N$4:$U$11</definedName>
    <definedName name="Klanten">'[2]Parameters scenarios'!$A$104:$A$118</definedName>
    <definedName name="Klanten_v2">'[3]Parameters scenarios'!$A$103:$A$118</definedName>
    <definedName name="Port_type">'[2]Parameters optimalisatie'!$B$51:$B$52</definedName>
    <definedName name="Port_type_2">'[3]Parameters optimalisatie'!$B$47:$B$48</definedName>
  </definedNames>
  <calcPr calcId="125725" concurrentCalc="0"/>
</workbook>
</file>

<file path=xl/calcChain.xml><?xml version="1.0" encoding="utf-8"?>
<calcChain xmlns="http://schemas.openxmlformats.org/spreadsheetml/2006/main">
  <c r="B24" i="7"/>
  <c r="I24"/>
  <c r="B25"/>
  <c r="I25"/>
  <c r="B26"/>
  <c r="I26"/>
  <c r="B27"/>
  <c r="I27"/>
  <c r="B28"/>
  <c r="I28"/>
  <c r="B29"/>
  <c r="I29"/>
  <c r="B30"/>
  <c r="I30"/>
  <c r="B31"/>
  <c r="I31"/>
  <c r="B11" i="9"/>
  <c r="C10" i="11"/>
  <c r="J10"/>
  <c r="C9"/>
  <c r="J9"/>
  <c r="C8"/>
  <c r="J8"/>
  <c r="C7"/>
  <c r="J7"/>
  <c r="C6"/>
  <c r="J6"/>
  <c r="C5"/>
  <c r="J5"/>
  <c r="C4"/>
  <c r="J4"/>
  <c r="C3"/>
  <c r="J3"/>
  <c r="I10"/>
  <c r="H25"/>
  <c r="H10"/>
  <c r="G25"/>
  <c r="G10"/>
  <c r="F25"/>
  <c r="F10"/>
  <c r="E25"/>
  <c r="E10"/>
  <c r="D25"/>
  <c r="D10"/>
  <c r="C25"/>
  <c r="I9"/>
  <c r="H24"/>
  <c r="H9"/>
  <c r="G24"/>
  <c r="G9"/>
  <c r="F24"/>
  <c r="F9"/>
  <c r="E24"/>
  <c r="E9"/>
  <c r="D24"/>
  <c r="D9"/>
  <c r="C24"/>
  <c r="I8"/>
  <c r="H23"/>
  <c r="H8"/>
  <c r="G23"/>
  <c r="G8"/>
  <c r="F23"/>
  <c r="F8"/>
  <c r="E23"/>
  <c r="E8"/>
  <c r="D23"/>
  <c r="D8"/>
  <c r="C23"/>
  <c r="I7"/>
  <c r="H22"/>
  <c r="H7"/>
  <c r="G22"/>
  <c r="G7"/>
  <c r="F22"/>
  <c r="F7"/>
  <c r="E22"/>
  <c r="E7"/>
  <c r="D22"/>
  <c r="D7"/>
  <c r="C22"/>
  <c r="I6"/>
  <c r="H21"/>
  <c r="H6"/>
  <c r="G21"/>
  <c r="G6"/>
  <c r="F21"/>
  <c r="F6"/>
  <c r="E21"/>
  <c r="E6"/>
  <c r="D21"/>
  <c r="D6"/>
  <c r="C21"/>
  <c r="I5"/>
  <c r="H20"/>
  <c r="H5"/>
  <c r="G20"/>
  <c r="G5"/>
  <c r="F20"/>
  <c r="F5"/>
  <c r="E20"/>
  <c r="E5"/>
  <c r="D20"/>
  <c r="D5"/>
  <c r="C20"/>
  <c r="I4"/>
  <c r="H19"/>
  <c r="H4"/>
  <c r="G19"/>
  <c r="G4"/>
  <c r="F19"/>
  <c r="F4"/>
  <c r="E19"/>
  <c r="E4"/>
  <c r="D19"/>
  <c r="D4"/>
  <c r="C19"/>
  <c r="I3"/>
  <c r="H18"/>
  <c r="H3"/>
  <c r="G18"/>
  <c r="G3"/>
  <c r="F18"/>
  <c r="F3"/>
  <c r="E18"/>
  <c r="E3"/>
  <c r="D18"/>
  <c r="D3"/>
  <c r="C18"/>
  <c r="E33" i="7"/>
  <c r="C33"/>
  <c r="J35" i="11"/>
  <c r="I35"/>
  <c r="H35"/>
  <c r="K35"/>
  <c r="I38"/>
  <c r="H38"/>
  <c r="K38"/>
  <c r="I37"/>
  <c r="J37"/>
  <c r="I39"/>
  <c r="J39"/>
  <c r="I40"/>
  <c r="I41"/>
  <c r="I42"/>
  <c r="I36"/>
  <c r="J36"/>
  <c r="H39"/>
  <c r="H36"/>
  <c r="H37"/>
  <c r="H40"/>
  <c r="H41"/>
  <c r="H42"/>
  <c r="A6" i="6"/>
  <c r="A5" i="8"/>
  <c r="A7" i="6"/>
  <c r="A6" i="8"/>
  <c r="A8" i="6"/>
  <c r="A7" i="8"/>
  <c r="A9" i="6"/>
  <c r="A8" i="8"/>
  <c r="A10" i="6"/>
  <c r="A9" i="8"/>
  <c r="A11" i="6"/>
  <c r="A10" i="8"/>
  <c r="A5" i="6"/>
  <c r="A4" i="8"/>
  <c r="O9" i="11"/>
  <c r="F10" i="9"/>
  <c r="Q13" i="11"/>
  <c r="N13"/>
  <c r="R13"/>
  <c r="F9" i="9"/>
  <c r="Q12" i="11"/>
  <c r="N12"/>
  <c r="R12"/>
  <c r="F8" i="9"/>
  <c r="Q11" i="11"/>
  <c r="N11"/>
  <c r="R11"/>
  <c r="F7" i="9"/>
  <c r="Q10" i="11"/>
  <c r="N10"/>
  <c r="R10"/>
  <c r="F6" i="9"/>
  <c r="Q9" i="11"/>
  <c r="N9"/>
  <c r="R9"/>
  <c r="F5" i="9"/>
  <c r="Q8" i="11"/>
  <c r="N8"/>
  <c r="R8"/>
  <c r="F4" i="9"/>
  <c r="Q7" i="11"/>
  <c r="N7"/>
  <c r="R7"/>
  <c r="F3" i="9"/>
  <c r="Q6" i="11"/>
  <c r="N6"/>
  <c r="R6"/>
  <c r="C10" i="9"/>
  <c r="D10"/>
  <c r="P13" i="11"/>
  <c r="C9" i="9"/>
  <c r="D9"/>
  <c r="P12" i="11"/>
  <c r="P11"/>
  <c r="P10"/>
  <c r="P9"/>
  <c r="P8"/>
  <c r="P7"/>
  <c r="P6"/>
  <c r="O13"/>
  <c r="O12"/>
  <c r="O11"/>
  <c r="O10"/>
  <c r="O8"/>
  <c r="O7"/>
  <c r="O6"/>
  <c r="H35" i="7"/>
  <c r="I14" i="11"/>
  <c r="D35" i="7"/>
  <c r="E14" i="11"/>
  <c r="B35" i="7"/>
  <c r="C14" i="11"/>
  <c r="D33" i="7"/>
  <c r="F33"/>
  <c r="B33"/>
  <c r="G33"/>
  <c r="H33"/>
  <c r="I33"/>
  <c r="J12" i="11"/>
  <c r="I12"/>
  <c r="H12"/>
  <c r="E12"/>
  <c r="D12"/>
  <c r="C12"/>
  <c r="E35" i="7"/>
  <c r="F35"/>
  <c r="G7" i="9"/>
  <c r="G6"/>
  <c r="G3"/>
  <c r="G4"/>
  <c r="G5"/>
  <c r="G8"/>
  <c r="G9"/>
  <c r="G10"/>
  <c r="A21" i="5"/>
  <c r="A22"/>
  <c r="A23"/>
  <c r="A24"/>
  <c r="A25"/>
  <c r="A26"/>
  <c r="G5"/>
  <c r="H5"/>
  <c r="D27"/>
  <c r="D26"/>
  <c r="D25"/>
  <c r="D24"/>
  <c r="D23"/>
  <c r="D22"/>
  <c r="D21"/>
  <c r="D20"/>
  <c r="K11" i="1"/>
  <c r="K22"/>
  <c r="K44"/>
  <c r="J11"/>
  <c r="J22"/>
  <c r="J44"/>
  <c r="I11"/>
  <c r="I22"/>
  <c r="I44"/>
  <c r="H11"/>
  <c r="H22"/>
  <c r="H44"/>
  <c r="G11"/>
  <c r="G22"/>
  <c r="G44"/>
  <c r="F11"/>
  <c r="F22"/>
  <c r="F44"/>
  <c r="E11"/>
  <c r="E33"/>
  <c r="D11"/>
  <c r="D22"/>
  <c r="D44"/>
  <c r="C11"/>
  <c r="C22"/>
  <c r="C44"/>
  <c r="K10"/>
  <c r="K21"/>
  <c r="K43"/>
  <c r="J10"/>
  <c r="J21"/>
  <c r="J43"/>
  <c r="I10"/>
  <c r="I32"/>
  <c r="H10"/>
  <c r="H21"/>
  <c r="H43"/>
  <c r="G10"/>
  <c r="G21"/>
  <c r="G43"/>
  <c r="F10"/>
  <c r="F21"/>
  <c r="F43"/>
  <c r="E10"/>
  <c r="E32"/>
  <c r="D10"/>
  <c r="D21"/>
  <c r="D43"/>
  <c r="C10"/>
  <c r="C21"/>
  <c r="C43"/>
  <c r="K9"/>
  <c r="K20"/>
  <c r="K42"/>
  <c r="J9"/>
  <c r="J20"/>
  <c r="J42"/>
  <c r="I9"/>
  <c r="I20"/>
  <c r="I42"/>
  <c r="H9"/>
  <c r="H20"/>
  <c r="H42"/>
  <c r="G9"/>
  <c r="G20"/>
  <c r="G42"/>
  <c r="F9"/>
  <c r="F20"/>
  <c r="F42"/>
  <c r="E9"/>
  <c r="E20"/>
  <c r="E42"/>
  <c r="D9"/>
  <c r="D20"/>
  <c r="D42"/>
  <c r="C9"/>
  <c r="C20"/>
  <c r="C42"/>
  <c r="K8"/>
  <c r="K30"/>
  <c r="J8"/>
  <c r="J19"/>
  <c r="J41"/>
  <c r="I8"/>
  <c r="I19"/>
  <c r="I41"/>
  <c r="H8"/>
  <c r="H19"/>
  <c r="H41"/>
  <c r="G8"/>
  <c r="G19"/>
  <c r="G41"/>
  <c r="F8"/>
  <c r="F19"/>
  <c r="F41"/>
  <c r="E8"/>
  <c r="E19"/>
  <c r="E41"/>
  <c r="D8"/>
  <c r="D19"/>
  <c r="D41"/>
  <c r="C8"/>
  <c r="C19"/>
  <c r="C41"/>
  <c r="K7"/>
  <c r="K18"/>
  <c r="K40"/>
  <c r="J7"/>
  <c r="J18"/>
  <c r="J40"/>
  <c r="I7"/>
  <c r="I29"/>
  <c r="H7"/>
  <c r="H18"/>
  <c r="H40"/>
  <c r="G7"/>
  <c r="G18"/>
  <c r="G40"/>
  <c r="F7"/>
  <c r="F18"/>
  <c r="F40"/>
  <c r="E7"/>
  <c r="E18"/>
  <c r="E40"/>
  <c r="D7"/>
  <c r="D18"/>
  <c r="D40"/>
  <c r="C7"/>
  <c r="C18"/>
  <c r="C40"/>
  <c r="K6"/>
  <c r="K17"/>
  <c r="K39"/>
  <c r="J6"/>
  <c r="J28"/>
  <c r="I6"/>
  <c r="I17"/>
  <c r="I39"/>
  <c r="H6"/>
  <c r="H17"/>
  <c r="H39"/>
  <c r="G6"/>
  <c r="G17"/>
  <c r="G39"/>
  <c r="F6"/>
  <c r="F17"/>
  <c r="F39"/>
  <c r="E6"/>
  <c r="E17"/>
  <c r="E39"/>
  <c r="D6"/>
  <c r="D17"/>
  <c r="D39"/>
  <c r="C6"/>
  <c r="C17"/>
  <c r="C39"/>
  <c r="K5"/>
  <c r="K27"/>
  <c r="J5"/>
  <c r="J16"/>
  <c r="J38"/>
  <c r="I5"/>
  <c r="I16"/>
  <c r="I38"/>
  <c r="H5"/>
  <c r="H16"/>
  <c r="H38"/>
  <c r="G5"/>
  <c r="G16"/>
  <c r="G38"/>
  <c r="F5"/>
  <c r="F27"/>
  <c r="E5"/>
  <c r="E16"/>
  <c r="E38"/>
  <c r="D5"/>
  <c r="D16"/>
  <c r="D38"/>
  <c r="C5"/>
  <c r="C16"/>
  <c r="C38"/>
  <c r="K4"/>
  <c r="K26"/>
  <c r="J4"/>
  <c r="J15"/>
  <c r="J37"/>
  <c r="I4"/>
  <c r="I15"/>
  <c r="I37"/>
  <c r="H4"/>
  <c r="H15"/>
  <c r="H37"/>
  <c r="G4"/>
  <c r="G15"/>
  <c r="G37"/>
  <c r="F4"/>
  <c r="F15"/>
  <c r="F37"/>
  <c r="E4"/>
  <c r="E15"/>
  <c r="E37"/>
  <c r="D4"/>
  <c r="D15"/>
  <c r="D37"/>
  <c r="C4"/>
  <c r="C15"/>
  <c r="C37"/>
  <c r="I33"/>
  <c r="G33"/>
  <c r="C33"/>
  <c r="K31"/>
  <c r="G31"/>
  <c r="D30"/>
  <c r="K29"/>
  <c r="I28"/>
  <c r="G27"/>
  <c r="G26"/>
  <c r="D26"/>
  <c r="C26"/>
  <c r="K77"/>
  <c r="J77"/>
  <c r="I77"/>
  <c r="H77"/>
  <c r="G77"/>
  <c r="F77"/>
  <c r="E77"/>
  <c r="D77"/>
  <c r="C77"/>
  <c r="K76"/>
  <c r="J76"/>
  <c r="I76"/>
  <c r="H76"/>
  <c r="G76"/>
  <c r="F76"/>
  <c r="E76"/>
  <c r="D76"/>
  <c r="C76"/>
  <c r="K75"/>
  <c r="J75"/>
  <c r="I75"/>
  <c r="H75"/>
  <c r="G75"/>
  <c r="F75"/>
  <c r="E75"/>
  <c r="D75"/>
  <c r="C75"/>
  <c r="K74"/>
  <c r="J74"/>
  <c r="I74"/>
  <c r="H74"/>
  <c r="G74"/>
  <c r="F74"/>
  <c r="E74"/>
  <c r="D74"/>
  <c r="C74"/>
  <c r="K73"/>
  <c r="J73"/>
  <c r="I73"/>
  <c r="H73"/>
  <c r="G73"/>
  <c r="F73"/>
  <c r="E73"/>
  <c r="D73"/>
  <c r="C73"/>
  <c r="K72"/>
  <c r="J72"/>
  <c r="I72"/>
  <c r="H72"/>
  <c r="G72"/>
  <c r="F72"/>
  <c r="E72"/>
  <c r="D72"/>
  <c r="C72"/>
  <c r="K71"/>
  <c r="J71"/>
  <c r="I71"/>
  <c r="H71"/>
  <c r="G71"/>
  <c r="F71"/>
  <c r="E71"/>
  <c r="D71"/>
  <c r="C71"/>
  <c r="K70"/>
  <c r="J70"/>
  <c r="I70"/>
  <c r="H70"/>
  <c r="G70"/>
  <c r="F70"/>
  <c r="E70"/>
  <c r="D70"/>
  <c r="C70"/>
  <c r="H27" i="5"/>
  <c r="C112"/>
  <c r="B77" i="1"/>
  <c r="B76"/>
  <c r="B75"/>
  <c r="B74"/>
  <c r="B73"/>
  <c r="B72"/>
  <c r="B71"/>
  <c r="B70"/>
  <c r="B66"/>
  <c r="B65"/>
  <c r="B64"/>
  <c r="B63"/>
  <c r="B62"/>
  <c r="B61"/>
  <c r="B60"/>
  <c r="B59"/>
  <c r="C111" i="5"/>
  <c r="C106"/>
  <c r="C107"/>
  <c r="C108"/>
  <c r="C109"/>
  <c r="C110"/>
  <c r="A80" i="6"/>
  <c r="A73" i="8"/>
  <c r="A60"/>
  <c r="A70"/>
  <c r="A80"/>
  <c r="A49"/>
  <c r="A59"/>
  <c r="A69"/>
  <c r="A79"/>
  <c r="A48"/>
  <c r="A58"/>
  <c r="A68"/>
  <c r="A78"/>
  <c r="A47"/>
  <c r="A57"/>
  <c r="A67"/>
  <c r="A77"/>
  <c r="A46"/>
  <c r="A56"/>
  <c r="A66"/>
  <c r="A76"/>
  <c r="A45"/>
  <c r="A55"/>
  <c r="A65"/>
  <c r="A75"/>
  <c r="A44"/>
  <c r="A54"/>
  <c r="A64"/>
  <c r="A74"/>
  <c r="A69" i="6"/>
  <c r="A63" i="8"/>
  <c r="A58" i="6"/>
  <c r="U88"/>
  <c r="T88"/>
  <c r="S88"/>
  <c r="A22"/>
  <c r="A44"/>
  <c r="A55"/>
  <c r="A66"/>
  <c r="A77"/>
  <c r="A88"/>
  <c r="R88"/>
  <c r="U87"/>
  <c r="T87"/>
  <c r="S87"/>
  <c r="A21"/>
  <c r="A43"/>
  <c r="A54"/>
  <c r="A65"/>
  <c r="A76"/>
  <c r="A87"/>
  <c r="R87"/>
  <c r="U86"/>
  <c r="T86"/>
  <c r="S86"/>
  <c r="A20"/>
  <c r="A42"/>
  <c r="A53"/>
  <c r="A64"/>
  <c r="A75"/>
  <c r="A86"/>
  <c r="R86"/>
  <c r="U85"/>
  <c r="T85"/>
  <c r="S85"/>
  <c r="A19"/>
  <c r="A41"/>
  <c r="A52"/>
  <c r="A63"/>
  <c r="A74"/>
  <c r="A85"/>
  <c r="R85"/>
  <c r="U84"/>
  <c r="T84"/>
  <c r="S84"/>
  <c r="A18"/>
  <c r="A40"/>
  <c r="A51"/>
  <c r="A62"/>
  <c r="A73"/>
  <c r="A84"/>
  <c r="R84"/>
  <c r="U83"/>
  <c r="T83"/>
  <c r="S83"/>
  <c r="A17"/>
  <c r="A39"/>
  <c r="A50"/>
  <c r="A61"/>
  <c r="A72"/>
  <c r="A83"/>
  <c r="R83"/>
  <c r="U82"/>
  <c r="T82"/>
  <c r="S82"/>
  <c r="A16"/>
  <c r="A38"/>
  <c r="A49"/>
  <c r="A60"/>
  <c r="A71"/>
  <c r="A82"/>
  <c r="R82"/>
  <c r="U81"/>
  <c r="T81"/>
  <c r="S81"/>
  <c r="A4"/>
  <c r="A15"/>
  <c r="A37"/>
  <c r="A48"/>
  <c r="A59"/>
  <c r="A70"/>
  <c r="A81"/>
  <c r="R81"/>
  <c r="R80"/>
  <c r="U77"/>
  <c r="T77"/>
  <c r="S77"/>
  <c r="R77"/>
  <c r="U76"/>
  <c r="T76"/>
  <c r="S76"/>
  <c r="R76"/>
  <c r="U75"/>
  <c r="T75"/>
  <c r="S75"/>
  <c r="R75"/>
  <c r="U74"/>
  <c r="T74"/>
  <c r="S74"/>
  <c r="R74"/>
  <c r="U73"/>
  <c r="T73"/>
  <c r="S73"/>
  <c r="R73"/>
  <c r="U72"/>
  <c r="T72"/>
  <c r="S72"/>
  <c r="R72"/>
  <c r="U71"/>
  <c r="T71"/>
  <c r="S71"/>
  <c r="R71"/>
  <c r="U70"/>
  <c r="T70"/>
  <c r="S70"/>
  <c r="R70"/>
  <c r="R69"/>
  <c r="V80" i="8"/>
  <c r="T80"/>
  <c r="S80"/>
  <c r="R80"/>
  <c r="Q80"/>
  <c r="V79"/>
  <c r="T79"/>
  <c r="S79"/>
  <c r="R79"/>
  <c r="A30"/>
  <c r="Q79"/>
  <c r="V78"/>
  <c r="T78"/>
  <c r="S78"/>
  <c r="R78"/>
  <c r="A29"/>
  <c r="Q78"/>
  <c r="V77"/>
  <c r="T77"/>
  <c r="S77"/>
  <c r="R77"/>
  <c r="A28"/>
  <c r="Q77"/>
  <c r="V76"/>
  <c r="T76"/>
  <c r="S76"/>
  <c r="R76"/>
  <c r="A27"/>
  <c r="Q76"/>
  <c r="V75"/>
  <c r="T75"/>
  <c r="S75"/>
  <c r="R75"/>
  <c r="A26"/>
  <c r="Q75"/>
  <c r="V74"/>
  <c r="T74"/>
  <c r="S74"/>
  <c r="R74"/>
  <c r="A25"/>
  <c r="Q74"/>
  <c r="Q73"/>
  <c r="T70"/>
  <c r="S70"/>
  <c r="R70"/>
  <c r="Q70"/>
  <c r="T69"/>
  <c r="S69"/>
  <c r="R69"/>
  <c r="Q69"/>
  <c r="T68"/>
  <c r="S68"/>
  <c r="R68"/>
  <c r="Q68"/>
  <c r="T67"/>
  <c r="S67"/>
  <c r="R67"/>
  <c r="Q67"/>
  <c r="T66"/>
  <c r="S66"/>
  <c r="R66"/>
  <c r="Q66"/>
  <c r="T65"/>
  <c r="S65"/>
  <c r="R65"/>
  <c r="Q65"/>
  <c r="T64"/>
  <c r="S64"/>
  <c r="R64"/>
  <c r="Q64"/>
  <c r="Q63"/>
  <c r="A69" i="1"/>
  <c r="A58"/>
  <c r="A47"/>
  <c r="A36"/>
  <c r="A25"/>
  <c r="A14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G5" i="4"/>
  <c r="G6"/>
  <c r="G7"/>
  <c r="G8"/>
  <c r="G9"/>
  <c r="G10"/>
  <c r="G11"/>
  <c r="G4"/>
  <c r="H12"/>
  <c r="H5"/>
  <c r="H6"/>
  <c r="H7"/>
  <c r="H8"/>
  <c r="H9"/>
  <c r="H10"/>
  <c r="H11"/>
  <c r="H4"/>
  <c r="D4"/>
  <c r="D5"/>
  <c r="D6"/>
  <c r="D7"/>
  <c r="D8"/>
  <c r="D9"/>
  <c r="D10"/>
  <c r="D11"/>
  <c r="C5"/>
  <c r="C6"/>
  <c r="C7"/>
  <c r="C8"/>
  <c r="C9"/>
  <c r="C10"/>
  <c r="C11"/>
  <c r="C4"/>
  <c r="B5" i="7"/>
  <c r="B6"/>
  <c r="B7"/>
  <c r="B8"/>
  <c r="B9"/>
  <c r="B10"/>
  <c r="B11"/>
  <c r="B4"/>
  <c r="A4" i="9"/>
  <c r="W4"/>
  <c r="A5"/>
  <c r="W5"/>
  <c r="A6"/>
  <c r="W6"/>
  <c r="A7"/>
  <c r="W7"/>
  <c r="A8"/>
  <c r="W8"/>
  <c r="A9"/>
  <c r="W9"/>
  <c r="A10"/>
  <c r="W10"/>
  <c r="A3"/>
  <c r="B109" i="8"/>
  <c r="B108"/>
  <c r="B107"/>
  <c r="B106"/>
  <c r="B105"/>
  <c r="B104"/>
  <c r="B103"/>
  <c r="V60"/>
  <c r="T60"/>
  <c r="S60"/>
  <c r="R60"/>
  <c r="V59"/>
  <c r="T59"/>
  <c r="S59"/>
  <c r="R59"/>
  <c r="V58"/>
  <c r="T58"/>
  <c r="S58"/>
  <c r="R58"/>
  <c r="V57"/>
  <c r="T57"/>
  <c r="S57"/>
  <c r="R57"/>
  <c r="V56"/>
  <c r="T56"/>
  <c r="S56"/>
  <c r="R56"/>
  <c r="V55"/>
  <c r="T55"/>
  <c r="S55"/>
  <c r="R55"/>
  <c r="V54"/>
  <c r="T54"/>
  <c r="S54"/>
  <c r="R54"/>
  <c r="T50"/>
  <c r="S50"/>
  <c r="R50"/>
  <c r="T49"/>
  <c r="S49"/>
  <c r="R49"/>
  <c r="T48"/>
  <c r="S48"/>
  <c r="R48"/>
  <c r="T47"/>
  <c r="S47"/>
  <c r="R47"/>
  <c r="T46"/>
  <c r="S46"/>
  <c r="R46"/>
  <c r="T45"/>
  <c r="S45"/>
  <c r="R45"/>
  <c r="T44"/>
  <c r="S44"/>
  <c r="R44"/>
  <c r="T40"/>
  <c r="S40"/>
  <c r="R40"/>
  <c r="T39"/>
  <c r="S39"/>
  <c r="R39"/>
  <c r="A39"/>
  <c r="Q39"/>
  <c r="T38"/>
  <c r="S38"/>
  <c r="R38"/>
  <c r="T37"/>
  <c r="S37"/>
  <c r="R37"/>
  <c r="A37"/>
  <c r="Q37"/>
  <c r="T36"/>
  <c r="S36"/>
  <c r="R36"/>
  <c r="T35"/>
  <c r="S35"/>
  <c r="R35"/>
  <c r="A35"/>
  <c r="Q35"/>
  <c r="T34"/>
  <c r="S34"/>
  <c r="R34"/>
  <c r="T30"/>
  <c r="S30"/>
  <c r="R30"/>
  <c r="T29"/>
  <c r="S29"/>
  <c r="R29"/>
  <c r="T28"/>
  <c r="S28"/>
  <c r="R28"/>
  <c r="T27"/>
  <c r="S27"/>
  <c r="R27"/>
  <c r="T26"/>
  <c r="S26"/>
  <c r="R26"/>
  <c r="T25"/>
  <c r="S25"/>
  <c r="R25"/>
  <c r="T24"/>
  <c r="S24"/>
  <c r="R24"/>
  <c r="T20"/>
  <c r="S20"/>
  <c r="R20"/>
  <c r="T19"/>
  <c r="S19"/>
  <c r="R19"/>
  <c r="A19"/>
  <c r="Q19"/>
  <c r="T18"/>
  <c r="S18"/>
  <c r="R18"/>
  <c r="T17"/>
  <c r="S17"/>
  <c r="R17"/>
  <c r="A17"/>
  <c r="Q17"/>
  <c r="T16"/>
  <c r="S16"/>
  <c r="R16"/>
  <c r="T15"/>
  <c r="S15"/>
  <c r="R15"/>
  <c r="A15"/>
  <c r="Q15"/>
  <c r="T14"/>
  <c r="S14"/>
  <c r="R14"/>
  <c r="T10"/>
  <c r="S10"/>
  <c r="R10"/>
  <c r="A20"/>
  <c r="Q20"/>
  <c r="T9"/>
  <c r="S9"/>
  <c r="R9"/>
  <c r="Q9"/>
  <c r="Q59"/>
  <c r="T8"/>
  <c r="S8"/>
  <c r="R8"/>
  <c r="A38"/>
  <c r="Q38"/>
  <c r="T7"/>
  <c r="S7"/>
  <c r="R7"/>
  <c r="Q7"/>
  <c r="Q57"/>
  <c r="T6"/>
  <c r="S6"/>
  <c r="R6"/>
  <c r="A16"/>
  <c r="Q16"/>
  <c r="T5"/>
  <c r="S5"/>
  <c r="R5"/>
  <c r="Q5"/>
  <c r="Q55"/>
  <c r="T4"/>
  <c r="S4"/>
  <c r="R4"/>
  <c r="A34"/>
  <c r="Q34"/>
  <c r="A53"/>
  <c r="Q53"/>
  <c r="A36" i="6"/>
  <c r="A33" i="8"/>
  <c r="Q33"/>
  <c r="A14" i="6"/>
  <c r="A13" i="8"/>
  <c r="Q13"/>
  <c r="A20" i="5"/>
  <c r="A3" i="8"/>
  <c r="Q3"/>
  <c r="R58" i="6"/>
  <c r="R14"/>
  <c r="R36"/>
  <c r="R3"/>
  <c r="A24" i="8"/>
  <c r="Q24"/>
  <c r="Q28"/>
  <c r="Q46"/>
  <c r="A50"/>
  <c r="Q50"/>
  <c r="Q4"/>
  <c r="Q8"/>
  <c r="A14"/>
  <c r="Q14"/>
  <c r="A18"/>
  <c r="Q18"/>
  <c r="Q27"/>
  <c r="A36"/>
  <c r="Q36"/>
  <c r="A40"/>
  <c r="Q40"/>
  <c r="Q45"/>
  <c r="Q49"/>
  <c r="Q54"/>
  <c r="Q56"/>
  <c r="Q58"/>
  <c r="Q60"/>
  <c r="Q26"/>
  <c r="Q30"/>
  <c r="Q44"/>
  <c r="Q48"/>
  <c r="Q6"/>
  <c r="Q10"/>
  <c r="Q25"/>
  <c r="Q29"/>
  <c r="Q47"/>
  <c r="B26" i="1"/>
  <c r="B37"/>
  <c r="B27"/>
  <c r="B39"/>
  <c r="B51"/>
  <c r="B8"/>
  <c r="B31"/>
  <c r="B43"/>
  <c r="B55"/>
  <c r="B4"/>
  <c r="B30"/>
  <c r="B41"/>
  <c r="B54"/>
  <c r="B50"/>
  <c r="B33"/>
  <c r="B29"/>
  <c r="B16"/>
  <c r="B42"/>
  <c r="B5"/>
  <c r="B17"/>
  <c r="B53"/>
  <c r="B10"/>
  <c r="B6"/>
  <c r="B22"/>
  <c r="B18"/>
  <c r="B44"/>
  <c r="B32"/>
  <c r="B52"/>
  <c r="B40"/>
  <c r="B28"/>
  <c r="B48"/>
  <c r="B11"/>
  <c r="B7"/>
  <c r="B20"/>
  <c r="B38"/>
  <c r="B9"/>
  <c r="B21"/>
  <c r="B49"/>
  <c r="B15"/>
  <c r="B19"/>
  <c r="A104" i="7"/>
  <c r="B115"/>
  <c r="A105"/>
  <c r="A106"/>
  <c r="A107"/>
  <c r="B116"/>
  <c r="B114"/>
  <c r="A108"/>
  <c r="A109"/>
  <c r="A110"/>
  <c r="A111"/>
  <c r="U66" i="6"/>
  <c r="T66"/>
  <c r="S66"/>
  <c r="U65"/>
  <c r="T65"/>
  <c r="S65"/>
  <c r="U64"/>
  <c r="T64"/>
  <c r="S64"/>
  <c r="U63"/>
  <c r="T63"/>
  <c r="S63"/>
  <c r="U62"/>
  <c r="T62"/>
  <c r="S62"/>
  <c r="U61"/>
  <c r="T61"/>
  <c r="S61"/>
  <c r="U60"/>
  <c r="T60"/>
  <c r="S60"/>
  <c r="U59"/>
  <c r="T59"/>
  <c r="S59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4"/>
  <c r="T44"/>
  <c r="S44"/>
  <c r="U43"/>
  <c r="T43"/>
  <c r="S43"/>
  <c r="U42"/>
  <c r="T42"/>
  <c r="S42"/>
  <c r="U41"/>
  <c r="T41"/>
  <c r="S41"/>
  <c r="U40"/>
  <c r="T40"/>
  <c r="S40"/>
  <c r="U39"/>
  <c r="T39"/>
  <c r="S39"/>
  <c r="U38"/>
  <c r="T38"/>
  <c r="S38"/>
  <c r="U37"/>
  <c r="T37"/>
  <c r="S37"/>
  <c r="U33"/>
  <c r="T33"/>
  <c r="S33"/>
  <c r="U32"/>
  <c r="T32"/>
  <c r="S32"/>
  <c r="U31"/>
  <c r="T31"/>
  <c r="S31"/>
  <c r="U30"/>
  <c r="T30"/>
  <c r="S30"/>
  <c r="U29"/>
  <c r="T29"/>
  <c r="S29"/>
  <c r="U28"/>
  <c r="T28"/>
  <c r="S28"/>
  <c r="U27"/>
  <c r="T27"/>
  <c r="S27"/>
  <c r="U26"/>
  <c r="T26"/>
  <c r="S26"/>
  <c r="U22"/>
  <c r="T22"/>
  <c r="S22"/>
  <c r="U21"/>
  <c r="T21"/>
  <c r="S21"/>
  <c r="U20"/>
  <c r="T20"/>
  <c r="S20"/>
  <c r="U19"/>
  <c r="T19"/>
  <c r="S19"/>
  <c r="U18"/>
  <c r="T18"/>
  <c r="S18"/>
  <c r="U17"/>
  <c r="T17"/>
  <c r="S17"/>
  <c r="U16"/>
  <c r="T16"/>
  <c r="S16"/>
  <c r="U15"/>
  <c r="T15"/>
  <c r="S15"/>
  <c r="U11"/>
  <c r="T11"/>
  <c r="S11"/>
  <c r="R11"/>
  <c r="U10"/>
  <c r="T10"/>
  <c r="S10"/>
  <c r="R10"/>
  <c r="U9"/>
  <c r="T9"/>
  <c r="S9"/>
  <c r="R9"/>
  <c r="U8"/>
  <c r="T8"/>
  <c r="S8"/>
  <c r="R8"/>
  <c r="U7"/>
  <c r="T7"/>
  <c r="S7"/>
  <c r="U6"/>
  <c r="T6"/>
  <c r="S6"/>
  <c r="R6"/>
  <c r="U5"/>
  <c r="T5"/>
  <c r="S5"/>
  <c r="U4"/>
  <c r="T4"/>
  <c r="S4"/>
  <c r="R4"/>
  <c r="R7"/>
  <c r="R5"/>
  <c r="A29"/>
  <c r="R29"/>
  <c r="R18"/>
  <c r="A33"/>
  <c r="R33"/>
  <c r="R22"/>
  <c r="R20"/>
  <c r="A31"/>
  <c r="R31"/>
  <c r="R16"/>
  <c r="A27"/>
  <c r="R27"/>
  <c r="R39"/>
  <c r="A28"/>
  <c r="R28"/>
  <c r="A32"/>
  <c r="R32"/>
  <c r="R17"/>
  <c r="R43"/>
  <c r="R21"/>
  <c r="R44"/>
  <c r="R15"/>
  <c r="A26"/>
  <c r="R26"/>
  <c r="R42"/>
  <c r="R54"/>
  <c r="R65"/>
  <c r="R19"/>
  <c r="A30"/>
  <c r="R30"/>
  <c r="R40"/>
  <c r="R50"/>
  <c r="R61"/>
  <c r="R38"/>
  <c r="R64"/>
  <c r="R53"/>
  <c r="R51"/>
  <c r="R62"/>
  <c r="R37"/>
  <c r="R55"/>
  <c r="R66"/>
  <c r="R60"/>
  <c r="R49"/>
  <c r="R41"/>
  <c r="R48"/>
  <c r="R59"/>
  <c r="R52"/>
  <c r="R63"/>
  <c r="B108" i="4"/>
  <c r="B109"/>
  <c r="B110"/>
  <c r="B111"/>
  <c r="B112"/>
  <c r="B113"/>
  <c r="B114"/>
  <c r="B107"/>
  <c r="C105" i="5"/>
  <c r="A124"/>
  <c r="A118"/>
  <c r="A119"/>
  <c r="A120"/>
  <c r="A121"/>
  <c r="A122"/>
  <c r="A123"/>
  <c r="A117"/>
  <c r="B126"/>
  <c r="A27"/>
  <c r="A25" i="6"/>
  <c r="A47"/>
  <c r="A43" i="8"/>
  <c r="Q43"/>
  <c r="R47" i="6"/>
  <c r="A23" i="8"/>
  <c r="Q23"/>
  <c r="R25" i="6"/>
  <c r="A5" i="4"/>
  <c r="A108"/>
  <c r="A6"/>
  <c r="A109"/>
  <c r="A7"/>
  <c r="A110"/>
  <c r="A8"/>
  <c r="A111"/>
  <c r="A9"/>
  <c r="A112"/>
  <c r="A10"/>
  <c r="A113"/>
  <c r="A11"/>
  <c r="A114"/>
  <c r="A4"/>
  <c r="A107"/>
  <c r="A20"/>
  <c r="A21"/>
  <c r="A17"/>
  <c r="A22"/>
  <c r="A18"/>
  <c r="A16"/>
  <c r="A15"/>
  <c r="A19"/>
  <c r="I35" i="7"/>
  <c r="J14" i="11"/>
  <c r="C35" i="7"/>
  <c r="D14" i="11"/>
  <c r="G35" i="7"/>
  <c r="H14" i="11"/>
  <c r="E27" i="1"/>
  <c r="J26"/>
  <c r="D28"/>
  <c r="C31"/>
  <c r="E21"/>
  <c r="E43"/>
  <c r="I27"/>
  <c r="F28"/>
  <c r="G29"/>
  <c r="E31"/>
  <c r="H26"/>
  <c r="C29"/>
  <c r="J30"/>
  <c r="H32"/>
  <c r="C27"/>
  <c r="J27"/>
  <c r="H29"/>
  <c r="H30"/>
  <c r="F31"/>
  <c r="D33"/>
  <c r="I21"/>
  <c r="I43"/>
  <c r="E28"/>
  <c r="D29"/>
  <c r="C30"/>
  <c r="J31"/>
  <c r="H33"/>
  <c r="J40" i="11"/>
  <c r="K40"/>
  <c r="F32" i="1"/>
  <c r="K15"/>
  <c r="K37"/>
  <c r="K16"/>
  <c r="K38"/>
  <c r="J17"/>
  <c r="J39"/>
  <c r="I18"/>
  <c r="I40"/>
  <c r="E22"/>
  <c r="E44"/>
  <c r="F26"/>
  <c r="E29"/>
  <c r="G30"/>
  <c r="I31"/>
  <c r="J32"/>
  <c r="F16"/>
  <c r="F38"/>
  <c r="K19"/>
  <c r="K41"/>
  <c r="K36" i="11"/>
  <c r="H28" i="1"/>
  <c r="F30"/>
  <c r="D32"/>
  <c r="K33"/>
  <c r="J41" i="11"/>
  <c r="K41"/>
  <c r="K42"/>
  <c r="J42"/>
  <c r="J38"/>
  <c r="N4" i="1" a="1"/>
  <c r="E26"/>
  <c r="I26"/>
  <c r="D27"/>
  <c r="H27"/>
  <c r="C28"/>
  <c r="G28"/>
  <c r="K28"/>
  <c r="F29"/>
  <c r="J29"/>
  <c r="E30"/>
  <c r="I30"/>
  <c r="D31"/>
  <c r="H31"/>
  <c r="C32"/>
  <c r="G32"/>
  <c r="K32"/>
  <c r="F33"/>
  <c r="J33"/>
  <c r="K39" i="11"/>
  <c r="K37"/>
  <c r="N4" i="1"/>
  <c r="R4"/>
  <c r="N5"/>
  <c r="R5"/>
  <c r="N6"/>
  <c r="R6"/>
  <c r="N7"/>
  <c r="R7"/>
  <c r="N8"/>
  <c r="R8"/>
  <c r="N9"/>
  <c r="R9"/>
  <c r="N10"/>
  <c r="R10"/>
  <c r="N11"/>
  <c r="R11"/>
  <c r="Q4"/>
  <c r="U4"/>
  <c r="Q5"/>
  <c r="U5"/>
  <c r="Q6"/>
  <c r="U6"/>
  <c r="Q7"/>
  <c r="U7"/>
  <c r="Q8"/>
  <c r="U8"/>
  <c r="Q9"/>
  <c r="U9"/>
  <c r="Q10"/>
  <c r="U10"/>
  <c r="Q11"/>
  <c r="U11"/>
  <c r="P4"/>
  <c r="T4"/>
  <c r="P5"/>
  <c r="T5"/>
  <c r="P6"/>
  <c r="T6"/>
  <c r="P7"/>
  <c r="T7"/>
  <c r="P8"/>
  <c r="T8"/>
  <c r="P9"/>
  <c r="T9"/>
  <c r="P10"/>
  <c r="T10"/>
  <c r="P11"/>
  <c r="T11"/>
  <c r="O4"/>
  <c r="S4"/>
  <c r="O5"/>
  <c r="S5"/>
  <c r="O6"/>
  <c r="S6"/>
  <c r="O7"/>
  <c r="S7"/>
  <c r="O8"/>
  <c r="S8"/>
  <c r="O9"/>
  <c r="S9"/>
  <c r="O10"/>
  <c r="S10"/>
  <c r="O11"/>
  <c r="S11"/>
  <c r="B15" i="9" a="1"/>
  <c r="B15"/>
</calcChain>
</file>

<file path=xl/comments1.xml><?xml version="1.0" encoding="utf-8"?>
<comments xmlns="http://schemas.openxmlformats.org/spreadsheetml/2006/main">
  <authors>
    <author>SGP</author>
  </authors>
  <commentList>
    <comment ref="B39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<sst xmlns="http://schemas.openxmlformats.org/spreadsheetml/2006/main" count="585" uniqueCount="150">
  <si>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</si>
  <si>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</si>
  <si>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</si>
  <si>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</si>
  <si>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</si>
  <si>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</si>
  <si>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</si>
  <si>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</si>
  <si>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</si>
  <si>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</si>
  <si>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</si>
  <si>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</si>
  <si>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</si>
  <si>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</si>
  <si>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</si>
  <si>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</si>
  <si>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</si>
  <si>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</si>
  <si>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</si>
  <si>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</si>
  <si>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</si>
  <si>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</si>
  <si>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</si>
  <si>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</si>
  <si>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</si>
  <si>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</si>
  <si>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</si>
  <si>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</si>
  <si>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</si>
  <si>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</si>
  <si>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</si>
  <si>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</si>
  <si>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</si>
  <si>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</si>
  <si>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</si>
  <si>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</si>
  <si>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</si>
  <si>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</si>
  <si>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</si>
  <si>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</si>
  <si>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</si>
  <si>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</si>
  <si>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</si>
  <si>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</si>
  <si>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</si>
  <si>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</si>
  <si>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</si>
  <si>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</si>
  <si>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</si>
  <si>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</si>
  <si>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</si>
  <si>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</si>
  <si>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</si>
  <si>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</si>
  <si>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</si>
  <si>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</si>
  <si>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</si>
  <si>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</si>
  <si>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</si>
  <si>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</si>
  <si>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</si>
  <si>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</si>
  <si>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</si>
  <si>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</si>
  <si>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</si>
  <si>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</si>
  <si>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</si>
  <si>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</si>
  <si>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</si>
  <si>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</si>
  <si>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</si>
  <si>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</si>
  <si>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</si>
  <si>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</si>
  <si>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</si>
  <si>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</si>
  <si>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</si>
  <si>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</si>
  <si>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</si>
  <si>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</si>
  <si>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</si>
  <si>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</si>
  <si>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</si>
  <si>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</si>
  <si>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</si>
  <si>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</si>
  <si>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</si>
  <si>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</si>
  <si>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</si>
  <si>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</si>
  <si>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</si>
  <si>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</si>
  <si>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</si>
  <si>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</si>
  <si>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</si>
  <si>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</si>
  <si>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</si>
  <si>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</si>
  <si>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</si>
  <si>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</si>
  <si>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</si>
  <si>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</si>
  <si>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</si>
  <si>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</si>
  <si>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</si>
  <si>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</si>
  <si>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</si>
  <si>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</si>
  <si>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</si>
  <si>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</si>
  <si>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</si>
  <si>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</si>
  <si>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</si>
  <si>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</si>
  <si>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</si>
  <si>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</si>
  <si>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</si>
  <si>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</si>
  <si>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huidige VCM - relatief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</si>
  <si>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</si>
  <si>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</si>
  <si>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</si>
  <si>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</si>
  <si>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</si>
  <si>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</si>
  <si>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</si>
  <si>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</si>
  <si>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</si>
  <si>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</si>
  <si>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</si>
  <si>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</si>
  <si>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</si>
  <si>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</si>
  <si>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</si>
  <si>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</si>
  <si>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</si>
  <si>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Base Case verwacht rendement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</si>
  <si>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</si>
  <si>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</si>
  <si>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</si>
  <si>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</si>
  <si>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</si>
  <si>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</si>
  <si>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</si>
  <si>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</si>
  <si>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</si>
  <si>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</si>
  <si>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NaN</t>
  </si>
  <si>
    <t>Vorig IC Input</t>
  </si>
  <si>
    <t>Information Ratio</t>
  </si>
</sst>
</file>

<file path=xl/styles.xml><?xml version="1.0" encoding="utf-8"?>
<styleSheet xmlns="http://schemas.openxmlformats.org/spreadsheetml/2006/main">
  <numFmts count="45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  <numFmt numFmtId="207" formatCode="\€#,##0_);\(\€#,##0\)"/>
  </numFmts>
  <fonts count="9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9"/>
      <name val="Helvetica-Narrow"/>
    </font>
    <font>
      <sz val="9"/>
      <name val="Arial"/>
      <family val="2"/>
    </font>
    <font>
      <sz val="10"/>
      <name val="Arial Narrow"/>
      <family val="2"/>
    </font>
    <font>
      <sz val="16"/>
      <color theme="1"/>
      <name val="Calibri"/>
      <family val="2"/>
    </font>
    <font>
      <sz val="16"/>
      <color rgb="FFFF0000"/>
      <name val="Calibri"/>
      <family val="2"/>
    </font>
  </fonts>
  <fills count="6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7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79" fillId="0" borderId="0" applyNumberFormat="0" applyFill="0" applyBorder="0" applyAlignment="0" applyProtection="0"/>
    <xf numFmtId="0" fontId="80" fillId="0" borderId="55" applyNumberFormat="0" applyFill="0" applyAlignment="0" applyProtection="0"/>
    <xf numFmtId="0" fontId="81" fillId="0" borderId="56" applyNumberFormat="0" applyFill="0" applyAlignment="0" applyProtection="0"/>
    <xf numFmtId="0" fontId="82" fillId="0" borderId="57" applyNumberFormat="0" applyFill="0" applyAlignment="0" applyProtection="0"/>
    <xf numFmtId="0" fontId="82" fillId="0" borderId="0" applyNumberFormat="0" applyFill="0" applyBorder="0" applyAlignment="0" applyProtection="0"/>
    <xf numFmtId="0" fontId="83" fillId="35" borderId="0" applyNumberFormat="0" applyBorder="0" applyAlignment="0" applyProtection="0"/>
    <xf numFmtId="0" fontId="84" fillId="36" borderId="0" applyNumberFormat="0" applyBorder="0" applyAlignment="0" applyProtection="0"/>
    <xf numFmtId="0" fontId="85" fillId="37" borderId="0" applyNumberFormat="0" applyBorder="0" applyAlignment="0" applyProtection="0"/>
    <xf numFmtId="0" fontId="86" fillId="38" borderId="58" applyNumberFormat="0" applyAlignment="0" applyProtection="0"/>
    <xf numFmtId="0" fontId="87" fillId="38" borderId="1" applyNumberFormat="0" applyAlignment="0" applyProtection="0"/>
    <xf numFmtId="0" fontId="88" fillId="0" borderId="59" applyNumberFormat="0" applyFill="0" applyAlignment="0" applyProtection="0"/>
    <xf numFmtId="0" fontId="89" fillId="39" borderId="60" applyNumberFormat="0" applyAlignment="0" applyProtection="0"/>
    <xf numFmtId="0" fontId="90" fillId="0" borderId="0" applyNumberFormat="0" applyFill="0" applyBorder="0" applyAlignment="0" applyProtection="0"/>
    <xf numFmtId="0" fontId="1" fillId="40" borderId="61" applyNumberFormat="0" applyFont="0" applyAlignment="0" applyProtection="0"/>
    <xf numFmtId="0" fontId="91" fillId="0" borderId="0" applyNumberFormat="0" applyFill="0" applyBorder="0" applyAlignment="0" applyProtection="0"/>
    <xf numFmtId="0" fontId="12" fillId="0" borderId="62" applyNumberFormat="0" applyFill="0" applyAlignment="0" applyProtection="0"/>
    <xf numFmtId="0" fontId="15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15" fillId="44" borderId="0" applyNumberFormat="0" applyBorder="0" applyAlignment="0" applyProtection="0"/>
    <xf numFmtId="0" fontId="15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15" fillId="48" borderId="0" applyNumberFormat="0" applyBorder="0" applyAlignment="0" applyProtection="0"/>
    <xf numFmtId="0" fontId="15" fillId="49" borderId="0" applyNumberFormat="0" applyBorder="0" applyAlignment="0" applyProtection="0"/>
    <xf numFmtId="0" fontId="1" fillId="50" borderId="0" applyNumberFormat="0" applyBorder="0" applyAlignment="0" applyProtection="0"/>
    <xf numFmtId="0" fontId="1" fillId="51" borderId="0" applyNumberFormat="0" applyBorder="0" applyAlignment="0" applyProtection="0"/>
    <xf numFmtId="0" fontId="15" fillId="52" borderId="0" applyNumberFormat="0" applyBorder="0" applyAlignment="0" applyProtection="0"/>
    <xf numFmtId="0" fontId="15" fillId="53" borderId="0" applyNumberFormat="0" applyBorder="0" applyAlignment="0" applyProtection="0"/>
    <xf numFmtId="0" fontId="1" fillId="54" borderId="0" applyNumberFormat="0" applyBorder="0" applyAlignment="0" applyProtection="0"/>
    <xf numFmtId="0" fontId="1" fillId="55" borderId="0" applyNumberFormat="0" applyBorder="0" applyAlignment="0" applyProtection="0"/>
    <xf numFmtId="0" fontId="15" fillId="56" borderId="0" applyNumberFormat="0" applyBorder="0" applyAlignment="0" applyProtection="0"/>
    <xf numFmtId="0" fontId="15" fillId="57" borderId="0" applyNumberFormat="0" applyBorder="0" applyAlignment="0" applyProtection="0"/>
    <xf numFmtId="0" fontId="1" fillId="58" borderId="0" applyNumberFormat="0" applyBorder="0" applyAlignment="0" applyProtection="0"/>
    <xf numFmtId="0" fontId="1" fillId="59" borderId="0" applyNumberFormat="0" applyBorder="0" applyAlignment="0" applyProtection="0"/>
    <xf numFmtId="0" fontId="15" fillId="60" borderId="0" applyNumberFormat="0" applyBorder="0" applyAlignment="0" applyProtection="0"/>
    <xf numFmtId="0" fontId="15" fillId="61" borderId="0" applyNumberFormat="0" applyBorder="0" applyAlignment="0" applyProtection="0"/>
    <xf numFmtId="0" fontId="1" fillId="62" borderId="0" applyNumberFormat="0" applyBorder="0" applyAlignment="0" applyProtection="0"/>
    <xf numFmtId="0" fontId="1" fillId="63" borderId="0" applyNumberFormat="0" applyBorder="0" applyAlignment="0" applyProtection="0"/>
    <xf numFmtId="0" fontId="15" fillId="64" borderId="0" applyNumberFormat="0" applyBorder="0" applyAlignment="0" applyProtection="0"/>
    <xf numFmtId="0" fontId="35" fillId="10" borderId="0" applyNumberFormat="0" applyBorder="0" applyAlignment="0" applyProtection="0"/>
    <xf numFmtId="0" fontId="35" fillId="10" borderId="0" applyNumberFormat="0" applyBorder="0" applyAlignment="0" applyProtection="0"/>
    <xf numFmtId="0" fontId="35" fillId="16" borderId="0" applyNumberFormat="0" applyBorder="0" applyAlignment="0" applyProtection="0"/>
    <xf numFmtId="0" fontId="35" fillId="14" borderId="0" applyNumberFormat="0" applyBorder="0" applyAlignment="0" applyProtection="0"/>
    <xf numFmtId="0" fontId="36" fillId="18" borderId="0" applyNumberFormat="0" applyBorder="0" applyAlignment="0" applyProtection="0"/>
    <xf numFmtId="0" fontId="36" fillId="17" borderId="0" applyNumberFormat="0" applyBorder="0" applyAlignment="0" applyProtection="0"/>
    <xf numFmtId="0" fontId="3" fillId="0" borderId="0"/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" fillId="0" borderId="0">
      <alignment horizontal="left" wrapText="1"/>
    </xf>
    <xf numFmtId="0" fontId="35" fillId="9" borderId="0" applyNumberFormat="0" applyBorder="0" applyAlignment="0" applyProtection="0"/>
    <xf numFmtId="0" fontId="36" fillId="19" borderId="0" applyNumberFormat="0" applyBorder="0" applyAlignment="0" applyProtection="0"/>
    <xf numFmtId="0" fontId="35" fillId="8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>
      <alignment horizontal="left" wrapText="1"/>
    </xf>
    <xf numFmtId="0" fontId="36" fillId="15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5" fillId="13" borderId="0" applyNumberFormat="0" applyBorder="0" applyAlignment="0" applyProtection="0"/>
    <xf numFmtId="0" fontId="35" fillId="13" borderId="0" applyNumberFormat="0" applyBorder="0" applyAlignment="0" applyProtection="0"/>
    <xf numFmtId="0" fontId="36" fillId="20" borderId="0" applyNumberFormat="0" applyBorder="0" applyAlignment="0" applyProtection="0"/>
    <xf numFmtId="0" fontId="35" fillId="15" borderId="0" applyNumberFormat="0" applyBorder="0" applyAlignment="0" applyProtection="0"/>
    <xf numFmtId="0" fontId="36" fillId="14" borderId="0" applyNumberFormat="0" applyBorder="0" applyAlignment="0" applyProtection="0"/>
    <xf numFmtId="0" fontId="92" fillId="0" borderId="0">
      <alignment horizontal="center"/>
    </xf>
    <xf numFmtId="0" fontId="71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Protection="0">
      <alignment horizontal="right"/>
    </xf>
    <xf numFmtId="0" fontId="37" fillId="25" borderId="37" applyNumberFormat="0" applyAlignment="0" applyProtection="0"/>
    <xf numFmtId="0" fontId="45" fillId="0" borderId="44" applyNumberFormat="0" applyFill="0" applyAlignment="0" applyProtection="0"/>
    <xf numFmtId="0" fontId="3" fillId="30" borderId="48" applyNumberFormat="0" applyFont="0" applyAlignment="0" applyProtection="0"/>
    <xf numFmtId="0" fontId="48" fillId="12" borderId="37" applyNumberFormat="0" applyAlignment="0" applyProtection="0"/>
    <xf numFmtId="207" fontId="93" fillId="0" borderId="0"/>
    <xf numFmtId="0" fontId="48" fillId="12" borderId="37" applyNumberFormat="0" applyAlignment="0" applyProtection="0"/>
    <xf numFmtId="0" fontId="58" fillId="8" borderId="0" applyNumberFormat="0" applyBorder="0" applyAlignment="0" applyProtection="0"/>
    <xf numFmtId="0" fontId="54" fillId="6" borderId="0" applyNumberFormat="0" applyBorder="0" applyAlignment="0" applyProtection="0"/>
    <xf numFmtId="0" fontId="35" fillId="0" borderId="0"/>
    <xf numFmtId="0" fontId="3" fillId="0" borderId="0"/>
    <xf numFmtId="0" fontId="3" fillId="0" borderId="0"/>
    <xf numFmtId="0" fontId="35" fillId="30" borderId="48" applyNumberFormat="0" applyFont="0" applyAlignment="0" applyProtection="0"/>
    <xf numFmtId="37" fontId="94" fillId="65" borderId="0" applyAlignment="0"/>
    <xf numFmtId="9" fontId="3" fillId="0" borderId="0" applyFont="0" applyFill="0" applyBorder="0" applyAlignment="0" applyProtection="0"/>
    <xf numFmtId="2" fontId="3" fillId="0" borderId="0" applyFont="0" applyFill="0" applyBorder="0" applyProtection="0">
      <alignment horizontal="right"/>
    </xf>
    <xf numFmtId="0" fontId="47" fillId="9" borderId="0" applyNumberFormat="0" applyBorder="0" applyAlignment="0" applyProtection="0"/>
    <xf numFmtId="0" fontId="69" fillId="25" borderId="49" applyNumberFormat="0" applyAlignment="0" applyProtection="0"/>
    <xf numFmtId="0" fontId="3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43" fillId="27" borderId="41" applyNumberFormat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3" fillId="0" borderId="0" applyFont="0" applyFill="0" applyBorder="0" applyAlignment="0" applyProtection="0"/>
  </cellStyleXfs>
  <cellXfs count="413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/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164" fontId="7" fillId="3" borderId="9" xfId="1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0" fontId="7" fillId="0" borderId="9" xfId="0" applyFont="1" applyBorder="1"/>
    <xf numFmtId="164" fontId="7" fillId="0" borderId="10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164" fontId="7" fillId="0" borderId="10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7" fillId="3" borderId="6" xfId="0" applyFont="1" applyFill="1" applyBorder="1"/>
    <xf numFmtId="0" fontId="7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11" xfId="0" applyNumberFormat="1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164" fontId="7" fillId="3" borderId="10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14" xfId="1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9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164" fontId="7" fillId="4" borderId="10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13" xfId="1" applyNumberFormat="1" applyFont="1" applyFill="1" applyBorder="1" applyAlignment="1">
      <alignment horizontal="center"/>
    </xf>
    <xf numFmtId="2" fontId="7" fillId="0" borderId="27" xfId="1" applyNumberFormat="1" applyFont="1" applyFill="1" applyBorder="1" applyAlignment="1">
      <alignment horizontal="center"/>
    </xf>
    <xf numFmtId="2" fontId="7" fillId="0" borderId="17" xfId="1" applyNumberFormat="1" applyFont="1" applyFill="1" applyBorder="1" applyAlignment="1">
      <alignment horizontal="center"/>
    </xf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164" fontId="7" fillId="0" borderId="10" xfId="1" applyNumberFormat="1" applyFont="1" applyFill="1" applyBorder="1" applyAlignment="1">
      <alignment horizontal="center"/>
    </xf>
    <xf numFmtId="2" fontId="7" fillId="0" borderId="11" xfId="1" applyNumberFormat="1" applyFont="1" applyFill="1" applyBorder="1" applyAlignment="1">
      <alignment horizontal="center"/>
    </xf>
    <xf numFmtId="2" fontId="7" fillId="0" borderId="12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2" fontId="7" fillId="0" borderId="8" xfId="0" applyNumberFormat="1" applyFont="1" applyFill="1" applyBorder="1" applyAlignment="1">
      <alignment horizontal="center"/>
    </xf>
    <xf numFmtId="2" fontId="7" fillId="0" borderId="9" xfId="0" applyNumberFormat="1" applyFont="1" applyFill="1" applyBorder="1" applyAlignment="1">
      <alignment horizontal="center"/>
    </xf>
    <xf numFmtId="2" fontId="7" fillId="0" borderId="11" xfId="0" applyNumberFormat="1" applyFont="1" applyFill="1" applyBorder="1" applyAlignment="1">
      <alignment horizontal="center"/>
    </xf>
    <xf numFmtId="2" fontId="7" fillId="0" borderId="12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9" xfId="0" applyNumberFormat="1" applyFont="1" applyFill="1" applyBorder="1" applyAlignment="1">
      <alignment horizontal="center"/>
    </xf>
    <xf numFmtId="2" fontId="7" fillId="4" borderId="11" xfId="0" applyNumberFormat="1" applyFont="1" applyFill="1" applyBorder="1" applyAlignment="1">
      <alignment horizontal="center"/>
    </xf>
    <xf numFmtId="2" fontId="7" fillId="4" borderId="12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4" borderId="12" xfId="1" applyNumberFormat="1" applyFont="1" applyFill="1" applyBorder="1" applyAlignment="1">
      <alignment horizontal="center"/>
    </xf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164" fontId="7" fillId="3" borderId="35" xfId="1" applyNumberFormat="1" applyFont="1" applyFill="1" applyBorder="1" applyAlignment="1">
      <alignment horizontal="center"/>
    </xf>
    <xf numFmtId="0" fontId="0" fillId="3" borderId="0" xfId="0" applyFont="1" applyFill="1" applyBorder="1" applyAlignment="1"/>
    <xf numFmtId="164" fontId="7" fillId="3" borderId="36" xfId="1" applyNumberFormat="1" applyFont="1" applyFill="1" applyBorder="1" applyAlignment="1">
      <alignment horizontal="center"/>
    </xf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164" fontId="7" fillId="3" borderId="34" xfId="1" applyNumberFormat="1" applyFont="1" applyFill="1" applyBorder="1" applyAlignment="1">
      <alignment horizontal="center"/>
    </xf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0" fontId="7" fillId="33" borderId="0" xfId="0" applyFont="1" applyFill="1"/>
    <xf numFmtId="164" fontId="7" fillId="33" borderId="0" xfId="1" applyNumberFormat="1" applyFont="1" applyFill="1" applyBorder="1" applyAlignment="1">
      <alignment horizontal="center"/>
    </xf>
    <xf numFmtId="164" fontId="7" fillId="33" borderId="8" xfId="1" applyNumberFormat="1" applyFont="1" applyFill="1" applyBorder="1" applyAlignment="1">
      <alignment horizontal="center"/>
    </xf>
    <xf numFmtId="164" fontId="7" fillId="33" borderId="42" xfId="1" applyNumberFormat="1" applyFont="1" applyFill="1" applyBorder="1" applyAlignment="1">
      <alignment horizontal="center"/>
    </xf>
    <xf numFmtId="164" fontId="7" fillId="33" borderId="53" xfId="1" applyNumberFormat="1" applyFont="1" applyFill="1" applyBorder="1" applyAlignment="1">
      <alignment horizontal="center"/>
    </xf>
    <xf numFmtId="10" fontId="0" fillId="3" borderId="0" xfId="0" applyNumberFormat="1" applyFill="1" applyBorder="1"/>
    <xf numFmtId="164" fontId="7" fillId="3" borderId="13" xfId="1" applyNumberFormat="1" applyFont="1" applyFill="1" applyBorder="1" applyAlignment="1">
      <alignment horizontal="center"/>
    </xf>
    <xf numFmtId="164" fontId="7" fillId="3" borderId="54" xfId="1" applyNumberFormat="1" applyFont="1" applyFill="1" applyBorder="1" applyAlignment="1">
      <alignment horizontal="center"/>
    </xf>
    <xf numFmtId="9" fontId="10" fillId="3" borderId="0" xfId="0" applyNumberFormat="1" applyFont="1" applyFill="1" applyBorder="1" applyAlignment="1">
      <alignment horizontal="center"/>
    </xf>
    <xf numFmtId="10" fontId="10" fillId="3" borderId="0" xfId="0" applyNumberFormat="1" applyFont="1" applyFill="1" applyBorder="1" applyAlignment="1">
      <alignment horizontal="center"/>
    </xf>
    <xf numFmtId="0" fontId="77" fillId="3" borderId="0" xfId="0" applyFont="1" applyFill="1" applyBorder="1"/>
    <xf numFmtId="43" fontId="7" fillId="3" borderId="34" xfId="3" applyFont="1" applyFill="1" applyBorder="1" applyAlignment="1">
      <alignment horizontal="center"/>
    </xf>
    <xf numFmtId="43" fontId="7" fillId="3" borderId="35" xfId="3" applyFont="1" applyFill="1" applyBorder="1" applyAlignment="1">
      <alignment horizontal="center"/>
    </xf>
    <xf numFmtId="43" fontId="7" fillId="3" borderId="36" xfId="3" applyFont="1" applyFill="1" applyBorder="1" applyAlignment="1">
      <alignment horizontal="center"/>
    </xf>
    <xf numFmtId="43" fontId="7" fillId="3" borderId="23" xfId="3" applyFont="1" applyFill="1" applyBorder="1" applyAlignment="1">
      <alignment horizontal="center"/>
    </xf>
    <xf numFmtId="43" fontId="7" fillId="3" borderId="0" xfId="3" applyFont="1" applyFill="1" applyBorder="1" applyAlignment="1">
      <alignment horizontal="center"/>
    </xf>
    <xf numFmtId="43" fontId="7" fillId="3" borderId="31" xfId="3" applyFont="1" applyFill="1" applyBorder="1" applyAlignment="1">
      <alignment horizontal="center"/>
    </xf>
    <xf numFmtId="43" fontId="7" fillId="3" borderId="26" xfId="3" applyFont="1" applyFill="1" applyBorder="1" applyAlignment="1">
      <alignment horizontal="center"/>
    </xf>
    <xf numFmtId="43" fontId="7" fillId="3" borderId="32" xfId="3" applyFont="1" applyFill="1" applyBorder="1" applyAlignment="1">
      <alignment horizontal="center"/>
    </xf>
    <xf numFmtId="43" fontId="7" fillId="3" borderId="33" xfId="3" applyFont="1" applyFill="1" applyBorder="1" applyAlignment="1">
      <alignment horizontal="center"/>
    </xf>
    <xf numFmtId="164" fontId="0" fillId="66" borderId="7" xfId="0" applyNumberFormat="1" applyFont="1" applyFill="1" applyBorder="1" applyAlignment="1">
      <alignment horizontal="center"/>
    </xf>
    <xf numFmtId="164" fontId="0" fillId="33" borderId="7" xfId="0" applyNumberFormat="1" applyFont="1" applyFill="1" applyBorder="1" applyAlignment="1">
      <alignment horizontal="center"/>
    </xf>
    <xf numFmtId="164" fontId="0" fillId="67" borderId="7" xfId="0" applyNumberFormat="1" applyFont="1" applyFill="1" applyBorder="1" applyAlignment="1">
      <alignment horizontal="center"/>
    </xf>
    <xf numFmtId="164" fontId="95" fillId="3" borderId="0" xfId="0" applyNumberFormat="1" applyFont="1" applyFill="1" applyBorder="1" applyAlignment="1">
      <alignment horizontal="center"/>
    </xf>
    <xf numFmtId="164" fontId="96" fillId="3" borderId="0" xfId="0" applyNumberFormat="1" applyFont="1" applyFill="1" applyBorder="1" applyAlignment="1">
      <alignment horizontal="center"/>
    </xf>
    <xf numFmtId="164" fontId="95" fillId="3" borderId="0" xfId="0" applyNumberFormat="1" applyFont="1" applyFill="1" applyBorder="1" applyAlignment="1">
      <alignment horizontal="center"/>
    </xf>
    <xf numFmtId="164" fontId="96" fillId="3" borderId="35" xfId="0" applyNumberFormat="1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2" fontId="9" fillId="0" borderId="17" xfId="2" applyNumberFormat="1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</cellXfs>
  <cellStyles count="7700">
    <cellStyle name="_x000a_bidires=100_x000d_" xfId="7646"/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default forecast" xfId="7653"/>
    <cellStyle name="_defaulted issuers" xfId="7659"/>
    <cellStyle name="_defaults" xfId="7660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Liquidity" xfId="7647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paired spreads" xfId="7649"/>
    <cellStyle name="_S&amp;P Trailing-12-Month Default Rate" xfId="7658"/>
    <cellStyle name="_spread &amp; return forecast" xfId="7654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 % - Accent1" xfId="7648"/>
    <cellStyle name="20 % - Accent2" xfId="7652"/>
    <cellStyle name="20 % - Accent3" xfId="7650"/>
    <cellStyle name="20 % - Accent4" xfId="7640"/>
    <cellStyle name="20 % - Accent5" xfId="7656"/>
    <cellStyle name="20 % - Accent6" xfId="7657"/>
    <cellStyle name="20% - Accent1" xfId="7617" builtinId="30" customBuiltin="1"/>
    <cellStyle name="20% - Accent1 2" xfId="5534"/>
    <cellStyle name="20% - Accent1 3" xfId="1166"/>
    <cellStyle name="20% - Accent2" xfId="7621" builtinId="34" customBuiltin="1"/>
    <cellStyle name="20% - Accent2 2" xfId="5535"/>
    <cellStyle name="20% - Accent2 3" xfId="1167"/>
    <cellStyle name="20% - Accent3" xfId="7625" builtinId="38" customBuiltin="1"/>
    <cellStyle name="20% - Accent3 2" xfId="5536"/>
    <cellStyle name="20% - Accent3 3" xfId="1168"/>
    <cellStyle name="20% - Accent4" xfId="7629" builtinId="42" customBuiltin="1"/>
    <cellStyle name="20% - Accent4 2" xfId="5537"/>
    <cellStyle name="20% - Accent4 3" xfId="1169"/>
    <cellStyle name="20% - Accent5" xfId="7633" builtinId="46" customBuiltin="1"/>
    <cellStyle name="20% - Accent5 2" xfId="5538"/>
    <cellStyle name="20% - Accent5 3" xfId="1170"/>
    <cellStyle name="20% - Accent6" xfId="7637" builtinId="50" customBuiltin="1"/>
    <cellStyle name="20% - Accent6 2" xfId="5539"/>
    <cellStyle name="20% - Accent6 3" xfId="1171"/>
    <cellStyle name="40 % - Accent1" xfId="7661"/>
    <cellStyle name="40 % - Accent2" xfId="7643"/>
    <cellStyle name="40 % - Accent3" xfId="7664"/>
    <cellStyle name="40 % - Accent4" xfId="7641"/>
    <cellStyle name="40 % - Accent5" xfId="7662"/>
    <cellStyle name="40 % - Accent6" xfId="7642"/>
    <cellStyle name="40% - Accent1" xfId="7618" builtinId="31" customBuiltin="1"/>
    <cellStyle name="40% - Accent1 2" xfId="5540"/>
    <cellStyle name="40% - Accent1 3" xfId="1172"/>
    <cellStyle name="40% - Accent2" xfId="7622" builtinId="35" customBuiltin="1"/>
    <cellStyle name="40% - Accent2 2" xfId="5541"/>
    <cellStyle name="40% - Accent2 3" xfId="1173"/>
    <cellStyle name="40% - Accent3" xfId="7626" builtinId="39" customBuiltin="1"/>
    <cellStyle name="40% - Accent3 2" xfId="5542"/>
    <cellStyle name="40% - Accent3 3" xfId="1174"/>
    <cellStyle name="40% - Accent4" xfId="7630" builtinId="43" customBuiltin="1"/>
    <cellStyle name="40% - Accent4 2" xfId="5543"/>
    <cellStyle name="40% - Accent4 3" xfId="1175"/>
    <cellStyle name="40% - Accent5" xfId="7634" builtinId="47" customBuiltin="1"/>
    <cellStyle name="40% - Accent5 2" xfId="5544"/>
    <cellStyle name="40% - Accent5 3" xfId="1176"/>
    <cellStyle name="40% - Accent6" xfId="7638" builtinId="51" customBuiltin="1"/>
    <cellStyle name="40% - Accent6 2" xfId="5545"/>
    <cellStyle name="40% - Accent6 3" xfId="1177"/>
    <cellStyle name="60 % - Accent1" xfId="7645"/>
    <cellStyle name="60 % - Accent2" xfId="7665"/>
    <cellStyle name="60 % - Accent3" xfId="7655"/>
    <cellStyle name="60 % - Accent4" xfId="7644"/>
    <cellStyle name="60 % - Accent5" xfId="7651"/>
    <cellStyle name="60 % - Accent6" xfId="7663"/>
    <cellStyle name="60% - Accent1" xfId="7619" builtinId="32" customBuiltin="1"/>
    <cellStyle name="60% - Accent1 2" xfId="5546"/>
    <cellStyle name="60% - Accent1 3" xfId="1178"/>
    <cellStyle name="60% - Accent2" xfId="7623" builtinId="36" customBuiltin="1"/>
    <cellStyle name="60% - Accent2 2" xfId="5547"/>
    <cellStyle name="60% - Accent2 3" xfId="1179"/>
    <cellStyle name="60% - Accent3" xfId="7627" builtinId="40" customBuiltin="1"/>
    <cellStyle name="60% - Accent3 2" xfId="5548"/>
    <cellStyle name="60% - Accent3 3" xfId="1180"/>
    <cellStyle name="60% - Accent4" xfId="7631" builtinId="44" customBuiltin="1"/>
    <cellStyle name="60% - Accent4 2" xfId="5549"/>
    <cellStyle name="60% - Accent4 3" xfId="1181"/>
    <cellStyle name="60% - Accent5" xfId="7635" builtinId="48" customBuiltin="1"/>
    <cellStyle name="60% - Accent5 2" xfId="5550"/>
    <cellStyle name="60% - Accent5 3" xfId="1182"/>
    <cellStyle name="60% - Accent6" xfId="7639" builtinId="52" customBuiltin="1"/>
    <cellStyle name="60% - Accent6 2" xfId="5551"/>
    <cellStyle name="60% - Accent6 3" xfId="1183"/>
    <cellStyle name="ABC" xfId="7666"/>
    <cellStyle name="Accent1" xfId="7616" builtinId="29" customBuiltin="1"/>
    <cellStyle name="Accent1 2" xfId="5552"/>
    <cellStyle name="Accent1 3" xfId="1184"/>
    <cellStyle name="Accent2" xfId="7620" builtinId="33" customBuiltin="1"/>
    <cellStyle name="Accent2 2" xfId="5553"/>
    <cellStyle name="Accent2 3" xfId="1185"/>
    <cellStyle name="Accent3" xfId="7624" builtinId="37" customBuiltin="1"/>
    <cellStyle name="Accent3 2" xfId="5554"/>
    <cellStyle name="Accent3 3" xfId="1186"/>
    <cellStyle name="Accent4" xfId="7628" builtinId="41" customBuiltin="1"/>
    <cellStyle name="Accent4 2" xfId="5555"/>
    <cellStyle name="Accent4 3" xfId="1187"/>
    <cellStyle name="Accent5" xfId="7632" builtinId="45" customBuiltin="1"/>
    <cellStyle name="Accent5 2" xfId="5556"/>
    <cellStyle name="Accent5 3" xfId="1188"/>
    <cellStyle name="Accent6" xfId="7636" builtinId="49" customBuiltin="1"/>
    <cellStyle name="Accent6 2" xfId="5557"/>
    <cellStyle name="Accent6 3" xfId="1189"/>
    <cellStyle name="Andre's Title" xfId="1190"/>
    <cellStyle name="Andre's Title 2" xfId="3560"/>
    <cellStyle name="Andre's Title 3" xfId="2346"/>
    <cellStyle name="Avertissement" xfId="7667"/>
    <cellStyle name="Bad" xfId="7606" builtinId="27" customBuiltin="1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ld" xfId="7668"/>
    <cellStyle name="BoldRight" xfId="7669"/>
    <cellStyle name="BoxHeading" xfId="1196"/>
    <cellStyle name="BoxHeading 2" xfId="3566"/>
    <cellStyle name="BoxHeading 3" xfId="2348"/>
    <cellStyle name="Calcul" xfId="7670"/>
    <cellStyle name="Calculation" xfId="7609" builtinId="22" customBuiltin="1"/>
    <cellStyle name="Calculation 2" xfId="5559"/>
    <cellStyle name="Calculation 3" xfId="1197"/>
    <cellStyle name="Cast" xfId="1198"/>
    <cellStyle name="Cellule liée" xfId="7671"/>
    <cellStyle name="Check Cell" xfId="7611" builtinId="23" customBuiltin="1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22" xfId="7697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4 2" xfId="7699"/>
    <cellStyle name="Comma 4 3" xfId="7698"/>
    <cellStyle name="Comma 5" xfId="4"/>
    <cellStyle name="Comma 6" xfId="7574"/>
    <cellStyle name="Comma 7" xfId="7589"/>
    <cellStyle name="Comma 8" xfId="7590"/>
    <cellStyle name="Comma 9" xfId="7586"/>
    <cellStyle name="Commentaire" xfId="7672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ntrée" xfId="7673"/>
    <cellStyle name="Euro" xfId="1212"/>
    <cellStyle name="Euro 2" xfId="7535"/>
    <cellStyle name="Euro 3" xfId="7674"/>
    <cellStyle name="Explanatory Text" xfId="7614" builtinId="53" customBuiltin="1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" xfId="7605" builtinId="26" customBuiltin="1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" xfId="7601" builtinId="16" customBuiltin="1"/>
    <cellStyle name="Heading 1 2" xfId="5566"/>
    <cellStyle name="Heading 1 3" xfId="1225"/>
    <cellStyle name="Heading 2" xfId="7602" builtinId="17" customBuiltin="1"/>
    <cellStyle name="Heading 2 2" xfId="5567"/>
    <cellStyle name="Heading 2 3" xfId="1226"/>
    <cellStyle name="Heading 3" xfId="7603" builtinId="18" customBuiltin="1"/>
    <cellStyle name="Heading 3 2" xfId="5568"/>
    <cellStyle name="Heading 3 3" xfId="1227"/>
    <cellStyle name="Heading 4" xfId="7604" builtinId="19" customBuiltin="1"/>
    <cellStyle name="Heading 4 2" xfId="5569"/>
    <cellStyle name="Heading 4 3" xfId="1228"/>
    <cellStyle name="Input" xfId="2" builtinId="20" customBuiltin="1"/>
    <cellStyle name="Input 2" xfId="3592"/>
    <cellStyle name="Input 2 2" xfId="7675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satisfaisant" xfId="7676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" xfId="7610" builtinId="24" customBuiltin="1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" xfId="7607" builtinId="28" customBuiltin="1"/>
    <cellStyle name="Neutral 2" xfId="5573"/>
    <cellStyle name="Neutral 3" xfId="1252"/>
    <cellStyle name="Neutre" xfId="7677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2 2 2" xfId="7678"/>
    <cellStyle name="Normal 3" xfId="5575"/>
    <cellStyle name="Normal 3 2" xfId="7680"/>
    <cellStyle name="Normal 3 3" xfId="7679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" xfId="7613" builtinId="10" customBuiltin="1"/>
    <cellStyle name="Note 2" xfId="5578"/>
    <cellStyle name="Note 2 2" xfId="7681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" xfId="7608" builtinId="21" customBuiltin="1"/>
    <cellStyle name="Output 2" xfId="5584"/>
    <cellStyle name="Output 3" xfId="1264"/>
    <cellStyle name="OutputPlain" xfId="7682"/>
    <cellStyle name="Percent" xfId="1" builtinId="5"/>
    <cellStyle name="Percent 2" xfId="5585"/>
    <cellStyle name="Percent 2 10" xfId="7696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3 2 2" xfId="7683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ghtNumber" xfId="7684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atisfaisant" xfId="7685"/>
    <cellStyle name="Sortie" xfId="7686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1 4" xfId="7687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exte explicatif" xfId="7688"/>
    <cellStyle name="Titel" xfId="1305"/>
    <cellStyle name="Title" xfId="7600" builtinId="15" customBuiltin="1"/>
    <cellStyle name="Title - PROJECT" xfId="1307"/>
    <cellStyle name="Title - Underline" xfId="1308"/>
    <cellStyle name="Title 2" xfId="5638"/>
    <cellStyle name="Title 2 2" xfId="7689"/>
    <cellStyle name="Title 3" xfId="1306"/>
    <cellStyle name="Titles - Col. Headings" xfId="1309"/>
    <cellStyle name="Titles - Other" xfId="1310"/>
    <cellStyle name="Titre" xfId="7690"/>
    <cellStyle name="Titre 1" xfId="7691"/>
    <cellStyle name="Titre 2" xfId="7692"/>
    <cellStyle name="Titre 3" xfId="7693"/>
    <cellStyle name="Titre 4" xfId="7694"/>
    <cellStyle name="Totaal" xfId="1311"/>
    <cellStyle name="Total" xfId="7615" builtinId="25" customBuiltin="1"/>
    <cellStyle name="Total 2" xfId="5639"/>
    <cellStyle name="Total 3" xfId="1312"/>
    <cellStyle name="Uitvoer" xfId="1313"/>
    <cellStyle name="Valuta_Inputrapportages jaar" xfId="1314"/>
    <cellStyle name="Vérification" xfId="7695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" xfId="7612" builtinId="11" customBuiltin="1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[3]Evaluatie!$B$2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843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0.55549268496933957</c:v>
                </c:pt>
                <c:pt idx="1">
                  <c:v>9.7387120358343723E-2</c:v>
                </c:pt>
                <c:pt idx="2">
                  <c:v>9.5164223805884504E-2</c:v>
                </c:pt>
                <c:pt idx="3">
                  <c:v>0.10363483668477239</c:v>
                </c:pt>
                <c:pt idx="4">
                  <c:v>5.1404597453969164E-2</c:v>
                </c:pt>
                <c:pt idx="5">
                  <c:v>1.9729061421683056E-2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01"/>
          <c:w val="0.5562682138416909"/>
          <c:h val="0.69258218413304939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0.56192476749022247</c:v>
                </c:pt>
                <c:pt idx="1">
                  <c:v>6.6082803095229625E-2</c:v>
                </c:pt>
                <c:pt idx="2">
                  <c:v>8.1340563063599741E-2</c:v>
                </c:pt>
                <c:pt idx="3">
                  <c:v>8.0226291700661659E-2</c:v>
                </c:pt>
                <c:pt idx="4">
                  <c:v>7.3016920730815213E-2</c:v>
                </c:pt>
                <c:pt idx="5">
                  <c:v>6.0221178613463155E-2</c:v>
                </c:pt>
                <c:pt idx="6">
                  <c:v>3.1019975297702843E-2</c:v>
                </c:pt>
                <c:pt idx="7">
                  <c:v>4.6167500008305204E-2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51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0.55445412466283595</c:v>
                </c:pt>
                <c:pt idx="1">
                  <c:v>5.6632780015644327E-2</c:v>
                </c:pt>
                <c:pt idx="2">
                  <c:v>6.7085909467966776E-2</c:v>
                </c:pt>
                <c:pt idx="3">
                  <c:v>7.6918430717805811E-2</c:v>
                </c:pt>
                <c:pt idx="4">
                  <c:v>4.9623150180197903E-2</c:v>
                </c:pt>
                <c:pt idx="5">
                  <c:v>4.2439840757957835E-2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7.47064282738652E-3</c:v>
                </c:pt>
                <c:pt idx="1">
                  <c:v>9.4500230795852985E-3</c:v>
                </c:pt>
                <c:pt idx="2">
                  <c:v>1.4254653595632966E-2</c:v>
                </c:pt>
                <c:pt idx="3">
                  <c:v>3.3078609828558481E-3</c:v>
                </c:pt>
                <c:pt idx="4">
                  <c:v>2.339377055061731E-2</c:v>
                </c:pt>
                <c:pt idx="5">
                  <c:v>1.7781337855505321E-2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5.3711695303696461E-3</c:v>
                </c:pt>
                <c:pt idx="1">
                  <c:v>6.7449528702763911E-3</c:v>
                </c:pt>
                <c:pt idx="2">
                  <c:v>1.2456610892944225E-2</c:v>
                </c:pt>
                <c:pt idx="3">
                  <c:v>2.282555752836174E-3</c:v>
                </c:pt>
                <c:pt idx="4">
                  <c:v>1.9614618210913828E-2</c:v>
                </c:pt>
                <c:pt idx="5">
                  <c:v>1.9131386006769863E-2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overlap val="100"/>
        <c:axId val="459281152"/>
        <c:axId val="459283072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0.55549268496933957</c:v>
                </c:pt>
                <c:pt idx="1">
                  <c:v>9.7387120358343723E-2</c:v>
                </c:pt>
                <c:pt idx="2">
                  <c:v>9.5164223805884504E-2</c:v>
                </c:pt>
                <c:pt idx="3">
                  <c:v>0.10363483668477239</c:v>
                </c:pt>
                <c:pt idx="4">
                  <c:v>5.1404597453969164E-2</c:v>
                </c:pt>
                <c:pt idx="5">
                  <c:v>1.9729061421683056E-2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marker val="1"/>
        <c:axId val="459281152"/>
        <c:axId val="459283072"/>
      </c:lineChart>
      <c:catAx>
        <c:axId val="459281152"/>
        <c:scaling>
          <c:orientation val="minMax"/>
        </c:scaling>
        <c:axPos val="b"/>
        <c:tickLblPos val="nextTo"/>
        <c:crossAx val="459283072"/>
        <c:crosses val="autoZero"/>
        <c:auto val="1"/>
        <c:lblAlgn val="ctr"/>
        <c:lblOffset val="100"/>
      </c:catAx>
      <c:valAx>
        <c:axId val="459283072"/>
        <c:scaling>
          <c:orientation val="minMax"/>
        </c:scaling>
        <c:axPos val="l"/>
        <c:majorGridlines/>
        <c:numFmt formatCode="0%" sourceLinked="0"/>
        <c:tickLblPos val="nextTo"/>
        <c:crossAx val="45928115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3.1452343984147556E-2</c:v>
                </c:pt>
                <c:pt idx="3">
                  <c:v>5.6804592721954011E-2</c:v>
                </c:pt>
                <c:pt idx="4">
                  <c:v>5.6320387554596889E-2</c:v>
                </c:pt>
                <c:pt idx="5">
                  <c:v>5.236888388126059E-2</c:v>
                </c:pt>
                <c:pt idx="6">
                  <c:v>2.8306574622560098E-2</c:v>
                </c:pt>
                <c:pt idx="7">
                  <c:v>3.9543569652327068E-2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1.4996171000904845E-2</c:v>
                </c:pt>
                <c:pt idx="2">
                  <c:v>3.3632152529915554E-2</c:v>
                </c:pt>
                <c:pt idx="3">
                  <c:v>-1.8275706628265609E-2</c:v>
                </c:pt>
                <c:pt idx="4">
                  <c:v>6.1274623073284545E-2</c:v>
                </c:pt>
                <c:pt idx="5">
                  <c:v>7.9522702632630907E-2</c:v>
                </c:pt>
                <c:pt idx="6">
                  <c:v>1.7325408361865E-2</c:v>
                </c:pt>
                <c:pt idx="7">
                  <c:v>-3.3454365202922019E-3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-0.10270478546112452</c:v>
                </c:pt>
                <c:pt idx="2">
                  <c:v>-5.1463733534465664E-2</c:v>
                </c:pt>
                <c:pt idx="3">
                  <c:v>-0.20763301199738962</c:v>
                </c:pt>
                <c:pt idx="4">
                  <c:v>-6.0480183929069335E-2</c:v>
                </c:pt>
                <c:pt idx="5">
                  <c:v>1.2962263249297473E-2</c:v>
                </c:pt>
                <c:pt idx="6">
                  <c:v>-4.6787554334441012E-2</c:v>
                </c:pt>
                <c:pt idx="7">
                  <c:v>-8.4519819517757569E-2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3.7295220378336866E-2</c:v>
                </c:pt>
                <c:pt idx="2">
                  <c:v>3.7955967038468326E-2</c:v>
                </c:pt>
                <c:pt idx="3">
                  <c:v>4.4157772609314798E-2</c:v>
                </c:pt>
                <c:pt idx="4">
                  <c:v>7.5058724753415462E-2</c:v>
                </c:pt>
                <c:pt idx="5">
                  <c:v>8.6184790509297532E-2</c:v>
                </c:pt>
                <c:pt idx="6">
                  <c:v>1.6536412714843449E-2</c:v>
                </c:pt>
                <c:pt idx="7">
                  <c:v>3.2797465910270177E-2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-0.43424993966436087</c:v>
                </c:pt>
                <c:pt idx="2">
                  <c:v>-0.52495132978596959</c:v>
                </c:pt>
                <c:pt idx="3">
                  <c:v>-0.60718802956862361</c:v>
                </c:pt>
                <c:pt idx="4">
                  <c:v>-0.41926220845987938</c:v>
                </c:pt>
                <c:pt idx="5">
                  <c:v>-0.52034739633736904</c:v>
                </c:pt>
                <c:pt idx="6">
                  <c:v>-0.25573516705477994</c:v>
                </c:pt>
                <c:pt idx="7">
                  <c:v>-0.33580172019430399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-0.41153220498436088</c:v>
                </c:pt>
                <c:pt idx="2">
                  <c:v>-0.34991079217679127</c:v>
                </c:pt>
                <c:pt idx="3">
                  <c:v>-0.47851488198333225</c:v>
                </c:pt>
                <c:pt idx="4">
                  <c:v>-0.25917386489837912</c:v>
                </c:pt>
                <c:pt idx="5">
                  <c:v>-0.53983753129736911</c:v>
                </c:pt>
                <c:pt idx="6">
                  <c:v>-6.3153361120378204E-3</c:v>
                </c:pt>
                <c:pt idx="7">
                  <c:v>-0.18031161563030054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0.29819819149830579</c:v>
                </c:pt>
                <c:pt idx="2">
                  <c:v>0.24979690735679014</c:v>
                </c:pt>
                <c:pt idx="3">
                  <c:v>0.39131495295955132</c:v>
                </c:pt>
                <c:pt idx="4">
                  <c:v>0.38663466689136228</c:v>
                </c:pt>
                <c:pt idx="5">
                  <c:v>0.62225820003596433</c:v>
                </c:pt>
                <c:pt idx="6">
                  <c:v>0.28237563833203505</c:v>
                </c:pt>
                <c:pt idx="7">
                  <c:v>0.35335277777605689</c:v>
                </c:pt>
              </c:numCache>
            </c:numRef>
          </c:val>
        </c:ser>
        <c:axId val="459324032"/>
        <c:axId val="459338112"/>
      </c:barChart>
      <c:catAx>
        <c:axId val="459324032"/>
        <c:scaling>
          <c:orientation val="minMax"/>
        </c:scaling>
        <c:axPos val="b"/>
        <c:tickLblPos val="nextTo"/>
        <c:crossAx val="459338112"/>
        <c:crosses val="autoZero"/>
        <c:auto val="1"/>
        <c:lblAlgn val="ctr"/>
        <c:lblOffset val="100"/>
      </c:catAx>
      <c:valAx>
        <c:axId val="459338112"/>
        <c:scaling>
          <c:orientation val="minMax"/>
        </c:scaling>
        <c:axPos val="l"/>
        <c:majorGridlines/>
        <c:numFmt formatCode="0.0%" sourceLinked="1"/>
        <c:tickLblPos val="nextTo"/>
        <c:crossAx val="459324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993"/>
          <c:y val="0.30999086720262192"/>
          <c:w val="0.27290015295627634"/>
          <c:h val="0.50313982945017732"/>
        </c:manualLayout>
      </c:layout>
    </c:legend>
    <c:plotVisOnly val="1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23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0.12493937161815787</c:v>
                </c:pt>
                <c:pt idx="1">
                  <c:v>0.14556132344482178</c:v>
                </c:pt>
                <c:pt idx="2">
                  <c:v>0.17349962652971518</c:v>
                </c:pt>
                <c:pt idx="3">
                  <c:v>9.6535759829145973E-2</c:v>
                </c:pt>
                <c:pt idx="4">
                  <c:v>7.2289667616907013E-2</c:v>
                </c:pt>
                <c:pt idx="5">
                  <c:v>6.9370814730877348E-2</c:v>
                </c:pt>
                <c:pt idx="6">
                  <c:v>0.10324563636583652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2.581436494275012E-2</c:v>
                </c:pt>
                <c:pt idx="1">
                  <c:v>3.9729281247645659E-2</c:v>
                </c:pt>
                <c:pt idx="2">
                  <c:v>9.7016305853915574E-3</c:v>
                </c:pt>
                <c:pt idx="3">
                  <c:v>7.0156604225525554E-2</c:v>
                </c:pt>
                <c:pt idx="4">
                  <c:v>6.5501478619990297E-2</c:v>
                </c:pt>
                <c:pt idx="5">
                  <c:v>1.4686404189626495E-3</c:v>
                </c:pt>
                <c:pt idx="6">
                  <c:v>2.1857998242723609E-3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2.4692614950212882E-2</c:v>
                </c:pt>
                <c:pt idx="1">
                  <c:v>4.1850893923647658E-2</c:v>
                </c:pt>
                <c:pt idx="2">
                  <c:v>9.8266274355102157E-3</c:v>
                </c:pt>
                <c:pt idx="3">
                  <c:v>7.3962587993887663E-2</c:v>
                </c:pt>
                <c:pt idx="4">
                  <c:v>6.0210457168469678E-2</c:v>
                </c:pt>
                <c:pt idx="5">
                  <c:v>1.45273326007897E-3</c:v>
                </c:pt>
                <c:pt idx="6">
                  <c:v>2.1621249582919055E-3</c:v>
                </c:pt>
              </c:numCache>
            </c:numRef>
          </c:val>
        </c:ser>
        <c:overlap val="100"/>
        <c:axId val="461220096"/>
        <c:axId val="461238656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0.21909002858957732</c:v>
                </c:pt>
                <c:pt idx="1">
                  <c:v>0.21408921875519724</c:v>
                </c:pt>
                <c:pt idx="2">
                  <c:v>0.23314540206750922</c:v>
                </c:pt>
                <c:pt idx="3">
                  <c:v>0.11564398540983163</c:v>
                </c:pt>
                <c:pt idx="4">
                  <c:v>4.4384109675050465E-2</c:v>
                </c:pt>
                <c:pt idx="5">
                  <c:v>6.978507270586419E-2</c:v>
                </c:pt>
                <c:pt idx="6">
                  <c:v>0.10386218279696992</c:v>
                </c:pt>
              </c:numCache>
            </c:numRef>
          </c:val>
        </c:ser>
        <c:marker val="1"/>
        <c:axId val="461220096"/>
        <c:axId val="461238656"/>
      </c:lineChart>
      <c:catAx>
        <c:axId val="461220096"/>
        <c:scaling>
          <c:orientation val="minMax"/>
        </c:scaling>
        <c:axPos val="b"/>
        <c:numFmt formatCode="General" sourceLinked="1"/>
        <c:tickLblPos val="nextTo"/>
        <c:crossAx val="461238656"/>
        <c:crosses val="autoZero"/>
        <c:auto val="1"/>
        <c:lblAlgn val="ctr"/>
        <c:lblOffset val="100"/>
      </c:catAx>
      <c:valAx>
        <c:axId val="461238656"/>
        <c:scaling>
          <c:orientation val="minMax"/>
        </c:scaling>
        <c:axPos val="l"/>
        <c:majorGridlines/>
        <c:numFmt formatCode="0%" sourceLinked="0"/>
        <c:tickLblPos val="nextTo"/>
        <c:crossAx val="46122009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Scenarios!$B$23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Scenarios!$B$24:$B$31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3.1452343984147556E-2</c:v>
                </c:pt>
                <c:pt idx="3">
                  <c:v>5.6804592721954011E-2</c:v>
                </c:pt>
                <c:pt idx="4">
                  <c:v>5.6320387554596889E-2</c:v>
                </c:pt>
                <c:pt idx="5">
                  <c:v>5.236888388126059E-2</c:v>
                </c:pt>
                <c:pt idx="6">
                  <c:v>2.8306574622560098E-2</c:v>
                </c:pt>
                <c:pt idx="7">
                  <c:v>3.9543569652327068E-2</c:v>
                </c:pt>
              </c:numCache>
            </c:numRef>
          </c:val>
        </c:ser>
        <c:ser>
          <c:idx val="1"/>
          <c:order val="1"/>
          <c:tx>
            <c:strRef>
              <c:f>Scenarios!$C$23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Scenarios!$C$24:$C$31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1.4996171000904845E-2</c:v>
                </c:pt>
                <c:pt idx="2">
                  <c:v>3.3632152529915554E-2</c:v>
                </c:pt>
                <c:pt idx="3">
                  <c:v>-1.8275706628265609E-2</c:v>
                </c:pt>
                <c:pt idx="4">
                  <c:v>6.1274623073284545E-2</c:v>
                </c:pt>
                <c:pt idx="5">
                  <c:v>7.9522702632630907E-2</c:v>
                </c:pt>
                <c:pt idx="6">
                  <c:v>1.7325408361865E-2</c:v>
                </c:pt>
                <c:pt idx="7">
                  <c:v>-3.3454365202922019E-3</c:v>
                </c:pt>
              </c:numCache>
            </c:numRef>
          </c:val>
        </c:ser>
        <c:ser>
          <c:idx val="2"/>
          <c:order val="2"/>
          <c:tx>
            <c:strRef>
              <c:f>Scenarios!$D$23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Scenarios!$D$24:$D$31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-0.10270478546112452</c:v>
                </c:pt>
                <c:pt idx="2">
                  <c:v>-5.1463733534465664E-2</c:v>
                </c:pt>
                <c:pt idx="3">
                  <c:v>-0.20763301199738962</c:v>
                </c:pt>
                <c:pt idx="4">
                  <c:v>-6.0480183929069335E-2</c:v>
                </c:pt>
                <c:pt idx="5">
                  <c:v>1.2962263249297473E-2</c:v>
                </c:pt>
                <c:pt idx="6">
                  <c:v>-4.6787554334441012E-2</c:v>
                </c:pt>
                <c:pt idx="7">
                  <c:v>-8.4519819517757569E-2</c:v>
                </c:pt>
              </c:numCache>
            </c:numRef>
          </c:val>
        </c:ser>
        <c:ser>
          <c:idx val="3"/>
          <c:order val="3"/>
          <c:tx>
            <c:strRef>
              <c:f>Scenarios!$E$23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Scenarios!$E$24:$E$31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3.7295220378336866E-2</c:v>
                </c:pt>
                <c:pt idx="2">
                  <c:v>3.7955967038468326E-2</c:v>
                </c:pt>
                <c:pt idx="3">
                  <c:v>4.4157772609314798E-2</c:v>
                </c:pt>
                <c:pt idx="4">
                  <c:v>7.5058724753415462E-2</c:v>
                </c:pt>
                <c:pt idx="5">
                  <c:v>8.6184790509297532E-2</c:v>
                </c:pt>
                <c:pt idx="6">
                  <c:v>1.6536412714843449E-2</c:v>
                </c:pt>
                <c:pt idx="7">
                  <c:v>3.2797465910270177E-2</c:v>
                </c:pt>
              </c:numCache>
            </c:numRef>
          </c:val>
        </c:ser>
        <c:ser>
          <c:idx val="4"/>
          <c:order val="4"/>
          <c:tx>
            <c:strRef>
              <c:f>Scenarios!$F$23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Scenarios!$F$24:$F$31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-0.43424993966436087</c:v>
                </c:pt>
                <c:pt idx="2">
                  <c:v>-0.52495132978596959</c:v>
                </c:pt>
                <c:pt idx="3">
                  <c:v>-0.60718802956862361</c:v>
                </c:pt>
                <c:pt idx="4">
                  <c:v>-0.41926220845987938</c:v>
                </c:pt>
                <c:pt idx="5">
                  <c:v>-0.52034739633736904</c:v>
                </c:pt>
                <c:pt idx="6">
                  <c:v>-0.25573516705477994</c:v>
                </c:pt>
                <c:pt idx="7">
                  <c:v>-0.33580172019430399</c:v>
                </c:pt>
              </c:numCache>
            </c:numRef>
          </c:val>
        </c:ser>
        <c:ser>
          <c:idx val="5"/>
          <c:order val="5"/>
          <c:tx>
            <c:strRef>
              <c:f>Scenarios!$G$23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Scenarios!$G$24:$G$31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-0.41153220498436088</c:v>
                </c:pt>
                <c:pt idx="2">
                  <c:v>-0.34991079217679127</c:v>
                </c:pt>
                <c:pt idx="3">
                  <c:v>-0.47851488198333225</c:v>
                </c:pt>
                <c:pt idx="4">
                  <c:v>-0.25917386489837912</c:v>
                </c:pt>
                <c:pt idx="5">
                  <c:v>-0.53983753129736911</c:v>
                </c:pt>
                <c:pt idx="6">
                  <c:v>-6.3153361120378204E-3</c:v>
                </c:pt>
                <c:pt idx="7">
                  <c:v>-0.18031161563030054</c:v>
                </c:pt>
              </c:numCache>
            </c:numRef>
          </c:val>
        </c:ser>
        <c:ser>
          <c:idx val="6"/>
          <c:order val="6"/>
          <c:tx>
            <c:strRef>
              <c:f>Scenarios!$H$23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Scenarios!$A$24:$A$31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Scenarios!$H$24:$H$31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0.29819819149830579</c:v>
                </c:pt>
                <c:pt idx="2">
                  <c:v>0.24979690735679014</c:v>
                </c:pt>
                <c:pt idx="3">
                  <c:v>0.39131495295955132</c:v>
                </c:pt>
                <c:pt idx="4">
                  <c:v>0.38663466689136228</c:v>
                </c:pt>
                <c:pt idx="5">
                  <c:v>0.62225820003596433</c:v>
                </c:pt>
                <c:pt idx="6">
                  <c:v>0.28237563833203505</c:v>
                </c:pt>
                <c:pt idx="7">
                  <c:v>0.35335277777605689</c:v>
                </c:pt>
              </c:numCache>
            </c:numRef>
          </c:val>
        </c:ser>
        <c:axId val="461316864"/>
        <c:axId val="461318400"/>
      </c:barChart>
      <c:catAx>
        <c:axId val="461316864"/>
        <c:scaling>
          <c:orientation val="minMax"/>
        </c:scaling>
        <c:axPos val="b"/>
        <c:tickLblPos val="nextTo"/>
        <c:crossAx val="461318400"/>
        <c:crosses val="autoZero"/>
        <c:auto val="1"/>
        <c:lblAlgn val="ctr"/>
        <c:lblOffset val="100"/>
      </c:catAx>
      <c:valAx>
        <c:axId val="461318400"/>
        <c:scaling>
          <c:orientation val="minMax"/>
        </c:scaling>
        <c:axPos val="l"/>
        <c:majorGridlines/>
        <c:numFmt formatCode="0.0%" sourceLinked="1"/>
        <c:tickLblPos val="nextTo"/>
        <c:crossAx val="46131686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</c:f>
          <c:strCache>
            <c:ptCount val="1"/>
            <c:pt idx="0">
              <c:v>Evenwicht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29600218722659682"/>
          <c:y val="0.21878129039840488"/>
          <c:w val="0.64943525809273861"/>
          <c:h val="0.66653386610255805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mixen'!$S$4:$S$11</c:f>
              <c:numCache>
                <c:formatCode>0.0%</c:formatCode>
                <c:ptCount val="8"/>
                <c:pt idx="0">
                  <c:v>0.55250032073654665</c:v>
                </c:pt>
                <c:pt idx="1">
                  <c:v>6.1160330376387399E-2</c:v>
                </c:pt>
                <c:pt idx="2">
                  <c:v>6.5528672005356767E-2</c:v>
                </c:pt>
                <c:pt idx="3">
                  <c:v>0.12562032548213523</c:v>
                </c:pt>
                <c:pt idx="4">
                  <c:v>5.308495787746581E-2</c:v>
                </c:pt>
                <c:pt idx="5">
                  <c:v>3.9317029540156707E-3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mixen'!$T$4:$T$11</c:f>
              <c:numCache>
                <c:formatCode>0.0%</c:formatCode>
                <c:ptCount val="8"/>
                <c:pt idx="0">
                  <c:v>3.5698982551364278E-3</c:v>
                </c:pt>
                <c:pt idx="1">
                  <c:v>1.0077383238744332E-2</c:v>
                </c:pt>
                <c:pt idx="2">
                  <c:v>1.0443654127216373E-2</c:v>
                </c:pt>
                <c:pt idx="3">
                  <c:v>1.1123895517257898E-2</c:v>
                </c:pt>
                <c:pt idx="4">
                  <c:v>1.4567596237617109E-2</c:v>
                </c:pt>
                <c:pt idx="5">
                  <c:v>1.1203787886112187E-2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cat>
            <c:strRef>
              <c:f>'Samenvatting mixen'!$R$4:$R$11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mixen'!$U$4:$U$11</c:f>
              <c:numCache>
                <c:formatCode>0.0%</c:formatCode>
                <c:ptCount val="8"/>
                <c:pt idx="0">
                  <c:v>2.7969581513959119E-3</c:v>
                </c:pt>
                <c:pt idx="1">
                  <c:v>9.4359218645135995E-3</c:v>
                </c:pt>
                <c:pt idx="2">
                  <c:v>1.0002661203864241E-2</c:v>
                </c:pt>
                <c:pt idx="3">
                  <c:v>1.3375146410412958E-2</c:v>
                </c:pt>
                <c:pt idx="4">
                  <c:v>1.377713428168631E-2</c:v>
                </c:pt>
                <c:pt idx="5">
                  <c:v>7.8681977815204425E-3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gapWidth val="100"/>
        <c:overlap val="100"/>
        <c:axId val="461709696"/>
        <c:axId val="461711232"/>
      </c:barChart>
      <c:catAx>
        <c:axId val="461709696"/>
        <c:scaling>
          <c:orientation val="minMax"/>
        </c:scaling>
        <c:axPos val="l"/>
        <c:numFmt formatCode="0%" sourceLinked="1"/>
        <c:tickLblPos val="nextTo"/>
        <c:crossAx val="461711232"/>
        <c:crosses val="autoZero"/>
        <c:auto val="1"/>
        <c:lblAlgn val="ctr"/>
        <c:lblOffset val="100"/>
      </c:catAx>
      <c:valAx>
        <c:axId val="461711232"/>
        <c:scaling>
          <c:orientation val="minMax"/>
        </c:scaling>
        <c:axPos val="b"/>
        <c:majorGridlines/>
        <c:numFmt formatCode="0%" sourceLinked="0"/>
        <c:tickLblPos val="nextTo"/>
        <c:crossAx val="461709696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'[1]Samenvatting mixen'!$R$58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0.55445412466283595</c:v>
                </c:pt>
                <c:pt idx="1">
                  <c:v>5.6632780015644327E-2</c:v>
                </c:pt>
                <c:pt idx="2">
                  <c:v>6.7085909467966776E-2</c:v>
                </c:pt>
                <c:pt idx="3">
                  <c:v>7.6918430717805811E-2</c:v>
                </c:pt>
                <c:pt idx="4">
                  <c:v>4.9623150180197903E-2</c:v>
                </c:pt>
                <c:pt idx="5">
                  <c:v>4.2439840757957835E-2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7.47064282738652E-3</c:v>
                </c:pt>
                <c:pt idx="1">
                  <c:v>9.4500230795852985E-3</c:v>
                </c:pt>
                <c:pt idx="2">
                  <c:v>1.4254653595632966E-2</c:v>
                </c:pt>
                <c:pt idx="3">
                  <c:v>3.3078609828558481E-3</c:v>
                </c:pt>
                <c:pt idx="4">
                  <c:v>2.339377055061731E-2</c:v>
                </c:pt>
                <c:pt idx="5">
                  <c:v>1.7781337855505321E-2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5.3711695303696461E-3</c:v>
                </c:pt>
                <c:pt idx="1">
                  <c:v>6.7449528702763911E-3</c:v>
                </c:pt>
                <c:pt idx="2">
                  <c:v>1.2456610892944225E-2</c:v>
                </c:pt>
                <c:pt idx="3">
                  <c:v>2.282555752836174E-3</c:v>
                </c:pt>
                <c:pt idx="4">
                  <c:v>1.9614618210913828E-2</c:v>
                </c:pt>
                <c:pt idx="5">
                  <c:v>1.9131386006769863E-2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gapWidth val="100"/>
        <c:overlap val="100"/>
        <c:axId val="461732480"/>
        <c:axId val="461738368"/>
      </c:barChart>
      <c:catAx>
        <c:axId val="461732480"/>
        <c:scaling>
          <c:orientation val="minMax"/>
        </c:scaling>
        <c:axPos val="l"/>
        <c:numFmt formatCode="0%" sourceLinked="1"/>
        <c:tickLblPos val="nextTo"/>
        <c:crossAx val="461738368"/>
        <c:crosses val="autoZero"/>
        <c:auto val="1"/>
        <c:lblAlgn val="ctr"/>
        <c:lblOffset val="100"/>
      </c:catAx>
      <c:valAx>
        <c:axId val="461738368"/>
        <c:scaling>
          <c:orientation val="minMax"/>
        </c:scaling>
        <c:axPos val="b"/>
        <c:majorGridlines/>
        <c:numFmt formatCode="0%" sourceLinked="0"/>
        <c:tickLblPos val="nextTo"/>
        <c:crossAx val="4617324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mixen'!$R$14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mixen'!$S$15:$S$22</c:f>
              <c:numCache>
                <c:formatCode>0.0%</c:formatCode>
                <c:ptCount val="8"/>
                <c:pt idx="0">
                  <c:v>0.55445412466283595</c:v>
                </c:pt>
                <c:pt idx="1">
                  <c:v>5.6632780015644327E-2</c:v>
                </c:pt>
                <c:pt idx="2">
                  <c:v>6.7085909467966776E-2</c:v>
                </c:pt>
                <c:pt idx="3">
                  <c:v>7.6918430717805811E-2</c:v>
                </c:pt>
                <c:pt idx="4">
                  <c:v>4.9623150180197903E-2</c:v>
                </c:pt>
                <c:pt idx="5">
                  <c:v>4.2439840757957835E-2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mixen'!$T$15:$T$22</c:f>
              <c:numCache>
                <c:formatCode>0.0%</c:formatCode>
                <c:ptCount val="8"/>
                <c:pt idx="0">
                  <c:v>7.47064282738652E-3</c:v>
                </c:pt>
                <c:pt idx="1">
                  <c:v>9.4500230795852985E-3</c:v>
                </c:pt>
                <c:pt idx="2">
                  <c:v>1.4254653595632966E-2</c:v>
                </c:pt>
                <c:pt idx="3">
                  <c:v>3.3078609828558481E-3</c:v>
                </c:pt>
                <c:pt idx="4">
                  <c:v>2.339377055061731E-2</c:v>
                </c:pt>
                <c:pt idx="5">
                  <c:v>1.7781337855505321E-2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cat>
            <c:strRef>
              <c:f>'Samenvatting mixen'!$R$15:$R$22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mixen'!$U$15:$U$22</c:f>
              <c:numCache>
                <c:formatCode>0.0%</c:formatCode>
                <c:ptCount val="8"/>
                <c:pt idx="0">
                  <c:v>5.3711695303696461E-3</c:v>
                </c:pt>
                <c:pt idx="1">
                  <c:v>6.7449528702763911E-3</c:v>
                </c:pt>
                <c:pt idx="2">
                  <c:v>1.2456610892944225E-2</c:v>
                </c:pt>
                <c:pt idx="3">
                  <c:v>2.282555752836174E-3</c:v>
                </c:pt>
                <c:pt idx="4">
                  <c:v>1.9614618210913828E-2</c:v>
                </c:pt>
                <c:pt idx="5">
                  <c:v>1.9131386006769863E-2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gapWidth val="100"/>
        <c:overlap val="100"/>
        <c:axId val="461972992"/>
        <c:axId val="461974528"/>
      </c:barChart>
      <c:catAx>
        <c:axId val="461972992"/>
        <c:scaling>
          <c:orientation val="minMax"/>
        </c:scaling>
        <c:axPos val="l"/>
        <c:numFmt formatCode="0%" sourceLinked="1"/>
        <c:tickLblPos val="nextTo"/>
        <c:crossAx val="461974528"/>
        <c:crosses val="autoZero"/>
        <c:auto val="1"/>
        <c:lblAlgn val="ctr"/>
        <c:lblOffset val="100"/>
      </c:catAx>
      <c:valAx>
        <c:axId val="461974528"/>
        <c:scaling>
          <c:orientation val="minMax"/>
        </c:scaling>
        <c:axPos val="b"/>
        <c:majorGridlines/>
        <c:numFmt formatCode="0%" sourceLinked="0"/>
        <c:tickLblPos val="nextTo"/>
        <c:crossAx val="4619729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mixen'!$R$36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mixen'!$S$37:$S$44</c:f>
              <c:numCache>
                <c:formatCode>0.0%</c:formatCode>
                <c:ptCount val="8"/>
                <c:pt idx="0">
                  <c:v>0.55350748344343814</c:v>
                </c:pt>
                <c:pt idx="1">
                  <c:v>6.0825700349104866E-2</c:v>
                </c:pt>
                <c:pt idx="2">
                  <c:v>6.2069449338222046E-2</c:v>
                </c:pt>
                <c:pt idx="3">
                  <c:v>7.8712333782857455E-2</c:v>
                </c:pt>
                <c:pt idx="4">
                  <c:v>5.5646006542704435E-2</c:v>
                </c:pt>
                <c:pt idx="5">
                  <c:v>3.7125637278735288E-2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mixen'!$T$37:$T$44</c:f>
              <c:numCache>
                <c:formatCode>0.0%</c:formatCode>
                <c:ptCount val="8"/>
                <c:pt idx="0">
                  <c:v>5.3753511881192706E-3</c:v>
                </c:pt>
                <c:pt idx="1">
                  <c:v>1.1397280214005379E-2</c:v>
                </c:pt>
                <c:pt idx="2">
                  <c:v>1.0979547930725392E-2</c:v>
                </c:pt>
                <c:pt idx="3">
                  <c:v>6.6681032026957715E-3</c:v>
                </c:pt>
                <c:pt idx="4">
                  <c:v>2.1157916126679374E-2</c:v>
                </c:pt>
                <c:pt idx="5">
                  <c:v>1.9347715296704253E-2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cat>
            <c:strRef>
              <c:f>'Samenvatting mixen'!$R$37:$R$44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mixen'!$U$37:$U$44</c:f>
              <c:numCache>
                <c:formatCode>0.0%</c:formatCode>
                <c:ptCount val="8"/>
                <c:pt idx="0">
                  <c:v>3.9289962950220803E-3</c:v>
                </c:pt>
                <c:pt idx="1">
                  <c:v>9.5955757861827806E-3</c:v>
                </c:pt>
                <c:pt idx="2">
                  <c:v>1.120252318178093E-2</c:v>
                </c:pt>
                <c:pt idx="3">
                  <c:v>4.4391214375339161E-3</c:v>
                </c:pt>
                <c:pt idx="4">
                  <c:v>2.0837005878033152E-2</c:v>
                </c:pt>
                <c:pt idx="5">
                  <c:v>1.9175243216385758E-2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gapWidth val="100"/>
        <c:overlap val="100"/>
        <c:axId val="462004224"/>
        <c:axId val="462005760"/>
      </c:barChart>
      <c:catAx>
        <c:axId val="462004224"/>
        <c:scaling>
          <c:orientation val="minMax"/>
        </c:scaling>
        <c:axPos val="l"/>
        <c:tickLblPos val="nextTo"/>
        <c:crossAx val="462005760"/>
        <c:crosses val="autoZero"/>
        <c:auto val="1"/>
        <c:lblAlgn val="ctr"/>
        <c:lblOffset val="100"/>
      </c:catAx>
      <c:valAx>
        <c:axId val="462005760"/>
        <c:scaling>
          <c:orientation val="minMax"/>
        </c:scaling>
        <c:axPos val="b"/>
        <c:majorGridlines/>
        <c:numFmt formatCode="0%" sourceLinked="0"/>
        <c:tickLblPos val="nextTo"/>
        <c:crossAx val="46200422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mixen'!$R$47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mixen'!$S$48:$S$55</c:f>
              <c:numCache>
                <c:formatCode>0.0%</c:formatCode>
                <c:ptCount val="8"/>
                <c:pt idx="0">
                  <c:v>0.64630020907574415</c:v>
                </c:pt>
                <c:pt idx="1">
                  <c:v>7.4778719675877986E-2</c:v>
                </c:pt>
                <c:pt idx="2">
                  <c:v>6.6007587491990316E-2</c:v>
                </c:pt>
                <c:pt idx="3">
                  <c:v>7.5734450411287541E-2</c:v>
                </c:pt>
                <c:pt idx="4">
                  <c:v>2.5596429904374773E-2</c:v>
                </c:pt>
                <c:pt idx="5">
                  <c:v>7.9048734068633576E-5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mixen'!$T$48:$T$55</c:f>
              <c:numCache>
                <c:formatCode>0.0%</c:formatCode>
                <c:ptCount val="8"/>
                <c:pt idx="0">
                  <c:v>1.3927820895426324E-3</c:v>
                </c:pt>
                <c:pt idx="1">
                  <c:v>1.2085410546995926E-2</c:v>
                </c:pt>
                <c:pt idx="2">
                  <c:v>1.3927958110814848E-2</c:v>
                </c:pt>
                <c:pt idx="3">
                  <c:v>2.5769630193679116E-3</c:v>
                </c:pt>
                <c:pt idx="4">
                  <c:v>2.3617365195985965E-3</c:v>
                </c:pt>
                <c:pt idx="5">
                  <c:v>1.9712291143278706E-3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spPr>
            <a:ln w="127000"/>
          </c:spPr>
          <c:cat>
            <c:strRef>
              <c:f>'Samenvatting mixen'!$R$48:$R$55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mixen'!$U$48:$U$55</c:f>
              <c:numCache>
                <c:formatCode>0.0%</c:formatCode>
                <c:ptCount val="8"/>
                <c:pt idx="0">
                  <c:v>1.9311773988898162E-3</c:v>
                </c:pt>
                <c:pt idx="1">
                  <c:v>1.3225784069202648E-2</c:v>
                </c:pt>
                <c:pt idx="2">
                  <c:v>1.3645329430834227E-2</c:v>
                </c:pt>
                <c:pt idx="3">
                  <c:v>1.7664584824485241E-3</c:v>
                </c:pt>
                <c:pt idx="4">
                  <c:v>1.8799086331138318E-3</c:v>
                </c:pt>
                <c:pt idx="5">
                  <c:v>9.8976332030480596E-4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gapWidth val="100"/>
        <c:overlap val="100"/>
        <c:axId val="462108928"/>
        <c:axId val="462114816"/>
      </c:barChart>
      <c:catAx>
        <c:axId val="462108928"/>
        <c:scaling>
          <c:orientation val="minMax"/>
        </c:scaling>
        <c:axPos val="l"/>
        <c:tickLblPos val="nextTo"/>
        <c:crossAx val="462114816"/>
        <c:crosses val="autoZero"/>
        <c:auto val="1"/>
        <c:lblAlgn val="ctr"/>
        <c:lblOffset val="100"/>
      </c:catAx>
      <c:valAx>
        <c:axId val="462114816"/>
        <c:scaling>
          <c:orientation val="minMax"/>
        </c:scaling>
        <c:axPos val="b"/>
        <c:majorGridlines/>
        <c:numFmt formatCode="0%" sourceLinked="0"/>
        <c:tickLblPos val="nextTo"/>
        <c:crossAx val="46210892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44" l="0.70000000000000062" r="0.70000000000000062" t="0.750000000000011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mixen'!$R$58</c:f>
          <c:strCache>
            <c:ptCount val="1"/>
            <c:pt idx="0">
              <c:v>Tail risk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mixen'!$S$59:$S$66</c:f>
              <c:numCache>
                <c:formatCode>0.0%</c:formatCode>
                <c:ptCount val="8"/>
                <c:pt idx="0">
                  <c:v>0.64674086485234938</c:v>
                </c:pt>
                <c:pt idx="1">
                  <c:v>7.9474773734264315E-2</c:v>
                </c:pt>
                <c:pt idx="2">
                  <c:v>6.4028877104143872E-2</c:v>
                </c:pt>
                <c:pt idx="3">
                  <c:v>7.5514418225102173E-2</c:v>
                </c:pt>
                <c:pt idx="4">
                  <c:v>2.5115016357072802E-2</c:v>
                </c:pt>
                <c:pt idx="5">
                  <c:v>7.8359675206847695E-5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mixen'!$T$59:$T$66</c:f>
              <c:numCache>
                <c:formatCode>0.0%</c:formatCode>
                <c:ptCount val="8"/>
                <c:pt idx="0">
                  <c:v>1.4460967542909708E-3</c:v>
                </c:pt>
                <c:pt idx="1">
                  <c:v>1.1283914641471798E-2</c:v>
                </c:pt>
                <c:pt idx="2">
                  <c:v>1.2717680316202712E-2</c:v>
                </c:pt>
                <c:pt idx="3">
                  <c:v>2.4986187264898901E-3</c:v>
                </c:pt>
                <c:pt idx="4">
                  <c:v>1.9420486005494834E-3</c:v>
                </c:pt>
                <c:pt idx="5">
                  <c:v>1.9718557068478075E-3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cat>
            <c:strRef>
              <c:f>'Samenvatting mixen'!$R$59:$R$66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mixen'!$U$59:$U$66</c:f>
              <c:numCache>
                <c:formatCode>0.0%</c:formatCode>
                <c:ptCount val="8"/>
                <c:pt idx="0">
                  <c:v>1.7011956798193006E-3</c:v>
                </c:pt>
                <c:pt idx="1">
                  <c:v>1.2212132915859902E-2</c:v>
                </c:pt>
                <c:pt idx="2">
                  <c:v>1.1666302715781313E-2</c:v>
                </c:pt>
                <c:pt idx="3">
                  <c:v>1.7270360781084515E-3</c:v>
                </c:pt>
                <c:pt idx="4">
                  <c:v>1.7339090269434601E-3</c:v>
                </c:pt>
                <c:pt idx="5">
                  <c:v>9.0262384599037885E-4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gapWidth val="100"/>
        <c:overlap val="100"/>
        <c:axId val="462140160"/>
        <c:axId val="462141696"/>
      </c:barChart>
      <c:catAx>
        <c:axId val="462140160"/>
        <c:scaling>
          <c:orientation val="minMax"/>
        </c:scaling>
        <c:axPos val="l"/>
        <c:tickLblPos val="nextTo"/>
        <c:crossAx val="462141696"/>
        <c:crosses val="autoZero"/>
        <c:auto val="1"/>
        <c:lblAlgn val="ctr"/>
        <c:lblOffset val="100"/>
      </c:catAx>
      <c:valAx>
        <c:axId val="462141696"/>
        <c:scaling>
          <c:orientation val="minMax"/>
        </c:scaling>
        <c:axPos val="b"/>
        <c:majorGridlines/>
        <c:numFmt formatCode="0%" sourceLinked="0"/>
        <c:tickLblPos val="nextTo"/>
        <c:crossAx val="46214016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66" l="0.70000000000000062" r="0.70000000000000062" t="0.75000000000001166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mixen'!$R$25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mixen'!$S$26:$S$33</c:f>
              <c:numCache>
                <c:formatCode>0.0%</c:formatCode>
                <c:ptCount val="8"/>
                <c:pt idx="0">
                  <c:v>0.61912580985503496</c:v>
                </c:pt>
                <c:pt idx="1">
                  <c:v>5.2820383122432736E-2</c:v>
                </c:pt>
                <c:pt idx="2">
                  <c:v>5.9034342890123895E-2</c:v>
                </c:pt>
                <c:pt idx="3">
                  <c:v>7.6091653185219432E-2</c:v>
                </c:pt>
                <c:pt idx="4">
                  <c:v>3.0236057645657292E-2</c:v>
                </c:pt>
                <c:pt idx="5">
                  <c:v>3.2583410781970003E-2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mixen'!$T$26:$T$33</c:f>
              <c:numCache>
                <c:formatCode>0.0%</c:formatCode>
                <c:ptCount val="8"/>
                <c:pt idx="0">
                  <c:v>9.459172631818169E-3</c:v>
                </c:pt>
                <c:pt idx="1">
                  <c:v>5.2983469652888651E-3</c:v>
                </c:pt>
                <c:pt idx="2">
                  <c:v>1.1906048590640622E-2</c:v>
                </c:pt>
                <c:pt idx="3">
                  <c:v>2.1012286880696257E-3</c:v>
                </c:pt>
                <c:pt idx="4">
                  <c:v>9.0234295549985084E-3</c:v>
                </c:pt>
                <c:pt idx="5">
                  <c:v>1.5132640782738016E-2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cat>
            <c:strRef>
              <c:f>'Samenvatting mixen'!$R$26:$R$33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mixen'!$U$26:$U$33</c:f>
              <c:numCache>
                <c:formatCode>0.0%</c:formatCode>
                <c:ptCount val="8"/>
                <c:pt idx="0">
                  <c:v>1.5160400271239438E-2</c:v>
                </c:pt>
                <c:pt idx="1">
                  <c:v>3.6583439220034403E-3</c:v>
                </c:pt>
                <c:pt idx="2">
                  <c:v>8.663900730314103E-3</c:v>
                </c:pt>
                <c:pt idx="3">
                  <c:v>1.3438859960699517E-3</c:v>
                </c:pt>
                <c:pt idx="4">
                  <c:v>6.5566182822625468E-3</c:v>
                </c:pt>
                <c:pt idx="5">
                  <c:v>1.2029219967849912E-2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gapWidth val="100"/>
        <c:overlap val="100"/>
        <c:axId val="462257152"/>
        <c:axId val="462258944"/>
      </c:barChart>
      <c:catAx>
        <c:axId val="462257152"/>
        <c:scaling>
          <c:orientation val="minMax"/>
        </c:scaling>
        <c:axPos val="l"/>
        <c:numFmt formatCode="0%" sourceLinked="1"/>
        <c:tickLblPos val="nextTo"/>
        <c:crossAx val="462258944"/>
        <c:crosses val="autoZero"/>
        <c:auto val="1"/>
        <c:lblAlgn val="ctr"/>
        <c:lblOffset val="100"/>
      </c:catAx>
      <c:valAx>
        <c:axId val="462258944"/>
        <c:scaling>
          <c:orientation val="minMax"/>
        </c:scaling>
        <c:axPos val="b"/>
        <c:majorGridlines/>
        <c:numFmt formatCode="0%" sourceLinked="0"/>
        <c:tickLblPos val="nextTo"/>
        <c:crossAx val="46225715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mixen'!$R$69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mixen'!$S$70:$S$77</c:f>
              <c:numCache>
                <c:formatCode>0.0%</c:formatCode>
                <c:ptCount val="8"/>
                <c:pt idx="0">
                  <c:v>0.64630020907574415</c:v>
                </c:pt>
                <c:pt idx="1">
                  <c:v>7.4778719675877986E-2</c:v>
                </c:pt>
                <c:pt idx="2">
                  <c:v>6.6007587491990316E-2</c:v>
                </c:pt>
                <c:pt idx="3">
                  <c:v>7.5734450411287541E-2</c:v>
                </c:pt>
                <c:pt idx="4">
                  <c:v>2.5596429904374773E-2</c:v>
                </c:pt>
                <c:pt idx="5">
                  <c:v>7.9048734068633576E-5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mixen'!$T$70:$T$77</c:f>
              <c:numCache>
                <c:formatCode>0.0%</c:formatCode>
                <c:ptCount val="8"/>
                <c:pt idx="0">
                  <c:v>1.3927820895426324E-3</c:v>
                </c:pt>
                <c:pt idx="1">
                  <c:v>1.2085410546995926E-2</c:v>
                </c:pt>
                <c:pt idx="2">
                  <c:v>1.3927958110814848E-2</c:v>
                </c:pt>
                <c:pt idx="3">
                  <c:v>2.5769630193679116E-3</c:v>
                </c:pt>
                <c:pt idx="4">
                  <c:v>2.3617365195985965E-3</c:v>
                </c:pt>
                <c:pt idx="5">
                  <c:v>1.9712291143278706E-3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cat>
            <c:strRef>
              <c:f>'Samenvatting mixen'!$R$70:$R$77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mixen'!$U$70:$U$77</c:f>
              <c:numCache>
                <c:formatCode>0.0%</c:formatCode>
                <c:ptCount val="8"/>
                <c:pt idx="0">
                  <c:v>1.9311773988898162E-3</c:v>
                </c:pt>
                <c:pt idx="1">
                  <c:v>1.3225784069202648E-2</c:v>
                </c:pt>
                <c:pt idx="2">
                  <c:v>1.3645329430834227E-2</c:v>
                </c:pt>
                <c:pt idx="3">
                  <c:v>1.7664584824485241E-3</c:v>
                </c:pt>
                <c:pt idx="4">
                  <c:v>1.8799086331138318E-3</c:v>
                </c:pt>
                <c:pt idx="5">
                  <c:v>9.8976332030480596E-4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gapWidth val="100"/>
        <c:overlap val="100"/>
        <c:axId val="462317056"/>
        <c:axId val="462318592"/>
      </c:barChart>
      <c:catAx>
        <c:axId val="462317056"/>
        <c:scaling>
          <c:orientation val="minMax"/>
        </c:scaling>
        <c:axPos val="l"/>
        <c:tickLblPos val="nextTo"/>
        <c:crossAx val="462318592"/>
        <c:crosses val="autoZero"/>
        <c:auto val="1"/>
        <c:lblAlgn val="ctr"/>
        <c:lblOffset val="100"/>
      </c:catAx>
      <c:valAx>
        <c:axId val="462318592"/>
        <c:scaling>
          <c:orientation val="minMax"/>
        </c:scaling>
        <c:axPos val="b"/>
        <c:majorGridlines/>
        <c:numFmt formatCode="0%" sourceLinked="0"/>
        <c:tickLblPos val="nextTo"/>
        <c:crossAx val="46231705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88" l="0.70000000000000062" r="0.70000000000000062" t="0.7500000000000118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0.12837394890150811</c:v>
                </c:pt>
                <c:pt idx="1">
                  <c:v>0.13653250342488596</c:v>
                </c:pt>
                <c:pt idx="2">
                  <c:v>0.26384505367057437</c:v>
                </c:pt>
                <c:pt idx="3">
                  <c:v>0.10779714058981515</c:v>
                </c:pt>
                <c:pt idx="4">
                  <c:v>2.6960249614642311E-3</c:v>
                </c:pt>
                <c:pt idx="5">
                  <c:v>6.9164223289222379E-2</c:v>
                </c:pt>
                <c:pt idx="6">
                  <c:v>0.10293816318789921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3.2005222586967114E-2</c:v>
                </c:pt>
                <c:pt idx="1">
                  <c:v>3.4499725544413412E-2</c:v>
                </c:pt>
                <c:pt idx="2">
                  <c:v>4.4225380802305647E-2</c:v>
                </c:pt>
                <c:pt idx="3">
                  <c:v>4.4712009165838035E-2</c:v>
                </c:pt>
                <c:pt idx="4">
                  <c:v>3.142149759546585E-2</c:v>
                </c:pt>
                <c:pt idx="5">
                  <c:v>7.1900308151520709E-4</c:v>
                </c:pt>
                <c:pt idx="6">
                  <c:v>1.0701031981249082E-3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3.2718890325482225E-2</c:v>
                </c:pt>
                <c:pt idx="1">
                  <c:v>3.5454547523972646E-2</c:v>
                </c:pt>
                <c:pt idx="2">
                  <c:v>4.3015556717255599E-2</c:v>
                </c:pt>
                <c:pt idx="3">
                  <c:v>4.5566785848034641E-2</c:v>
                </c:pt>
                <c:pt idx="4">
                  <c:v>3.18255562588418E-2</c:v>
                </c:pt>
                <c:pt idx="5">
                  <c:v>7.7889968524928743E-4</c:v>
                </c:pt>
                <c:pt idx="6">
                  <c:v>1.1592482224792033E-3</c:v>
                </c:pt>
              </c:numCache>
            </c:numRef>
          </c:val>
        </c:ser>
        <c:gapWidth val="101"/>
        <c:overlap val="100"/>
        <c:axId val="462676352"/>
        <c:axId val="462677888"/>
      </c:barChart>
      <c:catAx>
        <c:axId val="462676352"/>
        <c:scaling>
          <c:orientation val="minMax"/>
        </c:scaling>
        <c:axPos val="l"/>
        <c:tickLblPos val="nextTo"/>
        <c:crossAx val="462677888"/>
        <c:crosses val="autoZero"/>
        <c:auto val="1"/>
        <c:lblAlgn val="ctr"/>
        <c:lblOffset val="100"/>
      </c:catAx>
      <c:valAx>
        <c:axId val="462677888"/>
        <c:scaling>
          <c:orientation val="minMax"/>
        </c:scaling>
        <c:axPos val="b"/>
        <c:majorGridlines/>
        <c:numFmt formatCode="0%" sourceLinked="0"/>
        <c:tickLblPos val="nextTo"/>
        <c:crossAx val="46267635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return'!$Q$13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return'!$R$14:$R$20</c:f>
              <c:numCache>
                <c:formatCode>0.0%</c:formatCode>
                <c:ptCount val="7"/>
                <c:pt idx="0">
                  <c:v>0.12493937161815787</c:v>
                </c:pt>
                <c:pt idx="1">
                  <c:v>0.14556132344482178</c:v>
                </c:pt>
                <c:pt idx="2">
                  <c:v>0.17349962652971518</c:v>
                </c:pt>
                <c:pt idx="3">
                  <c:v>9.6535759829145973E-2</c:v>
                </c:pt>
                <c:pt idx="4">
                  <c:v>7.2289667616907013E-2</c:v>
                </c:pt>
                <c:pt idx="5">
                  <c:v>6.9370814730877348E-2</c:v>
                </c:pt>
                <c:pt idx="6">
                  <c:v>0.10324563636583652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return'!$S$14:$S$20</c:f>
              <c:numCache>
                <c:formatCode>0.0%</c:formatCode>
                <c:ptCount val="7"/>
                <c:pt idx="0">
                  <c:v>2.581436494275012E-2</c:v>
                </c:pt>
                <c:pt idx="1">
                  <c:v>3.9729281247645659E-2</c:v>
                </c:pt>
                <c:pt idx="2">
                  <c:v>9.7016305853915574E-3</c:v>
                </c:pt>
                <c:pt idx="3">
                  <c:v>7.0156604225525554E-2</c:v>
                </c:pt>
                <c:pt idx="4">
                  <c:v>6.5501478619990297E-2</c:v>
                </c:pt>
                <c:pt idx="5">
                  <c:v>1.4686404189626495E-3</c:v>
                </c:pt>
                <c:pt idx="6">
                  <c:v>2.1857998242723609E-3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return'!$Q$14:$Q$20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return'!$T$14:$T$20</c:f>
              <c:numCache>
                <c:formatCode>0.0%</c:formatCode>
                <c:ptCount val="7"/>
                <c:pt idx="0">
                  <c:v>2.4692614950212882E-2</c:v>
                </c:pt>
                <c:pt idx="1">
                  <c:v>4.1850893923647658E-2</c:v>
                </c:pt>
                <c:pt idx="2">
                  <c:v>9.8266274355102157E-3</c:v>
                </c:pt>
                <c:pt idx="3">
                  <c:v>7.3962587993887663E-2</c:v>
                </c:pt>
                <c:pt idx="4">
                  <c:v>6.0210457168469678E-2</c:v>
                </c:pt>
                <c:pt idx="5">
                  <c:v>1.45273326007897E-3</c:v>
                </c:pt>
                <c:pt idx="6">
                  <c:v>2.1621249582919055E-3</c:v>
                </c:pt>
              </c:numCache>
            </c:numRef>
          </c:val>
        </c:ser>
        <c:gapWidth val="101"/>
        <c:overlap val="100"/>
        <c:axId val="462690944"/>
        <c:axId val="462696832"/>
      </c:barChart>
      <c:catAx>
        <c:axId val="462690944"/>
        <c:scaling>
          <c:orientation val="minMax"/>
        </c:scaling>
        <c:axPos val="l"/>
        <c:tickLblPos val="nextTo"/>
        <c:crossAx val="462696832"/>
        <c:crosses val="autoZero"/>
        <c:auto val="1"/>
        <c:lblAlgn val="ctr"/>
        <c:lblOffset val="100"/>
      </c:catAx>
      <c:valAx>
        <c:axId val="462696832"/>
        <c:scaling>
          <c:orientation val="minMax"/>
        </c:scaling>
        <c:axPos val="b"/>
        <c:majorGridlines/>
        <c:numFmt formatCode="0%" sourceLinked="0"/>
        <c:tickLblPos val="nextTo"/>
        <c:crossAx val="4626909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return'!$Q$23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return'!$R$24:$R$30</c:f>
              <c:numCache>
                <c:formatCode>0.0%</c:formatCode>
                <c:ptCount val="7"/>
                <c:pt idx="0">
                  <c:v>0.14070566321987629</c:v>
                </c:pt>
                <c:pt idx="1">
                  <c:v>0.15165658762105866</c:v>
                </c:pt>
                <c:pt idx="2">
                  <c:v>0.19843129284656413</c:v>
                </c:pt>
                <c:pt idx="3">
                  <c:v>7.5641223329566187E-2</c:v>
                </c:pt>
                <c:pt idx="4">
                  <c:v>7.7307135932403417E-2</c:v>
                </c:pt>
                <c:pt idx="5">
                  <c:v>7.940741755740241E-2</c:v>
                </c:pt>
                <c:pt idx="6">
                  <c:v>0.11818326467243472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return'!$S$24:$S$30</c:f>
              <c:numCache>
                <c:formatCode>0.0%</c:formatCode>
                <c:ptCount val="7"/>
                <c:pt idx="0">
                  <c:v>1.6068979380520793E-2</c:v>
                </c:pt>
                <c:pt idx="1">
                  <c:v>3.9745399157445432E-2</c:v>
                </c:pt>
                <c:pt idx="2">
                  <c:v>1.2598230434198221E-2</c:v>
                </c:pt>
                <c:pt idx="3">
                  <c:v>3.0273574443353352E-2</c:v>
                </c:pt>
                <c:pt idx="4">
                  <c:v>4.9250548176454925E-2</c:v>
                </c:pt>
                <c:pt idx="5">
                  <c:v>4.3124292815999443E-3</c:v>
                </c:pt>
                <c:pt idx="6">
                  <c:v>6.4182539471209915E-3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return'!$Q$24:$Q$30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return'!$T$24:$T$30</c:f>
              <c:numCache>
                <c:formatCode>0.0%</c:formatCode>
                <c:ptCount val="7"/>
                <c:pt idx="0">
                  <c:v>1.7482137748704718E-2</c:v>
                </c:pt>
                <c:pt idx="1">
                  <c:v>4.0639291155228435E-2</c:v>
                </c:pt>
                <c:pt idx="2">
                  <c:v>1.260834222310081E-2</c:v>
                </c:pt>
                <c:pt idx="3">
                  <c:v>3.1262779962275139E-2</c:v>
                </c:pt>
                <c:pt idx="4">
                  <c:v>5.7854973808628196E-2</c:v>
                </c:pt>
                <c:pt idx="5">
                  <c:v>4.0175210663175864E-3</c:v>
                </c:pt>
                <c:pt idx="6">
                  <c:v>5.979337574660043E-3</c:v>
                </c:pt>
              </c:numCache>
            </c:numRef>
          </c:val>
        </c:ser>
        <c:gapWidth val="101"/>
        <c:overlap val="100"/>
        <c:axId val="462750848"/>
        <c:axId val="462752384"/>
      </c:barChart>
      <c:catAx>
        <c:axId val="462750848"/>
        <c:scaling>
          <c:orientation val="minMax"/>
        </c:scaling>
        <c:axPos val="l"/>
        <c:tickLblPos val="nextTo"/>
        <c:crossAx val="462752384"/>
        <c:crosses val="autoZero"/>
        <c:auto val="1"/>
        <c:lblAlgn val="ctr"/>
        <c:lblOffset val="100"/>
      </c:catAx>
      <c:valAx>
        <c:axId val="462752384"/>
        <c:scaling>
          <c:orientation val="minMax"/>
        </c:scaling>
        <c:axPos val="b"/>
        <c:majorGridlines/>
        <c:numFmt formatCode="0%" sourceLinked="0"/>
        <c:tickLblPos val="nextTo"/>
        <c:crossAx val="46275084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return'!$Q$33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return'!$R$34:$R$40</c:f>
              <c:numCache>
                <c:formatCode>0.0%</c:formatCode>
                <c:ptCount val="7"/>
                <c:pt idx="0">
                  <c:v>0.13216975689576005</c:v>
                </c:pt>
                <c:pt idx="1">
                  <c:v>0.13413031012025389</c:v>
                </c:pt>
                <c:pt idx="2">
                  <c:v>0.1756553949341278</c:v>
                </c:pt>
                <c:pt idx="3">
                  <c:v>0.10817183420054056</c:v>
                </c:pt>
                <c:pt idx="4">
                  <c:v>6.5599590918196796E-2</c:v>
                </c:pt>
                <c:pt idx="5">
                  <c:v>6.9263634628413354E-2</c:v>
                </c:pt>
                <c:pt idx="6">
                  <c:v>0.10308611859272716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return'!$S$34:$S$40</c:f>
              <c:numCache>
                <c:formatCode>0.0%</c:formatCode>
                <c:ptCount val="7"/>
                <c:pt idx="0">
                  <c:v>3.1406666077661127E-2</c:v>
                </c:pt>
                <c:pt idx="1">
                  <c:v>3.1300133850404255E-2</c:v>
                </c:pt>
                <c:pt idx="2">
                  <c:v>1.794175657350025E-2</c:v>
                </c:pt>
                <c:pt idx="3">
                  <c:v>6.6100783513989722E-2</c:v>
                </c:pt>
                <c:pt idx="4">
                  <c:v>6.2505978790287728E-2</c:v>
                </c:pt>
                <c:pt idx="5">
                  <c:v>1.0722278790889217E-3</c:v>
                </c:pt>
                <c:pt idx="6">
                  <c:v>1.5958130250482427E-3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return'!$Q$34:$Q$40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return'!$T$34:$T$40</c:f>
              <c:numCache>
                <c:formatCode>0.0%</c:formatCode>
                <c:ptCount val="7"/>
                <c:pt idx="0">
                  <c:v>3.2139240913967609E-2</c:v>
                </c:pt>
                <c:pt idx="1">
                  <c:v>3.7336721066940803E-2</c:v>
                </c:pt>
                <c:pt idx="2">
                  <c:v>1.8081397707811475E-2</c:v>
                </c:pt>
                <c:pt idx="3">
                  <c:v>6.6200598059561966E-2</c:v>
                </c:pt>
                <c:pt idx="4">
                  <c:v>5.9000437178195364E-2</c:v>
                </c:pt>
                <c:pt idx="5">
                  <c:v>1.0188571416337583E-3</c:v>
                </c:pt>
                <c:pt idx="6">
                  <c:v>1.5163805465155805E-3</c:v>
                </c:pt>
              </c:numCache>
            </c:numRef>
          </c:val>
        </c:ser>
        <c:gapWidth val="100"/>
        <c:overlap val="100"/>
        <c:axId val="462769536"/>
        <c:axId val="462787712"/>
      </c:barChart>
      <c:catAx>
        <c:axId val="462769536"/>
        <c:scaling>
          <c:orientation val="minMax"/>
        </c:scaling>
        <c:axPos val="l"/>
        <c:tickLblPos val="nextTo"/>
        <c:crossAx val="462787712"/>
        <c:crosses val="autoZero"/>
        <c:auto val="1"/>
        <c:lblAlgn val="ctr"/>
        <c:lblOffset val="100"/>
      </c:catAx>
      <c:valAx>
        <c:axId val="462787712"/>
        <c:scaling>
          <c:orientation val="minMax"/>
        </c:scaling>
        <c:axPos val="b"/>
        <c:majorGridlines/>
        <c:numFmt formatCode="0%" sourceLinked="0"/>
        <c:tickLblPos val="nextTo"/>
        <c:crossAx val="46276953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return'!$Q$43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return'!$R$44:$R$50</c:f>
              <c:numCache>
                <c:formatCode>0.0%</c:formatCode>
                <c:ptCount val="7"/>
                <c:pt idx="0">
                  <c:v>0.19299987013648276</c:v>
                </c:pt>
                <c:pt idx="1">
                  <c:v>0.17492621952643317</c:v>
                </c:pt>
                <c:pt idx="2">
                  <c:v>0.21279389051178824</c:v>
                </c:pt>
                <c:pt idx="3">
                  <c:v>7.1360136050287279E-2</c:v>
                </c:pt>
                <c:pt idx="4">
                  <c:v>5.1145056791972511E-5</c:v>
                </c:pt>
                <c:pt idx="5">
                  <c:v>8.7362190040440726E-2</c:v>
                </c:pt>
                <c:pt idx="6">
                  <c:v>0.13002247328405236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return'!$S$44:$S$50</c:f>
              <c:numCache>
                <c:formatCode>0.0%</c:formatCode>
                <c:ptCount val="7"/>
                <c:pt idx="0">
                  <c:v>5.3512942923842677E-2</c:v>
                </c:pt>
                <c:pt idx="1">
                  <c:v>5.1956908428841514E-2</c:v>
                </c:pt>
                <c:pt idx="2">
                  <c:v>9.5092416803638224E-3</c:v>
                </c:pt>
                <c:pt idx="3">
                  <c:v>8.0093657199323126E-3</c:v>
                </c:pt>
                <c:pt idx="4">
                  <c:v>5.7775030061773284E-3</c:v>
                </c:pt>
                <c:pt idx="5">
                  <c:v>6.904726743760109E-4</c:v>
                </c:pt>
                <c:pt idx="6">
                  <c:v>1.0276409601896186E-3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return'!$Q$44:$Q$50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return'!$T$44:$T$50</c:f>
              <c:numCache>
                <c:formatCode>0.0%</c:formatCode>
                <c:ptCount val="7"/>
                <c:pt idx="0">
                  <c:v>5.2828084400824565E-2</c:v>
                </c:pt>
                <c:pt idx="1">
                  <c:v>5.590951924146878E-2</c:v>
                </c:pt>
                <c:pt idx="2">
                  <c:v>9.6088169132881873E-3</c:v>
                </c:pt>
                <c:pt idx="3">
                  <c:v>8.4818435585615748E-3</c:v>
                </c:pt>
                <c:pt idx="4">
                  <c:v>7.0384530908553277E-3</c:v>
                </c:pt>
                <c:pt idx="5">
                  <c:v>5.8475003782165746E-4</c:v>
                </c:pt>
                <c:pt idx="6">
                  <c:v>8.7029235571267627E-4</c:v>
                </c:pt>
              </c:numCache>
            </c:numRef>
          </c:val>
        </c:ser>
        <c:gapWidth val="100"/>
        <c:overlap val="100"/>
        <c:axId val="462796672"/>
        <c:axId val="462798208"/>
      </c:barChart>
      <c:catAx>
        <c:axId val="462796672"/>
        <c:scaling>
          <c:orientation val="minMax"/>
        </c:scaling>
        <c:axPos val="l"/>
        <c:tickLblPos val="nextTo"/>
        <c:crossAx val="462798208"/>
        <c:crosses val="autoZero"/>
        <c:auto val="1"/>
        <c:lblAlgn val="ctr"/>
        <c:lblOffset val="100"/>
      </c:catAx>
      <c:valAx>
        <c:axId val="462798208"/>
        <c:scaling>
          <c:orientation val="minMax"/>
        </c:scaling>
        <c:axPos val="b"/>
        <c:majorGridlines/>
        <c:numFmt formatCode="0%" sourceLinked="0"/>
        <c:tickLblPos val="nextTo"/>
        <c:crossAx val="46279667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0.12493937161815787</c:v>
                </c:pt>
                <c:pt idx="1">
                  <c:v>0.14556132344482178</c:v>
                </c:pt>
                <c:pt idx="2">
                  <c:v>0.17349962652971518</c:v>
                </c:pt>
                <c:pt idx="3">
                  <c:v>9.6535759829145973E-2</c:v>
                </c:pt>
                <c:pt idx="4">
                  <c:v>7.2289667616907013E-2</c:v>
                </c:pt>
                <c:pt idx="5">
                  <c:v>6.9370814730877348E-2</c:v>
                </c:pt>
                <c:pt idx="6">
                  <c:v>0.10324563636583652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2.581436494275012E-2</c:v>
                </c:pt>
                <c:pt idx="1">
                  <c:v>3.9729281247645659E-2</c:v>
                </c:pt>
                <c:pt idx="2">
                  <c:v>9.7016305853915574E-3</c:v>
                </c:pt>
                <c:pt idx="3">
                  <c:v>7.0156604225525554E-2</c:v>
                </c:pt>
                <c:pt idx="4">
                  <c:v>6.5501478619990297E-2</c:v>
                </c:pt>
                <c:pt idx="5">
                  <c:v>1.4686404189626495E-3</c:v>
                </c:pt>
                <c:pt idx="6">
                  <c:v>2.1857998242723609E-3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2.4692614950212882E-2</c:v>
                </c:pt>
                <c:pt idx="1">
                  <c:v>4.1850893923647658E-2</c:v>
                </c:pt>
                <c:pt idx="2">
                  <c:v>9.8266274355102157E-3</c:v>
                </c:pt>
                <c:pt idx="3">
                  <c:v>7.3962587993887663E-2</c:v>
                </c:pt>
                <c:pt idx="4">
                  <c:v>6.0210457168469678E-2</c:v>
                </c:pt>
                <c:pt idx="5">
                  <c:v>1.45273326007897E-3</c:v>
                </c:pt>
                <c:pt idx="6">
                  <c:v>2.1621249582919055E-3</c:v>
                </c:pt>
              </c:numCache>
            </c:numRef>
          </c:val>
        </c:ser>
        <c:gapWidth val="100"/>
        <c:overlap val="100"/>
        <c:axId val="463036800"/>
        <c:axId val="463038336"/>
      </c:barChart>
      <c:catAx>
        <c:axId val="463036800"/>
        <c:scaling>
          <c:orientation val="minMax"/>
        </c:scaling>
        <c:axPos val="l"/>
        <c:tickLblPos val="nextTo"/>
        <c:crossAx val="463038336"/>
        <c:crosses val="autoZero"/>
        <c:auto val="1"/>
        <c:lblAlgn val="ctr"/>
        <c:lblOffset val="100"/>
      </c:catAx>
      <c:valAx>
        <c:axId val="463038336"/>
        <c:scaling>
          <c:orientation val="minMax"/>
        </c:scaling>
        <c:axPos val="b"/>
        <c:majorGridlines/>
        <c:numFmt formatCode="0%" sourceLinked="0"/>
        <c:tickLblPos val="nextTo"/>
        <c:crossAx val="4630368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099" l="0.70000000000000062" r="0.70000000000000062" t="0.7500000000000109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return'!$A$74:$A$80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return'!$B$74:$B$80</c:f>
              <c:numCache>
                <c:formatCode>0.0%</c:formatCode>
                <c:ptCount val="7"/>
                <c:pt idx="0">
                  <c:v>0.15075373656090799</c:v>
                </c:pt>
                <c:pt idx="1">
                  <c:v>0.18529060469246744</c:v>
                </c:pt>
                <c:pt idx="2">
                  <c:v>0.18320125711510674</c:v>
                </c:pt>
                <c:pt idx="3">
                  <c:v>0.16669236405467153</c:v>
                </c:pt>
                <c:pt idx="4">
                  <c:v>0.13779114623689731</c:v>
                </c:pt>
                <c:pt idx="5">
                  <c:v>7.0839455149839997E-2</c:v>
                </c:pt>
                <c:pt idx="6">
                  <c:v>0.10543143619010888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return'!$A$103:$A$109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return'!$B$103:$B$109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return'!$Q$63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return'!$R$64:$R$70</c:f>
              <c:numCache>
                <c:formatCode>0.0%</c:formatCode>
                <c:ptCount val="7"/>
                <c:pt idx="0">
                  <c:v>0.19299987013648276</c:v>
                </c:pt>
                <c:pt idx="1">
                  <c:v>0.17492621952643317</c:v>
                </c:pt>
                <c:pt idx="2">
                  <c:v>0.21279389051178824</c:v>
                </c:pt>
                <c:pt idx="3">
                  <c:v>7.1360136050287279E-2</c:v>
                </c:pt>
                <c:pt idx="4">
                  <c:v>5.1145056791972511E-5</c:v>
                </c:pt>
                <c:pt idx="5">
                  <c:v>8.7362190040440726E-2</c:v>
                </c:pt>
                <c:pt idx="6">
                  <c:v>0.13002247328405236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return'!$S$64:$S$70</c:f>
              <c:numCache>
                <c:formatCode>0.0%</c:formatCode>
                <c:ptCount val="7"/>
                <c:pt idx="0">
                  <c:v>5.3512942923842677E-2</c:v>
                </c:pt>
                <c:pt idx="1">
                  <c:v>5.1956908428841514E-2</c:v>
                </c:pt>
                <c:pt idx="2">
                  <c:v>9.5092416803638224E-3</c:v>
                </c:pt>
                <c:pt idx="3">
                  <c:v>8.0093657199323126E-3</c:v>
                </c:pt>
                <c:pt idx="4">
                  <c:v>5.7775030061773284E-3</c:v>
                </c:pt>
                <c:pt idx="5">
                  <c:v>6.904726743760109E-4</c:v>
                </c:pt>
                <c:pt idx="6">
                  <c:v>1.0276409601896186E-3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return'!$Q$64:$Q$70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return'!$T$64:$T$70</c:f>
              <c:numCache>
                <c:formatCode>0.0%</c:formatCode>
                <c:ptCount val="7"/>
                <c:pt idx="0">
                  <c:v>5.2828084400824565E-2</c:v>
                </c:pt>
                <c:pt idx="1">
                  <c:v>5.590951924146878E-2</c:v>
                </c:pt>
                <c:pt idx="2">
                  <c:v>9.6088169132881873E-3</c:v>
                </c:pt>
                <c:pt idx="3">
                  <c:v>8.4818435585615748E-3</c:v>
                </c:pt>
                <c:pt idx="4">
                  <c:v>7.0384530908553277E-3</c:v>
                </c:pt>
                <c:pt idx="5">
                  <c:v>5.8475003782165746E-4</c:v>
                </c:pt>
                <c:pt idx="6">
                  <c:v>8.7029235571267627E-4</c:v>
                </c:pt>
              </c:numCache>
            </c:numRef>
          </c:val>
        </c:ser>
        <c:gapWidth val="100"/>
        <c:overlap val="100"/>
        <c:axId val="465439360"/>
        <c:axId val="465445248"/>
      </c:barChart>
      <c:catAx>
        <c:axId val="465439360"/>
        <c:scaling>
          <c:orientation val="minMax"/>
        </c:scaling>
        <c:axPos val="l"/>
        <c:tickLblPos val="nextTo"/>
        <c:crossAx val="465445248"/>
        <c:crosses val="autoZero"/>
        <c:auto val="1"/>
        <c:lblAlgn val="ctr"/>
        <c:lblOffset val="100"/>
      </c:catAx>
      <c:valAx>
        <c:axId val="465445248"/>
        <c:scaling>
          <c:orientation val="minMax"/>
        </c:scaling>
        <c:axPos val="b"/>
        <c:majorGridlines/>
        <c:numFmt formatCode="0%" sourceLinked="0"/>
        <c:tickLblPos val="nextTo"/>
        <c:crossAx val="46543936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21" l="0.70000000000000062" r="0.70000000000000062" t="0.75000000000001121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2061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return'!$R$54:$R$60</c:f>
              <c:numCache>
                <c:formatCode>0.0%</c:formatCode>
                <c:ptCount val="7"/>
                <c:pt idx="0">
                  <c:v>0.21002417649538574</c:v>
                </c:pt>
                <c:pt idx="1">
                  <c:v>0.16676526091599708</c:v>
                </c:pt>
                <c:pt idx="2">
                  <c:v>0.21308588018227792</c:v>
                </c:pt>
                <c:pt idx="3">
                  <c:v>7.0096770387310353E-2</c:v>
                </c:pt>
                <c:pt idx="4">
                  <c:v>4.3398076987078476E-5</c:v>
                </c:pt>
                <c:pt idx="5">
                  <c:v>8.7559388696105828E-2</c:v>
                </c:pt>
                <c:pt idx="6">
                  <c:v>0.13031596703605192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return'!$S$54:$S$60</c:f>
              <c:numCache>
                <c:formatCode>0.0%</c:formatCode>
                <c:ptCount val="7"/>
                <c:pt idx="0">
                  <c:v>4.7889574158848203E-2</c:v>
                </c:pt>
                <c:pt idx="1">
                  <c:v>5.1402720194071772E-2</c:v>
                </c:pt>
                <c:pt idx="2">
                  <c:v>8.6741341737354427E-3</c:v>
                </c:pt>
                <c:pt idx="3">
                  <c:v>6.8206188001225382E-3</c:v>
                </c:pt>
                <c:pt idx="4">
                  <c:v>5.788214215575049E-3</c:v>
                </c:pt>
                <c:pt idx="5">
                  <c:v>6.1643986342849177E-4</c:v>
                </c:pt>
                <c:pt idx="6">
                  <c:v>9.1745680410212915E-4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return'!$Q$54:$Q$60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return'!$T$54:$T$60</c:f>
              <c:numCache>
                <c:formatCode>0.0%</c:formatCode>
                <c:ptCount val="7"/>
                <c:pt idx="0">
                  <c:v>4.8934883817685737E-2</c:v>
                </c:pt>
                <c:pt idx="1">
                  <c:v>4.991032999400663E-2</c:v>
                </c:pt>
                <c:pt idx="2">
                  <c:v>8.8606141472724886E-3</c:v>
                </c:pt>
                <c:pt idx="3">
                  <c:v>7.977048544169793E-3</c:v>
                </c:pt>
                <c:pt idx="4">
                  <c:v>6.4119311719222846E-3</c:v>
                </c:pt>
                <c:pt idx="5">
                  <c:v>5.4206301925481537E-4</c:v>
                </c:pt>
                <c:pt idx="6">
                  <c:v>8.067606181426934E-4</c:v>
                </c:pt>
              </c:numCache>
            </c:numRef>
          </c:val>
        </c:ser>
        <c:gapWidth val="100"/>
        <c:overlap val="100"/>
        <c:axId val="465470592"/>
        <c:axId val="465472128"/>
      </c:barChart>
      <c:catAx>
        <c:axId val="465470592"/>
        <c:scaling>
          <c:orientation val="minMax"/>
        </c:scaling>
        <c:axPos val="l"/>
        <c:tickLblPos val="nextTo"/>
        <c:crossAx val="465472128"/>
        <c:crosses val="autoZero"/>
        <c:auto val="1"/>
        <c:lblAlgn val="ctr"/>
        <c:lblOffset val="100"/>
      </c:catAx>
      <c:valAx>
        <c:axId val="465472128"/>
        <c:scaling>
          <c:orientation val="minMax"/>
        </c:scaling>
        <c:axPos val="b"/>
        <c:majorGridlines/>
        <c:numFmt formatCode="0%" sourceLinked="0"/>
        <c:tickLblPos val="nextTo"/>
        <c:crossAx val="4654705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44" l="0.70000000000000062" r="0.70000000000000062" t="0.75000000000001144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642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099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mixen'!$S$81:$S$88</c:f>
              <c:numCache>
                <c:formatCode>0.0%</c:formatCode>
                <c:ptCount val="8"/>
                <c:pt idx="0">
                  <c:v>0.55445412466283595</c:v>
                </c:pt>
                <c:pt idx="1">
                  <c:v>5.6632780015644327E-2</c:v>
                </c:pt>
                <c:pt idx="2">
                  <c:v>6.7085909467966776E-2</c:v>
                </c:pt>
                <c:pt idx="3">
                  <c:v>7.6918430717805811E-2</c:v>
                </c:pt>
                <c:pt idx="4">
                  <c:v>4.9623150180197903E-2</c:v>
                </c:pt>
                <c:pt idx="5">
                  <c:v>4.2439840757957835E-2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ser>
          <c:idx val="1"/>
          <c:order val="1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mixen'!$T$81:$T$88</c:f>
              <c:numCache>
                <c:formatCode>0.0%</c:formatCode>
                <c:ptCount val="8"/>
                <c:pt idx="0">
                  <c:v>7.47064282738652E-3</c:v>
                </c:pt>
                <c:pt idx="1">
                  <c:v>9.4500230795852985E-3</c:v>
                </c:pt>
                <c:pt idx="2">
                  <c:v>1.4254653595632966E-2</c:v>
                </c:pt>
                <c:pt idx="3">
                  <c:v>3.3078609828558481E-3</c:v>
                </c:pt>
                <c:pt idx="4">
                  <c:v>2.339377055061731E-2</c:v>
                </c:pt>
                <c:pt idx="5">
                  <c:v>1.7781337855505321E-2</c:v>
                </c:pt>
                <c:pt idx="6">
                  <c:v>-2.9490299091605721E-16</c:v>
                </c:pt>
                <c:pt idx="7">
                  <c:v>4.2327252813834093E-16</c:v>
                </c:pt>
              </c:numCache>
            </c:numRef>
          </c:val>
        </c:ser>
        <c:ser>
          <c:idx val="2"/>
          <c:order val="2"/>
          <c:cat>
            <c:strRef>
              <c:f>'Samenvatting mixen'!$R$81:$R$88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mixen'!$U$81:$U$88</c:f>
              <c:numCache>
                <c:formatCode>0.0%</c:formatCode>
                <c:ptCount val="8"/>
                <c:pt idx="0">
                  <c:v>5.3711695303696461E-3</c:v>
                </c:pt>
                <c:pt idx="1">
                  <c:v>6.7449528702763911E-3</c:v>
                </c:pt>
                <c:pt idx="2">
                  <c:v>1.2456610892944225E-2</c:v>
                </c:pt>
                <c:pt idx="3">
                  <c:v>2.282555752836174E-3</c:v>
                </c:pt>
                <c:pt idx="4">
                  <c:v>1.9614618210913828E-2</c:v>
                </c:pt>
                <c:pt idx="5">
                  <c:v>1.9131386006769863E-2</c:v>
                </c:pt>
                <c:pt idx="6">
                  <c:v>2.9490299091605721E-16</c:v>
                </c:pt>
                <c:pt idx="7">
                  <c:v>-4.2327252813834093E-16</c:v>
                </c:pt>
              </c:numCache>
            </c:numRef>
          </c:val>
        </c:ser>
        <c:overlap val="100"/>
        <c:axId val="468452096"/>
        <c:axId val="468454016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0.55549268496933957</c:v>
                </c:pt>
                <c:pt idx="1">
                  <c:v>9.7387120358343723E-2</c:v>
                </c:pt>
                <c:pt idx="2">
                  <c:v>9.5164223805884504E-2</c:v>
                </c:pt>
                <c:pt idx="3">
                  <c:v>0.10363483668477239</c:v>
                </c:pt>
                <c:pt idx="4">
                  <c:v>5.1404597453969164E-2</c:v>
                </c:pt>
                <c:pt idx="5">
                  <c:v>1.9729061421683056E-2</c:v>
                </c:pt>
                <c:pt idx="6">
                  <c:v>3.1019975297703138E-2</c:v>
                </c:pt>
                <c:pt idx="7">
                  <c:v>4.6167500008304781E-2</c:v>
                </c:pt>
              </c:numCache>
            </c:numRef>
          </c:val>
        </c:ser>
        <c:marker val="1"/>
        <c:axId val="468452096"/>
        <c:axId val="468454016"/>
      </c:lineChart>
      <c:catAx>
        <c:axId val="468452096"/>
        <c:scaling>
          <c:orientation val="minMax"/>
        </c:scaling>
        <c:axPos val="b"/>
        <c:tickLblPos val="nextTo"/>
        <c:crossAx val="468454016"/>
        <c:crosses val="autoZero"/>
        <c:auto val="1"/>
        <c:lblAlgn val="ctr"/>
        <c:lblOffset val="100"/>
      </c:catAx>
      <c:valAx>
        <c:axId val="468454016"/>
        <c:scaling>
          <c:orientation val="minMax"/>
        </c:scaling>
        <c:axPos val="l"/>
        <c:majorGridlines/>
        <c:numFmt formatCode="0%" sourceLinked="0"/>
        <c:tickLblPos val="nextTo"/>
        <c:crossAx val="468452096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25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0.12493937161815787</c:v>
                </c:pt>
                <c:pt idx="1">
                  <c:v>0.14556132344482178</c:v>
                </c:pt>
                <c:pt idx="2">
                  <c:v>0.17349962652971518</c:v>
                </c:pt>
                <c:pt idx="3">
                  <c:v>9.6535759829145973E-2</c:v>
                </c:pt>
                <c:pt idx="4">
                  <c:v>7.2289667616907013E-2</c:v>
                </c:pt>
                <c:pt idx="5">
                  <c:v>6.9370814730877348E-2</c:v>
                </c:pt>
                <c:pt idx="6">
                  <c:v>0.10324563636583652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2.581436494275012E-2</c:v>
                </c:pt>
                <c:pt idx="1">
                  <c:v>3.9729281247645659E-2</c:v>
                </c:pt>
                <c:pt idx="2">
                  <c:v>9.7016305853915574E-3</c:v>
                </c:pt>
                <c:pt idx="3">
                  <c:v>7.0156604225525554E-2</c:v>
                </c:pt>
                <c:pt idx="4">
                  <c:v>6.5501478619990297E-2</c:v>
                </c:pt>
                <c:pt idx="5">
                  <c:v>1.4686404189626495E-3</c:v>
                </c:pt>
                <c:pt idx="6">
                  <c:v>2.1857998242723609E-3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2.4692614950212882E-2</c:v>
                </c:pt>
                <c:pt idx="1">
                  <c:v>4.1850893923647658E-2</c:v>
                </c:pt>
                <c:pt idx="2">
                  <c:v>9.8266274355102157E-3</c:v>
                </c:pt>
                <c:pt idx="3">
                  <c:v>7.3962587993887663E-2</c:v>
                </c:pt>
                <c:pt idx="4">
                  <c:v>6.0210457168469678E-2</c:v>
                </c:pt>
                <c:pt idx="5">
                  <c:v>1.45273326007897E-3</c:v>
                </c:pt>
                <c:pt idx="6">
                  <c:v>2.1621249582919055E-3</c:v>
                </c:pt>
              </c:numCache>
            </c:numRef>
          </c:val>
        </c:ser>
        <c:overlap val="100"/>
        <c:axId val="468484480"/>
        <c:axId val="468486400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0.21909002858957732</c:v>
                </c:pt>
                <c:pt idx="1">
                  <c:v>0.21408921875519724</c:v>
                </c:pt>
                <c:pt idx="2">
                  <c:v>0.23314540206750922</c:v>
                </c:pt>
                <c:pt idx="3">
                  <c:v>0.11564398540983163</c:v>
                </c:pt>
                <c:pt idx="4">
                  <c:v>4.4384109675050465E-2</c:v>
                </c:pt>
                <c:pt idx="5">
                  <c:v>6.978507270586419E-2</c:v>
                </c:pt>
                <c:pt idx="6">
                  <c:v>0.10386218279696992</c:v>
                </c:pt>
              </c:numCache>
            </c:numRef>
          </c:val>
        </c:ser>
        <c:marker val="1"/>
        <c:axId val="468484480"/>
        <c:axId val="468486400"/>
      </c:lineChart>
      <c:catAx>
        <c:axId val="468484480"/>
        <c:scaling>
          <c:orientation val="minMax"/>
        </c:scaling>
        <c:axPos val="b"/>
        <c:numFmt formatCode="General" sourceLinked="1"/>
        <c:tickLblPos val="nextTo"/>
        <c:crossAx val="468486400"/>
        <c:crosses val="autoZero"/>
        <c:auto val="1"/>
        <c:lblAlgn val="ctr"/>
        <c:lblOffset val="100"/>
      </c:catAx>
      <c:valAx>
        <c:axId val="468486400"/>
        <c:scaling>
          <c:orientation val="minMax"/>
        </c:scaling>
        <c:axPos val="l"/>
        <c:majorGridlines/>
        <c:numFmt formatCode="0%" sourceLinked="0"/>
        <c:tickLblPos val="nextTo"/>
        <c:crossAx val="468484480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06"/>
          <c:w val="0.5562682138416909"/>
          <c:h val="0.69258218413304917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mixen'!$A$81:$A$88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mixen'!$B$81:$B$88</c:f>
              <c:numCache>
                <c:formatCode>0.0%</c:formatCode>
                <c:ptCount val="8"/>
                <c:pt idx="0">
                  <c:v>0.56192476749022247</c:v>
                </c:pt>
                <c:pt idx="1">
                  <c:v>6.6082803095229625E-2</c:v>
                </c:pt>
                <c:pt idx="2">
                  <c:v>8.1340563063599741E-2</c:v>
                </c:pt>
                <c:pt idx="3">
                  <c:v>8.0226291700661659E-2</c:v>
                </c:pt>
                <c:pt idx="4">
                  <c:v>7.3016920730815213E-2</c:v>
                </c:pt>
                <c:pt idx="5">
                  <c:v>6.0221178613463155E-2</c:v>
                </c:pt>
                <c:pt idx="6">
                  <c:v>3.1019975297702843E-2</c:v>
                </c:pt>
                <c:pt idx="7">
                  <c:v>4.6167500008305204E-2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IC'!$C$34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IC'!$C$35:$C$42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IC'!$D$34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IC'!$D$35:$D$42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468566784"/>
        <c:axId val="468568320"/>
      </c:barChart>
      <c:catAx>
        <c:axId val="468566784"/>
        <c:scaling>
          <c:orientation val="minMax"/>
        </c:scaling>
        <c:axPos val="l"/>
        <c:tickLblPos val="nextTo"/>
        <c:crossAx val="468568320"/>
        <c:crosses val="autoZero"/>
        <c:auto val="1"/>
        <c:lblAlgn val="ctr"/>
        <c:lblOffset val="100"/>
      </c:catAx>
      <c:valAx>
        <c:axId val="468568320"/>
        <c:scaling>
          <c:orientation val="minMax"/>
        </c:scaling>
        <c:axPos val="b"/>
        <c:majorGridlines/>
        <c:numFmt formatCode="0.0%" sourceLinked="1"/>
        <c:tickLblPos val="nextTo"/>
        <c:crossAx val="468566784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467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8"/>
          <c:y val="5.1400554097404488E-2"/>
          <c:w val="0.8216434820647468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IC'!$I$35:$I$42</c:f>
              <c:numCache>
                <c:formatCode>0.0%</c:formatCode>
                <c:ptCount val="8"/>
                <c:pt idx="0">
                  <c:v>4.3571419993869868E-2</c:v>
                </c:pt>
                <c:pt idx="1">
                  <c:v>0.15810707611932825</c:v>
                </c:pt>
                <c:pt idx="2">
                  <c:v>0.16193319430872868</c:v>
                </c:pt>
                <c:pt idx="3">
                  <c:v>0.28684488662827246</c:v>
                </c:pt>
                <c:pt idx="4">
                  <c:v>0.29497711980114533</c:v>
                </c:pt>
                <c:pt idx="5">
                  <c:v>0.32949402218690865</c:v>
                </c:pt>
                <c:pt idx="6">
                  <c:v>0.1608611248297202</c:v>
                </c:pt>
                <c:pt idx="7">
                  <c:v>0.19933384935580506</c:v>
                </c:pt>
              </c:numCache>
            </c:numRef>
          </c:xVal>
          <c:yVal>
            <c:numRef>
              <c:f>'output IC'!$H$35:$H$42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1.4996171000904845E-2</c:v>
                </c:pt>
                <c:pt idx="2">
                  <c:v>3.3632152529915554E-2</c:v>
                </c:pt>
                <c:pt idx="3">
                  <c:v>-1.8275706628265609E-2</c:v>
                </c:pt>
                <c:pt idx="4">
                  <c:v>6.1274623073284545E-2</c:v>
                </c:pt>
                <c:pt idx="5">
                  <c:v>7.9522702632630907E-2</c:v>
                </c:pt>
                <c:pt idx="6">
                  <c:v>1.7325408361865E-2</c:v>
                </c:pt>
                <c:pt idx="7">
                  <c:v>-3.3454365202922019E-3</c:v>
                </c:pt>
              </c:numCache>
            </c:numRef>
          </c:yVal>
        </c:ser>
        <c:axId val="468851712"/>
        <c:axId val="469439616"/>
      </c:scatterChart>
      <c:valAx>
        <c:axId val="468851712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401"/>
            </c:manualLayout>
          </c:layout>
        </c:title>
        <c:numFmt formatCode="0%" sourceLinked="0"/>
        <c:tickLblPos val="nextTo"/>
        <c:crossAx val="469439616"/>
        <c:crosses val="autoZero"/>
        <c:crossBetween val="midCat"/>
      </c:valAx>
      <c:valAx>
        <c:axId val="4694396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468851712"/>
        <c:crosses val="autoZero"/>
        <c:crossBetween val="midCat"/>
      </c:valAx>
    </c:plotArea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5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85"/>
          <c:y val="5.1400554097404488E-2"/>
          <c:w val="0.82164348206474702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953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246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855E-2"/>
                  <c:y val="-6.73369912559804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IC'!$I$35:$I$42</c:f>
              <c:numCache>
                <c:formatCode>0.0%</c:formatCode>
                <c:ptCount val="8"/>
                <c:pt idx="0">
                  <c:v>4.3571419993869868E-2</c:v>
                </c:pt>
                <c:pt idx="1">
                  <c:v>0.15810707611932825</c:v>
                </c:pt>
                <c:pt idx="2">
                  <c:v>0.16193319430872868</c:v>
                </c:pt>
                <c:pt idx="3">
                  <c:v>0.28684488662827246</c:v>
                </c:pt>
                <c:pt idx="4">
                  <c:v>0.29497711980114533</c:v>
                </c:pt>
                <c:pt idx="5">
                  <c:v>0.32949402218690865</c:v>
                </c:pt>
                <c:pt idx="6">
                  <c:v>0.1608611248297202</c:v>
                </c:pt>
                <c:pt idx="7">
                  <c:v>0.19933384935580506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3.0000000000000002E-2</c:v>
                </c:pt>
                <c:pt idx="2">
                  <c:v>3.1452343984147556E-2</c:v>
                </c:pt>
                <c:pt idx="3">
                  <c:v>5.6804592721954011E-2</c:v>
                </c:pt>
                <c:pt idx="4">
                  <c:v>5.6320387554596889E-2</c:v>
                </c:pt>
                <c:pt idx="5">
                  <c:v>5.236888388126059E-2</c:v>
                </c:pt>
                <c:pt idx="6">
                  <c:v>2.8306574622560098E-2</c:v>
                </c:pt>
                <c:pt idx="7">
                  <c:v>3.9543569652327068E-2</c:v>
                </c:pt>
              </c:numCache>
            </c:numRef>
          </c:yVal>
        </c:ser>
        <c:axId val="469485440"/>
        <c:axId val="469520384"/>
      </c:scatterChart>
      <c:valAx>
        <c:axId val="469485440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423"/>
            </c:manualLayout>
          </c:layout>
        </c:title>
        <c:numFmt formatCode="0%" sourceLinked="0"/>
        <c:tickLblPos val="nextTo"/>
        <c:crossAx val="469520384"/>
        <c:crosses val="autoZero"/>
        <c:crossBetween val="midCat"/>
      </c:valAx>
      <c:valAx>
        <c:axId val="4695203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469485440"/>
        <c:crosses val="autoZero"/>
        <c:crossBetween val="midCat"/>
      </c:valAx>
    </c:plotArea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IC'!$E$34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IC'!$E$35:$E$42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IC'!$H$34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IC'!$H$35:$H$42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1.4996171000904845E-2</c:v>
                </c:pt>
                <c:pt idx="2">
                  <c:v>3.3632152529915554E-2</c:v>
                </c:pt>
                <c:pt idx="3">
                  <c:v>-1.8275706628265609E-2</c:v>
                </c:pt>
                <c:pt idx="4">
                  <c:v>6.1274623073284545E-2</c:v>
                </c:pt>
                <c:pt idx="5">
                  <c:v>7.9522702632630907E-2</c:v>
                </c:pt>
                <c:pt idx="6">
                  <c:v>1.7325408361865E-2</c:v>
                </c:pt>
                <c:pt idx="7">
                  <c:v>-3.3454365202922019E-3</c:v>
                </c:pt>
              </c:numCache>
            </c:numRef>
          </c:val>
        </c:ser>
        <c:axId val="469541248"/>
        <c:axId val="469542784"/>
      </c:barChart>
      <c:catAx>
        <c:axId val="469541248"/>
        <c:scaling>
          <c:orientation val="minMax"/>
        </c:scaling>
        <c:axPos val="l"/>
        <c:tickLblPos val="none"/>
        <c:crossAx val="469542784"/>
        <c:crosses val="autoZero"/>
        <c:auto val="1"/>
        <c:lblAlgn val="ctr"/>
        <c:lblOffset val="100"/>
      </c:catAx>
      <c:valAx>
        <c:axId val="469542784"/>
        <c:scaling>
          <c:orientation val="minMax"/>
        </c:scaling>
        <c:axPos val="b"/>
        <c:majorGridlines/>
        <c:numFmt formatCode="0.0%" sourceLinked="1"/>
        <c:tickLblPos val="nextTo"/>
        <c:crossAx val="469541248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IC'!$J$34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IC'!$J$35:$J$42</c:f>
              <c:numCache>
                <c:formatCode>#,##0.00_ ;\-#,##0.00\ </c:formatCode>
                <c:ptCount val="8"/>
                <c:pt idx="0">
                  <c:v>-0.85588235294117654</c:v>
                </c:pt>
                <c:pt idx="1">
                  <c:v>-0.29390747695152525</c:v>
                </c:pt>
                <c:pt idx="2">
                  <c:v>6.857423812834619E-2</c:v>
                </c:pt>
                <c:pt idx="3">
                  <c:v>-0.20272934385775906</c:v>
                </c:pt>
                <c:pt idx="4">
                  <c:v>-0.14794569285453799</c:v>
                </c:pt>
                <c:pt idx="5">
                  <c:v>-0.10839492265633952</c:v>
                </c:pt>
                <c:pt idx="6">
                  <c:v>-0.43007353239699947</c:v>
                </c:pt>
                <c:pt idx="7">
                  <c:v>-0.2928562258300802</c:v>
                </c:pt>
              </c:numCache>
            </c:numRef>
          </c:val>
        </c:ser>
        <c:ser>
          <c:idx val="1"/>
          <c:order val="1"/>
          <c:tx>
            <c:strRef>
              <c:f>'output IC'!$K$34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IC'!$B$35:$B$42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IC'!$K$35:$K$42</c:f>
              <c:numCache>
                <c:formatCode>#,##0.00_ ;[Red]\-#,##0.00\ </c:formatCode>
                <c:ptCount val="8"/>
                <c:pt idx="0">
                  <c:v>-7.4464335370661383E-2</c:v>
                </c:pt>
                <c:pt idx="1">
                  <c:v>9.484819635515096E-2</c:v>
                </c:pt>
                <c:pt idx="2">
                  <c:v>0.20769152781482975</c:v>
                </c:pt>
                <c:pt idx="3">
                  <c:v>-6.3712854857159898E-2</c:v>
                </c:pt>
                <c:pt idx="4">
                  <c:v>0.20772669797098831</c:v>
                </c:pt>
                <c:pt idx="5">
                  <c:v>0.241347937376299</c:v>
                </c:pt>
                <c:pt idx="6">
                  <c:v>0.10770413535405052</c:v>
                </c:pt>
                <c:pt idx="7">
                  <c:v>-1.6783082908917772E-2</c:v>
                </c:pt>
              </c:numCache>
            </c:numRef>
          </c:val>
        </c:ser>
        <c:axId val="469592320"/>
        <c:axId val="469594112"/>
      </c:barChart>
      <c:catAx>
        <c:axId val="469592320"/>
        <c:scaling>
          <c:orientation val="minMax"/>
        </c:scaling>
        <c:axPos val="l"/>
        <c:tickLblPos val="high"/>
        <c:crossAx val="469594112"/>
        <c:crosses val="autoZero"/>
        <c:auto val="1"/>
        <c:lblAlgn val="ctr"/>
        <c:lblOffset val="100"/>
      </c:catAx>
      <c:valAx>
        <c:axId val="469594112"/>
        <c:scaling>
          <c:orientation val="minMax"/>
          <c:max val="0.30000000000000032"/>
        </c:scaling>
        <c:axPos val="b"/>
        <c:majorGridlines/>
        <c:numFmt formatCode="#,##0.00_ ;\-#,##0.00\ " sourceLinked="1"/>
        <c:tickLblPos val="nextTo"/>
        <c:crossAx val="469592320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10" Type="http://schemas.openxmlformats.org/officeDocument/2006/relationships/chart" Target="../charts/chart24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101973</xdr:colOff>
      <xdr:row>0</xdr:row>
      <xdr:rowOff>0</xdr:rowOff>
    </xdr:from>
    <xdr:to>
      <xdr:col>14</xdr:col>
      <xdr:colOff>559172</xdr:colOff>
      <xdr:row>12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423581</xdr:colOff>
      <xdr:row>13</xdr:row>
      <xdr:rowOff>169209</xdr:rowOff>
    </xdr:from>
    <xdr:to>
      <xdr:col>15</xdr:col>
      <xdr:colOff>250450</xdr:colOff>
      <xdr:row>22</xdr:row>
      <xdr:rowOff>140634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752756</xdr:colOff>
      <xdr:row>24</xdr:row>
      <xdr:rowOff>132648</xdr:rowOff>
    </xdr:from>
    <xdr:to>
      <xdr:col>14</xdr:col>
      <xdr:colOff>145818</xdr:colOff>
      <xdr:row>42</xdr:row>
      <xdr:rowOff>10504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460841</xdr:colOff>
      <xdr:row>4</xdr:row>
      <xdr:rowOff>123265</xdr:rowOff>
    </xdr:from>
    <xdr:to>
      <xdr:col>23</xdr:col>
      <xdr:colOff>268941</xdr:colOff>
      <xdr:row>21</xdr:row>
      <xdr:rowOff>57431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309562</xdr:colOff>
      <xdr:row>24</xdr:row>
      <xdr:rowOff>130969</xdr:rowOff>
    </xdr:from>
    <xdr:to>
      <xdr:col>22</xdr:col>
      <xdr:colOff>590831</xdr:colOff>
      <xdr:row>42</xdr:row>
      <xdr:rowOff>123124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21</xdr:row>
      <xdr:rowOff>28575</xdr:rowOff>
    </xdr:from>
    <xdr:to>
      <xdr:col>13</xdr:col>
      <xdr:colOff>114300</xdr:colOff>
      <xdr:row>37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190500</xdr:colOff>
      <xdr:row>3</xdr:row>
      <xdr:rowOff>0</xdr:rowOff>
    </xdr:from>
    <xdr:to>
      <xdr:col>29</xdr:col>
      <xdr:colOff>476250</xdr:colOff>
      <xdr:row>16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457200</xdr:colOff>
      <xdr:row>2</xdr:row>
      <xdr:rowOff>152400</xdr:rowOff>
    </xdr:from>
    <xdr:to>
      <xdr:col>37</xdr:col>
      <xdr:colOff>123825</xdr:colOff>
      <xdr:row>16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276225</xdr:colOff>
      <xdr:row>18</xdr:row>
      <xdr:rowOff>123825</xdr:rowOff>
    </xdr:from>
    <xdr:to>
      <xdr:col>29</xdr:col>
      <xdr:colOff>561975</xdr:colOff>
      <xdr:row>32</xdr:row>
      <xdr:rowOff>9525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209550</xdr:colOff>
      <xdr:row>33</xdr:row>
      <xdr:rowOff>95250</xdr:rowOff>
    </xdr:from>
    <xdr:to>
      <xdr:col>29</xdr:col>
      <xdr:colOff>495300</xdr:colOff>
      <xdr:row>46</xdr:row>
      <xdr:rowOff>171450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466725</xdr:colOff>
      <xdr:row>33</xdr:row>
      <xdr:rowOff>66675</xdr:rowOff>
    </xdr:from>
    <xdr:to>
      <xdr:col>37</xdr:col>
      <xdr:colOff>133350</xdr:colOff>
      <xdr:row>46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419100</xdr:colOff>
      <xdr:row>48</xdr:row>
      <xdr:rowOff>95250</xdr:rowOff>
    </xdr:from>
    <xdr:to>
      <xdr:col>30</xdr:col>
      <xdr:colOff>95250</xdr:colOff>
      <xdr:row>61</xdr:row>
      <xdr:rowOff>171450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619125</xdr:colOff>
      <xdr:row>18</xdr:row>
      <xdr:rowOff>95250</xdr:rowOff>
    </xdr:from>
    <xdr:to>
      <xdr:col>37</xdr:col>
      <xdr:colOff>285750</xdr:colOff>
      <xdr:row>31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447675</xdr:colOff>
      <xdr:row>48</xdr:row>
      <xdr:rowOff>57150</xdr:rowOff>
    </xdr:from>
    <xdr:to>
      <xdr:col>37</xdr:col>
      <xdr:colOff>114300</xdr:colOff>
      <xdr:row>61</xdr:row>
      <xdr:rowOff>133350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82</xdr:row>
      <xdr:rowOff>180974</xdr:rowOff>
    </xdr:from>
    <xdr:to>
      <xdr:col>15</xdr:col>
      <xdr:colOff>152400</xdr:colOff>
      <xdr:row>100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82</xdr:row>
      <xdr:rowOff>180974</xdr:rowOff>
    </xdr:from>
    <xdr:to>
      <xdr:col>5</xdr:col>
      <xdr:colOff>704849</xdr:colOff>
      <xdr:row>100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36</xdr:row>
      <xdr:rowOff>136152</xdr:rowOff>
    </xdr:from>
    <xdr:to>
      <xdr:col>37</xdr:col>
      <xdr:colOff>372035</xdr:colOff>
      <xdr:row>56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288548</xdr:colOff>
      <xdr:row>12</xdr:row>
      <xdr:rowOff>33619</xdr:rowOff>
    </xdr:from>
    <xdr:to>
      <xdr:col>27</xdr:col>
      <xdr:colOff>538441</xdr:colOff>
      <xdr:row>38</xdr:row>
      <xdr:rowOff>44825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28</xdr:row>
      <xdr:rowOff>14008</xdr:rowOff>
    </xdr:from>
    <xdr:to>
      <xdr:col>36</xdr:col>
      <xdr:colOff>445433</xdr:colOff>
      <xdr:row>35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299197</xdr:colOff>
      <xdr:row>45</xdr:row>
      <xdr:rowOff>17929</xdr:rowOff>
    </xdr:from>
    <xdr:to>
      <xdr:col>4</xdr:col>
      <xdr:colOff>13447</xdr:colOff>
      <xdr:row>60</xdr:row>
      <xdr:rowOff>170329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424144</xdr:colOff>
      <xdr:row>45</xdr:row>
      <xdr:rowOff>148478</xdr:rowOff>
    </xdr:from>
    <xdr:to>
      <xdr:col>20</xdr:col>
      <xdr:colOff>505946</xdr:colOff>
      <xdr:row>58</xdr:row>
      <xdr:rowOff>123825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424142</xdr:colOff>
      <xdr:row>61</xdr:row>
      <xdr:rowOff>143996</xdr:rowOff>
    </xdr:from>
    <xdr:to>
      <xdr:col>20</xdr:col>
      <xdr:colOff>505945</xdr:colOff>
      <xdr:row>74</xdr:row>
      <xdr:rowOff>119343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45</xdr:row>
      <xdr:rowOff>22412</xdr:rowOff>
    </xdr:from>
    <xdr:to>
      <xdr:col>9</xdr:col>
      <xdr:colOff>930087</xdr:colOff>
      <xdr:row>60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15</xdr:row>
      <xdr:rowOff>199465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45</xdr:row>
      <xdr:rowOff>56031</xdr:rowOff>
    </xdr:from>
    <xdr:to>
      <xdr:col>12</xdr:col>
      <xdr:colOff>705971</xdr:colOff>
      <xdr:row>61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xdr="http://schemas.openxmlformats.org/drawingml/2006/spreadsheetDrawing" xmlns:r="http://schemas.openxmlformats.org/officeDocument/2006/relationships" xmlns:p="http://schemas.openxmlformats.org/presentationml/2006/main" xmlns="" xmlns:a14="http://schemas.microsoft.com/office/drawing/2010/main" xmlns:lc="http://schemas.openxmlformats.org/drawingml/2006/lockedCanvas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Projecten\Norm2012\Excel\norm2012_klan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Projecten\Norm2012\Excel\norm2012_final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Projecten\Port2012\Excel\Portefeuilles2012_Zoetware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</sheetNames>
    <sheetDataSet>
      <sheetData sheetId="0"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R3" t="str">
            <v>Basis</v>
          </cell>
        </row>
        <row r="58">
          <cell r="R58" t="str">
            <v>Kansgewogen</v>
          </cell>
        </row>
      </sheetData>
      <sheetData sheetId="10">
        <row r="3">
          <cell r="Q3" t="str">
            <v>Basis</v>
          </cell>
        </row>
      </sheetData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Vertaling visies"/>
      <sheetName val="Scenario 1 Mixen"/>
      <sheetName val="Scenario 2 Mixen"/>
      <sheetName val="Scenario 3 Mixen"/>
      <sheetName val="Scenario 4 Mixen"/>
      <sheetName val="Scenario 5 Mixen"/>
      <sheetName val="Scenario 6 Mixen"/>
      <sheetName val="Samenvatting mixen"/>
      <sheetName val="Samenvatting mixen - return"/>
      <sheetName val="Positionering huidig"/>
      <sheetName val="Rendementen per scenario"/>
      <sheetName val="Klantallocaties"/>
      <sheetName val="Kasstromen"/>
      <sheetName val="Summary"/>
      <sheetName val="norm2012_final"/>
    </sheetNames>
    <sheetDataSet>
      <sheetData sheetId="0">
        <row r="4">
          <cell r="A4" t="str">
            <v>Nominale matching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32">
          <cell r="B32" t="str">
            <v>Evenwicht</v>
          </cell>
        </row>
        <row r="51">
          <cell r="B51" t="str">
            <v>Matching portefeuille</v>
          </cell>
        </row>
        <row r="52">
          <cell r="B52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Q3" t="str">
            <v>Basis</v>
          </cell>
        </row>
      </sheetData>
      <sheetData sheetId="11">
        <row r="52">
          <cell r="A52" t="str">
            <v>HY</v>
          </cell>
        </row>
      </sheetData>
      <sheetData sheetId="12"/>
      <sheetData sheetId="13">
        <row r="1">
          <cell r="B1" t="str">
            <v>B&amp;W</v>
          </cell>
        </row>
      </sheetData>
      <sheetData sheetId="14">
        <row r="1">
          <cell r="C1" t="str">
            <v>B&amp;W</v>
          </cell>
        </row>
      </sheetData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definedNames>
      <definedName name="Zet_minimum_tot_op_0"/>
    </definedNames>
    <sheetDataSet>
      <sheetData sheetId="0">
        <row r="103">
          <cell r="A103" t="str">
            <v>B&amp;W</v>
          </cell>
        </row>
        <row r="104">
          <cell r="A104" t="str">
            <v>Campagne</v>
          </cell>
        </row>
        <row r="105">
          <cell r="A105" t="str">
            <v>Cargill</v>
          </cell>
        </row>
        <row r="106">
          <cell r="A106" t="str">
            <v>Forbo</v>
          </cell>
        </row>
        <row r="107">
          <cell r="A107" t="str">
            <v>Koopvaardij</v>
          </cell>
        </row>
        <row r="108">
          <cell r="A108" t="str">
            <v>MITT</v>
          </cell>
        </row>
        <row r="109">
          <cell r="A109" t="str">
            <v>WAO</v>
          </cell>
        </row>
        <row r="110">
          <cell r="A110" t="str">
            <v>OPF</v>
          </cell>
        </row>
        <row r="111">
          <cell r="A111" t="str">
            <v>PME</v>
          </cell>
        </row>
        <row r="112">
          <cell r="A112" t="str">
            <v>PMT</v>
          </cell>
        </row>
        <row r="113">
          <cell r="A113" t="str">
            <v>Productschappen</v>
          </cell>
        </row>
        <row r="114">
          <cell r="A114" t="str">
            <v>SCA-anker</v>
          </cell>
        </row>
        <row r="115">
          <cell r="A115" t="str">
            <v>SCA-hygiene</v>
          </cell>
        </row>
        <row r="116">
          <cell r="A116" t="str">
            <v>Unisys</v>
          </cell>
        </row>
        <row r="117">
          <cell r="A117" t="str">
            <v>PME - incl Siemens</v>
          </cell>
        </row>
        <row r="118">
          <cell r="A118" t="str">
            <v>Investment Committee</v>
          </cell>
        </row>
      </sheetData>
      <sheetData sheetId="1">
        <row r="47">
          <cell r="B47" t="str">
            <v>Matching portefeuille</v>
          </cell>
        </row>
        <row r="48">
          <cell r="B48" t="str">
            <v>Return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06"/>
  <sheetViews>
    <sheetView tabSelected="1" zoomScale="85" zoomScaleNormal="85" workbookViewId="0">
      <selection activeCell="C42" sqref="C42"/>
    </sheetView>
  </sheetViews>
  <sheetFormatPr defaultRowHeight="15"/>
  <cols>
    <col min="1" max="1" width="32.7109375" style="75" customWidth="1"/>
    <col min="2" max="6" width="15.7109375" style="75" customWidth="1"/>
    <col min="7" max="7" width="17.28515625" style="75" customWidth="1"/>
    <col min="8" max="22" width="9.140625" style="75"/>
    <col min="23" max="23" width="9.140625" style="133"/>
    <col min="24" max="24" width="20.42578125" style="133" bestFit="1" customWidth="1"/>
    <col min="25" max="16384" width="9.140625" style="75"/>
  </cols>
  <sheetData>
    <row r="1" spans="1:24" ht="15.75" thickBot="1">
      <c r="A1" s="137"/>
      <c r="B1" s="236" t="s">
        <v>100</v>
      </c>
      <c r="C1" s="389" t="s">
        <v>93</v>
      </c>
      <c r="D1" s="389"/>
      <c r="E1" s="390"/>
      <c r="F1" s="236" t="s">
        <v>124</v>
      </c>
      <c r="G1" s="236" t="s">
        <v>98</v>
      </c>
    </row>
    <row r="2" spans="1:24" ht="15.75" thickBot="1">
      <c r="A2" s="139"/>
      <c r="B2" s="237" t="s">
        <v>101</v>
      </c>
      <c r="C2" s="140" t="s">
        <v>91</v>
      </c>
      <c r="D2" s="141" t="s">
        <v>92</v>
      </c>
      <c r="E2" s="142" t="s">
        <v>23</v>
      </c>
      <c r="F2" s="237" t="s">
        <v>101</v>
      </c>
      <c r="G2" s="237" t="s">
        <v>101</v>
      </c>
    </row>
    <row r="3" spans="1:24">
      <c r="A3" s="143" t="str">
        <f>Scenarios!A4</f>
        <v>Nominale matching</v>
      </c>
      <c r="B3" s="218">
        <v>0.55549268496933957</v>
      </c>
      <c r="C3" s="303">
        <v>0.55000000000000004</v>
      </c>
      <c r="D3" s="218">
        <v>0.65</v>
      </c>
      <c r="E3" s="145">
        <v>0.99</v>
      </c>
      <c r="F3" s="144">
        <f>'Samenvatting mixen'!B81</f>
        <v>0.56192476749022247</v>
      </c>
      <c r="G3" s="384">
        <f>+F3-B3</f>
        <v>6.432082520882898E-3</v>
      </c>
      <c r="H3" s="305"/>
    </row>
    <row r="4" spans="1:24">
      <c r="A4" s="143" t="str">
        <f>Scenarios!A5</f>
        <v>High Yield</v>
      </c>
      <c r="B4" s="218">
        <v>9.7387120358343723E-2</v>
      </c>
      <c r="C4" s="303">
        <v>0.05</v>
      </c>
      <c r="D4" s="218">
        <v>0.15</v>
      </c>
      <c r="E4" s="145">
        <v>0.99</v>
      </c>
      <c r="F4" s="144">
        <f>'Samenvatting mixen'!B82</f>
        <v>6.6082803095229625E-2</v>
      </c>
      <c r="G4" s="383">
        <f t="shared" ref="G4:G10" si="0">+F4-B4</f>
        <v>-3.1304317263114098E-2</v>
      </c>
      <c r="H4" s="306"/>
      <c r="W4" s="133" t="str">
        <f>A4</f>
        <v>High Yield</v>
      </c>
      <c r="X4" s="134">
        <f>B4/SUM($B$4:$B$10)</f>
        <v>0.21909002858957732</v>
      </c>
    </row>
    <row r="5" spans="1:24">
      <c r="A5" s="143" t="str">
        <f>Scenarios!A6</f>
        <v>Emerging market debt</v>
      </c>
      <c r="B5" s="218">
        <v>9.5164223805884504E-2</v>
      </c>
      <c r="C5" s="303">
        <v>0.05</v>
      </c>
      <c r="D5" s="218">
        <v>0.2</v>
      </c>
      <c r="E5" s="145">
        <v>0.99</v>
      </c>
      <c r="F5" s="144">
        <f>'Samenvatting mixen'!B83</f>
        <v>8.1340563063599741E-2</v>
      </c>
      <c r="G5" s="144">
        <f t="shared" si="0"/>
        <v>-1.3823660742284763E-2</v>
      </c>
      <c r="W5" s="133" t="str">
        <f t="shared" ref="W5:W10" si="1">A5</f>
        <v>Emerging market debt</v>
      </c>
      <c r="X5" s="134">
        <f t="shared" ref="X5:X10" si="2">B5/SUM($B$4:$B$10)</f>
        <v>0.21408921875519724</v>
      </c>
    </row>
    <row r="6" spans="1:24">
      <c r="A6" s="143" t="str">
        <f>Scenarios!A7</f>
        <v>Aandelen ontwikkeld</v>
      </c>
      <c r="B6" s="303">
        <v>0.10363483668477239</v>
      </c>
      <c r="C6" s="303">
        <v>7.4999999999999997E-2</v>
      </c>
      <c r="D6" s="218">
        <v>0.3</v>
      </c>
      <c r="E6" s="145">
        <v>0.99</v>
      </c>
      <c r="F6" s="144">
        <f>'Samenvatting mixen'!B84</f>
        <v>8.0226291700661659E-2</v>
      </c>
      <c r="G6" s="144">
        <f t="shared" si="0"/>
        <v>-2.3408544984110727E-2</v>
      </c>
      <c r="H6" s="305"/>
      <c r="W6" s="133" t="str">
        <f t="shared" si="1"/>
        <v>Aandelen ontwikkeld</v>
      </c>
      <c r="X6" s="134">
        <f t="shared" si="2"/>
        <v>0.23314540206750922</v>
      </c>
    </row>
    <row r="7" spans="1:24">
      <c r="A7" s="143" t="str">
        <f>Scenarios!A8</f>
        <v>Aandelen opkomend</v>
      </c>
      <c r="B7" s="303">
        <v>5.1404597453969164E-2</v>
      </c>
      <c r="C7" s="303">
        <v>2.5000000000000001E-2</v>
      </c>
      <c r="D7" s="218">
        <v>0.15</v>
      </c>
      <c r="E7" s="145">
        <v>0.99</v>
      </c>
      <c r="F7" s="144">
        <f>'Samenvatting mixen'!B85</f>
        <v>7.3016920730815213E-2</v>
      </c>
      <c r="G7" s="144">
        <f t="shared" si="0"/>
        <v>2.1612323276846049E-2</v>
      </c>
      <c r="H7" s="305"/>
      <c r="W7" s="133" t="str">
        <f t="shared" si="1"/>
        <v>Aandelen opkomend</v>
      </c>
      <c r="X7" s="134">
        <f t="shared" si="2"/>
        <v>0.11564398540983163</v>
      </c>
    </row>
    <row r="8" spans="1:24">
      <c r="A8" s="143" t="str">
        <f>Scenarios!A9</f>
        <v>Commodities</v>
      </c>
      <c r="B8" s="218">
        <v>1.9729061421683056E-2</v>
      </c>
      <c r="C8" s="303">
        <v>0</v>
      </c>
      <c r="D8" s="218">
        <v>0.1</v>
      </c>
      <c r="E8" s="145">
        <v>0.99</v>
      </c>
      <c r="F8" s="144">
        <f>'Samenvatting mixen'!B86</f>
        <v>6.0221178613463155E-2</v>
      </c>
      <c r="G8" s="144">
        <f t="shared" si="0"/>
        <v>4.04921171917801E-2</v>
      </c>
      <c r="H8" s="305"/>
      <c r="W8" s="133" t="str">
        <f t="shared" si="1"/>
        <v>Commodities</v>
      </c>
      <c r="X8" s="134">
        <f t="shared" si="2"/>
        <v>4.4384109675050465E-2</v>
      </c>
    </row>
    <row r="9" spans="1:24">
      <c r="A9" s="143" t="str">
        <f>Scenarios!A10</f>
        <v>Hedge funds</v>
      </c>
      <c r="B9" s="218">
        <v>3.1019975297703138E-2</v>
      </c>
      <c r="C9" s="303">
        <f>B9</f>
        <v>3.1019975297703138E-2</v>
      </c>
      <c r="D9" s="218">
        <f>C9</f>
        <v>3.1019975297703138E-2</v>
      </c>
      <c r="E9" s="145">
        <v>0.99</v>
      </c>
      <c r="F9" s="144">
        <f>'Samenvatting mixen'!B87</f>
        <v>3.1019975297702843E-2</v>
      </c>
      <c r="G9" s="144">
        <f t="shared" si="0"/>
        <v>-2.9490299091605721E-16</v>
      </c>
      <c r="W9" s="133" t="str">
        <f t="shared" si="1"/>
        <v>Hedge funds</v>
      </c>
      <c r="X9" s="134">
        <f t="shared" si="2"/>
        <v>6.978507270586419E-2</v>
      </c>
    </row>
    <row r="10" spans="1:24" ht="15.75" thickBot="1">
      <c r="A10" s="139" t="str">
        <f>Scenarios!A11</f>
        <v>Onroerend goed</v>
      </c>
      <c r="B10" s="219">
        <v>4.6167500008304781E-2</v>
      </c>
      <c r="C10" s="304">
        <f>B10</f>
        <v>4.6167500008304781E-2</v>
      </c>
      <c r="D10" s="219">
        <f>C10</f>
        <v>4.6167500008304781E-2</v>
      </c>
      <c r="E10" s="147">
        <v>0.99</v>
      </c>
      <c r="F10" s="146">
        <f>'Samenvatting mixen'!B88</f>
        <v>4.6167500008305204E-2</v>
      </c>
      <c r="G10" s="146">
        <f t="shared" si="0"/>
        <v>4.2327252813834093E-16</v>
      </c>
      <c r="W10" s="133" t="str">
        <f t="shared" si="1"/>
        <v>Onroerend goed</v>
      </c>
      <c r="X10" s="134">
        <f t="shared" si="2"/>
        <v>0.10386218279696992</v>
      </c>
    </row>
    <row r="11" spans="1:24" ht="15.75" thickBot="1">
      <c r="A11" s="148" t="s">
        <v>89</v>
      </c>
      <c r="B11" s="149">
        <f>Scenarios!C12</f>
        <v>9.9916807995241289E-2</v>
      </c>
      <c r="C11" s="138"/>
      <c r="D11" s="150" t="s">
        <v>102</v>
      </c>
      <c r="E11" s="151">
        <v>0.99</v>
      </c>
      <c r="F11" s="138"/>
      <c r="X11" s="135"/>
    </row>
    <row r="12" spans="1:24">
      <c r="A12" s="172" t="s">
        <v>103</v>
      </c>
      <c r="B12" s="152">
        <v>0.03</v>
      </c>
      <c r="C12" s="138"/>
      <c r="D12" s="153"/>
      <c r="E12" s="154"/>
      <c r="F12" s="138"/>
    </row>
    <row r="13" spans="1:24">
      <c r="A13" s="138"/>
      <c r="B13" s="138"/>
      <c r="C13" s="138"/>
      <c r="D13" s="153"/>
      <c r="E13" s="154"/>
      <c r="F13" s="138"/>
    </row>
    <row r="14" spans="1:24">
      <c r="A14" s="138"/>
      <c r="B14" s="138"/>
      <c r="C14" s="138"/>
      <c r="D14" s="138"/>
      <c r="E14" s="138"/>
      <c r="F14" s="138"/>
    </row>
    <row r="15" spans="1:24">
      <c r="A15" s="341" t="s">
        <v>144</v>
      </c>
      <c r="B15" s="334">
        <f t="array" ref="B15">+MMULT(TRANSPOSE(F3:F10),MMULT(k,F3:F10))^(0.5)</f>
        <v>0.10296176953845214</v>
      </c>
      <c r="C15" s="338"/>
      <c r="D15" s="338"/>
      <c r="E15" s="338"/>
      <c r="F15" s="217"/>
    </row>
    <row r="16" spans="1:24">
      <c r="A16" s="165"/>
      <c r="B16" s="217"/>
      <c r="C16" s="217"/>
      <c r="D16" s="217"/>
      <c r="E16" s="217"/>
      <c r="F16" s="165"/>
    </row>
    <row r="17" spans="1:6">
      <c r="A17" s="165"/>
      <c r="B17" s="163"/>
      <c r="C17" s="163"/>
      <c r="D17" s="163"/>
      <c r="E17" s="163"/>
      <c r="F17" s="154"/>
    </row>
    <row r="18" spans="1:6">
      <c r="A18" s="165"/>
      <c r="B18" s="163"/>
      <c r="C18" s="163"/>
      <c r="D18" s="163"/>
      <c r="E18" s="163"/>
      <c r="F18" s="154"/>
    </row>
    <row r="19" spans="1:6">
      <c r="A19" s="165"/>
      <c r="B19" s="163"/>
      <c r="C19" s="163"/>
      <c r="D19" s="163"/>
      <c r="E19" s="163"/>
      <c r="F19" s="154"/>
    </row>
    <row r="20" spans="1:6">
      <c r="A20" s="165"/>
      <c r="B20" s="163"/>
      <c r="C20" s="163"/>
      <c r="D20" s="163"/>
      <c r="E20" s="163"/>
      <c r="F20" s="154"/>
    </row>
    <row r="21" spans="1:6">
      <c r="A21" s="165"/>
      <c r="B21" s="165"/>
      <c r="C21" s="165"/>
      <c r="D21" s="165"/>
      <c r="E21" s="165"/>
      <c r="F21" s="154"/>
    </row>
    <row r="22" spans="1:6">
      <c r="A22" s="138"/>
      <c r="B22" s="138"/>
      <c r="C22" s="138"/>
      <c r="D22" s="138"/>
      <c r="E22" s="138"/>
      <c r="F22" s="138"/>
    </row>
    <row r="23" spans="1:6">
      <c r="A23" s="165" t="s">
        <v>14</v>
      </c>
      <c r="B23" s="166" t="s">
        <v>49</v>
      </c>
      <c r="C23" s="138"/>
      <c r="D23" s="138"/>
      <c r="E23" s="138"/>
      <c r="F23" s="138"/>
    </row>
    <row r="24" spans="1:6" ht="15.75" thickBot="1">
      <c r="A24" s="138"/>
      <c r="B24" s="138"/>
      <c r="C24" s="138"/>
      <c r="D24" s="138"/>
      <c r="E24" s="138"/>
      <c r="F24" s="138"/>
    </row>
    <row r="25" spans="1:6" ht="15.75" thickBot="1">
      <c r="A25" s="167" t="s">
        <v>93</v>
      </c>
      <c r="B25" s="168"/>
      <c r="C25" s="142" t="s">
        <v>106</v>
      </c>
      <c r="D25" s="138"/>
      <c r="E25" s="138"/>
      <c r="F25" s="138"/>
    </row>
    <row r="26" spans="1:6">
      <c r="A26" s="169" t="s">
        <v>105</v>
      </c>
      <c r="B26" s="144">
        <v>0</v>
      </c>
      <c r="C26" s="170">
        <v>0</v>
      </c>
      <c r="D26" s="138"/>
      <c r="E26" s="138"/>
      <c r="F26" s="138"/>
    </row>
    <row r="27" spans="1:6">
      <c r="A27" s="169" t="s">
        <v>104</v>
      </c>
      <c r="B27" s="382">
        <v>0.105</v>
      </c>
      <c r="C27" s="170">
        <v>1</v>
      </c>
      <c r="D27" s="138"/>
      <c r="E27" s="138"/>
      <c r="F27" s="138"/>
    </row>
    <row r="28" spans="1:6" ht="15.75" thickBot="1">
      <c r="A28" s="171" t="s">
        <v>107</v>
      </c>
      <c r="B28" s="146">
        <v>0.02</v>
      </c>
      <c r="C28" s="159">
        <v>0</v>
      </c>
      <c r="D28" s="138"/>
      <c r="E28" s="138"/>
      <c r="F28" s="138"/>
    </row>
    <row r="29" spans="1:6">
      <c r="A29" s="138"/>
      <c r="B29" s="138"/>
      <c r="C29" s="138"/>
      <c r="D29" s="138"/>
      <c r="E29" s="138"/>
      <c r="F29" s="138"/>
    </row>
    <row r="30" spans="1:6">
      <c r="A30" s="202" t="s">
        <v>108</v>
      </c>
      <c r="B30" s="138"/>
      <c r="C30" s="138"/>
      <c r="D30" s="138"/>
      <c r="E30" s="138"/>
      <c r="F30" s="138"/>
    </row>
    <row r="31" spans="1:6">
      <c r="A31" s="172" t="s">
        <v>53</v>
      </c>
      <c r="B31" s="173">
        <v>0</v>
      </c>
      <c r="C31" s="138"/>
      <c r="D31" s="138"/>
      <c r="E31" s="138"/>
      <c r="F31" s="138"/>
    </row>
    <row r="32" spans="1:6">
      <c r="A32" s="172" t="s">
        <v>54</v>
      </c>
      <c r="B32" s="174">
        <v>2</v>
      </c>
      <c r="C32" s="138"/>
      <c r="D32" s="138"/>
      <c r="E32" s="138"/>
      <c r="F32" s="138"/>
    </row>
    <row r="33" spans="1:6">
      <c r="A33" s="138"/>
      <c r="B33" s="138"/>
      <c r="C33" s="138"/>
      <c r="D33" s="138"/>
      <c r="E33" s="138"/>
      <c r="F33" s="138"/>
    </row>
    <row r="34" spans="1:6">
      <c r="A34" s="75" t="s">
        <v>111</v>
      </c>
    </row>
    <row r="35" spans="1:6">
      <c r="A35" s="203" t="s">
        <v>109</v>
      </c>
      <c r="B35" s="175">
        <v>500</v>
      </c>
    </row>
    <row r="36" spans="1:6">
      <c r="A36" s="203" t="s">
        <v>110</v>
      </c>
      <c r="B36" s="175" t="s">
        <v>60</v>
      </c>
    </row>
    <row r="100" spans="1:1">
      <c r="A100" s="74" t="s">
        <v>14</v>
      </c>
    </row>
    <row r="101" spans="1:1">
      <c r="A101" s="75" t="s">
        <v>58</v>
      </c>
    </row>
    <row r="102" spans="1:1">
      <c r="A102" s="75" t="s">
        <v>49</v>
      </c>
    </row>
    <row r="103" spans="1:1">
      <c r="A103" s="75" t="s">
        <v>50</v>
      </c>
    </row>
    <row r="104" spans="1:1">
      <c r="A104" s="75" t="s">
        <v>51</v>
      </c>
    </row>
    <row r="106" spans="1:1">
      <c r="A106" s="175">
        <v>0</v>
      </c>
    </row>
    <row r="107" spans="1:1">
      <c r="A107" s="175">
        <v>1</v>
      </c>
    </row>
    <row r="108" spans="1:1">
      <c r="A108" s="175">
        <v>2</v>
      </c>
    </row>
    <row r="110" spans="1:1">
      <c r="A110" s="175" t="s">
        <v>60</v>
      </c>
    </row>
    <row r="111" spans="1:1">
      <c r="A111" s="175" t="s">
        <v>61</v>
      </c>
    </row>
    <row r="199" spans="1:6" ht="15.75" thickBot="1"/>
    <row r="200" spans="1:6">
      <c r="A200" s="155"/>
      <c r="B200" s="391" t="s">
        <v>98</v>
      </c>
      <c r="C200" s="389"/>
      <c r="D200" s="389"/>
      <c r="E200" s="390"/>
      <c r="F200" s="216" t="s">
        <v>99</v>
      </c>
    </row>
    <row r="201" spans="1:6" ht="15.75" thickBot="1">
      <c r="A201" s="156"/>
      <c r="B201" s="157" t="s">
        <v>94</v>
      </c>
      <c r="C201" s="158" t="s">
        <v>78</v>
      </c>
      <c r="D201" s="158" t="s">
        <v>95</v>
      </c>
      <c r="E201" s="159" t="s">
        <v>96</v>
      </c>
      <c r="F201" s="160"/>
    </row>
    <row r="202" spans="1:6">
      <c r="A202" s="161" t="s">
        <v>27</v>
      </c>
      <c r="B202" s="162">
        <v>-1E-3</v>
      </c>
      <c r="C202" s="163">
        <v>9.5665806092079075E-4</v>
      </c>
      <c r="D202" s="163">
        <v>-4.2098094805683751E-3</v>
      </c>
      <c r="E202" s="164">
        <v>-2.1826028553036574E-3</v>
      </c>
      <c r="F202" s="145">
        <v>0.6</v>
      </c>
    </row>
    <row r="203" spans="1:6">
      <c r="A203" s="161" t="s">
        <v>29</v>
      </c>
      <c r="B203" s="162">
        <v>-0.01</v>
      </c>
      <c r="C203" s="163">
        <v>-1.5821642227643869E-2</v>
      </c>
      <c r="D203" s="163">
        <v>2.4975428417868189E-2</v>
      </c>
      <c r="E203" s="164">
        <v>7.9322737499224957E-3</v>
      </c>
      <c r="F203" s="145">
        <v>0.4</v>
      </c>
    </row>
    <row r="204" spans="1:6">
      <c r="A204" s="161" t="s">
        <v>28</v>
      </c>
      <c r="B204" s="162">
        <v>9.9999999999999985E-3</v>
      </c>
      <c r="C204" s="163">
        <v>7.8062556418956319E-18</v>
      </c>
      <c r="D204" s="163">
        <v>-3.0000000000000002E-2</v>
      </c>
      <c r="E204" s="164">
        <v>-2.0000000000000004E-2</v>
      </c>
      <c r="F204" s="145">
        <v>0</v>
      </c>
    </row>
    <row r="205" spans="1:6" ht="15.75" thickBot="1">
      <c r="A205" s="161" t="s">
        <v>97</v>
      </c>
      <c r="B205" s="162">
        <v>1.0378578383895283E-2</v>
      </c>
      <c r="C205" s="163">
        <v>1.3858854184576361E-2</v>
      </c>
      <c r="D205" s="163">
        <v>1.3462277224022302E-3</v>
      </c>
      <c r="E205" s="164">
        <v>7.8027138965618484E-4</v>
      </c>
      <c r="F205" s="145">
        <v>0</v>
      </c>
    </row>
    <row r="206" spans="1:6" ht="15.75" thickBot="1">
      <c r="A206" s="168" t="s">
        <v>70</v>
      </c>
      <c r="B206" s="167"/>
      <c r="C206" s="176"/>
      <c r="D206" s="176"/>
      <c r="E206" s="177"/>
      <c r="F206" s="151">
        <v>0.95</v>
      </c>
    </row>
  </sheetData>
  <mergeCells count="2">
    <mergeCell ref="C1:E1"/>
    <mergeCell ref="B200:E200"/>
  </mergeCells>
  <dataValidations count="4">
    <dataValidation type="list" allowBlank="1" showInputMessage="1" showErrorMessage="1" sqref="B23">
      <formula1>$A$101:$A$104</formula1>
    </dataValidation>
    <dataValidation type="list" allowBlank="1" showInputMessage="1" showErrorMessage="1" sqref="C26:C28">
      <formula1>$A$106:$A$107</formula1>
    </dataValidation>
    <dataValidation type="list" allowBlank="1" showInputMessage="1" showErrorMessage="1" sqref="B32">
      <formula1>$A$106:$A$108</formula1>
    </dataValidation>
    <dataValidation type="list" allowBlank="1" showInputMessage="1" showErrorMessage="1" sqref="B36">
      <formula1>$A$110:$A$111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B48" sqref="B48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7"/>
      <c r="C1" s="77"/>
      <c r="D1" s="78"/>
    </row>
    <row r="2" spans="1:21">
      <c r="A2" s="79"/>
      <c r="B2" s="301" t="s">
        <v>79</v>
      </c>
      <c r="C2" s="13" t="s">
        <v>79</v>
      </c>
      <c r="D2" s="302" t="s">
        <v>116</v>
      </c>
      <c r="E2" s="393" t="s">
        <v>117</v>
      </c>
      <c r="F2" s="393"/>
      <c r="G2" s="393"/>
      <c r="H2" s="393"/>
      <c r="I2" s="393"/>
      <c r="J2" s="393"/>
      <c r="K2" s="393"/>
      <c r="L2" s="394"/>
    </row>
    <row r="3" spans="1:21" ht="13.5" thickBot="1">
      <c r="A3" s="101"/>
      <c r="B3" s="104" t="s">
        <v>80</v>
      </c>
      <c r="C3" s="80" t="s">
        <v>82</v>
      </c>
      <c r="D3" s="80" t="s">
        <v>2</v>
      </c>
      <c r="E3" s="5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29" t="s">
        <v>77</v>
      </c>
      <c r="S3" s="82"/>
      <c r="T3" s="76"/>
      <c r="U3" s="76"/>
    </row>
    <row r="4" spans="1:21">
      <c r="A4" s="102" t="s">
        <v>4</v>
      </c>
      <c r="B4" s="105">
        <f>'Control panel'!B3</f>
        <v>0.55549268496933957</v>
      </c>
      <c r="C4" s="178">
        <v>0</v>
      </c>
      <c r="D4" s="223">
        <v>4.3571419993869868E-2</v>
      </c>
      <c r="E4" s="220">
        <v>0.99999999999999989</v>
      </c>
      <c r="F4" s="221">
        <v>0.53809608757973648</v>
      </c>
      <c r="G4" s="221">
        <v>0.51691057431478837</v>
      </c>
      <c r="H4" s="221">
        <v>0.26512268753745427</v>
      </c>
      <c r="I4" s="221">
        <v>0.30633091260285272</v>
      </c>
      <c r="J4" s="221">
        <v>0.25776542912961581</v>
      </c>
      <c r="K4" s="221">
        <v>0.49880026622502738</v>
      </c>
      <c r="L4" s="222">
        <v>0.40988870730079396</v>
      </c>
      <c r="M4" s="3" t="s">
        <v>118</v>
      </c>
      <c r="S4" s="84"/>
      <c r="T4" s="6"/>
      <c r="U4" s="85"/>
    </row>
    <row r="5" spans="1:21">
      <c r="A5" s="102" t="s">
        <v>5</v>
      </c>
      <c r="B5" s="106">
        <f>'Control panel'!B4</f>
        <v>9.7387120358343723E-2</v>
      </c>
      <c r="C5" s="178">
        <v>3.0000000000000002E-2</v>
      </c>
      <c r="D5" s="223">
        <v>0.15810707611932825</v>
      </c>
      <c r="E5" s="223">
        <v>0.53809608757973648</v>
      </c>
      <c r="F5" s="224">
        <v>1.0000000000000002</v>
      </c>
      <c r="G5" s="224">
        <v>0.94177115286639357</v>
      </c>
      <c r="H5" s="224">
        <v>0.73614790661359208</v>
      </c>
      <c r="I5" s="224">
        <v>0.74216818464687206</v>
      </c>
      <c r="J5" s="224">
        <v>0.6048417122454024</v>
      </c>
      <c r="K5" s="224">
        <v>0.86164575178315306</v>
      </c>
      <c r="L5" s="225">
        <v>0.86125970507824035</v>
      </c>
      <c r="S5" s="84"/>
      <c r="T5" s="6"/>
      <c r="U5" s="85"/>
    </row>
    <row r="6" spans="1:21">
      <c r="A6" s="102" t="s">
        <v>6</v>
      </c>
      <c r="B6" s="106">
        <f>'Control panel'!B5</f>
        <v>9.5164223805884504E-2</v>
      </c>
      <c r="C6" s="178">
        <v>3.1452343984147556E-2</v>
      </c>
      <c r="D6" s="223">
        <v>0.16193319430872868</v>
      </c>
      <c r="E6" s="223">
        <v>0.51691057431478837</v>
      </c>
      <c r="F6" s="224">
        <v>0.94177115286639357</v>
      </c>
      <c r="G6" s="224">
        <v>1</v>
      </c>
      <c r="H6" s="224">
        <v>0.7682232653061406</v>
      </c>
      <c r="I6" s="224">
        <v>0.79170142390806597</v>
      </c>
      <c r="J6" s="224">
        <v>0.62860572473116894</v>
      </c>
      <c r="K6" s="224">
        <v>0.86583564760808152</v>
      </c>
      <c r="L6" s="225">
        <v>0.86330366967843342</v>
      </c>
      <c r="S6" s="84"/>
      <c r="T6" s="6"/>
      <c r="U6" s="85"/>
    </row>
    <row r="7" spans="1:21">
      <c r="A7" s="102" t="s">
        <v>7</v>
      </c>
      <c r="B7" s="106">
        <f>'Control panel'!B6</f>
        <v>0.10363483668477239</v>
      </c>
      <c r="C7" s="178">
        <v>5.6804592721954011E-2</v>
      </c>
      <c r="D7" s="223">
        <v>0.28684488662827246</v>
      </c>
      <c r="E7" s="223">
        <v>0.26512268753745388</v>
      </c>
      <c r="F7" s="224">
        <v>0.7361479066135922</v>
      </c>
      <c r="G7" s="224">
        <v>0.7682232653061406</v>
      </c>
      <c r="H7" s="224">
        <v>1.0000000000000002</v>
      </c>
      <c r="I7" s="224">
        <v>0.810869651798099</v>
      </c>
      <c r="J7" s="224">
        <v>0.698944093128679</v>
      </c>
      <c r="K7" s="224">
        <v>0.74165364419402413</v>
      </c>
      <c r="L7" s="225">
        <v>0.88368691913192909</v>
      </c>
      <c r="S7" s="84"/>
      <c r="T7" s="6"/>
      <c r="U7" s="85"/>
    </row>
    <row r="8" spans="1:21">
      <c r="A8" s="102" t="s">
        <v>8</v>
      </c>
      <c r="B8" s="106">
        <f>'Control panel'!B7</f>
        <v>5.1404597453969164E-2</v>
      </c>
      <c r="C8" s="178">
        <v>5.6320387554596889E-2</v>
      </c>
      <c r="D8" s="223">
        <v>0.29497711980114533</v>
      </c>
      <c r="E8" s="223">
        <v>0.30633091260285283</v>
      </c>
      <c r="F8" s="224">
        <v>0.74216818464687206</v>
      </c>
      <c r="G8" s="224">
        <v>0.79170142390806608</v>
      </c>
      <c r="H8" s="224">
        <v>0.81086965179809911</v>
      </c>
      <c r="I8" s="224">
        <v>0.99999999999999978</v>
      </c>
      <c r="J8" s="224">
        <v>0.64038553303047341</v>
      </c>
      <c r="K8" s="224">
        <v>0.64285674252709391</v>
      </c>
      <c r="L8" s="225">
        <v>0.78565246061343619</v>
      </c>
      <c r="S8" s="84"/>
      <c r="T8" s="6"/>
      <c r="U8" s="85"/>
    </row>
    <row r="9" spans="1:21">
      <c r="A9" s="102" t="s">
        <v>9</v>
      </c>
      <c r="B9" s="106">
        <f>'Control panel'!B8</f>
        <v>1.9729061421683056E-2</v>
      </c>
      <c r="C9" s="178">
        <v>5.236888388126059E-2</v>
      </c>
      <c r="D9" s="223">
        <v>0.32949402218690865</v>
      </c>
      <c r="E9" s="223">
        <v>0.25776542912961575</v>
      </c>
      <c r="F9" s="224">
        <v>0.60484171224540262</v>
      </c>
      <c r="G9" s="224">
        <v>0.62860572473116916</v>
      </c>
      <c r="H9" s="224">
        <v>0.698944093128679</v>
      </c>
      <c r="I9" s="224">
        <v>0.64038553303047341</v>
      </c>
      <c r="J9" s="224">
        <v>1.0000000000000002</v>
      </c>
      <c r="K9" s="224">
        <v>0.56967702853737867</v>
      </c>
      <c r="L9" s="225">
        <v>0.67129908624723933</v>
      </c>
      <c r="S9" s="84"/>
      <c r="T9" s="6"/>
      <c r="U9" s="85"/>
    </row>
    <row r="10" spans="1:21">
      <c r="A10" s="102" t="s">
        <v>10</v>
      </c>
      <c r="B10" s="106">
        <f>'Control panel'!B9</f>
        <v>3.1019975297703138E-2</v>
      </c>
      <c r="C10" s="178">
        <v>2.8306574622560098E-2</v>
      </c>
      <c r="D10" s="223">
        <v>0.1608611248297202</v>
      </c>
      <c r="E10" s="223">
        <v>0.49880026622502749</v>
      </c>
      <c r="F10" s="224">
        <v>0.86164575178315295</v>
      </c>
      <c r="G10" s="224">
        <v>0.86583564760808163</v>
      </c>
      <c r="H10" s="224">
        <v>0.74165364419402413</v>
      </c>
      <c r="I10" s="224">
        <v>0.64285674252709391</v>
      </c>
      <c r="J10" s="224">
        <v>0.56967702853737878</v>
      </c>
      <c r="K10" s="224">
        <v>0.99999999999999978</v>
      </c>
      <c r="L10" s="225">
        <v>0.79252565178528167</v>
      </c>
      <c r="S10" s="84"/>
      <c r="T10" s="6"/>
      <c r="U10" s="85"/>
    </row>
    <row r="11" spans="1:21" ht="13.5" thickBot="1">
      <c r="A11" s="103" t="s">
        <v>11</v>
      </c>
      <c r="B11" s="107">
        <f>'Control panel'!B10</f>
        <v>4.6167500008304781E-2</v>
      </c>
      <c r="C11" s="179">
        <v>3.9543569652327068E-2</v>
      </c>
      <c r="D11" s="226">
        <v>0.19933384935580506</v>
      </c>
      <c r="E11" s="226">
        <v>0.40988870730079396</v>
      </c>
      <c r="F11" s="227">
        <v>0.86125970507824035</v>
      </c>
      <c r="G11" s="227">
        <v>0.86330366967843342</v>
      </c>
      <c r="H11" s="227">
        <v>0.88368691913192909</v>
      </c>
      <c r="I11" s="227">
        <v>0.78565246061343608</v>
      </c>
      <c r="J11" s="227">
        <v>0.67129908624723922</v>
      </c>
      <c r="K11" s="227">
        <v>0.79252565178528178</v>
      </c>
      <c r="L11" s="228">
        <v>1</v>
      </c>
    </row>
    <row r="12" spans="1:21">
      <c r="A12" s="84"/>
      <c r="B12" s="110" t="s">
        <v>89</v>
      </c>
      <c r="C12" s="85">
        <v>9.9916807995241289E-2</v>
      </c>
      <c r="D12" s="83"/>
      <c r="E12" s="83"/>
      <c r="F12" s="83"/>
      <c r="G12" s="83"/>
      <c r="H12" s="83"/>
      <c r="I12" s="83"/>
      <c r="J12" s="83"/>
      <c r="K12" s="83"/>
      <c r="L12" s="86"/>
    </row>
    <row r="13" spans="1:21">
      <c r="A13" s="84" t="s">
        <v>85</v>
      </c>
    </row>
    <row r="14" spans="1:21">
      <c r="A14" s="87" t="s">
        <v>45</v>
      </c>
      <c r="B14" s="88" t="s">
        <v>58</v>
      </c>
      <c r="C14" s="99" t="s">
        <v>86</v>
      </c>
      <c r="H14" s="292"/>
    </row>
    <row r="15" spans="1:21">
      <c r="A15" s="87" t="s">
        <v>83</v>
      </c>
      <c r="B15" s="89" t="s">
        <v>4</v>
      </c>
      <c r="C15" s="201">
        <v>0</v>
      </c>
      <c r="H15" s="292"/>
    </row>
    <row r="16" spans="1:21">
      <c r="A16" s="87" t="s">
        <v>84</v>
      </c>
      <c r="B16" s="89" t="s">
        <v>5</v>
      </c>
      <c r="C16" s="201">
        <v>0.03</v>
      </c>
    </row>
    <row r="17" spans="1:24">
      <c r="D17" s="98"/>
      <c r="E17" s="98"/>
      <c r="G17" s="392"/>
      <c r="H17" s="392"/>
      <c r="I17" s="392"/>
      <c r="J17" s="392"/>
    </row>
    <row r="18" spans="1:24">
      <c r="D18" s="98"/>
      <c r="E18" s="98"/>
      <c r="S18" s="84"/>
      <c r="T18" s="392"/>
      <c r="U18" s="392"/>
      <c r="V18" s="392"/>
      <c r="W18" s="392"/>
      <c r="X18" s="392"/>
    </row>
    <row r="19" spans="1:24">
      <c r="D19" s="98"/>
      <c r="E19" s="98"/>
      <c r="S19" s="84"/>
      <c r="T19" s="274"/>
      <c r="U19" s="274"/>
      <c r="V19" s="274"/>
      <c r="W19" s="274"/>
      <c r="X19" s="274"/>
    </row>
    <row r="20" spans="1:24">
      <c r="D20" s="98"/>
      <c r="E20" s="98"/>
      <c r="S20" s="84"/>
      <c r="T20" s="274"/>
      <c r="U20" s="274"/>
      <c r="V20" s="274"/>
      <c r="W20" s="274"/>
      <c r="X20" s="274"/>
    </row>
    <row r="21" spans="1:24">
      <c r="D21" s="85"/>
      <c r="E21" s="98"/>
      <c r="F21" s="91"/>
      <c r="S21" s="82"/>
      <c r="T21" s="85"/>
      <c r="U21" s="85"/>
      <c r="V21" s="85"/>
      <c r="W21" s="85"/>
      <c r="X21" s="85"/>
    </row>
    <row r="22" spans="1:24" ht="13.5" thickBot="1">
      <c r="D22" s="98"/>
      <c r="E22" s="98"/>
      <c r="F22" s="82"/>
      <c r="S22" s="82"/>
      <c r="T22" s="85"/>
      <c r="U22" s="85"/>
      <c r="V22" s="85"/>
      <c r="W22" s="85"/>
      <c r="X22" s="85"/>
    </row>
    <row r="23" spans="1:24" ht="13.5" thickBot="1">
      <c r="A23" s="238" t="s">
        <v>115</v>
      </c>
      <c r="B23" s="287" t="s">
        <v>70</v>
      </c>
      <c r="C23" s="288" t="s">
        <v>112</v>
      </c>
      <c r="D23" s="288" t="s">
        <v>126</v>
      </c>
      <c r="E23" s="288" t="s">
        <v>127</v>
      </c>
      <c r="F23" s="288" t="s">
        <v>113</v>
      </c>
      <c r="G23" s="288" t="s">
        <v>114</v>
      </c>
      <c r="H23" s="289" t="s">
        <v>128</v>
      </c>
      <c r="I23" s="291" t="s">
        <v>30</v>
      </c>
      <c r="S23" s="82"/>
      <c r="T23" s="85"/>
      <c r="U23" s="85"/>
      <c r="V23" s="85"/>
      <c r="W23" s="85"/>
      <c r="X23" s="85"/>
    </row>
    <row r="24" spans="1:24">
      <c r="A24" s="14" t="s">
        <v>4</v>
      </c>
      <c r="B24" s="21">
        <f t="shared" ref="B24:B31" si="0">C4</f>
        <v>0</v>
      </c>
      <c r="C24" s="293">
        <v>-3.2445168309994665E-3</v>
      </c>
      <c r="D24" s="293">
        <v>-1.0761362748873404E-3</v>
      </c>
      <c r="E24" s="293">
        <v>-3.4179872754884488E-3</v>
      </c>
      <c r="F24" s="293">
        <v>-2.5720358328627513E-2</v>
      </c>
      <c r="G24" s="293">
        <v>-0.26287574291051119</v>
      </c>
      <c r="H24" s="294">
        <v>-3.2441343963196256E-3</v>
      </c>
      <c r="I24" s="368">
        <f>+SUMPRODUCT(B24:H24,$B$33:$H$33)</f>
        <v>-3.2445168309994665E-3</v>
      </c>
      <c r="S24" s="82"/>
      <c r="T24" s="85"/>
      <c r="U24" s="85"/>
      <c r="V24" s="85"/>
      <c r="W24" s="85"/>
      <c r="X24" s="85"/>
    </row>
    <row r="25" spans="1:24">
      <c r="A25" s="18" t="s">
        <v>5</v>
      </c>
      <c r="B25" s="21">
        <f t="shared" si="0"/>
        <v>3.0000000000000002E-2</v>
      </c>
      <c r="C25" s="293">
        <v>1.4996171000904845E-2</v>
      </c>
      <c r="D25" s="293">
        <v>-0.10270478546112452</v>
      </c>
      <c r="E25" s="293">
        <v>3.7295220378336866E-2</v>
      </c>
      <c r="F25" s="293">
        <v>-0.43424993966436087</v>
      </c>
      <c r="G25" s="293">
        <v>-0.41153220498436088</v>
      </c>
      <c r="H25" s="294">
        <v>0.29819819149830579</v>
      </c>
      <c r="I25" s="178">
        <f t="shared" ref="I25:I31" si="1">+SUMPRODUCT(B25:H25,$B$33:$H$33)</f>
        <v>1.4996171000904845E-2</v>
      </c>
      <c r="S25" s="82"/>
      <c r="T25" s="85"/>
      <c r="U25" s="85"/>
      <c r="V25" s="85"/>
      <c r="W25" s="85"/>
      <c r="X25" s="85"/>
    </row>
    <row r="26" spans="1:24">
      <c r="A26" s="18" t="s">
        <v>6</v>
      </c>
      <c r="B26" s="21">
        <f t="shared" si="0"/>
        <v>3.1452343984147556E-2</v>
      </c>
      <c r="C26" s="293">
        <v>3.3632152529915554E-2</v>
      </c>
      <c r="D26" s="293">
        <v>-5.1463733534465664E-2</v>
      </c>
      <c r="E26" s="293">
        <v>3.7955967038468326E-2</v>
      </c>
      <c r="F26" s="293">
        <v>-0.52495132978596959</v>
      </c>
      <c r="G26" s="293">
        <v>-0.34991079217679127</v>
      </c>
      <c r="H26" s="294">
        <v>0.24979690735679014</v>
      </c>
      <c r="I26" s="178">
        <f t="shared" si="1"/>
        <v>3.3632152529915554E-2</v>
      </c>
      <c r="S26" s="82"/>
      <c r="T26" s="85"/>
      <c r="U26" s="85"/>
      <c r="V26" s="85"/>
      <c r="W26" s="85"/>
      <c r="X26" s="85"/>
    </row>
    <row r="27" spans="1:24">
      <c r="A27" s="18" t="s">
        <v>7</v>
      </c>
      <c r="B27" s="21">
        <f t="shared" si="0"/>
        <v>5.6804592721954011E-2</v>
      </c>
      <c r="C27" s="293">
        <v>-1.8275706628265609E-2</v>
      </c>
      <c r="D27" s="293">
        <v>-0.20763301199738962</v>
      </c>
      <c r="E27" s="293">
        <v>4.4157772609314798E-2</v>
      </c>
      <c r="F27" s="293">
        <v>-0.60718802956862361</v>
      </c>
      <c r="G27" s="293">
        <v>-0.47851488198333225</v>
      </c>
      <c r="H27" s="294">
        <v>0.39131495295955132</v>
      </c>
      <c r="I27" s="178">
        <f t="shared" si="1"/>
        <v>-1.8275706628265609E-2</v>
      </c>
      <c r="J27" s="76"/>
    </row>
    <row r="28" spans="1:24">
      <c r="A28" s="18" t="s">
        <v>8</v>
      </c>
      <c r="B28" s="21">
        <f t="shared" si="0"/>
        <v>5.6320387554596889E-2</v>
      </c>
      <c r="C28" s="293">
        <v>6.1274623073284545E-2</v>
      </c>
      <c r="D28" s="293">
        <v>-6.0480183929069335E-2</v>
      </c>
      <c r="E28" s="293">
        <v>7.5058724753415462E-2</v>
      </c>
      <c r="F28" s="293">
        <v>-0.41926220845987938</v>
      </c>
      <c r="G28" s="293">
        <v>-0.25917386489837912</v>
      </c>
      <c r="H28" s="294">
        <v>0.38663466689136228</v>
      </c>
      <c r="I28" s="178">
        <f t="shared" si="1"/>
        <v>6.1274623073284545E-2</v>
      </c>
      <c r="J28" s="94"/>
      <c r="U28" s="95"/>
    </row>
    <row r="29" spans="1:24">
      <c r="A29" s="18" t="s">
        <v>9</v>
      </c>
      <c r="B29" s="21">
        <f t="shared" si="0"/>
        <v>5.236888388126059E-2</v>
      </c>
      <c r="C29" s="293">
        <v>7.9522702632630907E-2</v>
      </c>
      <c r="D29" s="293">
        <v>1.2962263249297473E-2</v>
      </c>
      <c r="E29" s="293">
        <v>8.6184790509297532E-2</v>
      </c>
      <c r="F29" s="293">
        <v>-0.52034739633736904</v>
      </c>
      <c r="G29" s="293">
        <v>-0.53983753129736911</v>
      </c>
      <c r="H29" s="294">
        <v>0.62225820003596433</v>
      </c>
      <c r="I29" s="178">
        <f t="shared" si="1"/>
        <v>7.9522702632630907E-2</v>
      </c>
      <c r="J29" s="96"/>
      <c r="U29" s="95"/>
    </row>
    <row r="30" spans="1:24">
      <c r="A30" s="18" t="s">
        <v>10</v>
      </c>
      <c r="B30" s="21">
        <f t="shared" si="0"/>
        <v>2.8306574622560098E-2</v>
      </c>
      <c r="C30" s="293">
        <v>1.7325408361865E-2</v>
      </c>
      <c r="D30" s="293">
        <v>-4.6787554334441012E-2</v>
      </c>
      <c r="E30" s="293">
        <v>1.6536412714843449E-2</v>
      </c>
      <c r="F30" s="293">
        <v>-0.25573516705477994</v>
      </c>
      <c r="G30" s="293">
        <v>-6.3153361120378204E-3</v>
      </c>
      <c r="H30" s="294">
        <v>0.28237563833203505</v>
      </c>
      <c r="I30" s="178">
        <f t="shared" si="1"/>
        <v>1.7325408361865E-2</v>
      </c>
      <c r="J30" s="96"/>
      <c r="U30" s="95"/>
    </row>
    <row r="31" spans="1:24" ht="13.5" thickBot="1">
      <c r="A31" s="22" t="s">
        <v>11</v>
      </c>
      <c r="B31" s="25">
        <f t="shared" si="0"/>
        <v>3.9543569652327068E-2</v>
      </c>
      <c r="C31" s="295">
        <v>-3.3454365202922019E-3</v>
      </c>
      <c r="D31" s="295">
        <v>-8.4519819517757569E-2</v>
      </c>
      <c r="E31" s="295">
        <v>3.2797465910270177E-2</v>
      </c>
      <c r="F31" s="295">
        <v>-0.33580172019430399</v>
      </c>
      <c r="G31" s="295">
        <v>-0.18031161563030054</v>
      </c>
      <c r="H31" s="296">
        <v>0.35335277777605689</v>
      </c>
      <c r="I31" s="369">
        <f t="shared" si="1"/>
        <v>-3.3454365202922019E-3</v>
      </c>
      <c r="J31" s="96"/>
      <c r="U31" s="95"/>
    </row>
    <row r="32" spans="1:24" ht="13.5" thickBot="1">
      <c r="D32" s="98"/>
      <c r="E32" s="98"/>
      <c r="H32" s="84"/>
      <c r="I32" s="84"/>
      <c r="J32" s="84"/>
      <c r="U32" s="95"/>
    </row>
    <row r="33" spans="1:21" ht="13.5" thickBot="1">
      <c r="A33" s="297" t="s">
        <v>123</v>
      </c>
      <c r="B33" s="290">
        <f>Optimalisatie!B13</f>
        <v>0</v>
      </c>
      <c r="C33" s="290">
        <f>Optimalisatie!C13</f>
        <v>1</v>
      </c>
      <c r="D33" s="290">
        <f>Optimalisatie!D13</f>
        <v>0</v>
      </c>
      <c r="E33" s="290">
        <f>Optimalisatie!E13</f>
        <v>0</v>
      </c>
      <c r="F33" s="290">
        <f>Optimalisatie!F13</f>
        <v>0</v>
      </c>
      <c r="G33" s="290">
        <f>Optimalisatie!G13</f>
        <v>0</v>
      </c>
      <c r="H33" s="290">
        <f>Optimalisatie!H13</f>
        <v>0</v>
      </c>
      <c r="I33" s="300">
        <f>+$B$33+((100%-$B$33)*(D33+E33+F33+G33+H33+C33))</f>
        <v>1</v>
      </c>
      <c r="U33" s="95"/>
    </row>
    <row r="34" spans="1:21" ht="13.5" thickBot="1">
      <c r="U34" s="95"/>
    </row>
    <row r="35" spans="1:21" ht="13.5" thickBot="1">
      <c r="A35" s="297" t="s">
        <v>129</v>
      </c>
      <c r="B35" s="308">
        <f>Optimalisatie!B15</f>
        <v>0</v>
      </c>
      <c r="C35" s="307">
        <f>SUMPRODUCT(C24:C31,'Control panel'!$F$3:$F$10)</f>
        <v>1.0083299176033822E-2</v>
      </c>
      <c r="D35" s="307">
        <f>SUMPRODUCT(D24:D31,'Control panel'!$F$3:$F$10)</f>
        <v>-3.7224334964202833E-2</v>
      </c>
      <c r="E35" s="307">
        <f>SUMPRODUCT(E24:E31,'Control panel'!$F$3:$F$10)</f>
        <v>1.9871737816442643E-2</v>
      </c>
      <c r="F35" s="307">
        <f>SUMPRODUCT(F24:F31,'Control panel'!$F$3:$F$10)</f>
        <v>-0.21994683377471047</v>
      </c>
      <c r="G35" s="307">
        <f>SUMPRODUCT(G24:G31,'Control panel'!$F$3:$F$10)</f>
        <v>-0.30171717577552398</v>
      </c>
      <c r="H35" s="307">
        <f>SUMPRODUCT(H24:H31,'Control panel'!$F$3:$F$10)</f>
        <v>0.16037187629358124</v>
      </c>
      <c r="I35" s="309">
        <f>SUMPRODUCT(I24:I31,'Control panel'!$F$3:$F$10)</f>
        <v>1.0083299176033822E-2</v>
      </c>
    </row>
    <row r="38" spans="1:21" ht="13.5" thickBot="1"/>
    <row r="39" spans="1:21" ht="13.5" thickBot="1">
      <c r="A39" s="298" t="s">
        <v>119</v>
      </c>
      <c r="B39" s="299">
        <v>8</v>
      </c>
    </row>
    <row r="40" spans="1:21" ht="13.5" thickBot="1">
      <c r="A40" s="298" t="s">
        <v>145</v>
      </c>
      <c r="B40" s="299">
        <v>8</v>
      </c>
    </row>
    <row r="42" spans="1:21">
      <c r="K42" s="84"/>
      <c r="L42" s="84"/>
      <c r="M42" s="84"/>
      <c r="N42" s="84"/>
      <c r="O42" s="84"/>
      <c r="P42" s="84"/>
      <c r="Q42" s="84"/>
    </row>
    <row r="43" spans="1:21">
      <c r="K43" s="84"/>
      <c r="L43" s="84"/>
      <c r="M43" s="84"/>
      <c r="N43" s="84"/>
      <c r="O43" s="84"/>
      <c r="P43" s="84"/>
      <c r="Q43" s="84"/>
    </row>
    <row r="44" spans="1:21" ht="21.75" thickBot="1">
      <c r="C44" s="362" t="s">
        <v>148</v>
      </c>
      <c r="D44" s="292"/>
      <c r="E44" s="292"/>
      <c r="F44" s="292"/>
      <c r="G44" s="292"/>
      <c r="H44" s="292"/>
      <c r="K44" s="386"/>
      <c r="L44" s="386"/>
      <c r="M44" s="386"/>
      <c r="N44" s="386"/>
      <c r="O44" s="386"/>
      <c r="P44" s="386"/>
      <c r="Q44" s="84"/>
    </row>
    <row r="45" spans="1:21" ht="21.75" thickBot="1">
      <c r="A45" s="292"/>
      <c r="B45" s="292"/>
      <c r="C45" s="288" t="s">
        <v>112</v>
      </c>
      <c r="D45" s="288" t="s">
        <v>126</v>
      </c>
      <c r="E45" s="288" t="s">
        <v>127</v>
      </c>
      <c r="F45" s="288" t="s">
        <v>113</v>
      </c>
      <c r="G45" s="288" t="s">
        <v>114</v>
      </c>
      <c r="H45" s="289" t="s">
        <v>128</v>
      </c>
      <c r="I45" s="292"/>
      <c r="K45" s="385"/>
      <c r="L45" s="385"/>
      <c r="M45" s="385"/>
      <c r="N45" s="385"/>
      <c r="O45" s="385"/>
      <c r="P45" s="385"/>
      <c r="Q45" s="84"/>
    </row>
    <row r="46" spans="1:21" ht="21">
      <c r="A46" s="292"/>
      <c r="B46" s="292"/>
      <c r="C46" s="363">
        <v>-3.2445168309994665E-3</v>
      </c>
      <c r="D46" s="363">
        <v>-1.0761362748873404E-3</v>
      </c>
      <c r="E46" s="363">
        <v>-3.4179872754884488E-3</v>
      </c>
      <c r="F46" s="363">
        <v>-2.5720358328627513E-2</v>
      </c>
      <c r="G46" s="363">
        <v>-0.26287574291051119</v>
      </c>
      <c r="H46" s="364">
        <v>-3.2441343963196256E-3</v>
      </c>
      <c r="I46" s="292"/>
      <c r="K46" s="385"/>
      <c r="L46" s="385"/>
      <c r="M46" s="385"/>
      <c r="N46" s="385"/>
      <c r="O46" s="385"/>
      <c r="P46" s="385"/>
    </row>
    <row r="47" spans="1:21" ht="21">
      <c r="A47" s="292"/>
      <c r="B47" s="292"/>
      <c r="C47" s="363">
        <v>3.2492969125133414E-2</v>
      </c>
      <c r="D47" s="363">
        <v>-8.65324500372157E-2</v>
      </c>
      <c r="E47" s="363">
        <v>5.1526244290784291E-2</v>
      </c>
      <c r="F47" s="363">
        <v>-0.43934344866388231</v>
      </c>
      <c r="G47" s="363">
        <v>-0.41627425662388229</v>
      </c>
      <c r="H47" s="364">
        <v>0.27529934429078429</v>
      </c>
      <c r="I47" s="292"/>
      <c r="K47" s="385"/>
      <c r="L47" s="385"/>
      <c r="M47" s="385"/>
      <c r="N47" s="385"/>
      <c r="O47" s="385"/>
      <c r="P47" s="385"/>
    </row>
    <row r="48" spans="1:21" ht="21">
      <c r="A48" s="292"/>
      <c r="B48" s="292"/>
      <c r="C48" s="363">
        <v>1.45681608513176E-2</v>
      </c>
      <c r="D48" s="363">
        <v>-2.1111513867647543E-2</v>
      </c>
      <c r="E48" s="363">
        <v>3.2357333960853253E-3</v>
      </c>
      <c r="F48" s="363">
        <v>-0.41802644813429485</v>
      </c>
      <c r="G48" s="363">
        <v>-0.17149574156312622</v>
      </c>
      <c r="H48" s="364">
        <v>0.25817653707968463</v>
      </c>
      <c r="I48" s="292"/>
      <c r="K48" s="385"/>
      <c r="L48" s="385"/>
      <c r="M48" s="385"/>
      <c r="N48" s="385"/>
      <c r="O48" s="385"/>
      <c r="P48" s="385"/>
    </row>
    <row r="49" spans="1:16" ht="21">
      <c r="A49" s="292"/>
      <c r="B49" s="292"/>
      <c r="C49" s="363">
        <v>-1.272492445230269E-2</v>
      </c>
      <c r="D49" s="363">
        <v>-0.19311368459773193</v>
      </c>
      <c r="E49" s="363">
        <v>4.3944352615336905E-2</v>
      </c>
      <c r="F49" s="363">
        <v>-0.5992014650452413</v>
      </c>
      <c r="G49" s="363">
        <v>-0.47126055414190038</v>
      </c>
      <c r="H49" s="364">
        <v>0.40935864013329615</v>
      </c>
      <c r="I49" s="292"/>
      <c r="K49" s="385"/>
      <c r="L49" s="385"/>
      <c r="M49" s="385"/>
      <c r="N49" s="385"/>
      <c r="O49" s="385"/>
      <c r="P49" s="385"/>
    </row>
    <row r="50" spans="1:16" ht="21">
      <c r="A50" s="292"/>
      <c r="B50" s="292"/>
      <c r="C50" s="363">
        <v>5.7893485302571407E-2</v>
      </c>
      <c r="D50" s="363">
        <v>-6.9261756645690273E-2</v>
      </c>
      <c r="E50" s="363">
        <v>7.474963400472559E-2</v>
      </c>
      <c r="F50" s="363">
        <v>-0.42661422498990775</v>
      </c>
      <c r="G50" s="363">
        <v>-0.26558788944909251</v>
      </c>
      <c r="H50" s="364">
        <v>0.37672139820686834</v>
      </c>
      <c r="I50" s="292"/>
      <c r="K50" s="385"/>
      <c r="L50" s="385"/>
      <c r="M50" s="385"/>
      <c r="N50" s="385"/>
      <c r="O50" s="385"/>
      <c r="P50" s="385"/>
    </row>
    <row r="51" spans="1:16" ht="21">
      <c r="A51" s="292"/>
      <c r="B51" s="292"/>
      <c r="C51" s="363">
        <v>7.1999999999999995E-2</v>
      </c>
      <c r="D51" s="363">
        <v>1.202667991596415E-2</v>
      </c>
      <c r="E51" s="363">
        <v>8.5249207175964209E-2</v>
      </c>
      <c r="F51" s="363">
        <v>-0.52128297967070236</v>
      </c>
      <c r="G51" s="363">
        <v>-0.54077311463070243</v>
      </c>
      <c r="H51" s="364">
        <v>0.621322616702631</v>
      </c>
      <c r="I51" s="292"/>
      <c r="K51" s="385"/>
      <c r="L51" s="385"/>
      <c r="M51" s="385"/>
      <c r="N51" s="385"/>
      <c r="O51" s="385"/>
      <c r="P51" s="385"/>
    </row>
    <row r="52" spans="1:16">
      <c r="A52" s="292"/>
      <c r="B52" s="292"/>
      <c r="C52" s="363">
        <v>1.8730269708989476E-2</v>
      </c>
      <c r="D52" s="363">
        <v>-4.6790508294452839E-2</v>
      </c>
      <c r="E52" s="363">
        <v>1.8215216611987023E-2</v>
      </c>
      <c r="F52" s="363">
        <v>-0.25630468560846492</v>
      </c>
      <c r="G52" s="363">
        <v>-6.931471876793301E-3</v>
      </c>
      <c r="H52" s="364">
        <v>0.28021842301080391</v>
      </c>
      <c r="I52" s="292"/>
    </row>
    <row r="53" spans="1:16" ht="13.5" thickBot="1">
      <c r="A53" s="292"/>
      <c r="B53" s="292"/>
      <c r="C53" s="365">
        <v>-5.9825766089863959E-3</v>
      </c>
      <c r="D53" s="365">
        <v>-0.13956067047136589</v>
      </c>
      <c r="E53" s="365">
        <v>2.7964399001126676E-2</v>
      </c>
      <c r="F53" s="365">
        <v>-0.45200242221105646</v>
      </c>
      <c r="G53" s="365">
        <v>-0.48031312669988807</v>
      </c>
      <c r="H53" s="366">
        <v>0.41038049782760322</v>
      </c>
      <c r="I53" s="292"/>
    </row>
    <row r="54" spans="1:16">
      <c r="A54" s="292"/>
      <c r="B54" s="292"/>
      <c r="C54" s="292"/>
      <c r="D54" s="292"/>
      <c r="E54" s="292"/>
      <c r="F54" s="292"/>
      <c r="G54" s="292"/>
      <c r="H54" s="292"/>
      <c r="I54" s="292"/>
    </row>
    <row r="55" spans="1:16">
      <c r="A55" s="292"/>
      <c r="B55" s="292"/>
      <c r="C55" s="292"/>
      <c r="D55" s="292"/>
      <c r="E55" s="292"/>
      <c r="F55" s="292"/>
      <c r="G55" s="292"/>
      <c r="H55" s="292"/>
      <c r="I55" s="292"/>
    </row>
    <row r="56" spans="1:16">
      <c r="A56" s="292"/>
      <c r="B56" s="292"/>
      <c r="C56" s="292"/>
      <c r="D56" s="292"/>
      <c r="E56" s="292"/>
      <c r="F56" s="292"/>
      <c r="G56" s="292"/>
      <c r="H56" s="292"/>
      <c r="I56" s="292"/>
    </row>
    <row r="57" spans="1:16">
      <c r="I57" s="292"/>
    </row>
    <row r="58" spans="1:16">
      <c r="I58" s="292"/>
    </row>
    <row r="59" spans="1:16">
      <c r="B59" s="292"/>
      <c r="C59" s="292"/>
      <c r="D59" s="292"/>
      <c r="E59" s="292"/>
      <c r="F59" s="292"/>
      <c r="G59" s="292"/>
      <c r="H59" s="292"/>
      <c r="I59" s="292"/>
    </row>
    <row r="60" spans="1:16">
      <c r="B60" s="292"/>
      <c r="C60" s="292"/>
      <c r="D60" s="292"/>
      <c r="E60" s="292"/>
      <c r="F60" s="292"/>
      <c r="G60" s="292"/>
      <c r="H60" s="292"/>
      <c r="I60" s="292"/>
    </row>
    <row r="61" spans="1:16">
      <c r="B61" s="292"/>
      <c r="C61" s="292"/>
      <c r="D61" s="292"/>
      <c r="E61" s="292"/>
      <c r="F61" s="292"/>
      <c r="G61" s="292"/>
      <c r="H61" s="292"/>
      <c r="I61" s="292"/>
    </row>
    <row r="62" spans="1:16">
      <c r="B62" s="292"/>
      <c r="C62" s="292"/>
      <c r="D62" s="292"/>
      <c r="E62" s="292"/>
      <c r="F62" s="292"/>
      <c r="G62" s="292"/>
      <c r="H62" s="292"/>
      <c r="I62" s="292"/>
    </row>
    <row r="63" spans="1:16">
      <c r="B63" s="292"/>
      <c r="C63" s="292"/>
      <c r="D63" s="292"/>
      <c r="E63" s="292"/>
      <c r="F63" s="292"/>
      <c r="G63" s="292"/>
      <c r="H63" s="292"/>
      <c r="I63" s="292"/>
    </row>
    <row r="64" spans="1:16">
      <c r="B64" s="292"/>
      <c r="C64" s="292"/>
      <c r="D64" s="292"/>
      <c r="E64" s="292"/>
      <c r="F64" s="292"/>
      <c r="G64" s="292"/>
      <c r="H64" s="292"/>
      <c r="I64" s="292"/>
    </row>
    <row r="65" spans="2:9">
      <c r="B65" s="292"/>
      <c r="C65" s="292"/>
      <c r="D65" s="292"/>
      <c r="E65" s="292"/>
      <c r="F65" s="292"/>
      <c r="G65" s="292"/>
      <c r="H65" s="292"/>
      <c r="I65" s="292"/>
    </row>
    <row r="66" spans="2:9">
      <c r="B66" s="292"/>
      <c r="C66" s="292"/>
      <c r="D66" s="292"/>
      <c r="E66" s="292"/>
      <c r="F66" s="292"/>
      <c r="G66" s="292"/>
      <c r="H66" s="292"/>
      <c r="I66" s="292"/>
    </row>
    <row r="67" spans="2:9">
      <c r="B67" s="292"/>
      <c r="C67" s="292"/>
      <c r="D67" s="292"/>
      <c r="E67" s="292"/>
      <c r="F67" s="292"/>
      <c r="G67" s="292"/>
      <c r="H67" s="292"/>
      <c r="I67" s="292"/>
    </row>
    <row r="68" spans="2:9">
      <c r="B68" s="292"/>
      <c r="C68" s="292"/>
      <c r="D68" s="292"/>
      <c r="E68" s="292"/>
      <c r="F68" s="292"/>
      <c r="G68" s="292"/>
      <c r="H68" s="292"/>
      <c r="I68" s="292"/>
    </row>
    <row r="69" spans="2:9">
      <c r="B69" s="292"/>
      <c r="C69" s="292"/>
      <c r="D69" s="292"/>
      <c r="E69" s="292"/>
      <c r="F69" s="292"/>
      <c r="G69" s="292"/>
      <c r="H69" s="292"/>
      <c r="I69" s="292"/>
    </row>
    <row r="70" spans="2:9">
      <c r="B70" s="292"/>
      <c r="C70" s="292"/>
      <c r="D70" s="292"/>
      <c r="E70" s="292"/>
      <c r="F70" s="292"/>
      <c r="G70" s="292"/>
      <c r="H70" s="292"/>
      <c r="I70" s="292"/>
    </row>
    <row r="71" spans="2:9">
      <c r="B71" s="292"/>
      <c r="C71" s="292"/>
      <c r="D71" s="292"/>
      <c r="E71" s="292"/>
      <c r="F71" s="292"/>
      <c r="G71" s="292"/>
      <c r="H71" s="292"/>
      <c r="I71" s="292"/>
    </row>
    <row r="97" spans="1:2">
      <c r="B97" s="99"/>
    </row>
    <row r="98" spans="1:2">
      <c r="B98" s="99"/>
    </row>
    <row r="100" spans="1:2">
      <c r="B100" s="99"/>
    </row>
    <row r="102" spans="1:2">
      <c r="A102" s="100" t="s">
        <v>81</v>
      </c>
    </row>
    <row r="103" spans="1:2">
      <c r="A103" s="3" t="s">
        <v>58</v>
      </c>
      <c r="B103" s="99">
        <v>0</v>
      </c>
    </row>
    <row r="104" spans="1:2">
      <c r="A104" s="3" t="str">
        <f>A4</f>
        <v>Nominale matching</v>
      </c>
      <c r="B104" s="99">
        <v>1</v>
      </c>
    </row>
    <row r="105" spans="1:2">
      <c r="A105" s="3" t="str">
        <f t="shared" ref="A105:A111" si="2">A5</f>
        <v>High Yield</v>
      </c>
      <c r="B105" s="99">
        <v>2</v>
      </c>
    </row>
    <row r="106" spans="1:2">
      <c r="A106" s="3" t="str">
        <f t="shared" si="2"/>
        <v>Emerging market debt</v>
      </c>
      <c r="B106" s="99">
        <v>3</v>
      </c>
    </row>
    <row r="107" spans="1:2">
      <c r="A107" s="3" t="str">
        <f t="shared" si="2"/>
        <v>Aandelen ontwikkeld</v>
      </c>
      <c r="B107" s="99">
        <v>4</v>
      </c>
    </row>
    <row r="108" spans="1:2">
      <c r="A108" s="3" t="str">
        <f t="shared" si="2"/>
        <v>Aandelen opkomend</v>
      </c>
      <c r="B108" s="99">
        <v>5</v>
      </c>
    </row>
    <row r="109" spans="1:2">
      <c r="A109" s="3" t="str">
        <f t="shared" si="2"/>
        <v>Commodities</v>
      </c>
      <c r="B109" s="99">
        <v>6</v>
      </c>
    </row>
    <row r="110" spans="1:2">
      <c r="A110" s="3" t="str">
        <f t="shared" si="2"/>
        <v>Hedge funds</v>
      </c>
      <c r="B110" s="99">
        <v>7</v>
      </c>
    </row>
    <row r="111" spans="1:2">
      <c r="A111" s="3" t="str">
        <f t="shared" si="2"/>
        <v>Onroerend goed</v>
      </c>
      <c r="B111" s="99">
        <v>8</v>
      </c>
    </row>
    <row r="113" spans="1:2">
      <c r="A113" s="27" t="s">
        <v>59</v>
      </c>
    </row>
    <row r="114" spans="1:2">
      <c r="A114" s="3" t="s">
        <v>45</v>
      </c>
      <c r="B114" s="99">
        <f>VLOOKUP(B14,$A$103:$B$111,2,0)</f>
        <v>0</v>
      </c>
    </row>
    <row r="115" spans="1:2">
      <c r="A115" s="3" t="s">
        <v>87</v>
      </c>
      <c r="B115" s="99">
        <f t="shared" ref="B115:B116" si="3">VLOOKUP(B15,$A$103:$B$111,2,0)</f>
        <v>1</v>
      </c>
    </row>
    <row r="116" spans="1:2">
      <c r="A116" s="3" t="s">
        <v>88</v>
      </c>
      <c r="B116" s="99">
        <f t="shared" si="3"/>
        <v>2</v>
      </c>
    </row>
  </sheetData>
  <mergeCells count="3">
    <mergeCell ref="G17:J17"/>
    <mergeCell ref="T18:X18"/>
    <mergeCell ref="E2:L2"/>
  </mergeCells>
  <dataValidations count="3">
    <dataValidation type="list" allowBlank="1" showInputMessage="1" showErrorMessage="1" sqref="B14">
      <formula1>$A$103:$A$111</formula1>
    </dataValidation>
    <dataValidation type="list" allowBlank="1" showInputMessage="1" showErrorMessage="1" sqref="B15:B16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U86"/>
  <sheetViews>
    <sheetView workbookViewId="0">
      <selection activeCell="N4" sqref="N4:U11"/>
    </sheetView>
  </sheetViews>
  <sheetFormatPr defaultRowHeight="12.75"/>
  <cols>
    <col min="1" max="1" width="23.85546875" style="36" customWidth="1"/>
    <col min="2" max="2" width="13.140625" style="36" customWidth="1"/>
    <col min="3" max="3" width="12" style="36" customWidth="1"/>
    <col min="4" max="16384" width="9.140625" style="36"/>
  </cols>
  <sheetData>
    <row r="1" spans="1:21">
      <c r="A1" s="37" t="s">
        <v>0</v>
      </c>
    </row>
    <row r="2" spans="1:21" ht="13.5" thickBot="1"/>
    <row r="3" spans="1:21" ht="13.5" thickBot="1">
      <c r="A3" s="38" t="s">
        <v>70</v>
      </c>
      <c r="B3" s="39" t="s">
        <v>1</v>
      </c>
      <c r="C3" s="39" t="s">
        <v>2</v>
      </c>
      <c r="D3" s="396" t="s">
        <v>3</v>
      </c>
      <c r="E3" s="396"/>
      <c r="F3" s="396"/>
      <c r="G3" s="396"/>
      <c r="H3" s="396"/>
      <c r="I3" s="396"/>
      <c r="J3" s="396"/>
      <c r="K3" s="397"/>
      <c r="N3" s="36" t="s">
        <v>4</v>
      </c>
      <c r="O3" s="36" t="s">
        <v>5</v>
      </c>
      <c r="P3" s="36" t="s">
        <v>6</v>
      </c>
      <c r="Q3" s="36" t="s">
        <v>7</v>
      </c>
      <c r="R3" s="36" t="s">
        <v>8</v>
      </c>
      <c r="S3" s="36" t="s">
        <v>9</v>
      </c>
      <c r="T3" s="36" t="s">
        <v>10</v>
      </c>
      <c r="U3" s="36" t="s">
        <v>11</v>
      </c>
    </row>
    <row r="4" spans="1:21">
      <c r="A4" s="41" t="s">
        <v>4</v>
      </c>
      <c r="B4" s="42">
        <f>Scenarios!B24</f>
        <v>0</v>
      </c>
      <c r="C4" s="42">
        <f>Scenarios!D4</f>
        <v>4.3571419993869868E-2</v>
      </c>
      <c r="D4" s="111">
        <f>Scenarios!E4</f>
        <v>0.99999999999999989</v>
      </c>
      <c r="E4" s="112">
        <f>Scenarios!F4</f>
        <v>0.53809608757973648</v>
      </c>
      <c r="F4" s="112">
        <f>Scenarios!G4</f>
        <v>0.51691057431478837</v>
      </c>
      <c r="G4" s="112">
        <f>Scenarios!H4</f>
        <v>0.26512268753745427</v>
      </c>
      <c r="H4" s="112">
        <f>Scenarios!I4</f>
        <v>0.30633091260285272</v>
      </c>
      <c r="I4" s="112">
        <f>Scenarios!J4</f>
        <v>0.25776542912961581</v>
      </c>
      <c r="J4" s="112">
        <f>Scenarios!K4</f>
        <v>0.49880026622502738</v>
      </c>
      <c r="K4" s="113">
        <f>Scenarios!L4</f>
        <v>0.40988870730079396</v>
      </c>
      <c r="L4" s="239" t="s">
        <v>120</v>
      </c>
      <c r="N4" s="36">
        <f t="array" ref="N4:U11">+D4:K11*TRANSPOSE(C4:C11)*C4:C11</f>
        <v>1.8984686402822026E-3</v>
      </c>
      <c r="O4" s="36">
        <v>3.7069169443826253E-3</v>
      </c>
      <c r="P4" s="36">
        <v>3.6471448596698615E-3</v>
      </c>
      <c r="Q4" s="36">
        <v>3.3135667206881342E-3</v>
      </c>
      <c r="R4" s="36">
        <v>3.9371401025297022E-3</v>
      </c>
      <c r="S4" s="36">
        <v>3.7006151639920222E-3</v>
      </c>
      <c r="T4" s="36">
        <v>3.496064944121538E-3</v>
      </c>
      <c r="U4" s="36">
        <v>3.5599895305005284E-3</v>
      </c>
    </row>
    <row r="5" spans="1:21">
      <c r="A5" s="41" t="s">
        <v>5</v>
      </c>
      <c r="B5" s="42">
        <f>Scenarios!B25</f>
        <v>3.0000000000000002E-2</v>
      </c>
      <c r="C5" s="42">
        <f>Scenarios!D5</f>
        <v>0.15810707611932825</v>
      </c>
      <c r="D5" s="111">
        <f>Scenarios!E5</f>
        <v>0.53809608757973648</v>
      </c>
      <c r="E5" s="112">
        <f>Scenarios!F5</f>
        <v>1.0000000000000002</v>
      </c>
      <c r="F5" s="112">
        <f>Scenarios!G5</f>
        <v>0.94177115286639357</v>
      </c>
      <c r="G5" s="112">
        <f>Scenarios!H5</f>
        <v>0.73614790661359208</v>
      </c>
      <c r="H5" s="112">
        <f>Scenarios!I5</f>
        <v>0.74216818464687206</v>
      </c>
      <c r="I5" s="112">
        <f>Scenarios!J5</f>
        <v>0.6048417122454024</v>
      </c>
      <c r="J5" s="112">
        <f>Scenarios!K5</f>
        <v>0.86164575178315306</v>
      </c>
      <c r="K5" s="113">
        <f>Scenarios!L5</f>
        <v>0.86125970507824035</v>
      </c>
      <c r="N5" s="36">
        <v>3.7069169443826257E-3</v>
      </c>
      <c r="O5" s="36">
        <v>2.4997847519003063E-2</v>
      </c>
      <c r="P5" s="36">
        <v>2.4111963290141789E-2</v>
      </c>
      <c r="Q5" s="36">
        <v>3.3385931746144598E-2</v>
      </c>
      <c r="R5" s="36">
        <v>3.4613217481428198E-2</v>
      </c>
      <c r="S5" s="36">
        <v>3.15094324964642E-2</v>
      </c>
      <c r="T5" s="36">
        <v>2.1914479482341098E-2</v>
      </c>
      <c r="U5" s="36">
        <v>2.7143540181457169E-2</v>
      </c>
    </row>
    <row r="6" spans="1:21">
      <c r="A6" s="41" t="s">
        <v>6</v>
      </c>
      <c r="B6" s="42">
        <f>Scenarios!B26</f>
        <v>3.1452343984147556E-2</v>
      </c>
      <c r="C6" s="42">
        <f>Scenarios!D6</f>
        <v>0.16193319430872868</v>
      </c>
      <c r="D6" s="111">
        <f>Scenarios!E6</f>
        <v>0.51691057431478837</v>
      </c>
      <c r="E6" s="112">
        <f>Scenarios!F6</f>
        <v>0.94177115286639357</v>
      </c>
      <c r="F6" s="112">
        <f>Scenarios!G6</f>
        <v>1</v>
      </c>
      <c r="G6" s="112">
        <f>Scenarios!H6</f>
        <v>0.7682232653061406</v>
      </c>
      <c r="H6" s="112">
        <f>Scenarios!I6</f>
        <v>0.79170142390806597</v>
      </c>
      <c r="I6" s="112">
        <f>Scenarios!J6</f>
        <v>0.62860572473116894</v>
      </c>
      <c r="J6" s="112">
        <f>Scenarios!K6</f>
        <v>0.86583564760808152</v>
      </c>
      <c r="K6" s="113">
        <f>Scenarios!L6</f>
        <v>0.86330366967843342</v>
      </c>
      <c r="N6" s="36">
        <v>3.6471448596698615E-3</v>
      </c>
      <c r="O6" s="36">
        <v>2.4111963290141793E-2</v>
      </c>
      <c r="P6" s="36">
        <v>2.6222359419028479E-2</v>
      </c>
      <c r="Q6" s="36">
        <v>3.568374693830919E-2</v>
      </c>
      <c r="R6" s="36">
        <v>3.7816875146902962E-2</v>
      </c>
      <c r="S6" s="36">
        <v>3.3539899318107344E-2</v>
      </c>
      <c r="T6" s="36">
        <v>2.2553941333426766E-2</v>
      </c>
      <c r="U6" s="36">
        <v>2.7866377969297876E-2</v>
      </c>
    </row>
    <row r="7" spans="1:21">
      <c r="A7" s="41" t="s">
        <v>7</v>
      </c>
      <c r="B7" s="42">
        <f>Scenarios!B27</f>
        <v>5.6804592721954011E-2</v>
      </c>
      <c r="C7" s="42">
        <f>Scenarios!D7</f>
        <v>0.28684488662827246</v>
      </c>
      <c r="D7" s="111">
        <f>Scenarios!E7</f>
        <v>0.26512268753745388</v>
      </c>
      <c r="E7" s="112">
        <f>Scenarios!F7</f>
        <v>0.7361479066135922</v>
      </c>
      <c r="F7" s="112">
        <f>Scenarios!G7</f>
        <v>0.7682232653061406</v>
      </c>
      <c r="G7" s="112">
        <f>Scenarios!H7</f>
        <v>1.0000000000000002</v>
      </c>
      <c r="H7" s="112">
        <f>Scenarios!I7</f>
        <v>0.810869651798099</v>
      </c>
      <c r="I7" s="112">
        <f>Scenarios!J7</f>
        <v>0.698944093128679</v>
      </c>
      <c r="J7" s="112">
        <f>Scenarios!K7</f>
        <v>0.74165364419402413</v>
      </c>
      <c r="K7" s="113">
        <f>Scenarios!L7</f>
        <v>0.88368691913192909</v>
      </c>
      <c r="N7" s="36">
        <v>3.3135667206881294E-3</v>
      </c>
      <c r="O7" s="36">
        <v>3.3385931746144605E-2</v>
      </c>
      <c r="P7" s="36">
        <v>3.568374693830919E-2</v>
      </c>
      <c r="Q7" s="36">
        <v>8.2279988984786501E-2</v>
      </c>
      <c r="R7" s="36">
        <v>6.8609853142696492E-2</v>
      </c>
      <c r="S7" s="36">
        <v>6.6059775167898377E-2</v>
      </c>
      <c r="T7" s="36">
        <v>3.4221524191297668E-2</v>
      </c>
      <c r="U7" s="36">
        <v>5.0527358245832002E-2</v>
      </c>
    </row>
    <row r="8" spans="1:21">
      <c r="A8" s="41" t="s">
        <v>8</v>
      </c>
      <c r="B8" s="42">
        <f>Scenarios!B28</f>
        <v>5.6320387554596889E-2</v>
      </c>
      <c r="C8" s="42">
        <f>Scenarios!D8</f>
        <v>0.29497711980114533</v>
      </c>
      <c r="D8" s="111">
        <f>Scenarios!E8</f>
        <v>0.30633091260285283</v>
      </c>
      <c r="E8" s="112">
        <f>Scenarios!F8</f>
        <v>0.74216818464687206</v>
      </c>
      <c r="F8" s="112">
        <f>Scenarios!G8</f>
        <v>0.79170142390806608</v>
      </c>
      <c r="G8" s="112">
        <f>Scenarios!H8</f>
        <v>0.81086965179809911</v>
      </c>
      <c r="H8" s="112">
        <f>Scenarios!I8</f>
        <v>0.99999999999999978</v>
      </c>
      <c r="I8" s="112">
        <f>Scenarios!J8</f>
        <v>0.64038553303047341</v>
      </c>
      <c r="J8" s="112">
        <f>Scenarios!K8</f>
        <v>0.64285674252709391</v>
      </c>
      <c r="K8" s="113">
        <f>Scenarios!L8</f>
        <v>0.78565246061343619</v>
      </c>
      <c r="N8" s="36">
        <v>3.937140102529703E-3</v>
      </c>
      <c r="O8" s="36">
        <v>3.4613217481428198E-2</v>
      </c>
      <c r="P8" s="36">
        <v>3.7816875146902969E-2</v>
      </c>
      <c r="Q8" s="36">
        <v>6.8609853142696492E-2</v>
      </c>
      <c r="R8" s="36">
        <v>8.7011501206179231E-2</v>
      </c>
      <c r="S8" s="36">
        <v>6.2241117688122821E-2</v>
      </c>
      <c r="T8" s="36">
        <v>3.050377826221214E-2</v>
      </c>
      <c r="U8" s="36">
        <v>4.6195519920572352E-2</v>
      </c>
    </row>
    <row r="9" spans="1:21">
      <c r="A9" s="41" t="s">
        <v>9</v>
      </c>
      <c r="B9" s="42">
        <f>Scenarios!B29</f>
        <v>5.236888388126059E-2</v>
      </c>
      <c r="C9" s="42">
        <f>Scenarios!D9</f>
        <v>0.32949402218690865</v>
      </c>
      <c r="D9" s="111">
        <f>Scenarios!E9</f>
        <v>0.25776542912961575</v>
      </c>
      <c r="E9" s="112">
        <f>Scenarios!F9</f>
        <v>0.60484171224540262</v>
      </c>
      <c r="F9" s="112">
        <f>Scenarios!G9</f>
        <v>0.62860572473116916</v>
      </c>
      <c r="G9" s="112">
        <f>Scenarios!H9</f>
        <v>0.698944093128679</v>
      </c>
      <c r="H9" s="112">
        <f>Scenarios!I9</f>
        <v>0.64038553303047341</v>
      </c>
      <c r="I9" s="112">
        <f>Scenarios!J9</f>
        <v>1.0000000000000002</v>
      </c>
      <c r="J9" s="112">
        <f>Scenarios!K9</f>
        <v>0.56967702853737867</v>
      </c>
      <c r="K9" s="113">
        <f>Scenarios!L9</f>
        <v>0.67129908624723933</v>
      </c>
      <c r="N9" s="36">
        <v>3.7006151639920213E-3</v>
      </c>
      <c r="O9" s="36">
        <v>3.1509432496464214E-2</v>
      </c>
      <c r="P9" s="36">
        <v>3.3539899318107358E-2</v>
      </c>
      <c r="Q9" s="36">
        <v>6.6059775167898377E-2</v>
      </c>
      <c r="R9" s="36">
        <v>6.2241117688122821E-2</v>
      </c>
      <c r="S9" s="36">
        <v>0.10856631065690707</v>
      </c>
      <c r="T9" s="36">
        <v>3.0194465664115801E-2</v>
      </c>
      <c r="U9" s="36">
        <v>4.4090461984767626E-2</v>
      </c>
    </row>
    <row r="10" spans="1:21">
      <c r="A10" s="41" t="s">
        <v>10</v>
      </c>
      <c r="B10" s="42">
        <f>Scenarios!B30</f>
        <v>2.8306574622560098E-2</v>
      </c>
      <c r="C10" s="42">
        <f>Scenarios!D10</f>
        <v>0.1608611248297202</v>
      </c>
      <c r="D10" s="111">
        <f>Scenarios!E10</f>
        <v>0.49880026622502749</v>
      </c>
      <c r="E10" s="112">
        <f>Scenarios!F10</f>
        <v>0.86164575178315295</v>
      </c>
      <c r="F10" s="112">
        <f>Scenarios!G10</f>
        <v>0.86583564760808163</v>
      </c>
      <c r="G10" s="112">
        <f>Scenarios!H10</f>
        <v>0.74165364419402413</v>
      </c>
      <c r="H10" s="112">
        <f>Scenarios!I10</f>
        <v>0.64285674252709391</v>
      </c>
      <c r="I10" s="112">
        <f>Scenarios!J10</f>
        <v>0.56967702853737878</v>
      </c>
      <c r="J10" s="112">
        <f>Scenarios!K10</f>
        <v>0.99999999999999978</v>
      </c>
      <c r="K10" s="113">
        <f>Scenarios!L10</f>
        <v>0.79252565178528167</v>
      </c>
      <c r="N10" s="36">
        <v>3.4960649441215389E-3</v>
      </c>
      <c r="O10" s="36">
        <v>2.1914479482341098E-2</v>
      </c>
      <c r="P10" s="36">
        <v>2.255394133342677E-2</v>
      </c>
      <c r="Q10" s="36">
        <v>3.4221524191297668E-2</v>
      </c>
      <c r="R10" s="36">
        <v>3.050377826221214E-2</v>
      </c>
      <c r="S10" s="36">
        <v>3.0194465664115811E-2</v>
      </c>
      <c r="T10" s="36">
        <v>2.587630148148282E-2</v>
      </c>
      <c r="U10" s="36">
        <v>2.5412388301249617E-2</v>
      </c>
    </row>
    <row r="11" spans="1:21" ht="13.5" thickBot="1">
      <c r="A11" s="43" t="s">
        <v>11</v>
      </c>
      <c r="B11" s="44">
        <f>Scenarios!B31</f>
        <v>3.9543569652327068E-2</v>
      </c>
      <c r="C11" s="44">
        <f>Scenarios!D11</f>
        <v>0.19933384935580506</v>
      </c>
      <c r="D11" s="114">
        <f>Scenarios!E11</f>
        <v>0.40988870730079396</v>
      </c>
      <c r="E11" s="115">
        <f>Scenarios!F11</f>
        <v>0.86125970507824035</v>
      </c>
      <c r="F11" s="115">
        <f>Scenarios!G11</f>
        <v>0.86330366967843342</v>
      </c>
      <c r="G11" s="115">
        <f>Scenarios!H11</f>
        <v>0.88368691913192909</v>
      </c>
      <c r="H11" s="115">
        <f>Scenarios!I11</f>
        <v>0.78565246061343608</v>
      </c>
      <c r="I11" s="115">
        <f>Scenarios!J11</f>
        <v>0.67129908624723922</v>
      </c>
      <c r="J11" s="115">
        <f>Scenarios!K11</f>
        <v>0.79252565178528178</v>
      </c>
      <c r="K11" s="116">
        <f>Scenarios!L11</f>
        <v>1</v>
      </c>
      <c r="N11" s="36">
        <v>3.5599895305005284E-3</v>
      </c>
      <c r="O11" s="36">
        <v>2.7143540181457169E-2</v>
      </c>
      <c r="P11" s="36">
        <v>2.7866377969297876E-2</v>
      </c>
      <c r="Q11" s="36">
        <v>5.0527358245832002E-2</v>
      </c>
      <c r="R11" s="36">
        <v>4.6195519920572352E-2</v>
      </c>
      <c r="S11" s="36">
        <v>4.4090461984767626E-2</v>
      </c>
      <c r="T11" s="36">
        <v>2.541238830124962E-2</v>
      </c>
      <c r="U11" s="36">
        <v>3.9733983499002784E-2</v>
      </c>
    </row>
    <row r="13" spans="1:21" ht="13.5" thickBot="1"/>
    <row r="14" spans="1:21" ht="13.5" thickBot="1">
      <c r="A14" s="45" t="str">
        <f>Scenarios!C23</f>
        <v>Base Case</v>
      </c>
      <c r="B14" s="39" t="s">
        <v>1</v>
      </c>
      <c r="C14" s="40" t="s">
        <v>2</v>
      </c>
      <c r="D14" s="395" t="s">
        <v>3</v>
      </c>
      <c r="E14" s="396"/>
      <c r="F14" s="396"/>
      <c r="G14" s="396"/>
      <c r="H14" s="396"/>
      <c r="I14" s="396"/>
      <c r="J14" s="396"/>
      <c r="K14" s="397"/>
    </row>
    <row r="15" spans="1:21">
      <c r="A15" s="41" t="s">
        <v>4</v>
      </c>
      <c r="B15" s="46">
        <f>Scenarios!C24</f>
        <v>-3.2445168309994665E-3</v>
      </c>
      <c r="C15" s="42">
        <f>C4</f>
        <v>4.3571419993869868E-2</v>
      </c>
      <c r="D15" s="111">
        <f t="shared" ref="D15:K15" si="0">D4</f>
        <v>0.99999999999999989</v>
      </c>
      <c r="E15" s="112">
        <f t="shared" si="0"/>
        <v>0.53809608757973648</v>
      </c>
      <c r="F15" s="112">
        <f t="shared" si="0"/>
        <v>0.51691057431478837</v>
      </c>
      <c r="G15" s="112">
        <f t="shared" si="0"/>
        <v>0.26512268753745427</v>
      </c>
      <c r="H15" s="112">
        <f t="shared" si="0"/>
        <v>0.30633091260285272</v>
      </c>
      <c r="I15" s="112">
        <f t="shared" si="0"/>
        <v>0.25776542912961581</v>
      </c>
      <c r="J15" s="112">
        <f t="shared" si="0"/>
        <v>0.49880026622502738</v>
      </c>
      <c r="K15" s="113">
        <f t="shared" si="0"/>
        <v>0.40988870730079396</v>
      </c>
      <c r="L15" s="239" t="s">
        <v>120</v>
      </c>
    </row>
    <row r="16" spans="1:21">
      <c r="A16" s="41" t="s">
        <v>5</v>
      </c>
      <c r="B16" s="46">
        <f>Scenarios!C25</f>
        <v>1.4996171000904845E-2</v>
      </c>
      <c r="C16" s="42">
        <f t="shared" ref="C16:K16" si="1">C5</f>
        <v>0.15810707611932825</v>
      </c>
      <c r="D16" s="111">
        <f t="shared" si="1"/>
        <v>0.53809608757973648</v>
      </c>
      <c r="E16" s="112">
        <f t="shared" si="1"/>
        <v>1.0000000000000002</v>
      </c>
      <c r="F16" s="112">
        <f t="shared" si="1"/>
        <v>0.94177115286639357</v>
      </c>
      <c r="G16" s="112">
        <f t="shared" si="1"/>
        <v>0.73614790661359208</v>
      </c>
      <c r="H16" s="112">
        <f t="shared" si="1"/>
        <v>0.74216818464687206</v>
      </c>
      <c r="I16" s="112">
        <f t="shared" si="1"/>
        <v>0.6048417122454024</v>
      </c>
      <c r="J16" s="112">
        <f t="shared" si="1"/>
        <v>0.86164575178315306</v>
      </c>
      <c r="K16" s="113">
        <f t="shared" si="1"/>
        <v>0.86125970507824035</v>
      </c>
    </row>
    <row r="17" spans="1:12">
      <c r="A17" s="41" t="s">
        <v>6</v>
      </c>
      <c r="B17" s="46">
        <f>Scenarios!C26</f>
        <v>3.3632152529915554E-2</v>
      </c>
      <c r="C17" s="42">
        <f t="shared" ref="C17:K17" si="2">C6</f>
        <v>0.16193319430872868</v>
      </c>
      <c r="D17" s="111">
        <f t="shared" si="2"/>
        <v>0.51691057431478837</v>
      </c>
      <c r="E17" s="112">
        <f t="shared" si="2"/>
        <v>0.94177115286639357</v>
      </c>
      <c r="F17" s="112">
        <f t="shared" si="2"/>
        <v>1</v>
      </c>
      <c r="G17" s="112">
        <f t="shared" si="2"/>
        <v>0.7682232653061406</v>
      </c>
      <c r="H17" s="112">
        <f t="shared" si="2"/>
        <v>0.79170142390806597</v>
      </c>
      <c r="I17" s="112">
        <f t="shared" si="2"/>
        <v>0.62860572473116894</v>
      </c>
      <c r="J17" s="112">
        <f t="shared" si="2"/>
        <v>0.86583564760808152</v>
      </c>
      <c r="K17" s="113">
        <f t="shared" si="2"/>
        <v>0.86330366967843342</v>
      </c>
    </row>
    <row r="18" spans="1:12">
      <c r="A18" s="41" t="s">
        <v>7</v>
      </c>
      <c r="B18" s="46">
        <f>Scenarios!C27</f>
        <v>-1.8275706628265609E-2</v>
      </c>
      <c r="C18" s="42">
        <f t="shared" ref="C18:K18" si="3">C7</f>
        <v>0.28684488662827246</v>
      </c>
      <c r="D18" s="111">
        <f t="shared" si="3"/>
        <v>0.26512268753745388</v>
      </c>
      <c r="E18" s="112">
        <f t="shared" si="3"/>
        <v>0.7361479066135922</v>
      </c>
      <c r="F18" s="112">
        <f t="shared" si="3"/>
        <v>0.7682232653061406</v>
      </c>
      <c r="G18" s="112">
        <f t="shared" si="3"/>
        <v>1.0000000000000002</v>
      </c>
      <c r="H18" s="112">
        <f t="shared" si="3"/>
        <v>0.810869651798099</v>
      </c>
      <c r="I18" s="112">
        <f t="shared" si="3"/>
        <v>0.698944093128679</v>
      </c>
      <c r="J18" s="112">
        <f t="shared" si="3"/>
        <v>0.74165364419402413</v>
      </c>
      <c r="K18" s="113">
        <f t="shared" si="3"/>
        <v>0.88368691913192909</v>
      </c>
    </row>
    <row r="19" spans="1:12">
      <c r="A19" s="41" t="s">
        <v>8</v>
      </c>
      <c r="B19" s="46">
        <f>Scenarios!C28</f>
        <v>6.1274623073284545E-2</v>
      </c>
      <c r="C19" s="42">
        <f t="shared" ref="C19:K19" si="4">C8</f>
        <v>0.29497711980114533</v>
      </c>
      <c r="D19" s="111">
        <f t="shared" si="4"/>
        <v>0.30633091260285283</v>
      </c>
      <c r="E19" s="112">
        <f t="shared" si="4"/>
        <v>0.74216818464687206</v>
      </c>
      <c r="F19" s="112">
        <f t="shared" si="4"/>
        <v>0.79170142390806608</v>
      </c>
      <c r="G19" s="112">
        <f t="shared" si="4"/>
        <v>0.81086965179809911</v>
      </c>
      <c r="H19" s="112">
        <f t="shared" si="4"/>
        <v>0.99999999999999978</v>
      </c>
      <c r="I19" s="112">
        <f t="shared" si="4"/>
        <v>0.64038553303047341</v>
      </c>
      <c r="J19" s="112">
        <f t="shared" si="4"/>
        <v>0.64285674252709391</v>
      </c>
      <c r="K19" s="113">
        <f t="shared" si="4"/>
        <v>0.78565246061343619</v>
      </c>
    </row>
    <row r="20" spans="1:12">
      <c r="A20" s="41" t="s">
        <v>9</v>
      </c>
      <c r="B20" s="46">
        <f>Scenarios!C29</f>
        <v>7.9522702632630907E-2</v>
      </c>
      <c r="C20" s="42">
        <f t="shared" ref="C20:K20" si="5">C9</f>
        <v>0.32949402218690865</v>
      </c>
      <c r="D20" s="111">
        <f t="shared" si="5"/>
        <v>0.25776542912961575</v>
      </c>
      <c r="E20" s="112">
        <f t="shared" si="5"/>
        <v>0.60484171224540262</v>
      </c>
      <c r="F20" s="112">
        <f t="shared" si="5"/>
        <v>0.62860572473116916</v>
      </c>
      <c r="G20" s="112">
        <f t="shared" si="5"/>
        <v>0.698944093128679</v>
      </c>
      <c r="H20" s="112">
        <f t="shared" si="5"/>
        <v>0.64038553303047341</v>
      </c>
      <c r="I20" s="112">
        <f t="shared" si="5"/>
        <v>1.0000000000000002</v>
      </c>
      <c r="J20" s="112">
        <f t="shared" si="5"/>
        <v>0.56967702853737867</v>
      </c>
      <c r="K20" s="113">
        <f t="shared" si="5"/>
        <v>0.67129908624723933</v>
      </c>
    </row>
    <row r="21" spans="1:12">
      <c r="A21" s="41" t="s">
        <v>10</v>
      </c>
      <c r="B21" s="46">
        <f>Scenarios!C30</f>
        <v>1.7325408361865E-2</v>
      </c>
      <c r="C21" s="42">
        <f t="shared" ref="C21:K21" si="6">C10</f>
        <v>0.1608611248297202</v>
      </c>
      <c r="D21" s="111">
        <f t="shared" si="6"/>
        <v>0.49880026622502749</v>
      </c>
      <c r="E21" s="112">
        <f t="shared" si="6"/>
        <v>0.86164575178315295</v>
      </c>
      <c r="F21" s="112">
        <f t="shared" si="6"/>
        <v>0.86583564760808163</v>
      </c>
      <c r="G21" s="112">
        <f t="shared" si="6"/>
        <v>0.74165364419402413</v>
      </c>
      <c r="H21" s="112">
        <f t="shared" si="6"/>
        <v>0.64285674252709391</v>
      </c>
      <c r="I21" s="112">
        <f t="shared" si="6"/>
        <v>0.56967702853737878</v>
      </c>
      <c r="J21" s="112">
        <f t="shared" si="6"/>
        <v>0.99999999999999978</v>
      </c>
      <c r="K21" s="113">
        <f t="shared" si="6"/>
        <v>0.79252565178528167</v>
      </c>
    </row>
    <row r="22" spans="1:12" ht="13.5" thickBot="1">
      <c r="A22" s="43" t="s">
        <v>11</v>
      </c>
      <c r="B22" s="47">
        <f>Scenarios!C31</f>
        <v>-3.3454365202922019E-3</v>
      </c>
      <c r="C22" s="44">
        <f t="shared" ref="C22:K22" si="7">C11</f>
        <v>0.19933384935580506</v>
      </c>
      <c r="D22" s="114">
        <f t="shared" si="7"/>
        <v>0.40988870730079396</v>
      </c>
      <c r="E22" s="115">
        <f t="shared" si="7"/>
        <v>0.86125970507824035</v>
      </c>
      <c r="F22" s="115">
        <f t="shared" si="7"/>
        <v>0.86330366967843342</v>
      </c>
      <c r="G22" s="115">
        <f t="shared" si="7"/>
        <v>0.88368691913192909</v>
      </c>
      <c r="H22" s="115">
        <f t="shared" si="7"/>
        <v>0.78565246061343608</v>
      </c>
      <c r="I22" s="115">
        <f t="shared" si="7"/>
        <v>0.67129908624723922</v>
      </c>
      <c r="J22" s="115">
        <f t="shared" si="7"/>
        <v>0.79252565178528178</v>
      </c>
      <c r="K22" s="116">
        <f t="shared" si="7"/>
        <v>1</v>
      </c>
    </row>
    <row r="24" spans="1:12" ht="13.5" thickBot="1"/>
    <row r="25" spans="1:12" ht="13.5" thickBot="1">
      <c r="A25" s="45" t="str">
        <f>Scenarios!D23</f>
        <v>Base - muddle down</v>
      </c>
      <c r="B25" s="39" t="s">
        <v>1</v>
      </c>
      <c r="C25" s="40" t="s">
        <v>2</v>
      </c>
      <c r="D25" s="395" t="s">
        <v>3</v>
      </c>
      <c r="E25" s="396"/>
      <c r="F25" s="396"/>
      <c r="G25" s="396"/>
      <c r="H25" s="396"/>
      <c r="I25" s="396"/>
      <c r="J25" s="396"/>
      <c r="K25" s="397"/>
    </row>
    <row r="26" spans="1:12">
      <c r="A26" s="41" t="s">
        <v>4</v>
      </c>
      <c r="B26" s="46">
        <f>Scenarios!D24</f>
        <v>-1.0761362748873404E-3</v>
      </c>
      <c r="C26" s="243">
        <f>C4</f>
        <v>4.3571419993869868E-2</v>
      </c>
      <c r="D26" s="249">
        <f t="shared" ref="D26:K26" si="8">D4</f>
        <v>0.99999999999999989</v>
      </c>
      <c r="E26" s="250">
        <f t="shared" si="8"/>
        <v>0.53809608757973648</v>
      </c>
      <c r="F26" s="250">
        <f t="shared" si="8"/>
        <v>0.51691057431478837</v>
      </c>
      <c r="G26" s="250">
        <f t="shared" si="8"/>
        <v>0.26512268753745427</v>
      </c>
      <c r="H26" s="250">
        <f t="shared" si="8"/>
        <v>0.30633091260285272</v>
      </c>
      <c r="I26" s="250">
        <f t="shared" si="8"/>
        <v>0.25776542912961581</v>
      </c>
      <c r="J26" s="250">
        <f t="shared" si="8"/>
        <v>0.49880026622502738</v>
      </c>
      <c r="K26" s="251">
        <f t="shared" si="8"/>
        <v>0.40988870730079396</v>
      </c>
      <c r="L26" s="239" t="s">
        <v>120</v>
      </c>
    </row>
    <row r="27" spans="1:12">
      <c r="A27" s="41" t="s">
        <v>5</v>
      </c>
      <c r="B27" s="46">
        <f>Scenarios!D25</f>
        <v>-0.10270478546112452</v>
      </c>
      <c r="C27" s="243">
        <f t="shared" ref="C27:K27" si="9">C5</f>
        <v>0.15810707611932825</v>
      </c>
      <c r="D27" s="249">
        <f t="shared" si="9"/>
        <v>0.53809608757973648</v>
      </c>
      <c r="E27" s="250">
        <f t="shared" si="9"/>
        <v>1.0000000000000002</v>
      </c>
      <c r="F27" s="250">
        <f t="shared" si="9"/>
        <v>0.94177115286639357</v>
      </c>
      <c r="G27" s="250">
        <f t="shared" si="9"/>
        <v>0.73614790661359208</v>
      </c>
      <c r="H27" s="250">
        <f t="shared" si="9"/>
        <v>0.74216818464687206</v>
      </c>
      <c r="I27" s="250">
        <f t="shared" si="9"/>
        <v>0.6048417122454024</v>
      </c>
      <c r="J27" s="250">
        <f t="shared" si="9"/>
        <v>0.86164575178315306</v>
      </c>
      <c r="K27" s="251">
        <f t="shared" si="9"/>
        <v>0.86125970507824035</v>
      </c>
    </row>
    <row r="28" spans="1:12">
      <c r="A28" s="41" t="s">
        <v>6</v>
      </c>
      <c r="B28" s="46">
        <f>Scenarios!D26</f>
        <v>-5.1463733534465664E-2</v>
      </c>
      <c r="C28" s="243">
        <f t="shared" ref="C28:K28" si="10">C6</f>
        <v>0.16193319430872868</v>
      </c>
      <c r="D28" s="249">
        <f t="shared" si="10"/>
        <v>0.51691057431478837</v>
      </c>
      <c r="E28" s="250">
        <f t="shared" si="10"/>
        <v>0.94177115286639357</v>
      </c>
      <c r="F28" s="250">
        <f t="shared" si="10"/>
        <v>1</v>
      </c>
      <c r="G28" s="250">
        <f t="shared" si="10"/>
        <v>0.7682232653061406</v>
      </c>
      <c r="H28" s="250">
        <f t="shared" si="10"/>
        <v>0.79170142390806597</v>
      </c>
      <c r="I28" s="250">
        <f t="shared" si="10"/>
        <v>0.62860572473116894</v>
      </c>
      <c r="J28" s="250">
        <f t="shared" si="10"/>
        <v>0.86583564760808152</v>
      </c>
      <c r="K28" s="251">
        <f t="shared" si="10"/>
        <v>0.86330366967843342</v>
      </c>
    </row>
    <row r="29" spans="1:12">
      <c r="A29" s="41" t="s">
        <v>7</v>
      </c>
      <c r="B29" s="46">
        <f>Scenarios!D27</f>
        <v>-0.20763301199738962</v>
      </c>
      <c r="C29" s="243">
        <f t="shared" ref="C29:K29" si="11">C7</f>
        <v>0.28684488662827246</v>
      </c>
      <c r="D29" s="249">
        <f t="shared" si="11"/>
        <v>0.26512268753745388</v>
      </c>
      <c r="E29" s="250">
        <f t="shared" si="11"/>
        <v>0.7361479066135922</v>
      </c>
      <c r="F29" s="250">
        <f t="shared" si="11"/>
        <v>0.7682232653061406</v>
      </c>
      <c r="G29" s="250">
        <f t="shared" si="11"/>
        <v>1.0000000000000002</v>
      </c>
      <c r="H29" s="250">
        <f t="shared" si="11"/>
        <v>0.810869651798099</v>
      </c>
      <c r="I29" s="250">
        <f t="shared" si="11"/>
        <v>0.698944093128679</v>
      </c>
      <c r="J29" s="250">
        <f t="shared" si="11"/>
        <v>0.74165364419402413</v>
      </c>
      <c r="K29" s="251">
        <f t="shared" si="11"/>
        <v>0.88368691913192909</v>
      </c>
    </row>
    <row r="30" spans="1:12">
      <c r="A30" s="41" t="s">
        <v>8</v>
      </c>
      <c r="B30" s="46">
        <f>Scenarios!D28</f>
        <v>-6.0480183929069335E-2</v>
      </c>
      <c r="C30" s="243">
        <f t="shared" ref="C30:K30" si="12">C8</f>
        <v>0.29497711980114533</v>
      </c>
      <c r="D30" s="249">
        <f t="shared" si="12"/>
        <v>0.30633091260285283</v>
      </c>
      <c r="E30" s="250">
        <f t="shared" si="12"/>
        <v>0.74216818464687206</v>
      </c>
      <c r="F30" s="250">
        <f t="shared" si="12"/>
        <v>0.79170142390806608</v>
      </c>
      <c r="G30" s="250">
        <f t="shared" si="12"/>
        <v>0.81086965179809911</v>
      </c>
      <c r="H30" s="250">
        <f t="shared" si="12"/>
        <v>0.99999999999999978</v>
      </c>
      <c r="I30" s="250">
        <f t="shared" si="12"/>
        <v>0.64038553303047341</v>
      </c>
      <c r="J30" s="250">
        <f t="shared" si="12"/>
        <v>0.64285674252709391</v>
      </c>
      <c r="K30" s="251">
        <f t="shared" si="12"/>
        <v>0.78565246061343619</v>
      </c>
    </row>
    <row r="31" spans="1:12">
      <c r="A31" s="41" t="s">
        <v>9</v>
      </c>
      <c r="B31" s="46">
        <f>Scenarios!D29</f>
        <v>1.2962263249297473E-2</v>
      </c>
      <c r="C31" s="243">
        <f t="shared" ref="C31:K31" si="13">C9</f>
        <v>0.32949402218690865</v>
      </c>
      <c r="D31" s="249">
        <f t="shared" si="13"/>
        <v>0.25776542912961575</v>
      </c>
      <c r="E31" s="250">
        <f t="shared" si="13"/>
        <v>0.60484171224540262</v>
      </c>
      <c r="F31" s="250">
        <f t="shared" si="13"/>
        <v>0.62860572473116916</v>
      </c>
      <c r="G31" s="250">
        <f t="shared" si="13"/>
        <v>0.698944093128679</v>
      </c>
      <c r="H31" s="250">
        <f t="shared" si="13"/>
        <v>0.64038553303047341</v>
      </c>
      <c r="I31" s="250">
        <f t="shared" si="13"/>
        <v>1.0000000000000002</v>
      </c>
      <c r="J31" s="250">
        <f t="shared" si="13"/>
        <v>0.56967702853737867</v>
      </c>
      <c r="K31" s="251">
        <f t="shared" si="13"/>
        <v>0.67129908624723933</v>
      </c>
    </row>
    <row r="32" spans="1:12">
      <c r="A32" s="41" t="s">
        <v>10</v>
      </c>
      <c r="B32" s="46">
        <f>Scenarios!D30</f>
        <v>-4.6787554334441012E-2</v>
      </c>
      <c r="C32" s="243">
        <f t="shared" ref="C32:K32" si="14">C10</f>
        <v>0.1608611248297202</v>
      </c>
      <c r="D32" s="249">
        <f t="shared" si="14"/>
        <v>0.49880026622502749</v>
      </c>
      <c r="E32" s="250">
        <f t="shared" si="14"/>
        <v>0.86164575178315295</v>
      </c>
      <c r="F32" s="250">
        <f t="shared" si="14"/>
        <v>0.86583564760808163</v>
      </c>
      <c r="G32" s="250">
        <f t="shared" si="14"/>
        <v>0.74165364419402413</v>
      </c>
      <c r="H32" s="250">
        <f t="shared" si="14"/>
        <v>0.64285674252709391</v>
      </c>
      <c r="I32" s="250">
        <f t="shared" si="14"/>
        <v>0.56967702853737878</v>
      </c>
      <c r="J32" s="250">
        <f t="shared" si="14"/>
        <v>0.99999999999999978</v>
      </c>
      <c r="K32" s="251">
        <f t="shared" si="14"/>
        <v>0.79252565178528167</v>
      </c>
    </row>
    <row r="33" spans="1:12" ht="13.5" thickBot="1">
      <c r="A33" s="43" t="s">
        <v>11</v>
      </c>
      <c r="B33" s="47">
        <f>Scenarios!D31</f>
        <v>-8.4519819517757569E-2</v>
      </c>
      <c r="C33" s="246">
        <f t="shared" ref="C33:K33" si="15">C11</f>
        <v>0.19933384935580506</v>
      </c>
      <c r="D33" s="252">
        <f t="shared" si="15"/>
        <v>0.40988870730079396</v>
      </c>
      <c r="E33" s="253">
        <f t="shared" si="15"/>
        <v>0.86125970507824035</v>
      </c>
      <c r="F33" s="253">
        <f t="shared" si="15"/>
        <v>0.86330366967843342</v>
      </c>
      <c r="G33" s="253">
        <f t="shared" si="15"/>
        <v>0.88368691913192909</v>
      </c>
      <c r="H33" s="253">
        <f t="shared" si="15"/>
        <v>0.78565246061343608</v>
      </c>
      <c r="I33" s="253">
        <f t="shared" si="15"/>
        <v>0.67129908624723922</v>
      </c>
      <c r="J33" s="253">
        <f t="shared" si="15"/>
        <v>0.79252565178528178</v>
      </c>
      <c r="K33" s="254">
        <f t="shared" si="15"/>
        <v>1</v>
      </c>
    </row>
    <row r="35" spans="1:12" ht="13.5" thickBot="1"/>
    <row r="36" spans="1:12" ht="13.5" thickBot="1">
      <c r="A36" s="45" t="str">
        <f>Scenarios!E23</f>
        <v>Base - muddle up</v>
      </c>
      <c r="B36" s="39" t="s">
        <v>1</v>
      </c>
      <c r="C36" s="40" t="s">
        <v>2</v>
      </c>
      <c r="D36" s="395" t="s">
        <v>3</v>
      </c>
      <c r="E36" s="396"/>
      <c r="F36" s="396"/>
      <c r="G36" s="396"/>
      <c r="H36" s="396"/>
      <c r="I36" s="396"/>
      <c r="J36" s="396"/>
      <c r="K36" s="397"/>
    </row>
    <row r="37" spans="1:12">
      <c r="A37" s="41" t="s">
        <v>4</v>
      </c>
      <c r="B37" s="46">
        <f>Scenarios!E24</f>
        <v>-3.4179872754884488E-3</v>
      </c>
      <c r="C37" s="243">
        <f t="shared" ref="C37:K37" si="16">C15</f>
        <v>4.3571419993869868E-2</v>
      </c>
      <c r="D37" s="249">
        <f t="shared" si="16"/>
        <v>0.99999999999999989</v>
      </c>
      <c r="E37" s="250">
        <f t="shared" si="16"/>
        <v>0.53809608757973648</v>
      </c>
      <c r="F37" s="250">
        <f t="shared" si="16"/>
        <v>0.51691057431478837</v>
      </c>
      <c r="G37" s="250">
        <f t="shared" si="16"/>
        <v>0.26512268753745427</v>
      </c>
      <c r="H37" s="250">
        <f t="shared" si="16"/>
        <v>0.30633091260285272</v>
      </c>
      <c r="I37" s="250">
        <f t="shared" si="16"/>
        <v>0.25776542912961581</v>
      </c>
      <c r="J37" s="250">
        <f t="shared" si="16"/>
        <v>0.49880026622502738</v>
      </c>
      <c r="K37" s="251">
        <f t="shared" si="16"/>
        <v>0.40988870730079396</v>
      </c>
      <c r="L37" s="239" t="s">
        <v>120</v>
      </c>
    </row>
    <row r="38" spans="1:12">
      <c r="A38" s="41" t="s">
        <v>5</v>
      </c>
      <c r="B38" s="46">
        <f>Scenarios!E25</f>
        <v>3.7295220378336866E-2</v>
      </c>
      <c r="C38" s="243">
        <f t="shared" ref="C38:K38" si="17">C16</f>
        <v>0.15810707611932825</v>
      </c>
      <c r="D38" s="249">
        <f t="shared" si="17"/>
        <v>0.53809608757973648</v>
      </c>
      <c r="E38" s="250">
        <f t="shared" si="17"/>
        <v>1.0000000000000002</v>
      </c>
      <c r="F38" s="250">
        <f t="shared" si="17"/>
        <v>0.94177115286639357</v>
      </c>
      <c r="G38" s="250">
        <f t="shared" si="17"/>
        <v>0.73614790661359208</v>
      </c>
      <c r="H38" s="250">
        <f t="shared" si="17"/>
        <v>0.74216818464687206</v>
      </c>
      <c r="I38" s="250">
        <f t="shared" si="17"/>
        <v>0.6048417122454024</v>
      </c>
      <c r="J38" s="250">
        <f t="shared" si="17"/>
        <v>0.86164575178315306</v>
      </c>
      <c r="K38" s="251">
        <f t="shared" si="17"/>
        <v>0.86125970507824035</v>
      </c>
    </row>
    <row r="39" spans="1:12">
      <c r="A39" s="41" t="s">
        <v>6</v>
      </c>
      <c r="B39" s="46">
        <f>Scenarios!E26</f>
        <v>3.7955967038468326E-2</v>
      </c>
      <c r="C39" s="243">
        <f t="shared" ref="C39:K39" si="18">C17</f>
        <v>0.16193319430872868</v>
      </c>
      <c r="D39" s="249">
        <f t="shared" si="18"/>
        <v>0.51691057431478837</v>
      </c>
      <c r="E39" s="250">
        <f t="shared" si="18"/>
        <v>0.94177115286639357</v>
      </c>
      <c r="F39" s="250">
        <f t="shared" si="18"/>
        <v>1</v>
      </c>
      <c r="G39" s="250">
        <f t="shared" si="18"/>
        <v>0.7682232653061406</v>
      </c>
      <c r="H39" s="250">
        <f t="shared" si="18"/>
        <v>0.79170142390806597</v>
      </c>
      <c r="I39" s="250">
        <f t="shared" si="18"/>
        <v>0.62860572473116894</v>
      </c>
      <c r="J39" s="250">
        <f t="shared" si="18"/>
        <v>0.86583564760808152</v>
      </c>
      <c r="K39" s="251">
        <f t="shared" si="18"/>
        <v>0.86330366967843342</v>
      </c>
    </row>
    <row r="40" spans="1:12">
      <c r="A40" s="41" t="s">
        <v>7</v>
      </c>
      <c r="B40" s="46">
        <f>Scenarios!E27</f>
        <v>4.4157772609314798E-2</v>
      </c>
      <c r="C40" s="243">
        <f t="shared" ref="C40:K40" si="19">C18</f>
        <v>0.28684488662827246</v>
      </c>
      <c r="D40" s="249">
        <f t="shared" si="19"/>
        <v>0.26512268753745388</v>
      </c>
      <c r="E40" s="250">
        <f t="shared" si="19"/>
        <v>0.7361479066135922</v>
      </c>
      <c r="F40" s="250">
        <f t="shared" si="19"/>
        <v>0.7682232653061406</v>
      </c>
      <c r="G40" s="250">
        <f t="shared" si="19"/>
        <v>1.0000000000000002</v>
      </c>
      <c r="H40" s="250">
        <f t="shared" si="19"/>
        <v>0.810869651798099</v>
      </c>
      <c r="I40" s="250">
        <f t="shared" si="19"/>
        <v>0.698944093128679</v>
      </c>
      <c r="J40" s="250">
        <f t="shared" si="19"/>
        <v>0.74165364419402413</v>
      </c>
      <c r="K40" s="251">
        <f t="shared" si="19"/>
        <v>0.88368691913192909</v>
      </c>
    </row>
    <row r="41" spans="1:12">
      <c r="A41" s="41" t="s">
        <v>8</v>
      </c>
      <c r="B41" s="46">
        <f>Scenarios!E28</f>
        <v>7.5058724753415462E-2</v>
      </c>
      <c r="C41" s="243">
        <f t="shared" ref="C41:K41" si="20">C19</f>
        <v>0.29497711980114533</v>
      </c>
      <c r="D41" s="249">
        <f t="shared" si="20"/>
        <v>0.30633091260285283</v>
      </c>
      <c r="E41" s="250">
        <f t="shared" si="20"/>
        <v>0.74216818464687206</v>
      </c>
      <c r="F41" s="250">
        <f t="shared" si="20"/>
        <v>0.79170142390806608</v>
      </c>
      <c r="G41" s="250">
        <f t="shared" si="20"/>
        <v>0.81086965179809911</v>
      </c>
      <c r="H41" s="250">
        <f t="shared" si="20"/>
        <v>0.99999999999999978</v>
      </c>
      <c r="I41" s="250">
        <f t="shared" si="20"/>
        <v>0.64038553303047341</v>
      </c>
      <c r="J41" s="250">
        <f t="shared" si="20"/>
        <v>0.64285674252709391</v>
      </c>
      <c r="K41" s="251">
        <f t="shared" si="20"/>
        <v>0.78565246061343619</v>
      </c>
    </row>
    <row r="42" spans="1:12">
      <c r="A42" s="41" t="s">
        <v>9</v>
      </c>
      <c r="B42" s="46">
        <f>Scenarios!E29</f>
        <v>8.6184790509297532E-2</v>
      </c>
      <c r="C42" s="243">
        <f t="shared" ref="C42:K42" si="21">C20</f>
        <v>0.32949402218690865</v>
      </c>
      <c r="D42" s="249">
        <f t="shared" si="21"/>
        <v>0.25776542912961575</v>
      </c>
      <c r="E42" s="250">
        <f t="shared" si="21"/>
        <v>0.60484171224540262</v>
      </c>
      <c r="F42" s="250">
        <f t="shared" si="21"/>
        <v>0.62860572473116916</v>
      </c>
      <c r="G42" s="250">
        <f t="shared" si="21"/>
        <v>0.698944093128679</v>
      </c>
      <c r="H42" s="250">
        <f t="shared" si="21"/>
        <v>0.64038553303047341</v>
      </c>
      <c r="I42" s="250">
        <f t="shared" si="21"/>
        <v>1.0000000000000002</v>
      </c>
      <c r="J42" s="250">
        <f t="shared" si="21"/>
        <v>0.56967702853737867</v>
      </c>
      <c r="K42" s="251">
        <f t="shared" si="21"/>
        <v>0.67129908624723933</v>
      </c>
    </row>
    <row r="43" spans="1:12">
      <c r="A43" s="41" t="s">
        <v>10</v>
      </c>
      <c r="B43" s="46">
        <f>Scenarios!E30</f>
        <v>1.6536412714843449E-2</v>
      </c>
      <c r="C43" s="243">
        <f t="shared" ref="C43:K43" si="22">C21</f>
        <v>0.1608611248297202</v>
      </c>
      <c r="D43" s="249">
        <f t="shared" si="22"/>
        <v>0.49880026622502749</v>
      </c>
      <c r="E43" s="250">
        <f t="shared" si="22"/>
        <v>0.86164575178315295</v>
      </c>
      <c r="F43" s="250">
        <f t="shared" si="22"/>
        <v>0.86583564760808163</v>
      </c>
      <c r="G43" s="250">
        <f t="shared" si="22"/>
        <v>0.74165364419402413</v>
      </c>
      <c r="H43" s="250">
        <f t="shared" si="22"/>
        <v>0.64285674252709391</v>
      </c>
      <c r="I43" s="250">
        <f t="shared" si="22"/>
        <v>0.56967702853737878</v>
      </c>
      <c r="J43" s="250">
        <f t="shared" si="22"/>
        <v>0.99999999999999978</v>
      </c>
      <c r="K43" s="251">
        <f t="shared" si="22"/>
        <v>0.79252565178528167</v>
      </c>
    </row>
    <row r="44" spans="1:12" ht="13.5" thickBot="1">
      <c r="A44" s="43" t="s">
        <v>11</v>
      </c>
      <c r="B44" s="47">
        <f>Scenarios!E31</f>
        <v>3.2797465910270177E-2</v>
      </c>
      <c r="C44" s="246">
        <f t="shared" ref="C44:K44" si="23">C22</f>
        <v>0.19933384935580506</v>
      </c>
      <c r="D44" s="252">
        <f t="shared" si="23"/>
        <v>0.40988870730079396</v>
      </c>
      <c r="E44" s="253">
        <f t="shared" si="23"/>
        <v>0.86125970507824035</v>
      </c>
      <c r="F44" s="253">
        <f t="shared" si="23"/>
        <v>0.86330366967843342</v>
      </c>
      <c r="G44" s="253">
        <f t="shared" si="23"/>
        <v>0.88368691913192909</v>
      </c>
      <c r="H44" s="253">
        <f t="shared" si="23"/>
        <v>0.78565246061343608</v>
      </c>
      <c r="I44" s="253">
        <f t="shared" si="23"/>
        <v>0.67129908624723922</v>
      </c>
      <c r="J44" s="253">
        <f t="shared" si="23"/>
        <v>0.79252565178528178</v>
      </c>
      <c r="K44" s="254">
        <f t="shared" si="23"/>
        <v>1</v>
      </c>
    </row>
    <row r="46" spans="1:12" ht="13.5" thickBot="1"/>
    <row r="47" spans="1:12" ht="13.5" thickBot="1">
      <c r="A47" s="45" t="str">
        <f>Scenarios!F23</f>
        <v>Bear case</v>
      </c>
      <c r="B47" s="39" t="s">
        <v>1</v>
      </c>
      <c r="C47" s="232" t="s">
        <v>2</v>
      </c>
      <c r="D47" s="398" t="s">
        <v>3</v>
      </c>
      <c r="E47" s="399"/>
      <c r="F47" s="399"/>
      <c r="G47" s="399"/>
      <c r="H47" s="399"/>
      <c r="I47" s="399"/>
      <c r="J47" s="399"/>
      <c r="K47" s="400"/>
    </row>
    <row r="48" spans="1:12">
      <c r="A48" s="41" t="s">
        <v>4</v>
      </c>
      <c r="B48" s="230">
        <f>Scenarios!F24</f>
        <v>-2.5720358328627513E-2</v>
      </c>
      <c r="C48" s="233">
        <v>6.2230972955435157E-2</v>
      </c>
      <c r="D48" s="281">
        <v>1</v>
      </c>
      <c r="E48" s="282">
        <v>0.47102969549764873</v>
      </c>
      <c r="F48" s="282">
        <v>0.44102598120003672</v>
      </c>
      <c r="G48" s="282">
        <v>0.1916139221868596</v>
      </c>
      <c r="H48" s="282">
        <v>0.24756676138433611</v>
      </c>
      <c r="I48" s="282">
        <v>0.1747091736012199</v>
      </c>
      <c r="J48" s="282">
        <v>0.43690863222333309</v>
      </c>
      <c r="K48" s="283">
        <v>0.33880552794512614</v>
      </c>
      <c r="L48" s="36" t="s">
        <v>125</v>
      </c>
    </row>
    <row r="49" spans="1:13">
      <c r="A49" s="41" t="s">
        <v>5</v>
      </c>
      <c r="B49" s="230">
        <f>Scenarios!F25</f>
        <v>-0.43424993966436087</v>
      </c>
      <c r="C49" s="229">
        <v>0.22813368702469963</v>
      </c>
      <c r="D49" s="275">
        <v>0.47102969549764873</v>
      </c>
      <c r="E49" s="276">
        <v>1.0000000000000002</v>
      </c>
      <c r="F49" s="276">
        <v>0.93822360415104178</v>
      </c>
      <c r="G49" s="276">
        <v>0.75326025420376108</v>
      </c>
      <c r="H49" s="276">
        <v>0.73352486795767102</v>
      </c>
      <c r="I49" s="276">
        <v>0.63359529390296199</v>
      </c>
      <c r="J49" s="276">
        <v>0.87098619109423425</v>
      </c>
      <c r="K49" s="277">
        <v>0.87135999187444568</v>
      </c>
    </row>
    <row r="50" spans="1:13">
      <c r="A50" s="41" t="s">
        <v>6</v>
      </c>
      <c r="B50" s="230">
        <f>Scenarios!F26</f>
        <v>-0.52495132978596959</v>
      </c>
      <c r="C50" s="229">
        <v>0.23612462727275424</v>
      </c>
      <c r="D50" s="275">
        <v>0.44102598120003672</v>
      </c>
      <c r="E50" s="276">
        <v>0.93822360415104189</v>
      </c>
      <c r="F50" s="276">
        <v>1.0000000000000002</v>
      </c>
      <c r="G50" s="276">
        <v>0.79963015318153241</v>
      </c>
      <c r="H50" s="276">
        <v>0.78704984484445428</v>
      </c>
      <c r="I50" s="276">
        <v>0.6705837763066671</v>
      </c>
      <c r="J50" s="276">
        <v>0.87302411710056305</v>
      </c>
      <c r="K50" s="277">
        <v>0.89106747178031864</v>
      </c>
    </row>
    <row r="51" spans="1:13">
      <c r="A51" s="41" t="s">
        <v>7</v>
      </c>
      <c r="B51" s="230">
        <f>Scenarios!F27</f>
        <v>-0.60718802956862361</v>
      </c>
      <c r="C51" s="229">
        <v>0.41877013863949536</v>
      </c>
      <c r="D51" s="275">
        <v>0.19161392218685974</v>
      </c>
      <c r="E51" s="276">
        <v>0.75326025420376086</v>
      </c>
      <c r="F51" s="276">
        <v>0.79963015318153241</v>
      </c>
      <c r="G51" s="276">
        <v>1</v>
      </c>
      <c r="H51" s="276">
        <v>0.80812183743359234</v>
      </c>
      <c r="I51" s="276">
        <v>0.70238919189824067</v>
      </c>
      <c r="J51" s="276">
        <v>0.80604385760605091</v>
      </c>
      <c r="K51" s="277">
        <v>0.88086813992686197</v>
      </c>
    </row>
    <row r="52" spans="1:13">
      <c r="A52" s="41" t="s">
        <v>8</v>
      </c>
      <c r="B52" s="230">
        <f>Scenarios!F28</f>
        <v>-0.41926220845987938</v>
      </c>
      <c r="C52" s="229">
        <v>0.43715930361035565</v>
      </c>
      <c r="D52" s="275">
        <v>0.24756676138433592</v>
      </c>
      <c r="E52" s="276">
        <v>0.73352486795767102</v>
      </c>
      <c r="F52" s="276">
        <v>0.78704984484445417</v>
      </c>
      <c r="G52" s="276">
        <v>0.80812183743359234</v>
      </c>
      <c r="H52" s="276">
        <v>1</v>
      </c>
      <c r="I52" s="276">
        <v>0.6227307997578343</v>
      </c>
      <c r="J52" s="276">
        <v>0.64969582874157039</v>
      </c>
      <c r="K52" s="277">
        <v>0.77520880186806285</v>
      </c>
    </row>
    <row r="53" spans="1:13">
      <c r="A53" s="41" t="s">
        <v>9</v>
      </c>
      <c r="B53" s="230">
        <f>Scenarios!F29</f>
        <v>-0.52034739633736904</v>
      </c>
      <c r="C53" s="229">
        <v>0.49612218939856001</v>
      </c>
      <c r="D53" s="275">
        <v>0.17470917360121993</v>
      </c>
      <c r="E53" s="276">
        <v>0.63359529390296199</v>
      </c>
      <c r="F53" s="276">
        <v>0.67058377630666699</v>
      </c>
      <c r="G53" s="276">
        <v>0.70238919189824078</v>
      </c>
      <c r="H53" s="276">
        <v>0.6227307997578343</v>
      </c>
      <c r="I53" s="276">
        <v>0.99999999999999989</v>
      </c>
      <c r="J53" s="276">
        <v>0.64379087144854052</v>
      </c>
      <c r="K53" s="277">
        <v>0.65952840986787564</v>
      </c>
    </row>
    <row r="54" spans="1:13">
      <c r="A54" s="41" t="s">
        <v>10</v>
      </c>
      <c r="B54" s="230">
        <f>Scenarios!F30</f>
        <v>-0.25573516705477994</v>
      </c>
      <c r="C54" s="229">
        <v>0.22513334484340575</v>
      </c>
      <c r="D54" s="275">
        <v>0.43690863222333315</v>
      </c>
      <c r="E54" s="276">
        <v>0.87098619109423403</v>
      </c>
      <c r="F54" s="276">
        <v>0.87302411710056305</v>
      </c>
      <c r="G54" s="276">
        <v>0.80604385760605068</v>
      </c>
      <c r="H54" s="276">
        <v>0.6496958287415705</v>
      </c>
      <c r="I54" s="276">
        <v>0.64379087144854041</v>
      </c>
      <c r="J54" s="276">
        <v>1.0000000000000002</v>
      </c>
      <c r="K54" s="277">
        <v>0.86491136423250092</v>
      </c>
    </row>
    <row r="55" spans="1:13" ht="13.5" thickBot="1">
      <c r="A55" s="43" t="s">
        <v>11</v>
      </c>
      <c r="B55" s="231">
        <f>Scenarios!F31</f>
        <v>-0.33580172019430399</v>
      </c>
      <c r="C55" s="234">
        <v>0.28443486592153544</v>
      </c>
      <c r="D55" s="278">
        <v>0.33880552794512614</v>
      </c>
      <c r="E55" s="279">
        <v>0.87135999187444568</v>
      </c>
      <c r="F55" s="279">
        <v>0.89106747178031853</v>
      </c>
      <c r="G55" s="279">
        <v>0.88086813992686197</v>
      </c>
      <c r="H55" s="279">
        <v>0.77520880186806285</v>
      </c>
      <c r="I55" s="279">
        <v>0.65952840986787553</v>
      </c>
      <c r="J55" s="279">
        <v>0.86491136423250081</v>
      </c>
      <c r="K55" s="280">
        <v>1</v>
      </c>
    </row>
    <row r="56" spans="1:13">
      <c r="A56" s="207"/>
      <c r="B56" s="208"/>
      <c r="C56" s="209"/>
      <c r="D56" s="112"/>
      <c r="E56" s="112"/>
      <c r="F56" s="112"/>
      <c r="G56" s="112"/>
      <c r="H56" s="112"/>
      <c r="I56" s="112"/>
      <c r="J56" s="112"/>
      <c r="K56" s="112"/>
    </row>
    <row r="57" spans="1:13" ht="13.5" thickBot="1"/>
    <row r="58" spans="1:13" ht="13.5" thickBot="1">
      <c r="A58" s="45" t="str">
        <f>Scenarios!G23</f>
        <v>Tail risk</v>
      </c>
      <c r="B58" s="39" t="s">
        <v>1</v>
      </c>
      <c r="C58" s="204" t="s">
        <v>2</v>
      </c>
      <c r="D58" s="395" t="s">
        <v>3</v>
      </c>
      <c r="E58" s="396"/>
      <c r="F58" s="396"/>
      <c r="G58" s="396"/>
      <c r="H58" s="396"/>
      <c r="I58" s="396"/>
      <c r="J58" s="396"/>
      <c r="K58" s="397"/>
      <c r="M58" s="78"/>
    </row>
    <row r="59" spans="1:13">
      <c r="A59" s="41" t="s">
        <v>4</v>
      </c>
      <c r="B59" s="46">
        <f>Scenarios!G24</f>
        <v>-0.26287574291051119</v>
      </c>
      <c r="C59" s="229">
        <v>9.0618112702252188E-2</v>
      </c>
      <c r="D59" s="275">
        <v>1</v>
      </c>
      <c r="E59" s="276">
        <v>0.57085300818064821</v>
      </c>
      <c r="F59" s="276">
        <v>0.51590317152054344</v>
      </c>
      <c r="G59" s="276">
        <v>0.22543235061374906</v>
      </c>
      <c r="H59" s="276">
        <v>0.30482733339870521</v>
      </c>
      <c r="I59" s="276">
        <v>0.1877131252242237</v>
      </c>
      <c r="J59" s="276">
        <v>0.56475392912687616</v>
      </c>
      <c r="K59" s="277">
        <v>0.42620353457974319</v>
      </c>
      <c r="L59" s="36" t="s">
        <v>121</v>
      </c>
      <c r="M59" s="78"/>
    </row>
    <row r="60" spans="1:13">
      <c r="A60" s="41" t="s">
        <v>5</v>
      </c>
      <c r="B60" s="46">
        <f>Scenarios!G25</f>
        <v>-0.41153220498436088</v>
      </c>
      <c r="C60" s="229">
        <v>0.31486528648887419</v>
      </c>
      <c r="D60" s="275">
        <v>0.57085300818064832</v>
      </c>
      <c r="E60" s="276">
        <v>0.99999999999999978</v>
      </c>
      <c r="F60" s="276">
        <v>0.92670220027648009</v>
      </c>
      <c r="G60" s="276">
        <v>0.70556983049672706</v>
      </c>
      <c r="H60" s="276">
        <v>0.73729250351193587</v>
      </c>
      <c r="I60" s="276">
        <v>0.60792613623167058</v>
      </c>
      <c r="J60" s="276">
        <v>0.86315016289079405</v>
      </c>
      <c r="K60" s="277">
        <v>0.86742743262167787</v>
      </c>
      <c r="M60" s="78"/>
    </row>
    <row r="61" spans="1:13">
      <c r="A61" s="41" t="s">
        <v>6</v>
      </c>
      <c r="B61" s="46">
        <f>Scenarios!G26</f>
        <v>-0.34991079217679127</v>
      </c>
      <c r="C61" s="229">
        <v>0.33563157880530137</v>
      </c>
      <c r="D61" s="275">
        <v>0.51590317152054366</v>
      </c>
      <c r="E61" s="276">
        <v>0.92670220027648009</v>
      </c>
      <c r="F61" s="276">
        <v>0.99999999999999989</v>
      </c>
      <c r="G61" s="276">
        <v>0.77735373318815371</v>
      </c>
      <c r="H61" s="276">
        <v>0.80713427036091268</v>
      </c>
      <c r="I61" s="276">
        <v>0.67030879727576365</v>
      </c>
      <c r="J61" s="276">
        <v>0.8684724670306897</v>
      </c>
      <c r="K61" s="277">
        <v>0.8890877543808684</v>
      </c>
      <c r="M61" s="78"/>
    </row>
    <row r="62" spans="1:13">
      <c r="A62" s="41" t="s">
        <v>7</v>
      </c>
      <c r="B62" s="46">
        <f>Scenarios!G27</f>
        <v>-0.47851488198333225</v>
      </c>
      <c r="C62" s="229">
        <v>0.58057822101166678</v>
      </c>
      <c r="D62" s="275">
        <v>0.22543235061374906</v>
      </c>
      <c r="E62" s="276">
        <v>0.70556983049672706</v>
      </c>
      <c r="F62" s="276">
        <v>0.77735373318815371</v>
      </c>
      <c r="G62" s="276">
        <v>1.0000000000000002</v>
      </c>
      <c r="H62" s="276">
        <v>0.82379140885718805</v>
      </c>
      <c r="I62" s="276">
        <v>0.71491859487248288</v>
      </c>
      <c r="J62" s="276">
        <v>0.7945256498620229</v>
      </c>
      <c r="K62" s="277">
        <v>0.86375669090984664</v>
      </c>
      <c r="M62" s="78"/>
    </row>
    <row r="63" spans="1:13">
      <c r="A63" s="41" t="s">
        <v>8</v>
      </c>
      <c r="B63" s="46">
        <f>Scenarios!G28</f>
        <v>-0.25917386489837912</v>
      </c>
      <c r="C63" s="229">
        <v>0.63397873832777574</v>
      </c>
      <c r="D63" s="275">
        <v>0.30482733339870499</v>
      </c>
      <c r="E63" s="276">
        <v>0.73729250351193587</v>
      </c>
      <c r="F63" s="276">
        <v>0.80713427036091279</v>
      </c>
      <c r="G63" s="276">
        <v>0.82379140885718805</v>
      </c>
      <c r="H63" s="276">
        <v>1</v>
      </c>
      <c r="I63" s="276">
        <v>0.66043271027173578</v>
      </c>
      <c r="J63" s="276">
        <v>0.67907866736685552</v>
      </c>
      <c r="K63" s="277">
        <v>0.79157487896608858</v>
      </c>
      <c r="M63" s="78"/>
    </row>
    <row r="64" spans="1:13">
      <c r="A64" s="41" t="s">
        <v>9</v>
      </c>
      <c r="B64" s="46">
        <f>Scenarios!G29</f>
        <v>-0.53983753129736911</v>
      </c>
      <c r="C64" s="229">
        <v>0.67038386164030728</v>
      </c>
      <c r="D64" s="275">
        <v>0.18771312522422376</v>
      </c>
      <c r="E64" s="276">
        <v>0.60792613623167069</v>
      </c>
      <c r="F64" s="276">
        <v>0.67030879727576365</v>
      </c>
      <c r="G64" s="276">
        <v>0.71491859487248288</v>
      </c>
      <c r="H64" s="276">
        <v>0.66043271027173578</v>
      </c>
      <c r="I64" s="276">
        <v>1.0000000000000002</v>
      </c>
      <c r="J64" s="276">
        <v>0.64225367758188689</v>
      </c>
      <c r="K64" s="277">
        <v>0.67366535141540462</v>
      </c>
      <c r="M64" s="78"/>
    </row>
    <row r="65" spans="1:13">
      <c r="A65" s="41" t="s">
        <v>10</v>
      </c>
      <c r="B65" s="46">
        <f>Scenarios!G30</f>
        <v>-6.3153361120378204E-3</v>
      </c>
      <c r="C65" s="229">
        <v>0.29165630729321568</v>
      </c>
      <c r="D65" s="275">
        <v>0.56475392912687616</v>
      </c>
      <c r="E65" s="276">
        <v>0.86315016289079405</v>
      </c>
      <c r="F65" s="276">
        <v>0.86847246703068981</v>
      </c>
      <c r="G65" s="276">
        <v>0.7945256498620229</v>
      </c>
      <c r="H65" s="276">
        <v>0.67907866736685563</v>
      </c>
      <c r="I65" s="276">
        <v>0.64225367758188689</v>
      </c>
      <c r="J65" s="276">
        <v>1</v>
      </c>
      <c r="K65" s="277">
        <v>0.89194847086880591</v>
      </c>
      <c r="M65" s="78"/>
    </row>
    <row r="66" spans="1:13" ht="13.5" thickBot="1">
      <c r="A66" s="43" t="s">
        <v>11</v>
      </c>
      <c r="B66" s="47">
        <f>+Scenarios!G31</f>
        <v>-0.18031161563030054</v>
      </c>
      <c r="C66" s="234">
        <v>0.38188039832723164</v>
      </c>
      <c r="D66" s="278">
        <v>0.4262035345797428</v>
      </c>
      <c r="E66" s="279">
        <v>0.86742743262167776</v>
      </c>
      <c r="F66" s="279">
        <v>0.8890877543808684</v>
      </c>
      <c r="G66" s="279">
        <v>0.86375669090984664</v>
      </c>
      <c r="H66" s="279">
        <v>0.79157487896608847</v>
      </c>
      <c r="I66" s="279">
        <v>0.67366535141540462</v>
      </c>
      <c r="J66" s="279">
        <v>0.89194847086880591</v>
      </c>
      <c r="K66" s="280">
        <v>1</v>
      </c>
    </row>
    <row r="67" spans="1:13">
      <c r="A67" s="207"/>
      <c r="B67" s="208"/>
      <c r="C67" s="209"/>
      <c r="D67" s="112"/>
      <c r="E67" s="112"/>
      <c r="F67" s="112"/>
      <c r="G67" s="112"/>
      <c r="H67" s="112"/>
      <c r="I67" s="112"/>
      <c r="J67" s="112"/>
      <c r="K67" s="112"/>
    </row>
    <row r="68" spans="1:13" ht="13.5" thickBot="1">
      <c r="A68" s="78"/>
      <c r="B68" s="78"/>
      <c r="C68" s="78"/>
      <c r="D68" s="78"/>
      <c r="E68" s="78"/>
      <c r="F68" s="78"/>
      <c r="G68" s="78"/>
      <c r="H68" s="78"/>
      <c r="I68" s="78"/>
      <c r="J68" s="78"/>
      <c r="K68" s="78"/>
      <c r="M68" s="78"/>
    </row>
    <row r="69" spans="1:13" ht="13.5" thickBot="1">
      <c r="A69" s="45" t="str">
        <f>Scenarios!H23</f>
        <v>Bull case</v>
      </c>
      <c r="B69" s="39" t="s">
        <v>1</v>
      </c>
      <c r="C69" s="204" t="s">
        <v>2</v>
      </c>
      <c r="D69" s="395" t="s">
        <v>3</v>
      </c>
      <c r="E69" s="396"/>
      <c r="F69" s="396"/>
      <c r="G69" s="396"/>
      <c r="H69" s="396"/>
      <c r="I69" s="396"/>
      <c r="J69" s="396"/>
      <c r="K69" s="397"/>
      <c r="M69" s="78"/>
    </row>
    <row r="70" spans="1:13">
      <c r="A70" s="41" t="s">
        <v>4</v>
      </c>
      <c r="B70" s="46">
        <f>+Scenarios!H24</f>
        <v>-3.2441343963196256E-3</v>
      </c>
      <c r="C70" s="240">
        <f>C48</f>
        <v>6.2230972955435157E-2</v>
      </c>
      <c r="D70" s="241">
        <f t="shared" ref="D70:K70" si="24">D48</f>
        <v>1</v>
      </c>
      <c r="E70" s="241">
        <f t="shared" si="24"/>
        <v>0.47102969549764873</v>
      </c>
      <c r="F70" s="241">
        <f t="shared" si="24"/>
        <v>0.44102598120003672</v>
      </c>
      <c r="G70" s="241">
        <f t="shared" si="24"/>
        <v>0.1916139221868596</v>
      </c>
      <c r="H70" s="241">
        <f t="shared" si="24"/>
        <v>0.24756676138433611</v>
      </c>
      <c r="I70" s="241">
        <f t="shared" si="24"/>
        <v>0.1747091736012199</v>
      </c>
      <c r="J70" s="241">
        <f t="shared" si="24"/>
        <v>0.43690863222333309</v>
      </c>
      <c r="K70" s="242">
        <f t="shared" si="24"/>
        <v>0.33880552794512614</v>
      </c>
      <c r="L70" s="239" t="s">
        <v>122</v>
      </c>
    </row>
    <row r="71" spans="1:13">
      <c r="A71" s="41" t="s">
        <v>5</v>
      </c>
      <c r="B71" s="46">
        <f>+Scenarios!H25</f>
        <v>0.29819819149830579</v>
      </c>
      <c r="C71" s="243">
        <f t="shared" ref="C71:K71" si="25">C49</f>
        <v>0.22813368702469963</v>
      </c>
      <c r="D71" s="244">
        <f t="shared" si="25"/>
        <v>0.47102969549764873</v>
      </c>
      <c r="E71" s="244">
        <f t="shared" si="25"/>
        <v>1.0000000000000002</v>
      </c>
      <c r="F71" s="244">
        <f t="shared" si="25"/>
        <v>0.93822360415104178</v>
      </c>
      <c r="G71" s="244">
        <f t="shared" si="25"/>
        <v>0.75326025420376108</v>
      </c>
      <c r="H71" s="244">
        <f t="shared" si="25"/>
        <v>0.73352486795767102</v>
      </c>
      <c r="I71" s="244">
        <f t="shared" si="25"/>
        <v>0.63359529390296199</v>
      </c>
      <c r="J71" s="244">
        <f t="shared" si="25"/>
        <v>0.87098619109423425</v>
      </c>
      <c r="K71" s="245">
        <f t="shared" si="25"/>
        <v>0.87135999187444568</v>
      </c>
    </row>
    <row r="72" spans="1:13">
      <c r="A72" s="41" t="s">
        <v>6</v>
      </c>
      <c r="B72" s="46">
        <f>+Scenarios!H26</f>
        <v>0.24979690735679014</v>
      </c>
      <c r="C72" s="243">
        <f t="shared" ref="C72:K72" si="26">C50</f>
        <v>0.23612462727275424</v>
      </c>
      <c r="D72" s="244">
        <f t="shared" si="26"/>
        <v>0.44102598120003672</v>
      </c>
      <c r="E72" s="244">
        <f t="shared" si="26"/>
        <v>0.93822360415104189</v>
      </c>
      <c r="F72" s="244">
        <f t="shared" si="26"/>
        <v>1.0000000000000002</v>
      </c>
      <c r="G72" s="244">
        <f t="shared" si="26"/>
        <v>0.79963015318153241</v>
      </c>
      <c r="H72" s="244">
        <f t="shared" si="26"/>
        <v>0.78704984484445428</v>
      </c>
      <c r="I72" s="244">
        <f t="shared" si="26"/>
        <v>0.6705837763066671</v>
      </c>
      <c r="J72" s="244">
        <f t="shared" si="26"/>
        <v>0.87302411710056305</v>
      </c>
      <c r="K72" s="245">
        <f t="shared" si="26"/>
        <v>0.89106747178031864</v>
      </c>
    </row>
    <row r="73" spans="1:13">
      <c r="A73" s="41" t="s">
        <v>7</v>
      </c>
      <c r="B73" s="46">
        <f>+Scenarios!H27</f>
        <v>0.39131495295955132</v>
      </c>
      <c r="C73" s="243">
        <f t="shared" ref="C73:K73" si="27">C51</f>
        <v>0.41877013863949536</v>
      </c>
      <c r="D73" s="244">
        <f t="shared" si="27"/>
        <v>0.19161392218685974</v>
      </c>
      <c r="E73" s="244">
        <f t="shared" si="27"/>
        <v>0.75326025420376086</v>
      </c>
      <c r="F73" s="244">
        <f t="shared" si="27"/>
        <v>0.79963015318153241</v>
      </c>
      <c r="G73" s="244">
        <f t="shared" si="27"/>
        <v>1</v>
      </c>
      <c r="H73" s="244">
        <f t="shared" si="27"/>
        <v>0.80812183743359234</v>
      </c>
      <c r="I73" s="244">
        <f t="shared" si="27"/>
        <v>0.70238919189824067</v>
      </c>
      <c r="J73" s="244">
        <f t="shared" si="27"/>
        <v>0.80604385760605091</v>
      </c>
      <c r="K73" s="245">
        <f t="shared" si="27"/>
        <v>0.88086813992686197</v>
      </c>
    </row>
    <row r="74" spans="1:13">
      <c r="A74" s="41" t="s">
        <v>8</v>
      </c>
      <c r="B74" s="46">
        <f>+Scenarios!H28</f>
        <v>0.38663466689136228</v>
      </c>
      <c r="C74" s="243">
        <f t="shared" ref="C74:K74" si="28">C52</f>
        <v>0.43715930361035565</v>
      </c>
      <c r="D74" s="244">
        <f t="shared" si="28"/>
        <v>0.24756676138433592</v>
      </c>
      <c r="E74" s="244">
        <f t="shared" si="28"/>
        <v>0.73352486795767102</v>
      </c>
      <c r="F74" s="244">
        <f t="shared" si="28"/>
        <v>0.78704984484445417</v>
      </c>
      <c r="G74" s="244">
        <f t="shared" si="28"/>
        <v>0.80812183743359234</v>
      </c>
      <c r="H74" s="244">
        <f t="shared" si="28"/>
        <v>1</v>
      </c>
      <c r="I74" s="244">
        <f t="shared" si="28"/>
        <v>0.6227307997578343</v>
      </c>
      <c r="J74" s="244">
        <f t="shared" si="28"/>
        <v>0.64969582874157039</v>
      </c>
      <c r="K74" s="245">
        <f t="shared" si="28"/>
        <v>0.77520880186806285</v>
      </c>
    </row>
    <row r="75" spans="1:13">
      <c r="A75" s="41" t="s">
        <v>9</v>
      </c>
      <c r="B75" s="46">
        <f>+Scenarios!H29</f>
        <v>0.62225820003596433</v>
      </c>
      <c r="C75" s="243">
        <f t="shared" ref="C75:K75" si="29">C53</f>
        <v>0.49612218939856001</v>
      </c>
      <c r="D75" s="244">
        <f t="shared" si="29"/>
        <v>0.17470917360121993</v>
      </c>
      <c r="E75" s="244">
        <f t="shared" si="29"/>
        <v>0.63359529390296199</v>
      </c>
      <c r="F75" s="244">
        <f t="shared" si="29"/>
        <v>0.67058377630666699</v>
      </c>
      <c r="G75" s="244">
        <f t="shared" si="29"/>
        <v>0.70238919189824078</v>
      </c>
      <c r="H75" s="244">
        <f t="shared" si="29"/>
        <v>0.6227307997578343</v>
      </c>
      <c r="I75" s="244">
        <f t="shared" si="29"/>
        <v>0.99999999999999989</v>
      </c>
      <c r="J75" s="244">
        <f t="shared" si="29"/>
        <v>0.64379087144854052</v>
      </c>
      <c r="K75" s="245">
        <f t="shared" si="29"/>
        <v>0.65952840986787564</v>
      </c>
    </row>
    <row r="76" spans="1:13">
      <c r="A76" s="41" t="s">
        <v>10</v>
      </c>
      <c r="B76" s="46">
        <f>+Scenarios!H30</f>
        <v>0.28237563833203505</v>
      </c>
      <c r="C76" s="243">
        <f t="shared" ref="C76:K76" si="30">C54</f>
        <v>0.22513334484340575</v>
      </c>
      <c r="D76" s="244">
        <f t="shared" si="30"/>
        <v>0.43690863222333315</v>
      </c>
      <c r="E76" s="244">
        <f t="shared" si="30"/>
        <v>0.87098619109423403</v>
      </c>
      <c r="F76" s="244">
        <f t="shared" si="30"/>
        <v>0.87302411710056305</v>
      </c>
      <c r="G76" s="244">
        <f t="shared" si="30"/>
        <v>0.80604385760605068</v>
      </c>
      <c r="H76" s="244">
        <f t="shared" si="30"/>
        <v>0.6496958287415705</v>
      </c>
      <c r="I76" s="244">
        <f t="shared" si="30"/>
        <v>0.64379087144854041</v>
      </c>
      <c r="J76" s="244">
        <f t="shared" si="30"/>
        <v>1.0000000000000002</v>
      </c>
      <c r="K76" s="245">
        <f t="shared" si="30"/>
        <v>0.86491136423250092</v>
      </c>
    </row>
    <row r="77" spans="1:13" ht="13.5" thickBot="1">
      <c r="A77" s="43" t="s">
        <v>11</v>
      </c>
      <c r="B77" s="47">
        <f>+Scenarios!H31</f>
        <v>0.35335277777605689</v>
      </c>
      <c r="C77" s="246">
        <f t="shared" ref="C77:K77" si="31">C55</f>
        <v>0.28443486592153544</v>
      </c>
      <c r="D77" s="247">
        <f t="shared" si="31"/>
        <v>0.33880552794512614</v>
      </c>
      <c r="E77" s="247">
        <f t="shared" si="31"/>
        <v>0.87135999187444568</v>
      </c>
      <c r="F77" s="247">
        <f t="shared" si="31"/>
        <v>0.89106747178031853</v>
      </c>
      <c r="G77" s="247">
        <f t="shared" si="31"/>
        <v>0.88086813992686197</v>
      </c>
      <c r="H77" s="247">
        <f t="shared" si="31"/>
        <v>0.77520880186806285</v>
      </c>
      <c r="I77" s="247">
        <f t="shared" si="31"/>
        <v>0.65952840986787553</v>
      </c>
      <c r="J77" s="247">
        <f t="shared" si="31"/>
        <v>0.86491136423250081</v>
      </c>
      <c r="K77" s="248">
        <f t="shared" si="31"/>
        <v>1</v>
      </c>
    </row>
    <row r="78" spans="1:13">
      <c r="A78" s="78"/>
      <c r="B78" s="78"/>
      <c r="C78" s="78"/>
      <c r="D78" s="78"/>
      <c r="E78" s="78"/>
      <c r="F78" s="78"/>
      <c r="G78" s="78"/>
      <c r="H78" s="78"/>
      <c r="I78" s="78"/>
      <c r="J78" s="78"/>
      <c r="K78" s="78"/>
      <c r="M78" s="78"/>
    </row>
    <row r="79" spans="1:13">
      <c r="A79" s="78"/>
      <c r="B79" s="78"/>
      <c r="C79" s="78"/>
      <c r="D79" s="78"/>
      <c r="E79" s="78"/>
      <c r="F79" s="78"/>
      <c r="G79" s="78"/>
      <c r="H79" s="78"/>
      <c r="I79" s="78"/>
      <c r="J79" s="78"/>
      <c r="K79" s="78"/>
      <c r="M79" s="78"/>
    </row>
    <row r="80" spans="1:13">
      <c r="A80" s="78"/>
      <c r="B80" s="78"/>
      <c r="C80" s="78"/>
      <c r="D80" s="78"/>
      <c r="E80" s="78"/>
      <c r="F80" s="78"/>
      <c r="G80" s="78"/>
      <c r="H80" s="78"/>
      <c r="I80" s="78"/>
      <c r="J80" s="78"/>
      <c r="K80" s="78"/>
      <c r="M80" s="78"/>
    </row>
    <row r="81" spans="1:13">
      <c r="A81" s="78"/>
      <c r="B81" s="78"/>
      <c r="C81" s="78"/>
      <c r="D81" s="78"/>
      <c r="E81" s="78"/>
      <c r="F81" s="78"/>
      <c r="G81" s="78"/>
      <c r="H81" s="78"/>
      <c r="I81" s="78"/>
      <c r="J81" s="78"/>
      <c r="K81" s="78"/>
      <c r="M81" s="78"/>
    </row>
    <row r="82" spans="1:13">
      <c r="A82" s="78"/>
      <c r="B82" s="78"/>
      <c r="C82" s="78"/>
      <c r="D82" s="78"/>
      <c r="E82" s="78"/>
      <c r="F82" s="78"/>
      <c r="G82" s="78"/>
      <c r="H82" s="78"/>
      <c r="I82" s="78"/>
      <c r="J82" s="78"/>
      <c r="K82" s="78"/>
      <c r="M82" s="78"/>
    </row>
    <row r="83" spans="1:13">
      <c r="A83" s="78"/>
      <c r="B83" s="78"/>
      <c r="C83" s="78"/>
      <c r="D83" s="78"/>
      <c r="E83" s="78"/>
      <c r="F83" s="78"/>
      <c r="G83" s="78"/>
      <c r="H83" s="78"/>
      <c r="I83" s="78"/>
      <c r="J83" s="78"/>
      <c r="K83" s="78"/>
      <c r="M83" s="78"/>
    </row>
    <row r="84" spans="1:13">
      <c r="A84" s="78"/>
      <c r="B84" s="78"/>
      <c r="C84" s="78"/>
      <c r="D84" s="78"/>
      <c r="E84" s="78"/>
      <c r="F84" s="78"/>
      <c r="G84" s="78"/>
      <c r="H84" s="78"/>
      <c r="I84" s="78"/>
      <c r="J84" s="78"/>
      <c r="K84" s="78"/>
      <c r="M84" s="78"/>
    </row>
    <row r="85" spans="1:13">
      <c r="A85" s="78"/>
      <c r="B85" s="78"/>
      <c r="C85" s="78"/>
      <c r="D85" s="78"/>
      <c r="E85" s="78"/>
      <c r="F85" s="78"/>
      <c r="G85" s="78"/>
      <c r="H85" s="78"/>
      <c r="I85" s="78"/>
      <c r="J85" s="78"/>
      <c r="K85" s="78"/>
      <c r="M85" s="78"/>
    </row>
    <row r="86" spans="1:13">
      <c r="A86" s="78"/>
      <c r="B86" s="78"/>
      <c r="C86" s="78"/>
      <c r="D86" s="78"/>
      <c r="E86" s="78"/>
      <c r="F86" s="78"/>
      <c r="G86" s="78"/>
      <c r="H86" s="78"/>
      <c r="I86" s="78"/>
      <c r="J86" s="78"/>
      <c r="K86" s="78"/>
      <c r="M86" s="78"/>
    </row>
  </sheetData>
  <mergeCells count="7">
    <mergeCell ref="D58:K58"/>
    <mergeCell ref="D69:K69"/>
    <mergeCell ref="D3:K3"/>
    <mergeCell ref="D14:K14"/>
    <mergeCell ref="D25:K25"/>
    <mergeCell ref="D36:K36"/>
    <mergeCell ref="D47:K4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14"/>
  <sheetViews>
    <sheetView zoomScale="80" zoomScaleNormal="80" workbookViewId="0">
      <selection activeCell="Q26" sqref="Q26"/>
    </sheetView>
  </sheetViews>
  <sheetFormatPr defaultRowHeight="15"/>
  <cols>
    <col min="1" max="1" width="32.42578125" style="75" customWidth="1"/>
    <col min="2" max="2" width="19.140625" style="75" customWidth="1"/>
    <col min="3" max="8" width="18.7109375" style="75" customWidth="1"/>
    <col min="9" max="16384" width="9.140625" style="75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401" t="s">
        <v>16</v>
      </c>
      <c r="D2" s="402"/>
      <c r="E2" s="403" t="s">
        <v>17</v>
      </c>
      <c r="F2" s="404"/>
      <c r="G2" s="405" t="s">
        <v>33</v>
      </c>
      <c r="H2" s="406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36" t="s">
        <v>22</v>
      </c>
      <c r="H3" s="13" t="s">
        <v>23</v>
      </c>
    </row>
    <row r="4" spans="1:8">
      <c r="A4" s="14" t="str">
        <f>'Absolute visies'!A4</f>
        <v>Nominale matching</v>
      </c>
      <c r="B4" s="15" t="s">
        <v>24</v>
      </c>
      <c r="C4" s="16">
        <f>'Control panel'!C3</f>
        <v>0.55000000000000004</v>
      </c>
      <c r="D4" s="16">
        <f>'Control panel'!D3</f>
        <v>0.65</v>
      </c>
      <c r="E4" s="16">
        <v>0</v>
      </c>
      <c r="F4" s="16">
        <v>1</v>
      </c>
      <c r="G4" s="17">
        <f>'Control panel'!B3</f>
        <v>0.55549268496933957</v>
      </c>
      <c r="H4" s="16">
        <f>'Control panel'!E3</f>
        <v>0.99</v>
      </c>
    </row>
    <row r="5" spans="1:8">
      <c r="A5" s="18" t="str">
        <f>'Absolute visies'!A5</f>
        <v>High Yield</v>
      </c>
      <c r="B5" s="19" t="s">
        <v>25</v>
      </c>
      <c r="C5" s="20">
        <f>'Control panel'!C4</f>
        <v>0.05</v>
      </c>
      <c r="D5" s="20">
        <f>'Control panel'!D4</f>
        <v>0.15</v>
      </c>
      <c r="E5" s="20">
        <v>0</v>
      </c>
      <c r="F5" s="20">
        <v>1</v>
      </c>
      <c r="G5" s="21">
        <f>'Control panel'!B4</f>
        <v>9.7387120358343723E-2</v>
      </c>
      <c r="H5" s="20">
        <f>'Control panel'!E4</f>
        <v>0.99</v>
      </c>
    </row>
    <row r="6" spans="1:8">
      <c r="A6" s="18" t="str">
        <f>'Absolute visies'!A6</f>
        <v>Emerging market debt</v>
      </c>
      <c r="B6" s="19" t="s">
        <v>25</v>
      </c>
      <c r="C6" s="20">
        <f>'Control panel'!C5</f>
        <v>0.05</v>
      </c>
      <c r="D6" s="20">
        <f>'Control panel'!D5</f>
        <v>0.2</v>
      </c>
      <c r="E6" s="20">
        <v>0</v>
      </c>
      <c r="F6" s="20">
        <v>1</v>
      </c>
      <c r="G6" s="21">
        <f>'Control panel'!B5</f>
        <v>9.5164223805884504E-2</v>
      </c>
      <c r="H6" s="20">
        <f>'Control panel'!E5</f>
        <v>0.99</v>
      </c>
    </row>
    <row r="7" spans="1:8">
      <c r="A7" s="18" t="str">
        <f>'Absolute visies'!A7</f>
        <v>Aandelen ontwikkeld</v>
      </c>
      <c r="B7" s="19" t="s">
        <v>25</v>
      </c>
      <c r="C7" s="20">
        <f>'Control panel'!C6</f>
        <v>7.4999999999999997E-2</v>
      </c>
      <c r="D7" s="20">
        <f>'Control panel'!D6</f>
        <v>0.3</v>
      </c>
      <c r="E7" s="20">
        <v>0</v>
      </c>
      <c r="F7" s="20">
        <v>1</v>
      </c>
      <c r="G7" s="21">
        <f>'Control panel'!B6</f>
        <v>0.10363483668477239</v>
      </c>
      <c r="H7" s="20">
        <f>'Control panel'!E6</f>
        <v>0.99</v>
      </c>
    </row>
    <row r="8" spans="1:8">
      <c r="A8" s="18" t="str">
        <f>'Absolute visies'!A8</f>
        <v>Aandelen opkomend</v>
      </c>
      <c r="B8" s="19" t="s">
        <v>25</v>
      </c>
      <c r="C8" s="20">
        <f>'Control panel'!C7</f>
        <v>2.5000000000000001E-2</v>
      </c>
      <c r="D8" s="20">
        <f>'Control panel'!D7</f>
        <v>0.15</v>
      </c>
      <c r="E8" s="20">
        <v>0</v>
      </c>
      <c r="F8" s="20">
        <v>1</v>
      </c>
      <c r="G8" s="21">
        <f>'Control panel'!B7</f>
        <v>5.1404597453969164E-2</v>
      </c>
      <c r="H8" s="20">
        <f>'Control panel'!E7</f>
        <v>0.99</v>
      </c>
    </row>
    <row r="9" spans="1:8">
      <c r="A9" s="18" t="str">
        <f>'Absolute visies'!A9</f>
        <v>Commodities</v>
      </c>
      <c r="B9" s="19" t="s">
        <v>25</v>
      </c>
      <c r="C9" s="20">
        <f>'Control panel'!C8</f>
        <v>0</v>
      </c>
      <c r="D9" s="20">
        <f>'Control panel'!D8</f>
        <v>0.1</v>
      </c>
      <c r="E9" s="20">
        <v>0</v>
      </c>
      <c r="F9" s="20">
        <v>1</v>
      </c>
      <c r="G9" s="21">
        <f>'Control panel'!B8</f>
        <v>1.9729061421683056E-2</v>
      </c>
      <c r="H9" s="20">
        <f>'Control panel'!E8</f>
        <v>0.99</v>
      </c>
    </row>
    <row r="10" spans="1:8">
      <c r="A10" s="18" t="str">
        <f>'Absolute visies'!A10</f>
        <v>Hedge funds</v>
      </c>
      <c r="B10" s="19" t="s">
        <v>25</v>
      </c>
      <c r="C10" s="20">
        <f>'Control panel'!C9</f>
        <v>3.1019975297703138E-2</v>
      </c>
      <c r="D10" s="20">
        <f>'Control panel'!D9</f>
        <v>3.1019975297703138E-2</v>
      </c>
      <c r="E10" s="20">
        <v>0</v>
      </c>
      <c r="F10" s="20">
        <v>1</v>
      </c>
      <c r="G10" s="21">
        <f>'Control panel'!B9</f>
        <v>3.1019975297703138E-2</v>
      </c>
      <c r="H10" s="20">
        <f>'Control panel'!E9</f>
        <v>0.99</v>
      </c>
    </row>
    <row r="11" spans="1:8" ht="15.75" thickBot="1">
      <c r="A11" s="22" t="str">
        <f>'Absolute visies'!A11</f>
        <v>Onroerend goed</v>
      </c>
      <c r="B11" s="23" t="s">
        <v>25</v>
      </c>
      <c r="C11" s="24">
        <f>'Control panel'!C10</f>
        <v>4.6167500008304781E-2</v>
      </c>
      <c r="D11" s="24">
        <f>'Control panel'!D10</f>
        <v>4.6167500008304781E-2</v>
      </c>
      <c r="E11" s="24">
        <v>0</v>
      </c>
      <c r="F11" s="24">
        <v>1</v>
      </c>
      <c r="G11" s="25">
        <f>'Control panel'!B10</f>
        <v>4.6167500008304781E-2</v>
      </c>
      <c r="H11" s="24">
        <f>'Control panel'!E10</f>
        <v>0.99</v>
      </c>
    </row>
    <row r="12" spans="1:8" ht="15.75" thickBot="1">
      <c r="G12" s="26" t="s">
        <v>26</v>
      </c>
      <c r="H12" s="24">
        <f>'Control panel'!E11</f>
        <v>0.99</v>
      </c>
    </row>
    <row r="13" spans="1:8" ht="15.75" thickBot="1">
      <c r="G13" s="28"/>
      <c r="H13" s="6"/>
    </row>
    <row r="14" spans="1:8" ht="15.75" thickBot="1">
      <c r="A14" s="34" t="s">
        <v>32</v>
      </c>
      <c r="B14" s="30">
        <v>0</v>
      </c>
      <c r="C14" s="30">
        <v>0</v>
      </c>
      <c r="D14" s="30">
        <v>0</v>
      </c>
      <c r="E14" s="30">
        <v>0</v>
      </c>
      <c r="F14" s="30">
        <v>0</v>
      </c>
      <c r="G14" s="31">
        <v>0</v>
      </c>
    </row>
    <row r="15" spans="1:8">
      <c r="A15" s="14" t="str">
        <f>A4</f>
        <v>Nominale matching</v>
      </c>
      <c r="B15" s="255">
        <v>0</v>
      </c>
      <c r="C15" s="255">
        <v>0</v>
      </c>
      <c r="D15" s="255">
        <v>0</v>
      </c>
      <c r="E15" s="255">
        <v>0</v>
      </c>
      <c r="F15" s="255">
        <v>0</v>
      </c>
      <c r="G15" s="256">
        <v>0</v>
      </c>
    </row>
    <row r="16" spans="1:8">
      <c r="A16" s="18" t="str">
        <f t="shared" ref="A16:A22" si="0">A5</f>
        <v>High Yield</v>
      </c>
      <c r="B16" s="257">
        <v>0</v>
      </c>
      <c r="C16" s="257">
        <v>0</v>
      </c>
      <c r="D16" s="257">
        <v>0</v>
      </c>
      <c r="E16" s="257">
        <v>0</v>
      </c>
      <c r="F16" s="257">
        <v>0</v>
      </c>
      <c r="G16" s="257">
        <v>0</v>
      </c>
    </row>
    <row r="17" spans="1:7">
      <c r="A17" s="18" t="str">
        <f t="shared" si="0"/>
        <v>Emerging market debt</v>
      </c>
      <c r="B17" s="257">
        <v>0</v>
      </c>
      <c r="C17" s="257">
        <v>0</v>
      </c>
      <c r="D17" s="257">
        <v>0</v>
      </c>
      <c r="E17" s="257">
        <v>0</v>
      </c>
      <c r="F17" s="257">
        <v>0</v>
      </c>
      <c r="G17" s="258">
        <v>0</v>
      </c>
    </row>
    <row r="18" spans="1:7">
      <c r="A18" s="18" t="str">
        <f t="shared" si="0"/>
        <v>Aandelen ontwikkeld</v>
      </c>
      <c r="B18" s="257">
        <v>0</v>
      </c>
      <c r="C18" s="257">
        <v>0</v>
      </c>
      <c r="D18" s="257">
        <v>0</v>
      </c>
      <c r="E18" s="257">
        <v>0</v>
      </c>
      <c r="F18" s="257">
        <v>0</v>
      </c>
      <c r="G18" s="258">
        <v>0</v>
      </c>
    </row>
    <row r="19" spans="1:7">
      <c r="A19" s="18" t="str">
        <f t="shared" si="0"/>
        <v>Aandelen opkomend</v>
      </c>
      <c r="B19" s="257">
        <v>0</v>
      </c>
      <c r="C19" s="257">
        <v>0</v>
      </c>
      <c r="D19" s="257">
        <v>0</v>
      </c>
      <c r="E19" s="257">
        <v>0</v>
      </c>
      <c r="F19" s="257">
        <v>0</v>
      </c>
      <c r="G19" s="258">
        <v>0</v>
      </c>
    </row>
    <row r="20" spans="1:7">
      <c r="A20" s="18" t="str">
        <f t="shared" si="0"/>
        <v>Commodities</v>
      </c>
      <c r="B20" s="257">
        <v>0</v>
      </c>
      <c r="C20" s="257">
        <v>0</v>
      </c>
      <c r="D20" s="257">
        <v>0</v>
      </c>
      <c r="E20" s="257">
        <v>0</v>
      </c>
      <c r="F20" s="257">
        <v>0</v>
      </c>
      <c r="G20" s="258">
        <v>0</v>
      </c>
    </row>
    <row r="21" spans="1:7">
      <c r="A21" s="18" t="str">
        <f t="shared" si="0"/>
        <v>Hedge funds</v>
      </c>
      <c r="B21" s="257">
        <v>0</v>
      </c>
      <c r="C21" s="257">
        <v>0</v>
      </c>
      <c r="D21" s="257">
        <v>0</v>
      </c>
      <c r="E21" s="257">
        <v>0</v>
      </c>
      <c r="F21" s="257">
        <v>0</v>
      </c>
      <c r="G21" s="258">
        <v>0</v>
      </c>
    </row>
    <row r="22" spans="1:7" ht="15.75" thickBot="1">
      <c r="A22" s="22" t="str">
        <f t="shared" si="0"/>
        <v>Onroerend goed</v>
      </c>
      <c r="B22" s="259">
        <v>0</v>
      </c>
      <c r="C22" s="259">
        <v>0</v>
      </c>
      <c r="D22" s="259">
        <v>0</v>
      </c>
      <c r="E22" s="259">
        <v>0</v>
      </c>
      <c r="F22" s="259">
        <v>0</v>
      </c>
      <c r="G22" s="260">
        <v>0</v>
      </c>
    </row>
    <row r="23" spans="1:7" ht="15.75" thickBot="1">
      <c r="A23" s="35" t="s">
        <v>34</v>
      </c>
      <c r="B23" s="32">
        <v>0</v>
      </c>
      <c r="C23" s="32">
        <v>0</v>
      </c>
      <c r="D23" s="32">
        <v>0</v>
      </c>
      <c r="E23" s="32">
        <v>0</v>
      </c>
      <c r="F23" s="32">
        <v>0</v>
      </c>
      <c r="G23" s="33">
        <v>0</v>
      </c>
    </row>
    <row r="100" spans="1:5">
      <c r="A100" s="27" t="s">
        <v>31</v>
      </c>
      <c r="B100" s="3"/>
      <c r="D100" s="27" t="s">
        <v>35</v>
      </c>
      <c r="E100" s="3"/>
    </row>
    <row r="101" spans="1:5">
      <c r="A101" s="3"/>
      <c r="B101" s="3"/>
      <c r="D101" s="3"/>
      <c r="E101" s="3"/>
    </row>
    <row r="102" spans="1:5">
      <c r="A102" s="3" t="s">
        <v>19</v>
      </c>
      <c r="B102" s="3" t="s">
        <v>24</v>
      </c>
      <c r="C102" s="99">
        <v>1</v>
      </c>
      <c r="D102" s="3" t="s">
        <v>36</v>
      </c>
      <c r="E102" s="99">
        <v>1</v>
      </c>
    </row>
    <row r="103" spans="1:5">
      <c r="A103" s="3"/>
      <c r="B103" s="3" t="s">
        <v>25</v>
      </c>
      <c r="C103" s="99">
        <v>2</v>
      </c>
      <c r="D103" s="3" t="s">
        <v>37</v>
      </c>
      <c r="E103" s="99">
        <v>0</v>
      </c>
    </row>
    <row r="106" spans="1:5">
      <c r="A106" s="27" t="s">
        <v>62</v>
      </c>
    </row>
    <row r="107" spans="1:5">
      <c r="A107" s="3" t="str">
        <f t="shared" ref="A107:A114" si="1">A4</f>
        <v>Nominale matching</v>
      </c>
      <c r="B107" s="99">
        <f>VLOOKUP(B4,$B$102:$C$103,2,0)</f>
        <v>1</v>
      </c>
    </row>
    <row r="108" spans="1:5">
      <c r="A108" s="3" t="str">
        <f t="shared" si="1"/>
        <v>High Yield</v>
      </c>
      <c r="B108" s="99">
        <f t="shared" ref="B108:B114" si="2">VLOOKUP(B5,$B$102:$C$103,2,0)</f>
        <v>2</v>
      </c>
    </row>
    <row r="109" spans="1:5">
      <c r="A109" s="3" t="str">
        <f t="shared" si="1"/>
        <v>Emerging market debt</v>
      </c>
      <c r="B109" s="99">
        <f t="shared" si="2"/>
        <v>2</v>
      </c>
    </row>
    <row r="110" spans="1:5">
      <c r="A110" s="3" t="str">
        <f t="shared" si="1"/>
        <v>Aandelen ontwikkeld</v>
      </c>
      <c r="B110" s="99">
        <f t="shared" si="2"/>
        <v>2</v>
      </c>
    </row>
    <row r="111" spans="1:5">
      <c r="A111" s="3" t="str">
        <f t="shared" si="1"/>
        <v>Aandelen opkomend</v>
      </c>
      <c r="B111" s="99">
        <f t="shared" si="2"/>
        <v>2</v>
      </c>
    </row>
    <row r="112" spans="1:5">
      <c r="A112" s="3" t="str">
        <f t="shared" si="1"/>
        <v>Commodities</v>
      </c>
      <c r="B112" s="99">
        <f t="shared" si="2"/>
        <v>2</v>
      </c>
    </row>
    <row r="113" spans="1:2">
      <c r="A113" s="3" t="str">
        <f t="shared" si="1"/>
        <v>Hedge funds</v>
      </c>
      <c r="B113" s="99">
        <f t="shared" si="2"/>
        <v>2</v>
      </c>
    </row>
    <row r="114" spans="1:2">
      <c r="A114" s="3" t="str">
        <f t="shared" si="1"/>
        <v>Onroerend goed</v>
      </c>
      <c r="B114" s="99">
        <f t="shared" si="2"/>
        <v>2</v>
      </c>
    </row>
  </sheetData>
  <mergeCells count="3">
    <mergeCell ref="C2:D2"/>
    <mergeCell ref="E2:F2"/>
    <mergeCell ref="G2:H2"/>
  </mergeCells>
  <conditionalFormatting sqref="B4:B11">
    <cfRule type="iconSet" priority="5">
      <iconSet iconSet="3Flags">
        <cfvo type="percent" val="0"/>
        <cfvo type="percent" val="33"/>
        <cfvo type="percent" val="67"/>
      </iconSet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1">
    <cfRule type="iconSet" priority="4">
      <iconSet reverse="1">
        <cfvo type="percent" val="0"/>
        <cfvo type="percent" val="33"/>
        <cfvo type="percent" val="67"/>
      </iconSet>
    </cfRule>
  </conditionalFormatting>
  <conditionalFormatting sqref="D4:D11">
    <cfRule type="iconSet" priority="3">
      <iconSet>
        <cfvo type="percent" val="0"/>
        <cfvo type="percent" val="33"/>
        <cfvo type="percent" val="67"/>
      </iconSet>
    </cfRule>
  </conditionalFormatting>
  <conditionalFormatting sqref="E4:E11">
    <cfRule type="iconSet" priority="2">
      <iconSet reverse="1">
        <cfvo type="percent" val="0"/>
        <cfvo type="percent" val="33"/>
        <cfvo type="percent" val="67"/>
      </iconSet>
    </cfRule>
  </conditionalFormatting>
  <conditionalFormatting sqref="F4:F11">
    <cfRule type="iconSet" priority="1">
      <iconSet>
        <cfvo type="percent" val="0"/>
        <cfvo type="percent" val="33"/>
        <cfvo type="percent" val="67"/>
      </iconSet>
    </cfRule>
  </conditionalFormatting>
  <dataValidations disablePrompts="1" count="2">
    <dataValidation type="list" allowBlank="1" showInputMessage="1" showErrorMessage="1" sqref="B4:B11">
      <formula1>$B$102:$B$103</formula1>
    </dataValidation>
    <dataValidation type="list" allowBlank="1" showInputMessage="1" showErrorMessage="1" sqref="B14:G14">
      <formula1>$E$102:$E$103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C46" sqref="C46"/>
    </sheetView>
  </sheetViews>
  <sheetFormatPr defaultRowHeight="15"/>
  <cols>
    <col min="1" max="1" width="44.7109375" style="75" customWidth="1"/>
    <col min="2" max="9" width="20.7109375" style="75" customWidth="1"/>
    <col min="10" max="16384" width="9.140625" style="75"/>
  </cols>
  <sheetData>
    <row r="1" spans="1:8">
      <c r="A1" s="180" t="s">
        <v>39</v>
      </c>
    </row>
    <row r="2" spans="1:8">
      <c r="C2" s="181"/>
    </row>
    <row r="3" spans="1:8">
      <c r="A3" s="27" t="s">
        <v>40</v>
      </c>
      <c r="B3" s="3"/>
      <c r="C3" s="182"/>
      <c r="D3" s="3"/>
      <c r="E3" s="3"/>
      <c r="F3" s="3"/>
    </row>
    <row r="4" spans="1:8" ht="15.75" thickBot="1">
      <c r="A4" s="183"/>
      <c r="B4" s="205"/>
      <c r="C4" s="205"/>
      <c r="D4" s="205"/>
      <c r="E4" s="205"/>
      <c r="F4" s="205"/>
      <c r="G4" s="205"/>
      <c r="H4" s="205"/>
    </row>
    <row r="5" spans="1:8" ht="15.75" thickBot="1">
      <c r="A5" s="212" t="s">
        <v>38</v>
      </c>
      <c r="B5" s="213" t="str">
        <f>Scenarios!B23</f>
        <v>Evenwicht</v>
      </c>
      <c r="C5" s="184" t="str">
        <f>Scenarios!C23</f>
        <v>Base Case</v>
      </c>
      <c r="D5" s="213" t="str">
        <f>Scenarios!D23</f>
        <v>Base - muddle down</v>
      </c>
      <c r="E5" s="184" t="str">
        <f>Scenarios!E23</f>
        <v>Base - muddle up</v>
      </c>
      <c r="F5" s="213" t="str">
        <f>Scenarios!F23</f>
        <v>Bear case</v>
      </c>
      <c r="G5" s="213" t="str">
        <f>Scenarios!G23</f>
        <v>Tail risk</v>
      </c>
      <c r="H5" s="213" t="str">
        <f>Scenarios!H23</f>
        <v>Bull case</v>
      </c>
    </row>
    <row r="6" spans="1:8">
      <c r="A6" s="185" t="s">
        <v>70</v>
      </c>
      <c r="B6" s="284">
        <v>1</v>
      </c>
      <c r="C6" s="265">
        <v>0</v>
      </c>
      <c r="D6" s="264">
        <v>0</v>
      </c>
      <c r="E6" s="265">
        <v>0</v>
      </c>
      <c r="F6" s="264">
        <v>0</v>
      </c>
      <c r="G6" s="264">
        <v>0</v>
      </c>
      <c r="H6" s="264">
        <v>0</v>
      </c>
    </row>
    <row r="7" spans="1:8">
      <c r="A7" s="185" t="s">
        <v>112</v>
      </c>
      <c r="B7" s="214">
        <v>0</v>
      </c>
      <c r="C7" s="98">
        <v>1</v>
      </c>
      <c r="D7" s="214">
        <v>0</v>
      </c>
      <c r="E7" s="98">
        <v>0</v>
      </c>
      <c r="F7" s="214">
        <v>0</v>
      </c>
      <c r="G7" s="214">
        <v>0</v>
      </c>
      <c r="H7" s="214">
        <v>0</v>
      </c>
    </row>
    <row r="8" spans="1:8">
      <c r="A8" s="185" t="s">
        <v>126</v>
      </c>
      <c r="B8" s="214">
        <v>0</v>
      </c>
      <c r="C8" s="98">
        <v>0</v>
      </c>
      <c r="D8" s="214">
        <v>1</v>
      </c>
      <c r="E8" s="98">
        <v>0</v>
      </c>
      <c r="F8" s="214">
        <v>0</v>
      </c>
      <c r="G8" s="214">
        <v>0</v>
      </c>
      <c r="H8" s="214">
        <v>0</v>
      </c>
    </row>
    <row r="9" spans="1:8">
      <c r="A9" s="185" t="s">
        <v>127</v>
      </c>
      <c r="B9" s="214">
        <v>0</v>
      </c>
      <c r="C9" s="98">
        <v>0</v>
      </c>
      <c r="D9" s="214">
        <v>0</v>
      </c>
      <c r="E9" s="98">
        <v>1</v>
      </c>
      <c r="F9" s="214">
        <v>0</v>
      </c>
      <c r="G9" s="214">
        <v>0</v>
      </c>
      <c r="H9" s="214">
        <v>0</v>
      </c>
    </row>
    <row r="10" spans="1:8">
      <c r="A10" s="185" t="s">
        <v>113</v>
      </c>
      <c r="B10" s="214">
        <v>0</v>
      </c>
      <c r="C10" s="98">
        <v>0</v>
      </c>
      <c r="D10" s="214">
        <v>0</v>
      </c>
      <c r="E10" s="98">
        <v>0</v>
      </c>
      <c r="F10" s="214">
        <v>1</v>
      </c>
      <c r="G10" s="214">
        <v>0</v>
      </c>
      <c r="H10" s="214">
        <v>0</v>
      </c>
    </row>
    <row r="11" spans="1:8">
      <c r="A11" s="185" t="s">
        <v>114</v>
      </c>
      <c r="B11" s="214">
        <v>0</v>
      </c>
      <c r="C11" s="98">
        <v>0</v>
      </c>
      <c r="D11" s="214">
        <v>0</v>
      </c>
      <c r="E11" s="98">
        <v>0</v>
      </c>
      <c r="F11" s="214">
        <v>0</v>
      </c>
      <c r="G11" s="214">
        <v>1</v>
      </c>
      <c r="H11" s="214">
        <v>0</v>
      </c>
    </row>
    <row r="12" spans="1:8" ht="15.75" thickBot="1">
      <c r="A12" s="185" t="s">
        <v>128</v>
      </c>
      <c r="B12" s="215">
        <v>0</v>
      </c>
      <c r="C12" s="211">
        <v>0</v>
      </c>
      <c r="D12" s="215">
        <v>0</v>
      </c>
      <c r="E12" s="211">
        <v>0</v>
      </c>
      <c r="F12" s="215">
        <v>0</v>
      </c>
      <c r="G12" s="215">
        <v>0</v>
      </c>
      <c r="H12" s="215">
        <v>1</v>
      </c>
    </row>
    <row r="13" spans="1:8" ht="15.75" thickBot="1">
      <c r="A13" s="206" t="s">
        <v>30</v>
      </c>
      <c r="B13" s="261">
        <v>0</v>
      </c>
      <c r="C13" s="261">
        <v>1</v>
      </c>
      <c r="D13" s="262">
        <v>0</v>
      </c>
      <c r="E13" s="262">
        <v>0</v>
      </c>
      <c r="F13" s="262">
        <v>0</v>
      </c>
      <c r="G13" s="263">
        <v>0</v>
      </c>
      <c r="H13" s="262">
        <v>0</v>
      </c>
    </row>
    <row r="14" spans="1:8">
      <c r="A14" s="210"/>
      <c r="B14" s="90"/>
      <c r="C14" s="90"/>
      <c r="D14" s="90"/>
      <c r="E14" s="90"/>
      <c r="F14" s="90"/>
    </row>
    <row r="15" spans="1:8">
      <c r="A15" s="91" t="s">
        <v>41</v>
      </c>
    </row>
    <row r="16" spans="1:8">
      <c r="A16" s="97" t="s">
        <v>45</v>
      </c>
      <c r="B16" s="73" t="s">
        <v>58</v>
      </c>
    </row>
    <row r="17" spans="1:9" ht="15.75" thickBot="1">
      <c r="A17" s="97"/>
    </row>
    <row r="18" spans="1:9">
      <c r="A18" s="186"/>
      <c r="B18" s="187" t="s">
        <v>43</v>
      </c>
      <c r="C18" s="188"/>
      <c r="D18" s="188"/>
      <c r="E18" s="92"/>
      <c r="F18" s="189"/>
      <c r="G18" s="189"/>
      <c r="H18" s="190"/>
      <c r="I18" s="93" t="s">
        <v>46</v>
      </c>
    </row>
    <row r="19" spans="1:9" ht="15.75" thickBot="1">
      <c r="A19" s="191"/>
      <c r="B19" s="104" t="s">
        <v>42</v>
      </c>
      <c r="C19" s="104" t="s">
        <v>48</v>
      </c>
      <c r="D19" s="104" t="s">
        <v>44</v>
      </c>
      <c r="E19" s="80" t="s">
        <v>48</v>
      </c>
      <c r="F19" s="108" t="s">
        <v>63</v>
      </c>
      <c r="G19" s="108" t="s">
        <v>48</v>
      </c>
      <c r="H19" s="108" t="s">
        <v>14</v>
      </c>
      <c r="I19" s="108" t="s">
        <v>47</v>
      </c>
    </row>
    <row r="20" spans="1:9">
      <c r="A20" s="185" t="str">
        <f>A6</f>
        <v>Evenwicht</v>
      </c>
      <c r="B20" s="192">
        <v>0</v>
      </c>
      <c r="C20" s="193">
        <v>0</v>
      </c>
      <c r="D20" s="106">
        <f>D27</f>
        <v>0.105</v>
      </c>
      <c r="E20" s="19">
        <v>1</v>
      </c>
      <c r="F20" s="194">
        <v>0.02</v>
      </c>
      <c r="G20" s="29">
        <v>0</v>
      </c>
      <c r="H20" s="29" t="str">
        <f>'Control panel'!B23:B23</f>
        <v>Max rendement</v>
      </c>
      <c r="I20" s="29" t="s">
        <v>60</v>
      </c>
    </row>
    <row r="21" spans="1:9">
      <c r="A21" s="185" t="str">
        <f t="shared" ref="A21:A26" si="0">A7</f>
        <v>Base Case</v>
      </c>
      <c r="B21" s="192">
        <v>0</v>
      </c>
      <c r="C21" s="193">
        <v>0</v>
      </c>
      <c r="D21" s="106">
        <f t="shared" ref="D21:D26" si="1">$D$27</f>
        <v>0.105</v>
      </c>
      <c r="E21" s="19">
        <v>1</v>
      </c>
      <c r="F21" s="194">
        <v>0.02</v>
      </c>
      <c r="G21" s="29">
        <v>0</v>
      </c>
      <c r="H21" s="29" t="s">
        <v>49</v>
      </c>
      <c r="I21" s="29" t="s">
        <v>60</v>
      </c>
    </row>
    <row r="22" spans="1:9">
      <c r="A22" s="185" t="str">
        <f t="shared" si="0"/>
        <v>Base - muddle down</v>
      </c>
      <c r="B22" s="192">
        <v>0</v>
      </c>
      <c r="C22" s="193">
        <v>0</v>
      </c>
      <c r="D22" s="106">
        <f t="shared" si="1"/>
        <v>0.105</v>
      </c>
      <c r="E22" s="19">
        <v>1</v>
      </c>
      <c r="F22" s="194">
        <v>0.02</v>
      </c>
      <c r="G22" s="29">
        <v>0</v>
      </c>
      <c r="H22" s="29" t="s">
        <v>49</v>
      </c>
      <c r="I22" s="29" t="s">
        <v>60</v>
      </c>
    </row>
    <row r="23" spans="1:9">
      <c r="A23" s="185" t="str">
        <f t="shared" si="0"/>
        <v>Base - muddle up</v>
      </c>
      <c r="B23" s="192">
        <v>0</v>
      </c>
      <c r="C23" s="193">
        <v>0</v>
      </c>
      <c r="D23" s="106">
        <f t="shared" si="1"/>
        <v>0.105</v>
      </c>
      <c r="E23" s="19">
        <v>1</v>
      </c>
      <c r="F23" s="194">
        <v>0.02</v>
      </c>
      <c r="G23" s="29">
        <v>0</v>
      </c>
      <c r="H23" s="29" t="s">
        <v>49</v>
      </c>
      <c r="I23" s="29" t="s">
        <v>60</v>
      </c>
    </row>
    <row r="24" spans="1:9">
      <c r="A24" s="185" t="str">
        <f t="shared" si="0"/>
        <v>Bear case</v>
      </c>
      <c r="B24" s="192">
        <v>0</v>
      </c>
      <c r="C24" s="193">
        <v>0</v>
      </c>
      <c r="D24" s="106">
        <f t="shared" si="1"/>
        <v>0.105</v>
      </c>
      <c r="E24" s="19">
        <v>1</v>
      </c>
      <c r="F24" s="194">
        <v>0.02</v>
      </c>
      <c r="G24" s="29">
        <v>0</v>
      </c>
      <c r="H24" s="29" t="s">
        <v>49</v>
      </c>
      <c r="I24" s="29" t="s">
        <v>60</v>
      </c>
    </row>
    <row r="25" spans="1:9">
      <c r="A25" s="185" t="str">
        <f t="shared" si="0"/>
        <v>Tail risk</v>
      </c>
      <c r="B25" s="192">
        <v>0</v>
      </c>
      <c r="C25" s="193">
        <v>0</v>
      </c>
      <c r="D25" s="106">
        <f t="shared" si="1"/>
        <v>0.105</v>
      </c>
      <c r="E25" s="19">
        <v>1</v>
      </c>
      <c r="F25" s="194">
        <v>0.02</v>
      </c>
      <c r="G25" s="29">
        <v>0</v>
      </c>
      <c r="H25" s="29" t="s">
        <v>49</v>
      </c>
      <c r="I25" s="29" t="s">
        <v>60</v>
      </c>
    </row>
    <row r="26" spans="1:9">
      <c r="A26" s="185" t="str">
        <f t="shared" si="0"/>
        <v>Bull case</v>
      </c>
      <c r="B26" s="192">
        <v>0</v>
      </c>
      <c r="C26" s="193">
        <v>0</v>
      </c>
      <c r="D26" s="106">
        <f t="shared" si="1"/>
        <v>0.105</v>
      </c>
      <c r="E26" s="19">
        <v>1</v>
      </c>
      <c r="F26" s="194">
        <v>0.02</v>
      </c>
      <c r="G26" s="29">
        <v>0</v>
      </c>
      <c r="H26" s="29" t="s">
        <v>49</v>
      </c>
      <c r="I26" s="29" t="s">
        <v>60</v>
      </c>
    </row>
    <row r="27" spans="1:9" ht="15.75" thickBot="1">
      <c r="A27" s="195" t="str">
        <f>A13</f>
        <v>Kansgewogen</v>
      </c>
      <c r="B27" s="196">
        <f>'Control panel'!B26</f>
        <v>0</v>
      </c>
      <c r="C27" s="81">
        <f>'Control panel'!C26</f>
        <v>0</v>
      </c>
      <c r="D27" s="107">
        <f>'Control panel'!B27</f>
        <v>0.105</v>
      </c>
      <c r="E27" s="23">
        <f>'Control panel'!C27</f>
        <v>1</v>
      </c>
      <c r="F27" s="197">
        <v>0.02</v>
      </c>
      <c r="G27" s="33">
        <f>'Control panel'!C28</f>
        <v>0</v>
      </c>
      <c r="H27" s="33" t="str">
        <f>'Control panel'!B23</f>
        <v>Max rendement</v>
      </c>
      <c r="I27" s="260" t="s">
        <v>60</v>
      </c>
    </row>
    <row r="29" spans="1:9">
      <c r="A29" s="27" t="s">
        <v>52</v>
      </c>
    </row>
    <row r="30" spans="1:9">
      <c r="A30" s="198" t="s">
        <v>53</v>
      </c>
      <c r="B30" s="109">
        <f>'Control panel'!B31</f>
        <v>0</v>
      </c>
    </row>
    <row r="31" spans="1:9">
      <c r="A31" s="198" t="s">
        <v>54</v>
      </c>
      <c r="B31" s="73">
        <f>'Control panel'!B32</f>
        <v>2</v>
      </c>
    </row>
    <row r="33" spans="1:2">
      <c r="A33" s="27" t="s">
        <v>55</v>
      </c>
    </row>
    <row r="34" spans="1:2">
      <c r="A34" s="199" t="s">
        <v>13</v>
      </c>
      <c r="B34" s="73">
        <f>'Control panel'!B35</f>
        <v>500</v>
      </c>
    </row>
    <row r="35" spans="1:2">
      <c r="A35" s="199" t="s">
        <v>12</v>
      </c>
      <c r="B35" s="73">
        <v>500</v>
      </c>
    </row>
    <row r="100" spans="1:3">
      <c r="A100" s="74" t="s">
        <v>31</v>
      </c>
    </row>
    <row r="101" spans="1:3">
      <c r="A101" s="75" t="s">
        <v>36</v>
      </c>
      <c r="B101" s="175">
        <v>1</v>
      </c>
    </row>
    <row r="102" spans="1:3">
      <c r="A102" s="75" t="s">
        <v>37</v>
      </c>
      <c r="B102" s="175">
        <v>0</v>
      </c>
    </row>
    <row r="104" spans="1:3">
      <c r="A104" s="74" t="s">
        <v>14</v>
      </c>
      <c r="C104" s="200" t="s">
        <v>62</v>
      </c>
    </row>
    <row r="105" spans="1:3">
      <c r="A105" s="75" t="s">
        <v>58</v>
      </c>
      <c r="B105" s="175">
        <v>0</v>
      </c>
      <c r="C105" s="175">
        <f>VLOOKUP(H20,$A$105:$B$108,2,0)</f>
        <v>1</v>
      </c>
    </row>
    <row r="106" spans="1:3">
      <c r="A106" s="75" t="s">
        <v>49</v>
      </c>
      <c r="B106" s="175">
        <v>1</v>
      </c>
      <c r="C106" s="175">
        <f t="shared" ref="C106:C111" si="2">VLOOKUP(H21,$A$105:$B$108,2,0)</f>
        <v>1</v>
      </c>
    </row>
    <row r="107" spans="1:3">
      <c r="A107" s="75" t="s">
        <v>50</v>
      </c>
      <c r="B107" s="175">
        <v>2</v>
      </c>
      <c r="C107" s="175">
        <f t="shared" si="2"/>
        <v>1</v>
      </c>
    </row>
    <row r="108" spans="1:3">
      <c r="A108" s="75" t="s">
        <v>51</v>
      </c>
      <c r="B108" s="175">
        <v>3</v>
      </c>
      <c r="C108" s="175">
        <f t="shared" si="2"/>
        <v>1</v>
      </c>
    </row>
    <row r="109" spans="1:3">
      <c r="C109" s="175">
        <f t="shared" si="2"/>
        <v>1</v>
      </c>
    </row>
    <row r="110" spans="1:3">
      <c r="C110" s="175">
        <f t="shared" si="2"/>
        <v>1</v>
      </c>
    </row>
    <row r="111" spans="1:3">
      <c r="A111" s="74" t="s">
        <v>56</v>
      </c>
      <c r="B111" s="175">
        <v>0</v>
      </c>
      <c r="C111" s="175">
        <f t="shared" si="2"/>
        <v>1</v>
      </c>
    </row>
    <row r="112" spans="1:3">
      <c r="B112" s="175">
        <v>1</v>
      </c>
      <c r="C112" s="175">
        <f>VLOOKUP(H27,$A$105:$B$108,2,0)</f>
        <v>1</v>
      </c>
    </row>
    <row r="113" spans="1:2">
      <c r="B113" s="175">
        <v>2</v>
      </c>
    </row>
    <row r="115" spans="1:2">
      <c r="A115" s="74" t="s">
        <v>57</v>
      </c>
    </row>
    <row r="116" spans="1:2">
      <c r="A116" s="75" t="s">
        <v>58</v>
      </c>
      <c r="B116" s="175">
        <v>0</v>
      </c>
    </row>
    <row r="117" spans="1:2">
      <c r="A117" s="75" t="str">
        <f>'Absolute visies'!A37</f>
        <v>Nominale matching</v>
      </c>
      <c r="B117" s="175">
        <v>1</v>
      </c>
    </row>
    <row r="118" spans="1:2">
      <c r="A118" s="75" t="str">
        <f>'Absolute visies'!A38</f>
        <v>High Yield</v>
      </c>
      <c r="B118" s="175">
        <v>2</v>
      </c>
    </row>
    <row r="119" spans="1:2">
      <c r="A119" s="75" t="str">
        <f>'Absolute visies'!A39</f>
        <v>Emerging market debt</v>
      </c>
      <c r="B119" s="175">
        <v>3</v>
      </c>
    </row>
    <row r="120" spans="1:2">
      <c r="A120" s="75" t="str">
        <f>'Absolute visies'!A40</f>
        <v>Aandelen ontwikkeld</v>
      </c>
      <c r="B120" s="175">
        <v>4</v>
      </c>
    </row>
    <row r="121" spans="1:2">
      <c r="A121" s="75" t="str">
        <f>'Absolute visies'!A41</f>
        <v>Aandelen opkomend</v>
      </c>
      <c r="B121" s="175">
        <v>5</v>
      </c>
    </row>
    <row r="122" spans="1:2">
      <c r="A122" s="75" t="str">
        <f>'Absolute visies'!A42</f>
        <v>Commodities</v>
      </c>
      <c r="B122" s="175">
        <v>6</v>
      </c>
    </row>
    <row r="123" spans="1:2">
      <c r="A123" s="75" t="str">
        <f>'Absolute visies'!A43</f>
        <v>Hedge funds</v>
      </c>
      <c r="B123" s="175">
        <v>7</v>
      </c>
    </row>
    <row r="124" spans="1:2">
      <c r="A124" s="75" t="str">
        <f>'Absolute visies'!A44</f>
        <v>Onroerend goed</v>
      </c>
      <c r="B124" s="175">
        <v>8</v>
      </c>
    </row>
    <row r="126" spans="1:2">
      <c r="A126" s="74" t="s">
        <v>59</v>
      </c>
      <c r="B126" s="175">
        <f>VLOOKUP(B16,A116:B124,2,0)</f>
        <v>0</v>
      </c>
    </row>
    <row r="128" spans="1:2">
      <c r="A128" s="74" t="s">
        <v>46</v>
      </c>
      <c r="B128" s="175" t="s">
        <v>60</v>
      </c>
    </row>
    <row r="129" spans="2:2">
      <c r="B129" s="17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J88"/>
  <sheetViews>
    <sheetView workbookViewId="0">
      <selection activeCell="M80" sqref="M8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8" t="s">
        <v>69</v>
      </c>
    </row>
    <row r="2" spans="1:30" ht="15.75" thickBot="1">
      <c r="A2" s="49"/>
      <c r="D2" s="407" t="s">
        <v>64</v>
      </c>
      <c r="E2" s="408"/>
      <c r="F2" s="409"/>
      <c r="G2" s="407" t="s">
        <v>65</v>
      </c>
      <c r="H2" s="408"/>
      <c r="I2" s="408"/>
      <c r="J2" s="408"/>
      <c r="K2" s="408"/>
      <c r="L2" s="408"/>
      <c r="M2" s="408"/>
      <c r="N2" s="408"/>
      <c r="O2" s="409"/>
      <c r="R2" s="235" t="s">
        <v>66</v>
      </c>
      <c r="S2" s="50"/>
      <c r="T2" s="50"/>
      <c r="U2" s="50"/>
      <c r="W2" s="50"/>
    </row>
    <row r="3" spans="1:30">
      <c r="A3" s="266" t="s">
        <v>70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0.5236745999449034</v>
      </c>
      <c r="H3" s="272">
        <v>0.24651687610988293</v>
      </c>
      <c r="I3" s="272">
        <v>0.16803894384700624</v>
      </c>
      <c r="J3" s="272">
        <v>6.1629636749614081E-2</v>
      </c>
      <c r="K3" s="272">
        <v>1.3994334859657176E-4</v>
      </c>
      <c r="L3" s="272">
        <v>0</v>
      </c>
      <c r="M3" s="272" t="s">
        <v>147</v>
      </c>
      <c r="N3" s="272" t="s">
        <v>147</v>
      </c>
      <c r="O3" s="273">
        <v>0</v>
      </c>
      <c r="R3" s="51" t="str">
        <f>A3</f>
        <v>Evenwicht</v>
      </c>
      <c r="S3" s="51"/>
      <c r="T3" s="52"/>
      <c r="U3" s="51"/>
      <c r="W3" s="51"/>
      <c r="AA3" s="52"/>
      <c r="AB3" s="52"/>
      <c r="AC3" s="52"/>
      <c r="AD3" s="52"/>
    </row>
    <row r="4" spans="1:30">
      <c r="A4" s="53" t="str">
        <f>'Absolute visies'!A4</f>
        <v>Nominale matching</v>
      </c>
      <c r="B4" s="1">
        <v>0.55607021899168307</v>
      </c>
      <c r="C4" s="54">
        <v>4.5436162205509147E-3</v>
      </c>
      <c r="D4" s="55">
        <v>0.55250032073654665</v>
      </c>
      <c r="E4" s="1">
        <v>0.5549431872653674</v>
      </c>
      <c r="F4" s="56">
        <v>0.55886717714307899</v>
      </c>
      <c r="G4" s="2">
        <v>-3.0427167722352488E-2</v>
      </c>
      <c r="H4" s="2">
        <v>-2.1199660153413177E-2</v>
      </c>
      <c r="I4" s="2">
        <v>-2.4330643795287273E-2</v>
      </c>
      <c r="J4" s="2">
        <v>-0.84206291325838312</v>
      </c>
      <c r="K4" s="2">
        <v>1</v>
      </c>
      <c r="L4" s="2">
        <v>0.99999999999988864</v>
      </c>
      <c r="M4" s="2" t="s">
        <v>147</v>
      </c>
      <c r="N4" s="2" t="s">
        <v>147</v>
      </c>
      <c r="O4" s="57"/>
      <c r="R4" s="51" t="str">
        <f>A4</f>
        <v>Nominale matching</v>
      </c>
      <c r="S4" s="52">
        <f>D4</f>
        <v>0.55250032073654665</v>
      </c>
      <c r="T4" s="52">
        <f>B4-D4</f>
        <v>3.5698982551364278E-3</v>
      </c>
      <c r="U4" s="52">
        <f>F4-B4</f>
        <v>2.7969581513959119E-3</v>
      </c>
      <c r="W4" s="58"/>
      <c r="AA4" s="52"/>
      <c r="AB4" s="52"/>
      <c r="AC4" s="52"/>
      <c r="AD4" s="52"/>
    </row>
    <row r="5" spans="1:30">
      <c r="A5" s="59" t="str">
        <f>'Absolute visies'!A5</f>
        <v>High Yield</v>
      </c>
      <c r="B5" s="1">
        <v>7.1237713615131731E-2</v>
      </c>
      <c r="C5" s="54">
        <v>1.2986792268598259E-2</v>
      </c>
      <c r="D5" s="55">
        <v>6.1160330376387399E-2</v>
      </c>
      <c r="E5" s="1">
        <v>7.0069086043529752E-2</v>
      </c>
      <c r="F5" s="56">
        <v>8.0673635479645331E-2</v>
      </c>
      <c r="G5" s="2">
        <v>0.13016884163123474</v>
      </c>
      <c r="H5" s="2">
        <v>-0.8571132363435956</v>
      </c>
      <c r="I5" s="2">
        <v>-0.21576245670552582</v>
      </c>
      <c r="J5" s="2">
        <v>1</v>
      </c>
      <c r="K5" s="2">
        <v>0.21600237687933183</v>
      </c>
      <c r="L5" s="2">
        <v>0.99999999999994693</v>
      </c>
      <c r="M5" s="2" t="s">
        <v>147</v>
      </c>
      <c r="N5" s="2" t="s">
        <v>147</v>
      </c>
      <c r="O5" s="57"/>
      <c r="R5" s="51" t="str">
        <f t="shared" ref="R5:R11" si="0">A5</f>
        <v>High Yield</v>
      </c>
      <c r="S5" s="52">
        <f t="shared" ref="S5:S11" si="1">D5</f>
        <v>6.1160330376387399E-2</v>
      </c>
      <c r="T5" s="52">
        <f t="shared" ref="T5:T11" si="2">B5-D5</f>
        <v>1.0077383238744332E-2</v>
      </c>
      <c r="U5" s="52">
        <f t="shared" ref="U5:U11" si="3">F5-B5</f>
        <v>9.4359218645135995E-3</v>
      </c>
      <c r="W5" s="58"/>
      <c r="AA5" s="52"/>
      <c r="AB5" s="52"/>
      <c r="AC5" s="52"/>
      <c r="AD5" s="52"/>
    </row>
    <row r="6" spans="1:30">
      <c r="A6" s="59" t="str">
        <f>'Absolute visies'!A6</f>
        <v>Emerging market debt</v>
      </c>
      <c r="B6" s="1">
        <v>7.597232613257314E-2</v>
      </c>
      <c r="C6" s="54">
        <v>1.398959195581501E-2</v>
      </c>
      <c r="D6" s="55">
        <v>6.5528672005356767E-2</v>
      </c>
      <c r="E6" s="1">
        <v>7.5313228634905596E-2</v>
      </c>
      <c r="F6" s="56">
        <v>8.5974987336437381E-2</v>
      </c>
      <c r="G6" s="2">
        <v>-2.3583903895953964E-2</v>
      </c>
      <c r="H6" s="2">
        <v>1</v>
      </c>
      <c r="I6" s="2">
        <v>0.10859522467106801</v>
      </c>
      <c r="J6" s="2">
        <v>0.84136344607278335</v>
      </c>
      <c r="K6" s="2">
        <v>0.17563968684483824</v>
      </c>
      <c r="L6" s="2">
        <v>0.9999999999999486</v>
      </c>
      <c r="M6" s="2" t="s">
        <v>147</v>
      </c>
      <c r="N6" s="2" t="s">
        <v>147</v>
      </c>
      <c r="O6" s="57"/>
      <c r="R6" s="51" t="str">
        <f t="shared" si="0"/>
        <v>Emerging market debt</v>
      </c>
      <c r="S6" s="52">
        <f t="shared" si="1"/>
        <v>6.5528672005356767E-2</v>
      </c>
      <c r="T6" s="52">
        <f t="shared" si="2"/>
        <v>1.0443654127216373E-2</v>
      </c>
      <c r="U6" s="52">
        <f t="shared" si="3"/>
        <v>1.0002661203864241E-2</v>
      </c>
      <c r="AA6" s="52"/>
      <c r="AB6" s="52"/>
      <c r="AC6" s="52"/>
      <c r="AD6" s="52"/>
    </row>
    <row r="7" spans="1:30">
      <c r="A7" s="59" t="str">
        <f>'Absolute visies'!A7</f>
        <v>Aandelen ontwikkeld</v>
      </c>
      <c r="B7" s="1">
        <v>0.13674422099939312</v>
      </c>
      <c r="C7" s="54">
        <v>1.9264216182055642E-2</v>
      </c>
      <c r="D7" s="55">
        <v>0.12562032548213523</v>
      </c>
      <c r="E7" s="1">
        <v>0.13856827320832416</v>
      </c>
      <c r="F7" s="56">
        <v>0.15011936740980608</v>
      </c>
      <c r="G7" s="2">
        <v>1</v>
      </c>
      <c r="H7" s="2">
        <v>0.1143909358841521</v>
      </c>
      <c r="I7" s="2">
        <v>-0.34148418125469865</v>
      </c>
      <c r="J7" s="2">
        <v>-0.46327587553114552</v>
      </c>
      <c r="K7" s="2">
        <v>-0.51228235924891796</v>
      </c>
      <c r="L7" s="2">
        <v>1</v>
      </c>
      <c r="M7" s="2" t="s">
        <v>147</v>
      </c>
      <c r="N7" s="2" t="s">
        <v>147</v>
      </c>
      <c r="O7" s="57"/>
      <c r="R7" s="51" t="str">
        <f t="shared" si="0"/>
        <v>Aandelen ontwikkeld</v>
      </c>
      <c r="S7" s="52">
        <f t="shared" si="1"/>
        <v>0.12562032548213523</v>
      </c>
      <c r="T7" s="52">
        <f t="shared" si="2"/>
        <v>1.1123895517257898E-2</v>
      </c>
      <c r="U7" s="52">
        <f t="shared" si="3"/>
        <v>1.3375146410412958E-2</v>
      </c>
      <c r="AA7" s="52"/>
      <c r="AB7" s="52"/>
      <c r="AC7" s="52"/>
      <c r="AD7" s="52"/>
    </row>
    <row r="8" spans="1:30">
      <c r="A8" s="59" t="str">
        <f>'Absolute visies'!A8</f>
        <v>Aandelen opkomend</v>
      </c>
      <c r="B8" s="1">
        <v>6.7652554115082919E-2</v>
      </c>
      <c r="C8" s="54">
        <v>1.8824080177060977E-2</v>
      </c>
      <c r="D8" s="55">
        <v>5.308495787746581E-2</v>
      </c>
      <c r="E8" s="1">
        <v>6.6308736628023723E-2</v>
      </c>
      <c r="F8" s="56">
        <v>8.1429688396769229E-2</v>
      </c>
      <c r="G8" s="2">
        <v>-0.94795761490747144</v>
      </c>
      <c r="H8" s="2">
        <v>1.2379127053718384E-2</v>
      </c>
      <c r="I8" s="2">
        <v>-0.52701794291555704</v>
      </c>
      <c r="J8" s="2">
        <v>-0.31547091369875457</v>
      </c>
      <c r="K8" s="2">
        <v>-0.49526962141828512</v>
      </c>
      <c r="L8" s="2">
        <v>0.99999999999999822</v>
      </c>
      <c r="M8" s="2" t="s">
        <v>147</v>
      </c>
      <c r="N8" s="2" t="s">
        <v>147</v>
      </c>
      <c r="O8" s="57"/>
      <c r="R8" s="51" t="str">
        <f t="shared" si="0"/>
        <v>Aandelen opkomend</v>
      </c>
      <c r="S8" s="52">
        <f t="shared" si="1"/>
        <v>5.308495787746581E-2</v>
      </c>
      <c r="T8" s="52">
        <f t="shared" si="2"/>
        <v>1.4567596237617109E-2</v>
      </c>
      <c r="U8" s="52">
        <f t="shared" si="3"/>
        <v>1.377713428168631E-2</v>
      </c>
      <c r="AA8" s="52"/>
      <c r="AB8" s="52"/>
      <c r="AC8" s="52"/>
      <c r="AD8" s="52"/>
    </row>
    <row r="9" spans="1:30">
      <c r="A9" s="59" t="str">
        <f>'Absolute visies'!A9</f>
        <v>Commodities</v>
      </c>
      <c r="B9" s="1">
        <v>1.5135490840127858E-2</v>
      </c>
      <c r="C9" s="54">
        <v>1.2857237645769995E-2</v>
      </c>
      <c r="D9" s="55">
        <v>3.9317029540156707E-3</v>
      </c>
      <c r="E9" s="1">
        <v>1.2945683241416789E-2</v>
      </c>
      <c r="F9" s="56">
        <v>2.30036886216483E-2</v>
      </c>
      <c r="G9" s="2">
        <v>-0.12820015510545721</v>
      </c>
      <c r="H9" s="2">
        <v>-0.24845716644086085</v>
      </c>
      <c r="I9" s="2">
        <v>1</v>
      </c>
      <c r="J9" s="2">
        <v>-0.2205537435844995</v>
      </c>
      <c r="K9" s="2">
        <v>-0.38409008305683973</v>
      </c>
      <c r="L9" s="2">
        <v>0.99999999999999034</v>
      </c>
      <c r="M9" s="2" t="s">
        <v>147</v>
      </c>
      <c r="N9" s="2" t="s">
        <v>147</v>
      </c>
      <c r="O9" s="57"/>
      <c r="R9" s="51" t="str">
        <f t="shared" si="0"/>
        <v>Commodities</v>
      </c>
      <c r="S9" s="52">
        <f t="shared" si="1"/>
        <v>3.9317029540156707E-3</v>
      </c>
      <c r="T9" s="52">
        <f t="shared" si="2"/>
        <v>1.1203787886112187E-2</v>
      </c>
      <c r="U9" s="52">
        <f t="shared" si="3"/>
        <v>7.8681977815204425E-3</v>
      </c>
      <c r="AA9" s="52"/>
      <c r="AB9" s="52"/>
      <c r="AC9" s="52"/>
      <c r="AD9" s="52"/>
    </row>
    <row r="10" spans="1:30">
      <c r="A10" s="59" t="str">
        <f>'Absolute visies'!A10</f>
        <v>Hedge funds</v>
      </c>
      <c r="B10" s="1">
        <v>3.1019975297702843E-2</v>
      </c>
      <c r="C10" s="54">
        <v>2.9519833700000965E-16</v>
      </c>
      <c r="D10" s="55">
        <v>3.1019975297703138E-2</v>
      </c>
      <c r="E10" s="1">
        <v>3.1019975297703138E-2</v>
      </c>
      <c r="F10" s="56">
        <v>3.1019975297703138E-2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 t="s">
        <v>147</v>
      </c>
      <c r="N10" s="2" t="s">
        <v>147</v>
      </c>
      <c r="O10" s="57"/>
      <c r="R10" s="51" t="str">
        <f t="shared" si="0"/>
        <v>Hedge funds</v>
      </c>
      <c r="S10" s="52">
        <f t="shared" si="1"/>
        <v>3.1019975297703138E-2</v>
      </c>
      <c r="T10" s="52">
        <f t="shared" si="2"/>
        <v>-2.9490299091605721E-16</v>
      </c>
      <c r="U10" s="52">
        <f t="shared" si="3"/>
        <v>2.9490299091605721E-16</v>
      </c>
      <c r="AA10" s="52"/>
      <c r="AB10" s="52"/>
      <c r="AC10" s="52"/>
      <c r="AD10" s="52"/>
    </row>
    <row r="11" spans="1:30">
      <c r="A11" s="60" t="str">
        <f>'Absolute visies'!A11</f>
        <v>Onroerend goed</v>
      </c>
      <c r="B11" s="61">
        <v>4.6167500008305204E-2</v>
      </c>
      <c r="C11" s="62">
        <v>4.2369643663530793E-16</v>
      </c>
      <c r="D11" s="63">
        <v>4.6167500008304781E-2</v>
      </c>
      <c r="E11" s="61">
        <v>4.6167500008304781E-2</v>
      </c>
      <c r="F11" s="64">
        <v>4.6167500008304781E-2</v>
      </c>
      <c r="G11" s="65">
        <v>0</v>
      </c>
      <c r="H11" s="65">
        <v>0</v>
      </c>
      <c r="I11" s="65">
        <v>0</v>
      </c>
      <c r="J11" s="65">
        <v>0</v>
      </c>
      <c r="K11" s="65">
        <v>0</v>
      </c>
      <c r="L11" s="65">
        <v>0</v>
      </c>
      <c r="M11" s="65" t="s">
        <v>147</v>
      </c>
      <c r="N11" s="65" t="s">
        <v>147</v>
      </c>
      <c r="O11" s="66"/>
      <c r="R11" s="51" t="str">
        <f t="shared" si="0"/>
        <v>Onroerend goed</v>
      </c>
      <c r="S11" s="52">
        <f t="shared" si="1"/>
        <v>4.6167500008304781E-2</v>
      </c>
      <c r="T11" s="52">
        <f t="shared" si="2"/>
        <v>4.2327252813834093E-16</v>
      </c>
      <c r="U11" s="52">
        <f t="shared" si="3"/>
        <v>-4.2327252813834093E-16</v>
      </c>
    </row>
    <row r="12" spans="1:30">
      <c r="AA12" s="52"/>
      <c r="AB12" s="52"/>
      <c r="AC12" s="52"/>
      <c r="AD12" s="52"/>
    </row>
    <row r="13" spans="1:30">
      <c r="A13" s="48" t="s">
        <v>68</v>
      </c>
      <c r="D13" s="407" t="s">
        <v>64</v>
      </c>
      <c r="E13" s="408"/>
      <c r="F13" s="409"/>
      <c r="G13" s="407" t="s">
        <v>65</v>
      </c>
      <c r="H13" s="408"/>
      <c r="I13" s="408"/>
      <c r="J13" s="408"/>
      <c r="K13" s="408"/>
      <c r="L13" s="408"/>
      <c r="M13" s="408"/>
      <c r="N13" s="408"/>
      <c r="O13" s="409"/>
    </row>
    <row r="14" spans="1:30">
      <c r="A14" s="266" t="str">
        <f>Optimalisatie!A21</f>
        <v>Base Case</v>
      </c>
      <c r="B14" s="267" t="s">
        <v>1</v>
      </c>
      <c r="C14" s="268" t="s">
        <v>2</v>
      </c>
      <c r="D14" s="269">
        <v>0.25</v>
      </c>
      <c r="E14" s="270">
        <v>0.5</v>
      </c>
      <c r="F14" s="271">
        <v>0.75</v>
      </c>
      <c r="G14" s="272">
        <v>0.69242611054478609</v>
      </c>
      <c r="H14" s="272">
        <v>0.20460342749155447</v>
      </c>
      <c r="I14" s="272">
        <v>7.5302368021179733E-2</v>
      </c>
      <c r="J14" s="272">
        <v>1.7937682294248636E-2</v>
      </c>
      <c r="K14" s="272">
        <v>9.7304116482329617E-3</v>
      </c>
      <c r="L14" s="272">
        <v>0</v>
      </c>
      <c r="M14" s="272" t="s">
        <v>147</v>
      </c>
      <c r="N14" s="272" t="s">
        <v>147</v>
      </c>
      <c r="O14" s="273">
        <v>0</v>
      </c>
      <c r="R14" s="51" t="str">
        <f>A14</f>
        <v>Base Case</v>
      </c>
      <c r="S14" s="51"/>
      <c r="T14" s="52"/>
      <c r="U14" s="51"/>
      <c r="AA14" s="52"/>
      <c r="AB14" s="52"/>
      <c r="AC14" s="52"/>
      <c r="AD14" s="52"/>
    </row>
    <row r="15" spans="1:30">
      <c r="A15" s="59" t="str">
        <f>A4</f>
        <v>Nominale matching</v>
      </c>
      <c r="B15" s="285">
        <v>0.56192476749022247</v>
      </c>
      <c r="C15" s="54">
        <v>8.9092878326454301E-3</v>
      </c>
      <c r="D15" s="55">
        <v>0.55445412466283595</v>
      </c>
      <c r="E15" s="1">
        <v>0.56008669293857338</v>
      </c>
      <c r="F15" s="56">
        <v>0.56729593702059211</v>
      </c>
      <c r="G15" s="2">
        <v>-4.5072825825176514E-2</v>
      </c>
      <c r="H15" s="2">
        <v>-0.27552564318151501</v>
      </c>
      <c r="I15" s="2">
        <v>-0.57678639499395412</v>
      </c>
      <c r="J15" s="2">
        <v>1</v>
      </c>
      <c r="K15" s="2">
        <v>-4.6960594402332197E-2</v>
      </c>
      <c r="L15" s="2">
        <v>0.99999999999999911</v>
      </c>
      <c r="M15" s="2" t="s">
        <v>147</v>
      </c>
      <c r="N15" s="2" t="s">
        <v>147</v>
      </c>
      <c r="O15" s="57"/>
      <c r="R15" s="51" t="str">
        <f>A15</f>
        <v>Nominale matching</v>
      </c>
      <c r="S15" s="52">
        <f>D15</f>
        <v>0.55445412466283595</v>
      </c>
      <c r="T15" s="52">
        <f>B15-D15</f>
        <v>7.47064282738652E-3</v>
      </c>
      <c r="U15" s="52">
        <f>F15-B15</f>
        <v>5.3711695303696461E-3</v>
      </c>
      <c r="AA15" s="52"/>
      <c r="AB15" s="52"/>
      <c r="AC15" s="52"/>
      <c r="AD15" s="52"/>
    </row>
    <row r="16" spans="1:30">
      <c r="A16" s="59" t="str">
        <f t="shared" ref="A16:A22" si="4">A5</f>
        <v>High Yield</v>
      </c>
      <c r="B16" s="285">
        <v>6.6082803095229625E-2</v>
      </c>
      <c r="C16" s="54">
        <v>1.1491906339597064E-2</v>
      </c>
      <c r="D16" s="55">
        <v>5.6632780015644327E-2</v>
      </c>
      <c r="E16" s="1">
        <v>6.4468361129706969E-2</v>
      </c>
      <c r="F16" s="56">
        <v>7.2827755965506016E-2</v>
      </c>
      <c r="G16" s="2">
        <v>-9.8690490512787526E-2</v>
      </c>
      <c r="H16" s="2">
        <v>-0.23393589866009051</v>
      </c>
      <c r="I16" s="2">
        <v>1</v>
      </c>
      <c r="J16" s="2">
        <v>0.34891825097278184</v>
      </c>
      <c r="K16" s="2">
        <v>-0.10129076756371738</v>
      </c>
      <c r="L16" s="2">
        <v>0.99999999999999867</v>
      </c>
      <c r="M16" s="2" t="s">
        <v>147</v>
      </c>
      <c r="N16" s="2" t="s">
        <v>147</v>
      </c>
      <c r="O16" s="57"/>
      <c r="R16" s="51" t="str">
        <f t="shared" ref="R16:R22" si="5">A16</f>
        <v>High Yield</v>
      </c>
      <c r="S16" s="52">
        <f t="shared" ref="S16:S22" si="6">D16</f>
        <v>5.6632780015644327E-2</v>
      </c>
      <c r="T16" s="52">
        <f t="shared" ref="T16:T22" si="7">B16-D16</f>
        <v>9.4500230795852985E-3</v>
      </c>
      <c r="U16" s="52">
        <f t="shared" ref="U16:U22" si="8">F16-B16</f>
        <v>6.7449528702763911E-3</v>
      </c>
      <c r="AA16" s="52"/>
      <c r="AB16" s="52"/>
      <c r="AC16" s="52"/>
      <c r="AD16" s="52"/>
    </row>
    <row r="17" spans="1:30">
      <c r="A17" s="59" t="str">
        <f t="shared" si="4"/>
        <v>Emerging market debt</v>
      </c>
      <c r="B17" s="285">
        <v>8.1340563063599741E-2</v>
      </c>
      <c r="C17" s="54">
        <v>1.798957402594964E-2</v>
      </c>
      <c r="D17" s="55">
        <v>6.7085909467966776E-2</v>
      </c>
      <c r="E17" s="1">
        <v>7.9408748082131081E-2</v>
      </c>
      <c r="F17" s="56">
        <v>9.3797173956543967E-2</v>
      </c>
      <c r="G17" s="2">
        <v>7.3904838999693384E-2</v>
      </c>
      <c r="H17" s="2">
        <v>1</v>
      </c>
      <c r="I17" s="2">
        <v>-1.0118450533749058E-2</v>
      </c>
      <c r="J17" s="2">
        <v>8.0671604432196273E-2</v>
      </c>
      <c r="K17" s="2">
        <v>-0.19769447336553439</v>
      </c>
      <c r="L17" s="2">
        <v>0.99999999999999911</v>
      </c>
      <c r="M17" s="2" t="s">
        <v>147</v>
      </c>
      <c r="N17" s="2" t="s">
        <v>147</v>
      </c>
      <c r="O17" s="57"/>
      <c r="R17" s="51" t="str">
        <f t="shared" si="5"/>
        <v>Emerging market debt</v>
      </c>
      <c r="S17" s="52">
        <f t="shared" si="6"/>
        <v>6.7085909467966776E-2</v>
      </c>
      <c r="T17" s="52">
        <f t="shared" si="7"/>
        <v>1.4254653595632966E-2</v>
      </c>
      <c r="U17" s="52">
        <f t="shared" si="8"/>
        <v>1.2456610892944225E-2</v>
      </c>
      <c r="AA17" s="52"/>
      <c r="AB17" s="52"/>
      <c r="AC17" s="52"/>
      <c r="AD17" s="52"/>
    </row>
    <row r="18" spans="1:30">
      <c r="A18" s="59" t="str">
        <f t="shared" si="4"/>
        <v>Aandelen ontwikkeld</v>
      </c>
      <c r="B18" s="285">
        <v>8.0226291700661659E-2</v>
      </c>
      <c r="C18" s="54">
        <v>4.2826402523228231E-3</v>
      </c>
      <c r="D18" s="55">
        <v>7.6918430717805811E-2</v>
      </c>
      <c r="E18" s="1">
        <v>7.9197385486712957E-2</v>
      </c>
      <c r="F18" s="56">
        <v>8.2508847453497833E-2</v>
      </c>
      <c r="G18" s="2">
        <v>-4.5621749032051892E-2</v>
      </c>
      <c r="H18" s="2">
        <v>3.4253073225612974E-3</v>
      </c>
      <c r="I18" s="2">
        <v>-5.0745870769925781E-2</v>
      </c>
      <c r="J18" s="2">
        <v>-0.28288704894390443</v>
      </c>
      <c r="K18" s="2">
        <v>1</v>
      </c>
      <c r="L18" s="2">
        <v>1</v>
      </c>
      <c r="M18" s="2" t="s">
        <v>147</v>
      </c>
      <c r="N18" s="2" t="s">
        <v>147</v>
      </c>
      <c r="O18" s="57"/>
      <c r="R18" s="51" t="str">
        <f t="shared" si="5"/>
        <v>Aandelen ontwikkeld</v>
      </c>
      <c r="S18" s="52">
        <f t="shared" si="6"/>
        <v>7.6918430717805811E-2</v>
      </c>
      <c r="T18" s="52">
        <f t="shared" si="7"/>
        <v>3.3078609828558481E-3</v>
      </c>
      <c r="U18" s="52">
        <f t="shared" si="8"/>
        <v>2.282555752836174E-3</v>
      </c>
      <c r="AA18" s="52"/>
      <c r="AB18" s="52"/>
      <c r="AC18" s="52"/>
      <c r="AD18" s="52"/>
    </row>
    <row r="19" spans="1:30">
      <c r="A19" s="59" t="str">
        <f t="shared" si="4"/>
        <v>Aandelen opkomend</v>
      </c>
      <c r="B19" s="285">
        <v>7.3016920730815213E-2</v>
      </c>
      <c r="C19" s="54">
        <v>2.8051852611448831E-2</v>
      </c>
      <c r="D19" s="55">
        <v>4.9623150180197903E-2</v>
      </c>
      <c r="E19" s="1">
        <v>6.9554792037574281E-2</v>
      </c>
      <c r="F19" s="56">
        <v>9.2631538941729041E-2</v>
      </c>
      <c r="G19" s="2">
        <v>1</v>
      </c>
      <c r="H19" s="2">
        <v>-0.28982198227296291</v>
      </c>
      <c r="I19" s="2">
        <v>-0.1323304350609926</v>
      </c>
      <c r="J19" s="2">
        <v>-0.50603947215735812</v>
      </c>
      <c r="K19" s="2">
        <v>-0.28145345252739601</v>
      </c>
      <c r="L19" s="2">
        <v>0.99999999999999845</v>
      </c>
      <c r="M19" s="2" t="s">
        <v>147</v>
      </c>
      <c r="N19" s="2" t="s">
        <v>147</v>
      </c>
      <c r="O19" s="57"/>
      <c r="R19" s="51" t="str">
        <f t="shared" si="5"/>
        <v>Aandelen opkomend</v>
      </c>
      <c r="S19" s="52">
        <f t="shared" si="6"/>
        <v>4.9623150180197903E-2</v>
      </c>
      <c r="T19" s="52">
        <f t="shared" si="7"/>
        <v>2.339377055061731E-2</v>
      </c>
      <c r="U19" s="52">
        <f t="shared" si="8"/>
        <v>1.9614618210913828E-2</v>
      </c>
      <c r="AA19" s="52"/>
      <c r="AB19" s="52"/>
      <c r="AC19" s="52"/>
      <c r="AD19" s="52"/>
    </row>
    <row r="20" spans="1:30">
      <c r="A20" s="59" t="str">
        <f t="shared" si="4"/>
        <v>Commodities</v>
      </c>
      <c r="B20" s="285">
        <v>6.0221178613463155E-2</v>
      </c>
      <c r="C20" s="54">
        <v>2.4843318211857559E-2</v>
      </c>
      <c r="D20" s="55">
        <v>4.2439840757957835E-2</v>
      </c>
      <c r="E20" s="1">
        <v>6.5058915217087565E-2</v>
      </c>
      <c r="F20" s="56">
        <v>7.9352564620233018E-2</v>
      </c>
      <c r="G20" s="2">
        <v>-0.88451977362967782</v>
      </c>
      <c r="H20" s="2">
        <v>-0.2041417832079932</v>
      </c>
      <c r="I20" s="2">
        <v>-0.23001884864137762</v>
      </c>
      <c r="J20" s="2">
        <v>-0.64066333430371591</v>
      </c>
      <c r="K20" s="2">
        <v>-0.37260071214102231</v>
      </c>
      <c r="L20" s="2">
        <v>0.999999999999998</v>
      </c>
      <c r="M20" s="2" t="s">
        <v>147</v>
      </c>
      <c r="N20" s="2" t="s">
        <v>147</v>
      </c>
      <c r="O20" s="57"/>
      <c r="R20" s="51" t="str">
        <f t="shared" si="5"/>
        <v>Commodities</v>
      </c>
      <c r="S20" s="52">
        <f t="shared" si="6"/>
        <v>4.2439840757957835E-2</v>
      </c>
      <c r="T20" s="52">
        <f t="shared" si="7"/>
        <v>1.7781337855505321E-2</v>
      </c>
      <c r="U20" s="52">
        <f t="shared" si="8"/>
        <v>1.9131386006769863E-2</v>
      </c>
      <c r="AA20" s="52"/>
      <c r="AB20" s="52"/>
      <c r="AC20" s="52"/>
      <c r="AD20" s="52"/>
    </row>
    <row r="21" spans="1:30">
      <c r="A21" s="59" t="str">
        <f t="shared" si="4"/>
        <v>Hedge funds</v>
      </c>
      <c r="B21" s="285">
        <v>3.1019975297702843E-2</v>
      </c>
      <c r="C21" s="54">
        <v>2.9519833700000965E-16</v>
      </c>
      <c r="D21" s="55">
        <v>3.1019975297703138E-2</v>
      </c>
      <c r="E21" s="1">
        <v>3.1019975297703138E-2</v>
      </c>
      <c r="F21" s="56">
        <v>3.1019975297703138E-2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 t="s">
        <v>147</v>
      </c>
      <c r="N21" s="2" t="s">
        <v>147</v>
      </c>
      <c r="O21" s="57"/>
      <c r="R21" s="51" t="str">
        <f t="shared" si="5"/>
        <v>Hedge funds</v>
      </c>
      <c r="S21" s="52">
        <f t="shared" si="6"/>
        <v>3.1019975297703138E-2</v>
      </c>
      <c r="T21" s="52">
        <f t="shared" si="7"/>
        <v>-2.9490299091605721E-16</v>
      </c>
      <c r="U21" s="52">
        <f t="shared" si="8"/>
        <v>2.9490299091605721E-16</v>
      </c>
    </row>
    <row r="22" spans="1:30">
      <c r="A22" s="60" t="str">
        <f t="shared" si="4"/>
        <v>Onroerend goed</v>
      </c>
      <c r="B22" s="286">
        <v>4.6167500008305204E-2</v>
      </c>
      <c r="C22" s="62">
        <v>4.2369643663530793E-16</v>
      </c>
      <c r="D22" s="63">
        <v>4.6167500008304781E-2</v>
      </c>
      <c r="E22" s="61">
        <v>4.6167500008304781E-2</v>
      </c>
      <c r="F22" s="64">
        <v>4.6167500008304781E-2</v>
      </c>
      <c r="G22" s="65">
        <v>0</v>
      </c>
      <c r="H22" s="65">
        <v>0</v>
      </c>
      <c r="I22" s="65">
        <v>0</v>
      </c>
      <c r="J22" s="65">
        <v>0</v>
      </c>
      <c r="K22" s="65">
        <v>0</v>
      </c>
      <c r="L22" s="65">
        <v>0</v>
      </c>
      <c r="M22" s="65" t="s">
        <v>147</v>
      </c>
      <c r="N22" s="65" t="s">
        <v>147</v>
      </c>
      <c r="O22" s="66"/>
      <c r="R22" s="51" t="str">
        <f t="shared" si="5"/>
        <v>Onroerend goed</v>
      </c>
      <c r="S22" s="52">
        <f t="shared" si="6"/>
        <v>4.6167500008304781E-2</v>
      </c>
      <c r="T22" s="52">
        <f t="shared" si="7"/>
        <v>4.2327252813834093E-16</v>
      </c>
      <c r="U22" s="52">
        <f t="shared" si="8"/>
        <v>-4.2327252813834093E-16</v>
      </c>
    </row>
    <row r="23" spans="1:30">
      <c r="A23" s="67"/>
      <c r="B23" s="1"/>
      <c r="C23" s="1"/>
      <c r="D23" s="1"/>
      <c r="E23" s="1"/>
      <c r="F23" s="68"/>
      <c r="G23" s="68"/>
      <c r="H23" s="68"/>
      <c r="I23" s="68"/>
      <c r="J23" s="68"/>
      <c r="K23" s="68"/>
      <c r="L23" s="68"/>
      <c r="M23" s="68"/>
      <c r="N23" s="68"/>
      <c r="O23" s="68"/>
    </row>
    <row r="24" spans="1:30">
      <c r="D24" s="407" t="s">
        <v>64</v>
      </c>
      <c r="E24" s="408"/>
      <c r="F24" s="409"/>
      <c r="G24" s="407" t="s">
        <v>65</v>
      </c>
      <c r="H24" s="408"/>
      <c r="I24" s="408"/>
      <c r="J24" s="408"/>
      <c r="K24" s="408"/>
      <c r="L24" s="408"/>
      <c r="M24" s="408"/>
      <c r="N24" s="408"/>
      <c r="O24" s="409"/>
    </row>
    <row r="25" spans="1:30">
      <c r="A25" s="266" t="str">
        <f>Optimalisatie!A22</f>
        <v>Base - muddle down</v>
      </c>
      <c r="B25" s="267" t="s">
        <v>1</v>
      </c>
      <c r="C25" s="268" t="s">
        <v>2</v>
      </c>
      <c r="D25" s="269">
        <v>0.25</v>
      </c>
      <c r="E25" s="270">
        <v>0.5</v>
      </c>
      <c r="F25" s="271">
        <v>0.75</v>
      </c>
      <c r="G25" s="272">
        <v>0.6253944337358095</v>
      </c>
      <c r="H25" s="272">
        <v>0.21213420794602356</v>
      </c>
      <c r="I25" s="272">
        <v>0.11923341988748115</v>
      </c>
      <c r="J25" s="272">
        <v>3.6662911148425237E-2</v>
      </c>
      <c r="K25" s="272">
        <v>6.5750272822618916E-3</v>
      </c>
      <c r="L25" s="272">
        <v>2.2204460492503131E-16</v>
      </c>
      <c r="M25" s="272" t="s">
        <v>147</v>
      </c>
      <c r="N25" s="272" t="s">
        <v>147</v>
      </c>
      <c r="O25" s="273">
        <v>0</v>
      </c>
      <c r="R25" s="51" t="str">
        <f>A25</f>
        <v>Base - muddle down</v>
      </c>
      <c r="S25" s="51"/>
      <c r="T25" s="52"/>
      <c r="U25" s="51"/>
      <c r="AA25" s="52"/>
      <c r="AB25" s="52"/>
      <c r="AC25" s="52"/>
      <c r="AD25" s="52"/>
    </row>
    <row r="26" spans="1:30">
      <c r="A26" s="59" t="str">
        <f>A15</f>
        <v>Nominale matching</v>
      </c>
      <c r="B26" s="1">
        <v>0.62858498248685313</v>
      </c>
      <c r="C26" s="54">
        <v>1.8713180438906896E-2</v>
      </c>
      <c r="D26" s="55">
        <v>0.61912580985503496</v>
      </c>
      <c r="E26" s="1">
        <v>0.63324987806941091</v>
      </c>
      <c r="F26" s="56">
        <v>0.64374538275809257</v>
      </c>
      <c r="G26" s="68">
        <v>-0.84479542340330938</v>
      </c>
      <c r="H26" s="68">
        <v>-0.37085989010081272</v>
      </c>
      <c r="I26" s="68">
        <v>-0.4802221590428441</v>
      </c>
      <c r="J26" s="68">
        <v>-0.34812669324088441</v>
      </c>
      <c r="K26" s="68">
        <v>-0.27874088206202402</v>
      </c>
      <c r="L26" s="68">
        <v>0.99999999999999312</v>
      </c>
      <c r="M26" s="2" t="s">
        <v>147</v>
      </c>
      <c r="N26" s="2" t="s">
        <v>147</v>
      </c>
      <c r="O26" s="69"/>
      <c r="R26" s="51" t="str">
        <f>A26</f>
        <v>Nominale matching</v>
      </c>
      <c r="S26" s="52">
        <f>D26</f>
        <v>0.61912580985503496</v>
      </c>
      <c r="T26" s="52">
        <f>B26-D26</f>
        <v>9.459172631818169E-3</v>
      </c>
      <c r="U26" s="52">
        <f>F26-B26</f>
        <v>1.5160400271239438E-2</v>
      </c>
      <c r="AA26" s="52"/>
      <c r="AB26" s="52"/>
      <c r="AC26" s="52"/>
      <c r="AD26" s="52"/>
    </row>
    <row r="27" spans="1:30">
      <c r="A27" s="59" t="str">
        <f t="shared" ref="A27:A33" si="9">A16</f>
        <v>High Yield</v>
      </c>
      <c r="B27" s="1">
        <v>5.8118730087721601E-2</v>
      </c>
      <c r="C27" s="54">
        <v>6.4576204391006489E-3</v>
      </c>
      <c r="D27" s="55">
        <v>5.2820383122432736E-2</v>
      </c>
      <c r="E27" s="1">
        <v>5.675059224497031E-2</v>
      </c>
      <c r="F27" s="56">
        <v>6.1777074009725041E-2</v>
      </c>
      <c r="G27" s="68">
        <v>5.1767308434098228E-2</v>
      </c>
      <c r="H27" s="68">
        <v>-8.9495344217224909E-2</v>
      </c>
      <c r="I27" s="68">
        <v>-0.24331856463557039</v>
      </c>
      <c r="J27" s="68">
        <v>1</v>
      </c>
      <c r="K27" s="68">
        <v>-9.1585031575839845E-2</v>
      </c>
      <c r="L27" s="68">
        <v>0.99999999999999656</v>
      </c>
      <c r="M27" s="2" t="s">
        <v>147</v>
      </c>
      <c r="N27" s="2" t="s">
        <v>147</v>
      </c>
      <c r="O27" s="69"/>
      <c r="R27" s="51" t="str">
        <f t="shared" ref="R27:R33" si="10">A27</f>
        <v>High Yield</v>
      </c>
      <c r="S27" s="52">
        <f t="shared" ref="S27:S33" si="11">D27</f>
        <v>5.2820383122432736E-2</v>
      </c>
      <c r="T27" s="52">
        <f t="shared" ref="T27:T33" si="12">B27-D27</f>
        <v>5.2983469652888651E-3</v>
      </c>
      <c r="U27" s="52">
        <f t="shared" ref="U27:U33" si="13">F27-B27</f>
        <v>3.6583439220034403E-3</v>
      </c>
      <c r="AA27" s="52"/>
      <c r="AB27" s="52"/>
      <c r="AC27" s="52"/>
      <c r="AD27" s="52"/>
    </row>
    <row r="28" spans="1:30">
      <c r="A28" s="59" t="str">
        <f t="shared" si="9"/>
        <v>Emerging market debt</v>
      </c>
      <c r="B28" s="1">
        <v>7.0940391480764517E-2</v>
      </c>
      <c r="C28" s="54">
        <v>1.4359608646531586E-2</v>
      </c>
      <c r="D28" s="55">
        <v>5.9034342890123895E-2</v>
      </c>
      <c r="E28" s="1">
        <v>6.8916726390143623E-2</v>
      </c>
      <c r="F28" s="56">
        <v>7.960429221107862E-2</v>
      </c>
      <c r="G28" s="68">
        <v>-0.18394594529312178</v>
      </c>
      <c r="H28" s="68">
        <v>1</v>
      </c>
      <c r="I28" s="68">
        <v>0.11851652280439977</v>
      </c>
      <c r="J28" s="68">
        <v>-0.10978098701241869</v>
      </c>
      <c r="K28" s="68">
        <v>-0.17757608887050946</v>
      </c>
      <c r="L28" s="68">
        <v>0.99999999999999367</v>
      </c>
      <c r="M28" s="2" t="s">
        <v>147</v>
      </c>
      <c r="N28" s="2" t="s">
        <v>147</v>
      </c>
      <c r="O28" s="69"/>
      <c r="R28" s="51" t="str">
        <f t="shared" si="10"/>
        <v>Emerging market debt</v>
      </c>
      <c r="S28" s="52">
        <f t="shared" si="11"/>
        <v>5.9034342890123895E-2</v>
      </c>
      <c r="T28" s="52">
        <f t="shared" si="12"/>
        <v>1.1906048590640622E-2</v>
      </c>
      <c r="U28" s="52">
        <f t="shared" si="13"/>
        <v>8.663900730314103E-3</v>
      </c>
      <c r="AA28" s="52"/>
      <c r="AB28" s="52"/>
      <c r="AC28" s="52"/>
      <c r="AD28" s="52"/>
    </row>
    <row r="29" spans="1:30">
      <c r="A29" s="59" t="str">
        <f t="shared" si="9"/>
        <v>Aandelen ontwikkeld</v>
      </c>
      <c r="B29" s="1">
        <v>7.8192881873289058E-2</v>
      </c>
      <c r="C29" s="54">
        <v>2.76243244732739E-3</v>
      </c>
      <c r="D29" s="55">
        <v>7.6091653185219432E-2</v>
      </c>
      <c r="E29" s="1">
        <v>7.7545400926698593E-2</v>
      </c>
      <c r="F29" s="56">
        <v>7.953676786935901E-2</v>
      </c>
      <c r="G29" s="68">
        <v>1.7441341587990395E-2</v>
      </c>
      <c r="H29" s="68">
        <v>-3.4256651547596453E-2</v>
      </c>
      <c r="I29" s="68">
        <v>-6.5288905379360412E-2</v>
      </c>
      <c r="J29" s="68">
        <v>-0.13658926280417666</v>
      </c>
      <c r="K29" s="68">
        <v>1</v>
      </c>
      <c r="L29" s="68">
        <v>1</v>
      </c>
      <c r="M29" s="2" t="s">
        <v>147</v>
      </c>
      <c r="N29" s="2" t="s">
        <v>147</v>
      </c>
      <c r="O29" s="69"/>
      <c r="R29" s="51" t="str">
        <f t="shared" si="10"/>
        <v>Aandelen ontwikkeld</v>
      </c>
      <c r="S29" s="52">
        <f t="shared" si="11"/>
        <v>7.6091653185219432E-2</v>
      </c>
      <c r="T29" s="52">
        <f t="shared" si="12"/>
        <v>2.1012286880696257E-3</v>
      </c>
      <c r="U29" s="52">
        <f t="shared" si="13"/>
        <v>1.3438859960699517E-3</v>
      </c>
      <c r="AA29" s="52"/>
      <c r="AB29" s="52"/>
      <c r="AC29" s="52"/>
      <c r="AD29" s="52"/>
    </row>
    <row r="30" spans="1:30">
      <c r="A30" s="59" t="str">
        <f t="shared" si="9"/>
        <v>Aandelen opkomend</v>
      </c>
      <c r="B30" s="1">
        <v>3.92594872006558E-2</v>
      </c>
      <c r="C30" s="54">
        <v>1.115894611234549E-2</v>
      </c>
      <c r="D30" s="55">
        <v>3.0236057645657292E-2</v>
      </c>
      <c r="E30" s="1">
        <v>3.6738223865330377E-2</v>
      </c>
      <c r="F30" s="56">
        <v>4.5816105482918347E-2</v>
      </c>
      <c r="G30" s="68">
        <v>-4.0467281325657259E-2</v>
      </c>
      <c r="H30" s="68">
        <v>-0.36643510414811942</v>
      </c>
      <c r="I30" s="68">
        <v>1</v>
      </c>
      <c r="J30" s="68">
        <v>-4.0201594613635198E-2</v>
      </c>
      <c r="K30" s="68">
        <v>-0.16459368453454915</v>
      </c>
      <c r="L30" s="68">
        <v>0.99999999999999434</v>
      </c>
      <c r="M30" s="2" t="s">
        <v>147</v>
      </c>
      <c r="N30" s="2" t="s">
        <v>147</v>
      </c>
      <c r="O30" s="69"/>
      <c r="R30" s="51" t="str">
        <f t="shared" si="10"/>
        <v>Aandelen opkomend</v>
      </c>
      <c r="S30" s="52">
        <f t="shared" si="11"/>
        <v>3.0236057645657292E-2</v>
      </c>
      <c r="T30" s="52">
        <f t="shared" si="12"/>
        <v>9.0234295549985084E-3</v>
      </c>
      <c r="U30" s="52">
        <f t="shared" si="13"/>
        <v>6.5566182822625468E-3</v>
      </c>
      <c r="AA30" s="52"/>
      <c r="AB30" s="52"/>
      <c r="AC30" s="52"/>
      <c r="AD30" s="52"/>
    </row>
    <row r="31" spans="1:30">
      <c r="A31" s="59" t="str">
        <f t="shared" si="9"/>
        <v>Commodities</v>
      </c>
      <c r="B31" s="1">
        <v>4.7716051564708019E-2</v>
      </c>
      <c r="C31" s="54">
        <v>2.0863730640783656E-2</v>
      </c>
      <c r="D31" s="55">
        <v>3.2583410781970003E-2</v>
      </c>
      <c r="E31" s="1">
        <v>4.4317189752482417E-2</v>
      </c>
      <c r="F31" s="56">
        <v>5.9745271532557931E-2</v>
      </c>
      <c r="G31" s="68">
        <v>1</v>
      </c>
      <c r="H31" s="68">
        <v>-0.13895300998624641</v>
      </c>
      <c r="I31" s="68">
        <v>-0.32968689374662546</v>
      </c>
      <c r="J31" s="68">
        <v>-0.36530146232888705</v>
      </c>
      <c r="K31" s="68">
        <v>-0.28750431295708417</v>
      </c>
      <c r="L31" s="68">
        <v>0.99999999999999278</v>
      </c>
      <c r="M31" s="2" t="s">
        <v>147</v>
      </c>
      <c r="N31" s="2" t="s">
        <v>147</v>
      </c>
      <c r="O31" s="69"/>
      <c r="R31" s="51" t="str">
        <f t="shared" si="10"/>
        <v>Commodities</v>
      </c>
      <c r="S31" s="52">
        <f t="shared" si="11"/>
        <v>3.2583410781970003E-2</v>
      </c>
      <c r="T31" s="52">
        <f t="shared" si="12"/>
        <v>1.5132640782738016E-2</v>
      </c>
      <c r="U31" s="52">
        <f t="shared" si="13"/>
        <v>1.2029219967849912E-2</v>
      </c>
      <c r="AA31" s="52"/>
      <c r="AB31" s="52"/>
      <c r="AC31" s="52"/>
      <c r="AD31" s="52"/>
    </row>
    <row r="32" spans="1:30">
      <c r="A32" s="59" t="str">
        <f t="shared" si="9"/>
        <v>Hedge funds</v>
      </c>
      <c r="B32" s="1">
        <v>3.1019975297702843E-2</v>
      </c>
      <c r="C32" s="54">
        <v>2.9519833700000965E-16</v>
      </c>
      <c r="D32" s="55">
        <v>3.1019975297703138E-2</v>
      </c>
      <c r="E32" s="1">
        <v>3.1019975297703138E-2</v>
      </c>
      <c r="F32" s="56">
        <v>3.1019975297703138E-2</v>
      </c>
      <c r="G32" s="68">
        <v>0</v>
      </c>
      <c r="H32" s="68">
        <v>0</v>
      </c>
      <c r="I32" s="68">
        <v>0</v>
      </c>
      <c r="J32" s="68">
        <v>0</v>
      </c>
      <c r="K32" s="68">
        <v>0</v>
      </c>
      <c r="L32" s="68">
        <v>0</v>
      </c>
      <c r="M32" s="2" t="s">
        <v>147</v>
      </c>
      <c r="N32" s="2" t="s">
        <v>147</v>
      </c>
      <c r="O32" s="69"/>
      <c r="R32" s="51" t="str">
        <f t="shared" si="10"/>
        <v>Hedge funds</v>
      </c>
      <c r="S32" s="52">
        <f t="shared" si="11"/>
        <v>3.1019975297703138E-2</v>
      </c>
      <c r="T32" s="52">
        <f t="shared" si="12"/>
        <v>-2.9490299091605721E-16</v>
      </c>
      <c r="U32" s="52">
        <f t="shared" si="13"/>
        <v>2.9490299091605721E-16</v>
      </c>
    </row>
    <row r="33" spans="1:30">
      <c r="A33" s="60" t="str">
        <f t="shared" si="9"/>
        <v>Onroerend goed</v>
      </c>
      <c r="B33" s="61">
        <v>4.6167500008305204E-2</v>
      </c>
      <c r="C33" s="62">
        <v>4.2369643663530793E-16</v>
      </c>
      <c r="D33" s="63">
        <v>4.6167500008304781E-2</v>
      </c>
      <c r="E33" s="61">
        <v>4.6167500008304781E-2</v>
      </c>
      <c r="F33" s="64">
        <v>4.6167500008304781E-2</v>
      </c>
      <c r="G33" s="70">
        <v>0</v>
      </c>
      <c r="H33" s="70">
        <v>0</v>
      </c>
      <c r="I33" s="70">
        <v>0</v>
      </c>
      <c r="J33" s="70">
        <v>0</v>
      </c>
      <c r="K33" s="70">
        <v>0</v>
      </c>
      <c r="L33" s="70">
        <v>0</v>
      </c>
      <c r="M33" s="65" t="s">
        <v>147</v>
      </c>
      <c r="N33" s="65" t="s">
        <v>147</v>
      </c>
      <c r="O33" s="71"/>
      <c r="R33" s="51" t="str">
        <f t="shared" si="10"/>
        <v>Onroerend goed</v>
      </c>
      <c r="S33" s="52">
        <f t="shared" si="11"/>
        <v>4.6167500008304781E-2</v>
      </c>
      <c r="T33" s="52">
        <f t="shared" si="12"/>
        <v>4.2327252813834093E-16</v>
      </c>
      <c r="U33" s="52">
        <f t="shared" si="13"/>
        <v>-4.2327252813834093E-16</v>
      </c>
    </row>
    <row r="34" spans="1:30">
      <c r="A34" s="67"/>
      <c r="B34" s="1"/>
      <c r="C34" s="1"/>
      <c r="D34" s="1"/>
      <c r="E34" s="1"/>
      <c r="F34" s="68"/>
      <c r="G34" s="68"/>
      <c r="H34" s="68"/>
      <c r="I34" s="68"/>
      <c r="J34" s="68"/>
      <c r="K34" s="68"/>
      <c r="L34" s="68"/>
      <c r="M34" s="68"/>
      <c r="N34" s="68"/>
      <c r="O34" s="68"/>
    </row>
    <row r="35" spans="1:30">
      <c r="D35" s="407" t="s">
        <v>64</v>
      </c>
      <c r="E35" s="408"/>
      <c r="F35" s="409"/>
      <c r="G35" s="407" t="s">
        <v>65</v>
      </c>
      <c r="H35" s="408"/>
      <c r="I35" s="408"/>
      <c r="J35" s="408"/>
      <c r="K35" s="408"/>
      <c r="L35" s="408"/>
      <c r="M35" s="408"/>
      <c r="N35" s="408"/>
      <c r="O35" s="409"/>
    </row>
    <row r="36" spans="1:30">
      <c r="A36" s="266" t="str">
        <f>Optimalisatie!A23</f>
        <v>Base - muddle up</v>
      </c>
      <c r="B36" s="267" t="s">
        <v>1</v>
      </c>
      <c r="C36" s="268" t="s">
        <v>2</v>
      </c>
      <c r="D36" s="269">
        <v>0.25</v>
      </c>
      <c r="E36" s="270">
        <v>0.5</v>
      </c>
      <c r="F36" s="271">
        <v>0.75</v>
      </c>
      <c r="G36" s="272">
        <v>0.70503588530394001</v>
      </c>
      <c r="H36" s="272">
        <v>0.16380383238772445</v>
      </c>
      <c r="I36" s="272">
        <v>8.025831067770528E-2</v>
      </c>
      <c r="J36" s="272">
        <v>4.532164615178047E-2</v>
      </c>
      <c r="K36" s="272">
        <v>5.580325478853454E-3</v>
      </c>
      <c r="L36" s="272">
        <v>0</v>
      </c>
      <c r="M36" s="272" t="s">
        <v>147</v>
      </c>
      <c r="N36" s="272" t="s">
        <v>147</v>
      </c>
      <c r="O36" s="273">
        <v>-2.2204460492503131E-16</v>
      </c>
      <c r="R36" s="51" t="str">
        <f>A36</f>
        <v>Base - muddle up</v>
      </c>
      <c r="S36" s="51"/>
      <c r="T36" s="52"/>
      <c r="U36" s="51"/>
      <c r="AA36" s="52"/>
      <c r="AB36" s="52"/>
      <c r="AC36" s="52"/>
      <c r="AD36" s="52"/>
    </row>
    <row r="37" spans="1:30">
      <c r="A37" s="59" t="str">
        <f>A15</f>
        <v>Nominale matching</v>
      </c>
      <c r="B37" s="1">
        <v>0.55888283463155741</v>
      </c>
      <c r="C37" s="54">
        <v>6.3025482906600896E-3</v>
      </c>
      <c r="D37" s="55">
        <v>0.55350748344343814</v>
      </c>
      <c r="E37" s="1">
        <v>0.55824859196472165</v>
      </c>
      <c r="F37" s="56">
        <v>0.56281183092657949</v>
      </c>
      <c r="G37" s="2">
        <v>1.3822410434792978E-2</v>
      </c>
      <c r="H37" s="2">
        <v>-2.023580457045587E-2</v>
      </c>
      <c r="I37" s="2">
        <v>-0.83627532022085738</v>
      </c>
      <c r="J37" s="2">
        <v>-1.0793428109215984E-2</v>
      </c>
      <c r="K37" s="2">
        <v>1</v>
      </c>
      <c r="L37" s="2">
        <v>1</v>
      </c>
      <c r="M37" s="2" t="s">
        <v>147</v>
      </c>
      <c r="N37" s="2" t="s">
        <v>147</v>
      </c>
      <c r="O37" s="57"/>
      <c r="R37" s="51" t="str">
        <f>A37</f>
        <v>Nominale matching</v>
      </c>
      <c r="S37" s="52">
        <f>D37</f>
        <v>0.55350748344343814</v>
      </c>
      <c r="T37" s="52">
        <f>B37-D37</f>
        <v>5.3753511881192706E-3</v>
      </c>
      <c r="U37" s="52">
        <f>F37-B37</f>
        <v>3.9289962950220803E-3</v>
      </c>
      <c r="AA37" s="52"/>
      <c r="AB37" s="52"/>
      <c r="AC37" s="52"/>
      <c r="AD37" s="52"/>
    </row>
    <row r="38" spans="1:30">
      <c r="A38" s="59" t="str">
        <f t="shared" ref="A38:A44" si="14">A16</f>
        <v>High Yield</v>
      </c>
      <c r="B38" s="1">
        <v>7.2222980563110245E-2</v>
      </c>
      <c r="C38" s="54">
        <v>1.3767809262599014E-2</v>
      </c>
      <c r="D38" s="55">
        <v>6.0825700349104866E-2</v>
      </c>
      <c r="E38" s="1">
        <v>6.9908622194986822E-2</v>
      </c>
      <c r="F38" s="56">
        <v>8.1818556349293026E-2</v>
      </c>
      <c r="G38" s="2">
        <v>2.4979355521689891E-2</v>
      </c>
      <c r="H38" s="2">
        <v>-0.95319222928611835</v>
      </c>
      <c r="I38" s="2">
        <v>1</v>
      </c>
      <c r="J38" s="2">
        <v>-0.12652579553834606</v>
      </c>
      <c r="K38" s="2">
        <v>0.16345690872598562</v>
      </c>
      <c r="L38" s="2">
        <v>0.99999999999999389</v>
      </c>
      <c r="M38" s="2" t="s">
        <v>147</v>
      </c>
      <c r="N38" s="2" t="s">
        <v>147</v>
      </c>
      <c r="O38" s="57"/>
      <c r="R38" s="51" t="str">
        <f t="shared" ref="R38:R44" si="15">A38</f>
        <v>High Yield</v>
      </c>
      <c r="S38" s="52">
        <f t="shared" ref="S38:S44" si="16">D38</f>
        <v>6.0825700349104866E-2</v>
      </c>
      <c r="T38" s="52">
        <f t="shared" ref="T38:T44" si="17">B38-D38</f>
        <v>1.1397280214005379E-2</v>
      </c>
      <c r="U38" s="52">
        <f t="shared" ref="U38:U44" si="18">F38-B38</f>
        <v>9.5955757861827806E-3</v>
      </c>
      <c r="AA38" s="52"/>
      <c r="AB38" s="52"/>
      <c r="AC38" s="52"/>
      <c r="AD38" s="52"/>
    </row>
    <row r="39" spans="1:30">
      <c r="A39" s="59" t="str">
        <f t="shared" si="14"/>
        <v>Emerging market debt</v>
      </c>
      <c r="B39" s="1">
        <v>7.3048997268947438E-2</v>
      </c>
      <c r="C39" s="54">
        <v>1.4146277995088415E-2</v>
      </c>
      <c r="D39" s="55">
        <v>6.2069449338222046E-2</v>
      </c>
      <c r="E39" s="1">
        <v>7.0785870457876043E-2</v>
      </c>
      <c r="F39" s="56">
        <v>8.4251520450728368E-2</v>
      </c>
      <c r="G39" s="2">
        <v>-7.8838977625589085E-2</v>
      </c>
      <c r="H39" s="2">
        <v>1</v>
      </c>
      <c r="I39" s="2">
        <v>0.91288155846320673</v>
      </c>
      <c r="J39" s="2">
        <v>-0.15050697656204171</v>
      </c>
      <c r="K39" s="2">
        <v>0.15874899869434228</v>
      </c>
      <c r="L39" s="2">
        <v>0.99999999999999512</v>
      </c>
      <c r="M39" s="2" t="s">
        <v>147</v>
      </c>
      <c r="N39" s="2" t="s">
        <v>147</v>
      </c>
      <c r="O39" s="57"/>
      <c r="R39" s="51" t="str">
        <f t="shared" si="15"/>
        <v>Emerging market debt</v>
      </c>
      <c r="S39" s="52">
        <f t="shared" si="16"/>
        <v>6.2069449338222046E-2</v>
      </c>
      <c r="T39" s="52">
        <f t="shared" si="17"/>
        <v>1.0979547930725392E-2</v>
      </c>
      <c r="U39" s="52">
        <f t="shared" si="18"/>
        <v>1.120252318178093E-2</v>
      </c>
      <c r="AA39" s="52"/>
      <c r="AB39" s="52"/>
      <c r="AC39" s="52"/>
      <c r="AD39" s="52"/>
    </row>
    <row r="40" spans="1:30">
      <c r="A40" s="59" t="str">
        <f t="shared" si="14"/>
        <v>Aandelen ontwikkeld</v>
      </c>
      <c r="B40" s="1">
        <v>8.5380436985553226E-2</v>
      </c>
      <c r="C40" s="54">
        <v>8.3893308259355391E-3</v>
      </c>
      <c r="D40" s="55">
        <v>7.8712333782857455E-2</v>
      </c>
      <c r="E40" s="1">
        <v>8.3264622139059025E-2</v>
      </c>
      <c r="F40" s="56">
        <v>8.9819558423087142E-2</v>
      </c>
      <c r="G40" s="2">
        <v>-9.5348970640119809E-2</v>
      </c>
      <c r="H40" s="2">
        <v>8.8330119945001871E-3</v>
      </c>
      <c r="I40" s="2">
        <v>-0.10131701147164189</v>
      </c>
      <c r="J40" s="2">
        <v>1</v>
      </c>
      <c r="K40" s="2">
        <v>-0.30829962140565481</v>
      </c>
      <c r="L40" s="2">
        <v>0.99999999999999223</v>
      </c>
      <c r="M40" s="2" t="s">
        <v>147</v>
      </c>
      <c r="N40" s="2" t="s">
        <v>147</v>
      </c>
      <c r="O40" s="57"/>
      <c r="R40" s="51" t="str">
        <f t="shared" si="15"/>
        <v>Aandelen ontwikkeld</v>
      </c>
      <c r="S40" s="52">
        <f t="shared" si="16"/>
        <v>7.8712333782857455E-2</v>
      </c>
      <c r="T40" s="52">
        <f t="shared" si="17"/>
        <v>6.6681032026957715E-3</v>
      </c>
      <c r="U40" s="52">
        <f t="shared" si="18"/>
        <v>4.4391214375339161E-3</v>
      </c>
      <c r="AA40" s="52"/>
      <c r="AB40" s="52"/>
      <c r="AC40" s="52"/>
      <c r="AD40" s="52"/>
    </row>
    <row r="41" spans="1:30">
      <c r="A41" s="59" t="str">
        <f t="shared" si="14"/>
        <v>Aandelen opkomend</v>
      </c>
      <c r="B41" s="1">
        <v>7.6803922669383809E-2</v>
      </c>
      <c r="C41" s="54">
        <v>2.7138137492467972E-2</v>
      </c>
      <c r="D41" s="55">
        <v>5.5646006542704435E-2</v>
      </c>
      <c r="E41" s="1">
        <v>7.477037144511961E-2</v>
      </c>
      <c r="F41" s="56">
        <v>9.7640928547416961E-2</v>
      </c>
      <c r="G41" s="2">
        <v>1</v>
      </c>
      <c r="H41" s="2">
        <v>3.9235683760259883E-2</v>
      </c>
      <c r="I41" s="2">
        <v>-0.4260176412794387</v>
      </c>
      <c r="J41" s="2">
        <v>-0.28368470960170244</v>
      </c>
      <c r="K41" s="2">
        <v>-0.48880002794601929</v>
      </c>
      <c r="L41" s="2">
        <v>0.99999999999999123</v>
      </c>
      <c r="M41" s="2" t="s">
        <v>147</v>
      </c>
      <c r="N41" s="2" t="s">
        <v>147</v>
      </c>
      <c r="O41" s="57"/>
      <c r="R41" s="51" t="str">
        <f t="shared" si="15"/>
        <v>Aandelen opkomend</v>
      </c>
      <c r="S41" s="52">
        <f t="shared" si="16"/>
        <v>5.5646006542704435E-2</v>
      </c>
      <c r="T41" s="52">
        <f t="shared" si="17"/>
        <v>2.1157916126679374E-2</v>
      </c>
      <c r="U41" s="52">
        <f t="shared" si="18"/>
        <v>2.0837005878033152E-2</v>
      </c>
      <c r="AA41" s="52"/>
      <c r="AB41" s="52"/>
      <c r="AC41" s="52"/>
      <c r="AD41" s="52"/>
    </row>
    <row r="42" spans="1:30">
      <c r="A42" s="59" t="str">
        <f t="shared" si="14"/>
        <v>Commodities</v>
      </c>
      <c r="B42" s="1">
        <v>5.6473352575439541E-2</v>
      </c>
      <c r="C42" s="54">
        <v>2.3822627413592118E-2</v>
      </c>
      <c r="D42" s="55">
        <v>3.7125637278735288E-2</v>
      </c>
      <c r="E42" s="1">
        <v>5.9559694185089267E-2</v>
      </c>
      <c r="F42" s="56">
        <v>7.5648595791825299E-2</v>
      </c>
      <c r="G42" s="2">
        <v>-0.86461381769077406</v>
      </c>
      <c r="H42" s="2">
        <v>-7.4640661898186952E-2</v>
      </c>
      <c r="I42" s="2">
        <v>-0.5492715854912672</v>
      </c>
      <c r="J42" s="2">
        <v>-0.4284890901886943</v>
      </c>
      <c r="K42" s="2">
        <v>-0.52510625806866329</v>
      </c>
      <c r="L42" s="2">
        <v>0.9999999999999909</v>
      </c>
      <c r="M42" s="2" t="s">
        <v>147</v>
      </c>
      <c r="N42" s="2" t="s">
        <v>147</v>
      </c>
      <c r="O42" s="57"/>
      <c r="R42" s="51" t="str">
        <f t="shared" si="15"/>
        <v>Commodities</v>
      </c>
      <c r="S42" s="52">
        <f t="shared" si="16"/>
        <v>3.7125637278735288E-2</v>
      </c>
      <c r="T42" s="52">
        <f t="shared" si="17"/>
        <v>1.9347715296704253E-2</v>
      </c>
      <c r="U42" s="52">
        <f t="shared" si="18"/>
        <v>1.9175243216385758E-2</v>
      </c>
      <c r="AA42" s="52"/>
      <c r="AB42" s="52"/>
      <c r="AC42" s="52"/>
      <c r="AD42" s="52"/>
    </row>
    <row r="43" spans="1:30">
      <c r="A43" s="59" t="str">
        <f t="shared" si="14"/>
        <v>Hedge funds</v>
      </c>
      <c r="B43" s="1">
        <v>3.1019975297702843E-2</v>
      </c>
      <c r="C43" s="54">
        <v>2.9519833700000965E-16</v>
      </c>
      <c r="D43" s="55">
        <v>3.1019975297703138E-2</v>
      </c>
      <c r="E43" s="1">
        <v>3.1019975297703138E-2</v>
      </c>
      <c r="F43" s="56">
        <v>3.1019975297703138E-2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 t="s">
        <v>147</v>
      </c>
      <c r="N43" s="2" t="s">
        <v>147</v>
      </c>
      <c r="O43" s="57"/>
      <c r="R43" s="51" t="str">
        <f t="shared" si="15"/>
        <v>Hedge funds</v>
      </c>
      <c r="S43" s="52">
        <f t="shared" si="16"/>
        <v>3.1019975297703138E-2</v>
      </c>
      <c r="T43" s="52">
        <f t="shared" si="17"/>
        <v>-2.9490299091605721E-16</v>
      </c>
      <c r="U43" s="52">
        <f t="shared" si="18"/>
        <v>2.9490299091605721E-16</v>
      </c>
    </row>
    <row r="44" spans="1:30">
      <c r="A44" s="60" t="str">
        <f t="shared" si="14"/>
        <v>Onroerend goed</v>
      </c>
      <c r="B44" s="61">
        <v>4.6167500008305204E-2</v>
      </c>
      <c r="C44" s="62">
        <v>4.2369643663530793E-16</v>
      </c>
      <c r="D44" s="63">
        <v>4.6167500008304781E-2</v>
      </c>
      <c r="E44" s="61">
        <v>4.6167500008304781E-2</v>
      </c>
      <c r="F44" s="64">
        <v>4.6167500008304781E-2</v>
      </c>
      <c r="G44" s="65">
        <v>0</v>
      </c>
      <c r="H44" s="65">
        <v>0</v>
      </c>
      <c r="I44" s="65">
        <v>0</v>
      </c>
      <c r="J44" s="65">
        <v>0</v>
      </c>
      <c r="K44" s="65">
        <v>0</v>
      </c>
      <c r="L44" s="65">
        <v>0</v>
      </c>
      <c r="M44" s="65" t="s">
        <v>147</v>
      </c>
      <c r="N44" s="65" t="s">
        <v>147</v>
      </c>
      <c r="O44" s="66"/>
      <c r="R44" s="51" t="str">
        <f t="shared" si="15"/>
        <v>Onroerend goed</v>
      </c>
      <c r="S44" s="52">
        <f t="shared" si="16"/>
        <v>4.6167500008304781E-2</v>
      </c>
      <c r="T44" s="52">
        <f t="shared" si="17"/>
        <v>4.2327252813834093E-16</v>
      </c>
      <c r="U44" s="52">
        <f t="shared" si="18"/>
        <v>-4.2327252813834093E-16</v>
      </c>
    </row>
    <row r="45" spans="1:30">
      <c r="A45" s="67"/>
      <c r="B45" s="1"/>
      <c r="C45" s="1"/>
      <c r="D45" s="1"/>
      <c r="E45" s="1"/>
      <c r="F45" s="68"/>
      <c r="G45" s="68"/>
      <c r="H45" s="68"/>
      <c r="I45" s="68"/>
      <c r="J45" s="68"/>
      <c r="K45" s="68"/>
      <c r="L45" s="68"/>
      <c r="M45" s="68"/>
      <c r="N45" s="68"/>
      <c r="O45" s="68"/>
    </row>
    <row r="46" spans="1:30">
      <c r="D46" s="407" t="s">
        <v>64</v>
      </c>
      <c r="E46" s="408"/>
      <c r="F46" s="409"/>
      <c r="G46" s="407" t="s">
        <v>65</v>
      </c>
      <c r="H46" s="408"/>
      <c r="I46" s="408"/>
      <c r="J46" s="408"/>
      <c r="K46" s="408"/>
      <c r="L46" s="408"/>
      <c r="M46" s="408"/>
      <c r="N46" s="408"/>
      <c r="O46" s="409"/>
    </row>
    <row r="47" spans="1:30">
      <c r="A47" s="266" t="str">
        <f>Optimalisatie!A24</f>
        <v>Bear case</v>
      </c>
      <c r="B47" s="267" t="s">
        <v>1</v>
      </c>
      <c r="C47" s="268" t="s">
        <v>2</v>
      </c>
      <c r="D47" s="269">
        <v>0.25</v>
      </c>
      <c r="E47" s="270">
        <v>0.5</v>
      </c>
      <c r="F47" s="271">
        <v>0.75</v>
      </c>
      <c r="G47" s="272">
        <v>0.92155051827343615</v>
      </c>
      <c r="H47" s="272">
        <v>3.8537955605313368E-2</v>
      </c>
      <c r="I47" s="272">
        <v>1.8886958425537004E-2</v>
      </c>
      <c r="J47" s="272">
        <v>1.404860363757543E-2</v>
      </c>
      <c r="K47" s="272">
        <v>6.9759640581369409E-3</v>
      </c>
      <c r="L47" s="272">
        <v>0</v>
      </c>
      <c r="M47" s="272" t="s">
        <v>147</v>
      </c>
      <c r="N47" s="272" t="s">
        <v>147</v>
      </c>
      <c r="O47" s="273">
        <v>1.1102230246251565E-16</v>
      </c>
      <c r="R47" s="51" t="str">
        <f>A47</f>
        <v>Bear case</v>
      </c>
      <c r="S47" s="51"/>
      <c r="T47" s="52"/>
      <c r="U47" s="51"/>
      <c r="AA47" s="52"/>
      <c r="AB47" s="52"/>
      <c r="AC47" s="52"/>
      <c r="AD47" s="52"/>
    </row>
    <row r="48" spans="1:30">
      <c r="A48" s="59" t="str">
        <f>A37</f>
        <v>Nominale matching</v>
      </c>
      <c r="B48" s="1">
        <v>0.64769299116528678</v>
      </c>
      <c r="C48" s="54">
        <v>2.5368926825592207E-3</v>
      </c>
      <c r="D48" s="55">
        <v>0.64630020907574415</v>
      </c>
      <c r="E48" s="1">
        <v>0.64822391676632551</v>
      </c>
      <c r="F48" s="56">
        <v>0.6496241685641766</v>
      </c>
      <c r="G48" s="68">
        <v>8.0311019777107827E-3</v>
      </c>
      <c r="H48" s="68">
        <v>-0.63263631200131021</v>
      </c>
      <c r="I48" s="68">
        <v>0.10781167248207831</v>
      </c>
      <c r="J48" s="68">
        <v>0.13541333852931489</v>
      </c>
      <c r="K48" s="68">
        <v>1</v>
      </c>
      <c r="L48" s="68">
        <v>1</v>
      </c>
      <c r="M48" s="2" t="s">
        <v>147</v>
      </c>
      <c r="N48" s="2" t="s">
        <v>147</v>
      </c>
      <c r="O48" s="69"/>
      <c r="R48" s="51" t="str">
        <f>A48</f>
        <v>Nominale matching</v>
      </c>
      <c r="S48" s="52">
        <f>D48</f>
        <v>0.64630020907574415</v>
      </c>
      <c r="T48" s="52">
        <f>B48-D48</f>
        <v>1.3927820895426324E-3</v>
      </c>
      <c r="U48" s="52">
        <f>F48-B48</f>
        <v>1.9311773988898162E-3</v>
      </c>
      <c r="AA48" s="52"/>
      <c r="AB48" s="52"/>
      <c r="AC48" s="52"/>
      <c r="AD48" s="52"/>
    </row>
    <row r="49" spans="1:36">
      <c r="A49" s="59" t="str">
        <f t="shared" ref="A49:A55" si="19">A38</f>
        <v>High Yield</v>
      </c>
      <c r="B49" s="1">
        <v>8.6864130222873912E-2</v>
      </c>
      <c r="C49" s="54">
        <v>1.7058559891440939E-2</v>
      </c>
      <c r="D49" s="55">
        <v>7.4778719675877986E-2</v>
      </c>
      <c r="E49" s="1">
        <v>8.7582463362119348E-2</v>
      </c>
      <c r="F49" s="56">
        <v>0.10008991429207656</v>
      </c>
      <c r="G49" s="68">
        <v>-0.97704525443161905</v>
      </c>
      <c r="H49" s="68">
        <v>1</v>
      </c>
      <c r="I49" s="68">
        <v>-7.7110631521981665E-2</v>
      </c>
      <c r="J49" s="68">
        <v>-4.2051707884062602E-2</v>
      </c>
      <c r="K49" s="68">
        <v>8.4813159302243535E-2</v>
      </c>
      <c r="L49" s="68">
        <v>0.99999999999999756</v>
      </c>
      <c r="M49" s="2" t="s">
        <v>147</v>
      </c>
      <c r="N49" s="2" t="s">
        <v>147</v>
      </c>
      <c r="O49" s="69"/>
      <c r="R49" s="51" t="str">
        <f t="shared" ref="R49:R55" si="20">A49</f>
        <v>High Yield</v>
      </c>
      <c r="S49" s="52">
        <f t="shared" ref="S49:S55" si="21">D49</f>
        <v>7.4778719675877986E-2</v>
      </c>
      <c r="T49" s="52">
        <f t="shared" ref="T49:T55" si="22">B49-D49</f>
        <v>1.2085410546995926E-2</v>
      </c>
      <c r="U49" s="52">
        <f t="shared" ref="U49:U55" si="23">F49-B49</f>
        <v>1.3225784069202648E-2</v>
      </c>
      <c r="AA49" s="52"/>
      <c r="AB49" s="52"/>
      <c r="AC49" s="52"/>
      <c r="AD49" s="52"/>
    </row>
    <row r="50" spans="1:36">
      <c r="A50" s="59" t="str">
        <f t="shared" si="19"/>
        <v>Emerging market debt</v>
      </c>
      <c r="B50" s="1">
        <v>7.9935545602805164E-2</v>
      </c>
      <c r="C50" s="54">
        <v>1.7433143958763025E-2</v>
      </c>
      <c r="D50" s="55">
        <v>6.6007587491990316E-2</v>
      </c>
      <c r="E50" s="1">
        <v>7.8401817874428958E-2</v>
      </c>
      <c r="F50" s="56">
        <v>9.3580875033639391E-2</v>
      </c>
      <c r="G50" s="68">
        <v>1</v>
      </c>
      <c r="H50" s="68">
        <v>0.96758318063092386</v>
      </c>
      <c r="I50" s="68">
        <v>-8.2058069148000914E-2</v>
      </c>
      <c r="J50" s="68">
        <v>-4.1933837103620558E-2</v>
      </c>
      <c r="K50" s="68">
        <v>6.3164041531169113E-2</v>
      </c>
      <c r="L50" s="68">
        <v>0.99999999999999689</v>
      </c>
      <c r="M50" s="2" t="s">
        <v>147</v>
      </c>
      <c r="N50" s="2" t="s">
        <v>147</v>
      </c>
      <c r="O50" s="69"/>
      <c r="R50" s="51" t="str">
        <f t="shared" si="20"/>
        <v>Emerging market debt</v>
      </c>
      <c r="S50" s="52">
        <f t="shared" si="21"/>
        <v>6.6007587491990316E-2</v>
      </c>
      <c r="T50" s="52">
        <f t="shared" si="22"/>
        <v>1.3927958110814848E-2</v>
      </c>
      <c r="U50" s="52">
        <f t="shared" si="23"/>
        <v>1.3645329430834227E-2</v>
      </c>
      <c r="AA50" s="52"/>
      <c r="AB50" s="52"/>
      <c r="AC50" s="52"/>
      <c r="AD50" s="52"/>
    </row>
    <row r="51" spans="1:36">
      <c r="A51" s="59" t="str">
        <f t="shared" si="19"/>
        <v>Aandelen ontwikkeld</v>
      </c>
      <c r="B51" s="1">
        <v>7.8311413430655452E-2</v>
      </c>
      <c r="C51" s="54">
        <v>3.2518547215837686E-3</v>
      </c>
      <c r="D51" s="55">
        <v>7.5734450411287541E-2</v>
      </c>
      <c r="E51" s="1">
        <v>7.7617215678474766E-2</v>
      </c>
      <c r="F51" s="56">
        <v>8.0077871913103976E-2</v>
      </c>
      <c r="G51" s="68">
        <v>-1.3342871396611855E-2</v>
      </c>
      <c r="H51" s="68">
        <v>-0.61979533372213447</v>
      </c>
      <c r="I51" s="68">
        <v>-0.96089496804299201</v>
      </c>
      <c r="J51" s="68">
        <v>-0.51909614331213949</v>
      </c>
      <c r="K51" s="68">
        <v>-0.29435409854242012</v>
      </c>
      <c r="L51" s="68">
        <v>0.99999999999999145</v>
      </c>
      <c r="M51" s="2" t="s">
        <v>147</v>
      </c>
      <c r="N51" s="2" t="s">
        <v>147</v>
      </c>
      <c r="O51" s="69"/>
      <c r="R51" s="51" t="str">
        <f t="shared" si="20"/>
        <v>Aandelen ontwikkeld</v>
      </c>
      <c r="S51" s="52">
        <f t="shared" si="21"/>
        <v>7.5734450411287541E-2</v>
      </c>
      <c r="T51" s="52">
        <f t="shared" si="22"/>
        <v>2.5769630193679116E-3</v>
      </c>
      <c r="U51" s="52">
        <f t="shared" si="23"/>
        <v>1.7664584824485241E-3</v>
      </c>
      <c r="AA51" s="52"/>
      <c r="AB51" s="52"/>
      <c r="AC51" s="52"/>
      <c r="AD51" s="52"/>
    </row>
    <row r="52" spans="1:36">
      <c r="A52" s="59" t="str">
        <f t="shared" si="19"/>
        <v>Aandelen opkomend</v>
      </c>
      <c r="B52" s="1">
        <v>2.795816642397337E-2</v>
      </c>
      <c r="C52" s="54">
        <v>3.0340537013859334E-3</v>
      </c>
      <c r="D52" s="55">
        <v>2.5596429904374773E-2</v>
      </c>
      <c r="E52" s="1">
        <v>2.7181991153276984E-2</v>
      </c>
      <c r="F52" s="56">
        <v>2.9838075057087202E-2</v>
      </c>
      <c r="G52" s="68">
        <v>-6.8370578974211987E-3</v>
      </c>
      <c r="H52" s="68">
        <v>-0.36657321924607744</v>
      </c>
      <c r="I52" s="68">
        <v>1</v>
      </c>
      <c r="J52" s="68">
        <v>-0.53233165022949225</v>
      </c>
      <c r="K52" s="68">
        <v>-0.37304387413955914</v>
      </c>
      <c r="L52" s="68">
        <v>0.99999999999998945</v>
      </c>
      <c r="M52" s="2" t="s">
        <v>147</v>
      </c>
      <c r="N52" s="2" t="s">
        <v>147</v>
      </c>
      <c r="O52" s="69"/>
      <c r="R52" s="51" t="str">
        <f t="shared" si="20"/>
        <v>Aandelen opkomend</v>
      </c>
      <c r="S52" s="52">
        <f t="shared" si="21"/>
        <v>2.5596429904374773E-2</v>
      </c>
      <c r="T52" s="52">
        <f t="shared" si="22"/>
        <v>2.3617365195985965E-3</v>
      </c>
      <c r="U52" s="52">
        <f t="shared" si="23"/>
        <v>1.8799086331138318E-3</v>
      </c>
      <c r="AA52" s="52"/>
      <c r="AB52" s="52"/>
      <c r="AC52" s="52"/>
      <c r="AD52" s="52"/>
    </row>
    <row r="53" spans="1:36">
      <c r="A53" s="59" t="str">
        <f t="shared" si="19"/>
        <v>Commodities</v>
      </c>
      <c r="B53" s="1">
        <v>2.0502778483965042E-3</v>
      </c>
      <c r="C53" s="54">
        <v>2.7056554322195344E-3</v>
      </c>
      <c r="D53" s="55">
        <v>7.9048734068633576E-5</v>
      </c>
      <c r="E53" s="1">
        <v>8.8364262883346232E-4</v>
      </c>
      <c r="F53" s="56">
        <v>3.0400411687013101E-3</v>
      </c>
      <c r="G53" s="68">
        <v>-1.0805918252058639E-2</v>
      </c>
      <c r="H53" s="68">
        <v>-0.34857831566140862</v>
      </c>
      <c r="I53" s="68">
        <v>1.2251996230898291E-2</v>
      </c>
      <c r="J53" s="68">
        <v>1</v>
      </c>
      <c r="K53" s="68">
        <v>-0.48057922815144455</v>
      </c>
      <c r="L53" s="68">
        <v>0.99999999999999001</v>
      </c>
      <c r="M53" s="2" t="s">
        <v>147</v>
      </c>
      <c r="N53" s="2" t="s">
        <v>147</v>
      </c>
      <c r="O53" s="69"/>
      <c r="R53" s="51" t="str">
        <f t="shared" si="20"/>
        <v>Commodities</v>
      </c>
      <c r="S53" s="52">
        <f t="shared" si="21"/>
        <v>7.9048734068633576E-5</v>
      </c>
      <c r="T53" s="52">
        <f t="shared" si="22"/>
        <v>1.9712291143278706E-3</v>
      </c>
      <c r="U53" s="52">
        <f t="shared" si="23"/>
        <v>9.8976332030480596E-4</v>
      </c>
      <c r="AA53" s="52"/>
      <c r="AB53" s="52"/>
      <c r="AC53" s="52"/>
      <c r="AD53" s="52"/>
    </row>
    <row r="54" spans="1:36">
      <c r="A54" s="59" t="str">
        <f t="shared" si="19"/>
        <v>Hedge funds</v>
      </c>
      <c r="B54" s="1">
        <v>3.1019975297702843E-2</v>
      </c>
      <c r="C54" s="54">
        <v>2.9519833700000965E-16</v>
      </c>
      <c r="D54" s="55">
        <v>3.1019975297703138E-2</v>
      </c>
      <c r="E54" s="1">
        <v>3.1019975297703138E-2</v>
      </c>
      <c r="F54" s="56">
        <v>3.1019975297703138E-2</v>
      </c>
      <c r="G54" s="68">
        <v>0</v>
      </c>
      <c r="H54" s="68">
        <v>0</v>
      </c>
      <c r="I54" s="68">
        <v>0</v>
      </c>
      <c r="J54" s="68">
        <v>0</v>
      </c>
      <c r="K54" s="68">
        <v>0</v>
      </c>
      <c r="L54" s="68">
        <v>0</v>
      </c>
      <c r="M54" s="2" t="s">
        <v>147</v>
      </c>
      <c r="N54" s="2" t="s">
        <v>147</v>
      </c>
      <c r="O54" s="69"/>
      <c r="R54" s="51" t="str">
        <f t="shared" si="20"/>
        <v>Hedge funds</v>
      </c>
      <c r="S54" s="52">
        <f t="shared" si="21"/>
        <v>3.1019975297703138E-2</v>
      </c>
      <c r="T54" s="52">
        <f t="shared" si="22"/>
        <v>-2.9490299091605721E-16</v>
      </c>
      <c r="U54" s="52">
        <f t="shared" si="23"/>
        <v>2.9490299091605721E-16</v>
      </c>
    </row>
    <row r="55" spans="1:36">
      <c r="A55" s="60" t="str">
        <f t="shared" si="19"/>
        <v>Onroerend goed</v>
      </c>
      <c r="B55" s="61">
        <v>4.6167500008305204E-2</v>
      </c>
      <c r="C55" s="62">
        <v>4.2369643663530793E-16</v>
      </c>
      <c r="D55" s="63">
        <v>4.6167500008304781E-2</v>
      </c>
      <c r="E55" s="61">
        <v>4.6167500008304781E-2</v>
      </c>
      <c r="F55" s="64">
        <v>4.6167500008304781E-2</v>
      </c>
      <c r="G55" s="70">
        <v>0</v>
      </c>
      <c r="H55" s="70">
        <v>0</v>
      </c>
      <c r="I55" s="70">
        <v>0</v>
      </c>
      <c r="J55" s="70">
        <v>0</v>
      </c>
      <c r="K55" s="70">
        <v>0</v>
      </c>
      <c r="L55" s="70">
        <v>0</v>
      </c>
      <c r="M55" s="65" t="s">
        <v>147</v>
      </c>
      <c r="N55" s="65" t="s">
        <v>147</v>
      </c>
      <c r="O55" s="71"/>
      <c r="R55" s="51" t="str">
        <f t="shared" si="20"/>
        <v>Onroerend goed</v>
      </c>
      <c r="S55" s="52">
        <f t="shared" si="21"/>
        <v>4.6167500008304781E-2</v>
      </c>
      <c r="T55" s="52">
        <f t="shared" si="22"/>
        <v>4.2327252813834093E-16</v>
      </c>
      <c r="U55" s="52">
        <f t="shared" si="23"/>
        <v>-4.2327252813834093E-16</v>
      </c>
    </row>
    <row r="56" spans="1:36">
      <c r="A56" s="67"/>
      <c r="B56" s="1"/>
      <c r="C56" s="1"/>
      <c r="D56" s="1"/>
      <c r="E56" s="1"/>
      <c r="F56" s="68"/>
      <c r="G56" s="68"/>
      <c r="H56" s="68"/>
      <c r="I56" s="68"/>
      <c r="J56" s="68"/>
      <c r="K56" s="68"/>
      <c r="L56" s="68"/>
      <c r="M56" s="68"/>
      <c r="N56" s="68"/>
      <c r="O56" s="68"/>
    </row>
    <row r="57" spans="1:36">
      <c r="D57" s="407" t="s">
        <v>64</v>
      </c>
      <c r="E57" s="408"/>
      <c r="F57" s="409"/>
      <c r="G57" s="407" t="s">
        <v>65</v>
      </c>
      <c r="H57" s="408"/>
      <c r="I57" s="408"/>
      <c r="J57" s="408"/>
      <c r="K57" s="408"/>
      <c r="L57" s="408"/>
      <c r="M57" s="408"/>
      <c r="N57" s="408"/>
      <c r="O57" s="409"/>
    </row>
    <row r="58" spans="1:36">
      <c r="A58" s="266" t="str">
        <f>Optimalisatie!A11</f>
        <v>Tail risk</v>
      </c>
      <c r="B58" s="267" t="s">
        <v>1</v>
      </c>
      <c r="C58" s="268" t="s">
        <v>2</v>
      </c>
      <c r="D58" s="269">
        <v>0.25</v>
      </c>
      <c r="E58" s="270">
        <v>0.5</v>
      </c>
      <c r="F58" s="271">
        <v>0.75</v>
      </c>
      <c r="G58" s="272">
        <v>0.92606040288495239</v>
      </c>
      <c r="H58" s="272">
        <v>3.5679132326754126E-2</v>
      </c>
      <c r="I58" s="272">
        <v>1.7504295697495897E-2</v>
      </c>
      <c r="J58" s="272">
        <v>1.2817793770643293E-2</v>
      </c>
      <c r="K58" s="272">
        <v>7.9383753201541785E-3</v>
      </c>
      <c r="L58" s="272">
        <v>-2.2204460492503131E-16</v>
      </c>
      <c r="M58" s="272" t="s">
        <v>147</v>
      </c>
      <c r="N58" s="272" t="s">
        <v>147</v>
      </c>
      <c r="O58" s="273"/>
      <c r="R58" s="51" t="str">
        <f>A58</f>
        <v>Tail risk</v>
      </c>
      <c r="S58" s="51"/>
      <c r="T58" s="52"/>
      <c r="U58" s="51"/>
      <c r="AA58" s="52"/>
      <c r="AB58" s="52"/>
      <c r="AC58" s="52"/>
      <c r="AD58" s="52"/>
      <c r="AF58" s="72"/>
      <c r="AG58" s="72"/>
      <c r="AH58" s="72"/>
      <c r="AJ58" s="52"/>
    </row>
    <row r="59" spans="1:36">
      <c r="A59" s="53" t="str">
        <f>A48</f>
        <v>Nominale matching</v>
      </c>
      <c r="B59" s="1">
        <v>0.64818696160664035</v>
      </c>
      <c r="C59" s="54">
        <v>2.3984707047985075E-3</v>
      </c>
      <c r="D59" s="55">
        <v>0.64674086485234938</v>
      </c>
      <c r="E59" s="1">
        <v>0.64875596209507558</v>
      </c>
      <c r="F59" s="56">
        <v>0.64988815728645966</v>
      </c>
      <c r="G59" s="2">
        <v>1.9341981635319409E-2</v>
      </c>
      <c r="H59" s="2">
        <v>-0.55208954781633335</v>
      </c>
      <c r="I59" s="2">
        <v>-0.13967357277749534</v>
      </c>
      <c r="J59" s="2">
        <v>0.12771903914526506</v>
      </c>
      <c r="K59" s="2">
        <v>1</v>
      </c>
      <c r="L59" s="2">
        <v>0.99999999999999445</v>
      </c>
      <c r="M59" s="2" t="s">
        <v>147</v>
      </c>
      <c r="N59" s="2" t="s">
        <v>147</v>
      </c>
      <c r="O59" s="69"/>
      <c r="R59" s="51" t="str">
        <f>A59</f>
        <v>Nominale matching</v>
      </c>
      <c r="S59" s="52">
        <f>D59</f>
        <v>0.64674086485234938</v>
      </c>
      <c r="T59" s="52">
        <f>B59-D59</f>
        <v>1.4460967542909708E-3</v>
      </c>
      <c r="U59" s="52">
        <f>F59-B59</f>
        <v>1.7011956798193006E-3</v>
      </c>
      <c r="AA59" s="52"/>
      <c r="AB59" s="52"/>
      <c r="AC59" s="52"/>
      <c r="AD59" s="52"/>
      <c r="AF59" s="72"/>
      <c r="AG59" s="72"/>
      <c r="AH59" s="72"/>
      <c r="AJ59" s="52"/>
    </row>
    <row r="60" spans="1:36">
      <c r="A60" s="59" t="str">
        <f t="shared" ref="A60:A66" si="24">A49</f>
        <v>High Yield</v>
      </c>
      <c r="B60" s="1">
        <v>9.0758688375736113E-2</v>
      </c>
      <c r="C60" s="54">
        <v>1.6573314594617149E-2</v>
      </c>
      <c r="D60" s="55">
        <v>7.9474773734264315E-2</v>
      </c>
      <c r="E60" s="1">
        <v>9.1972283245420949E-2</v>
      </c>
      <c r="F60" s="56">
        <v>0.10297082129159602</v>
      </c>
      <c r="G60" s="2">
        <v>-0.98425011881455748</v>
      </c>
      <c r="H60" s="2">
        <v>1</v>
      </c>
      <c r="I60" s="2">
        <v>7.5114334420679288E-2</v>
      </c>
      <c r="J60" s="2">
        <v>1.3357338680594756E-3</v>
      </c>
      <c r="K60" s="2">
        <v>4.947475440465858E-2</v>
      </c>
      <c r="L60" s="2">
        <v>1</v>
      </c>
      <c r="M60" s="2" t="s">
        <v>147</v>
      </c>
      <c r="N60" s="2" t="s">
        <v>147</v>
      </c>
      <c r="O60" s="69"/>
      <c r="R60" s="51" t="str">
        <f t="shared" ref="R60:R66" si="25">A60</f>
        <v>High Yield</v>
      </c>
      <c r="S60" s="52">
        <f t="shared" ref="S60:S66" si="26">D60</f>
        <v>7.9474773734264315E-2</v>
      </c>
      <c r="T60" s="52">
        <f t="shared" ref="T60:T66" si="27">B60-D60</f>
        <v>1.1283914641471798E-2</v>
      </c>
      <c r="U60" s="52">
        <f t="shared" ref="U60:U66" si="28">F60-B60</f>
        <v>1.2212132915859902E-2</v>
      </c>
      <c r="AA60" s="52"/>
      <c r="AB60" s="52"/>
      <c r="AC60" s="52"/>
      <c r="AD60" s="52"/>
      <c r="AF60" s="72"/>
      <c r="AG60" s="72"/>
      <c r="AH60" s="72"/>
      <c r="AJ60" s="52"/>
    </row>
    <row r="61" spans="1:36">
      <c r="A61" s="59" t="str">
        <f t="shared" si="24"/>
        <v>Emerging market debt</v>
      </c>
      <c r="B61" s="1">
        <v>7.6746557420346584E-2</v>
      </c>
      <c r="C61" s="54">
        <v>1.6821829966019136E-2</v>
      </c>
      <c r="D61" s="55">
        <v>6.4028877104143872E-2</v>
      </c>
      <c r="E61" s="1">
        <v>7.4533082226067887E-2</v>
      </c>
      <c r="F61" s="56">
        <v>8.8412860136127897E-2</v>
      </c>
      <c r="G61" s="2">
        <v>1</v>
      </c>
      <c r="H61" s="2">
        <v>0.97490743792779067</v>
      </c>
      <c r="I61" s="2">
        <v>9.5910003784475728E-2</v>
      </c>
      <c r="J61" s="2">
        <v>-1.0033102439448729E-2</v>
      </c>
      <c r="K61" s="2">
        <v>1.9095487370407574E-2</v>
      </c>
      <c r="L61" s="2">
        <v>0.99999999999999922</v>
      </c>
      <c r="M61" s="2" t="s">
        <v>147</v>
      </c>
      <c r="N61" s="2" t="s">
        <v>147</v>
      </c>
      <c r="O61" s="69"/>
      <c r="R61" s="51" t="str">
        <f t="shared" si="25"/>
        <v>Emerging market debt</v>
      </c>
      <c r="S61" s="52">
        <f t="shared" si="26"/>
        <v>6.4028877104143872E-2</v>
      </c>
      <c r="T61" s="52">
        <f t="shared" si="27"/>
        <v>1.2717680316202712E-2</v>
      </c>
      <c r="U61" s="52">
        <f t="shared" si="28"/>
        <v>1.1666302715781313E-2</v>
      </c>
      <c r="AA61" s="52"/>
      <c r="AB61" s="52"/>
      <c r="AC61" s="52"/>
      <c r="AD61" s="52"/>
      <c r="AF61" s="72"/>
      <c r="AG61" s="72"/>
      <c r="AH61" s="72"/>
      <c r="AJ61" s="52"/>
    </row>
    <row r="62" spans="1:36">
      <c r="A62" s="59" t="str">
        <f t="shared" si="24"/>
        <v>Aandelen ontwikkeld</v>
      </c>
      <c r="B62" s="1">
        <v>7.8013036951592063E-2</v>
      </c>
      <c r="C62" s="54">
        <v>3.1477084801743108E-3</v>
      </c>
      <c r="D62" s="55">
        <v>7.5514418225102173E-2</v>
      </c>
      <c r="E62" s="1">
        <v>7.7363838727072143E-2</v>
      </c>
      <c r="F62" s="56">
        <v>7.9740073029700514E-2</v>
      </c>
      <c r="G62" s="2">
        <v>-2.5045394444609778E-2</v>
      </c>
      <c r="H62" s="2">
        <v>-0.6448693816440505</v>
      </c>
      <c r="I62" s="2">
        <v>1</v>
      </c>
      <c r="J62" s="2">
        <v>-0.18846516249228162</v>
      </c>
      <c r="K62" s="2">
        <v>-0.26224571747287218</v>
      </c>
      <c r="L62" s="2">
        <v>0.99999999999999634</v>
      </c>
      <c r="M62" s="2" t="s">
        <v>147</v>
      </c>
      <c r="N62" s="2" t="s">
        <v>147</v>
      </c>
      <c r="O62" s="69"/>
      <c r="R62" s="51" t="str">
        <f t="shared" si="25"/>
        <v>Aandelen ontwikkeld</v>
      </c>
      <c r="S62" s="52">
        <f t="shared" si="26"/>
        <v>7.5514418225102173E-2</v>
      </c>
      <c r="T62" s="52">
        <f t="shared" si="27"/>
        <v>2.4986187264898901E-3</v>
      </c>
      <c r="U62" s="52">
        <f t="shared" si="28"/>
        <v>1.7270360781084515E-3</v>
      </c>
      <c r="AA62" s="52"/>
      <c r="AB62" s="52"/>
      <c r="AC62" s="52"/>
      <c r="AD62" s="52"/>
      <c r="AF62" s="72"/>
      <c r="AG62" s="72"/>
      <c r="AH62" s="72"/>
      <c r="AJ62" s="52"/>
    </row>
    <row r="63" spans="1:36">
      <c r="A63" s="59" t="str">
        <f t="shared" si="24"/>
        <v>Aandelen opkomend</v>
      </c>
      <c r="B63" s="1">
        <v>2.7057064957622286E-2</v>
      </c>
      <c r="C63" s="54">
        <v>2.6042097732594076E-3</v>
      </c>
      <c r="D63" s="55">
        <v>2.5115016357072802E-2</v>
      </c>
      <c r="E63" s="1">
        <v>2.6474425124419741E-2</v>
      </c>
      <c r="F63" s="56">
        <v>2.8790973984565746E-2</v>
      </c>
      <c r="G63" s="2">
        <v>-2.6891373002838237E-3</v>
      </c>
      <c r="H63" s="2">
        <v>-0.39703707102121932</v>
      </c>
      <c r="I63" s="2">
        <v>-0.38981717686035877</v>
      </c>
      <c r="J63" s="2">
        <v>1</v>
      </c>
      <c r="K63" s="2">
        <v>-0.48035281477596414</v>
      </c>
      <c r="L63" s="2">
        <v>0.99999999999999689</v>
      </c>
      <c r="M63" s="2" t="s">
        <v>147</v>
      </c>
      <c r="N63" s="2" t="s">
        <v>147</v>
      </c>
      <c r="O63" s="69"/>
      <c r="R63" s="51" t="str">
        <f t="shared" si="25"/>
        <v>Aandelen opkomend</v>
      </c>
      <c r="S63" s="52">
        <f t="shared" si="26"/>
        <v>2.5115016357072802E-2</v>
      </c>
      <c r="T63" s="52">
        <f t="shared" si="27"/>
        <v>1.9420486005494834E-3</v>
      </c>
      <c r="U63" s="52">
        <f t="shared" si="28"/>
        <v>1.7339090269434601E-3</v>
      </c>
      <c r="AA63" s="52"/>
      <c r="AB63" s="52"/>
      <c r="AC63" s="52"/>
      <c r="AD63" s="52"/>
      <c r="AF63" s="72"/>
      <c r="AG63" s="72"/>
      <c r="AH63" s="72"/>
      <c r="AJ63" s="52"/>
    </row>
    <row r="64" spans="1:36">
      <c r="A64" s="59" t="str">
        <f t="shared" si="24"/>
        <v>Commodities</v>
      </c>
      <c r="B64" s="1">
        <v>2.050215382054655E-3</v>
      </c>
      <c r="C64" s="54">
        <v>2.7274034693845696E-3</v>
      </c>
      <c r="D64" s="55">
        <v>7.8359675206847695E-5</v>
      </c>
      <c r="E64" s="1">
        <v>9.6075982580542431E-4</v>
      </c>
      <c r="F64" s="56">
        <v>2.9528392280450339E-3</v>
      </c>
      <c r="G64" s="2">
        <v>-7.3573310758677391E-3</v>
      </c>
      <c r="H64" s="2">
        <v>-0.38091143744619516</v>
      </c>
      <c r="I64" s="2">
        <v>-0.64153358856730214</v>
      </c>
      <c r="J64" s="2">
        <v>-0.93055650808159551</v>
      </c>
      <c r="K64" s="2">
        <v>-0.32597170952622861</v>
      </c>
      <c r="L64" s="2">
        <v>0.99999999999999545</v>
      </c>
      <c r="M64" s="2" t="s">
        <v>147</v>
      </c>
      <c r="N64" s="2" t="s">
        <v>147</v>
      </c>
      <c r="O64" s="69"/>
      <c r="R64" s="51" t="str">
        <f t="shared" si="25"/>
        <v>Commodities</v>
      </c>
      <c r="S64" s="52">
        <f t="shared" si="26"/>
        <v>7.8359675206847695E-5</v>
      </c>
      <c r="T64" s="52">
        <f t="shared" si="27"/>
        <v>1.9718557068478075E-3</v>
      </c>
      <c r="U64" s="52">
        <f t="shared" si="28"/>
        <v>9.0262384599037885E-4</v>
      </c>
      <c r="AA64" s="52"/>
      <c r="AB64" s="52"/>
      <c r="AC64" s="52"/>
      <c r="AD64" s="52"/>
      <c r="AF64" s="72"/>
      <c r="AG64" s="72"/>
      <c r="AH64" s="72"/>
      <c r="AJ64" s="52"/>
    </row>
    <row r="65" spans="1:36">
      <c r="A65" s="59" t="str">
        <f t="shared" si="24"/>
        <v>Hedge funds</v>
      </c>
      <c r="B65" s="1">
        <v>3.1019975297702843E-2</v>
      </c>
      <c r="C65" s="54">
        <v>2.9519833700000965E-16</v>
      </c>
      <c r="D65" s="55">
        <v>3.1019975297703138E-2</v>
      </c>
      <c r="E65" s="1">
        <v>3.1019975297703138E-2</v>
      </c>
      <c r="F65" s="56">
        <v>3.1019975297703138E-2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 t="s">
        <v>147</v>
      </c>
      <c r="N65" s="2" t="s">
        <v>147</v>
      </c>
      <c r="O65" s="69"/>
      <c r="R65" s="51" t="str">
        <f t="shared" si="25"/>
        <v>Hedge funds</v>
      </c>
      <c r="S65" s="52">
        <f t="shared" si="26"/>
        <v>3.1019975297703138E-2</v>
      </c>
      <c r="T65" s="52">
        <f t="shared" si="27"/>
        <v>-2.9490299091605721E-16</v>
      </c>
      <c r="U65" s="52">
        <f t="shared" si="28"/>
        <v>2.9490299091605721E-16</v>
      </c>
    </row>
    <row r="66" spans="1:36">
      <c r="A66" s="60" t="str">
        <f t="shared" si="24"/>
        <v>Onroerend goed</v>
      </c>
      <c r="B66" s="61">
        <v>4.6167500008305204E-2</v>
      </c>
      <c r="C66" s="62">
        <v>4.2369643663530793E-16</v>
      </c>
      <c r="D66" s="63">
        <v>4.6167500008304781E-2</v>
      </c>
      <c r="E66" s="61">
        <v>4.6167500008304781E-2</v>
      </c>
      <c r="F66" s="64">
        <v>4.6167500008304781E-2</v>
      </c>
      <c r="G66" s="65">
        <v>0</v>
      </c>
      <c r="H66" s="65">
        <v>0</v>
      </c>
      <c r="I66" s="65">
        <v>0</v>
      </c>
      <c r="J66" s="65">
        <v>0</v>
      </c>
      <c r="K66" s="65">
        <v>0</v>
      </c>
      <c r="L66" s="65">
        <v>0</v>
      </c>
      <c r="M66" s="65" t="s">
        <v>147</v>
      </c>
      <c r="N66" s="65" t="s">
        <v>147</v>
      </c>
      <c r="O66" s="71"/>
      <c r="R66" s="51" t="str">
        <f t="shared" si="25"/>
        <v>Onroerend goed</v>
      </c>
      <c r="S66" s="52">
        <f t="shared" si="26"/>
        <v>4.6167500008304781E-2</v>
      </c>
      <c r="T66" s="52">
        <f t="shared" si="27"/>
        <v>4.2327252813834093E-16</v>
      </c>
      <c r="U66" s="52">
        <f t="shared" si="28"/>
        <v>-4.2327252813834093E-16</v>
      </c>
    </row>
    <row r="69" spans="1:36">
      <c r="A69" s="266" t="str">
        <f>Optimalisatie!A12</f>
        <v>Bull case</v>
      </c>
      <c r="B69" s="267" t="s">
        <v>1</v>
      </c>
      <c r="C69" s="268" t="s">
        <v>2</v>
      </c>
      <c r="D69" s="269">
        <v>0.25</v>
      </c>
      <c r="E69" s="270">
        <v>0.5</v>
      </c>
      <c r="F69" s="271">
        <v>0.75</v>
      </c>
      <c r="G69" s="272">
        <v>0.92155051827343615</v>
      </c>
      <c r="H69" s="272">
        <v>3.8537955605313368E-2</v>
      </c>
      <c r="I69" s="272">
        <v>1.8886958425537004E-2</v>
      </c>
      <c r="J69" s="272">
        <v>1.404860363757543E-2</v>
      </c>
      <c r="K69" s="272">
        <v>6.9759640581369409E-3</v>
      </c>
      <c r="L69" s="272">
        <v>0</v>
      </c>
      <c r="M69" s="272" t="s">
        <v>147</v>
      </c>
      <c r="N69" s="272" t="s">
        <v>147</v>
      </c>
      <c r="O69" s="273">
        <v>1.1102230246251565E-16</v>
      </c>
      <c r="R69" s="51" t="str">
        <f>A69</f>
        <v>Bull case</v>
      </c>
      <c r="S69" s="51"/>
      <c r="T69" s="52"/>
      <c r="U69" s="51"/>
      <c r="AA69" s="52"/>
      <c r="AB69" s="52"/>
      <c r="AC69" s="52"/>
      <c r="AD69" s="52"/>
    </row>
    <row r="70" spans="1:36">
      <c r="A70" s="59" t="str">
        <f>A59</f>
        <v>Nominale matching</v>
      </c>
      <c r="B70" s="1">
        <v>0.64769299116528678</v>
      </c>
      <c r="C70" s="54">
        <v>2.5368926825592207E-3</v>
      </c>
      <c r="D70" s="55">
        <v>0.64630020907574415</v>
      </c>
      <c r="E70" s="1">
        <v>0.64822391676632551</v>
      </c>
      <c r="F70" s="56">
        <v>0.6496241685641766</v>
      </c>
      <c r="G70" s="68">
        <v>8.0311019777107827E-3</v>
      </c>
      <c r="H70" s="68">
        <v>-0.63263631200131021</v>
      </c>
      <c r="I70" s="68">
        <v>0.10781167248207831</v>
      </c>
      <c r="J70" s="68">
        <v>0.13541333852931489</v>
      </c>
      <c r="K70" s="68">
        <v>1</v>
      </c>
      <c r="L70" s="68">
        <v>1</v>
      </c>
      <c r="M70" s="2" t="s">
        <v>147</v>
      </c>
      <c r="N70" s="2" t="s">
        <v>147</v>
      </c>
      <c r="O70" s="69"/>
      <c r="R70" s="51" t="str">
        <f>A70</f>
        <v>Nominale matching</v>
      </c>
      <c r="S70" s="52">
        <f>D70</f>
        <v>0.64630020907574415</v>
      </c>
      <c r="T70" s="52">
        <f>B70-D70</f>
        <v>1.3927820895426324E-3</v>
      </c>
      <c r="U70" s="52">
        <f>F70-B70</f>
        <v>1.9311773988898162E-3</v>
      </c>
      <c r="AA70" s="52"/>
      <c r="AB70" s="52"/>
      <c r="AC70" s="52"/>
      <c r="AD70" s="52"/>
    </row>
    <row r="71" spans="1:36">
      <c r="A71" s="59" t="str">
        <f t="shared" ref="A71:A77" si="29">A60</f>
        <v>High Yield</v>
      </c>
      <c r="B71" s="1">
        <v>8.6864130222873912E-2</v>
      </c>
      <c r="C71" s="54">
        <v>1.7058559891440939E-2</v>
      </c>
      <c r="D71" s="55">
        <v>7.4778719675877986E-2</v>
      </c>
      <c r="E71" s="1">
        <v>8.7582463362119348E-2</v>
      </c>
      <c r="F71" s="56">
        <v>0.10008991429207656</v>
      </c>
      <c r="G71" s="68">
        <v>-0.97704525443161905</v>
      </c>
      <c r="H71" s="68">
        <v>1</v>
      </c>
      <c r="I71" s="68">
        <v>-7.7110631521981665E-2</v>
      </c>
      <c r="J71" s="68">
        <v>-4.2051707884062602E-2</v>
      </c>
      <c r="K71" s="68">
        <v>8.4813159302243535E-2</v>
      </c>
      <c r="L71" s="68">
        <v>0.99999999999999756</v>
      </c>
      <c r="M71" s="2" t="s">
        <v>147</v>
      </c>
      <c r="N71" s="2" t="s">
        <v>147</v>
      </c>
      <c r="O71" s="69"/>
      <c r="R71" s="51" t="str">
        <f t="shared" ref="R71:R77" si="30">A71</f>
        <v>High Yield</v>
      </c>
      <c r="S71" s="52">
        <f t="shared" ref="S71:S77" si="31">D71</f>
        <v>7.4778719675877986E-2</v>
      </c>
      <c r="T71" s="52">
        <f t="shared" ref="T71:T77" si="32">B71-D71</f>
        <v>1.2085410546995926E-2</v>
      </c>
      <c r="U71" s="52">
        <f t="shared" ref="U71:U77" si="33">F71-B71</f>
        <v>1.3225784069202648E-2</v>
      </c>
      <c r="AA71" s="52"/>
      <c r="AB71" s="52"/>
      <c r="AC71" s="52"/>
      <c r="AD71" s="52"/>
    </row>
    <row r="72" spans="1:36">
      <c r="A72" s="59" t="str">
        <f t="shared" si="29"/>
        <v>Emerging market debt</v>
      </c>
      <c r="B72" s="1">
        <v>7.9935545602805164E-2</v>
      </c>
      <c r="C72" s="54">
        <v>1.7433143958763025E-2</v>
      </c>
      <c r="D72" s="55">
        <v>6.6007587491990316E-2</v>
      </c>
      <c r="E72" s="1">
        <v>7.8401817874428958E-2</v>
      </c>
      <c r="F72" s="56">
        <v>9.3580875033639391E-2</v>
      </c>
      <c r="G72" s="68">
        <v>1</v>
      </c>
      <c r="H72" s="68">
        <v>0.96758318063092386</v>
      </c>
      <c r="I72" s="68">
        <v>-8.2058069148000914E-2</v>
      </c>
      <c r="J72" s="68">
        <v>-4.1933837103620558E-2</v>
      </c>
      <c r="K72" s="68">
        <v>6.3164041531169113E-2</v>
      </c>
      <c r="L72" s="68">
        <v>0.99999999999999689</v>
      </c>
      <c r="M72" s="2" t="s">
        <v>147</v>
      </c>
      <c r="N72" s="2" t="s">
        <v>147</v>
      </c>
      <c r="O72" s="69"/>
      <c r="R72" s="51" t="str">
        <f t="shared" si="30"/>
        <v>Emerging market debt</v>
      </c>
      <c r="S72" s="52">
        <f t="shared" si="31"/>
        <v>6.6007587491990316E-2</v>
      </c>
      <c r="T72" s="52">
        <f t="shared" si="32"/>
        <v>1.3927958110814848E-2</v>
      </c>
      <c r="U72" s="52">
        <f t="shared" si="33"/>
        <v>1.3645329430834227E-2</v>
      </c>
      <c r="AA72" s="52"/>
      <c r="AB72" s="52"/>
      <c r="AC72" s="52"/>
      <c r="AD72" s="52"/>
    </row>
    <row r="73" spans="1:36">
      <c r="A73" s="59" t="str">
        <f t="shared" si="29"/>
        <v>Aandelen ontwikkeld</v>
      </c>
      <c r="B73" s="1">
        <v>7.8311413430655452E-2</v>
      </c>
      <c r="C73" s="54">
        <v>3.2518547215837686E-3</v>
      </c>
      <c r="D73" s="55">
        <v>7.5734450411287541E-2</v>
      </c>
      <c r="E73" s="1">
        <v>7.7617215678474766E-2</v>
      </c>
      <c r="F73" s="56">
        <v>8.0077871913103976E-2</v>
      </c>
      <c r="G73" s="68">
        <v>-1.3342871396611855E-2</v>
      </c>
      <c r="H73" s="68">
        <v>-0.61979533372213447</v>
      </c>
      <c r="I73" s="68">
        <v>-0.96089496804299201</v>
      </c>
      <c r="J73" s="68">
        <v>-0.51909614331213949</v>
      </c>
      <c r="K73" s="68">
        <v>-0.29435409854242012</v>
      </c>
      <c r="L73" s="68">
        <v>0.99999999999999145</v>
      </c>
      <c r="M73" s="2" t="s">
        <v>147</v>
      </c>
      <c r="N73" s="2" t="s">
        <v>147</v>
      </c>
      <c r="O73" s="69"/>
      <c r="R73" s="51" t="str">
        <f t="shared" si="30"/>
        <v>Aandelen ontwikkeld</v>
      </c>
      <c r="S73" s="52">
        <f t="shared" si="31"/>
        <v>7.5734450411287541E-2</v>
      </c>
      <c r="T73" s="52">
        <f t="shared" si="32"/>
        <v>2.5769630193679116E-3</v>
      </c>
      <c r="U73" s="52">
        <f t="shared" si="33"/>
        <v>1.7664584824485241E-3</v>
      </c>
      <c r="AA73" s="52"/>
      <c r="AB73" s="52"/>
      <c r="AC73" s="52"/>
      <c r="AD73" s="52"/>
    </row>
    <row r="74" spans="1:36">
      <c r="A74" s="59" t="str">
        <f t="shared" si="29"/>
        <v>Aandelen opkomend</v>
      </c>
      <c r="B74" s="1">
        <v>2.795816642397337E-2</v>
      </c>
      <c r="C74" s="54">
        <v>3.0340537013859334E-3</v>
      </c>
      <c r="D74" s="55">
        <v>2.5596429904374773E-2</v>
      </c>
      <c r="E74" s="1">
        <v>2.7181991153276984E-2</v>
      </c>
      <c r="F74" s="56">
        <v>2.9838075057087202E-2</v>
      </c>
      <c r="G74" s="68">
        <v>-6.8370578974211987E-3</v>
      </c>
      <c r="H74" s="68">
        <v>-0.36657321924607744</v>
      </c>
      <c r="I74" s="68">
        <v>1</v>
      </c>
      <c r="J74" s="68">
        <v>-0.53233165022949225</v>
      </c>
      <c r="K74" s="68">
        <v>-0.37304387413955914</v>
      </c>
      <c r="L74" s="68">
        <v>0.99999999999998945</v>
      </c>
      <c r="M74" s="2" t="s">
        <v>147</v>
      </c>
      <c r="N74" s="2" t="s">
        <v>147</v>
      </c>
      <c r="O74" s="69"/>
      <c r="R74" s="51" t="str">
        <f t="shared" si="30"/>
        <v>Aandelen opkomend</v>
      </c>
      <c r="S74" s="52">
        <f t="shared" si="31"/>
        <v>2.5596429904374773E-2</v>
      </c>
      <c r="T74" s="52">
        <f t="shared" si="32"/>
        <v>2.3617365195985965E-3</v>
      </c>
      <c r="U74" s="52">
        <f t="shared" si="33"/>
        <v>1.8799086331138318E-3</v>
      </c>
      <c r="AA74" s="52"/>
      <c r="AB74" s="52"/>
      <c r="AC74" s="52"/>
      <c r="AD74" s="52"/>
    </row>
    <row r="75" spans="1:36">
      <c r="A75" s="59" t="str">
        <f t="shared" si="29"/>
        <v>Commodities</v>
      </c>
      <c r="B75" s="1">
        <v>2.0502778483965042E-3</v>
      </c>
      <c r="C75" s="54">
        <v>2.7056554322195344E-3</v>
      </c>
      <c r="D75" s="55">
        <v>7.9048734068633576E-5</v>
      </c>
      <c r="E75" s="1">
        <v>8.8364262883346232E-4</v>
      </c>
      <c r="F75" s="56">
        <v>3.0400411687013101E-3</v>
      </c>
      <c r="G75" s="68">
        <v>-1.0805918252058639E-2</v>
      </c>
      <c r="H75" s="68">
        <v>-0.34857831566140862</v>
      </c>
      <c r="I75" s="68">
        <v>1.2251996230898291E-2</v>
      </c>
      <c r="J75" s="68">
        <v>1</v>
      </c>
      <c r="K75" s="68">
        <v>-0.48057922815144455</v>
      </c>
      <c r="L75" s="68">
        <v>0.99999999999999001</v>
      </c>
      <c r="M75" s="2" t="s">
        <v>147</v>
      </c>
      <c r="N75" s="2" t="s">
        <v>147</v>
      </c>
      <c r="O75" s="69"/>
      <c r="R75" s="51" t="str">
        <f t="shared" si="30"/>
        <v>Commodities</v>
      </c>
      <c r="S75" s="52">
        <f t="shared" si="31"/>
        <v>7.9048734068633576E-5</v>
      </c>
      <c r="T75" s="52">
        <f t="shared" si="32"/>
        <v>1.9712291143278706E-3</v>
      </c>
      <c r="U75" s="52">
        <f t="shared" si="33"/>
        <v>9.8976332030480596E-4</v>
      </c>
      <c r="AA75" s="52"/>
      <c r="AB75" s="52"/>
      <c r="AC75" s="52"/>
      <c r="AD75" s="52"/>
    </row>
    <row r="76" spans="1:36">
      <c r="A76" s="59" t="str">
        <f t="shared" si="29"/>
        <v>Hedge funds</v>
      </c>
      <c r="B76" s="1">
        <v>3.1019975297702843E-2</v>
      </c>
      <c r="C76" s="54">
        <v>2.9519833700000965E-16</v>
      </c>
      <c r="D76" s="55">
        <v>3.1019975297703138E-2</v>
      </c>
      <c r="E76" s="1">
        <v>3.1019975297703138E-2</v>
      </c>
      <c r="F76" s="56">
        <v>3.1019975297703138E-2</v>
      </c>
      <c r="G76" s="68">
        <v>0</v>
      </c>
      <c r="H76" s="68">
        <v>0</v>
      </c>
      <c r="I76" s="68">
        <v>0</v>
      </c>
      <c r="J76" s="68">
        <v>0</v>
      </c>
      <c r="K76" s="68">
        <v>0</v>
      </c>
      <c r="L76" s="68">
        <v>0</v>
      </c>
      <c r="M76" s="2" t="s">
        <v>147</v>
      </c>
      <c r="N76" s="2" t="s">
        <v>147</v>
      </c>
      <c r="O76" s="69"/>
      <c r="R76" s="51" t="str">
        <f t="shared" si="30"/>
        <v>Hedge funds</v>
      </c>
      <c r="S76" s="52">
        <f t="shared" si="31"/>
        <v>3.1019975297703138E-2</v>
      </c>
      <c r="T76" s="52">
        <f t="shared" si="32"/>
        <v>-2.9490299091605721E-16</v>
      </c>
      <c r="U76" s="52">
        <f t="shared" si="33"/>
        <v>2.9490299091605721E-16</v>
      </c>
    </row>
    <row r="77" spans="1:36">
      <c r="A77" s="60" t="str">
        <f t="shared" si="29"/>
        <v>Onroerend goed</v>
      </c>
      <c r="B77" s="61">
        <v>4.6167500008305204E-2</v>
      </c>
      <c r="C77" s="62">
        <v>4.2369643663530793E-16</v>
      </c>
      <c r="D77" s="63">
        <v>4.6167500008304781E-2</v>
      </c>
      <c r="E77" s="61">
        <v>4.6167500008304781E-2</v>
      </c>
      <c r="F77" s="64">
        <v>4.6167500008304781E-2</v>
      </c>
      <c r="G77" s="70">
        <v>0</v>
      </c>
      <c r="H77" s="70">
        <v>0</v>
      </c>
      <c r="I77" s="70">
        <v>0</v>
      </c>
      <c r="J77" s="70">
        <v>0</v>
      </c>
      <c r="K77" s="70">
        <v>0</v>
      </c>
      <c r="L77" s="70">
        <v>0</v>
      </c>
      <c r="M77" s="65" t="s">
        <v>147</v>
      </c>
      <c r="N77" s="65" t="s">
        <v>147</v>
      </c>
      <c r="O77" s="71"/>
      <c r="R77" s="51" t="str">
        <f t="shared" si="30"/>
        <v>Onroerend goed</v>
      </c>
      <c r="S77" s="52">
        <f t="shared" si="31"/>
        <v>4.6167500008304781E-2</v>
      </c>
      <c r="T77" s="52">
        <f t="shared" si="32"/>
        <v>4.2327252813834093E-16</v>
      </c>
      <c r="U77" s="52">
        <f t="shared" si="33"/>
        <v>-4.2327252813834093E-16</v>
      </c>
    </row>
    <row r="78" spans="1:36">
      <c r="A78" s="67"/>
      <c r="B78" s="1"/>
      <c r="C78" s="1"/>
      <c r="D78" s="1"/>
      <c r="E78" s="1"/>
      <c r="F78" s="68"/>
      <c r="G78" s="68"/>
      <c r="H78" s="68"/>
      <c r="I78" s="68"/>
      <c r="J78" s="68"/>
      <c r="K78" s="68"/>
      <c r="L78" s="68"/>
      <c r="M78" s="68"/>
      <c r="N78" s="68"/>
      <c r="O78" s="68"/>
    </row>
    <row r="79" spans="1:36">
      <c r="D79" s="407" t="s">
        <v>64</v>
      </c>
      <c r="E79" s="408"/>
      <c r="F79" s="409"/>
      <c r="G79" s="407" t="s">
        <v>65</v>
      </c>
      <c r="H79" s="408"/>
      <c r="I79" s="408"/>
      <c r="J79" s="408"/>
      <c r="K79" s="408"/>
      <c r="L79" s="408"/>
      <c r="M79" s="408"/>
      <c r="N79" s="408"/>
      <c r="O79" s="409"/>
    </row>
    <row r="80" spans="1:36">
      <c r="A80" s="266" t="str">
        <f>Optimalisatie!A13</f>
        <v>Kansgewogen</v>
      </c>
      <c r="B80" s="267" t="s">
        <v>1</v>
      </c>
      <c r="C80" s="268" t="s">
        <v>2</v>
      </c>
      <c r="D80" s="269">
        <v>0.25</v>
      </c>
      <c r="E80" s="270">
        <v>0.5</v>
      </c>
      <c r="F80" s="271">
        <v>0.75</v>
      </c>
      <c r="G80" s="272">
        <v>0.69242611054478609</v>
      </c>
      <c r="H80" s="272">
        <v>0.20460342749155447</v>
      </c>
      <c r="I80" s="272">
        <v>7.5302368021179733E-2</v>
      </c>
      <c r="J80" s="272">
        <v>1.7937682294248636E-2</v>
      </c>
      <c r="K80" s="272">
        <v>9.7304116482329617E-3</v>
      </c>
      <c r="L80" s="272">
        <v>0</v>
      </c>
      <c r="M80" s="272" t="s">
        <v>147</v>
      </c>
      <c r="N80" s="272" t="s">
        <v>147</v>
      </c>
      <c r="O80" s="273"/>
      <c r="R80" s="51" t="str">
        <f>A80</f>
        <v>Kansgewogen</v>
      </c>
      <c r="S80" s="51"/>
      <c r="T80" s="52"/>
      <c r="U80" s="51"/>
      <c r="AA80" s="52"/>
      <c r="AB80" s="52"/>
      <c r="AC80" s="52"/>
      <c r="AD80" s="52"/>
      <c r="AF80" s="72"/>
      <c r="AG80" s="72"/>
      <c r="AH80" s="72"/>
      <c r="AJ80" s="52"/>
    </row>
    <row r="81" spans="1:36">
      <c r="A81" s="53" t="str">
        <f>A70</f>
        <v>Nominale matching</v>
      </c>
      <c r="B81" s="285">
        <v>0.56192476749022247</v>
      </c>
      <c r="C81" s="54">
        <v>8.9092878326454301E-3</v>
      </c>
      <c r="D81" s="55">
        <v>0.55445412466283595</v>
      </c>
      <c r="E81" s="1">
        <v>0.56008669293857338</v>
      </c>
      <c r="F81" s="56">
        <v>0.56729593702059211</v>
      </c>
      <c r="G81" s="2">
        <v>-4.5072825825176514E-2</v>
      </c>
      <c r="H81" s="2">
        <v>-0.27552564318151501</v>
      </c>
      <c r="I81" s="2">
        <v>-0.57678639499395412</v>
      </c>
      <c r="J81" s="2">
        <v>1</v>
      </c>
      <c r="K81" s="2">
        <v>-4.6960594402332197E-2</v>
      </c>
      <c r="L81" s="2">
        <v>0.99999999999999911</v>
      </c>
      <c r="M81" s="2" t="s">
        <v>147</v>
      </c>
      <c r="N81" s="2" t="s">
        <v>147</v>
      </c>
      <c r="O81" s="69"/>
      <c r="R81" s="51" t="str">
        <f>A81</f>
        <v>Nominale matching</v>
      </c>
      <c r="S81" s="52">
        <f>D81</f>
        <v>0.55445412466283595</v>
      </c>
      <c r="T81" s="52">
        <f>B81-D81</f>
        <v>7.47064282738652E-3</v>
      </c>
      <c r="U81" s="52">
        <f>F81-B81</f>
        <v>5.3711695303696461E-3</v>
      </c>
      <c r="AA81" s="52"/>
      <c r="AB81" s="52"/>
      <c r="AC81" s="52"/>
      <c r="AD81" s="52"/>
      <c r="AF81" s="72"/>
      <c r="AG81" s="72"/>
      <c r="AH81" s="72"/>
      <c r="AJ81" s="52"/>
    </row>
    <row r="82" spans="1:36">
      <c r="A82" s="59" t="str">
        <f t="shared" ref="A82:A88" si="34">A71</f>
        <v>High Yield</v>
      </c>
      <c r="B82" s="285">
        <v>6.6082803095229625E-2</v>
      </c>
      <c r="C82" s="54">
        <v>1.1491906339597064E-2</v>
      </c>
      <c r="D82" s="55">
        <v>5.6632780015644327E-2</v>
      </c>
      <c r="E82" s="1">
        <v>6.4468361129706969E-2</v>
      </c>
      <c r="F82" s="56">
        <v>7.2827755965506016E-2</v>
      </c>
      <c r="G82" s="2">
        <v>-9.8690490512787526E-2</v>
      </c>
      <c r="H82" s="2">
        <v>-0.23393589866009051</v>
      </c>
      <c r="I82" s="2">
        <v>1</v>
      </c>
      <c r="J82" s="2">
        <v>0.34891825097278184</v>
      </c>
      <c r="K82" s="2">
        <v>-0.10129076756371738</v>
      </c>
      <c r="L82" s="2">
        <v>0.99999999999999867</v>
      </c>
      <c r="M82" s="2" t="s">
        <v>147</v>
      </c>
      <c r="N82" s="2" t="s">
        <v>147</v>
      </c>
      <c r="O82" s="69"/>
      <c r="R82" s="51" t="str">
        <f t="shared" ref="R82:R88" si="35">A82</f>
        <v>High Yield</v>
      </c>
      <c r="S82" s="52">
        <f t="shared" ref="S82:S88" si="36">D82</f>
        <v>5.6632780015644327E-2</v>
      </c>
      <c r="T82" s="52">
        <f t="shared" ref="T82:T88" si="37">B82-D82</f>
        <v>9.4500230795852985E-3</v>
      </c>
      <c r="U82" s="52">
        <f t="shared" ref="U82:U88" si="38">F82-B82</f>
        <v>6.7449528702763911E-3</v>
      </c>
      <c r="AA82" s="52"/>
      <c r="AB82" s="52"/>
      <c r="AC82" s="52"/>
      <c r="AD82" s="52"/>
      <c r="AF82" s="72"/>
      <c r="AG82" s="72"/>
      <c r="AH82" s="72"/>
      <c r="AJ82" s="52"/>
    </row>
    <row r="83" spans="1:36">
      <c r="A83" s="59" t="str">
        <f t="shared" si="34"/>
        <v>Emerging market debt</v>
      </c>
      <c r="B83" s="285">
        <v>8.1340563063599741E-2</v>
      </c>
      <c r="C83" s="54">
        <v>1.798957402594964E-2</v>
      </c>
      <c r="D83" s="55">
        <v>6.7085909467966776E-2</v>
      </c>
      <c r="E83" s="1">
        <v>7.9408748082131081E-2</v>
      </c>
      <c r="F83" s="56">
        <v>9.3797173956543967E-2</v>
      </c>
      <c r="G83" s="2">
        <v>7.3904838999693384E-2</v>
      </c>
      <c r="H83" s="2">
        <v>1</v>
      </c>
      <c r="I83" s="2">
        <v>-1.0118450533749058E-2</v>
      </c>
      <c r="J83" s="2">
        <v>8.0671604432196273E-2</v>
      </c>
      <c r="K83" s="2">
        <v>-0.19769447336553439</v>
      </c>
      <c r="L83" s="2">
        <v>0.99999999999999911</v>
      </c>
      <c r="M83" s="2" t="s">
        <v>147</v>
      </c>
      <c r="N83" s="2" t="s">
        <v>147</v>
      </c>
      <c r="O83" s="69"/>
      <c r="R83" s="51" t="str">
        <f t="shared" si="35"/>
        <v>Emerging market debt</v>
      </c>
      <c r="S83" s="52">
        <f t="shared" si="36"/>
        <v>6.7085909467966776E-2</v>
      </c>
      <c r="T83" s="52">
        <f t="shared" si="37"/>
        <v>1.4254653595632966E-2</v>
      </c>
      <c r="U83" s="52">
        <f t="shared" si="38"/>
        <v>1.2456610892944225E-2</v>
      </c>
      <c r="AA83" s="52"/>
      <c r="AB83" s="52"/>
      <c r="AC83" s="52"/>
      <c r="AD83" s="52"/>
      <c r="AF83" s="72"/>
      <c r="AG83" s="72"/>
      <c r="AH83" s="72"/>
      <c r="AJ83" s="52"/>
    </row>
    <row r="84" spans="1:36">
      <c r="A84" s="59" t="str">
        <f t="shared" si="34"/>
        <v>Aandelen ontwikkeld</v>
      </c>
      <c r="B84" s="285">
        <v>8.0226291700661659E-2</v>
      </c>
      <c r="C84" s="54">
        <v>4.2826402523228231E-3</v>
      </c>
      <c r="D84" s="55">
        <v>7.6918430717805811E-2</v>
      </c>
      <c r="E84" s="1">
        <v>7.9197385486712957E-2</v>
      </c>
      <c r="F84" s="56">
        <v>8.2508847453497833E-2</v>
      </c>
      <c r="G84" s="2">
        <v>-4.5621749032051892E-2</v>
      </c>
      <c r="H84" s="2">
        <v>3.4253073225612974E-3</v>
      </c>
      <c r="I84" s="2">
        <v>-5.0745870769925781E-2</v>
      </c>
      <c r="J84" s="2">
        <v>-0.28288704894390443</v>
      </c>
      <c r="K84" s="2">
        <v>1</v>
      </c>
      <c r="L84" s="2">
        <v>1</v>
      </c>
      <c r="M84" s="2" t="s">
        <v>147</v>
      </c>
      <c r="N84" s="2" t="s">
        <v>147</v>
      </c>
      <c r="O84" s="69"/>
      <c r="R84" s="51" t="str">
        <f t="shared" si="35"/>
        <v>Aandelen ontwikkeld</v>
      </c>
      <c r="S84" s="52">
        <f t="shared" si="36"/>
        <v>7.6918430717805811E-2</v>
      </c>
      <c r="T84" s="52">
        <f t="shared" si="37"/>
        <v>3.3078609828558481E-3</v>
      </c>
      <c r="U84" s="52">
        <f t="shared" si="38"/>
        <v>2.282555752836174E-3</v>
      </c>
      <c r="AA84" s="52"/>
      <c r="AB84" s="52"/>
      <c r="AC84" s="52"/>
      <c r="AD84" s="52"/>
      <c r="AF84" s="72"/>
      <c r="AG84" s="72"/>
      <c r="AH84" s="72"/>
      <c r="AJ84" s="52"/>
    </row>
    <row r="85" spans="1:36">
      <c r="A85" s="59" t="str">
        <f t="shared" si="34"/>
        <v>Aandelen opkomend</v>
      </c>
      <c r="B85" s="285">
        <v>7.3016920730815213E-2</v>
      </c>
      <c r="C85" s="54">
        <v>2.8051852611448831E-2</v>
      </c>
      <c r="D85" s="55">
        <v>4.9623150180197903E-2</v>
      </c>
      <c r="E85" s="1">
        <v>6.9554792037574281E-2</v>
      </c>
      <c r="F85" s="56">
        <v>9.2631538941729041E-2</v>
      </c>
      <c r="G85" s="2">
        <v>1</v>
      </c>
      <c r="H85" s="2">
        <v>-0.28982198227296291</v>
      </c>
      <c r="I85" s="2">
        <v>-0.1323304350609926</v>
      </c>
      <c r="J85" s="2">
        <v>-0.50603947215735812</v>
      </c>
      <c r="K85" s="2">
        <v>-0.28145345252739601</v>
      </c>
      <c r="L85" s="2">
        <v>0.99999999999999845</v>
      </c>
      <c r="M85" s="2" t="s">
        <v>147</v>
      </c>
      <c r="N85" s="2" t="s">
        <v>147</v>
      </c>
      <c r="O85" s="69"/>
      <c r="R85" s="51" t="str">
        <f t="shared" si="35"/>
        <v>Aandelen opkomend</v>
      </c>
      <c r="S85" s="52">
        <f t="shared" si="36"/>
        <v>4.9623150180197903E-2</v>
      </c>
      <c r="T85" s="52">
        <f t="shared" si="37"/>
        <v>2.339377055061731E-2</v>
      </c>
      <c r="U85" s="52">
        <f t="shared" si="38"/>
        <v>1.9614618210913828E-2</v>
      </c>
      <c r="AA85" s="52"/>
      <c r="AB85" s="52"/>
      <c r="AC85" s="52"/>
      <c r="AD85" s="52"/>
      <c r="AF85" s="72"/>
      <c r="AG85" s="72"/>
      <c r="AH85" s="72"/>
      <c r="AJ85" s="52"/>
    </row>
    <row r="86" spans="1:36">
      <c r="A86" s="59" t="str">
        <f t="shared" si="34"/>
        <v>Commodities</v>
      </c>
      <c r="B86" s="285">
        <v>6.0221178613463155E-2</v>
      </c>
      <c r="C86" s="54">
        <v>2.4843318211857559E-2</v>
      </c>
      <c r="D86" s="55">
        <v>4.2439840757957835E-2</v>
      </c>
      <c r="E86" s="1">
        <v>6.5058915217087565E-2</v>
      </c>
      <c r="F86" s="56">
        <v>7.9352564620233018E-2</v>
      </c>
      <c r="G86" s="2">
        <v>-0.88451977362967782</v>
      </c>
      <c r="H86" s="2">
        <v>-0.2041417832079932</v>
      </c>
      <c r="I86" s="2">
        <v>-0.23001884864137762</v>
      </c>
      <c r="J86" s="2">
        <v>-0.64066333430371591</v>
      </c>
      <c r="K86" s="2">
        <v>-0.37260071214102231</v>
      </c>
      <c r="L86" s="2">
        <v>0.999999999999998</v>
      </c>
      <c r="M86" s="2" t="s">
        <v>147</v>
      </c>
      <c r="N86" s="2" t="s">
        <v>147</v>
      </c>
      <c r="O86" s="69"/>
      <c r="R86" s="51" t="str">
        <f t="shared" si="35"/>
        <v>Commodities</v>
      </c>
      <c r="S86" s="52">
        <f t="shared" si="36"/>
        <v>4.2439840757957835E-2</v>
      </c>
      <c r="T86" s="52">
        <f t="shared" si="37"/>
        <v>1.7781337855505321E-2</v>
      </c>
      <c r="U86" s="52">
        <f t="shared" si="38"/>
        <v>1.9131386006769863E-2</v>
      </c>
      <c r="AA86" s="52"/>
      <c r="AB86" s="52"/>
      <c r="AC86" s="52"/>
      <c r="AD86" s="52"/>
      <c r="AF86" s="72"/>
      <c r="AG86" s="72"/>
      <c r="AH86" s="72"/>
      <c r="AJ86" s="52"/>
    </row>
    <row r="87" spans="1:36">
      <c r="A87" s="59" t="str">
        <f t="shared" si="34"/>
        <v>Hedge funds</v>
      </c>
      <c r="B87" s="285">
        <v>3.1019975297702843E-2</v>
      </c>
      <c r="C87" s="54">
        <v>2.9519833700000965E-16</v>
      </c>
      <c r="D87" s="55">
        <v>3.1019975297703138E-2</v>
      </c>
      <c r="E87" s="1">
        <v>3.1019975297703138E-2</v>
      </c>
      <c r="F87" s="56">
        <v>3.1019975297703138E-2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 t="s">
        <v>147</v>
      </c>
      <c r="N87" s="2" t="s">
        <v>147</v>
      </c>
      <c r="O87" s="69"/>
      <c r="R87" s="51" t="str">
        <f t="shared" si="35"/>
        <v>Hedge funds</v>
      </c>
      <c r="S87" s="52">
        <f t="shared" si="36"/>
        <v>3.1019975297703138E-2</v>
      </c>
      <c r="T87" s="52">
        <f t="shared" si="37"/>
        <v>-2.9490299091605721E-16</v>
      </c>
      <c r="U87" s="52">
        <f t="shared" si="38"/>
        <v>2.9490299091605721E-16</v>
      </c>
    </row>
    <row r="88" spans="1:36">
      <c r="A88" s="60" t="str">
        <f t="shared" si="34"/>
        <v>Onroerend goed</v>
      </c>
      <c r="B88" s="286">
        <v>4.6167500008305204E-2</v>
      </c>
      <c r="C88" s="62">
        <v>4.2369643663530793E-16</v>
      </c>
      <c r="D88" s="63">
        <v>4.6167500008304781E-2</v>
      </c>
      <c r="E88" s="61">
        <v>4.6167500008304781E-2</v>
      </c>
      <c r="F88" s="64">
        <v>4.6167500008304781E-2</v>
      </c>
      <c r="G88" s="65">
        <v>0</v>
      </c>
      <c r="H88" s="65">
        <v>0</v>
      </c>
      <c r="I88" s="65">
        <v>0</v>
      </c>
      <c r="J88" s="65">
        <v>0</v>
      </c>
      <c r="K88" s="65">
        <v>0</v>
      </c>
      <c r="L88" s="65">
        <v>0</v>
      </c>
      <c r="M88" s="65" t="s">
        <v>147</v>
      </c>
      <c r="N88" s="65" t="s">
        <v>147</v>
      </c>
      <c r="O88" s="71"/>
      <c r="R88" s="51" t="str">
        <f t="shared" si="35"/>
        <v>Onroerend goed</v>
      </c>
      <c r="S88" s="52">
        <f t="shared" si="36"/>
        <v>4.6167500008304781E-2</v>
      </c>
      <c r="T88" s="52">
        <f t="shared" si="37"/>
        <v>4.2327252813834093E-16</v>
      </c>
      <c r="U88" s="52">
        <f t="shared" si="38"/>
        <v>-4.2327252813834093E-16</v>
      </c>
    </row>
  </sheetData>
  <mergeCells count="14">
    <mergeCell ref="D79:F79"/>
    <mergeCell ref="G79:O79"/>
    <mergeCell ref="D2:F2"/>
    <mergeCell ref="G2:O2"/>
    <mergeCell ref="D13:F13"/>
    <mergeCell ref="G13:O13"/>
    <mergeCell ref="D24:F24"/>
    <mergeCell ref="G24:O24"/>
    <mergeCell ref="D35:F35"/>
    <mergeCell ref="G35:O35"/>
    <mergeCell ref="D46:F46"/>
    <mergeCell ref="G46:O46"/>
    <mergeCell ref="D57:F57"/>
    <mergeCell ref="G57:O5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AA121"/>
  <sheetViews>
    <sheetView topLeftCell="A49" workbookViewId="0">
      <selection activeCell="A4" sqref="A4:A10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8" t="s">
        <v>90</v>
      </c>
    </row>
    <row r="2" spans="1:23">
      <c r="A2" s="49"/>
      <c r="D2" s="407" t="s">
        <v>64</v>
      </c>
      <c r="E2" s="408"/>
      <c r="F2" s="409"/>
      <c r="G2" s="407" t="s">
        <v>65</v>
      </c>
      <c r="H2" s="408"/>
      <c r="I2" s="408"/>
      <c r="J2" s="408"/>
      <c r="K2" s="408"/>
      <c r="L2" s="408"/>
      <c r="M2" s="408"/>
      <c r="N2" s="409"/>
    </row>
    <row r="3" spans="1:23">
      <c r="A3" s="266" t="str">
        <f>'Samenvatting mixen'!A3</f>
        <v>Evenwicht</v>
      </c>
      <c r="B3" s="267" t="s">
        <v>67</v>
      </c>
      <c r="C3" s="268" t="s">
        <v>2</v>
      </c>
      <c r="D3" s="269">
        <v>0.25</v>
      </c>
      <c r="E3" s="270">
        <v>0.5</v>
      </c>
      <c r="F3" s="271">
        <v>0.75</v>
      </c>
      <c r="G3" s="272">
        <v>0.53087976453919816</v>
      </c>
      <c r="H3" s="272">
        <v>0.25009793414526749</v>
      </c>
      <c r="I3" s="272">
        <v>0.17308851019568772</v>
      </c>
      <c r="J3" s="272">
        <v>4.5930196873221529E-2</v>
      </c>
      <c r="K3" s="272">
        <v>3.5942466235505677E-6</v>
      </c>
      <c r="L3" s="272">
        <v>0</v>
      </c>
      <c r="M3" s="272">
        <v>0</v>
      </c>
      <c r="N3" s="272"/>
      <c r="O3" s="273"/>
      <c r="Q3" s="51" t="str">
        <f>A3</f>
        <v>Evenwicht</v>
      </c>
    </row>
    <row r="4" spans="1:23">
      <c r="A4" s="53" t="str">
        <f>+'Samenvatting mixen'!A5</f>
        <v>High Yield</v>
      </c>
      <c r="B4" s="117">
        <v>0.16037917148847522</v>
      </c>
      <c r="C4" s="118">
        <v>2.8648120086599598E-2</v>
      </c>
      <c r="D4" s="119">
        <v>0.12837394890150811</v>
      </c>
      <c r="E4" s="117">
        <v>0.15804986102471347</v>
      </c>
      <c r="F4" s="120">
        <v>0.19309806181395744</v>
      </c>
      <c r="G4" s="2">
        <v>0.12154952300105255</v>
      </c>
      <c r="H4" s="2">
        <v>-0.87402107113001892</v>
      </c>
      <c r="I4" s="2">
        <v>-0.20196678770014334</v>
      </c>
      <c r="J4" s="2">
        <v>1</v>
      </c>
      <c r="K4" s="2">
        <v>-0.26308487642077238</v>
      </c>
      <c r="L4" s="2">
        <v>0.86589762751836175</v>
      </c>
      <c r="M4" s="2">
        <v>9.3139485674768635E-4</v>
      </c>
      <c r="N4" s="57"/>
      <c r="O4" s="72"/>
      <c r="Q4" s="72" t="str">
        <f>A4</f>
        <v>High Yield</v>
      </c>
      <c r="R4" s="72">
        <f>D4</f>
        <v>0.12837394890150811</v>
      </c>
      <c r="S4" s="52">
        <f>B4-D4</f>
        <v>3.2005222586967114E-2</v>
      </c>
      <c r="T4" s="52">
        <f>F4-B4</f>
        <v>3.2718890325482225E-2</v>
      </c>
      <c r="U4" s="52"/>
      <c r="V4" s="52"/>
      <c r="W4" s="52"/>
    </row>
    <row r="5" spans="1:23">
      <c r="A5" s="59" t="str">
        <f>+'Samenvatting mixen'!A6</f>
        <v>Emerging market debt</v>
      </c>
      <c r="B5" s="117">
        <v>0.17103222896929937</v>
      </c>
      <c r="C5" s="118">
        <v>3.0837597169077195E-2</v>
      </c>
      <c r="D5" s="119">
        <v>0.13653250342488596</v>
      </c>
      <c r="E5" s="117">
        <v>0.16962193742315701</v>
      </c>
      <c r="F5" s="120">
        <v>0.20648677649327202</v>
      </c>
      <c r="G5" s="2">
        <v>-3.7100123644620751E-2</v>
      </c>
      <c r="H5" s="2">
        <v>1</v>
      </c>
      <c r="I5" s="2">
        <v>0.12360271182119598</v>
      </c>
      <c r="J5" s="2">
        <v>0.84547057647932489</v>
      </c>
      <c r="K5" s="2">
        <v>-0.26999204765259877</v>
      </c>
      <c r="L5" s="2">
        <v>0.8658976275183814</v>
      </c>
      <c r="M5" s="2">
        <v>9.3139485674762997E-4</v>
      </c>
      <c r="N5" s="57"/>
      <c r="O5" s="72"/>
      <c r="Q5" s="72" t="str">
        <f t="shared" ref="Q5:Q10" si="0">A5</f>
        <v>Emerging market debt</v>
      </c>
      <c r="R5" s="72">
        <f t="shared" ref="R5:R10" si="1">D5</f>
        <v>0.13653250342488596</v>
      </c>
      <c r="S5" s="52">
        <f t="shared" ref="S5:S10" si="2">B5-D5</f>
        <v>3.4499725544413412E-2</v>
      </c>
      <c r="T5" s="52">
        <f t="shared" ref="T5:T10" si="3">F5-B5</f>
        <v>3.5454547523972646E-2</v>
      </c>
      <c r="U5" s="52"/>
      <c r="V5" s="52"/>
      <c r="W5" s="52"/>
    </row>
    <row r="6" spans="1:23">
      <c r="A6" s="59" t="str">
        <f>+'Samenvatting mixen'!A7</f>
        <v>Aandelen ontwikkeld</v>
      </c>
      <c r="B6" s="117">
        <v>0.30807043447288002</v>
      </c>
      <c r="C6" s="118">
        <v>4.3497989876946683E-2</v>
      </c>
      <c r="D6" s="119">
        <v>0.26384505367057437</v>
      </c>
      <c r="E6" s="117">
        <v>0.3118544169993186</v>
      </c>
      <c r="F6" s="120">
        <v>0.35108599119013562</v>
      </c>
      <c r="G6" s="2">
        <v>1</v>
      </c>
      <c r="H6" s="2">
        <v>0.11961015907776183</v>
      </c>
      <c r="I6" s="2">
        <v>-0.36601059743144471</v>
      </c>
      <c r="J6" s="2">
        <v>-0.67324665521938953</v>
      </c>
      <c r="K6" s="2">
        <v>-0.38791144901278907</v>
      </c>
      <c r="L6" s="2">
        <v>0.86589762751871879</v>
      </c>
      <c r="M6" s="2">
        <v>9.3139485674671567E-4</v>
      </c>
      <c r="N6" s="57"/>
      <c r="O6" s="72"/>
      <c r="Q6" s="72" t="str">
        <f t="shared" si="0"/>
        <v>Aandelen ontwikkeld</v>
      </c>
      <c r="R6" s="72">
        <f t="shared" si="1"/>
        <v>0.26384505367057437</v>
      </c>
      <c r="S6" s="52">
        <f t="shared" si="2"/>
        <v>4.4225380802305647E-2</v>
      </c>
      <c r="T6" s="52">
        <f t="shared" si="3"/>
        <v>4.3015556717255599E-2</v>
      </c>
      <c r="U6" s="52"/>
      <c r="V6" s="52"/>
      <c r="W6" s="52"/>
    </row>
    <row r="7" spans="1:23">
      <c r="A7" s="59" t="str">
        <f>+'Samenvatting mixen'!A8</f>
        <v>Aandelen opkomend</v>
      </c>
      <c r="B7" s="117">
        <v>0.15250914975565319</v>
      </c>
      <c r="C7" s="118">
        <v>4.2750201702439553E-2</v>
      </c>
      <c r="D7" s="119">
        <v>0.10779714058981515</v>
      </c>
      <c r="E7" s="117">
        <v>0.1500040315193541</v>
      </c>
      <c r="F7" s="120">
        <v>0.19807593560368783</v>
      </c>
      <c r="G7" s="2">
        <v>-0.95320768317690541</v>
      </c>
      <c r="H7" s="2">
        <v>8.6578454111346462E-3</v>
      </c>
      <c r="I7" s="2">
        <v>-0.54783747279088613</v>
      </c>
      <c r="J7" s="2">
        <v>-0.55110393823515325</v>
      </c>
      <c r="K7" s="2">
        <v>-0.38500873035380118</v>
      </c>
      <c r="L7" s="2">
        <v>0.86589762751871047</v>
      </c>
      <c r="M7" s="2">
        <v>9.3139485674673594E-4</v>
      </c>
      <c r="N7" s="57"/>
      <c r="O7" s="72"/>
      <c r="Q7" s="72" t="str">
        <f t="shared" si="0"/>
        <v>Aandelen opkomend</v>
      </c>
      <c r="R7" s="72">
        <f t="shared" si="1"/>
        <v>0.10779714058981515</v>
      </c>
      <c r="S7" s="52">
        <f t="shared" si="2"/>
        <v>4.4712009165838035E-2</v>
      </c>
      <c r="T7" s="52">
        <f t="shared" si="3"/>
        <v>4.5566785848034641E-2</v>
      </c>
      <c r="U7" s="52"/>
      <c r="V7" s="52"/>
      <c r="W7" s="52"/>
    </row>
    <row r="8" spans="1:23">
      <c r="A8" s="59" t="str">
        <f>+'Samenvatting mixen'!A9</f>
        <v>Commodities</v>
      </c>
      <c r="B8" s="117">
        <v>3.4117522556930083E-2</v>
      </c>
      <c r="C8" s="118">
        <v>2.898387446625017E-2</v>
      </c>
      <c r="D8" s="119">
        <v>2.6960249614642311E-3</v>
      </c>
      <c r="E8" s="117">
        <v>2.9034034765134158E-2</v>
      </c>
      <c r="F8" s="120">
        <v>6.5943078815771883E-2</v>
      </c>
      <c r="G8" s="2">
        <v>-0.12707449992103476</v>
      </c>
      <c r="H8" s="2">
        <v>-0.25161490563122069</v>
      </c>
      <c r="I8" s="2">
        <v>1</v>
      </c>
      <c r="J8" s="2">
        <v>-0.45155218072308634</v>
      </c>
      <c r="K8" s="2">
        <v>-0.36590359059401034</v>
      </c>
      <c r="L8" s="2">
        <v>0.86589762751865751</v>
      </c>
      <c r="M8" s="2">
        <v>9.3139485674689499E-4</v>
      </c>
      <c r="N8" s="57"/>
      <c r="O8" s="72"/>
      <c r="Q8" s="72" t="str">
        <f t="shared" si="0"/>
        <v>Commodities</v>
      </c>
      <c r="R8" s="72">
        <f t="shared" si="1"/>
        <v>2.6960249614642311E-3</v>
      </c>
      <c r="S8" s="52">
        <f t="shared" si="2"/>
        <v>3.142149759546585E-2</v>
      </c>
      <c r="T8" s="52">
        <f t="shared" si="3"/>
        <v>3.18255562588418E-2</v>
      </c>
      <c r="U8" s="52"/>
      <c r="V8" s="52"/>
      <c r="W8" s="52"/>
    </row>
    <row r="9" spans="1:23">
      <c r="A9" s="59" t="str">
        <f>+'Samenvatting mixen'!A10</f>
        <v>Hedge funds</v>
      </c>
      <c r="B9" s="117">
        <v>6.9883226370737586E-2</v>
      </c>
      <c r="C9" s="118">
        <v>7.2120299121531436E-4</v>
      </c>
      <c r="D9" s="119">
        <v>6.9164223289222379E-2</v>
      </c>
      <c r="E9" s="117">
        <v>6.9698911262883689E-2</v>
      </c>
      <c r="F9" s="120">
        <v>7.0662126055986874E-2</v>
      </c>
      <c r="G9" s="2">
        <v>-1.6747139984316514E-3</v>
      </c>
      <c r="H9" s="2">
        <v>-1.057754963108659E-3</v>
      </c>
      <c r="I9" s="2">
        <v>-3.129769883038455E-3</v>
      </c>
      <c r="J9" s="2">
        <v>-6.8145628780204193E-2</v>
      </c>
      <c r="K9" s="2">
        <v>0.67190069404065911</v>
      </c>
      <c r="L9" s="2">
        <v>0.66631103134954273</v>
      </c>
      <c r="M9" s="2">
        <v>1</v>
      </c>
      <c r="N9" s="57"/>
      <c r="O9" s="72"/>
      <c r="Q9" s="72" t="str">
        <f t="shared" si="0"/>
        <v>Hedge funds</v>
      </c>
      <c r="R9" s="72">
        <f t="shared" si="1"/>
        <v>6.9164223289222379E-2</v>
      </c>
      <c r="S9" s="52">
        <f t="shared" si="2"/>
        <v>7.1900308151520709E-4</v>
      </c>
      <c r="T9" s="52">
        <f t="shared" si="3"/>
        <v>7.7889968524928743E-4</v>
      </c>
      <c r="U9" s="52"/>
      <c r="V9" s="52"/>
      <c r="W9" s="52"/>
    </row>
    <row r="10" spans="1:23">
      <c r="A10" s="60" t="str">
        <f>+'Samenvatting mixen'!A11</f>
        <v>Onroerend goed</v>
      </c>
      <c r="B10" s="121">
        <v>0.10400826638602412</v>
      </c>
      <c r="C10" s="122">
        <v>1.0733773571182648E-3</v>
      </c>
      <c r="D10" s="123">
        <v>0.10293816318789921</v>
      </c>
      <c r="E10" s="121">
        <v>0.10373394741375823</v>
      </c>
      <c r="F10" s="124">
        <v>0.10516751460850332</v>
      </c>
      <c r="G10" s="65">
        <v>-2.49250226005906E-3</v>
      </c>
      <c r="H10" s="65">
        <v>-1.574272764547279E-3</v>
      </c>
      <c r="I10" s="65">
        <v>-4.6580840156848508E-3</v>
      </c>
      <c r="J10" s="65">
        <v>-0.10142217352149097</v>
      </c>
      <c r="K10" s="65">
        <v>1</v>
      </c>
      <c r="L10" s="65">
        <v>1</v>
      </c>
      <c r="M10" s="65">
        <v>-0.67034349433324414</v>
      </c>
      <c r="N10" s="66"/>
      <c r="O10" s="72"/>
      <c r="Q10" s="72" t="str">
        <f t="shared" si="0"/>
        <v>Onroerend goed</v>
      </c>
      <c r="R10" s="72">
        <f t="shared" si="1"/>
        <v>0.10293816318789921</v>
      </c>
      <c r="S10" s="52">
        <f t="shared" si="2"/>
        <v>1.0701031981249082E-3</v>
      </c>
      <c r="T10" s="52">
        <f t="shared" si="3"/>
        <v>1.1592482224792033E-3</v>
      </c>
      <c r="U10" s="52"/>
      <c r="V10" s="52"/>
      <c r="W10" s="52"/>
    </row>
    <row r="12" spans="1:23">
      <c r="A12" s="48" t="s">
        <v>68</v>
      </c>
      <c r="D12" s="407" t="s">
        <v>64</v>
      </c>
      <c r="E12" s="408"/>
      <c r="F12" s="409"/>
      <c r="G12" s="407" t="s">
        <v>65</v>
      </c>
      <c r="H12" s="408"/>
      <c r="I12" s="408"/>
      <c r="J12" s="408"/>
      <c r="K12" s="408"/>
      <c r="L12" s="408"/>
      <c r="M12" s="408"/>
      <c r="N12" s="409"/>
      <c r="T12" s="48"/>
      <c r="U12" s="48"/>
    </row>
    <row r="13" spans="1:23">
      <c r="A13" s="266" t="str">
        <f>'Samenvatting mixen'!A14</f>
        <v>Base Case</v>
      </c>
      <c r="B13" s="267" t="s">
        <v>1</v>
      </c>
      <c r="C13" s="268" t="s">
        <v>2</v>
      </c>
      <c r="D13" s="269">
        <v>0.25</v>
      </c>
      <c r="E13" s="270">
        <v>0.5</v>
      </c>
      <c r="F13" s="271">
        <v>0.75</v>
      </c>
      <c r="G13" s="272">
        <v>0.72875090134735498</v>
      </c>
      <c r="H13" s="272">
        <v>0.19979342599551531</v>
      </c>
      <c r="I13" s="272">
        <v>6.0663215799360848E-2</v>
      </c>
      <c r="J13" s="272">
        <v>1.0287463104637018E-2</v>
      </c>
      <c r="K13" s="272">
        <v>5.0499375313062256E-4</v>
      </c>
      <c r="L13" s="272">
        <v>0</v>
      </c>
      <c r="M13" s="272">
        <v>0</v>
      </c>
      <c r="N13" s="272"/>
      <c r="O13" s="273"/>
      <c r="Q13" s="51" t="str">
        <f>A13</f>
        <v>Base Case</v>
      </c>
    </row>
    <row r="14" spans="1:23">
      <c r="A14" s="53" t="str">
        <f>A4</f>
        <v>High Yield</v>
      </c>
      <c r="B14" s="117">
        <v>0.15075373656090799</v>
      </c>
      <c r="C14" s="118">
        <v>2.5340349527363169E-2</v>
      </c>
      <c r="D14" s="119">
        <v>0.12493937161815787</v>
      </c>
      <c r="E14" s="117">
        <v>0.14727085089826203</v>
      </c>
      <c r="F14" s="120">
        <v>0.17544635151112087</v>
      </c>
      <c r="G14" s="2">
        <v>-0.1058112197249764</v>
      </c>
      <c r="H14" s="2">
        <v>-0.34154769028842058</v>
      </c>
      <c r="I14" s="2">
        <v>1</v>
      </c>
      <c r="J14" s="2">
        <v>-8.3725616453956903E-2</v>
      </c>
      <c r="K14" s="2">
        <v>-0.26661900098665164</v>
      </c>
      <c r="L14" s="2">
        <v>0.90984512991152544</v>
      </c>
      <c r="M14" s="2">
        <v>-1.6679547843461311E-2</v>
      </c>
      <c r="N14" s="57"/>
      <c r="Q14" s="51" t="str">
        <f t="shared" ref="Q14:Q20" si="4">A14</f>
        <v>High Yield</v>
      </c>
      <c r="R14" s="72">
        <f>D14</f>
        <v>0.12493937161815787</v>
      </c>
      <c r="S14" s="52">
        <f>B14-D14</f>
        <v>2.581436494275012E-2</v>
      </c>
      <c r="T14" s="52">
        <f>F14-B14</f>
        <v>2.4692614950212882E-2</v>
      </c>
      <c r="U14" s="52"/>
    </row>
    <row r="15" spans="1:23">
      <c r="A15" s="59" t="str">
        <f t="shared" ref="A15:A20" si="5">A5</f>
        <v>Emerging market debt</v>
      </c>
      <c r="B15" s="117">
        <v>0.18529060469246744</v>
      </c>
      <c r="C15" s="118">
        <v>3.904721937318404E-2</v>
      </c>
      <c r="D15" s="119">
        <v>0.14556132344482178</v>
      </c>
      <c r="E15" s="117">
        <v>0.18092716242778628</v>
      </c>
      <c r="F15" s="120">
        <v>0.2271414986161151</v>
      </c>
      <c r="G15" s="2">
        <v>5.8320461185065314E-2</v>
      </c>
      <c r="H15" s="2">
        <v>1</v>
      </c>
      <c r="I15" s="2">
        <v>0.10331663209341639</v>
      </c>
      <c r="J15" s="2">
        <v>-0.19675582470857408</v>
      </c>
      <c r="K15" s="2">
        <v>-0.28524711440008038</v>
      </c>
      <c r="L15" s="2">
        <v>0.90984512991152655</v>
      </c>
      <c r="M15" s="2">
        <v>-1.6679547843461297E-2</v>
      </c>
      <c r="N15" s="57"/>
      <c r="Q15" s="51" t="str">
        <f t="shared" si="4"/>
        <v>Emerging market debt</v>
      </c>
      <c r="R15" s="72">
        <f t="shared" ref="R15:R20" si="6">D15</f>
        <v>0.14556132344482178</v>
      </c>
      <c r="S15" s="52">
        <f t="shared" ref="S15:S20" si="7">B15-D15</f>
        <v>3.9729281247645659E-2</v>
      </c>
      <c r="T15" s="52">
        <f t="shared" ref="T15:T20" si="8">F15-B15</f>
        <v>4.1850893923647658E-2</v>
      </c>
      <c r="U15" s="52"/>
    </row>
    <row r="16" spans="1:23">
      <c r="A16" s="59" t="str">
        <f t="shared" si="5"/>
        <v>Aandelen ontwikkeld</v>
      </c>
      <c r="B16" s="117">
        <v>0.18320125711510674</v>
      </c>
      <c r="C16" s="118">
        <v>1.03114675147267E-2</v>
      </c>
      <c r="D16" s="119">
        <v>0.17349962652971518</v>
      </c>
      <c r="E16" s="117">
        <v>0.18082064557760813</v>
      </c>
      <c r="F16" s="120">
        <v>0.19302788455061695</v>
      </c>
      <c r="G16" s="2">
        <v>-5.3454227506351357E-2</v>
      </c>
      <c r="H16" s="2">
        <v>-4.1015507852676845E-2</v>
      </c>
      <c r="I16" s="2">
        <v>-0.20097043559878144</v>
      </c>
      <c r="J16" s="2">
        <v>1</v>
      </c>
      <c r="K16" s="2">
        <v>-0.37310062041093855</v>
      </c>
      <c r="L16" s="2">
        <v>0.90984512991152722</v>
      </c>
      <c r="M16" s="2">
        <v>-1.6679547843461318E-2</v>
      </c>
      <c r="N16" s="57"/>
      <c r="Q16" s="51" t="str">
        <f t="shared" si="4"/>
        <v>Aandelen ontwikkeld</v>
      </c>
      <c r="R16" s="72">
        <f t="shared" si="6"/>
        <v>0.17349962652971518</v>
      </c>
      <c r="S16" s="52">
        <f t="shared" si="7"/>
        <v>9.7016305853915574E-3</v>
      </c>
      <c r="T16" s="52">
        <f t="shared" si="8"/>
        <v>9.8266274355102157E-3</v>
      </c>
      <c r="U16" s="52"/>
    </row>
    <row r="17" spans="1:24">
      <c r="A17" s="59" t="str">
        <f t="shared" si="5"/>
        <v>Aandelen opkomend</v>
      </c>
      <c r="B17" s="117">
        <v>0.16669236405467153</v>
      </c>
      <c r="C17" s="118">
        <v>6.4099465167418906E-2</v>
      </c>
      <c r="D17" s="119">
        <v>9.6535759829145973E-2</v>
      </c>
      <c r="E17" s="117">
        <v>0.15820654757233446</v>
      </c>
      <c r="F17" s="120">
        <v>0.24065495204855919</v>
      </c>
      <c r="G17" s="2">
        <v>1</v>
      </c>
      <c r="H17" s="2">
        <v>-0.3227914520811157</v>
      </c>
      <c r="I17" s="2">
        <v>-0.33401138116750639</v>
      </c>
      <c r="J17" s="2">
        <v>-0.31899262268447798</v>
      </c>
      <c r="K17" s="2">
        <v>-0.36531014786410587</v>
      </c>
      <c r="L17" s="2">
        <v>0.90984512991152788</v>
      </c>
      <c r="M17" s="2">
        <v>-1.6679547843461248E-2</v>
      </c>
      <c r="N17" s="57"/>
      <c r="Q17" s="51" t="str">
        <f t="shared" si="4"/>
        <v>Aandelen opkomend</v>
      </c>
      <c r="R17" s="72">
        <f t="shared" si="6"/>
        <v>9.6535759829145973E-2</v>
      </c>
      <c r="S17" s="52">
        <f t="shared" si="7"/>
        <v>7.0156604225525554E-2</v>
      </c>
      <c r="T17" s="52">
        <f t="shared" si="8"/>
        <v>7.3962587993887663E-2</v>
      </c>
      <c r="U17" s="52"/>
    </row>
    <row r="18" spans="1:24">
      <c r="A18" s="59" t="str">
        <f t="shared" si="5"/>
        <v>Commodities</v>
      </c>
      <c r="B18" s="117">
        <v>0.13779114623689731</v>
      </c>
      <c r="C18" s="118">
        <v>5.7472850179910301E-2</v>
      </c>
      <c r="D18" s="119">
        <v>7.2289667616907013E-2</v>
      </c>
      <c r="E18" s="117">
        <v>0.14759686880845885</v>
      </c>
      <c r="F18" s="120">
        <v>0.19800160340536699</v>
      </c>
      <c r="G18" s="2">
        <v>-0.89160563322655728</v>
      </c>
      <c r="H18" s="2">
        <v>-0.2534524377133951</v>
      </c>
      <c r="I18" s="2">
        <v>-0.47407709268024395</v>
      </c>
      <c r="J18" s="2">
        <v>-0.42074751078300554</v>
      </c>
      <c r="K18" s="2">
        <v>-0.3816238103788272</v>
      </c>
      <c r="L18" s="2">
        <v>0.90984512991152866</v>
      </c>
      <c r="M18" s="2">
        <v>-1.6679547843461255E-2</v>
      </c>
      <c r="N18" s="57"/>
      <c r="Q18" s="51" t="str">
        <f t="shared" si="4"/>
        <v>Commodities</v>
      </c>
      <c r="R18" s="72">
        <f t="shared" si="6"/>
        <v>7.2289667616907013E-2</v>
      </c>
      <c r="S18" s="52">
        <f t="shared" si="7"/>
        <v>6.5501478619990297E-2</v>
      </c>
      <c r="T18" s="52">
        <f t="shared" si="8"/>
        <v>6.0210457168469678E-2</v>
      </c>
      <c r="U18" s="52"/>
    </row>
    <row r="19" spans="1:24">
      <c r="A19" s="59" t="str">
        <f t="shared" si="5"/>
        <v>Hedge funds</v>
      </c>
      <c r="B19" s="117">
        <v>7.0839455149839997E-2</v>
      </c>
      <c r="C19" s="118">
        <v>1.4665425605585216E-3</v>
      </c>
      <c r="D19" s="119">
        <v>6.9370814730877348E-2</v>
      </c>
      <c r="E19" s="117">
        <v>7.0513837213107292E-2</v>
      </c>
      <c r="F19" s="120">
        <v>7.2292188409918967E-2</v>
      </c>
      <c r="G19" s="2">
        <v>-2.993744842983898E-3</v>
      </c>
      <c r="H19" s="2">
        <v>-1.6554539575392144E-2</v>
      </c>
      <c r="I19" s="2">
        <v>-3.7880138151073495E-2</v>
      </c>
      <c r="J19" s="2">
        <v>8.1266130679482958E-3</v>
      </c>
      <c r="K19" s="2">
        <v>0.67190069404068309</v>
      </c>
      <c r="L19" s="2">
        <v>0.77566626852894671</v>
      </c>
      <c r="M19" s="2">
        <v>1</v>
      </c>
      <c r="N19" s="57"/>
      <c r="Q19" s="51" t="str">
        <f t="shared" si="4"/>
        <v>Hedge funds</v>
      </c>
      <c r="R19" s="72">
        <f t="shared" si="6"/>
        <v>6.9370814730877348E-2</v>
      </c>
      <c r="S19" s="52">
        <f t="shared" si="7"/>
        <v>1.4686404189626495E-3</v>
      </c>
      <c r="T19" s="52">
        <f t="shared" si="8"/>
        <v>1.45273326007897E-3</v>
      </c>
      <c r="U19" s="52"/>
    </row>
    <row r="20" spans="1:24">
      <c r="A20" s="60" t="str">
        <f t="shared" si="5"/>
        <v>Onroerend goed</v>
      </c>
      <c r="B20" s="121">
        <v>0.10543143619010888</v>
      </c>
      <c r="C20" s="122">
        <v>2.1826775497715569E-3</v>
      </c>
      <c r="D20" s="123">
        <v>0.10324563636583652</v>
      </c>
      <c r="E20" s="121">
        <v>0.10494681407314922</v>
      </c>
      <c r="F20" s="124">
        <v>0.10759356114840078</v>
      </c>
      <c r="G20" s="65">
        <v>-4.455635884196057E-3</v>
      </c>
      <c r="H20" s="65">
        <v>-2.4638372489000311E-2</v>
      </c>
      <c r="I20" s="65">
        <v>-5.6377584495812379E-2</v>
      </c>
      <c r="J20" s="65">
        <v>1.2094961562067075E-2</v>
      </c>
      <c r="K20" s="65">
        <v>1</v>
      </c>
      <c r="L20" s="65">
        <v>1</v>
      </c>
      <c r="M20" s="65">
        <v>-0.69978724165644945</v>
      </c>
      <c r="N20" s="66"/>
      <c r="Q20" s="51" t="str">
        <f t="shared" si="4"/>
        <v>Onroerend goed</v>
      </c>
      <c r="R20" s="72">
        <f t="shared" si="6"/>
        <v>0.10324563636583652</v>
      </c>
      <c r="S20" s="52">
        <f t="shared" si="7"/>
        <v>2.1857998242723609E-3</v>
      </c>
      <c r="T20" s="52">
        <f t="shared" si="8"/>
        <v>2.1621249582919055E-3</v>
      </c>
      <c r="U20" s="52"/>
    </row>
    <row r="21" spans="1:24">
      <c r="A21" s="125"/>
      <c r="B21" s="126"/>
      <c r="C21" s="126"/>
      <c r="D21" s="127"/>
      <c r="E21" s="127"/>
      <c r="F21" s="127"/>
      <c r="G21" s="128"/>
      <c r="H21" s="129"/>
      <c r="I21" s="128"/>
      <c r="J21" s="128"/>
      <c r="K21" s="128"/>
      <c r="L21" s="128"/>
      <c r="M21" s="128"/>
      <c r="N21" s="130"/>
    </row>
    <row r="22" spans="1:24">
      <c r="A22" s="49"/>
      <c r="D22" s="407" t="s">
        <v>64</v>
      </c>
      <c r="E22" s="408"/>
      <c r="F22" s="409"/>
      <c r="G22" s="407" t="s">
        <v>65</v>
      </c>
      <c r="H22" s="408"/>
      <c r="I22" s="408"/>
      <c r="J22" s="408"/>
      <c r="K22" s="408"/>
      <c r="L22" s="408"/>
      <c r="M22" s="408"/>
      <c r="N22" s="409"/>
      <c r="O22" s="67"/>
    </row>
    <row r="23" spans="1:24">
      <c r="A23" s="266" t="str">
        <f>'Samenvatting mixen'!A25</f>
        <v>Base - muddle down</v>
      </c>
      <c r="B23" s="267" t="s">
        <v>67</v>
      </c>
      <c r="C23" s="268" t="s">
        <v>2</v>
      </c>
      <c r="D23" s="269">
        <v>0.25</v>
      </c>
      <c r="E23" s="270">
        <v>0.5</v>
      </c>
      <c r="F23" s="271">
        <v>0.75</v>
      </c>
      <c r="G23" s="272">
        <v>0.60206174283224234</v>
      </c>
      <c r="H23" s="272">
        <v>0.26093776487611675</v>
      </c>
      <c r="I23" s="272">
        <v>0.10603267420579932</v>
      </c>
      <c r="J23" s="272">
        <v>2.940138449699059E-2</v>
      </c>
      <c r="K23" s="272">
        <v>1.566433588852667E-3</v>
      </c>
      <c r="L23" s="272">
        <v>0</v>
      </c>
      <c r="M23" s="272">
        <v>0</v>
      </c>
      <c r="N23" s="272"/>
      <c r="O23" s="273"/>
      <c r="Q23" s="51" t="str">
        <f>A23</f>
        <v>Base - muddle down</v>
      </c>
    </row>
    <row r="24" spans="1:24">
      <c r="A24" s="59" t="str">
        <f>A4</f>
        <v>High Yield</v>
      </c>
      <c r="B24" s="117">
        <v>0.15677464260039708</v>
      </c>
      <c r="C24" s="118">
        <v>1.8284007594211824E-2</v>
      </c>
      <c r="D24" s="119">
        <v>0.14070566321987629</v>
      </c>
      <c r="E24" s="117">
        <v>0.15366962234728609</v>
      </c>
      <c r="F24" s="120">
        <v>0.1742567803491018</v>
      </c>
      <c r="G24" s="2">
        <v>-2.0484589034968758E-2</v>
      </c>
      <c r="H24" s="2">
        <v>8.0894277478521584E-2</v>
      </c>
      <c r="I24" s="2">
        <v>1</v>
      </c>
      <c r="J24" s="2">
        <v>-0.7988196456166996</v>
      </c>
      <c r="K24" s="2">
        <v>-0.32068286484356479</v>
      </c>
      <c r="L24" s="2">
        <v>0.79447144137324655</v>
      </c>
      <c r="M24" s="2">
        <v>3.2479119289280954E-2</v>
      </c>
      <c r="N24" s="57"/>
      <c r="O24" s="67"/>
      <c r="Q24" s="51" t="str">
        <f t="shared" ref="Q24:Q30" si="9">A24</f>
        <v>High Yield</v>
      </c>
      <c r="R24" s="72">
        <f>D24</f>
        <v>0.14070566321987629</v>
      </c>
      <c r="S24" s="52">
        <f>B24-D24</f>
        <v>1.6068979380520793E-2</v>
      </c>
      <c r="T24" s="52">
        <f>F24-B24</f>
        <v>1.7482137748704718E-2</v>
      </c>
      <c r="U24" s="52"/>
    </row>
    <row r="25" spans="1:24">
      <c r="A25" s="59" t="str">
        <f t="shared" ref="A25:A30" si="10">A5</f>
        <v>Emerging market debt</v>
      </c>
      <c r="B25" s="117">
        <v>0.19140198677850409</v>
      </c>
      <c r="C25" s="118">
        <v>3.9481030015375708E-2</v>
      </c>
      <c r="D25" s="119">
        <v>0.15165658762105866</v>
      </c>
      <c r="E25" s="117">
        <v>0.18513952406750145</v>
      </c>
      <c r="F25" s="120">
        <v>0.23204127793373253</v>
      </c>
      <c r="G25" s="2">
        <v>-0.62821227823312431</v>
      </c>
      <c r="H25" s="2">
        <v>-0.8724837978913933</v>
      </c>
      <c r="I25" s="2">
        <v>-0.54031881832002515</v>
      </c>
      <c r="J25" s="2">
        <v>-0.24601025530097942</v>
      </c>
      <c r="K25" s="2">
        <v>-0.22338271828198797</v>
      </c>
      <c r="L25" s="2">
        <v>0.79447144137324766</v>
      </c>
      <c r="M25" s="2">
        <v>3.2479119289280885E-2</v>
      </c>
      <c r="N25" s="57"/>
      <c r="O25" s="67"/>
      <c r="Q25" s="51" t="str">
        <f t="shared" si="9"/>
        <v>Emerging market debt</v>
      </c>
      <c r="R25" s="72">
        <f t="shared" ref="R25:R30" si="11">D25</f>
        <v>0.15165658762105866</v>
      </c>
      <c r="S25" s="52">
        <f t="shared" ref="S25:S30" si="12">B25-D25</f>
        <v>3.9745399157445432E-2</v>
      </c>
      <c r="T25" s="52">
        <f t="shared" ref="T25:T30" si="13">F25-B25</f>
        <v>4.0639291155228435E-2</v>
      </c>
      <c r="U25" s="52"/>
      <c r="X25" s="51"/>
    </row>
    <row r="26" spans="1:24">
      <c r="A26" s="59" t="str">
        <f t="shared" si="10"/>
        <v>Aandelen ontwikkeld</v>
      </c>
      <c r="B26" s="117">
        <v>0.21102952328076235</v>
      </c>
      <c r="C26" s="118">
        <v>1.2469322883073775E-2</v>
      </c>
      <c r="D26" s="119">
        <v>0.19843129284656413</v>
      </c>
      <c r="E26" s="117">
        <v>0.21224914834025635</v>
      </c>
      <c r="F26" s="120">
        <v>0.22363786550386316</v>
      </c>
      <c r="G26" s="2">
        <v>-0.1054181727821981</v>
      </c>
      <c r="H26" s="2">
        <v>0.105239404913957</v>
      </c>
      <c r="I26" s="2">
        <v>0.3512163766326441</v>
      </c>
      <c r="J26" s="2">
        <v>1</v>
      </c>
      <c r="K26" s="2">
        <v>-0.75815074144935046</v>
      </c>
      <c r="L26" s="2">
        <v>0.79447144137324177</v>
      </c>
      <c r="M26" s="2">
        <v>3.2479119289281488E-2</v>
      </c>
      <c r="N26" s="57"/>
      <c r="O26" s="67"/>
      <c r="P26" s="72"/>
      <c r="Q26" s="51" t="str">
        <f t="shared" si="9"/>
        <v>Aandelen ontwikkeld</v>
      </c>
      <c r="R26" s="72">
        <f t="shared" si="11"/>
        <v>0.19843129284656413</v>
      </c>
      <c r="S26" s="52">
        <f t="shared" si="12"/>
        <v>1.2598230434198221E-2</v>
      </c>
      <c r="T26" s="52">
        <f t="shared" si="13"/>
        <v>1.260834222310081E-2</v>
      </c>
      <c r="U26" s="52"/>
      <c r="V26" s="52"/>
      <c r="W26" s="52"/>
    </row>
    <row r="27" spans="1:24">
      <c r="A27" s="59" t="str">
        <f t="shared" si="10"/>
        <v>Aandelen opkomend</v>
      </c>
      <c r="B27" s="117">
        <v>0.10591479777291954</v>
      </c>
      <c r="C27" s="118">
        <v>3.034838950669121E-2</v>
      </c>
      <c r="D27" s="119">
        <v>7.5641223329566187E-2</v>
      </c>
      <c r="E27" s="117">
        <v>9.9257087545611231E-2</v>
      </c>
      <c r="F27" s="120">
        <v>0.13717757773519468</v>
      </c>
      <c r="G27" s="2">
        <v>-0.10796168281454643</v>
      </c>
      <c r="H27" s="2">
        <v>1</v>
      </c>
      <c r="I27" s="2">
        <v>-0.7485741480580782</v>
      </c>
      <c r="J27" s="2">
        <v>-0.30721098544155412</v>
      </c>
      <c r="K27" s="2">
        <v>-0.23700995170572353</v>
      </c>
      <c r="L27" s="2">
        <v>0.7944714413732481</v>
      </c>
      <c r="M27" s="2">
        <v>3.2479119289280926E-2</v>
      </c>
      <c r="N27" s="57"/>
      <c r="O27" s="67"/>
      <c r="P27" s="72"/>
      <c r="Q27" s="51" t="str">
        <f t="shared" si="9"/>
        <v>Aandelen opkomend</v>
      </c>
      <c r="R27" s="72">
        <f t="shared" si="11"/>
        <v>7.5641223329566187E-2</v>
      </c>
      <c r="S27" s="52">
        <f t="shared" si="12"/>
        <v>3.0273574443353352E-2</v>
      </c>
      <c r="T27" s="52">
        <f t="shared" si="13"/>
        <v>3.1262779962275139E-2</v>
      </c>
      <c r="U27" s="52"/>
      <c r="V27" s="52"/>
      <c r="W27" s="52"/>
    </row>
    <row r="28" spans="1:24">
      <c r="A28" s="59" t="str">
        <f t="shared" si="10"/>
        <v>Commodities</v>
      </c>
      <c r="B28" s="117">
        <v>0.12655768410885834</v>
      </c>
      <c r="C28" s="118">
        <v>4.9826523983465529E-2</v>
      </c>
      <c r="D28" s="119">
        <v>7.7307135932403417E-2</v>
      </c>
      <c r="E28" s="117">
        <v>0.1200900838999138</v>
      </c>
      <c r="F28" s="120">
        <v>0.18441265791748654</v>
      </c>
      <c r="G28" s="2">
        <v>1</v>
      </c>
      <c r="H28" s="2">
        <v>-0.41979059290123166</v>
      </c>
      <c r="I28" s="2">
        <v>-0.34266566540724974</v>
      </c>
      <c r="J28" s="2">
        <v>-6.8538195887821354E-2</v>
      </c>
      <c r="K28" s="2">
        <v>-0.13267441776009906</v>
      </c>
      <c r="L28" s="2">
        <v>0.79447144137324943</v>
      </c>
      <c r="M28" s="2">
        <v>3.2479119289280829E-2</v>
      </c>
      <c r="N28" s="57"/>
      <c r="O28" s="67"/>
      <c r="P28" s="72"/>
      <c r="Q28" s="51" t="str">
        <f t="shared" si="9"/>
        <v>Commodities</v>
      </c>
      <c r="R28" s="72">
        <f t="shared" si="11"/>
        <v>7.7307135932403417E-2</v>
      </c>
      <c r="S28" s="52">
        <f t="shared" si="12"/>
        <v>4.9250548176454925E-2</v>
      </c>
      <c r="T28" s="52">
        <f t="shared" si="13"/>
        <v>5.7854973808628196E-2</v>
      </c>
      <c r="U28" s="52"/>
      <c r="V28" s="52"/>
      <c r="W28" s="52"/>
    </row>
    <row r="29" spans="1:24">
      <c r="A29" s="59" t="str">
        <f t="shared" si="10"/>
        <v>Hedge funds</v>
      </c>
      <c r="B29" s="117">
        <v>8.3719846839002354E-2</v>
      </c>
      <c r="C29" s="118">
        <v>4.0136616796497722E-3</v>
      </c>
      <c r="D29" s="119">
        <v>7.940741755740241E-2</v>
      </c>
      <c r="E29" s="117">
        <v>8.4580682619233821E-2</v>
      </c>
      <c r="F29" s="120">
        <v>8.7737367905319941E-2</v>
      </c>
      <c r="G29" s="2">
        <v>-5.5428379186512576E-2</v>
      </c>
      <c r="H29" s="2">
        <v>4.265565287114597E-2</v>
      </c>
      <c r="I29" s="2">
        <v>0.11266348323045249</v>
      </c>
      <c r="J29" s="2">
        <v>0.16902162805963333</v>
      </c>
      <c r="K29" s="2">
        <v>0.67190069404068475</v>
      </c>
      <c r="L29" s="2">
        <v>0.48858016837766133</v>
      </c>
      <c r="M29" s="2">
        <v>1</v>
      </c>
      <c r="N29" s="57"/>
      <c r="O29" s="67"/>
      <c r="P29" s="72"/>
      <c r="Q29" s="51" t="str">
        <f t="shared" si="9"/>
        <v>Hedge funds</v>
      </c>
      <c r="R29" s="72">
        <f t="shared" si="11"/>
        <v>7.940741755740241E-2</v>
      </c>
      <c r="S29" s="52">
        <f t="shared" si="12"/>
        <v>4.3124292815999443E-3</v>
      </c>
      <c r="T29" s="52">
        <f t="shared" si="13"/>
        <v>4.0175210663175864E-3</v>
      </c>
      <c r="U29" s="52"/>
      <c r="V29" s="52"/>
      <c r="W29" s="52"/>
    </row>
    <row r="30" spans="1:24">
      <c r="A30" s="60" t="str">
        <f t="shared" si="10"/>
        <v>Onroerend goed</v>
      </c>
      <c r="B30" s="121">
        <v>0.12460151861955571</v>
      </c>
      <c r="C30" s="122">
        <v>5.9735935909105637E-3</v>
      </c>
      <c r="D30" s="123">
        <v>0.11818326467243472</v>
      </c>
      <c r="E30" s="121">
        <v>0.12588271357569508</v>
      </c>
      <c r="F30" s="124">
        <v>0.13058085619421575</v>
      </c>
      <c r="G30" s="65">
        <v>-8.2494897948649185E-2</v>
      </c>
      <c r="H30" s="65">
        <v>6.3485055528999523E-2</v>
      </c>
      <c r="I30" s="65">
        <v>0.16767877192225533</v>
      </c>
      <c r="J30" s="65">
        <v>0.25155745418741848</v>
      </c>
      <c r="K30" s="65">
        <v>1</v>
      </c>
      <c r="L30" s="65">
        <v>1</v>
      </c>
      <c r="M30" s="65">
        <v>-0.61759883195910403</v>
      </c>
      <c r="N30" s="66"/>
      <c r="O30" s="67"/>
      <c r="P30" s="72"/>
      <c r="Q30" s="51" t="str">
        <f t="shared" si="9"/>
        <v>Onroerend goed</v>
      </c>
      <c r="R30" s="72">
        <f t="shared" si="11"/>
        <v>0.11818326467243472</v>
      </c>
      <c r="S30" s="52">
        <f t="shared" si="12"/>
        <v>6.4182539471209915E-3</v>
      </c>
      <c r="T30" s="52">
        <f t="shared" si="13"/>
        <v>5.979337574660043E-3</v>
      </c>
      <c r="U30" s="52"/>
      <c r="V30" s="52"/>
      <c r="W30" s="52"/>
    </row>
    <row r="31" spans="1:24">
      <c r="A31" s="67"/>
      <c r="B31" s="117"/>
      <c r="C31" s="117"/>
      <c r="D31" s="117"/>
      <c r="E31" s="117"/>
      <c r="F31" s="117"/>
      <c r="G31" s="68"/>
      <c r="H31" s="68"/>
      <c r="I31" s="68"/>
      <c r="J31" s="68"/>
      <c r="K31" s="68"/>
      <c r="L31" s="68"/>
      <c r="M31" s="68"/>
      <c r="N31" s="68"/>
      <c r="O31" s="67"/>
      <c r="P31" s="72"/>
      <c r="Q31" s="72"/>
      <c r="R31" s="72"/>
      <c r="T31" s="52"/>
      <c r="U31" s="52"/>
      <c r="V31" s="52"/>
      <c r="W31" s="52"/>
    </row>
    <row r="32" spans="1:24">
      <c r="A32" s="49"/>
      <c r="D32" s="407" t="s">
        <v>64</v>
      </c>
      <c r="E32" s="408"/>
      <c r="F32" s="409"/>
      <c r="G32" s="407" t="s">
        <v>65</v>
      </c>
      <c r="H32" s="408"/>
      <c r="I32" s="408"/>
      <c r="J32" s="408"/>
      <c r="K32" s="408"/>
      <c r="L32" s="408"/>
      <c r="M32" s="408"/>
      <c r="N32" s="409"/>
      <c r="O32" s="67"/>
    </row>
    <row r="33" spans="1:24">
      <c r="A33" s="266" t="str">
        <f>'Samenvatting mixen'!A36</f>
        <v>Base - muddle up</v>
      </c>
      <c r="B33" s="267" t="s">
        <v>67</v>
      </c>
      <c r="C33" s="268" t="s">
        <v>2</v>
      </c>
      <c r="D33" s="269">
        <v>0.25</v>
      </c>
      <c r="E33" s="270">
        <v>0.5</v>
      </c>
      <c r="F33" s="271">
        <v>0.75</v>
      </c>
      <c r="G33" s="272">
        <v>0.7252418162733707</v>
      </c>
      <c r="H33" s="272">
        <v>0.16621166090188688</v>
      </c>
      <c r="I33" s="272">
        <v>6.1843726123725684E-2</v>
      </c>
      <c r="J33" s="272">
        <v>4.6558588649433297E-2</v>
      </c>
      <c r="K33" s="272">
        <v>1.4420805158432692E-4</v>
      </c>
      <c r="L33" s="272">
        <v>0</v>
      </c>
      <c r="M33" s="272">
        <v>0</v>
      </c>
      <c r="N33" s="272"/>
      <c r="O33" s="273"/>
      <c r="Q33" s="51" t="str">
        <f>A33</f>
        <v>Base - muddle up</v>
      </c>
    </row>
    <row r="34" spans="1:24">
      <c r="A34" s="53" t="str">
        <f t="shared" ref="A34:A40" si="14">A4</f>
        <v>High Yield</v>
      </c>
      <c r="B34" s="117">
        <v>0.16357642297342118</v>
      </c>
      <c r="C34" s="118">
        <v>3.021518042912677E-2</v>
      </c>
      <c r="D34" s="119">
        <v>0.13216975689576005</v>
      </c>
      <c r="E34" s="117">
        <v>0.15833354718844522</v>
      </c>
      <c r="F34" s="120">
        <v>0.19571566388738879</v>
      </c>
      <c r="G34" s="2">
        <v>2.4552586323023519E-2</v>
      </c>
      <c r="H34" s="2">
        <v>-0.96872979909235246</v>
      </c>
      <c r="I34" s="2">
        <v>1</v>
      </c>
      <c r="J34" s="2">
        <v>-6.742045079114313E-2</v>
      </c>
      <c r="K34" s="2">
        <v>-0.27608874144263867</v>
      </c>
      <c r="L34" s="2">
        <v>0.97231782441976911</v>
      </c>
      <c r="M34" s="2">
        <v>-3.9675171407773921E-2</v>
      </c>
      <c r="N34" s="57"/>
      <c r="O34" s="67"/>
      <c r="Q34" s="51" t="str">
        <f t="shared" ref="Q34:Q40" si="15">A34</f>
        <v>High Yield</v>
      </c>
      <c r="R34" s="72">
        <f>D34</f>
        <v>0.13216975689576005</v>
      </c>
      <c r="S34" s="52">
        <f>B34-D34</f>
        <v>3.1406666077661127E-2</v>
      </c>
      <c r="T34" s="52">
        <f>F34-B34</f>
        <v>3.2139240913967609E-2</v>
      </c>
      <c r="U34" s="52"/>
    </row>
    <row r="35" spans="1:24">
      <c r="A35" s="59" t="str">
        <f t="shared" si="14"/>
        <v>Emerging market debt</v>
      </c>
      <c r="B35" s="117">
        <v>0.16543044397065815</v>
      </c>
      <c r="C35" s="118">
        <v>3.0978826371571136E-2</v>
      </c>
      <c r="D35" s="119">
        <v>0.13413031012025389</v>
      </c>
      <c r="E35" s="117">
        <v>0.16094859396054889</v>
      </c>
      <c r="F35" s="120">
        <v>0.20276716503759895</v>
      </c>
      <c r="G35" s="2">
        <v>-7.5566753235347728E-2</v>
      </c>
      <c r="H35" s="2">
        <v>1</v>
      </c>
      <c r="I35" s="2">
        <v>0.94082351012895016</v>
      </c>
      <c r="J35" s="2">
        <v>-9.6005083469286684E-2</v>
      </c>
      <c r="K35" s="2">
        <v>-0.27656561280851277</v>
      </c>
      <c r="L35" s="2">
        <v>0.97231782441976977</v>
      </c>
      <c r="M35" s="2">
        <v>-3.9675171407773956E-2</v>
      </c>
      <c r="N35" s="57"/>
      <c r="O35" s="67"/>
      <c r="Q35" s="51" t="str">
        <f t="shared" si="15"/>
        <v>Emerging market debt</v>
      </c>
      <c r="R35" s="72">
        <f t="shared" ref="R35:R40" si="16">D35</f>
        <v>0.13413031012025389</v>
      </c>
      <c r="S35" s="52">
        <f t="shared" ref="S35:S40" si="17">B35-D35</f>
        <v>3.1300133850404255E-2</v>
      </c>
      <c r="T35" s="52">
        <f t="shared" ref="T35:T40" si="18">F35-B35</f>
        <v>3.7336721066940803E-2</v>
      </c>
      <c r="U35" s="52"/>
    </row>
    <row r="36" spans="1:24">
      <c r="A36" s="59" t="str">
        <f t="shared" si="14"/>
        <v>Aandelen ontwikkeld</v>
      </c>
      <c r="B36" s="117">
        <v>0.19359715150762805</v>
      </c>
      <c r="C36" s="118">
        <v>1.9281503019185482E-2</v>
      </c>
      <c r="D36" s="119">
        <v>0.1756553949341278</v>
      </c>
      <c r="E36" s="117">
        <v>0.18856063966523445</v>
      </c>
      <c r="F36" s="120">
        <v>0.21167854921543952</v>
      </c>
      <c r="G36" s="2">
        <v>-9.2451109204173029E-2</v>
      </c>
      <c r="H36" s="2">
        <v>7.2798407784141726E-3</v>
      </c>
      <c r="I36" s="2">
        <v>-0.41669311090850442</v>
      </c>
      <c r="J36" s="2">
        <v>1</v>
      </c>
      <c r="K36" s="2">
        <v>-0.35254480174994485</v>
      </c>
      <c r="L36" s="2">
        <v>0.97231782441976633</v>
      </c>
      <c r="M36" s="2">
        <v>-3.9675171407773734E-2</v>
      </c>
      <c r="N36" s="57"/>
      <c r="O36" s="67"/>
      <c r="Q36" s="51" t="str">
        <f t="shared" si="15"/>
        <v>Aandelen ontwikkeld</v>
      </c>
      <c r="R36" s="72">
        <f t="shared" si="16"/>
        <v>0.1756553949341278</v>
      </c>
      <c r="S36" s="52">
        <f t="shared" si="17"/>
        <v>1.794175657350025E-2</v>
      </c>
      <c r="T36" s="52">
        <f t="shared" si="18"/>
        <v>1.8081397707811475E-2</v>
      </c>
      <c r="U36" s="52"/>
    </row>
    <row r="37" spans="1:24">
      <c r="A37" s="59" t="str">
        <f t="shared" si="14"/>
        <v>Aandelen opkomend</v>
      </c>
      <c r="B37" s="117">
        <v>0.17427261771453029</v>
      </c>
      <c r="C37" s="118">
        <v>6.200173870737323E-2</v>
      </c>
      <c r="D37" s="119">
        <v>0.10817183420054056</v>
      </c>
      <c r="E37" s="117">
        <v>0.16772898475947379</v>
      </c>
      <c r="F37" s="120">
        <v>0.24047321577409225</v>
      </c>
      <c r="G37" s="2">
        <v>1</v>
      </c>
      <c r="H37" s="2">
        <v>3.7247707936867006E-2</v>
      </c>
      <c r="I37" s="2">
        <v>-0.62780320205942564</v>
      </c>
      <c r="J37" s="2">
        <v>-0.3347802663183812</v>
      </c>
      <c r="K37" s="2">
        <v>-0.3806129913799785</v>
      </c>
      <c r="L37" s="2">
        <v>0.97231782441976555</v>
      </c>
      <c r="M37" s="2">
        <v>-3.9675171407773747E-2</v>
      </c>
      <c r="N37" s="57"/>
      <c r="O37" s="67"/>
      <c r="Q37" s="51" t="str">
        <f t="shared" si="15"/>
        <v>Aandelen opkomend</v>
      </c>
      <c r="R37" s="72">
        <f t="shared" si="16"/>
        <v>0.10817183420054056</v>
      </c>
      <c r="S37" s="52">
        <f t="shared" si="17"/>
        <v>6.6100783513989722E-2</v>
      </c>
      <c r="T37" s="52">
        <f t="shared" si="18"/>
        <v>6.6200598059561966E-2</v>
      </c>
      <c r="U37" s="52"/>
      <c r="X37" s="51"/>
    </row>
    <row r="38" spans="1:24">
      <c r="A38" s="59" t="str">
        <f t="shared" si="14"/>
        <v>Commodities</v>
      </c>
      <c r="B38" s="117">
        <v>0.12810556970848452</v>
      </c>
      <c r="C38" s="118">
        <v>5.4192381570372587E-2</v>
      </c>
      <c r="D38" s="119">
        <v>6.5599590918196796E-2</v>
      </c>
      <c r="E38" s="117">
        <v>0.13389931148352255</v>
      </c>
      <c r="F38" s="120">
        <v>0.18710600688667989</v>
      </c>
      <c r="G38" s="2">
        <v>-0.85908697304655623</v>
      </c>
      <c r="H38" s="2">
        <v>-7.3078166496202107E-2</v>
      </c>
      <c r="I38" s="2">
        <v>-0.74035409671407393</v>
      </c>
      <c r="J38" s="2">
        <v>-0.49080768633847471</v>
      </c>
      <c r="K38" s="2">
        <v>-0.38608854665966141</v>
      </c>
      <c r="L38" s="2">
        <v>0.97231782441976555</v>
      </c>
      <c r="M38" s="2">
        <v>-3.9675171407773747E-2</v>
      </c>
      <c r="N38" s="57"/>
      <c r="O38" s="67"/>
      <c r="P38" s="72"/>
      <c r="Q38" s="51" t="str">
        <f t="shared" si="15"/>
        <v>Commodities</v>
      </c>
      <c r="R38" s="72">
        <f t="shared" si="16"/>
        <v>6.5599590918196796E-2</v>
      </c>
      <c r="S38" s="52">
        <f t="shared" si="17"/>
        <v>6.2505978790287728E-2</v>
      </c>
      <c r="T38" s="52">
        <f t="shared" si="18"/>
        <v>5.9000437178195364E-2</v>
      </c>
      <c r="U38" s="52"/>
      <c r="V38" s="52"/>
      <c r="W38" s="52"/>
    </row>
    <row r="39" spans="1:24">
      <c r="A39" s="59" t="str">
        <f t="shared" si="14"/>
        <v>Hedge funds</v>
      </c>
      <c r="B39" s="117">
        <v>7.0335862507502275E-2</v>
      </c>
      <c r="C39" s="118">
        <v>1.0146267406895258E-3</v>
      </c>
      <c r="D39" s="119">
        <v>6.9263634628413354E-2</v>
      </c>
      <c r="E39" s="117">
        <v>7.0220433498304813E-2</v>
      </c>
      <c r="F39" s="120">
        <v>7.1354719649136034E-2</v>
      </c>
      <c r="G39" s="2">
        <v>1.0256936851172024E-3</v>
      </c>
      <c r="H39" s="2">
        <v>-1.0929415825129223E-3</v>
      </c>
      <c r="I39" s="2">
        <v>-6.2682212415799771E-2</v>
      </c>
      <c r="J39" s="2">
        <v>-4.4152417614714131E-3</v>
      </c>
      <c r="K39" s="2">
        <v>0.67190069404068153</v>
      </c>
      <c r="L39" s="2">
        <v>0.93111802238696495</v>
      </c>
      <c r="M39" s="2">
        <v>1</v>
      </c>
      <c r="N39" s="57"/>
      <c r="O39" s="67"/>
      <c r="P39" s="72"/>
      <c r="Q39" s="51" t="str">
        <f t="shared" si="15"/>
        <v>Hedge funds</v>
      </c>
      <c r="R39" s="72">
        <f t="shared" si="16"/>
        <v>6.9263634628413354E-2</v>
      </c>
      <c r="S39" s="52">
        <f t="shared" si="17"/>
        <v>1.0722278790889217E-3</v>
      </c>
      <c r="T39" s="52">
        <f t="shared" si="18"/>
        <v>1.0188571416337583E-3</v>
      </c>
      <c r="U39" s="52"/>
      <c r="V39" s="52"/>
      <c r="W39" s="52"/>
    </row>
    <row r="40" spans="1:24">
      <c r="A40" s="60" t="str">
        <f t="shared" si="14"/>
        <v>Onroerend goed</v>
      </c>
      <c r="B40" s="121">
        <v>0.10468193161777541</v>
      </c>
      <c r="C40" s="122">
        <v>1.510084376588088E-3</v>
      </c>
      <c r="D40" s="123">
        <v>0.10308611859272716</v>
      </c>
      <c r="E40" s="121">
        <v>0.10451013687158539</v>
      </c>
      <c r="F40" s="124">
        <v>0.10619831216429099</v>
      </c>
      <c r="G40" s="65">
        <v>1.5265554779366115E-3</v>
      </c>
      <c r="H40" s="65">
        <v>-1.6266415442141933E-3</v>
      </c>
      <c r="I40" s="65">
        <v>-9.3290888031147948E-2</v>
      </c>
      <c r="J40" s="65">
        <v>-6.5712713212408916E-3</v>
      </c>
      <c r="K40" s="65">
        <v>1</v>
      </c>
      <c r="L40" s="65">
        <v>1</v>
      </c>
      <c r="M40" s="65">
        <v>-0.73823364065352393</v>
      </c>
      <c r="N40" s="66"/>
      <c r="O40" s="67"/>
      <c r="P40" s="72"/>
      <c r="Q40" s="51" t="str">
        <f t="shared" si="15"/>
        <v>Onroerend goed</v>
      </c>
      <c r="R40" s="72">
        <f t="shared" si="16"/>
        <v>0.10308611859272716</v>
      </c>
      <c r="S40" s="52">
        <f t="shared" si="17"/>
        <v>1.5958130250482427E-3</v>
      </c>
      <c r="T40" s="52">
        <f t="shared" si="18"/>
        <v>1.5163805465155805E-3</v>
      </c>
      <c r="U40" s="52"/>
      <c r="V40" s="52"/>
      <c r="W40" s="52"/>
    </row>
    <row r="41" spans="1:24">
      <c r="A41" s="67"/>
      <c r="B41" s="117"/>
      <c r="C41" s="117"/>
      <c r="D41" s="117"/>
      <c r="E41" s="117"/>
      <c r="F41" s="117"/>
      <c r="G41" s="2"/>
      <c r="H41" s="2"/>
      <c r="I41" s="2"/>
      <c r="J41" s="2"/>
      <c r="K41" s="2"/>
      <c r="L41" s="2"/>
      <c r="M41" s="2"/>
      <c r="N41" s="68"/>
      <c r="O41" s="67"/>
      <c r="P41" s="72"/>
      <c r="Q41" s="72"/>
      <c r="R41" s="72"/>
      <c r="T41" s="52"/>
      <c r="U41" s="52"/>
      <c r="V41" s="52"/>
      <c r="W41" s="52"/>
    </row>
    <row r="42" spans="1:24">
      <c r="A42" s="49"/>
      <c r="D42" s="407" t="s">
        <v>64</v>
      </c>
      <c r="E42" s="408"/>
      <c r="F42" s="409"/>
      <c r="G42" s="407" t="s">
        <v>65</v>
      </c>
      <c r="H42" s="408"/>
      <c r="I42" s="408"/>
      <c r="J42" s="408"/>
      <c r="K42" s="408"/>
      <c r="L42" s="408"/>
      <c r="M42" s="408"/>
      <c r="N42" s="409"/>
      <c r="O42" s="67"/>
      <c r="P42" s="72"/>
      <c r="Q42" s="72"/>
      <c r="R42" s="72"/>
      <c r="T42" s="52"/>
      <c r="U42" s="52"/>
      <c r="V42" s="52"/>
      <c r="W42" s="52"/>
    </row>
    <row r="43" spans="1:24">
      <c r="A43" s="266" t="str">
        <f>'Samenvatting mixen'!A47</f>
        <v>Bear case</v>
      </c>
      <c r="B43" s="267" t="s">
        <v>67</v>
      </c>
      <c r="C43" s="268" t="s">
        <v>2</v>
      </c>
      <c r="D43" s="269">
        <v>0.25</v>
      </c>
      <c r="E43" s="270">
        <v>0.5</v>
      </c>
      <c r="F43" s="271">
        <v>0.75</v>
      </c>
      <c r="G43" s="272">
        <v>0.93499757668851491</v>
      </c>
      <c r="H43" s="272">
        <v>3.185901155307258E-2</v>
      </c>
      <c r="I43" s="272">
        <v>1.8883718967558027E-2</v>
      </c>
      <c r="J43" s="272">
        <v>1.4000488279843015E-2</v>
      </c>
      <c r="K43" s="272">
        <v>2.5920451101146824E-4</v>
      </c>
      <c r="L43" s="272">
        <v>0</v>
      </c>
      <c r="M43" s="272">
        <v>0</v>
      </c>
      <c r="N43" s="272"/>
      <c r="O43" s="273"/>
      <c r="P43" s="72"/>
      <c r="Q43" s="51" t="str">
        <f>A43</f>
        <v>Bear case</v>
      </c>
      <c r="V43" s="52"/>
      <c r="W43" s="52"/>
    </row>
    <row r="44" spans="1:24">
      <c r="A44" s="53" t="str">
        <f>A4</f>
        <v>High Yield</v>
      </c>
      <c r="B44" s="117">
        <v>0.24651281306032544</v>
      </c>
      <c r="C44" s="118">
        <v>4.8125476654416799E-2</v>
      </c>
      <c r="D44" s="119">
        <v>0.19299987013648276</v>
      </c>
      <c r="E44" s="117">
        <v>0.24932872573514378</v>
      </c>
      <c r="F44" s="120">
        <v>0.29934089746115</v>
      </c>
      <c r="G44" s="2">
        <v>-0.97270825873812006</v>
      </c>
      <c r="H44" s="2">
        <v>-0.96029666745507924</v>
      </c>
      <c r="I44" s="2">
        <v>-0.15766697531205925</v>
      </c>
      <c r="J44" s="2">
        <v>-0.11909694081082102</v>
      </c>
      <c r="K44" s="2">
        <v>-0.28987748516634676</v>
      </c>
      <c r="L44" s="2">
        <v>0.86456548961305857</v>
      </c>
      <c r="M44" s="2">
        <v>1.4853787258580907E-3</v>
      </c>
      <c r="N44" s="57"/>
      <c r="O44" s="67"/>
      <c r="Q44" s="51" t="str">
        <f t="shared" ref="Q44:Q50" si="19">A44</f>
        <v>High Yield</v>
      </c>
      <c r="R44" s="72">
        <f>D44</f>
        <v>0.19299987013648276</v>
      </c>
      <c r="S44" s="52">
        <f>B44-D44</f>
        <v>5.3512942923842677E-2</v>
      </c>
      <c r="T44" s="52">
        <f>F44-B44</f>
        <v>5.2828084400824565E-2</v>
      </c>
      <c r="U44" s="52"/>
    </row>
    <row r="45" spans="1:24">
      <c r="A45" s="59" t="str">
        <f t="shared" ref="A45:A50" si="20">A5</f>
        <v>Emerging market debt</v>
      </c>
      <c r="B45" s="117">
        <v>0.22688312795527468</v>
      </c>
      <c r="C45" s="118">
        <v>4.9402017688004923E-2</v>
      </c>
      <c r="D45" s="119">
        <v>0.17492621952643317</v>
      </c>
      <c r="E45" s="117">
        <v>0.22294566458808091</v>
      </c>
      <c r="F45" s="120">
        <v>0.28279264719674346</v>
      </c>
      <c r="G45" s="2">
        <v>1</v>
      </c>
      <c r="H45" s="2">
        <v>-0.91599421772516598</v>
      </c>
      <c r="I45" s="2">
        <v>-0.15540669031678392</v>
      </c>
      <c r="J45" s="2">
        <v>-0.1121603453789112</v>
      </c>
      <c r="K45" s="2">
        <v>-0.29385293079839608</v>
      </c>
      <c r="L45" s="2">
        <v>0.86456548961305868</v>
      </c>
      <c r="M45" s="2">
        <v>1.4853787258580996E-3</v>
      </c>
      <c r="N45" s="57"/>
      <c r="O45" s="67"/>
      <c r="Q45" s="51" t="str">
        <f t="shared" si="19"/>
        <v>Emerging market debt</v>
      </c>
      <c r="R45" s="72">
        <f t="shared" ref="R45:R50" si="21">D45</f>
        <v>0.17492621952643317</v>
      </c>
      <c r="S45" s="52">
        <f t="shared" ref="S45:S50" si="22">B45-D45</f>
        <v>5.1956908428841514E-2</v>
      </c>
      <c r="T45" s="52">
        <f t="shared" ref="T45:T50" si="23">F45-B45</f>
        <v>5.590951924146878E-2</v>
      </c>
      <c r="U45" s="52"/>
    </row>
    <row r="46" spans="1:24">
      <c r="A46" s="59" t="str">
        <f t="shared" si="20"/>
        <v>Aandelen ontwikkeld</v>
      </c>
      <c r="B46" s="117">
        <v>0.22230313219215206</v>
      </c>
      <c r="C46" s="118">
        <v>9.6119923117367594E-3</v>
      </c>
      <c r="D46" s="119">
        <v>0.21279389051178824</v>
      </c>
      <c r="E46" s="117">
        <v>0.22053768845149807</v>
      </c>
      <c r="F46" s="120">
        <v>0.23191194910544025</v>
      </c>
      <c r="G46" s="2">
        <v>-1.1785461456950655E-2</v>
      </c>
      <c r="H46" s="2">
        <v>1</v>
      </c>
      <c r="I46" s="2">
        <v>-0.71036283474980122</v>
      </c>
      <c r="J46" s="2">
        <v>-0.42592158972709859</v>
      </c>
      <c r="K46" s="2">
        <v>-0.36978504728421052</v>
      </c>
      <c r="L46" s="2">
        <v>0.86456548961305113</v>
      </c>
      <c r="M46" s="2">
        <v>1.4853787258581822E-3</v>
      </c>
      <c r="N46" s="57"/>
      <c r="O46" s="67"/>
      <c r="Q46" s="51" t="str">
        <f t="shared" si="19"/>
        <v>Aandelen ontwikkeld</v>
      </c>
      <c r="R46" s="72">
        <f t="shared" si="21"/>
        <v>0.21279389051178824</v>
      </c>
      <c r="S46" s="52">
        <f t="shared" si="22"/>
        <v>9.5092416803638224E-3</v>
      </c>
      <c r="T46" s="52">
        <f t="shared" si="23"/>
        <v>9.6088169132881873E-3</v>
      </c>
      <c r="U46" s="52"/>
    </row>
    <row r="47" spans="1:24">
      <c r="A47" s="59" t="str">
        <f t="shared" si="20"/>
        <v>Aandelen opkomend</v>
      </c>
      <c r="B47" s="117">
        <v>7.9369501770219592E-2</v>
      </c>
      <c r="C47" s="118">
        <v>8.7168734339087561E-3</v>
      </c>
      <c r="D47" s="119">
        <v>7.1360136050287279E-2</v>
      </c>
      <c r="E47" s="117">
        <v>7.7027358642071206E-2</v>
      </c>
      <c r="F47" s="120">
        <v>8.7851345328781166E-2</v>
      </c>
      <c r="G47" s="2">
        <v>-6.2242334192936346E-3</v>
      </c>
      <c r="H47" s="2">
        <v>0.41211605167248705</v>
      </c>
      <c r="I47" s="2">
        <v>1</v>
      </c>
      <c r="J47" s="2">
        <v>-0.34943633495542953</v>
      </c>
      <c r="K47" s="2">
        <v>-0.3613810147887897</v>
      </c>
      <c r="L47" s="2">
        <v>0.86456548961305291</v>
      </c>
      <c r="M47" s="2">
        <v>1.4853787258581933E-3</v>
      </c>
      <c r="N47" s="57"/>
      <c r="O47" s="67"/>
      <c r="Q47" s="51" t="str">
        <f t="shared" si="19"/>
        <v>Aandelen opkomend</v>
      </c>
      <c r="R47" s="72">
        <f t="shared" si="21"/>
        <v>7.1360136050287279E-2</v>
      </c>
      <c r="S47" s="52">
        <f t="shared" si="22"/>
        <v>8.0093657199323126E-3</v>
      </c>
      <c r="T47" s="52">
        <f t="shared" si="23"/>
        <v>8.4818435585615748E-3</v>
      </c>
      <c r="U47" s="52"/>
    </row>
    <row r="48" spans="1:24">
      <c r="A48" s="59" t="str">
        <f t="shared" si="20"/>
        <v>Commodities</v>
      </c>
      <c r="B48" s="117">
        <v>5.8286480629693013E-3</v>
      </c>
      <c r="C48" s="118">
        <v>7.6997179071361926E-3</v>
      </c>
      <c r="D48" s="119">
        <v>5.1145056791972511E-5</v>
      </c>
      <c r="E48" s="117">
        <v>2.4877258179971072E-3</v>
      </c>
      <c r="F48" s="120">
        <v>1.2867101153824629E-2</v>
      </c>
      <c r="G48" s="2">
        <v>-1.0886399261336249E-2</v>
      </c>
      <c r="H48" s="2">
        <v>0.3524394798279073</v>
      </c>
      <c r="I48" s="2">
        <v>1.0625338446437982E-2</v>
      </c>
      <c r="J48" s="2">
        <v>1</v>
      </c>
      <c r="K48" s="2">
        <v>-0.35700421600323862</v>
      </c>
      <c r="L48" s="2">
        <v>0.86456548961305446</v>
      </c>
      <c r="M48" s="2">
        <v>1.4853787258581788E-3</v>
      </c>
      <c r="N48" s="57"/>
      <c r="O48" s="67"/>
      <c r="Q48" s="51" t="str">
        <f t="shared" si="19"/>
        <v>Commodities</v>
      </c>
      <c r="R48" s="72">
        <f t="shared" si="21"/>
        <v>5.1145056791972511E-5</v>
      </c>
      <c r="S48" s="52">
        <f t="shared" si="22"/>
        <v>5.7775030061773284E-3</v>
      </c>
      <c r="T48" s="52">
        <f t="shared" si="23"/>
        <v>7.0384530908553277E-3</v>
      </c>
      <c r="U48" s="52"/>
    </row>
    <row r="49" spans="1:27">
      <c r="A49" s="59" t="str">
        <f t="shared" si="20"/>
        <v>Hedge funds</v>
      </c>
      <c r="B49" s="117">
        <v>8.8052662714816737E-2</v>
      </c>
      <c r="C49" s="118">
        <v>6.299779579949363E-4</v>
      </c>
      <c r="D49" s="119">
        <v>8.7362190040440726E-2</v>
      </c>
      <c r="E49" s="117">
        <v>8.8181024240635453E-2</v>
      </c>
      <c r="F49" s="120">
        <v>8.8637412752638395E-2</v>
      </c>
      <c r="G49" s="2">
        <v>6.4475468818869211E-4</v>
      </c>
      <c r="H49" s="2">
        <v>4.4904019690861566E-2</v>
      </c>
      <c r="I49" s="2">
        <v>5.1485286323508786E-3</v>
      </c>
      <c r="J49" s="2">
        <v>2.6585100371920335E-3</v>
      </c>
      <c r="K49" s="2">
        <v>0.67190069404068242</v>
      </c>
      <c r="L49" s="2">
        <v>0.66299625239109494</v>
      </c>
      <c r="M49" s="2">
        <v>1</v>
      </c>
      <c r="N49" s="57"/>
      <c r="O49" s="67"/>
      <c r="Q49" s="51" t="str">
        <f t="shared" si="19"/>
        <v>Hedge funds</v>
      </c>
      <c r="R49" s="72">
        <f t="shared" si="21"/>
        <v>8.7362190040440726E-2</v>
      </c>
      <c r="S49" s="52">
        <f t="shared" si="22"/>
        <v>6.904726743760109E-4</v>
      </c>
      <c r="T49" s="52">
        <f t="shared" si="23"/>
        <v>5.8475003782165746E-4</v>
      </c>
      <c r="U49" s="52"/>
      <c r="X49" s="51"/>
    </row>
    <row r="50" spans="1:27">
      <c r="A50" s="60" t="str">
        <f t="shared" si="20"/>
        <v>Onroerend goed</v>
      </c>
      <c r="B50" s="121">
        <v>0.13105011424424198</v>
      </c>
      <c r="C50" s="122">
        <v>9.3760575570531125E-4</v>
      </c>
      <c r="D50" s="123">
        <v>0.13002247328405236</v>
      </c>
      <c r="E50" s="121">
        <v>0.13124115665118871</v>
      </c>
      <c r="F50" s="124">
        <v>0.13192040659995466</v>
      </c>
      <c r="G50" s="65">
        <v>9.595981875108161E-4</v>
      </c>
      <c r="H50" s="65">
        <v>6.6831333988982167E-2</v>
      </c>
      <c r="I50" s="65">
        <v>7.6626332998536526E-3</v>
      </c>
      <c r="J50" s="65">
        <v>3.9567008350657922E-3</v>
      </c>
      <c r="K50" s="65">
        <v>1</v>
      </c>
      <c r="L50" s="65">
        <v>1</v>
      </c>
      <c r="M50" s="65">
        <v>-0.66941728831800629</v>
      </c>
      <c r="N50" s="66"/>
      <c r="O50" s="67"/>
      <c r="P50" s="72"/>
      <c r="Q50" s="51" t="str">
        <f t="shared" si="19"/>
        <v>Onroerend goed</v>
      </c>
      <c r="R50" s="72">
        <f t="shared" si="21"/>
        <v>0.13002247328405236</v>
      </c>
      <c r="S50" s="52">
        <f t="shared" si="22"/>
        <v>1.0276409601896186E-3</v>
      </c>
      <c r="T50" s="52">
        <f t="shared" si="23"/>
        <v>8.7029235571267627E-4</v>
      </c>
      <c r="U50" s="52"/>
      <c r="V50" s="52"/>
      <c r="W50" s="52"/>
    </row>
    <row r="51" spans="1:27">
      <c r="A51" s="67"/>
      <c r="B51" s="117"/>
      <c r="C51" s="117"/>
      <c r="D51" s="117"/>
      <c r="E51" s="117"/>
      <c r="F51" s="117"/>
      <c r="G51" s="68"/>
      <c r="H51" s="68"/>
      <c r="I51" s="68"/>
      <c r="J51" s="68"/>
      <c r="K51" s="68"/>
      <c r="L51" s="68"/>
      <c r="M51" s="68"/>
      <c r="N51" s="68"/>
      <c r="O51" s="67"/>
      <c r="P51" s="72"/>
      <c r="Q51" s="72"/>
      <c r="R51" s="72"/>
      <c r="T51" s="52"/>
      <c r="U51" s="52"/>
      <c r="V51" s="52"/>
      <c r="W51" s="52"/>
    </row>
    <row r="52" spans="1:27">
      <c r="A52" s="49"/>
      <c r="D52" s="407" t="s">
        <v>64</v>
      </c>
      <c r="E52" s="408"/>
      <c r="F52" s="409"/>
      <c r="G52" s="407" t="s">
        <v>65</v>
      </c>
      <c r="H52" s="408"/>
      <c r="I52" s="408"/>
      <c r="J52" s="408"/>
      <c r="K52" s="408"/>
      <c r="L52" s="408"/>
      <c r="M52" s="408"/>
      <c r="N52" s="409"/>
      <c r="O52" s="67"/>
      <c r="P52" s="72"/>
      <c r="Q52" s="72"/>
      <c r="R52" s="72"/>
      <c r="T52" s="52"/>
      <c r="U52" s="52"/>
      <c r="V52" s="52"/>
      <c r="W52" s="52"/>
    </row>
    <row r="53" spans="1:27">
      <c r="A53" s="266" t="str">
        <f>'Samenvatting mixen'!A58</f>
        <v>Tail risk</v>
      </c>
      <c r="B53" s="267" t="s">
        <v>67</v>
      </c>
      <c r="C53" s="268" t="s">
        <v>2</v>
      </c>
      <c r="D53" s="269">
        <v>0.25</v>
      </c>
      <c r="E53" s="270">
        <v>0.5</v>
      </c>
      <c r="F53" s="271">
        <v>0.75</v>
      </c>
      <c r="G53" s="272">
        <v>0.93839796342567539</v>
      </c>
      <c r="H53" s="272">
        <v>3.0987715548781103E-2</v>
      </c>
      <c r="I53" s="272">
        <v>1.7335745112900813E-2</v>
      </c>
      <c r="J53" s="272">
        <v>1.3001282234238909E-2</v>
      </c>
      <c r="K53" s="272">
        <v>2.7729367840034769E-4</v>
      </c>
      <c r="L53" s="272">
        <v>-2.2204460492503131E-16</v>
      </c>
      <c r="M53" s="272">
        <v>0</v>
      </c>
      <c r="N53" s="272"/>
      <c r="O53" s="273"/>
      <c r="P53" s="72"/>
      <c r="Q53" s="51" t="str">
        <f>A53</f>
        <v>Tail risk</v>
      </c>
      <c r="V53" s="52"/>
      <c r="W53" s="52"/>
    </row>
    <row r="54" spans="1:27">
      <c r="A54" s="53" t="str">
        <f t="shared" ref="A54:A59" si="24">A44</f>
        <v>High Yield</v>
      </c>
      <c r="B54" s="117">
        <v>0.25791375065423394</v>
      </c>
      <c r="C54" s="118">
        <v>4.6734004656619046E-2</v>
      </c>
      <c r="D54" s="119">
        <v>0.21002417649538574</v>
      </c>
      <c r="E54" s="117">
        <v>0.26185455349580833</v>
      </c>
      <c r="F54" s="120">
        <v>0.30684863447191968</v>
      </c>
      <c r="G54" s="2">
        <v>-0.97400924568541503</v>
      </c>
      <c r="H54" s="2">
        <v>1</v>
      </c>
      <c r="I54" s="2">
        <v>0.20325884320287224</v>
      </c>
      <c r="J54" s="2">
        <v>-1.5175577477584461E-2</v>
      </c>
      <c r="K54" s="2">
        <v>-0.29844360867477004</v>
      </c>
      <c r="L54" s="2">
        <v>0.87114828939776534</v>
      </c>
      <c r="M54" s="2">
        <v>-1.2402260756963072E-3</v>
      </c>
      <c r="N54" s="57"/>
      <c r="O54" s="67"/>
      <c r="P54" s="72"/>
      <c r="Q54" s="51" t="str">
        <f t="shared" ref="Q54:Q60" si="25">A54</f>
        <v>High Yield</v>
      </c>
      <c r="R54" s="72">
        <f>D54</f>
        <v>0.21002417649538574</v>
      </c>
      <c r="S54" s="52">
        <f>B54-D54</f>
        <v>4.7889574158848203E-2</v>
      </c>
      <c r="T54" s="52">
        <f>F54-B54</f>
        <v>4.8934883817685737E-2</v>
      </c>
      <c r="U54" s="52"/>
      <c r="V54" s="52">
        <f>O4</f>
        <v>0</v>
      </c>
      <c r="W54" s="52"/>
    </row>
    <row r="55" spans="1:27">
      <c r="A55" s="59" t="str">
        <f t="shared" si="24"/>
        <v>Emerging market debt</v>
      </c>
      <c r="B55" s="117">
        <v>0.21816798111006885</v>
      </c>
      <c r="C55" s="118">
        <v>4.7911213945357023E-2</v>
      </c>
      <c r="D55" s="119">
        <v>0.16676526091599708</v>
      </c>
      <c r="E55" s="117">
        <v>0.21134126422278243</v>
      </c>
      <c r="F55" s="120">
        <v>0.26807831110407548</v>
      </c>
      <c r="G55" s="2">
        <v>1</v>
      </c>
      <c r="H55" s="2">
        <v>0.9494892146242917</v>
      </c>
      <c r="I55" s="2">
        <v>0.21170354713586859</v>
      </c>
      <c r="J55" s="2">
        <v>-2.3035884333667447E-2</v>
      </c>
      <c r="K55" s="2">
        <v>-0.30488587796312022</v>
      </c>
      <c r="L55" s="2">
        <v>0.87114828939776501</v>
      </c>
      <c r="M55" s="2">
        <v>-1.2402260756963137E-3</v>
      </c>
      <c r="N55" s="57"/>
      <c r="O55" s="67"/>
      <c r="P55" s="72"/>
      <c r="Q55" s="51" t="str">
        <f t="shared" si="25"/>
        <v>Emerging market debt</v>
      </c>
      <c r="R55" s="72">
        <f t="shared" ref="R55:R60" si="26">D55</f>
        <v>0.16676526091599708</v>
      </c>
      <c r="S55" s="52">
        <f t="shared" ref="S55:S60" si="27">B55-D55</f>
        <v>5.1402720194071772E-2</v>
      </c>
      <c r="T55" s="52">
        <f t="shared" ref="T55:T60" si="28">F55-B55</f>
        <v>4.991032999400663E-2</v>
      </c>
      <c r="U55" s="52"/>
      <c r="V55" s="52">
        <f t="shared" ref="V55:V60" si="29">O5</f>
        <v>0</v>
      </c>
      <c r="W55" s="52"/>
    </row>
    <row r="56" spans="1:27">
      <c r="A56" s="59" t="str">
        <f t="shared" si="24"/>
        <v>Aandelen ontwikkeld</v>
      </c>
      <c r="B56" s="117">
        <v>0.22176001435601336</v>
      </c>
      <c r="C56" s="118">
        <v>9.1805455527892068E-3</v>
      </c>
      <c r="D56" s="119">
        <v>0.21308588018227792</v>
      </c>
      <c r="E56" s="117">
        <v>0.22003279009481252</v>
      </c>
      <c r="F56" s="120">
        <v>0.23062062850328585</v>
      </c>
      <c r="G56" s="2">
        <v>-2.1079690875493169E-2</v>
      </c>
      <c r="H56" s="2">
        <v>-0.99910004081244597</v>
      </c>
      <c r="I56" s="2">
        <v>1</v>
      </c>
      <c r="J56" s="2">
        <v>-0.17973657793978651</v>
      </c>
      <c r="K56" s="2">
        <v>-0.36301486600706961</v>
      </c>
      <c r="L56" s="2">
        <v>0.87114828939775957</v>
      </c>
      <c r="M56" s="2">
        <v>-1.2402260756964173E-3</v>
      </c>
      <c r="N56" s="57"/>
      <c r="O56" s="67"/>
      <c r="Q56" s="51" t="str">
        <f t="shared" si="25"/>
        <v>Aandelen ontwikkeld</v>
      </c>
      <c r="R56" s="72">
        <f t="shared" si="26"/>
        <v>0.21308588018227792</v>
      </c>
      <c r="S56" s="52">
        <f t="shared" si="27"/>
        <v>8.6741341737354427E-3</v>
      </c>
      <c r="T56" s="52">
        <f t="shared" si="28"/>
        <v>8.8606141472724886E-3</v>
      </c>
      <c r="U56" s="52"/>
      <c r="V56" s="52">
        <f t="shared" si="29"/>
        <v>0</v>
      </c>
    </row>
    <row r="57" spans="1:27">
      <c r="A57" s="59" t="str">
        <f t="shared" si="24"/>
        <v>Aandelen opkomend</v>
      </c>
      <c r="B57" s="117">
        <v>7.6917389187432891E-2</v>
      </c>
      <c r="C57" s="118">
        <v>7.495807219740057E-3</v>
      </c>
      <c r="D57" s="119">
        <v>7.0096770387310353E-2</v>
      </c>
      <c r="E57" s="117">
        <v>7.5371062855531384E-2</v>
      </c>
      <c r="F57" s="120">
        <v>8.4894437731602684E-2</v>
      </c>
      <c r="G57" s="2">
        <v>-1.4910903917779996E-3</v>
      </c>
      <c r="H57" s="2">
        <v>-0.46051543268789791</v>
      </c>
      <c r="I57" s="2">
        <v>-0.52134460101252711</v>
      </c>
      <c r="J57" s="2">
        <v>1</v>
      </c>
      <c r="K57" s="2">
        <v>-0.36391439144636795</v>
      </c>
      <c r="L57" s="2">
        <v>0.8711482893977609</v>
      </c>
      <c r="M57" s="2">
        <v>-1.2402260756962204E-3</v>
      </c>
      <c r="N57" s="57"/>
      <c r="O57" s="67"/>
      <c r="Q57" s="51" t="str">
        <f t="shared" si="25"/>
        <v>Aandelen opkomend</v>
      </c>
      <c r="R57" s="72">
        <f t="shared" si="26"/>
        <v>7.0096770387310353E-2</v>
      </c>
      <c r="S57" s="52">
        <f t="shared" si="27"/>
        <v>6.8206188001225382E-3</v>
      </c>
      <c r="T57" s="52">
        <f t="shared" si="28"/>
        <v>7.977048544169793E-3</v>
      </c>
      <c r="U57" s="52"/>
      <c r="V57" s="52">
        <f t="shared" si="29"/>
        <v>0</v>
      </c>
    </row>
    <row r="58" spans="1:27">
      <c r="A58" s="59" t="str">
        <f t="shared" si="24"/>
        <v>Commodities</v>
      </c>
      <c r="B58" s="117">
        <v>5.8316122925621272E-3</v>
      </c>
      <c r="C58" s="118">
        <v>7.7652257436762739E-3</v>
      </c>
      <c r="D58" s="119">
        <v>4.3398076987078476E-5</v>
      </c>
      <c r="E58" s="117">
        <v>2.7465016079834892E-3</v>
      </c>
      <c r="F58" s="120">
        <v>1.2243543464484412E-2</v>
      </c>
      <c r="G58" s="2">
        <v>-7.4171819409846922E-3</v>
      </c>
      <c r="H58" s="2">
        <v>-0.39918966575370457</v>
      </c>
      <c r="I58" s="2">
        <v>-0.88799651656463319</v>
      </c>
      <c r="J58" s="2">
        <v>-0.79852860658072056</v>
      </c>
      <c r="K58" s="2">
        <v>-0.34164194994973901</v>
      </c>
      <c r="L58" s="2">
        <v>0.8711482893977639</v>
      </c>
      <c r="M58" s="2">
        <v>-1.2402260756963922E-3</v>
      </c>
      <c r="N58" s="57"/>
      <c r="O58" s="67"/>
      <c r="Q58" s="51" t="str">
        <f t="shared" si="25"/>
        <v>Commodities</v>
      </c>
      <c r="R58" s="72">
        <f t="shared" si="26"/>
        <v>4.3398076987078476E-5</v>
      </c>
      <c r="S58" s="52">
        <f t="shared" si="27"/>
        <v>5.788214215575049E-3</v>
      </c>
      <c r="T58" s="52">
        <f t="shared" si="28"/>
        <v>6.4119311719222846E-3</v>
      </c>
      <c r="U58" s="52"/>
      <c r="V58" s="52">
        <f t="shared" si="29"/>
        <v>0</v>
      </c>
    </row>
    <row r="59" spans="1:27">
      <c r="A59" s="59" t="str">
        <f t="shared" si="24"/>
        <v>Hedge funds</v>
      </c>
      <c r="B59" s="117">
        <v>8.8175828559534319E-2</v>
      </c>
      <c r="C59" s="118">
        <v>5.9779405367008087E-4</v>
      </c>
      <c r="D59" s="119">
        <v>8.7559388696105828E-2</v>
      </c>
      <c r="E59" s="117">
        <v>8.8314595997347839E-2</v>
      </c>
      <c r="F59" s="120">
        <v>8.8717891578789135E-2</v>
      </c>
      <c r="G59" s="2">
        <v>1.6063917189915648E-3</v>
      </c>
      <c r="H59" s="2">
        <v>-3.6443966676297068E-2</v>
      </c>
      <c r="I59" s="2">
        <v>-2.259067828225287E-3</v>
      </c>
      <c r="J59" s="2">
        <v>6.6216074586431225E-3</v>
      </c>
      <c r="K59" s="2">
        <v>0.6719006940406802</v>
      </c>
      <c r="L59" s="2">
        <v>0.67937633299895173</v>
      </c>
      <c r="M59" s="2">
        <v>1</v>
      </c>
      <c r="N59" s="57"/>
      <c r="O59" s="67"/>
      <c r="Q59" s="51" t="str">
        <f t="shared" si="25"/>
        <v>Hedge funds</v>
      </c>
      <c r="R59" s="72">
        <f t="shared" si="26"/>
        <v>8.7559388696105828E-2</v>
      </c>
      <c r="S59" s="52">
        <f t="shared" si="27"/>
        <v>6.1643986342849177E-4</v>
      </c>
      <c r="T59" s="52">
        <f t="shared" si="28"/>
        <v>5.4206301925481537E-4</v>
      </c>
      <c r="U59" s="52"/>
      <c r="V59" s="52">
        <f t="shared" si="29"/>
        <v>0</v>
      </c>
    </row>
    <row r="60" spans="1:27">
      <c r="A60" s="60" t="str">
        <f t="shared" ref="A60" si="30">A10</f>
        <v>Onroerend goed</v>
      </c>
      <c r="B60" s="121">
        <v>0.13123342384015405</v>
      </c>
      <c r="C60" s="122">
        <v>8.8970596246160008E-4</v>
      </c>
      <c r="D60" s="123">
        <v>0.13031596703605192</v>
      </c>
      <c r="E60" s="121">
        <v>0.13143995352384724</v>
      </c>
      <c r="F60" s="124">
        <v>0.13204018445829674</v>
      </c>
      <c r="G60" s="65">
        <v>2.390817174679539E-3</v>
      </c>
      <c r="H60" s="65">
        <v>-5.4240108693935168E-2</v>
      </c>
      <c r="I60" s="65">
        <v>-3.3622049333507562E-3</v>
      </c>
      <c r="J60" s="65">
        <v>9.8550388731144037E-3</v>
      </c>
      <c r="K60" s="65">
        <v>1</v>
      </c>
      <c r="L60" s="65">
        <v>1</v>
      </c>
      <c r="M60" s="65">
        <v>-0.67397422887740455</v>
      </c>
      <c r="N60" s="66"/>
      <c r="O60" s="67"/>
      <c r="Q60" s="51" t="str">
        <f t="shared" si="25"/>
        <v>Onroerend goed</v>
      </c>
      <c r="R60" s="72">
        <f t="shared" si="26"/>
        <v>0.13031596703605192</v>
      </c>
      <c r="S60" s="52">
        <f t="shared" si="27"/>
        <v>9.1745680410212915E-4</v>
      </c>
      <c r="T60" s="52">
        <f t="shared" si="28"/>
        <v>8.067606181426934E-4</v>
      </c>
      <c r="U60" s="52"/>
      <c r="V60" s="52">
        <f t="shared" si="29"/>
        <v>0</v>
      </c>
    </row>
    <row r="61" spans="1:27">
      <c r="A61" s="67"/>
      <c r="B61" s="117"/>
      <c r="C61" s="117"/>
      <c r="D61" s="117"/>
      <c r="E61" s="117"/>
      <c r="F61" s="117"/>
      <c r="G61" s="68"/>
      <c r="H61" s="68"/>
      <c r="I61" s="68"/>
      <c r="J61" s="68"/>
      <c r="K61" s="68"/>
      <c r="L61" s="68"/>
      <c r="M61" s="68"/>
      <c r="N61" s="68"/>
      <c r="O61" s="67"/>
      <c r="P61" s="72"/>
      <c r="Q61" s="72"/>
      <c r="R61" s="72"/>
      <c r="T61" s="52"/>
      <c r="U61" s="52"/>
      <c r="V61" s="52"/>
      <c r="W61" s="52"/>
      <c r="Y61" s="131"/>
      <c r="Z61" s="131"/>
      <c r="AA61" s="131"/>
    </row>
    <row r="62" spans="1:27">
      <c r="A62" s="49"/>
      <c r="D62" s="407" t="s">
        <v>64</v>
      </c>
      <c r="E62" s="408"/>
      <c r="F62" s="409"/>
      <c r="G62" s="407" t="s">
        <v>65</v>
      </c>
      <c r="H62" s="408"/>
      <c r="I62" s="408"/>
      <c r="J62" s="408"/>
      <c r="K62" s="408"/>
      <c r="L62" s="408"/>
      <c r="M62" s="408"/>
      <c r="N62" s="409"/>
      <c r="O62" s="67"/>
      <c r="P62" s="72"/>
      <c r="Q62" s="72"/>
      <c r="R62" s="72"/>
      <c r="T62" s="52"/>
      <c r="U62" s="52"/>
      <c r="V62" s="52"/>
      <c r="W62" s="52"/>
    </row>
    <row r="63" spans="1:27">
      <c r="A63" s="266" t="str">
        <f>'Samenvatting mixen'!A69</f>
        <v>Bull case</v>
      </c>
      <c r="B63" s="267" t="s">
        <v>67</v>
      </c>
      <c r="C63" s="268" t="s">
        <v>2</v>
      </c>
      <c r="D63" s="269">
        <v>0.25</v>
      </c>
      <c r="E63" s="270">
        <v>0.5</v>
      </c>
      <c r="F63" s="271">
        <v>0.75</v>
      </c>
      <c r="G63" s="272">
        <v>0.93499757668851491</v>
      </c>
      <c r="H63" s="272">
        <v>3.185901155307258E-2</v>
      </c>
      <c r="I63" s="272">
        <v>1.8883718967558027E-2</v>
      </c>
      <c r="J63" s="272">
        <v>1.4000488279843015E-2</v>
      </c>
      <c r="K63" s="272">
        <v>2.5920451101146824E-4</v>
      </c>
      <c r="L63" s="272">
        <v>0</v>
      </c>
      <c r="M63" s="272">
        <v>0</v>
      </c>
      <c r="N63" s="272"/>
      <c r="O63" s="273"/>
      <c r="P63" s="72"/>
      <c r="Q63" s="51" t="str">
        <f>A63</f>
        <v>Bull case</v>
      </c>
      <c r="V63" s="52"/>
      <c r="W63" s="52"/>
    </row>
    <row r="64" spans="1:27">
      <c r="A64" s="53" t="str">
        <f t="shared" ref="A64:A70" si="31">A54</f>
        <v>High Yield</v>
      </c>
      <c r="B64" s="117">
        <v>0.24651281306032544</v>
      </c>
      <c r="C64" s="118">
        <v>4.8125476654416799E-2</v>
      </c>
      <c r="D64" s="119">
        <v>0.19299987013648276</v>
      </c>
      <c r="E64" s="117">
        <v>0.24932872573514378</v>
      </c>
      <c r="F64" s="120">
        <v>0.29934089746115</v>
      </c>
      <c r="G64" s="2">
        <v>-0.97270825873812006</v>
      </c>
      <c r="H64" s="2">
        <v>-0.96029666745507924</v>
      </c>
      <c r="I64" s="2">
        <v>-0.15766697531205925</v>
      </c>
      <c r="J64" s="2">
        <v>-0.11909694081082102</v>
      </c>
      <c r="K64" s="2">
        <v>-0.28987748516634676</v>
      </c>
      <c r="L64" s="2">
        <v>0.86456548961305857</v>
      </c>
      <c r="M64" s="2">
        <v>1.4853787258580907E-3</v>
      </c>
      <c r="N64" s="57"/>
      <c r="O64" s="67"/>
      <c r="Q64" s="51" t="str">
        <f t="shared" ref="Q64:Q70" si="32">A64</f>
        <v>High Yield</v>
      </c>
      <c r="R64" s="72">
        <f>D64</f>
        <v>0.19299987013648276</v>
      </c>
      <c r="S64" s="52">
        <f>B64-D64</f>
        <v>5.3512942923842677E-2</v>
      </c>
      <c r="T64" s="52">
        <f>F64-B64</f>
        <v>5.2828084400824565E-2</v>
      </c>
      <c r="U64" s="52"/>
    </row>
    <row r="65" spans="1:24">
      <c r="A65" s="59" t="str">
        <f t="shared" si="31"/>
        <v>Emerging market debt</v>
      </c>
      <c r="B65" s="117">
        <v>0.22688312795527468</v>
      </c>
      <c r="C65" s="118">
        <v>4.9402017688004923E-2</v>
      </c>
      <c r="D65" s="119">
        <v>0.17492621952643317</v>
      </c>
      <c r="E65" s="117">
        <v>0.22294566458808091</v>
      </c>
      <c r="F65" s="120">
        <v>0.28279264719674346</v>
      </c>
      <c r="G65" s="2">
        <v>1</v>
      </c>
      <c r="H65" s="2">
        <v>-0.91599421772516598</v>
      </c>
      <c r="I65" s="2">
        <v>-0.15540669031678392</v>
      </c>
      <c r="J65" s="2">
        <v>-0.1121603453789112</v>
      </c>
      <c r="K65" s="2">
        <v>-0.29385293079839608</v>
      </c>
      <c r="L65" s="2">
        <v>0.86456548961305868</v>
      </c>
      <c r="M65" s="2">
        <v>1.4853787258580996E-3</v>
      </c>
      <c r="N65" s="57"/>
      <c r="O65" s="67"/>
      <c r="Q65" s="51" t="str">
        <f t="shared" si="32"/>
        <v>Emerging market debt</v>
      </c>
      <c r="R65" s="72">
        <f t="shared" ref="R65:R70" si="33">D65</f>
        <v>0.17492621952643317</v>
      </c>
      <c r="S65" s="52">
        <f t="shared" ref="S65:S70" si="34">B65-D65</f>
        <v>5.1956908428841514E-2</v>
      </c>
      <c r="T65" s="52">
        <f t="shared" ref="T65:T70" si="35">F65-B65</f>
        <v>5.590951924146878E-2</v>
      </c>
      <c r="U65" s="52"/>
    </row>
    <row r="66" spans="1:24">
      <c r="A66" s="59" t="str">
        <f t="shared" si="31"/>
        <v>Aandelen ontwikkeld</v>
      </c>
      <c r="B66" s="117">
        <v>0.22230313219215206</v>
      </c>
      <c r="C66" s="118">
        <v>9.6119923117367594E-3</v>
      </c>
      <c r="D66" s="119">
        <v>0.21279389051178824</v>
      </c>
      <c r="E66" s="117">
        <v>0.22053768845149807</v>
      </c>
      <c r="F66" s="120">
        <v>0.23191194910544025</v>
      </c>
      <c r="G66" s="2">
        <v>-1.1785461456950655E-2</v>
      </c>
      <c r="H66" s="2">
        <v>1</v>
      </c>
      <c r="I66" s="2">
        <v>-0.71036283474980122</v>
      </c>
      <c r="J66" s="2">
        <v>-0.42592158972709859</v>
      </c>
      <c r="K66" s="2">
        <v>-0.36978504728421052</v>
      </c>
      <c r="L66" s="2">
        <v>0.86456548961305113</v>
      </c>
      <c r="M66" s="2">
        <v>1.4853787258581822E-3</v>
      </c>
      <c r="N66" s="57"/>
      <c r="O66" s="67"/>
      <c r="Q66" s="51" t="str">
        <f t="shared" si="32"/>
        <v>Aandelen ontwikkeld</v>
      </c>
      <c r="R66" s="72">
        <f t="shared" si="33"/>
        <v>0.21279389051178824</v>
      </c>
      <c r="S66" s="52">
        <f t="shared" si="34"/>
        <v>9.5092416803638224E-3</v>
      </c>
      <c r="T66" s="52">
        <f t="shared" si="35"/>
        <v>9.6088169132881873E-3</v>
      </c>
      <c r="U66" s="52"/>
    </row>
    <row r="67" spans="1:24">
      <c r="A67" s="59" t="str">
        <f t="shared" si="31"/>
        <v>Aandelen opkomend</v>
      </c>
      <c r="B67" s="117">
        <v>7.9369501770219592E-2</v>
      </c>
      <c r="C67" s="118">
        <v>8.7168734339087561E-3</v>
      </c>
      <c r="D67" s="119">
        <v>7.1360136050287279E-2</v>
      </c>
      <c r="E67" s="117">
        <v>7.7027358642071206E-2</v>
      </c>
      <c r="F67" s="120">
        <v>8.7851345328781166E-2</v>
      </c>
      <c r="G67" s="2">
        <v>-6.2242334192936346E-3</v>
      </c>
      <c r="H67" s="2">
        <v>0.41211605167248705</v>
      </c>
      <c r="I67" s="2">
        <v>1</v>
      </c>
      <c r="J67" s="2">
        <v>-0.34943633495542953</v>
      </c>
      <c r="K67" s="2">
        <v>-0.3613810147887897</v>
      </c>
      <c r="L67" s="2">
        <v>0.86456548961305291</v>
      </c>
      <c r="M67" s="2">
        <v>1.4853787258581933E-3</v>
      </c>
      <c r="N67" s="57"/>
      <c r="O67" s="67"/>
      <c r="Q67" s="51" t="str">
        <f t="shared" si="32"/>
        <v>Aandelen opkomend</v>
      </c>
      <c r="R67" s="72">
        <f t="shared" si="33"/>
        <v>7.1360136050287279E-2</v>
      </c>
      <c r="S67" s="52">
        <f t="shared" si="34"/>
        <v>8.0093657199323126E-3</v>
      </c>
      <c r="T67" s="52">
        <f t="shared" si="35"/>
        <v>8.4818435585615748E-3</v>
      </c>
      <c r="U67" s="52"/>
    </row>
    <row r="68" spans="1:24">
      <c r="A68" s="59" t="str">
        <f t="shared" si="31"/>
        <v>Commodities</v>
      </c>
      <c r="B68" s="117">
        <v>5.8286480629693013E-3</v>
      </c>
      <c r="C68" s="118">
        <v>7.6997179071361926E-3</v>
      </c>
      <c r="D68" s="119">
        <v>5.1145056791972511E-5</v>
      </c>
      <c r="E68" s="117">
        <v>2.4877258179971072E-3</v>
      </c>
      <c r="F68" s="120">
        <v>1.2867101153824629E-2</v>
      </c>
      <c r="G68" s="2">
        <v>-1.0886399261336249E-2</v>
      </c>
      <c r="H68" s="2">
        <v>0.3524394798279073</v>
      </c>
      <c r="I68" s="2">
        <v>1.0625338446437982E-2</v>
      </c>
      <c r="J68" s="2">
        <v>1</v>
      </c>
      <c r="K68" s="2">
        <v>-0.35700421600323862</v>
      </c>
      <c r="L68" s="2">
        <v>0.86456548961305446</v>
      </c>
      <c r="M68" s="2">
        <v>1.4853787258581788E-3</v>
      </c>
      <c r="N68" s="57"/>
      <c r="O68" s="67"/>
      <c r="Q68" s="51" t="str">
        <f t="shared" si="32"/>
        <v>Commodities</v>
      </c>
      <c r="R68" s="72">
        <f t="shared" si="33"/>
        <v>5.1145056791972511E-5</v>
      </c>
      <c r="S68" s="52">
        <f t="shared" si="34"/>
        <v>5.7775030061773284E-3</v>
      </c>
      <c r="T68" s="52">
        <f t="shared" si="35"/>
        <v>7.0384530908553277E-3</v>
      </c>
      <c r="U68" s="52"/>
    </row>
    <row r="69" spans="1:24">
      <c r="A69" s="59" t="str">
        <f t="shared" si="31"/>
        <v>Hedge funds</v>
      </c>
      <c r="B69" s="117">
        <v>8.8052662714816737E-2</v>
      </c>
      <c r="C69" s="118">
        <v>6.299779579949363E-4</v>
      </c>
      <c r="D69" s="119">
        <v>8.7362190040440726E-2</v>
      </c>
      <c r="E69" s="117">
        <v>8.8181024240635453E-2</v>
      </c>
      <c r="F69" s="120">
        <v>8.8637412752638395E-2</v>
      </c>
      <c r="G69" s="2">
        <v>6.4475468818869211E-4</v>
      </c>
      <c r="H69" s="2">
        <v>4.4904019690861566E-2</v>
      </c>
      <c r="I69" s="2">
        <v>5.1485286323508786E-3</v>
      </c>
      <c r="J69" s="2">
        <v>2.6585100371920335E-3</v>
      </c>
      <c r="K69" s="2">
        <v>0.67190069404068242</v>
      </c>
      <c r="L69" s="2">
        <v>0.66299625239109494</v>
      </c>
      <c r="M69" s="2">
        <v>1</v>
      </c>
      <c r="N69" s="57"/>
      <c r="O69" s="67"/>
      <c r="Q69" s="51" t="str">
        <f t="shared" si="32"/>
        <v>Hedge funds</v>
      </c>
      <c r="R69" s="72">
        <f t="shared" si="33"/>
        <v>8.7362190040440726E-2</v>
      </c>
      <c r="S69" s="52">
        <f t="shared" si="34"/>
        <v>6.904726743760109E-4</v>
      </c>
      <c r="T69" s="52">
        <f t="shared" si="35"/>
        <v>5.8475003782165746E-4</v>
      </c>
      <c r="U69" s="52"/>
      <c r="X69" s="51"/>
    </row>
    <row r="70" spans="1:24">
      <c r="A70" s="60" t="str">
        <f t="shared" si="31"/>
        <v>Onroerend goed</v>
      </c>
      <c r="B70" s="121">
        <v>0.13105011424424198</v>
      </c>
      <c r="C70" s="122">
        <v>9.3760575570531125E-4</v>
      </c>
      <c r="D70" s="123">
        <v>0.13002247328405236</v>
      </c>
      <c r="E70" s="121">
        <v>0.13124115665118871</v>
      </c>
      <c r="F70" s="124">
        <v>0.13192040659995466</v>
      </c>
      <c r="G70" s="65">
        <v>9.595981875108161E-4</v>
      </c>
      <c r="H70" s="65">
        <v>6.6831333988982167E-2</v>
      </c>
      <c r="I70" s="65">
        <v>7.6626332998536526E-3</v>
      </c>
      <c r="J70" s="65">
        <v>3.9567008350657922E-3</v>
      </c>
      <c r="K70" s="65">
        <v>1</v>
      </c>
      <c r="L70" s="65">
        <v>1</v>
      </c>
      <c r="M70" s="65">
        <v>-0.66941728831800629</v>
      </c>
      <c r="N70" s="66"/>
      <c r="O70" s="67"/>
      <c r="P70" s="72"/>
      <c r="Q70" s="51" t="str">
        <f t="shared" si="32"/>
        <v>Onroerend goed</v>
      </c>
      <c r="R70" s="72">
        <f t="shared" si="33"/>
        <v>0.13002247328405236</v>
      </c>
      <c r="S70" s="52">
        <f t="shared" si="34"/>
        <v>1.0276409601896186E-3</v>
      </c>
      <c r="T70" s="52">
        <f t="shared" si="35"/>
        <v>8.7029235571267627E-4</v>
      </c>
      <c r="U70" s="52"/>
      <c r="V70" s="52"/>
      <c r="W70" s="52"/>
    </row>
    <row r="71" spans="1:24">
      <c r="A71" s="67"/>
      <c r="B71" s="117"/>
      <c r="C71" s="117"/>
      <c r="D71" s="117"/>
      <c r="E71" s="117"/>
      <c r="F71" s="117"/>
      <c r="G71" s="68"/>
      <c r="H71" s="68"/>
      <c r="I71" s="68"/>
      <c r="J71" s="68"/>
      <c r="K71" s="68"/>
      <c r="L71" s="68"/>
      <c r="M71" s="68"/>
      <c r="N71" s="68"/>
      <c r="O71" s="67"/>
      <c r="P71" s="72"/>
      <c r="Q71" s="72"/>
      <c r="R71" s="72"/>
      <c r="T71" s="52"/>
      <c r="U71" s="52"/>
      <c r="V71" s="52"/>
      <c r="W71" s="52"/>
    </row>
    <row r="72" spans="1:24">
      <c r="A72" s="49"/>
      <c r="D72" s="407" t="s">
        <v>64</v>
      </c>
      <c r="E72" s="408"/>
      <c r="F72" s="409"/>
      <c r="G72" s="407" t="s">
        <v>65</v>
      </c>
      <c r="H72" s="408"/>
      <c r="I72" s="408"/>
      <c r="J72" s="408"/>
      <c r="K72" s="408"/>
      <c r="L72" s="408"/>
      <c r="M72" s="408"/>
      <c r="N72" s="409"/>
      <c r="O72" s="67"/>
      <c r="P72" s="72"/>
      <c r="Q72" s="72"/>
      <c r="R72" s="72"/>
      <c r="T72" s="52"/>
      <c r="U72" s="52"/>
      <c r="V72" s="52"/>
      <c r="W72" s="52"/>
    </row>
    <row r="73" spans="1:24">
      <c r="A73" s="266" t="str">
        <f>'Samenvatting mixen'!A80</f>
        <v>Kansgewogen</v>
      </c>
      <c r="B73" s="267" t="s">
        <v>67</v>
      </c>
      <c r="C73" s="268" t="s">
        <v>2</v>
      </c>
      <c r="D73" s="269">
        <v>0.25</v>
      </c>
      <c r="E73" s="270">
        <v>0.5</v>
      </c>
      <c r="F73" s="271">
        <v>0.75</v>
      </c>
      <c r="G73" s="272">
        <v>0.72875090134735498</v>
      </c>
      <c r="H73" s="272">
        <v>0.19979342599551531</v>
      </c>
      <c r="I73" s="272">
        <v>6.0663215799360848E-2</v>
      </c>
      <c r="J73" s="272">
        <v>1.0287463104637018E-2</v>
      </c>
      <c r="K73" s="272">
        <v>5.0499375313062256E-4</v>
      </c>
      <c r="L73" s="272">
        <v>0</v>
      </c>
      <c r="M73" s="272">
        <v>0</v>
      </c>
      <c r="N73" s="272"/>
      <c r="O73" s="273"/>
      <c r="P73" s="72"/>
      <c r="Q73" s="51" t="str">
        <f>A73</f>
        <v>Kansgewogen</v>
      </c>
      <c r="V73" s="52"/>
      <c r="W73" s="52"/>
    </row>
    <row r="74" spans="1:24">
      <c r="A74" s="53" t="str">
        <f t="shared" ref="A74:A80" si="36">A64</f>
        <v>High Yield</v>
      </c>
      <c r="B74" s="117">
        <v>0.15075373656090799</v>
      </c>
      <c r="C74" s="118">
        <v>2.5340349527363169E-2</v>
      </c>
      <c r="D74" s="119">
        <v>0.12493937161815787</v>
      </c>
      <c r="E74" s="117">
        <v>0.14727085089826203</v>
      </c>
      <c r="F74" s="120">
        <v>0.17544635151112087</v>
      </c>
      <c r="G74" s="2">
        <v>-0.1058112197249764</v>
      </c>
      <c r="H74" s="2">
        <v>-0.34154769028842058</v>
      </c>
      <c r="I74" s="2">
        <v>1</v>
      </c>
      <c r="J74" s="2">
        <v>-8.3725616453956903E-2</v>
      </c>
      <c r="K74" s="2">
        <v>-0.26661900098665164</v>
      </c>
      <c r="L74" s="2">
        <v>0.90984512991152544</v>
      </c>
      <c r="M74" s="2">
        <v>-1.6679547843461311E-2</v>
      </c>
      <c r="N74" s="57"/>
      <c r="O74" s="67"/>
      <c r="P74" s="72"/>
      <c r="Q74" s="51" t="str">
        <f t="shared" ref="Q74:Q80" si="37">A74</f>
        <v>High Yield</v>
      </c>
      <c r="R74" s="72">
        <f>D74</f>
        <v>0.12493937161815787</v>
      </c>
      <c r="S74" s="52">
        <f>B74-D74</f>
        <v>2.581436494275012E-2</v>
      </c>
      <c r="T74" s="52">
        <f>F74-B74</f>
        <v>2.4692614950212882E-2</v>
      </c>
      <c r="U74" s="52"/>
      <c r="V74" s="52">
        <f>O25</f>
        <v>0</v>
      </c>
      <c r="W74" s="52"/>
    </row>
    <row r="75" spans="1:24">
      <c r="A75" s="59" t="str">
        <f t="shared" si="36"/>
        <v>Emerging market debt</v>
      </c>
      <c r="B75" s="117">
        <v>0.18529060469246744</v>
      </c>
      <c r="C75" s="118">
        <v>3.904721937318404E-2</v>
      </c>
      <c r="D75" s="119">
        <v>0.14556132344482178</v>
      </c>
      <c r="E75" s="117">
        <v>0.18092716242778628</v>
      </c>
      <c r="F75" s="120">
        <v>0.2271414986161151</v>
      </c>
      <c r="G75" s="2">
        <v>5.8320461185065314E-2</v>
      </c>
      <c r="H75" s="2">
        <v>1</v>
      </c>
      <c r="I75" s="2">
        <v>0.10331663209341639</v>
      </c>
      <c r="J75" s="2">
        <v>-0.19675582470857408</v>
      </c>
      <c r="K75" s="2">
        <v>-0.28524711440008038</v>
      </c>
      <c r="L75" s="2">
        <v>0.90984512991152655</v>
      </c>
      <c r="M75" s="2">
        <v>-1.6679547843461297E-2</v>
      </c>
      <c r="N75" s="57"/>
      <c r="O75" s="67"/>
      <c r="P75" s="72"/>
      <c r="Q75" s="51" t="str">
        <f t="shared" si="37"/>
        <v>Emerging market debt</v>
      </c>
      <c r="R75" s="72">
        <f t="shared" ref="R75:R80" si="38">D75</f>
        <v>0.14556132344482178</v>
      </c>
      <c r="S75" s="52">
        <f t="shared" ref="S75:S80" si="39">B75-D75</f>
        <v>3.9729281247645659E-2</v>
      </c>
      <c r="T75" s="52">
        <f t="shared" ref="T75:T80" si="40">F75-B75</f>
        <v>4.1850893923647658E-2</v>
      </c>
      <c r="U75" s="52"/>
      <c r="V75" s="52">
        <f t="shared" ref="V75:V80" si="41">O26</f>
        <v>0</v>
      </c>
      <c r="W75" s="52"/>
    </row>
    <row r="76" spans="1:24">
      <c r="A76" s="59" t="str">
        <f t="shared" si="36"/>
        <v>Aandelen ontwikkeld</v>
      </c>
      <c r="B76" s="117">
        <v>0.18320125711510674</v>
      </c>
      <c r="C76" s="118">
        <v>1.03114675147267E-2</v>
      </c>
      <c r="D76" s="119">
        <v>0.17349962652971518</v>
      </c>
      <c r="E76" s="117">
        <v>0.18082064557760813</v>
      </c>
      <c r="F76" s="120">
        <v>0.19302788455061695</v>
      </c>
      <c r="G76" s="2">
        <v>-5.3454227506351357E-2</v>
      </c>
      <c r="H76" s="2">
        <v>-4.1015507852676845E-2</v>
      </c>
      <c r="I76" s="2">
        <v>-0.20097043559878144</v>
      </c>
      <c r="J76" s="2">
        <v>1</v>
      </c>
      <c r="K76" s="2">
        <v>-0.37310062041093855</v>
      </c>
      <c r="L76" s="2">
        <v>0.90984512991152722</v>
      </c>
      <c r="M76" s="2">
        <v>-1.6679547843461318E-2</v>
      </c>
      <c r="N76" s="57"/>
      <c r="O76" s="67"/>
      <c r="Q76" s="51" t="str">
        <f t="shared" si="37"/>
        <v>Aandelen ontwikkeld</v>
      </c>
      <c r="R76" s="72">
        <f t="shared" si="38"/>
        <v>0.17349962652971518</v>
      </c>
      <c r="S76" s="52">
        <f t="shared" si="39"/>
        <v>9.7016305853915574E-3</v>
      </c>
      <c r="T76" s="52">
        <f t="shared" si="40"/>
        <v>9.8266274355102157E-3</v>
      </c>
      <c r="U76" s="52"/>
      <c r="V76" s="52">
        <f t="shared" si="41"/>
        <v>0</v>
      </c>
    </row>
    <row r="77" spans="1:24">
      <c r="A77" s="59" t="str">
        <f t="shared" si="36"/>
        <v>Aandelen opkomend</v>
      </c>
      <c r="B77" s="117">
        <v>0.16669236405467153</v>
      </c>
      <c r="C77" s="118">
        <v>6.4099465167418906E-2</v>
      </c>
      <c r="D77" s="119">
        <v>9.6535759829145973E-2</v>
      </c>
      <c r="E77" s="117">
        <v>0.15820654757233446</v>
      </c>
      <c r="F77" s="120">
        <v>0.24065495204855919</v>
      </c>
      <c r="G77" s="2">
        <v>1</v>
      </c>
      <c r="H77" s="2">
        <v>-0.3227914520811157</v>
      </c>
      <c r="I77" s="2">
        <v>-0.33401138116750639</v>
      </c>
      <c r="J77" s="2">
        <v>-0.31899262268447798</v>
      </c>
      <c r="K77" s="2">
        <v>-0.36531014786410587</v>
      </c>
      <c r="L77" s="2">
        <v>0.90984512991152788</v>
      </c>
      <c r="M77" s="2">
        <v>-1.6679547843461248E-2</v>
      </c>
      <c r="N77" s="57"/>
      <c r="O77" s="67"/>
      <c r="Q77" s="51" t="str">
        <f t="shared" si="37"/>
        <v>Aandelen opkomend</v>
      </c>
      <c r="R77" s="72">
        <f t="shared" si="38"/>
        <v>9.6535759829145973E-2</v>
      </c>
      <c r="S77" s="52">
        <f t="shared" si="39"/>
        <v>7.0156604225525554E-2</v>
      </c>
      <c r="T77" s="52">
        <f t="shared" si="40"/>
        <v>7.3962587993887663E-2</v>
      </c>
      <c r="U77" s="52"/>
      <c r="V77" s="52">
        <f t="shared" si="41"/>
        <v>0</v>
      </c>
    </row>
    <row r="78" spans="1:24">
      <c r="A78" s="59" t="str">
        <f t="shared" si="36"/>
        <v>Commodities</v>
      </c>
      <c r="B78" s="117">
        <v>0.13779114623689731</v>
      </c>
      <c r="C78" s="118">
        <v>5.7472850179910301E-2</v>
      </c>
      <c r="D78" s="119">
        <v>7.2289667616907013E-2</v>
      </c>
      <c r="E78" s="117">
        <v>0.14759686880845885</v>
      </c>
      <c r="F78" s="120">
        <v>0.19800160340536699</v>
      </c>
      <c r="G78" s="2">
        <v>-0.89160563322655728</v>
      </c>
      <c r="H78" s="2">
        <v>-0.2534524377133951</v>
      </c>
      <c r="I78" s="2">
        <v>-0.47407709268024395</v>
      </c>
      <c r="J78" s="2">
        <v>-0.42074751078300554</v>
      </c>
      <c r="K78" s="2">
        <v>-0.3816238103788272</v>
      </c>
      <c r="L78" s="2">
        <v>0.90984512991152866</v>
      </c>
      <c r="M78" s="2">
        <v>-1.6679547843461255E-2</v>
      </c>
      <c r="N78" s="57"/>
      <c r="O78" s="67"/>
      <c r="Q78" s="51" t="str">
        <f t="shared" si="37"/>
        <v>Commodities</v>
      </c>
      <c r="R78" s="72">
        <f t="shared" si="38"/>
        <v>7.2289667616907013E-2</v>
      </c>
      <c r="S78" s="52">
        <f t="shared" si="39"/>
        <v>6.5501478619990297E-2</v>
      </c>
      <c r="T78" s="52">
        <f t="shared" si="40"/>
        <v>6.0210457168469678E-2</v>
      </c>
      <c r="U78" s="52"/>
      <c r="V78" s="52">
        <f t="shared" si="41"/>
        <v>0</v>
      </c>
    </row>
    <row r="79" spans="1:24">
      <c r="A79" s="59" t="str">
        <f t="shared" si="36"/>
        <v>Hedge funds</v>
      </c>
      <c r="B79" s="117">
        <v>7.0839455149839997E-2</v>
      </c>
      <c r="C79" s="118">
        <v>1.4665425605585216E-3</v>
      </c>
      <c r="D79" s="119">
        <v>6.9370814730877348E-2</v>
      </c>
      <c r="E79" s="117">
        <v>7.0513837213107292E-2</v>
      </c>
      <c r="F79" s="120">
        <v>7.2292188409918967E-2</v>
      </c>
      <c r="G79" s="2">
        <v>-2.993744842983898E-3</v>
      </c>
      <c r="H79" s="2">
        <v>-1.6554539575392144E-2</v>
      </c>
      <c r="I79" s="2">
        <v>-3.7880138151073495E-2</v>
      </c>
      <c r="J79" s="2">
        <v>8.1266130679482958E-3</v>
      </c>
      <c r="K79" s="2">
        <v>0.67190069404068309</v>
      </c>
      <c r="L79" s="2">
        <v>0.77566626852894671</v>
      </c>
      <c r="M79" s="2">
        <v>1</v>
      </c>
      <c r="N79" s="57"/>
      <c r="O79" s="67"/>
      <c r="Q79" s="51" t="str">
        <f t="shared" si="37"/>
        <v>Hedge funds</v>
      </c>
      <c r="R79" s="72">
        <f t="shared" si="38"/>
        <v>6.9370814730877348E-2</v>
      </c>
      <c r="S79" s="52">
        <f t="shared" si="39"/>
        <v>1.4686404189626495E-3</v>
      </c>
      <c r="T79" s="52">
        <f t="shared" si="40"/>
        <v>1.45273326007897E-3</v>
      </c>
      <c r="U79" s="52"/>
      <c r="V79" s="52">
        <f t="shared" si="41"/>
        <v>0</v>
      </c>
    </row>
    <row r="80" spans="1:24">
      <c r="A80" s="60" t="str">
        <f t="shared" si="36"/>
        <v>Onroerend goed</v>
      </c>
      <c r="B80" s="121">
        <v>0.10543143619010888</v>
      </c>
      <c r="C80" s="122">
        <v>2.1826775497715569E-3</v>
      </c>
      <c r="D80" s="123">
        <v>0.10324563636583652</v>
      </c>
      <c r="E80" s="121">
        <v>0.10494681407314922</v>
      </c>
      <c r="F80" s="124">
        <v>0.10759356114840078</v>
      </c>
      <c r="G80" s="65">
        <v>-4.455635884196057E-3</v>
      </c>
      <c r="H80" s="65">
        <v>-2.4638372489000311E-2</v>
      </c>
      <c r="I80" s="65">
        <v>-5.6377584495812379E-2</v>
      </c>
      <c r="J80" s="65">
        <v>1.2094961562067075E-2</v>
      </c>
      <c r="K80" s="65">
        <v>1</v>
      </c>
      <c r="L80" s="65">
        <v>1</v>
      </c>
      <c r="M80" s="65">
        <v>-0.69978724165644945</v>
      </c>
      <c r="N80" s="66"/>
      <c r="O80" s="67"/>
      <c r="Q80" s="51" t="str">
        <f t="shared" si="37"/>
        <v>Onroerend goed</v>
      </c>
      <c r="R80" s="72">
        <f t="shared" si="38"/>
        <v>0.10324563636583652</v>
      </c>
      <c r="S80" s="52">
        <f t="shared" si="39"/>
        <v>2.1857998242723609E-3</v>
      </c>
      <c r="T80" s="52">
        <f t="shared" si="40"/>
        <v>2.1621249582919055E-3</v>
      </c>
      <c r="U80" s="52"/>
      <c r="V80" s="52">
        <f t="shared" si="41"/>
        <v>0</v>
      </c>
    </row>
    <row r="81" spans="1:27">
      <c r="A81" s="67"/>
      <c r="B81" s="117"/>
      <c r="C81" s="117"/>
      <c r="D81" s="117"/>
      <c r="E81" s="117"/>
      <c r="F81" s="117"/>
      <c r="G81" s="68"/>
      <c r="H81" s="68"/>
      <c r="I81" s="68"/>
      <c r="J81" s="68"/>
      <c r="K81" s="68"/>
      <c r="L81" s="68"/>
      <c r="M81" s="68"/>
      <c r="N81" s="68"/>
      <c r="O81" s="67"/>
      <c r="P81" s="72"/>
      <c r="Q81" s="72"/>
      <c r="R81" s="72"/>
      <c r="T81" s="52"/>
      <c r="U81" s="52"/>
      <c r="V81" s="52"/>
      <c r="W81" s="52"/>
      <c r="Y81" s="131"/>
      <c r="Z81" s="131"/>
      <c r="AA81" s="131"/>
    </row>
    <row r="82" spans="1:27">
      <c r="A82" s="67"/>
      <c r="B82" s="117"/>
      <c r="C82" s="117"/>
      <c r="D82" s="117"/>
      <c r="E82" s="117"/>
      <c r="F82" s="117"/>
      <c r="G82" s="68"/>
      <c r="H82" s="68"/>
      <c r="I82" s="68"/>
      <c r="J82" s="68"/>
      <c r="K82" s="68"/>
      <c r="L82" s="68"/>
      <c r="M82" s="68"/>
      <c r="N82" s="68"/>
      <c r="O82" s="67"/>
      <c r="P82" s="72"/>
      <c r="Q82" s="72"/>
      <c r="R82" s="72"/>
      <c r="T82" s="52"/>
      <c r="U82" s="52"/>
      <c r="V82" s="52"/>
      <c r="W82" s="52"/>
      <c r="Y82" s="131"/>
      <c r="Z82" s="131"/>
      <c r="AA82" s="131"/>
    </row>
    <row r="83" spans="1:27">
      <c r="A83" s="67"/>
      <c r="B83" s="117"/>
      <c r="C83" s="117"/>
      <c r="D83" s="117"/>
      <c r="E83" s="117"/>
      <c r="F83" s="117"/>
      <c r="G83" s="68"/>
      <c r="H83" s="68"/>
      <c r="I83" s="68"/>
      <c r="J83" s="68"/>
      <c r="K83" s="68"/>
      <c r="L83" s="68"/>
      <c r="M83" s="68"/>
      <c r="N83" s="68"/>
      <c r="O83" s="67"/>
      <c r="P83" s="72"/>
      <c r="Q83" s="72"/>
      <c r="R83" s="72"/>
      <c r="T83" s="52"/>
      <c r="U83" s="52"/>
      <c r="V83" s="52"/>
      <c r="W83" s="52"/>
      <c r="Y83" s="131"/>
      <c r="Z83" s="131"/>
      <c r="AA83" s="131"/>
    </row>
    <row r="84" spans="1:27">
      <c r="A84" s="67"/>
      <c r="B84" s="117"/>
      <c r="C84" s="117"/>
      <c r="D84" s="117"/>
      <c r="E84" s="117"/>
      <c r="F84" s="117"/>
      <c r="G84" s="68"/>
      <c r="H84" s="68"/>
      <c r="I84" s="68"/>
      <c r="J84" s="68"/>
      <c r="K84" s="68"/>
      <c r="L84" s="68"/>
      <c r="M84" s="68"/>
      <c r="N84" s="68"/>
      <c r="O84" s="67"/>
      <c r="P84" s="72"/>
      <c r="Q84" s="72"/>
      <c r="R84" s="72"/>
      <c r="T84" s="52"/>
      <c r="U84" s="52"/>
      <c r="V84" s="52"/>
      <c r="W84" s="52"/>
      <c r="Y84" s="131"/>
      <c r="Z84" s="131"/>
      <c r="AA84" s="131"/>
    </row>
    <row r="85" spans="1:27">
      <c r="A85" s="67"/>
      <c r="B85" s="117"/>
      <c r="C85" s="117"/>
      <c r="D85" s="117"/>
      <c r="E85" s="117"/>
      <c r="F85" s="117"/>
      <c r="G85" s="68"/>
      <c r="H85" s="68"/>
      <c r="I85" s="68"/>
      <c r="J85" s="68"/>
      <c r="K85" s="68"/>
      <c r="L85" s="68"/>
      <c r="M85" s="68"/>
      <c r="N85" s="68"/>
      <c r="O85" s="67"/>
    </row>
    <row r="86" spans="1:27">
      <c r="A86" s="67"/>
      <c r="B86" s="117"/>
      <c r="C86" s="117"/>
      <c r="D86" s="117"/>
      <c r="E86" s="117"/>
      <c r="F86" s="117"/>
      <c r="G86" s="68"/>
      <c r="H86" s="68"/>
      <c r="I86" s="68"/>
      <c r="J86" s="68"/>
      <c r="K86" s="68"/>
      <c r="L86" s="68"/>
      <c r="M86" s="68"/>
      <c r="N86" s="68"/>
      <c r="O86" s="67"/>
    </row>
    <row r="87" spans="1:27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67"/>
      <c r="M87" s="67"/>
      <c r="N87" s="67"/>
      <c r="O87" s="67"/>
    </row>
    <row r="88" spans="1:27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67"/>
      <c r="M88" s="67"/>
      <c r="N88" s="67"/>
      <c r="O88" s="67"/>
    </row>
    <row r="89" spans="1:27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67"/>
      <c r="M89" s="67"/>
      <c r="N89" s="67"/>
      <c r="O89" s="67"/>
    </row>
    <row r="90" spans="1:27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67"/>
      <c r="M90" s="67"/>
      <c r="N90" s="67"/>
      <c r="O90" s="67"/>
    </row>
    <row r="91" spans="1:27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67"/>
      <c r="M91" s="67"/>
      <c r="N91" s="67"/>
      <c r="O91" s="67"/>
    </row>
    <row r="92" spans="1:27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</row>
    <row r="93" spans="1:27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</row>
    <row r="103" spans="1:2">
      <c r="A103" s="59" t="s">
        <v>5</v>
      </c>
      <c r="B103" s="132">
        <f>A115/SUM($A$115:$A$121)</f>
        <v>0.16317857772190714</v>
      </c>
    </row>
    <row r="104" spans="1:2">
      <c r="A104" s="59" t="s">
        <v>6</v>
      </c>
      <c r="B104" s="132">
        <f t="shared" ref="B104:B109" si="42">A116/SUM($A$115:$A$121)</f>
        <v>0.19290379455136406</v>
      </c>
    </row>
    <row r="105" spans="1:2">
      <c r="A105" s="59" t="s">
        <v>7</v>
      </c>
      <c r="B105" s="132">
        <f t="shared" si="42"/>
        <v>0.25645812312142269</v>
      </c>
    </row>
    <row r="106" spans="1:2">
      <c r="A106" s="59" t="s">
        <v>8</v>
      </c>
      <c r="B106" s="132">
        <f t="shared" si="42"/>
        <v>9.7041462553314958E-2</v>
      </c>
    </row>
    <row r="107" spans="1:2">
      <c r="A107" s="59" t="s">
        <v>9</v>
      </c>
      <c r="B107" s="132">
        <f t="shared" si="42"/>
        <v>5.6755052286840531E-2</v>
      </c>
    </row>
    <row r="108" spans="1:2">
      <c r="A108" s="59" t="s">
        <v>10</v>
      </c>
      <c r="B108" s="132">
        <f t="shared" si="42"/>
        <v>7.9154326422916976E-2</v>
      </c>
    </row>
    <row r="109" spans="1:2">
      <c r="A109" s="60" t="s">
        <v>11</v>
      </c>
      <c r="B109" s="132">
        <f t="shared" si="42"/>
        <v>0.15450866334223365</v>
      </c>
    </row>
    <row r="115" spans="1:1">
      <c r="A115">
        <v>8.1589288860953568E-2</v>
      </c>
    </row>
    <row r="116" spans="1:1">
      <c r="A116">
        <v>9.6451897275682028E-2</v>
      </c>
    </row>
    <row r="117" spans="1:1">
      <c r="A117">
        <v>0.12822906156071134</v>
      </c>
    </row>
    <row r="118" spans="1:1">
      <c r="A118">
        <v>4.8520731276657479E-2</v>
      </c>
    </row>
    <row r="119" spans="1:1">
      <c r="A119">
        <v>2.8377526143420265E-2</v>
      </c>
    </row>
    <row r="120" spans="1:1">
      <c r="A120">
        <v>3.9577163211458488E-2</v>
      </c>
    </row>
    <row r="121" spans="1:1">
      <c r="A121">
        <v>7.7254331671116824E-2</v>
      </c>
    </row>
  </sheetData>
  <mergeCells count="16">
    <mergeCell ref="D62:F62"/>
    <mergeCell ref="G62:N62"/>
    <mergeCell ref="D72:F72"/>
    <mergeCell ref="G72:N72"/>
    <mergeCell ref="D32:F32"/>
    <mergeCell ref="G32:N32"/>
    <mergeCell ref="D42:F42"/>
    <mergeCell ref="G42:N42"/>
    <mergeCell ref="D52:F52"/>
    <mergeCell ref="G52:N52"/>
    <mergeCell ref="D2:F2"/>
    <mergeCell ref="G2:N2"/>
    <mergeCell ref="D12:F12"/>
    <mergeCell ref="G12:N12"/>
    <mergeCell ref="D22:F22"/>
    <mergeCell ref="G22:N2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AK222"/>
  <sheetViews>
    <sheetView zoomScale="85" zoomScaleNormal="85" workbookViewId="0">
      <selection activeCell="E22" sqref="E22"/>
    </sheetView>
  </sheetViews>
  <sheetFormatPr defaultRowHeight="15"/>
  <cols>
    <col min="1" max="1" width="9.140625" style="336"/>
    <col min="2" max="2" width="22.28515625" style="336" bestFit="1" customWidth="1"/>
    <col min="3" max="3" width="14" style="336" customWidth="1"/>
    <col min="4" max="10" width="18.7109375" style="336" customWidth="1"/>
    <col min="11" max="11" width="21" style="210" customWidth="1"/>
    <col min="12" max="12" width="18.140625" style="336" bestFit="1" customWidth="1"/>
    <col min="13" max="13" width="26.85546875" style="336" customWidth="1"/>
    <col min="14" max="17" width="9.140625" style="336"/>
    <col min="18" max="18" width="10.85546875" style="336" customWidth="1"/>
    <col min="19" max="37" width="9.140625" style="210"/>
    <col min="38" max="16384" width="9.140625" style="336"/>
  </cols>
  <sheetData>
    <row r="1" spans="1:18">
      <c r="A1" s="210"/>
      <c r="B1" s="210"/>
      <c r="C1" s="210"/>
      <c r="D1" s="210"/>
      <c r="E1" s="210"/>
      <c r="F1" s="210"/>
      <c r="G1" s="210"/>
      <c r="H1" s="210"/>
      <c r="I1" s="210"/>
      <c r="J1" s="210"/>
      <c r="L1" s="210"/>
      <c r="M1" s="210"/>
      <c r="N1" s="210"/>
      <c r="O1" s="210"/>
      <c r="P1" s="210"/>
      <c r="Q1" s="210"/>
      <c r="R1" s="210"/>
    </row>
    <row r="2" spans="1:18">
      <c r="A2" s="210"/>
      <c r="B2" s="318" t="s">
        <v>115</v>
      </c>
      <c r="C2" s="326" t="s">
        <v>70</v>
      </c>
      <c r="D2" s="310" t="s">
        <v>112</v>
      </c>
      <c r="E2" s="310" t="s">
        <v>126</v>
      </c>
      <c r="F2" s="310" t="s">
        <v>127</v>
      </c>
      <c r="G2" s="310" t="s">
        <v>113</v>
      </c>
      <c r="H2" s="310" t="s">
        <v>114</v>
      </c>
      <c r="I2" s="311" t="s">
        <v>128</v>
      </c>
      <c r="J2" s="321" t="s">
        <v>130</v>
      </c>
      <c r="L2" s="210"/>
      <c r="M2" s="210"/>
      <c r="N2" s="210"/>
      <c r="O2" s="210"/>
      <c r="P2" s="210"/>
      <c r="Q2" s="210"/>
      <c r="R2" s="210"/>
    </row>
    <row r="3" spans="1:18">
      <c r="A3" s="210"/>
      <c r="B3" s="319" t="s">
        <v>4</v>
      </c>
      <c r="C3" s="327">
        <f>+Scenarios!B24</f>
        <v>0</v>
      </c>
      <c r="D3" s="342">
        <f>+Scenarios!C24</f>
        <v>-3.2445168309994665E-3</v>
      </c>
      <c r="E3" s="337">
        <f>+Scenarios!D24</f>
        <v>-1.0761362748873404E-3</v>
      </c>
      <c r="F3" s="337">
        <f>+Scenarios!E24</f>
        <v>-3.4179872754884488E-3</v>
      </c>
      <c r="G3" s="337">
        <f>+Scenarios!F24</f>
        <v>-2.5720358328627513E-2</v>
      </c>
      <c r="H3" s="337">
        <f>+Scenarios!G24</f>
        <v>-0.26287574291051119</v>
      </c>
      <c r="I3" s="339">
        <f>+Scenarios!H24</f>
        <v>-3.2441343963196256E-3</v>
      </c>
      <c r="J3" s="312">
        <f>Scenarios!D4</f>
        <v>4.3571419993869868E-2</v>
      </c>
      <c r="L3" s="210"/>
      <c r="M3" s="210"/>
      <c r="N3" s="210"/>
      <c r="O3" s="210"/>
      <c r="P3" s="210"/>
      <c r="Q3" s="210"/>
      <c r="R3" s="210"/>
    </row>
    <row r="4" spans="1:18" ht="15.75">
      <c r="A4" s="210"/>
      <c r="B4" s="319" t="s">
        <v>5</v>
      </c>
      <c r="C4" s="327">
        <f>+Scenarios!B25</f>
        <v>3.0000000000000002E-2</v>
      </c>
      <c r="D4" s="327">
        <f>+Scenarios!C25</f>
        <v>1.4996171000904845E-2</v>
      </c>
      <c r="E4" s="85">
        <f>+Scenarios!D25</f>
        <v>-0.10270478546112452</v>
      </c>
      <c r="F4" s="85">
        <f>+Scenarios!E25</f>
        <v>3.7295220378336866E-2</v>
      </c>
      <c r="G4" s="85">
        <f>+Scenarios!F25</f>
        <v>-0.43424993966436087</v>
      </c>
      <c r="H4" s="85">
        <f>+Scenarios!G25</f>
        <v>-0.41153220498436088</v>
      </c>
      <c r="I4" s="312">
        <f>+Scenarios!H25</f>
        <v>0.29819819149830579</v>
      </c>
      <c r="J4" s="312">
        <f>Scenarios!D5</f>
        <v>0.15810707611932825</v>
      </c>
      <c r="L4" s="210"/>
      <c r="M4" s="352" t="s">
        <v>131</v>
      </c>
      <c r="N4" s="353" t="s">
        <v>132</v>
      </c>
      <c r="O4" s="353" t="s">
        <v>91</v>
      </c>
      <c r="P4" s="353" t="s">
        <v>92</v>
      </c>
      <c r="Q4" s="353" t="s">
        <v>133</v>
      </c>
      <c r="R4" s="354" t="s">
        <v>146</v>
      </c>
    </row>
    <row r="5" spans="1:18" ht="15.75">
      <c r="A5" s="210"/>
      <c r="B5" s="319" t="s">
        <v>6</v>
      </c>
      <c r="C5" s="327">
        <f>+Scenarios!B26</f>
        <v>3.1452343984147556E-2</v>
      </c>
      <c r="D5" s="327">
        <f>+Scenarios!C26</f>
        <v>3.3632152529915554E-2</v>
      </c>
      <c r="E5" s="85">
        <f>+Scenarios!D26</f>
        <v>-5.1463733534465664E-2</v>
      </c>
      <c r="F5" s="85">
        <f>+Scenarios!E26</f>
        <v>3.7955967038468326E-2</v>
      </c>
      <c r="G5" s="85">
        <f>+Scenarios!F26</f>
        <v>-0.52495132978596959</v>
      </c>
      <c r="H5" s="85">
        <f>+Scenarios!G26</f>
        <v>-0.34991079217679127</v>
      </c>
      <c r="I5" s="312">
        <f>+Scenarios!H26</f>
        <v>0.24979690735679014</v>
      </c>
      <c r="J5" s="312">
        <f>Scenarios!D6</f>
        <v>0.16193319430872868</v>
      </c>
      <c r="L5" s="210"/>
      <c r="M5" s="355"/>
      <c r="N5" s="356"/>
      <c r="O5" s="356"/>
      <c r="P5" s="356"/>
      <c r="Q5" s="356"/>
      <c r="R5" s="357"/>
    </row>
    <row r="6" spans="1:18" ht="15.75">
      <c r="A6" s="210"/>
      <c r="B6" s="319" t="s">
        <v>7</v>
      </c>
      <c r="C6" s="327">
        <f>+Scenarios!B27</f>
        <v>5.6804592721954011E-2</v>
      </c>
      <c r="D6" s="327">
        <f>+Scenarios!C27</f>
        <v>-1.8275706628265609E-2</v>
      </c>
      <c r="E6" s="85">
        <f>+Scenarios!D27</f>
        <v>-0.20763301199738962</v>
      </c>
      <c r="F6" s="85">
        <f>+Scenarios!E27</f>
        <v>4.4157772609314798E-2</v>
      </c>
      <c r="G6" s="85">
        <f>+Scenarios!F27</f>
        <v>-0.60718802956862361</v>
      </c>
      <c r="H6" s="85">
        <f>+Scenarios!G27</f>
        <v>-0.47851488198333225</v>
      </c>
      <c r="I6" s="312">
        <f>+Scenarios!H27</f>
        <v>0.39131495295955132</v>
      </c>
      <c r="J6" s="312">
        <f>Scenarios!D7</f>
        <v>0.28684488662827246</v>
      </c>
      <c r="L6" s="210"/>
      <c r="M6" s="350" t="s">
        <v>4</v>
      </c>
      <c r="N6" s="345">
        <f>+'Control panel'!$B3</f>
        <v>0.55549268496933957</v>
      </c>
      <c r="O6" s="345">
        <f>+'Control panel'!$C3</f>
        <v>0.55000000000000004</v>
      </c>
      <c r="P6" s="345">
        <f>+'Control panel'!$D3</f>
        <v>0.65</v>
      </c>
      <c r="Q6" s="345">
        <f>+'Control panel'!$F3</f>
        <v>0.56192476749022247</v>
      </c>
      <c r="R6" s="347">
        <f t="shared" ref="R6:R13" si="0">+Q6-N6</f>
        <v>6.432082520882898E-3</v>
      </c>
    </row>
    <row r="7" spans="1:18" ht="15.75">
      <c r="A7" s="210"/>
      <c r="B7" s="319" t="s">
        <v>8</v>
      </c>
      <c r="C7" s="327">
        <f>+Scenarios!B28</f>
        <v>5.6320387554596889E-2</v>
      </c>
      <c r="D7" s="327">
        <f>+Scenarios!C28</f>
        <v>6.1274623073284545E-2</v>
      </c>
      <c r="E7" s="85">
        <f>+Scenarios!D28</f>
        <v>-6.0480183929069335E-2</v>
      </c>
      <c r="F7" s="85">
        <f>+Scenarios!E28</f>
        <v>7.5058724753415462E-2</v>
      </c>
      <c r="G7" s="85">
        <f>+Scenarios!F28</f>
        <v>-0.41926220845987938</v>
      </c>
      <c r="H7" s="85">
        <f>+Scenarios!G28</f>
        <v>-0.25917386489837912</v>
      </c>
      <c r="I7" s="312">
        <f>+Scenarios!H28</f>
        <v>0.38663466689136228</v>
      </c>
      <c r="J7" s="312">
        <f>Scenarios!D8</f>
        <v>0.29497711980114533</v>
      </c>
      <c r="L7" s="210"/>
      <c r="M7" s="350" t="s">
        <v>5</v>
      </c>
      <c r="N7" s="345">
        <f>+'Control panel'!$B4</f>
        <v>9.7387120358343723E-2</v>
      </c>
      <c r="O7" s="345">
        <f>+'Control panel'!$C4</f>
        <v>0.05</v>
      </c>
      <c r="P7" s="345">
        <f>+'Control panel'!$D4</f>
        <v>0.15</v>
      </c>
      <c r="Q7" s="345">
        <f>+'Control panel'!$F4</f>
        <v>6.6082803095229625E-2</v>
      </c>
      <c r="R7" s="347">
        <f t="shared" si="0"/>
        <v>-3.1304317263114098E-2</v>
      </c>
    </row>
    <row r="8" spans="1:18" ht="15.75">
      <c r="A8" s="210"/>
      <c r="B8" s="319" t="s">
        <v>9</v>
      </c>
      <c r="C8" s="327">
        <f>+Scenarios!B29</f>
        <v>5.236888388126059E-2</v>
      </c>
      <c r="D8" s="327">
        <f>+Scenarios!C29</f>
        <v>7.9522702632630907E-2</v>
      </c>
      <c r="E8" s="85">
        <f>+Scenarios!D29</f>
        <v>1.2962263249297473E-2</v>
      </c>
      <c r="F8" s="85">
        <f>+Scenarios!E29</f>
        <v>8.6184790509297532E-2</v>
      </c>
      <c r="G8" s="85">
        <f>+Scenarios!F29</f>
        <v>-0.52034739633736904</v>
      </c>
      <c r="H8" s="85">
        <f>+Scenarios!G29</f>
        <v>-0.53983753129736911</v>
      </c>
      <c r="I8" s="312">
        <f>+Scenarios!H29</f>
        <v>0.62225820003596433</v>
      </c>
      <c r="J8" s="312">
        <f>Scenarios!D9</f>
        <v>0.32949402218690865</v>
      </c>
      <c r="L8" s="210"/>
      <c r="M8" s="350" t="s">
        <v>6</v>
      </c>
      <c r="N8" s="345">
        <f>+'Control panel'!$B5</f>
        <v>9.5164223805884504E-2</v>
      </c>
      <c r="O8" s="345">
        <f>+'Control panel'!$C5</f>
        <v>0.05</v>
      </c>
      <c r="P8" s="345">
        <f>+'Control panel'!$D5</f>
        <v>0.2</v>
      </c>
      <c r="Q8" s="345">
        <f>+'Control panel'!$F5</f>
        <v>8.1340563063599741E-2</v>
      </c>
      <c r="R8" s="348">
        <f t="shared" si="0"/>
        <v>-1.3823660742284763E-2</v>
      </c>
    </row>
    <row r="9" spans="1:18" ht="15.75">
      <c r="A9" s="210"/>
      <c r="B9" s="319" t="s">
        <v>10</v>
      </c>
      <c r="C9" s="327">
        <f>+Scenarios!B30</f>
        <v>2.8306574622560098E-2</v>
      </c>
      <c r="D9" s="327">
        <f>+Scenarios!C30</f>
        <v>1.7325408361865E-2</v>
      </c>
      <c r="E9" s="85">
        <f>+Scenarios!D30</f>
        <v>-4.6787554334441012E-2</v>
      </c>
      <c r="F9" s="85">
        <f>+Scenarios!E30</f>
        <v>1.6536412714843449E-2</v>
      </c>
      <c r="G9" s="85">
        <f>+Scenarios!F30</f>
        <v>-0.25573516705477994</v>
      </c>
      <c r="H9" s="85">
        <f>+Scenarios!G30</f>
        <v>-6.3153361120378204E-3</v>
      </c>
      <c r="I9" s="312">
        <f>+Scenarios!H30</f>
        <v>0.28237563833203505</v>
      </c>
      <c r="J9" s="312">
        <f>Scenarios!D10</f>
        <v>0.1608611248297202</v>
      </c>
      <c r="L9" s="210"/>
      <c r="M9" s="350" t="s">
        <v>7</v>
      </c>
      <c r="N9" s="345">
        <f>+'Control panel'!$B6</f>
        <v>0.10363483668477239</v>
      </c>
      <c r="O9" s="345">
        <f>+'Control panel'!$C6</f>
        <v>7.4999999999999997E-2</v>
      </c>
      <c r="P9" s="345">
        <f>+'Control panel'!$D6</f>
        <v>0.3</v>
      </c>
      <c r="Q9" s="345">
        <f>+'Control panel'!$F6</f>
        <v>8.0226291700661659E-2</v>
      </c>
      <c r="R9" s="348">
        <f t="shared" si="0"/>
        <v>-2.3408544984110727E-2</v>
      </c>
    </row>
    <row r="10" spans="1:18" ht="15.75">
      <c r="A10" s="210"/>
      <c r="B10" s="320" t="s">
        <v>11</v>
      </c>
      <c r="C10" s="328">
        <f>+Scenarios!B31</f>
        <v>3.9543569652327068E-2</v>
      </c>
      <c r="D10" s="328">
        <f>+Scenarios!C31</f>
        <v>-3.3454365202922019E-3</v>
      </c>
      <c r="E10" s="313">
        <f>+Scenarios!D31</f>
        <v>-8.4519819517757569E-2</v>
      </c>
      <c r="F10" s="313">
        <f>+Scenarios!E31</f>
        <v>3.2797465910270177E-2</v>
      </c>
      <c r="G10" s="313">
        <f>+Scenarios!F31</f>
        <v>-0.33580172019430399</v>
      </c>
      <c r="H10" s="313">
        <f>+Scenarios!G31</f>
        <v>-0.18031161563030054</v>
      </c>
      <c r="I10" s="314">
        <f>+Scenarios!H31</f>
        <v>0.35335277777605689</v>
      </c>
      <c r="J10" s="314">
        <f>Scenarios!D11</f>
        <v>0.19933384935580506</v>
      </c>
      <c r="L10" s="210"/>
      <c r="M10" s="350" t="s">
        <v>8</v>
      </c>
      <c r="N10" s="345">
        <f>+'Control panel'!$B7</f>
        <v>5.1404597453969164E-2</v>
      </c>
      <c r="O10" s="345">
        <f>+'Control panel'!$C7</f>
        <v>2.5000000000000001E-2</v>
      </c>
      <c r="P10" s="345">
        <f>+'Control panel'!$D7</f>
        <v>0.15</v>
      </c>
      <c r="Q10" s="345">
        <f>+'Control panel'!$F7</f>
        <v>7.3016920730815213E-2</v>
      </c>
      <c r="R10" s="347">
        <f t="shared" si="0"/>
        <v>2.1612323276846049E-2</v>
      </c>
    </row>
    <row r="11" spans="1:18" ht="15.75">
      <c r="A11" s="210"/>
      <c r="B11" s="84"/>
      <c r="C11" s="84"/>
      <c r="D11" s="84"/>
      <c r="E11" s="98"/>
      <c r="F11" s="98"/>
      <c r="G11" s="84"/>
      <c r="H11" s="84"/>
      <c r="I11" s="84"/>
      <c r="J11" s="84"/>
      <c r="L11" s="210"/>
      <c r="M11" s="350" t="s">
        <v>9</v>
      </c>
      <c r="N11" s="345">
        <f>+'Control panel'!$B8</f>
        <v>1.9729061421683056E-2</v>
      </c>
      <c r="O11" s="345">
        <f>+'Control panel'!$C8</f>
        <v>0</v>
      </c>
      <c r="P11" s="345">
        <f>+'Control panel'!$D8</f>
        <v>0.1</v>
      </c>
      <c r="Q11" s="345">
        <f>+'Control panel'!$F8</f>
        <v>6.0221178613463155E-2</v>
      </c>
      <c r="R11" s="348">
        <f t="shared" si="0"/>
        <v>4.04921171917801E-2</v>
      </c>
    </row>
    <row r="12" spans="1:18" ht="15.75">
      <c r="A12" s="210"/>
      <c r="B12" s="324" t="s">
        <v>123</v>
      </c>
      <c r="C12" s="329">
        <f>+Scenarios!B33</f>
        <v>0</v>
      </c>
      <c r="D12" s="315">
        <f>+Scenarios!C33</f>
        <v>1</v>
      </c>
      <c r="E12" s="315">
        <f>+Scenarios!D33</f>
        <v>0</v>
      </c>
      <c r="F12" s="315">
        <v>0</v>
      </c>
      <c r="G12" s="315">
        <v>0</v>
      </c>
      <c r="H12" s="315">
        <f>+Scenarios!G33</f>
        <v>0</v>
      </c>
      <c r="I12" s="330">
        <f>+Scenarios!H33</f>
        <v>0</v>
      </c>
      <c r="J12" s="331">
        <f>+Scenarios!I33</f>
        <v>1</v>
      </c>
      <c r="L12" s="210"/>
      <c r="M12" s="350" t="s">
        <v>10</v>
      </c>
      <c r="N12" s="345">
        <f>+'Control panel'!$B9</f>
        <v>3.1019975297703138E-2</v>
      </c>
      <c r="O12" s="345">
        <f>+'Control panel'!$C9</f>
        <v>3.1019975297703138E-2</v>
      </c>
      <c r="P12" s="345">
        <f>+'Control panel'!$D9</f>
        <v>3.1019975297703138E-2</v>
      </c>
      <c r="Q12" s="345">
        <f>+'Control panel'!$F9</f>
        <v>3.1019975297702843E-2</v>
      </c>
      <c r="R12" s="347">
        <f t="shared" si="0"/>
        <v>-2.9490299091605721E-16</v>
      </c>
    </row>
    <row r="13" spans="1:18" ht="15.75">
      <c r="A13" s="210"/>
      <c r="B13" s="84"/>
      <c r="C13" s="84"/>
      <c r="D13" s="84"/>
      <c r="E13" s="84"/>
      <c r="F13" s="84"/>
      <c r="G13" s="84"/>
      <c r="H13" s="84"/>
      <c r="I13" s="84"/>
      <c r="J13" s="84"/>
      <c r="L13" s="210"/>
      <c r="M13" s="350" t="s">
        <v>11</v>
      </c>
      <c r="N13" s="345">
        <f>+'Control panel'!$B10</f>
        <v>4.6167500008304781E-2</v>
      </c>
      <c r="O13" s="345">
        <f>+'Control panel'!$C10</f>
        <v>4.6167500008304781E-2</v>
      </c>
      <c r="P13" s="345">
        <f>+'Control panel'!$D10</f>
        <v>4.6167500008304781E-2</v>
      </c>
      <c r="Q13" s="345">
        <f>+'Control panel'!$F10</f>
        <v>4.6167500008305204E-2</v>
      </c>
      <c r="R13" s="347">
        <f t="shared" si="0"/>
        <v>4.2327252813834093E-16</v>
      </c>
    </row>
    <row r="14" spans="1:18" ht="15.75">
      <c r="A14" s="210"/>
      <c r="B14" s="324" t="s">
        <v>129</v>
      </c>
      <c r="C14" s="329">
        <f>+Scenarios!B35</f>
        <v>0</v>
      </c>
      <c r="D14" s="316">
        <f>+Scenarios!C35</f>
        <v>1.0083299176033822E-2</v>
      </c>
      <c r="E14" s="316">
        <f>+Scenarios!D35</f>
        <v>-3.7224334964202833E-2</v>
      </c>
      <c r="F14" s="316">
        <v>5.2856851617787103E-2</v>
      </c>
      <c r="G14" s="316">
        <v>-0.28178446547461966</v>
      </c>
      <c r="H14" s="316">
        <f>+Scenarios!G35</f>
        <v>-0.30171717577552398</v>
      </c>
      <c r="I14" s="317">
        <f>+Scenarios!H35</f>
        <v>0.16037187629358124</v>
      </c>
      <c r="J14" s="325">
        <f>+Scenarios!I35</f>
        <v>1.0083299176033822E-2</v>
      </c>
      <c r="L14" s="210"/>
      <c r="M14" s="351"/>
      <c r="N14" s="346"/>
      <c r="O14" s="346"/>
      <c r="P14" s="346"/>
      <c r="Q14" s="346"/>
      <c r="R14" s="349"/>
    </row>
    <row r="15" spans="1:18" ht="15.75">
      <c r="A15" s="210"/>
      <c r="B15" s="82"/>
      <c r="C15" s="370"/>
      <c r="D15" s="371"/>
      <c r="E15" s="371"/>
      <c r="F15" s="371"/>
      <c r="G15" s="371"/>
      <c r="H15" s="371"/>
      <c r="I15" s="371"/>
      <c r="J15" s="371"/>
      <c r="L15" s="210"/>
      <c r="M15" s="372"/>
      <c r="N15" s="345"/>
      <c r="O15" s="345"/>
      <c r="P15" s="345"/>
      <c r="Q15" s="345"/>
      <c r="R15" s="345"/>
    </row>
    <row r="16" spans="1:18" ht="15.75">
      <c r="A16" s="210"/>
      <c r="B16" s="318" t="s">
        <v>149</v>
      </c>
      <c r="C16" s="370"/>
      <c r="D16" s="371"/>
      <c r="E16" s="371"/>
      <c r="F16" s="371"/>
      <c r="G16" s="371"/>
      <c r="H16" s="371"/>
      <c r="I16" s="371"/>
      <c r="J16" s="371"/>
      <c r="L16" s="210"/>
      <c r="M16" s="372"/>
      <c r="N16" s="345"/>
      <c r="O16" s="345"/>
      <c r="P16" s="345"/>
      <c r="Q16" s="345"/>
      <c r="R16" s="345"/>
    </row>
    <row r="17" spans="1:37" ht="15.75">
      <c r="A17" s="210"/>
      <c r="B17" s="318" t="s">
        <v>149</v>
      </c>
      <c r="C17" s="310" t="s">
        <v>112</v>
      </c>
      <c r="D17" s="310" t="s">
        <v>126</v>
      </c>
      <c r="E17" s="310" t="s">
        <v>127</v>
      </c>
      <c r="F17" s="310" t="s">
        <v>113</v>
      </c>
      <c r="G17" s="310" t="s">
        <v>114</v>
      </c>
      <c r="H17" s="311" t="s">
        <v>128</v>
      </c>
      <c r="I17" s="321" t="s">
        <v>130</v>
      </c>
      <c r="J17" s="210"/>
      <c r="L17" s="372"/>
      <c r="M17" s="345"/>
      <c r="N17" s="345"/>
      <c r="O17" s="345"/>
      <c r="P17" s="345"/>
      <c r="Q17" s="345"/>
      <c r="R17" s="210"/>
      <c r="AK17" s="336"/>
    </row>
    <row r="18" spans="1:37" ht="15.75">
      <c r="A18" s="210"/>
      <c r="B18" s="319" t="s">
        <v>4</v>
      </c>
      <c r="C18" s="373">
        <f>+D3/$J3</f>
        <v>-7.4464335370661383E-2</v>
      </c>
      <c r="D18" s="374">
        <f t="shared" ref="D18:H18" si="1">+E3/$J3</f>
        <v>-2.4698214449718273E-2</v>
      </c>
      <c r="E18" s="374">
        <f t="shared" si="1"/>
        <v>-7.8445625044337108E-2</v>
      </c>
      <c r="F18" s="374">
        <f t="shared" si="1"/>
        <v>-0.59030342211124054</v>
      </c>
      <c r="G18" s="374">
        <f t="shared" si="1"/>
        <v>-6.0332149594274318</v>
      </c>
      <c r="H18" s="375">
        <f t="shared" si="1"/>
        <v>-7.4455558179560094E-2</v>
      </c>
      <c r="I18" s="312"/>
      <c r="J18" s="210"/>
      <c r="L18" s="372"/>
      <c r="M18" s="345"/>
      <c r="N18" s="345"/>
      <c r="O18" s="345"/>
      <c r="P18" s="345"/>
      <c r="Q18" s="345"/>
      <c r="R18" s="210"/>
      <c r="AK18" s="336"/>
    </row>
    <row r="19" spans="1:37" ht="15.75">
      <c r="A19" s="210"/>
      <c r="B19" s="319" t="s">
        <v>5</v>
      </c>
      <c r="C19" s="376">
        <f t="shared" ref="C19:H19" si="2">+D4/$J4</f>
        <v>9.484819635515096E-2</v>
      </c>
      <c r="D19" s="377">
        <f t="shared" si="2"/>
        <v>-0.64959006251946672</v>
      </c>
      <c r="E19" s="377">
        <f t="shared" si="2"/>
        <v>0.2358858394812704</v>
      </c>
      <c r="F19" s="377">
        <f t="shared" si="2"/>
        <v>-2.7465560069975563</v>
      </c>
      <c r="G19" s="377">
        <f t="shared" si="2"/>
        <v>-2.6028702515108488</v>
      </c>
      <c r="H19" s="378">
        <f t="shared" si="2"/>
        <v>1.8860521541315867</v>
      </c>
      <c r="I19" s="312"/>
      <c r="J19" s="210"/>
      <c r="L19" s="372"/>
      <c r="M19" s="345"/>
      <c r="N19" s="345"/>
      <c r="O19" s="345"/>
      <c r="P19" s="345"/>
      <c r="Q19" s="345"/>
      <c r="R19" s="210"/>
      <c r="AK19" s="336"/>
    </row>
    <row r="20" spans="1:37" ht="15.75">
      <c r="A20" s="210"/>
      <c r="B20" s="319" t="s">
        <v>6</v>
      </c>
      <c r="C20" s="376">
        <f t="shared" ref="C20:H20" si="3">+D5/$J5</f>
        <v>0.20769152781482975</v>
      </c>
      <c r="D20" s="377">
        <f t="shared" si="3"/>
        <v>-0.31780842559277306</v>
      </c>
      <c r="E20" s="377">
        <f t="shared" si="3"/>
        <v>0.23439275190301354</v>
      </c>
      <c r="F20" s="377">
        <f t="shared" si="3"/>
        <v>-3.2417771540104372</v>
      </c>
      <c r="G20" s="377">
        <f t="shared" si="3"/>
        <v>-2.1608342481633493</v>
      </c>
      <c r="H20" s="378">
        <f t="shared" si="3"/>
        <v>1.5425923537366133</v>
      </c>
      <c r="I20" s="312"/>
      <c r="J20" s="210"/>
      <c r="L20" s="372"/>
      <c r="M20" s="345"/>
      <c r="N20" s="345"/>
      <c r="O20" s="345"/>
      <c r="P20" s="345"/>
      <c r="Q20" s="345"/>
      <c r="R20" s="210"/>
      <c r="AK20" s="336"/>
    </row>
    <row r="21" spans="1:37" ht="15.75">
      <c r="A21" s="210"/>
      <c r="B21" s="319" t="s">
        <v>7</v>
      </c>
      <c r="C21" s="376">
        <f t="shared" ref="C21:H21" si="4">+D6/$J6</f>
        <v>-6.3712854857159898E-2</v>
      </c>
      <c r="D21" s="377">
        <f t="shared" si="4"/>
        <v>-0.72385118813871363</v>
      </c>
      <c r="E21" s="377">
        <f t="shared" si="4"/>
        <v>0.15394303565375966</v>
      </c>
      <c r="F21" s="377">
        <f t="shared" si="4"/>
        <v>-2.1167817795388828</v>
      </c>
      <c r="G21" s="377">
        <f t="shared" si="4"/>
        <v>-1.6682008440451945</v>
      </c>
      <c r="H21" s="378">
        <f t="shared" si="4"/>
        <v>1.3642040391909218</v>
      </c>
      <c r="I21" s="312"/>
      <c r="J21" s="210"/>
      <c r="L21" s="372"/>
      <c r="M21" s="345"/>
      <c r="N21" s="345"/>
      <c r="O21" s="345"/>
      <c r="P21" s="345"/>
      <c r="Q21" s="345"/>
      <c r="R21" s="210"/>
      <c r="AK21" s="336"/>
    </row>
    <row r="22" spans="1:37" ht="15.75">
      <c r="A22" s="210"/>
      <c r="B22" s="319" t="s">
        <v>8</v>
      </c>
      <c r="C22" s="376">
        <f t="shared" ref="C22:H22" si="5">+D7/$J7</f>
        <v>0.20772669797098831</v>
      </c>
      <c r="D22" s="377">
        <f t="shared" si="5"/>
        <v>-0.20503347503644079</v>
      </c>
      <c r="E22" s="377">
        <f t="shared" si="5"/>
        <v>0.25445609070973113</v>
      </c>
      <c r="F22" s="377">
        <f t="shared" si="5"/>
        <v>-1.4213380642624727</v>
      </c>
      <c r="G22" s="377">
        <f t="shared" si="5"/>
        <v>-0.87862362027637109</v>
      </c>
      <c r="H22" s="378">
        <f t="shared" si="5"/>
        <v>1.3107276494936508</v>
      </c>
      <c r="I22" s="312"/>
      <c r="J22" s="210"/>
      <c r="L22" s="372"/>
      <c r="M22" s="345"/>
      <c r="N22" s="345"/>
      <c r="O22" s="345"/>
      <c r="P22" s="345"/>
      <c r="Q22" s="345"/>
      <c r="R22" s="210"/>
      <c r="AK22" s="336"/>
    </row>
    <row r="23" spans="1:37" ht="15.75">
      <c r="A23" s="210"/>
      <c r="B23" s="319" t="s">
        <v>9</v>
      </c>
      <c r="C23" s="376">
        <f t="shared" ref="C23:H23" si="6">+D8/$J8</f>
        <v>0.241347937376299</v>
      </c>
      <c r="D23" s="377">
        <f t="shared" si="6"/>
        <v>3.9339904145345932E-2</v>
      </c>
      <c r="E23" s="377">
        <f t="shared" si="6"/>
        <v>0.26156708378887789</v>
      </c>
      <c r="F23" s="377">
        <f t="shared" si="6"/>
        <v>-1.5792316743221428</v>
      </c>
      <c r="G23" s="377">
        <f t="shared" si="6"/>
        <v>-1.6383833846646878</v>
      </c>
      <c r="H23" s="378">
        <f t="shared" si="6"/>
        <v>1.8885265228969235</v>
      </c>
      <c r="I23" s="312"/>
      <c r="J23" s="210"/>
      <c r="L23" s="372"/>
      <c r="M23" s="345"/>
      <c r="N23" s="345"/>
      <c r="O23" s="345"/>
      <c r="P23" s="345"/>
      <c r="Q23" s="345"/>
      <c r="R23" s="210"/>
      <c r="AK23" s="336"/>
    </row>
    <row r="24" spans="1:37">
      <c r="A24" s="210"/>
      <c r="B24" s="319" t="s">
        <v>10</v>
      </c>
      <c r="C24" s="376">
        <f t="shared" ref="C24:H24" si="7">+D9/$J9</f>
        <v>0.10770413535405052</v>
      </c>
      <c r="D24" s="377">
        <f t="shared" si="7"/>
        <v>-0.29085681443523442</v>
      </c>
      <c r="E24" s="377">
        <f t="shared" si="7"/>
        <v>0.10279931047571683</v>
      </c>
      <c r="F24" s="377">
        <f t="shared" si="7"/>
        <v>-1.5897885043728794</v>
      </c>
      <c r="G24" s="377">
        <f t="shared" si="7"/>
        <v>-3.9259554592341248E-2</v>
      </c>
      <c r="H24" s="378">
        <f t="shared" si="7"/>
        <v>1.7554001231244916</v>
      </c>
      <c r="I24" s="312"/>
      <c r="J24" s="210"/>
      <c r="L24" s="210"/>
      <c r="M24" s="210"/>
      <c r="N24" s="210"/>
      <c r="O24" s="210"/>
      <c r="P24" s="210"/>
      <c r="Q24" s="210"/>
      <c r="R24" s="210"/>
      <c r="AK24" s="336"/>
    </row>
    <row r="25" spans="1:37" ht="15.75" customHeight="1">
      <c r="A25" s="210"/>
      <c r="B25" s="320" t="s">
        <v>11</v>
      </c>
      <c r="C25" s="379">
        <f t="shared" ref="C25:H25" si="8">+D10/$J10</f>
        <v>-1.6783082908917772E-2</v>
      </c>
      <c r="D25" s="380">
        <f t="shared" si="8"/>
        <v>-0.42401137484127033</v>
      </c>
      <c r="E25" s="380">
        <f t="shared" si="8"/>
        <v>0.16453535621904167</v>
      </c>
      <c r="F25" s="380">
        <f t="shared" si="8"/>
        <v>-1.6846196533078925</v>
      </c>
      <c r="G25" s="380">
        <f t="shared" si="8"/>
        <v>-0.90457098085960108</v>
      </c>
      <c r="H25" s="381">
        <f t="shared" si="8"/>
        <v>1.7726682092278898</v>
      </c>
      <c r="I25" s="314"/>
      <c r="J25" s="210"/>
      <c r="L25" s="210"/>
      <c r="M25" s="210"/>
      <c r="N25" s="210"/>
      <c r="O25" s="210"/>
      <c r="P25" s="210"/>
      <c r="Q25" s="210"/>
      <c r="R25" s="210"/>
      <c r="AK25" s="336"/>
    </row>
    <row r="26" spans="1:37">
      <c r="A26" s="210"/>
      <c r="B26" s="210"/>
      <c r="C26" s="210"/>
      <c r="D26" s="210"/>
      <c r="E26" s="210"/>
      <c r="F26" s="210"/>
      <c r="G26" s="210"/>
      <c r="H26" s="210"/>
      <c r="I26" s="210"/>
      <c r="J26" s="210"/>
      <c r="L26" s="210"/>
      <c r="M26" s="210"/>
      <c r="N26" s="210"/>
      <c r="O26" s="210"/>
      <c r="P26" s="210"/>
      <c r="Q26" s="210"/>
      <c r="R26" s="210"/>
    </row>
    <row r="27" spans="1:37" ht="4.5" customHeight="1">
      <c r="A27" s="210"/>
      <c r="B27" s="210"/>
      <c r="C27" s="210"/>
      <c r="D27" s="210"/>
      <c r="E27" s="210"/>
      <c r="F27" s="210"/>
      <c r="G27" s="210"/>
      <c r="H27" s="210"/>
      <c r="I27" s="210"/>
      <c r="J27" s="210"/>
      <c r="L27" s="210"/>
      <c r="M27" s="210"/>
      <c r="N27" s="210"/>
      <c r="O27" s="210"/>
      <c r="P27" s="210"/>
      <c r="Q27" s="210"/>
      <c r="R27" s="210"/>
    </row>
    <row r="28" spans="1:37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L28" s="210"/>
      <c r="M28" s="210"/>
      <c r="N28" s="210"/>
      <c r="O28" s="210"/>
      <c r="P28" s="210"/>
      <c r="Q28" s="210"/>
      <c r="R28" s="210"/>
    </row>
    <row r="29" spans="1:37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L29" s="210"/>
      <c r="M29" s="210"/>
      <c r="N29" s="210"/>
      <c r="O29" s="210"/>
      <c r="P29" s="210"/>
      <c r="Q29" s="210"/>
      <c r="R29" s="210"/>
    </row>
    <row r="30" spans="1:37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L30" s="210"/>
      <c r="M30" s="210"/>
      <c r="N30" s="210"/>
      <c r="O30" s="210"/>
      <c r="P30" s="210"/>
      <c r="Q30" s="210"/>
      <c r="R30" s="210"/>
    </row>
    <row r="31" spans="1:37">
      <c r="A31" s="210"/>
      <c r="B31" s="210"/>
      <c r="C31" s="210"/>
      <c r="D31" s="210"/>
      <c r="E31" s="210"/>
      <c r="F31" s="210"/>
      <c r="G31" s="210"/>
      <c r="H31" s="210"/>
      <c r="I31" s="210"/>
      <c r="J31" s="210"/>
      <c r="L31" s="210"/>
      <c r="M31" s="210"/>
      <c r="N31" s="210"/>
      <c r="O31" s="210"/>
      <c r="P31" s="210"/>
      <c r="Q31" s="210"/>
      <c r="R31" s="210"/>
    </row>
    <row r="32" spans="1:37">
      <c r="A32" s="210"/>
      <c r="B32" s="210"/>
      <c r="C32" s="210"/>
      <c r="D32" s="210"/>
      <c r="E32" s="210"/>
      <c r="F32" s="210"/>
      <c r="G32" s="210"/>
      <c r="H32" s="210"/>
      <c r="I32" s="367">
        <v>0.10199999999999999</v>
      </c>
      <c r="J32" s="210"/>
      <c r="L32" s="210"/>
      <c r="M32" s="210"/>
      <c r="N32" s="210"/>
      <c r="O32" s="210"/>
      <c r="P32" s="210"/>
      <c r="Q32" s="210"/>
      <c r="R32" s="210"/>
    </row>
    <row r="33" spans="1:18">
      <c r="A33" s="210"/>
      <c r="B33" s="210"/>
      <c r="C33" s="410" t="s">
        <v>135</v>
      </c>
      <c r="D33" s="411"/>
      <c r="E33" s="410" t="s">
        <v>134</v>
      </c>
      <c r="F33" s="411"/>
      <c r="G33" s="411"/>
      <c r="H33" s="412"/>
      <c r="I33" s="210"/>
      <c r="J33" s="210"/>
      <c r="L33" s="210"/>
      <c r="M33" s="210"/>
      <c r="N33" s="210"/>
      <c r="O33" s="210"/>
      <c r="P33" s="210"/>
      <c r="Q33" s="210"/>
      <c r="R33" s="210"/>
    </row>
    <row r="34" spans="1:18" ht="39">
      <c r="A34" s="210"/>
      <c r="B34" s="318"/>
      <c r="C34" s="332" t="s">
        <v>137</v>
      </c>
      <c r="D34" s="333" t="s">
        <v>138</v>
      </c>
      <c r="E34" s="332" t="s">
        <v>140</v>
      </c>
      <c r="F34" s="333" t="s">
        <v>136</v>
      </c>
      <c r="G34" s="333"/>
      <c r="H34" s="333" t="s">
        <v>139</v>
      </c>
      <c r="I34" s="311" t="s">
        <v>141</v>
      </c>
      <c r="J34" s="343" t="s">
        <v>142</v>
      </c>
      <c r="K34" s="343" t="s">
        <v>143</v>
      </c>
      <c r="L34" s="210"/>
      <c r="M34" s="210"/>
      <c r="N34" s="210"/>
      <c r="O34" s="210"/>
      <c r="P34" s="210"/>
      <c r="Q34" s="210"/>
      <c r="R34" s="210"/>
    </row>
    <row r="35" spans="1:18">
      <c r="A35" s="210"/>
      <c r="B35" s="319" t="s">
        <v>4</v>
      </c>
      <c r="C35" s="344">
        <v>4.4499999999999998E-2</v>
      </c>
      <c r="D35" s="344">
        <v>9.3000000000000096E-3</v>
      </c>
      <c r="E35" s="344">
        <v>-8.7300000000000003E-2</v>
      </c>
      <c r="F35" s="85"/>
      <c r="G35" s="85"/>
      <c r="H35" s="344">
        <f>+Scenarios!C24</f>
        <v>-3.2445168309994665E-3</v>
      </c>
      <c r="I35" s="358">
        <f>+J3</f>
        <v>4.3571419993869868E-2</v>
      </c>
      <c r="J35" s="359">
        <f>+E35/I32</f>
        <v>-0.85588235294117654</v>
      </c>
      <c r="K35" s="335">
        <f>+H35/I35</f>
        <v>-7.4464335370661383E-2</v>
      </c>
      <c r="L35" s="210"/>
      <c r="M35" s="210"/>
      <c r="N35" s="210"/>
      <c r="O35" s="210"/>
      <c r="P35" s="210"/>
      <c r="Q35" s="210"/>
      <c r="R35" s="210"/>
    </row>
    <row r="36" spans="1:18">
      <c r="A36" s="210"/>
      <c r="B36" s="319" t="s">
        <v>5</v>
      </c>
      <c r="C36" s="322">
        <v>8.5371817899603325E-2</v>
      </c>
      <c r="D36" s="322">
        <v>5.6265360838678849E-2</v>
      </c>
      <c r="E36" s="322">
        <v>-4.6468851830414513E-2</v>
      </c>
      <c r="F36" s="85"/>
      <c r="G36" s="85"/>
      <c r="H36" s="322">
        <f>+Scenarios!C25</f>
        <v>1.4996171000904845E-2</v>
      </c>
      <c r="I36" s="322">
        <f t="shared" ref="I36:I42" si="9">+J4</f>
        <v>0.15810707611932825</v>
      </c>
      <c r="J36" s="360">
        <f>+E36/I36</f>
        <v>-0.29390747695152525</v>
      </c>
      <c r="K36" s="335">
        <f t="shared" ref="K36:K42" si="10">+H36/I36</f>
        <v>9.484819635515096E-2</v>
      </c>
      <c r="L36" s="210"/>
      <c r="M36" s="210"/>
      <c r="N36" s="210"/>
      <c r="O36" s="210"/>
      <c r="P36" s="210"/>
      <c r="Q36" s="210"/>
      <c r="R36" s="210"/>
    </row>
    <row r="37" spans="1:18">
      <c r="A37" s="210"/>
      <c r="B37" s="319" t="s">
        <v>6</v>
      </c>
      <c r="C37" s="322">
        <v>0.14294511515742836</v>
      </c>
      <c r="D37" s="322">
        <v>4.8236186870114238E-2</v>
      </c>
      <c r="E37" s="322">
        <v>1.1104445427410514E-2</v>
      </c>
      <c r="F37" s="85"/>
      <c r="G37" s="85"/>
      <c r="H37" s="322">
        <f>+Scenarios!C26</f>
        <v>3.3632152529915554E-2</v>
      </c>
      <c r="I37" s="322">
        <f t="shared" si="9"/>
        <v>0.16193319430872868</v>
      </c>
      <c r="J37" s="360">
        <f>+E37/I37</f>
        <v>6.857423812834619E-2</v>
      </c>
      <c r="K37" s="335">
        <f>+H37/I37</f>
        <v>0.20769152781482975</v>
      </c>
      <c r="L37" s="210"/>
      <c r="M37" s="210"/>
      <c r="N37" s="210"/>
      <c r="O37" s="210"/>
      <c r="P37" s="210"/>
      <c r="Q37" s="210"/>
      <c r="R37" s="210"/>
    </row>
    <row r="38" spans="1:18">
      <c r="A38" s="210"/>
      <c r="B38" s="319" t="s">
        <v>7</v>
      </c>
      <c r="C38" s="322">
        <v>7.3688794074914882E-2</v>
      </c>
      <c r="D38" s="322">
        <v>4.4755655663184818E-2</v>
      </c>
      <c r="E38" s="322">
        <v>-5.8151875655102964E-2</v>
      </c>
      <c r="F38" s="85"/>
      <c r="G38" s="85"/>
      <c r="H38" s="322">
        <f>+Scenarios!C27</f>
        <v>-1.8275706628265609E-2</v>
      </c>
      <c r="I38" s="322">
        <f t="shared" si="9"/>
        <v>0.28684488662827246</v>
      </c>
      <c r="J38" s="360">
        <f t="shared" ref="J38:J42" si="11">+E38/I38</f>
        <v>-0.20272934385775906</v>
      </c>
      <c r="K38" s="335">
        <f>+H38/I38</f>
        <v>-6.3712854857159898E-2</v>
      </c>
      <c r="L38" s="210"/>
      <c r="M38" s="210"/>
      <c r="N38" s="210"/>
      <c r="O38" s="210"/>
      <c r="P38" s="210"/>
      <c r="Q38" s="210"/>
      <c r="R38" s="210"/>
    </row>
    <row r="39" spans="1:18">
      <c r="A39" s="210"/>
      <c r="B39" s="319" t="s">
        <v>8</v>
      </c>
      <c r="C39" s="322">
        <v>8.8200075364801303E-2</v>
      </c>
      <c r="D39" s="322">
        <v>0.11547766137672615</v>
      </c>
      <c r="E39" s="322">
        <v>-4.3640594365216501E-2</v>
      </c>
      <c r="F39" s="85"/>
      <c r="G39" s="85"/>
      <c r="H39" s="322">
        <f>+Scenarios!C28</f>
        <v>6.1274623073284545E-2</v>
      </c>
      <c r="I39" s="322">
        <f t="shared" si="9"/>
        <v>0.29497711980114533</v>
      </c>
      <c r="J39" s="360">
        <f t="shared" si="11"/>
        <v>-0.14794569285453799</v>
      </c>
      <c r="K39" s="335">
        <f t="shared" si="10"/>
        <v>0.20772669797098831</v>
      </c>
      <c r="L39" s="210"/>
      <c r="M39" s="210"/>
      <c r="N39" s="210"/>
      <c r="O39" s="210"/>
      <c r="P39" s="210"/>
      <c r="Q39" s="210"/>
      <c r="R39" s="210"/>
    </row>
    <row r="40" spans="1:18">
      <c r="A40" s="210"/>
      <c r="B40" s="319" t="s">
        <v>9</v>
      </c>
      <c r="C40" s="322">
        <v>9.6125190679341666E-2</v>
      </c>
      <c r="D40" s="322">
        <v>8.8245130245983364E-2</v>
      </c>
      <c r="E40" s="322">
        <v>-3.571547905067618E-2</v>
      </c>
      <c r="F40" s="85"/>
      <c r="G40" s="85"/>
      <c r="H40" s="322">
        <f>+Scenarios!C29</f>
        <v>7.9522702632630907E-2</v>
      </c>
      <c r="I40" s="322">
        <f t="shared" si="9"/>
        <v>0.32949402218690865</v>
      </c>
      <c r="J40" s="360">
        <f t="shared" si="11"/>
        <v>-0.10839492265633952</v>
      </c>
      <c r="K40" s="335">
        <f t="shared" si="10"/>
        <v>0.241347937376299</v>
      </c>
      <c r="L40" s="210"/>
      <c r="M40" s="210"/>
      <c r="N40" s="210"/>
      <c r="O40" s="210"/>
      <c r="P40" s="210"/>
      <c r="Q40" s="210"/>
      <c r="R40" s="210"/>
    </row>
    <row r="41" spans="1:18">
      <c r="A41" s="210"/>
      <c r="B41" s="319" t="s">
        <v>10</v>
      </c>
      <c r="C41" s="322">
        <v>6.2658557549145399E-2</v>
      </c>
      <c r="D41" s="322">
        <v>3.2952299000522406E-2</v>
      </c>
      <c r="E41" s="322">
        <v>-6.9182112180872446E-2</v>
      </c>
      <c r="F41" s="85"/>
      <c r="G41" s="85"/>
      <c r="H41" s="322">
        <f>+Scenarios!C30</f>
        <v>1.7325408361865E-2</v>
      </c>
      <c r="I41" s="322">
        <f t="shared" si="9"/>
        <v>0.1608611248297202</v>
      </c>
      <c r="J41" s="360">
        <f t="shared" si="11"/>
        <v>-0.43007353239699947</v>
      </c>
      <c r="K41" s="335">
        <f t="shared" si="10"/>
        <v>0.10770413535405052</v>
      </c>
      <c r="L41" s="210"/>
      <c r="M41" s="210"/>
      <c r="N41" s="210"/>
      <c r="O41" s="210"/>
      <c r="P41" s="210"/>
      <c r="Q41" s="210"/>
      <c r="R41" s="210"/>
    </row>
    <row r="42" spans="1:18">
      <c r="A42" s="210"/>
      <c r="B42" s="320" t="s">
        <v>11</v>
      </c>
      <c r="C42" s="323">
        <v>7.3464510927495008E-2</v>
      </c>
      <c r="D42" s="323">
        <v>3.9406691481015818E-2</v>
      </c>
      <c r="E42" s="323">
        <v>-5.8376158802522837E-2</v>
      </c>
      <c r="F42" s="313"/>
      <c r="G42" s="313"/>
      <c r="H42" s="323">
        <f>+Scenarios!C31</f>
        <v>-3.3454365202922019E-3</v>
      </c>
      <c r="I42" s="323">
        <f t="shared" si="9"/>
        <v>0.19933384935580506</v>
      </c>
      <c r="J42" s="361">
        <f t="shared" si="11"/>
        <v>-0.2928562258300802</v>
      </c>
      <c r="K42" s="340">
        <f t="shared" si="10"/>
        <v>-1.6783082908917772E-2</v>
      </c>
      <c r="L42" s="210"/>
      <c r="M42" s="210"/>
      <c r="N42" s="210"/>
      <c r="O42" s="210"/>
      <c r="P42" s="210"/>
      <c r="Q42" s="210"/>
      <c r="R42" s="210"/>
    </row>
    <row r="43" spans="1:18">
      <c r="A43" s="210"/>
      <c r="B43" s="84"/>
      <c r="C43" s="84"/>
      <c r="D43" s="84"/>
      <c r="E43" s="98"/>
      <c r="F43" s="98"/>
      <c r="G43" s="84"/>
      <c r="H43" s="84"/>
      <c r="I43" s="84"/>
      <c r="J43" s="84"/>
      <c r="L43" s="210"/>
      <c r="M43" s="210"/>
      <c r="N43" s="210"/>
      <c r="O43" s="210"/>
      <c r="P43" s="210"/>
      <c r="Q43" s="210"/>
      <c r="R43" s="210"/>
    </row>
    <row r="44" spans="1:18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L44" s="210"/>
      <c r="M44" s="210"/>
      <c r="N44" s="210"/>
      <c r="O44" s="210"/>
      <c r="P44" s="210"/>
      <c r="Q44" s="210"/>
      <c r="R44" s="210"/>
    </row>
    <row r="45" spans="1:18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L45" s="210"/>
      <c r="M45" s="210"/>
      <c r="N45" s="210"/>
      <c r="O45" s="210"/>
      <c r="P45" s="210"/>
      <c r="Q45" s="210"/>
      <c r="R45" s="210"/>
    </row>
    <row r="46" spans="1:18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L46" s="210"/>
      <c r="M46" s="210"/>
      <c r="N46" s="210"/>
      <c r="O46" s="210"/>
      <c r="P46" s="210"/>
      <c r="Q46" s="210"/>
      <c r="R46" s="210"/>
    </row>
    <row r="47" spans="1:18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L47" s="210"/>
      <c r="M47" s="210"/>
      <c r="N47" s="210"/>
      <c r="O47" s="210"/>
      <c r="P47" s="210"/>
      <c r="Q47" s="210"/>
      <c r="R47" s="210"/>
    </row>
    <row r="48" spans="1:18">
      <c r="A48" s="210"/>
      <c r="B48" s="210"/>
      <c r="C48" s="210"/>
      <c r="D48" s="210"/>
      <c r="E48" s="210"/>
      <c r="F48" s="210"/>
      <c r="G48" s="210"/>
      <c r="H48" s="210"/>
      <c r="I48" s="210"/>
      <c r="J48" s="210"/>
      <c r="L48" s="210"/>
      <c r="M48" s="210"/>
      <c r="N48" s="210"/>
      <c r="O48" s="210"/>
      <c r="P48" s="210"/>
      <c r="Q48" s="210"/>
      <c r="R48" s="210"/>
    </row>
    <row r="49" spans="1:18">
      <c r="A49" s="210"/>
      <c r="B49" s="210"/>
      <c r="C49" s="210"/>
      <c r="D49" s="210"/>
      <c r="E49" s="210"/>
      <c r="F49" s="210"/>
      <c r="G49" s="210"/>
      <c r="H49" s="210"/>
      <c r="I49" s="210"/>
      <c r="J49" s="210"/>
      <c r="L49" s="210"/>
      <c r="M49" s="210"/>
      <c r="N49" s="210"/>
      <c r="O49" s="210"/>
      <c r="P49" s="210"/>
      <c r="Q49" s="210"/>
      <c r="R49" s="210"/>
    </row>
    <row r="50" spans="1:18">
      <c r="A50" s="210"/>
      <c r="B50" s="210"/>
      <c r="C50" s="210"/>
      <c r="D50" s="210"/>
      <c r="E50" s="210"/>
      <c r="F50" s="210"/>
      <c r="G50" s="210"/>
      <c r="H50" s="210"/>
      <c r="I50" s="210"/>
      <c r="J50" s="210"/>
      <c r="L50" s="210"/>
      <c r="M50" s="210"/>
      <c r="N50" s="210"/>
      <c r="O50" s="210"/>
      <c r="P50" s="210"/>
      <c r="Q50" s="210"/>
      <c r="R50" s="210"/>
    </row>
    <row r="51" spans="1:18">
      <c r="A51" s="210"/>
      <c r="B51" s="210"/>
      <c r="C51" s="210"/>
      <c r="D51" s="210"/>
      <c r="E51" s="210"/>
      <c r="F51" s="210"/>
      <c r="G51" s="210"/>
      <c r="H51" s="210"/>
      <c r="I51" s="210"/>
      <c r="J51" s="210"/>
      <c r="L51" s="210"/>
      <c r="M51" s="210"/>
      <c r="N51" s="210"/>
      <c r="O51" s="210"/>
      <c r="P51" s="210"/>
      <c r="Q51" s="210"/>
      <c r="R51" s="210"/>
    </row>
    <row r="52" spans="1:18">
      <c r="A52" s="210"/>
      <c r="B52" s="210"/>
      <c r="C52" s="210"/>
      <c r="D52" s="210"/>
      <c r="E52" s="210"/>
      <c r="F52" s="210"/>
      <c r="G52" s="210"/>
      <c r="H52" s="210"/>
      <c r="I52" s="210"/>
      <c r="J52" s="210"/>
      <c r="L52" s="210"/>
      <c r="M52" s="210"/>
      <c r="N52" s="210"/>
      <c r="O52" s="210"/>
      <c r="P52" s="210"/>
      <c r="Q52" s="210"/>
      <c r="R52" s="210"/>
    </row>
    <row r="53" spans="1:18">
      <c r="A53" s="210"/>
      <c r="B53" s="210"/>
      <c r="C53" s="210"/>
      <c r="D53" s="210"/>
      <c r="E53" s="210"/>
      <c r="F53" s="210"/>
      <c r="G53" s="210"/>
      <c r="H53" s="210"/>
      <c r="I53" s="210"/>
      <c r="J53" s="210"/>
      <c r="L53" s="210"/>
      <c r="M53" s="210"/>
      <c r="N53" s="210"/>
      <c r="O53" s="210"/>
      <c r="P53" s="210"/>
      <c r="Q53" s="210"/>
      <c r="R53" s="210"/>
    </row>
    <row r="54" spans="1:18">
      <c r="A54" s="210"/>
      <c r="B54" s="210"/>
      <c r="C54" s="210"/>
      <c r="D54" s="210"/>
      <c r="E54" s="210"/>
      <c r="F54" s="210"/>
      <c r="G54" s="210"/>
      <c r="H54" s="210"/>
      <c r="I54" s="210"/>
      <c r="J54" s="210"/>
      <c r="L54" s="210"/>
      <c r="M54" s="210"/>
      <c r="N54" s="210"/>
      <c r="O54" s="210"/>
      <c r="P54" s="210"/>
      <c r="Q54" s="210"/>
      <c r="R54" s="210"/>
    </row>
    <row r="55" spans="1:18">
      <c r="A55" s="210"/>
      <c r="B55" s="210"/>
      <c r="C55" s="210"/>
      <c r="D55" s="210"/>
      <c r="E55" s="210"/>
      <c r="F55" s="210"/>
      <c r="G55" s="210"/>
      <c r="H55" s="210"/>
      <c r="I55" s="210"/>
      <c r="J55" s="210"/>
      <c r="L55" s="210"/>
      <c r="M55" s="210"/>
      <c r="N55" s="210"/>
      <c r="O55" s="210"/>
      <c r="P55" s="210"/>
      <c r="Q55" s="210"/>
      <c r="R55" s="210"/>
    </row>
    <row r="56" spans="1:18">
      <c r="A56" s="210"/>
      <c r="B56" s="210"/>
      <c r="C56" s="210"/>
      <c r="D56" s="210"/>
      <c r="E56" s="210"/>
      <c r="F56" s="210"/>
      <c r="G56" s="210"/>
      <c r="H56" s="210"/>
      <c r="I56" s="210"/>
      <c r="J56" s="210"/>
      <c r="L56" s="210"/>
      <c r="M56" s="210"/>
      <c r="N56" s="210"/>
      <c r="O56" s="210"/>
      <c r="P56" s="210"/>
      <c r="Q56" s="210"/>
      <c r="R56" s="210"/>
    </row>
    <row r="57" spans="1:18">
      <c r="A57" s="210"/>
      <c r="B57" s="210"/>
      <c r="C57" s="210"/>
      <c r="D57" s="210"/>
      <c r="E57" s="210"/>
      <c r="F57" s="210"/>
      <c r="G57" s="210"/>
      <c r="H57" s="210"/>
      <c r="I57" s="210"/>
      <c r="J57" s="210"/>
      <c r="L57" s="210"/>
      <c r="M57" s="210"/>
      <c r="N57" s="210"/>
      <c r="O57" s="210"/>
      <c r="P57" s="210"/>
      <c r="Q57" s="210"/>
      <c r="R57" s="210"/>
    </row>
    <row r="58" spans="1:18">
      <c r="A58" s="210"/>
      <c r="B58" s="210"/>
      <c r="C58" s="210"/>
      <c r="D58" s="210"/>
      <c r="E58" s="210"/>
      <c r="F58" s="210"/>
      <c r="G58" s="210"/>
      <c r="H58" s="210"/>
      <c r="I58" s="210"/>
      <c r="J58" s="210"/>
      <c r="L58" s="210"/>
      <c r="M58" s="210"/>
      <c r="N58" s="210"/>
      <c r="O58" s="210"/>
      <c r="P58" s="210"/>
      <c r="Q58" s="210"/>
      <c r="R58" s="210"/>
    </row>
    <row r="59" spans="1:18">
      <c r="A59" s="210"/>
      <c r="B59" s="210"/>
      <c r="C59" s="210"/>
      <c r="D59" s="210"/>
      <c r="E59" s="210"/>
      <c r="F59" s="210"/>
      <c r="G59" s="210"/>
      <c r="H59" s="210"/>
      <c r="I59" s="210"/>
      <c r="J59" s="210"/>
      <c r="L59" s="210"/>
      <c r="M59" s="210"/>
      <c r="N59" s="210"/>
      <c r="O59" s="210"/>
      <c r="P59" s="210"/>
      <c r="Q59" s="210"/>
      <c r="R59" s="210"/>
    </row>
    <row r="60" spans="1:18">
      <c r="A60" s="210"/>
      <c r="B60" s="210"/>
      <c r="C60" s="210"/>
      <c r="D60" s="210"/>
      <c r="E60" s="210"/>
      <c r="F60" s="210"/>
      <c r="G60" s="210"/>
      <c r="H60" s="210"/>
      <c r="I60" s="210"/>
      <c r="J60" s="210"/>
      <c r="L60" s="210"/>
      <c r="M60" s="210"/>
      <c r="N60" s="210"/>
      <c r="O60" s="210"/>
      <c r="P60" s="210"/>
      <c r="Q60" s="210"/>
      <c r="R60" s="210"/>
    </row>
    <row r="61" spans="1:18">
      <c r="A61" s="210"/>
      <c r="B61" s="210"/>
      <c r="C61" s="210"/>
      <c r="D61" s="210"/>
      <c r="E61" s="210"/>
      <c r="F61" s="210"/>
      <c r="G61" s="210"/>
      <c r="H61" s="210"/>
      <c r="I61" s="210"/>
      <c r="J61" s="210"/>
      <c r="L61" s="210"/>
      <c r="M61" s="210"/>
      <c r="N61" s="210"/>
      <c r="O61" s="210"/>
      <c r="P61" s="210"/>
      <c r="Q61" s="210"/>
      <c r="R61" s="210"/>
    </row>
    <row r="62" spans="1:18">
      <c r="A62" s="210"/>
      <c r="B62" s="210"/>
      <c r="C62" s="210"/>
      <c r="D62" s="210"/>
      <c r="E62" s="210"/>
      <c r="F62" s="210"/>
      <c r="G62" s="210"/>
      <c r="H62" s="210"/>
      <c r="I62" s="210"/>
      <c r="J62" s="210"/>
      <c r="L62" s="210"/>
      <c r="M62" s="210"/>
      <c r="N62" s="210"/>
      <c r="O62" s="210"/>
      <c r="P62" s="210"/>
      <c r="Q62" s="210"/>
      <c r="R62" s="210"/>
    </row>
    <row r="63" spans="1:18">
      <c r="A63" s="210"/>
      <c r="B63" s="210"/>
      <c r="C63" s="210"/>
      <c r="D63" s="210"/>
      <c r="E63" s="210"/>
      <c r="F63" s="210"/>
      <c r="G63" s="210"/>
      <c r="H63" s="210"/>
      <c r="I63" s="210"/>
      <c r="J63" s="210"/>
      <c r="L63" s="210"/>
      <c r="M63" s="210"/>
      <c r="N63" s="210"/>
      <c r="O63" s="210"/>
      <c r="P63" s="210"/>
      <c r="Q63" s="210"/>
      <c r="R63" s="210"/>
    </row>
    <row r="64" spans="1:18">
      <c r="A64" s="210"/>
      <c r="B64" s="210"/>
      <c r="C64" s="210"/>
      <c r="D64" s="210"/>
      <c r="E64" s="210"/>
      <c r="F64" s="210"/>
      <c r="G64" s="210"/>
      <c r="H64" s="210"/>
      <c r="I64" s="210"/>
      <c r="J64" s="210"/>
      <c r="L64" s="210"/>
      <c r="M64" s="210"/>
      <c r="N64" s="210"/>
      <c r="O64" s="210"/>
      <c r="P64" s="210"/>
      <c r="Q64" s="210"/>
      <c r="R64" s="210"/>
    </row>
    <row r="65" spans="1:18">
      <c r="A65" s="210"/>
      <c r="B65" s="210"/>
      <c r="C65" s="210"/>
      <c r="D65" s="210"/>
      <c r="E65" s="210"/>
      <c r="F65" s="210"/>
      <c r="G65" s="210"/>
      <c r="H65" s="210"/>
      <c r="I65" s="210"/>
      <c r="J65" s="210"/>
      <c r="L65" s="210"/>
      <c r="M65" s="210"/>
      <c r="N65" s="210"/>
      <c r="O65" s="210"/>
      <c r="P65" s="210"/>
      <c r="Q65" s="210"/>
      <c r="R65" s="210"/>
    </row>
    <row r="66" spans="1:18">
      <c r="A66" s="210"/>
      <c r="B66" s="210"/>
      <c r="C66" s="210"/>
      <c r="D66" s="210"/>
      <c r="E66" s="210"/>
      <c r="F66" s="210"/>
      <c r="G66" s="210"/>
      <c r="H66" s="210"/>
      <c r="I66" s="210"/>
      <c r="J66" s="210"/>
      <c r="L66" s="210"/>
      <c r="M66" s="210"/>
      <c r="N66" s="210"/>
      <c r="O66" s="210"/>
      <c r="P66" s="210"/>
      <c r="Q66" s="210"/>
      <c r="R66" s="210"/>
    </row>
    <row r="67" spans="1:18">
      <c r="A67" s="210"/>
      <c r="B67" s="210"/>
      <c r="C67" s="210"/>
      <c r="D67" s="210"/>
      <c r="E67" s="210"/>
      <c r="F67" s="210"/>
      <c r="G67" s="210"/>
      <c r="H67" s="210"/>
      <c r="I67" s="210"/>
      <c r="J67" s="210"/>
      <c r="L67" s="210"/>
      <c r="M67" s="210"/>
      <c r="N67" s="210"/>
      <c r="O67" s="210"/>
      <c r="P67" s="210"/>
      <c r="Q67" s="210"/>
      <c r="R67" s="210"/>
    </row>
    <row r="68" spans="1:18">
      <c r="A68" s="210"/>
      <c r="B68" s="210"/>
      <c r="C68" s="210"/>
      <c r="D68" s="210"/>
      <c r="E68" s="210"/>
      <c r="F68" s="210"/>
      <c r="G68" s="210"/>
      <c r="H68" s="210"/>
      <c r="I68" s="210"/>
      <c r="J68" s="210"/>
      <c r="L68" s="210"/>
      <c r="M68" s="210"/>
      <c r="N68" s="210"/>
      <c r="O68" s="210"/>
      <c r="P68" s="210"/>
      <c r="Q68" s="210"/>
      <c r="R68" s="210"/>
    </row>
    <row r="69" spans="1:18">
      <c r="A69" s="210"/>
      <c r="B69" s="210"/>
      <c r="C69" s="210"/>
      <c r="D69" s="210"/>
      <c r="E69" s="210"/>
      <c r="F69" s="210"/>
      <c r="G69" s="210"/>
      <c r="H69" s="210"/>
      <c r="I69" s="210"/>
      <c r="J69" s="210"/>
      <c r="L69" s="210"/>
      <c r="M69" s="210"/>
      <c r="N69" s="210"/>
      <c r="O69" s="210"/>
      <c r="P69" s="210"/>
      <c r="Q69" s="210"/>
      <c r="R69" s="210"/>
    </row>
    <row r="70" spans="1:18">
      <c r="A70" s="210"/>
      <c r="B70" s="210"/>
      <c r="C70" s="210"/>
      <c r="D70" s="210"/>
      <c r="E70" s="210"/>
      <c r="F70" s="210"/>
      <c r="G70" s="210"/>
      <c r="H70" s="210"/>
      <c r="I70" s="210"/>
      <c r="J70" s="210"/>
      <c r="L70" s="210"/>
      <c r="M70" s="210"/>
      <c r="N70" s="210"/>
      <c r="O70" s="210"/>
      <c r="P70" s="210"/>
      <c r="Q70" s="210"/>
      <c r="R70" s="210"/>
    </row>
    <row r="71" spans="1:18">
      <c r="A71" s="210"/>
      <c r="B71" s="210"/>
      <c r="C71" s="210"/>
      <c r="D71" s="210"/>
      <c r="E71" s="210"/>
      <c r="F71" s="210"/>
      <c r="G71" s="210"/>
      <c r="H71" s="210"/>
      <c r="I71" s="210"/>
      <c r="J71" s="210"/>
      <c r="L71" s="210"/>
      <c r="M71" s="210"/>
      <c r="N71" s="210"/>
      <c r="O71" s="210"/>
      <c r="P71" s="210"/>
      <c r="Q71" s="210"/>
      <c r="R71" s="210"/>
    </row>
    <row r="72" spans="1:18">
      <c r="A72" s="210"/>
      <c r="B72" s="210"/>
      <c r="C72" s="210"/>
      <c r="D72" s="210"/>
      <c r="E72" s="210"/>
      <c r="F72" s="210"/>
      <c r="G72" s="210"/>
      <c r="H72" s="210"/>
      <c r="I72" s="210"/>
      <c r="J72" s="210"/>
      <c r="L72" s="210"/>
      <c r="M72" s="210"/>
      <c r="N72" s="210"/>
      <c r="O72" s="210"/>
      <c r="P72" s="210"/>
      <c r="Q72" s="210"/>
      <c r="R72" s="210"/>
    </row>
    <row r="73" spans="1:18">
      <c r="A73" s="210"/>
      <c r="B73" s="210"/>
      <c r="C73" s="210"/>
      <c r="D73" s="210"/>
      <c r="E73" s="210"/>
      <c r="F73" s="210"/>
      <c r="G73" s="210"/>
      <c r="H73" s="210"/>
      <c r="I73" s="210"/>
      <c r="J73" s="210"/>
      <c r="L73" s="210"/>
      <c r="M73" s="210"/>
      <c r="N73" s="210"/>
      <c r="O73" s="210"/>
      <c r="P73" s="210"/>
      <c r="Q73" s="210"/>
      <c r="R73" s="210"/>
    </row>
    <row r="74" spans="1:18">
      <c r="A74" s="210"/>
      <c r="B74" s="210"/>
      <c r="C74" s="210"/>
      <c r="D74" s="210"/>
      <c r="E74" s="210"/>
      <c r="F74" s="210"/>
      <c r="G74" s="210"/>
      <c r="H74" s="210"/>
      <c r="I74" s="210"/>
      <c r="J74" s="210"/>
      <c r="L74" s="210"/>
      <c r="M74" s="210"/>
      <c r="N74" s="210"/>
      <c r="O74" s="210"/>
      <c r="P74" s="210"/>
      <c r="Q74" s="210"/>
      <c r="R74" s="210"/>
    </row>
    <row r="75" spans="1:18">
      <c r="A75" s="210"/>
      <c r="B75" s="210"/>
      <c r="C75" s="210"/>
      <c r="D75" s="210"/>
      <c r="E75" s="210"/>
      <c r="F75" s="210"/>
      <c r="G75" s="210"/>
      <c r="H75" s="210"/>
      <c r="I75" s="210"/>
      <c r="J75" s="210"/>
      <c r="L75" s="210"/>
      <c r="M75" s="210"/>
      <c r="N75" s="210"/>
      <c r="O75" s="210"/>
      <c r="P75" s="210"/>
      <c r="Q75" s="210"/>
      <c r="R75" s="210"/>
    </row>
    <row r="76" spans="1:18">
      <c r="A76" s="210"/>
      <c r="B76" s="210"/>
      <c r="C76" s="210"/>
      <c r="D76" s="210"/>
      <c r="E76" s="210"/>
      <c r="F76" s="210"/>
      <c r="G76" s="210"/>
      <c r="H76" s="210"/>
      <c r="I76" s="210"/>
      <c r="J76" s="210"/>
      <c r="L76" s="210"/>
      <c r="M76" s="210"/>
      <c r="N76" s="210"/>
      <c r="O76" s="210"/>
      <c r="P76" s="210"/>
      <c r="Q76" s="210"/>
      <c r="R76" s="210"/>
    </row>
    <row r="77" spans="1:18">
      <c r="A77" s="210"/>
      <c r="B77" s="210"/>
      <c r="C77" s="210"/>
      <c r="D77" s="210"/>
      <c r="E77" s="210"/>
      <c r="F77" s="210"/>
      <c r="G77" s="210"/>
      <c r="H77" s="210"/>
      <c r="I77" s="210"/>
      <c r="J77" s="210"/>
      <c r="L77" s="210"/>
      <c r="M77" s="210"/>
      <c r="N77" s="210"/>
      <c r="O77" s="210"/>
      <c r="P77" s="210"/>
      <c r="Q77" s="210"/>
      <c r="R77" s="210"/>
    </row>
    <row r="78" spans="1:18">
      <c r="A78" s="210"/>
      <c r="B78" s="210"/>
      <c r="C78" s="210"/>
      <c r="D78" s="210"/>
      <c r="E78" s="210"/>
      <c r="F78" s="210"/>
      <c r="G78" s="210"/>
      <c r="H78" s="210"/>
      <c r="I78" s="210"/>
      <c r="J78" s="210"/>
      <c r="L78" s="210"/>
      <c r="M78" s="210"/>
      <c r="N78" s="210"/>
      <c r="O78" s="210"/>
      <c r="P78" s="210"/>
      <c r="Q78" s="210"/>
      <c r="R78" s="210"/>
    </row>
    <row r="79" spans="1:18">
      <c r="A79" s="210"/>
      <c r="B79" s="210"/>
      <c r="C79" s="210"/>
      <c r="D79" s="210"/>
      <c r="E79" s="210"/>
      <c r="F79" s="210"/>
      <c r="G79" s="210"/>
      <c r="H79" s="210"/>
      <c r="I79" s="210"/>
      <c r="J79" s="210"/>
      <c r="L79" s="210"/>
      <c r="M79" s="210"/>
      <c r="N79" s="210"/>
      <c r="O79" s="210"/>
      <c r="P79" s="210"/>
      <c r="Q79" s="210"/>
      <c r="R79" s="210"/>
    </row>
    <row r="80" spans="1:18">
      <c r="A80" s="210"/>
      <c r="B80" s="210"/>
      <c r="C80" s="210"/>
      <c r="D80" s="210"/>
      <c r="E80" s="210"/>
      <c r="F80" s="210"/>
      <c r="G80" s="210"/>
      <c r="H80" s="210"/>
      <c r="I80" s="210"/>
      <c r="J80" s="210"/>
      <c r="L80" s="210"/>
      <c r="M80" s="210"/>
      <c r="N80" s="210"/>
      <c r="O80" s="210"/>
      <c r="P80" s="210"/>
      <c r="Q80" s="210"/>
      <c r="R80" s="210"/>
    </row>
    <row r="81" spans="1:18">
      <c r="A81" s="210"/>
      <c r="B81" s="210"/>
      <c r="C81" s="210"/>
      <c r="D81" s="210"/>
      <c r="E81" s="210"/>
      <c r="F81" s="210"/>
      <c r="G81" s="210"/>
      <c r="H81" s="210"/>
      <c r="I81" s="210"/>
      <c r="J81" s="210"/>
      <c r="L81" s="210"/>
      <c r="M81" s="210"/>
      <c r="N81" s="210"/>
      <c r="O81" s="210"/>
      <c r="P81" s="210"/>
      <c r="Q81" s="210"/>
      <c r="R81" s="210"/>
    </row>
    <row r="82" spans="1:18">
      <c r="A82" s="210"/>
      <c r="B82" s="210"/>
      <c r="C82" s="210"/>
      <c r="D82" s="210"/>
      <c r="E82" s="210"/>
      <c r="F82" s="210"/>
      <c r="G82" s="210"/>
      <c r="H82" s="210"/>
      <c r="I82" s="210"/>
      <c r="J82" s="210"/>
      <c r="L82" s="210"/>
      <c r="M82" s="210"/>
      <c r="N82" s="210"/>
      <c r="O82" s="210"/>
      <c r="P82" s="210"/>
      <c r="Q82" s="210"/>
      <c r="R82" s="210"/>
    </row>
    <row r="83" spans="1:18">
      <c r="A83" s="210"/>
      <c r="B83" s="210"/>
      <c r="C83" s="210"/>
      <c r="D83" s="210"/>
      <c r="E83" s="210"/>
      <c r="F83" s="210"/>
      <c r="G83" s="210"/>
      <c r="H83" s="210"/>
      <c r="I83" s="210"/>
      <c r="J83" s="210"/>
      <c r="L83" s="210"/>
      <c r="M83" s="210"/>
      <c r="N83" s="210"/>
      <c r="O83" s="210"/>
      <c r="P83" s="210"/>
      <c r="Q83" s="210"/>
      <c r="R83" s="210"/>
    </row>
    <row r="84" spans="1:18">
      <c r="A84" s="210"/>
      <c r="B84" s="210"/>
      <c r="C84" s="210"/>
      <c r="D84" s="210"/>
      <c r="E84" s="210"/>
      <c r="F84" s="210"/>
      <c r="G84" s="210"/>
      <c r="H84" s="210"/>
      <c r="I84" s="210"/>
      <c r="J84" s="210"/>
      <c r="L84" s="210"/>
      <c r="M84" s="210"/>
      <c r="N84" s="210"/>
      <c r="O84" s="210"/>
      <c r="P84" s="210"/>
      <c r="Q84" s="210"/>
      <c r="R84" s="210"/>
    </row>
    <row r="85" spans="1:18">
      <c r="A85" s="210"/>
      <c r="B85" s="210"/>
      <c r="C85" s="210"/>
      <c r="D85" s="210"/>
      <c r="E85" s="210"/>
      <c r="F85" s="210"/>
      <c r="G85" s="210"/>
      <c r="H85" s="210"/>
      <c r="I85" s="210"/>
      <c r="J85" s="210"/>
      <c r="L85" s="210"/>
      <c r="M85" s="210"/>
      <c r="N85" s="210"/>
      <c r="O85" s="210"/>
      <c r="P85" s="210"/>
      <c r="Q85" s="210"/>
      <c r="R85" s="210"/>
    </row>
    <row r="86" spans="1:18">
      <c r="A86" s="210"/>
      <c r="B86" s="210"/>
      <c r="C86" s="210"/>
      <c r="D86" s="210"/>
      <c r="E86" s="210"/>
      <c r="F86" s="210"/>
      <c r="G86" s="210"/>
      <c r="H86" s="210"/>
      <c r="I86" s="210"/>
      <c r="J86" s="210"/>
      <c r="L86" s="210"/>
      <c r="M86" s="210"/>
      <c r="N86" s="210"/>
      <c r="O86" s="210"/>
      <c r="P86" s="210"/>
      <c r="Q86" s="210"/>
      <c r="R86" s="210"/>
    </row>
    <row r="87" spans="1:18">
      <c r="A87" s="210"/>
      <c r="B87" s="210"/>
      <c r="C87" s="210"/>
      <c r="D87" s="210"/>
      <c r="E87" s="210"/>
      <c r="F87" s="210"/>
      <c r="G87" s="210"/>
      <c r="H87" s="210"/>
      <c r="I87" s="210"/>
      <c r="J87" s="210"/>
      <c r="L87" s="210"/>
      <c r="M87" s="210"/>
      <c r="N87" s="210"/>
      <c r="O87" s="210"/>
      <c r="P87" s="210"/>
      <c r="Q87" s="210"/>
      <c r="R87" s="210"/>
    </row>
    <row r="88" spans="1:18">
      <c r="A88" s="210"/>
      <c r="B88" s="210"/>
      <c r="C88" s="210"/>
      <c r="D88" s="210"/>
      <c r="E88" s="210"/>
      <c r="F88" s="210"/>
      <c r="G88" s="210"/>
      <c r="H88" s="210"/>
      <c r="I88" s="210"/>
      <c r="J88" s="210"/>
      <c r="L88" s="210"/>
      <c r="M88" s="210"/>
      <c r="N88" s="210"/>
      <c r="O88" s="210"/>
      <c r="P88" s="210"/>
      <c r="Q88" s="210"/>
      <c r="R88" s="210"/>
    </row>
    <row r="89" spans="1:18">
      <c r="A89" s="210"/>
      <c r="B89" s="210"/>
      <c r="C89" s="210"/>
      <c r="D89" s="210"/>
      <c r="E89" s="210"/>
      <c r="F89" s="210"/>
      <c r="G89" s="210"/>
      <c r="H89" s="210"/>
      <c r="I89" s="210"/>
      <c r="J89" s="210"/>
      <c r="L89" s="210"/>
      <c r="M89" s="210"/>
      <c r="N89" s="210"/>
      <c r="O89" s="210"/>
      <c r="P89" s="210"/>
      <c r="Q89" s="210"/>
      <c r="R89" s="210"/>
    </row>
    <row r="90" spans="1:18">
      <c r="A90" s="210"/>
      <c r="B90" s="210"/>
      <c r="C90" s="210"/>
      <c r="D90" s="210"/>
      <c r="E90" s="210"/>
      <c r="F90" s="210"/>
      <c r="G90" s="210"/>
      <c r="H90" s="210"/>
      <c r="I90" s="210"/>
      <c r="J90" s="210"/>
      <c r="L90" s="210"/>
      <c r="M90" s="210"/>
      <c r="N90" s="210"/>
      <c r="O90" s="210"/>
      <c r="P90" s="210"/>
      <c r="Q90" s="210"/>
      <c r="R90" s="210"/>
    </row>
    <row r="91" spans="1:18">
      <c r="A91" s="210"/>
      <c r="B91" s="210"/>
      <c r="C91" s="210"/>
      <c r="D91" s="210"/>
      <c r="E91" s="210"/>
      <c r="F91" s="210"/>
      <c r="G91" s="210"/>
      <c r="H91" s="210"/>
      <c r="I91" s="210"/>
      <c r="J91" s="210"/>
      <c r="L91" s="210"/>
      <c r="M91" s="210"/>
      <c r="N91" s="210"/>
      <c r="O91" s="210"/>
      <c r="P91" s="210"/>
      <c r="Q91" s="210"/>
      <c r="R91" s="210"/>
    </row>
    <row r="92" spans="1:18">
      <c r="A92" s="210"/>
      <c r="B92" s="210"/>
      <c r="C92" s="210"/>
      <c r="D92" s="210"/>
      <c r="E92" s="210"/>
      <c r="F92" s="210"/>
      <c r="G92" s="210"/>
      <c r="H92" s="210"/>
      <c r="I92" s="210"/>
      <c r="J92" s="210"/>
      <c r="L92" s="210"/>
      <c r="M92" s="210"/>
      <c r="N92" s="210"/>
      <c r="O92" s="210"/>
      <c r="P92" s="210"/>
      <c r="Q92" s="210"/>
      <c r="R92" s="210"/>
    </row>
    <row r="93" spans="1:18">
      <c r="A93" s="210"/>
      <c r="B93" s="210"/>
      <c r="C93" s="210"/>
      <c r="D93" s="210"/>
      <c r="E93" s="210"/>
      <c r="F93" s="210"/>
      <c r="G93" s="210"/>
      <c r="H93" s="210"/>
      <c r="I93" s="210"/>
      <c r="J93" s="210"/>
      <c r="L93" s="210"/>
      <c r="M93" s="210"/>
      <c r="N93" s="210"/>
      <c r="O93" s="210"/>
      <c r="P93" s="210"/>
      <c r="Q93" s="210"/>
      <c r="R93" s="210"/>
    </row>
    <row r="94" spans="1:18">
      <c r="A94" s="210"/>
      <c r="B94" s="210"/>
      <c r="C94" s="210"/>
      <c r="D94" s="210"/>
      <c r="E94" s="210"/>
      <c r="F94" s="210"/>
      <c r="G94" s="210"/>
      <c r="H94" s="210"/>
      <c r="I94" s="210"/>
      <c r="J94" s="210"/>
      <c r="L94" s="210"/>
      <c r="M94" s="210"/>
      <c r="N94" s="210"/>
      <c r="O94" s="210"/>
      <c r="P94" s="210"/>
      <c r="Q94" s="210"/>
      <c r="R94" s="210"/>
    </row>
    <row r="95" spans="1:18">
      <c r="A95" s="210"/>
      <c r="B95" s="210"/>
      <c r="C95" s="210"/>
      <c r="D95" s="210"/>
      <c r="E95" s="210"/>
      <c r="F95" s="210"/>
      <c r="G95" s="210"/>
      <c r="H95" s="210"/>
      <c r="I95" s="210"/>
      <c r="J95" s="210"/>
      <c r="L95" s="210"/>
      <c r="M95" s="210"/>
      <c r="N95" s="210"/>
      <c r="O95" s="210"/>
      <c r="P95" s="210"/>
      <c r="Q95" s="210"/>
      <c r="R95" s="210"/>
    </row>
    <row r="96" spans="1:18">
      <c r="A96" s="210"/>
      <c r="B96" s="210"/>
      <c r="C96" s="210"/>
      <c r="D96" s="210"/>
      <c r="E96" s="210"/>
      <c r="F96" s="210"/>
      <c r="G96" s="210"/>
      <c r="H96" s="210"/>
      <c r="I96" s="210"/>
      <c r="J96" s="210"/>
      <c r="L96" s="210"/>
      <c r="M96" s="210"/>
      <c r="N96" s="210"/>
      <c r="O96" s="210"/>
      <c r="P96" s="210"/>
      <c r="Q96" s="210"/>
      <c r="R96" s="210"/>
    </row>
    <row r="97" spans="1:18">
      <c r="A97" s="210"/>
      <c r="B97" s="210"/>
      <c r="C97" s="210"/>
      <c r="D97" s="210"/>
      <c r="E97" s="210"/>
      <c r="F97" s="210"/>
      <c r="G97" s="210"/>
      <c r="H97" s="210"/>
      <c r="I97" s="210"/>
      <c r="J97" s="210"/>
      <c r="L97" s="210"/>
      <c r="M97" s="210"/>
      <c r="N97" s="210"/>
      <c r="O97" s="210"/>
      <c r="P97" s="210"/>
      <c r="Q97" s="210"/>
      <c r="R97" s="210"/>
    </row>
    <row r="98" spans="1:18">
      <c r="A98" s="210"/>
      <c r="B98" s="210"/>
      <c r="C98" s="210"/>
      <c r="D98" s="210"/>
      <c r="E98" s="210"/>
      <c r="F98" s="210"/>
      <c r="G98" s="210"/>
      <c r="H98" s="210"/>
      <c r="I98" s="210"/>
      <c r="J98" s="210"/>
      <c r="L98" s="210"/>
      <c r="M98" s="210"/>
      <c r="N98" s="210"/>
      <c r="O98" s="210"/>
      <c r="P98" s="210"/>
      <c r="Q98" s="210"/>
      <c r="R98" s="210"/>
    </row>
    <row r="99" spans="1:18">
      <c r="A99" s="210"/>
      <c r="B99" s="210"/>
      <c r="C99" s="210"/>
      <c r="D99" s="210"/>
      <c r="E99" s="210"/>
      <c r="F99" s="210"/>
      <c r="G99" s="210"/>
      <c r="H99" s="210"/>
      <c r="I99" s="210"/>
      <c r="J99" s="210"/>
      <c r="L99" s="210"/>
      <c r="M99" s="210"/>
      <c r="N99" s="210"/>
      <c r="O99" s="210"/>
      <c r="P99" s="210"/>
      <c r="Q99" s="210"/>
      <c r="R99" s="210"/>
    </row>
    <row r="100" spans="1:18">
      <c r="A100" s="210"/>
      <c r="B100" s="210"/>
      <c r="C100" s="210"/>
      <c r="D100" s="210"/>
      <c r="E100" s="210"/>
      <c r="F100" s="210"/>
      <c r="G100" s="210"/>
      <c r="H100" s="210"/>
      <c r="I100" s="210"/>
      <c r="J100" s="210"/>
      <c r="L100" s="210"/>
      <c r="M100" s="210"/>
      <c r="N100" s="210"/>
      <c r="O100" s="210"/>
      <c r="P100" s="210"/>
      <c r="Q100" s="210"/>
      <c r="R100" s="210"/>
    </row>
    <row r="101" spans="1:18">
      <c r="A101" s="210"/>
      <c r="B101" s="210"/>
      <c r="C101" s="210"/>
      <c r="D101" s="210"/>
      <c r="E101" s="210"/>
      <c r="F101" s="210"/>
      <c r="G101" s="210"/>
      <c r="H101" s="210"/>
      <c r="I101" s="210"/>
      <c r="J101" s="210"/>
      <c r="L101" s="210"/>
      <c r="M101" s="210"/>
      <c r="N101" s="210"/>
      <c r="O101" s="210"/>
      <c r="P101" s="210"/>
      <c r="Q101" s="210"/>
      <c r="R101" s="210"/>
    </row>
    <row r="102" spans="1:18">
      <c r="A102" s="210"/>
      <c r="B102" s="210"/>
      <c r="C102" s="210"/>
      <c r="D102" s="210"/>
      <c r="E102" s="210"/>
      <c r="F102" s="210"/>
      <c r="G102" s="210"/>
      <c r="H102" s="210"/>
      <c r="I102" s="210"/>
      <c r="J102" s="210"/>
      <c r="L102" s="210"/>
      <c r="M102" s="210"/>
      <c r="N102" s="210"/>
      <c r="O102" s="210"/>
      <c r="P102" s="210"/>
      <c r="Q102" s="210"/>
      <c r="R102" s="210"/>
    </row>
    <row r="103" spans="1:18">
      <c r="A103" s="210"/>
      <c r="B103" s="210"/>
      <c r="C103" s="210"/>
      <c r="D103" s="210"/>
      <c r="E103" s="210"/>
      <c r="F103" s="210"/>
      <c r="G103" s="210"/>
      <c r="H103" s="210"/>
      <c r="I103" s="210"/>
      <c r="J103" s="210"/>
      <c r="L103" s="210"/>
      <c r="M103" s="210"/>
      <c r="N103" s="210"/>
      <c r="O103" s="210"/>
      <c r="P103" s="210"/>
      <c r="Q103" s="210"/>
      <c r="R103" s="210"/>
    </row>
    <row r="104" spans="1:18">
      <c r="A104" s="210"/>
      <c r="B104" s="210"/>
      <c r="C104" s="210"/>
      <c r="D104" s="210"/>
      <c r="E104" s="210"/>
      <c r="F104" s="210"/>
      <c r="G104" s="210"/>
      <c r="H104" s="210"/>
      <c r="I104" s="210"/>
      <c r="J104" s="210"/>
      <c r="L104" s="210"/>
      <c r="M104" s="210"/>
      <c r="N104" s="210"/>
      <c r="O104" s="210"/>
      <c r="P104" s="210"/>
      <c r="Q104" s="210"/>
      <c r="R104" s="210"/>
    </row>
    <row r="105" spans="1:18">
      <c r="A105" s="210"/>
      <c r="B105" s="210"/>
      <c r="C105" s="210"/>
      <c r="D105" s="210"/>
      <c r="E105" s="210"/>
      <c r="F105" s="210"/>
      <c r="G105" s="210"/>
      <c r="H105" s="210"/>
      <c r="I105" s="210"/>
      <c r="J105" s="210"/>
      <c r="L105" s="210"/>
      <c r="M105" s="210"/>
      <c r="N105" s="210"/>
      <c r="O105" s="210"/>
      <c r="P105" s="210"/>
      <c r="Q105" s="210"/>
      <c r="R105" s="210"/>
    </row>
    <row r="106" spans="1:18">
      <c r="A106" s="210"/>
      <c r="B106" s="210"/>
      <c r="C106" s="210"/>
      <c r="D106" s="210"/>
      <c r="E106" s="210"/>
      <c r="F106" s="210"/>
      <c r="G106" s="210"/>
      <c r="H106" s="210"/>
      <c r="I106" s="210"/>
      <c r="J106" s="210"/>
      <c r="L106" s="210"/>
      <c r="M106" s="210"/>
      <c r="N106" s="210"/>
      <c r="O106" s="210"/>
      <c r="P106" s="210"/>
      <c r="Q106" s="210"/>
      <c r="R106" s="210"/>
    </row>
    <row r="107" spans="1:18">
      <c r="A107" s="210"/>
      <c r="B107" s="210"/>
      <c r="C107" s="210"/>
      <c r="D107" s="210"/>
      <c r="E107" s="210"/>
      <c r="F107" s="210"/>
      <c r="G107" s="210"/>
      <c r="H107" s="210"/>
      <c r="I107" s="210"/>
      <c r="J107" s="210"/>
      <c r="L107" s="210"/>
      <c r="M107" s="210"/>
      <c r="N107" s="210"/>
      <c r="O107" s="210"/>
      <c r="P107" s="210"/>
      <c r="Q107" s="210"/>
      <c r="R107" s="210"/>
    </row>
    <row r="108" spans="1:18">
      <c r="A108" s="210"/>
      <c r="B108" s="210"/>
      <c r="C108" s="210"/>
      <c r="D108" s="210"/>
      <c r="E108" s="210"/>
      <c r="F108" s="210"/>
      <c r="G108" s="210"/>
      <c r="H108" s="210"/>
      <c r="I108" s="210"/>
      <c r="J108" s="210"/>
      <c r="L108" s="210"/>
      <c r="M108" s="210"/>
      <c r="N108" s="210"/>
      <c r="O108" s="210"/>
      <c r="P108" s="210"/>
      <c r="Q108" s="210"/>
      <c r="R108" s="210"/>
    </row>
    <row r="109" spans="1:18">
      <c r="A109" s="210"/>
      <c r="B109" s="210"/>
      <c r="C109" s="210"/>
      <c r="D109" s="210"/>
      <c r="E109" s="210"/>
      <c r="F109" s="210"/>
      <c r="G109" s="210"/>
      <c r="H109" s="210"/>
      <c r="I109" s="210"/>
      <c r="J109" s="210"/>
      <c r="L109" s="210"/>
      <c r="M109" s="210"/>
      <c r="N109" s="210"/>
      <c r="O109" s="210"/>
      <c r="P109" s="210"/>
      <c r="Q109" s="210"/>
      <c r="R109" s="210"/>
    </row>
    <row r="110" spans="1:18">
      <c r="A110" s="210"/>
      <c r="B110" s="210"/>
      <c r="C110" s="210"/>
      <c r="D110" s="210"/>
      <c r="E110" s="210"/>
      <c r="F110" s="210"/>
      <c r="G110" s="210"/>
      <c r="H110" s="210"/>
      <c r="I110" s="210"/>
      <c r="J110" s="210"/>
      <c r="L110" s="210"/>
      <c r="M110" s="210"/>
      <c r="N110" s="210"/>
      <c r="O110" s="210"/>
      <c r="P110" s="210"/>
      <c r="Q110" s="210"/>
      <c r="R110" s="210"/>
    </row>
    <row r="111" spans="1:18">
      <c r="A111" s="210"/>
      <c r="B111" s="210"/>
      <c r="C111" s="210"/>
      <c r="D111" s="210"/>
      <c r="E111" s="210"/>
      <c r="F111" s="210"/>
      <c r="G111" s="210"/>
      <c r="H111" s="210"/>
      <c r="I111" s="210"/>
      <c r="J111" s="210"/>
      <c r="L111" s="210"/>
      <c r="M111" s="210"/>
      <c r="N111" s="210"/>
      <c r="O111" s="210"/>
      <c r="P111" s="210"/>
      <c r="Q111" s="210"/>
      <c r="R111" s="210"/>
    </row>
    <row r="112" spans="1:18">
      <c r="A112" s="210"/>
      <c r="B112" s="210"/>
      <c r="C112" s="210"/>
      <c r="D112" s="210"/>
      <c r="E112" s="210"/>
      <c r="F112" s="210"/>
      <c r="G112" s="210"/>
      <c r="H112" s="210"/>
      <c r="I112" s="210"/>
      <c r="J112" s="210"/>
      <c r="L112" s="210"/>
      <c r="M112" s="210"/>
      <c r="N112" s="210"/>
      <c r="O112" s="210"/>
      <c r="P112" s="210"/>
      <c r="Q112" s="210"/>
      <c r="R112" s="210"/>
    </row>
    <row r="113" spans="1:18">
      <c r="A113" s="210"/>
      <c r="B113" s="210"/>
      <c r="C113" s="210"/>
      <c r="D113" s="210"/>
      <c r="E113" s="210"/>
      <c r="F113" s="210"/>
      <c r="G113" s="210"/>
      <c r="H113" s="210"/>
      <c r="I113" s="210"/>
      <c r="J113" s="210"/>
      <c r="L113" s="210"/>
      <c r="M113" s="210"/>
      <c r="N113" s="210"/>
      <c r="O113" s="210"/>
      <c r="P113" s="210"/>
      <c r="Q113" s="210"/>
      <c r="R113" s="210"/>
    </row>
    <row r="114" spans="1:18">
      <c r="A114" s="210"/>
      <c r="B114" s="210"/>
      <c r="C114" s="210"/>
      <c r="D114" s="210"/>
      <c r="E114" s="210"/>
      <c r="F114" s="210"/>
      <c r="G114" s="210"/>
      <c r="H114" s="210"/>
      <c r="I114" s="210"/>
      <c r="J114" s="210"/>
      <c r="L114" s="210"/>
      <c r="M114" s="210"/>
      <c r="N114" s="210"/>
      <c r="O114" s="210"/>
      <c r="P114" s="210"/>
      <c r="Q114" s="210"/>
      <c r="R114" s="210"/>
    </row>
    <row r="115" spans="1:18">
      <c r="A115" s="210"/>
      <c r="B115" s="210"/>
      <c r="C115" s="210"/>
      <c r="D115" s="210"/>
      <c r="E115" s="210"/>
      <c r="F115" s="210"/>
      <c r="G115" s="210"/>
      <c r="H115" s="210"/>
      <c r="I115" s="210"/>
      <c r="J115" s="210"/>
      <c r="L115" s="210"/>
      <c r="M115" s="210"/>
      <c r="N115" s="210"/>
      <c r="O115" s="210"/>
      <c r="P115" s="210"/>
      <c r="Q115" s="210"/>
      <c r="R115" s="210"/>
    </row>
    <row r="116" spans="1:18">
      <c r="A116" s="210"/>
      <c r="B116" s="210"/>
      <c r="C116" s="210"/>
      <c r="D116" s="210"/>
      <c r="E116" s="210"/>
      <c r="F116" s="210"/>
      <c r="G116" s="210"/>
      <c r="H116" s="210"/>
      <c r="I116" s="210"/>
      <c r="J116" s="210"/>
      <c r="L116" s="210"/>
      <c r="M116" s="210"/>
      <c r="N116" s="210"/>
      <c r="O116" s="210"/>
      <c r="P116" s="210"/>
      <c r="Q116" s="210"/>
      <c r="R116" s="210"/>
    </row>
    <row r="117" spans="1:18">
      <c r="A117" s="210"/>
      <c r="B117" s="210"/>
      <c r="C117" s="210"/>
      <c r="D117" s="210"/>
      <c r="E117" s="210"/>
      <c r="F117" s="210"/>
      <c r="G117" s="210"/>
      <c r="H117" s="210"/>
      <c r="I117" s="210"/>
      <c r="J117" s="210"/>
      <c r="L117" s="210"/>
      <c r="M117" s="210"/>
      <c r="N117" s="210"/>
      <c r="O117" s="210"/>
      <c r="P117" s="210"/>
      <c r="Q117" s="210"/>
      <c r="R117" s="210"/>
    </row>
    <row r="118" spans="1:18">
      <c r="A118" s="210"/>
      <c r="B118" s="210"/>
      <c r="C118" s="210"/>
      <c r="D118" s="210"/>
      <c r="E118" s="210"/>
      <c r="F118" s="210"/>
      <c r="G118" s="210"/>
      <c r="H118" s="210"/>
      <c r="I118" s="210"/>
      <c r="J118" s="210"/>
      <c r="L118" s="210"/>
      <c r="M118" s="210"/>
      <c r="N118" s="210"/>
      <c r="O118" s="210"/>
      <c r="P118" s="210"/>
      <c r="Q118" s="210"/>
      <c r="R118" s="210"/>
    </row>
    <row r="119" spans="1:18">
      <c r="A119" s="210"/>
      <c r="B119" s="210"/>
      <c r="C119" s="210"/>
      <c r="D119" s="210"/>
      <c r="E119" s="210"/>
      <c r="F119" s="210"/>
      <c r="G119" s="210"/>
      <c r="H119" s="210"/>
      <c r="I119" s="210"/>
      <c r="J119" s="210"/>
      <c r="L119" s="210"/>
      <c r="M119" s="210"/>
      <c r="N119" s="210"/>
      <c r="O119" s="210"/>
      <c r="P119" s="210"/>
      <c r="Q119" s="210"/>
      <c r="R119" s="210"/>
    </row>
    <row r="120" spans="1:18">
      <c r="A120" s="210"/>
      <c r="B120" s="210"/>
      <c r="C120" s="210"/>
      <c r="D120" s="210"/>
      <c r="E120" s="210"/>
      <c r="F120" s="210"/>
      <c r="G120" s="210"/>
      <c r="H120" s="210"/>
      <c r="I120" s="210"/>
      <c r="J120" s="210"/>
      <c r="L120" s="210"/>
      <c r="M120" s="210"/>
      <c r="N120" s="210"/>
      <c r="O120" s="210"/>
      <c r="P120" s="210"/>
      <c r="Q120" s="210"/>
      <c r="R120" s="210"/>
    </row>
    <row r="121" spans="1:18">
      <c r="A121" s="210"/>
      <c r="B121" s="210"/>
      <c r="C121" s="210"/>
      <c r="D121" s="210"/>
      <c r="E121" s="210"/>
      <c r="F121" s="210"/>
      <c r="G121" s="210"/>
      <c r="H121" s="210"/>
      <c r="I121" s="210"/>
      <c r="J121" s="210"/>
      <c r="L121" s="210"/>
      <c r="M121" s="210"/>
      <c r="N121" s="210"/>
      <c r="O121" s="210"/>
      <c r="P121" s="210"/>
      <c r="Q121" s="210"/>
      <c r="R121" s="210"/>
    </row>
    <row r="122" spans="1:18">
      <c r="A122" s="210"/>
      <c r="B122" s="210"/>
      <c r="C122" s="210"/>
      <c r="D122" s="210"/>
      <c r="E122" s="210"/>
      <c r="F122" s="210"/>
      <c r="G122" s="210"/>
      <c r="H122" s="210"/>
      <c r="I122" s="210"/>
      <c r="J122" s="210"/>
      <c r="L122" s="210"/>
      <c r="M122" s="210"/>
      <c r="N122" s="210"/>
      <c r="O122" s="210"/>
      <c r="P122" s="210"/>
      <c r="Q122" s="210"/>
      <c r="R122" s="210"/>
    </row>
    <row r="123" spans="1:18">
      <c r="A123" s="210"/>
      <c r="B123" s="210"/>
      <c r="C123" s="210"/>
      <c r="D123" s="210"/>
      <c r="E123" s="210"/>
      <c r="F123" s="210"/>
      <c r="G123" s="210"/>
      <c r="H123" s="210"/>
      <c r="I123" s="210"/>
      <c r="J123" s="210"/>
      <c r="L123" s="210"/>
      <c r="M123" s="210"/>
      <c r="N123" s="210"/>
      <c r="O123" s="210"/>
      <c r="P123" s="210"/>
      <c r="Q123" s="210"/>
      <c r="R123" s="210"/>
    </row>
    <row r="124" spans="1:18">
      <c r="A124" s="210"/>
      <c r="B124" s="210"/>
      <c r="C124" s="210"/>
      <c r="D124" s="210"/>
      <c r="E124" s="210"/>
      <c r="F124" s="210"/>
      <c r="G124" s="210"/>
      <c r="H124" s="210"/>
      <c r="I124" s="210"/>
      <c r="J124" s="210"/>
      <c r="L124" s="210"/>
      <c r="M124" s="210"/>
      <c r="N124" s="210"/>
      <c r="O124" s="210"/>
      <c r="P124" s="210"/>
      <c r="Q124" s="210"/>
      <c r="R124" s="210"/>
    </row>
    <row r="125" spans="1:18">
      <c r="A125" s="210"/>
      <c r="B125" s="210"/>
      <c r="C125" s="210"/>
      <c r="D125" s="210"/>
      <c r="E125" s="210"/>
      <c r="F125" s="210"/>
      <c r="G125" s="210"/>
      <c r="H125" s="210"/>
      <c r="I125" s="210"/>
      <c r="J125" s="210"/>
      <c r="L125" s="210"/>
      <c r="M125" s="210"/>
      <c r="N125" s="210"/>
      <c r="O125" s="210"/>
      <c r="P125" s="210"/>
      <c r="Q125" s="210"/>
      <c r="R125" s="210"/>
    </row>
    <row r="126" spans="1:18">
      <c r="A126" s="210"/>
      <c r="B126" s="210"/>
      <c r="C126" s="210"/>
      <c r="D126" s="210"/>
      <c r="E126" s="210"/>
      <c r="F126" s="210"/>
      <c r="G126" s="210"/>
      <c r="H126" s="210"/>
      <c r="I126" s="210"/>
      <c r="J126" s="210"/>
      <c r="L126" s="210"/>
      <c r="M126" s="210"/>
      <c r="N126" s="210"/>
      <c r="O126" s="210"/>
      <c r="P126" s="210"/>
      <c r="Q126" s="210"/>
      <c r="R126" s="210"/>
    </row>
    <row r="127" spans="1:18">
      <c r="A127" s="210"/>
      <c r="B127" s="210"/>
      <c r="C127" s="210"/>
      <c r="D127" s="210"/>
      <c r="E127" s="210"/>
      <c r="F127" s="210"/>
      <c r="G127" s="210"/>
      <c r="H127" s="210"/>
      <c r="I127" s="210"/>
      <c r="J127" s="210"/>
      <c r="L127" s="210"/>
      <c r="M127" s="210"/>
      <c r="N127" s="210"/>
      <c r="O127" s="210"/>
      <c r="P127" s="210"/>
      <c r="Q127" s="210"/>
      <c r="R127" s="210"/>
    </row>
    <row r="128" spans="1:18">
      <c r="A128" s="210"/>
      <c r="B128" s="210"/>
      <c r="C128" s="210"/>
      <c r="D128" s="210"/>
      <c r="E128" s="210"/>
      <c r="F128" s="210"/>
      <c r="G128" s="210"/>
      <c r="H128" s="210"/>
      <c r="I128" s="210"/>
      <c r="J128" s="210"/>
      <c r="L128" s="210"/>
      <c r="M128" s="210"/>
      <c r="N128" s="210"/>
      <c r="O128" s="210"/>
      <c r="P128" s="210"/>
      <c r="Q128" s="210"/>
      <c r="R128" s="210"/>
    </row>
    <row r="129" spans="1:18">
      <c r="A129" s="210"/>
      <c r="B129" s="210"/>
      <c r="C129" s="210"/>
      <c r="D129" s="210"/>
      <c r="E129" s="210"/>
      <c r="F129" s="210"/>
      <c r="G129" s="210"/>
      <c r="H129" s="210"/>
      <c r="I129" s="210"/>
      <c r="J129" s="210"/>
      <c r="L129" s="210"/>
      <c r="M129" s="210"/>
      <c r="N129" s="210"/>
      <c r="O129" s="210"/>
      <c r="P129" s="210"/>
      <c r="Q129" s="210"/>
      <c r="R129" s="210"/>
    </row>
    <row r="130" spans="1:18">
      <c r="A130" s="210"/>
      <c r="B130" s="210"/>
      <c r="C130" s="210"/>
      <c r="D130" s="210"/>
      <c r="E130" s="210"/>
      <c r="F130" s="210"/>
      <c r="G130" s="210"/>
      <c r="H130" s="210"/>
      <c r="I130" s="210"/>
      <c r="J130" s="210"/>
      <c r="L130" s="210"/>
      <c r="M130" s="210"/>
      <c r="N130" s="210"/>
      <c r="O130" s="210"/>
      <c r="P130" s="210"/>
      <c r="Q130" s="210"/>
      <c r="R130" s="210"/>
    </row>
    <row r="131" spans="1:18">
      <c r="A131" s="210"/>
      <c r="B131" s="210"/>
      <c r="C131" s="210"/>
      <c r="D131" s="210"/>
      <c r="E131" s="210"/>
      <c r="F131" s="210"/>
      <c r="G131" s="210"/>
      <c r="H131" s="210"/>
      <c r="I131" s="210"/>
      <c r="J131" s="210"/>
      <c r="L131" s="210"/>
      <c r="M131" s="210"/>
      <c r="N131" s="210"/>
      <c r="O131" s="210"/>
      <c r="P131" s="210"/>
      <c r="Q131" s="210"/>
      <c r="R131" s="210"/>
    </row>
    <row r="132" spans="1:18">
      <c r="A132" s="210"/>
      <c r="B132" s="210"/>
      <c r="C132" s="210"/>
      <c r="D132" s="210"/>
      <c r="E132" s="210"/>
      <c r="F132" s="210"/>
      <c r="G132" s="210"/>
      <c r="H132" s="210"/>
      <c r="I132" s="210"/>
      <c r="J132" s="210"/>
      <c r="L132" s="210"/>
      <c r="M132" s="210"/>
      <c r="N132" s="210"/>
      <c r="O132" s="210"/>
      <c r="P132" s="210"/>
      <c r="Q132" s="210"/>
      <c r="R132" s="210"/>
    </row>
    <row r="133" spans="1:18">
      <c r="A133" s="210"/>
      <c r="B133" s="210"/>
      <c r="C133" s="210"/>
      <c r="D133" s="210"/>
      <c r="E133" s="210"/>
      <c r="F133" s="210"/>
      <c r="G133" s="210"/>
      <c r="H133" s="210"/>
      <c r="I133" s="210"/>
      <c r="J133" s="210"/>
      <c r="L133" s="210"/>
      <c r="M133" s="210"/>
      <c r="N133" s="210"/>
      <c r="O133" s="210"/>
      <c r="P133" s="210"/>
      <c r="Q133" s="210"/>
      <c r="R133" s="210"/>
    </row>
    <row r="134" spans="1:18">
      <c r="A134" s="210"/>
      <c r="B134" s="210"/>
      <c r="C134" s="210"/>
      <c r="D134" s="210"/>
      <c r="E134" s="210"/>
      <c r="F134" s="210"/>
      <c r="G134" s="210"/>
      <c r="H134" s="210"/>
      <c r="I134" s="210"/>
      <c r="J134" s="210"/>
      <c r="L134" s="210"/>
      <c r="M134" s="210"/>
      <c r="N134" s="210"/>
      <c r="O134" s="210"/>
      <c r="P134" s="210"/>
      <c r="Q134" s="210"/>
      <c r="R134" s="210"/>
    </row>
    <row r="135" spans="1:18">
      <c r="A135" s="210"/>
      <c r="B135" s="210"/>
      <c r="C135" s="210"/>
      <c r="D135" s="210"/>
      <c r="E135" s="210"/>
      <c r="F135" s="210"/>
      <c r="G135" s="210"/>
      <c r="H135" s="210"/>
      <c r="I135" s="210"/>
      <c r="J135" s="210"/>
      <c r="L135" s="210"/>
      <c r="M135" s="210"/>
      <c r="N135" s="210"/>
      <c r="O135" s="210"/>
      <c r="P135" s="210"/>
      <c r="Q135" s="210"/>
      <c r="R135" s="210"/>
    </row>
    <row r="136" spans="1:18">
      <c r="A136" s="210"/>
      <c r="B136" s="210"/>
      <c r="C136" s="210"/>
      <c r="D136" s="210"/>
      <c r="E136" s="210"/>
      <c r="F136" s="210"/>
      <c r="G136" s="210"/>
      <c r="H136" s="210"/>
      <c r="I136" s="210"/>
      <c r="J136" s="210"/>
      <c r="L136" s="210"/>
      <c r="M136" s="210"/>
      <c r="N136" s="210"/>
      <c r="O136" s="210"/>
      <c r="P136" s="210"/>
      <c r="Q136" s="210"/>
      <c r="R136" s="210"/>
    </row>
    <row r="137" spans="1:18">
      <c r="A137" s="210"/>
      <c r="B137" s="210"/>
      <c r="C137" s="210"/>
      <c r="D137" s="210"/>
      <c r="E137" s="210"/>
      <c r="F137" s="210"/>
      <c r="G137" s="210"/>
      <c r="H137" s="210"/>
      <c r="I137" s="210"/>
      <c r="J137" s="210"/>
      <c r="L137" s="210"/>
      <c r="M137" s="210"/>
      <c r="N137" s="210"/>
      <c r="O137" s="210"/>
      <c r="P137" s="210"/>
      <c r="Q137" s="210"/>
      <c r="R137" s="210"/>
    </row>
    <row r="138" spans="1:18">
      <c r="A138" s="210"/>
      <c r="B138" s="210"/>
      <c r="C138" s="210"/>
      <c r="D138" s="210"/>
      <c r="E138" s="210"/>
      <c r="F138" s="210"/>
      <c r="G138" s="210"/>
      <c r="H138" s="210"/>
      <c r="I138" s="210"/>
      <c r="J138" s="210"/>
      <c r="L138" s="210"/>
      <c r="M138" s="210"/>
      <c r="N138" s="210"/>
      <c r="O138" s="210"/>
      <c r="P138" s="210"/>
      <c r="Q138" s="210"/>
      <c r="R138" s="210"/>
    </row>
    <row r="139" spans="1:18">
      <c r="A139" s="210"/>
      <c r="B139" s="210"/>
      <c r="C139" s="210"/>
      <c r="D139" s="210"/>
      <c r="E139" s="210"/>
      <c r="F139" s="210"/>
      <c r="G139" s="210"/>
      <c r="H139" s="210"/>
      <c r="I139" s="210"/>
      <c r="J139" s="210"/>
      <c r="L139" s="210"/>
      <c r="M139" s="210"/>
      <c r="N139" s="210"/>
      <c r="O139" s="210"/>
      <c r="P139" s="210"/>
      <c r="Q139" s="210"/>
      <c r="R139" s="210"/>
    </row>
    <row r="140" spans="1:18">
      <c r="A140" s="210"/>
      <c r="B140" s="210"/>
      <c r="C140" s="210"/>
      <c r="D140" s="210"/>
      <c r="E140" s="210"/>
      <c r="F140" s="210"/>
      <c r="G140" s="210"/>
      <c r="H140" s="210"/>
      <c r="I140" s="210"/>
      <c r="J140" s="210"/>
      <c r="L140" s="210"/>
      <c r="M140" s="210"/>
      <c r="N140" s="210"/>
      <c r="O140" s="210"/>
      <c r="P140" s="210"/>
      <c r="Q140" s="210"/>
      <c r="R140" s="210"/>
    </row>
    <row r="141" spans="1:18">
      <c r="A141" s="210"/>
      <c r="B141" s="210"/>
      <c r="C141" s="210"/>
      <c r="D141" s="210"/>
      <c r="E141" s="210"/>
      <c r="F141" s="210"/>
      <c r="G141" s="210"/>
      <c r="H141" s="210"/>
      <c r="I141" s="210"/>
      <c r="J141" s="210"/>
      <c r="L141" s="210"/>
      <c r="M141" s="210"/>
      <c r="N141" s="210"/>
      <c r="O141" s="210"/>
      <c r="P141" s="210"/>
      <c r="Q141" s="210"/>
      <c r="R141" s="210"/>
    </row>
    <row r="142" spans="1:18">
      <c r="A142" s="210"/>
      <c r="B142" s="210"/>
      <c r="C142" s="210"/>
      <c r="D142" s="210"/>
      <c r="E142" s="210"/>
      <c r="F142" s="210"/>
      <c r="G142" s="210"/>
      <c r="H142" s="210"/>
      <c r="I142" s="210"/>
      <c r="J142" s="210"/>
      <c r="L142" s="210"/>
      <c r="M142" s="210"/>
      <c r="N142" s="210"/>
      <c r="O142" s="210"/>
      <c r="P142" s="210"/>
      <c r="Q142" s="210"/>
      <c r="R142" s="210"/>
    </row>
    <row r="143" spans="1:18">
      <c r="A143" s="210"/>
      <c r="B143" s="210"/>
      <c r="C143" s="210"/>
      <c r="D143" s="210"/>
      <c r="E143" s="210"/>
      <c r="F143" s="210"/>
      <c r="G143" s="210"/>
      <c r="H143" s="210"/>
      <c r="I143" s="210"/>
      <c r="J143" s="210"/>
      <c r="L143" s="210"/>
      <c r="M143" s="210"/>
      <c r="N143" s="210"/>
      <c r="O143" s="210"/>
      <c r="P143" s="210"/>
      <c r="Q143" s="210"/>
      <c r="R143" s="210"/>
    </row>
    <row r="144" spans="1:18">
      <c r="A144" s="210"/>
      <c r="B144" s="210"/>
      <c r="C144" s="210"/>
      <c r="D144" s="210"/>
      <c r="E144" s="210"/>
      <c r="F144" s="210"/>
      <c r="G144" s="210"/>
      <c r="H144" s="210"/>
      <c r="I144" s="210"/>
      <c r="J144" s="210"/>
      <c r="L144" s="210"/>
      <c r="M144" s="210"/>
      <c r="N144" s="210"/>
      <c r="O144" s="210"/>
      <c r="P144" s="210"/>
      <c r="Q144" s="210"/>
      <c r="R144" s="210"/>
    </row>
    <row r="145" spans="1:18">
      <c r="A145" s="210"/>
      <c r="B145" s="210"/>
      <c r="C145" s="210"/>
      <c r="D145" s="210"/>
      <c r="E145" s="210"/>
      <c r="F145" s="210"/>
      <c r="G145" s="210"/>
      <c r="H145" s="210"/>
      <c r="I145" s="210"/>
      <c r="J145" s="210"/>
      <c r="L145" s="210"/>
      <c r="M145" s="210"/>
      <c r="N145" s="210"/>
      <c r="O145" s="210"/>
      <c r="P145" s="210"/>
      <c r="Q145" s="210"/>
      <c r="R145" s="210"/>
    </row>
    <row r="146" spans="1:18">
      <c r="A146" s="210"/>
      <c r="B146" s="210"/>
      <c r="C146" s="210"/>
      <c r="D146" s="210"/>
      <c r="E146" s="210"/>
      <c r="F146" s="210"/>
      <c r="G146" s="210"/>
      <c r="H146" s="210"/>
      <c r="I146" s="210"/>
      <c r="J146" s="210"/>
      <c r="L146" s="210"/>
      <c r="M146" s="210"/>
      <c r="N146" s="210"/>
      <c r="O146" s="210"/>
      <c r="P146" s="210"/>
      <c r="Q146" s="210"/>
      <c r="R146" s="210"/>
    </row>
    <row r="147" spans="1:18">
      <c r="A147" s="210"/>
      <c r="B147" s="210"/>
      <c r="C147" s="210"/>
      <c r="D147" s="210"/>
      <c r="E147" s="210"/>
      <c r="F147" s="210"/>
      <c r="G147" s="210"/>
      <c r="H147" s="210"/>
      <c r="I147" s="210"/>
      <c r="J147" s="210"/>
      <c r="L147" s="210"/>
      <c r="M147" s="210"/>
      <c r="N147" s="210"/>
      <c r="O147" s="210"/>
      <c r="P147" s="210"/>
      <c r="Q147" s="210"/>
      <c r="R147" s="210"/>
    </row>
    <row r="148" spans="1:18">
      <c r="A148" s="210"/>
      <c r="B148" s="210"/>
      <c r="C148" s="210"/>
      <c r="D148" s="210"/>
      <c r="E148" s="210"/>
      <c r="F148" s="210"/>
      <c r="G148" s="210"/>
      <c r="H148" s="210"/>
      <c r="I148" s="210"/>
      <c r="J148" s="210"/>
      <c r="L148" s="210"/>
      <c r="M148" s="210"/>
      <c r="N148" s="210"/>
      <c r="O148" s="210"/>
      <c r="P148" s="210"/>
      <c r="Q148" s="210"/>
      <c r="R148" s="210"/>
    </row>
    <row r="149" spans="1:18">
      <c r="A149" s="210"/>
      <c r="B149" s="210"/>
      <c r="C149" s="210"/>
      <c r="D149" s="210"/>
      <c r="E149" s="210"/>
      <c r="F149" s="210"/>
      <c r="G149" s="210"/>
      <c r="H149" s="210"/>
      <c r="I149" s="210"/>
      <c r="J149" s="210"/>
      <c r="L149" s="210"/>
      <c r="M149" s="210"/>
      <c r="N149" s="210"/>
      <c r="O149" s="210"/>
      <c r="P149" s="210"/>
      <c r="Q149" s="210"/>
      <c r="R149" s="210"/>
    </row>
    <row r="150" spans="1:18">
      <c r="A150" s="210"/>
      <c r="B150" s="210"/>
      <c r="C150" s="210"/>
      <c r="D150" s="210"/>
      <c r="E150" s="210"/>
      <c r="F150" s="210"/>
      <c r="G150" s="210"/>
      <c r="H150" s="210"/>
      <c r="I150" s="210"/>
      <c r="J150" s="210"/>
      <c r="L150" s="210"/>
      <c r="M150" s="210"/>
      <c r="N150" s="210"/>
      <c r="O150" s="210"/>
      <c r="P150" s="210"/>
      <c r="Q150" s="210"/>
      <c r="R150" s="210"/>
    </row>
    <row r="151" spans="1:18">
      <c r="A151" s="210"/>
      <c r="B151" s="210"/>
      <c r="C151" s="210"/>
      <c r="D151" s="210"/>
      <c r="E151" s="210"/>
      <c r="F151" s="210"/>
      <c r="G151" s="210"/>
      <c r="H151" s="210"/>
      <c r="I151" s="210"/>
      <c r="J151" s="210"/>
      <c r="L151" s="210"/>
      <c r="M151" s="210"/>
      <c r="N151" s="210"/>
      <c r="O151" s="210"/>
      <c r="P151" s="210"/>
      <c r="Q151" s="210"/>
      <c r="R151" s="210"/>
    </row>
    <row r="152" spans="1:18">
      <c r="A152" s="210"/>
      <c r="B152" s="210"/>
      <c r="C152" s="210"/>
      <c r="D152" s="210"/>
      <c r="E152" s="210"/>
      <c r="F152" s="210"/>
      <c r="G152" s="210"/>
      <c r="H152" s="210"/>
      <c r="I152" s="210"/>
      <c r="J152" s="210"/>
      <c r="L152" s="210"/>
      <c r="M152" s="210"/>
      <c r="N152" s="210"/>
      <c r="O152" s="210"/>
      <c r="P152" s="210"/>
      <c r="Q152" s="210"/>
      <c r="R152" s="210"/>
    </row>
    <row r="153" spans="1:18">
      <c r="A153" s="210"/>
      <c r="B153" s="210"/>
      <c r="C153" s="210"/>
      <c r="D153" s="210"/>
      <c r="E153" s="210"/>
      <c r="F153" s="210"/>
      <c r="G153" s="210"/>
      <c r="H153" s="210"/>
      <c r="I153" s="210"/>
      <c r="J153" s="210"/>
      <c r="L153" s="210"/>
      <c r="M153" s="210"/>
      <c r="N153" s="210"/>
      <c r="O153" s="210"/>
      <c r="P153" s="210"/>
      <c r="Q153" s="210"/>
      <c r="R153" s="210"/>
    </row>
    <row r="154" spans="1:18">
      <c r="A154" s="210"/>
      <c r="B154" s="210"/>
      <c r="C154" s="210"/>
      <c r="D154" s="210"/>
      <c r="E154" s="210"/>
      <c r="F154" s="210"/>
      <c r="G154" s="210"/>
      <c r="H154" s="210"/>
      <c r="I154" s="210"/>
      <c r="J154" s="210"/>
      <c r="L154" s="210"/>
      <c r="M154" s="210"/>
      <c r="N154" s="210"/>
      <c r="O154" s="210"/>
      <c r="P154" s="210"/>
      <c r="Q154" s="210"/>
      <c r="R154" s="210"/>
    </row>
    <row r="155" spans="1:18">
      <c r="A155" s="210"/>
      <c r="B155" s="210"/>
      <c r="C155" s="210"/>
      <c r="D155" s="210"/>
      <c r="E155" s="210"/>
      <c r="F155" s="210"/>
      <c r="G155" s="210"/>
      <c r="H155" s="210"/>
      <c r="I155" s="210"/>
      <c r="J155" s="210"/>
      <c r="L155" s="210"/>
      <c r="M155" s="210"/>
      <c r="N155" s="210"/>
      <c r="O155" s="210"/>
      <c r="P155" s="210"/>
      <c r="Q155" s="210"/>
      <c r="R155" s="210"/>
    </row>
    <row r="156" spans="1:18">
      <c r="A156" s="210"/>
      <c r="B156" s="210"/>
      <c r="C156" s="210"/>
      <c r="D156" s="210"/>
      <c r="E156" s="210"/>
      <c r="F156" s="210"/>
      <c r="G156" s="210"/>
      <c r="H156" s="210"/>
      <c r="I156" s="210"/>
      <c r="J156" s="210"/>
      <c r="L156" s="210"/>
      <c r="M156" s="210"/>
      <c r="N156" s="210"/>
      <c r="O156" s="210"/>
      <c r="P156" s="210"/>
      <c r="Q156" s="210"/>
      <c r="R156" s="210"/>
    </row>
    <row r="157" spans="1:18">
      <c r="A157" s="210"/>
      <c r="B157" s="210"/>
      <c r="C157" s="210"/>
      <c r="D157" s="210"/>
      <c r="E157" s="210"/>
      <c r="F157" s="210"/>
      <c r="G157" s="210"/>
      <c r="H157" s="210"/>
      <c r="I157" s="210"/>
      <c r="J157" s="210"/>
      <c r="L157" s="210"/>
      <c r="M157" s="210"/>
      <c r="N157" s="210"/>
      <c r="O157" s="210"/>
      <c r="P157" s="210"/>
      <c r="Q157" s="210"/>
      <c r="R157" s="210"/>
    </row>
    <row r="158" spans="1:18">
      <c r="A158" s="210"/>
      <c r="B158" s="210"/>
      <c r="C158" s="210"/>
      <c r="D158" s="210"/>
      <c r="E158" s="210"/>
      <c r="F158" s="210"/>
      <c r="G158" s="210"/>
      <c r="H158" s="210"/>
      <c r="I158" s="210"/>
      <c r="J158" s="210"/>
      <c r="L158" s="210"/>
      <c r="M158" s="210"/>
      <c r="N158" s="210"/>
      <c r="O158" s="210"/>
      <c r="P158" s="210"/>
      <c r="Q158" s="210"/>
      <c r="R158" s="210"/>
    </row>
    <row r="159" spans="1:18">
      <c r="A159" s="210"/>
      <c r="B159" s="210"/>
      <c r="C159" s="210"/>
      <c r="D159" s="210"/>
      <c r="E159" s="210"/>
      <c r="F159" s="210"/>
      <c r="G159" s="210"/>
      <c r="H159" s="210"/>
      <c r="I159" s="210"/>
      <c r="J159" s="210"/>
      <c r="L159" s="210"/>
      <c r="M159" s="210"/>
      <c r="N159" s="210"/>
      <c r="O159" s="210"/>
      <c r="P159" s="210"/>
      <c r="Q159" s="210"/>
      <c r="R159" s="210"/>
    </row>
    <row r="160" spans="1:18">
      <c r="A160" s="210"/>
      <c r="B160" s="210"/>
      <c r="C160" s="210"/>
      <c r="D160" s="210"/>
      <c r="E160" s="210"/>
      <c r="F160" s="210"/>
      <c r="G160" s="210"/>
      <c r="H160" s="210"/>
      <c r="I160" s="210"/>
      <c r="J160" s="210"/>
      <c r="L160" s="210"/>
      <c r="M160" s="210"/>
      <c r="N160" s="210"/>
      <c r="O160" s="210"/>
      <c r="P160" s="210"/>
      <c r="Q160" s="210"/>
      <c r="R160" s="210"/>
    </row>
    <row r="161" spans="1:18">
      <c r="A161" s="210"/>
      <c r="B161" s="210"/>
      <c r="C161" s="210"/>
      <c r="D161" s="210"/>
      <c r="E161" s="210"/>
      <c r="F161" s="210"/>
      <c r="G161" s="210"/>
      <c r="H161" s="210"/>
      <c r="I161" s="210"/>
      <c r="J161" s="210"/>
      <c r="L161" s="210"/>
      <c r="M161" s="210"/>
      <c r="N161" s="210"/>
      <c r="O161" s="210"/>
      <c r="P161" s="210"/>
      <c r="Q161" s="210"/>
      <c r="R161" s="210"/>
    </row>
    <row r="162" spans="1:18">
      <c r="A162" s="210"/>
      <c r="B162" s="210"/>
      <c r="C162" s="210"/>
      <c r="D162" s="210"/>
      <c r="E162" s="210"/>
      <c r="F162" s="210"/>
      <c r="G162" s="210"/>
      <c r="H162" s="210"/>
      <c r="I162" s="210"/>
      <c r="J162" s="210"/>
      <c r="L162" s="210"/>
      <c r="M162" s="210"/>
      <c r="N162" s="210"/>
      <c r="O162" s="210"/>
      <c r="P162" s="210"/>
      <c r="Q162" s="210"/>
      <c r="R162" s="210"/>
    </row>
    <row r="163" spans="1:18">
      <c r="A163" s="210"/>
      <c r="B163" s="210"/>
      <c r="C163" s="210"/>
      <c r="D163" s="210"/>
      <c r="E163" s="210"/>
      <c r="F163" s="210"/>
      <c r="G163" s="210"/>
      <c r="H163" s="210"/>
      <c r="I163" s="210"/>
      <c r="J163" s="210"/>
      <c r="L163" s="210"/>
      <c r="M163" s="210"/>
      <c r="N163" s="210"/>
      <c r="O163" s="210"/>
      <c r="P163" s="210"/>
      <c r="Q163" s="210"/>
      <c r="R163" s="210"/>
    </row>
    <row r="164" spans="1:18">
      <c r="A164" s="210"/>
      <c r="B164" s="210"/>
      <c r="C164" s="210"/>
      <c r="D164" s="210"/>
      <c r="E164" s="210"/>
      <c r="F164" s="210"/>
      <c r="G164" s="210"/>
      <c r="H164" s="210"/>
      <c r="I164" s="210"/>
      <c r="J164" s="210"/>
      <c r="L164" s="210"/>
      <c r="M164" s="210"/>
      <c r="N164" s="210"/>
      <c r="O164" s="210"/>
      <c r="P164" s="210"/>
      <c r="Q164" s="210"/>
      <c r="R164" s="210"/>
    </row>
    <row r="165" spans="1:18">
      <c r="A165" s="210"/>
      <c r="B165" s="210"/>
      <c r="C165" s="210"/>
      <c r="D165" s="210"/>
      <c r="E165" s="210"/>
      <c r="F165" s="210"/>
      <c r="G165" s="210"/>
      <c r="H165" s="210"/>
      <c r="I165" s="210"/>
      <c r="J165" s="210"/>
      <c r="L165" s="210"/>
      <c r="M165" s="210"/>
      <c r="N165" s="210"/>
      <c r="O165" s="210"/>
      <c r="P165" s="210"/>
      <c r="Q165" s="210"/>
      <c r="R165" s="210"/>
    </row>
    <row r="166" spans="1:18">
      <c r="A166" s="210"/>
      <c r="B166" s="210"/>
      <c r="C166" s="210"/>
      <c r="D166" s="210"/>
      <c r="E166" s="210"/>
      <c r="F166" s="210"/>
      <c r="G166" s="210"/>
      <c r="H166" s="210"/>
      <c r="I166" s="210"/>
      <c r="J166" s="210"/>
      <c r="L166" s="210"/>
      <c r="M166" s="210"/>
      <c r="N166" s="210"/>
      <c r="O166" s="210"/>
      <c r="P166" s="210"/>
      <c r="Q166" s="210"/>
      <c r="R166" s="210"/>
    </row>
    <row r="167" spans="1:18">
      <c r="A167" s="210"/>
      <c r="B167" s="210"/>
      <c r="C167" s="210"/>
      <c r="D167" s="210"/>
      <c r="E167" s="210"/>
      <c r="F167" s="210"/>
      <c r="G167" s="210"/>
      <c r="H167" s="210"/>
      <c r="I167" s="210"/>
      <c r="J167" s="210"/>
      <c r="L167" s="210"/>
      <c r="M167" s="210"/>
      <c r="N167" s="210"/>
      <c r="O167" s="210"/>
      <c r="P167" s="210"/>
      <c r="Q167" s="210"/>
      <c r="R167" s="210"/>
    </row>
    <row r="168" spans="1:18">
      <c r="A168" s="210"/>
      <c r="B168" s="210"/>
      <c r="C168" s="210"/>
      <c r="D168" s="210"/>
      <c r="E168" s="210"/>
      <c r="F168" s="210"/>
      <c r="G168" s="210"/>
      <c r="H168" s="210"/>
      <c r="I168" s="210"/>
      <c r="J168" s="210"/>
      <c r="L168" s="210"/>
      <c r="M168" s="210"/>
      <c r="N168" s="210"/>
      <c r="O168" s="210"/>
      <c r="P168" s="210"/>
      <c r="Q168" s="210"/>
      <c r="R168" s="210"/>
    </row>
    <row r="169" spans="1:18">
      <c r="A169" s="210"/>
      <c r="B169" s="210"/>
      <c r="C169" s="210"/>
      <c r="D169" s="210"/>
      <c r="E169" s="210"/>
      <c r="F169" s="210"/>
      <c r="G169" s="210"/>
      <c r="H169" s="210"/>
      <c r="I169" s="210"/>
      <c r="J169" s="210"/>
      <c r="L169" s="210"/>
      <c r="M169" s="210"/>
      <c r="N169" s="210"/>
      <c r="O169" s="210"/>
      <c r="P169" s="210"/>
      <c r="Q169" s="210"/>
      <c r="R169" s="210"/>
    </row>
    <row r="170" spans="1:18">
      <c r="A170" s="210"/>
      <c r="B170" s="210"/>
      <c r="C170" s="210"/>
      <c r="D170" s="210"/>
      <c r="E170" s="210"/>
      <c r="F170" s="210"/>
      <c r="G170" s="210"/>
      <c r="H170" s="210"/>
      <c r="I170" s="210"/>
      <c r="J170" s="210"/>
      <c r="L170" s="210"/>
      <c r="M170" s="210"/>
      <c r="N170" s="210"/>
      <c r="O170" s="210"/>
      <c r="P170" s="210"/>
      <c r="Q170" s="210"/>
      <c r="R170" s="210"/>
    </row>
    <row r="171" spans="1:18">
      <c r="A171" s="210"/>
      <c r="B171" s="210"/>
      <c r="C171" s="210"/>
      <c r="D171" s="210"/>
      <c r="E171" s="210"/>
      <c r="F171" s="210"/>
      <c r="G171" s="210"/>
      <c r="H171" s="210"/>
      <c r="I171" s="210"/>
      <c r="J171" s="210"/>
      <c r="L171" s="210"/>
      <c r="M171" s="210"/>
      <c r="N171" s="210"/>
      <c r="O171" s="210"/>
      <c r="P171" s="210"/>
      <c r="Q171" s="210"/>
      <c r="R171" s="210"/>
    </row>
    <row r="172" spans="1:18">
      <c r="A172" s="210"/>
      <c r="B172" s="210"/>
      <c r="C172" s="210"/>
      <c r="D172" s="210"/>
      <c r="E172" s="210"/>
      <c r="F172" s="210"/>
      <c r="G172" s="210"/>
      <c r="H172" s="210"/>
      <c r="I172" s="210"/>
      <c r="J172" s="210"/>
      <c r="L172" s="210"/>
      <c r="M172" s="210"/>
      <c r="N172" s="210"/>
      <c r="O172" s="210"/>
      <c r="P172" s="210"/>
      <c r="Q172" s="210"/>
      <c r="R172" s="210"/>
    </row>
    <row r="173" spans="1:18">
      <c r="A173" s="210"/>
      <c r="B173" s="210"/>
      <c r="C173" s="210"/>
      <c r="D173" s="210"/>
      <c r="E173" s="210"/>
      <c r="F173" s="210"/>
      <c r="G173" s="210"/>
      <c r="H173" s="210"/>
      <c r="I173" s="210"/>
      <c r="J173" s="210"/>
      <c r="L173" s="210"/>
      <c r="M173" s="210"/>
      <c r="N173" s="210"/>
      <c r="O173" s="210"/>
      <c r="P173" s="210"/>
      <c r="Q173" s="210"/>
      <c r="R173" s="210"/>
    </row>
    <row r="174" spans="1:18">
      <c r="A174" s="210"/>
      <c r="B174" s="210"/>
      <c r="C174" s="210"/>
      <c r="D174" s="210"/>
      <c r="E174" s="210"/>
      <c r="F174" s="210"/>
      <c r="G174" s="210"/>
      <c r="H174" s="210"/>
      <c r="I174" s="210"/>
      <c r="J174" s="210"/>
      <c r="L174" s="210"/>
      <c r="M174" s="210"/>
      <c r="N174" s="210"/>
      <c r="O174" s="210"/>
      <c r="P174" s="210"/>
      <c r="Q174" s="210"/>
      <c r="R174" s="210"/>
    </row>
    <row r="175" spans="1:18">
      <c r="A175" s="210"/>
      <c r="B175" s="210"/>
      <c r="C175" s="210"/>
      <c r="D175" s="210"/>
      <c r="E175" s="210"/>
      <c r="F175" s="210"/>
      <c r="G175" s="210"/>
      <c r="H175" s="210"/>
      <c r="I175" s="210"/>
      <c r="J175" s="210"/>
      <c r="L175" s="210"/>
      <c r="M175" s="210"/>
      <c r="N175" s="210"/>
      <c r="O175" s="210"/>
      <c r="P175" s="210"/>
      <c r="Q175" s="210"/>
      <c r="R175" s="210"/>
    </row>
    <row r="176" spans="1:18">
      <c r="A176" s="210"/>
      <c r="B176" s="210"/>
      <c r="C176" s="210"/>
      <c r="D176" s="210"/>
      <c r="E176" s="210"/>
      <c r="F176" s="210"/>
      <c r="G176" s="210"/>
      <c r="H176" s="210"/>
      <c r="I176" s="210"/>
      <c r="J176" s="210"/>
      <c r="L176" s="210"/>
      <c r="M176" s="210"/>
      <c r="N176" s="210"/>
      <c r="O176" s="210"/>
      <c r="P176" s="210"/>
      <c r="Q176" s="210"/>
      <c r="R176" s="210"/>
    </row>
    <row r="177" spans="1:18">
      <c r="A177" s="210"/>
      <c r="B177" s="210"/>
      <c r="C177" s="210"/>
      <c r="D177" s="210"/>
      <c r="E177" s="210"/>
      <c r="F177" s="210"/>
      <c r="G177" s="210"/>
      <c r="H177" s="210"/>
      <c r="I177" s="210"/>
      <c r="J177" s="210"/>
      <c r="L177" s="210"/>
      <c r="M177" s="210"/>
      <c r="N177" s="210"/>
      <c r="O177" s="210"/>
      <c r="P177" s="210"/>
      <c r="Q177" s="210"/>
      <c r="R177" s="210"/>
    </row>
    <row r="178" spans="1:18">
      <c r="A178" s="210"/>
      <c r="B178" s="210"/>
      <c r="C178" s="210"/>
      <c r="D178" s="210"/>
      <c r="E178" s="210"/>
      <c r="F178" s="210"/>
      <c r="G178" s="210"/>
      <c r="H178" s="210"/>
      <c r="I178" s="210"/>
      <c r="J178" s="210"/>
      <c r="L178" s="210"/>
      <c r="M178" s="210"/>
      <c r="N178" s="210"/>
      <c r="O178" s="210"/>
      <c r="P178" s="210"/>
      <c r="Q178" s="210"/>
      <c r="R178" s="210"/>
    </row>
    <row r="179" spans="1:18">
      <c r="A179" s="210"/>
      <c r="B179" s="210"/>
      <c r="C179" s="210"/>
      <c r="D179" s="210"/>
      <c r="E179" s="210"/>
      <c r="F179" s="210"/>
      <c r="G179" s="210"/>
      <c r="H179" s="210"/>
      <c r="I179" s="210"/>
      <c r="J179" s="210"/>
      <c r="L179" s="210"/>
      <c r="M179" s="210"/>
      <c r="N179" s="210"/>
      <c r="O179" s="210"/>
      <c r="P179" s="210"/>
      <c r="Q179" s="210"/>
      <c r="R179" s="210"/>
    </row>
    <row r="180" spans="1:18">
      <c r="A180" s="210"/>
      <c r="B180" s="210"/>
      <c r="C180" s="210"/>
      <c r="D180" s="210"/>
      <c r="E180" s="210"/>
      <c r="F180" s="210"/>
      <c r="G180" s="210"/>
      <c r="H180" s="210"/>
      <c r="I180" s="210"/>
      <c r="J180" s="210"/>
      <c r="L180" s="210"/>
      <c r="M180" s="210"/>
      <c r="N180" s="210"/>
      <c r="O180" s="210"/>
      <c r="P180" s="210"/>
      <c r="Q180" s="210"/>
      <c r="R180" s="210"/>
    </row>
    <row r="181" spans="1:18">
      <c r="A181" s="210"/>
      <c r="B181" s="210"/>
      <c r="C181" s="210"/>
      <c r="D181" s="210"/>
      <c r="E181" s="210"/>
      <c r="F181" s="210"/>
      <c r="G181" s="210"/>
      <c r="H181" s="210"/>
      <c r="I181" s="210"/>
      <c r="J181" s="210"/>
      <c r="L181" s="210"/>
      <c r="M181" s="210"/>
      <c r="N181" s="210"/>
      <c r="O181" s="210"/>
      <c r="P181" s="210"/>
      <c r="Q181" s="210"/>
      <c r="R181" s="210"/>
    </row>
    <row r="182" spans="1:18">
      <c r="A182" s="210"/>
      <c r="B182" s="210"/>
      <c r="C182" s="210"/>
      <c r="D182" s="210"/>
      <c r="E182" s="210"/>
      <c r="F182" s="210"/>
      <c r="G182" s="210"/>
      <c r="H182" s="210"/>
      <c r="I182" s="210"/>
      <c r="J182" s="210"/>
      <c r="L182" s="210"/>
      <c r="M182" s="210"/>
      <c r="N182" s="210"/>
      <c r="O182" s="210"/>
      <c r="P182" s="210"/>
      <c r="Q182" s="210"/>
      <c r="R182" s="210"/>
    </row>
    <row r="183" spans="1:18">
      <c r="A183" s="210"/>
      <c r="B183" s="210"/>
      <c r="C183" s="210"/>
      <c r="D183" s="210"/>
      <c r="E183" s="210"/>
      <c r="F183" s="210"/>
      <c r="G183" s="210"/>
      <c r="H183" s="210"/>
      <c r="I183" s="210"/>
      <c r="J183" s="210"/>
      <c r="L183" s="210"/>
      <c r="M183" s="210"/>
      <c r="N183" s="210"/>
      <c r="O183" s="210"/>
      <c r="P183" s="210"/>
      <c r="Q183" s="210"/>
      <c r="R183" s="210"/>
    </row>
    <row r="184" spans="1:18">
      <c r="A184" s="210"/>
      <c r="B184" s="210"/>
      <c r="C184" s="210"/>
      <c r="D184" s="210"/>
      <c r="E184" s="210"/>
      <c r="F184" s="210"/>
      <c r="G184" s="210"/>
      <c r="H184" s="210"/>
      <c r="I184" s="210"/>
      <c r="J184" s="210"/>
      <c r="L184" s="210"/>
      <c r="M184" s="210"/>
      <c r="N184" s="210"/>
      <c r="O184" s="210"/>
      <c r="P184" s="210"/>
      <c r="Q184" s="210"/>
      <c r="R184" s="210"/>
    </row>
    <row r="185" spans="1:18">
      <c r="A185" s="210"/>
      <c r="B185" s="210"/>
      <c r="C185" s="210"/>
      <c r="D185" s="210"/>
      <c r="E185" s="210"/>
      <c r="F185" s="210"/>
      <c r="G185" s="210"/>
      <c r="H185" s="210"/>
      <c r="I185" s="210"/>
      <c r="J185" s="210"/>
      <c r="L185" s="210"/>
      <c r="M185" s="210"/>
      <c r="N185" s="210"/>
      <c r="O185" s="210"/>
      <c r="P185" s="210"/>
      <c r="Q185" s="210"/>
      <c r="R185" s="210"/>
    </row>
    <row r="186" spans="1:18">
      <c r="A186" s="210"/>
      <c r="B186" s="210"/>
      <c r="C186" s="210"/>
      <c r="D186" s="210"/>
      <c r="E186" s="210"/>
      <c r="F186" s="210"/>
      <c r="G186" s="210"/>
      <c r="H186" s="210"/>
      <c r="I186" s="210"/>
      <c r="J186" s="210"/>
      <c r="L186" s="210"/>
      <c r="M186" s="210"/>
      <c r="N186" s="210"/>
      <c r="O186" s="210"/>
      <c r="P186" s="210"/>
      <c r="Q186" s="210"/>
      <c r="R186" s="210"/>
    </row>
    <row r="187" spans="1:18">
      <c r="A187" s="210"/>
      <c r="B187" s="210"/>
      <c r="C187" s="210"/>
      <c r="D187" s="210"/>
      <c r="E187" s="210"/>
      <c r="F187" s="210"/>
      <c r="G187" s="210"/>
      <c r="H187" s="210"/>
      <c r="I187" s="210"/>
      <c r="J187" s="210"/>
      <c r="L187" s="210"/>
      <c r="M187" s="210"/>
      <c r="N187" s="210"/>
      <c r="O187" s="210"/>
      <c r="P187" s="210"/>
      <c r="Q187" s="210"/>
      <c r="R187" s="210"/>
    </row>
    <row r="188" spans="1:18">
      <c r="A188" s="210"/>
      <c r="B188" s="210"/>
      <c r="C188" s="210"/>
      <c r="D188" s="210"/>
      <c r="E188" s="210"/>
      <c r="F188" s="210"/>
      <c r="G188" s="210"/>
      <c r="H188" s="210"/>
      <c r="I188" s="210"/>
      <c r="J188" s="210"/>
      <c r="L188" s="210"/>
      <c r="M188" s="210"/>
      <c r="N188" s="210"/>
      <c r="O188" s="210"/>
      <c r="P188" s="210"/>
      <c r="Q188" s="210"/>
      <c r="R188" s="210"/>
    </row>
    <row r="189" spans="1:18">
      <c r="A189" s="210"/>
      <c r="B189" s="210"/>
      <c r="C189" s="210"/>
      <c r="D189" s="210"/>
      <c r="E189" s="210"/>
      <c r="F189" s="210"/>
      <c r="G189" s="210"/>
      <c r="H189" s="210"/>
      <c r="I189" s="210"/>
      <c r="J189" s="210"/>
      <c r="L189" s="210"/>
      <c r="M189" s="210"/>
      <c r="N189" s="210"/>
      <c r="O189" s="210"/>
      <c r="P189" s="210"/>
      <c r="Q189" s="210"/>
      <c r="R189" s="210"/>
    </row>
    <row r="190" spans="1:18">
      <c r="A190" s="210"/>
      <c r="B190" s="210"/>
      <c r="C190" s="210"/>
      <c r="D190" s="210"/>
      <c r="E190" s="210"/>
      <c r="F190" s="210"/>
      <c r="G190" s="210"/>
      <c r="H190" s="210"/>
      <c r="I190" s="210"/>
      <c r="J190" s="210"/>
      <c r="L190" s="210"/>
      <c r="M190" s="210"/>
      <c r="N190" s="210"/>
      <c r="O190" s="210"/>
      <c r="P190" s="210"/>
      <c r="Q190" s="210"/>
      <c r="R190" s="210"/>
    </row>
    <row r="191" spans="1:18">
      <c r="A191" s="210"/>
      <c r="B191" s="210"/>
      <c r="C191" s="210"/>
      <c r="D191" s="210"/>
      <c r="E191" s="210"/>
      <c r="F191" s="210"/>
      <c r="G191" s="210"/>
      <c r="H191" s="210"/>
      <c r="I191" s="210"/>
      <c r="J191" s="210"/>
      <c r="L191" s="210"/>
      <c r="M191" s="210"/>
      <c r="N191" s="210"/>
      <c r="O191" s="210"/>
      <c r="P191" s="210"/>
      <c r="Q191" s="210"/>
      <c r="R191" s="210"/>
    </row>
    <row r="192" spans="1:18">
      <c r="A192" s="210"/>
      <c r="B192" s="210"/>
      <c r="C192" s="210"/>
      <c r="D192" s="210"/>
      <c r="E192" s="210"/>
      <c r="F192" s="210"/>
      <c r="G192" s="210"/>
      <c r="H192" s="210"/>
      <c r="I192" s="210"/>
      <c r="J192" s="210"/>
      <c r="L192" s="210"/>
      <c r="M192" s="210"/>
      <c r="N192" s="210"/>
      <c r="O192" s="210"/>
      <c r="P192" s="210"/>
      <c r="Q192" s="210"/>
      <c r="R192" s="210"/>
    </row>
    <row r="193" spans="1:18">
      <c r="A193" s="210"/>
      <c r="B193" s="210"/>
      <c r="C193" s="210"/>
      <c r="D193" s="210"/>
      <c r="E193" s="210"/>
      <c r="F193" s="210"/>
      <c r="G193" s="210"/>
      <c r="H193" s="210"/>
      <c r="I193" s="210"/>
      <c r="J193" s="210"/>
      <c r="L193" s="210"/>
      <c r="M193" s="210"/>
      <c r="N193" s="210"/>
      <c r="O193" s="210"/>
      <c r="P193" s="210"/>
      <c r="Q193" s="210"/>
      <c r="R193" s="210"/>
    </row>
    <row r="194" spans="1:18">
      <c r="A194" s="210"/>
      <c r="B194" s="210"/>
      <c r="C194" s="210"/>
      <c r="D194" s="210"/>
      <c r="E194" s="210"/>
      <c r="F194" s="210"/>
      <c r="G194" s="210"/>
      <c r="H194" s="210"/>
      <c r="I194" s="210"/>
      <c r="J194" s="210"/>
      <c r="L194" s="210"/>
      <c r="M194" s="210"/>
      <c r="N194" s="210"/>
      <c r="O194" s="210"/>
      <c r="P194" s="210"/>
      <c r="Q194" s="210"/>
      <c r="R194" s="210"/>
    </row>
    <row r="195" spans="1:18">
      <c r="A195" s="210"/>
      <c r="B195" s="210"/>
      <c r="C195" s="210"/>
      <c r="D195" s="210"/>
      <c r="E195" s="210"/>
      <c r="F195" s="210"/>
      <c r="G195" s="210"/>
      <c r="H195" s="210"/>
      <c r="I195" s="210"/>
      <c r="J195" s="210"/>
      <c r="L195" s="210"/>
      <c r="M195" s="210"/>
      <c r="N195" s="210"/>
      <c r="O195" s="210"/>
      <c r="P195" s="210"/>
      <c r="Q195" s="210"/>
      <c r="R195" s="210"/>
    </row>
    <row r="196" spans="1:18">
      <c r="A196" s="210"/>
      <c r="B196" s="210"/>
      <c r="C196" s="210"/>
      <c r="D196" s="210"/>
      <c r="E196" s="210"/>
      <c r="F196" s="210"/>
      <c r="G196" s="210"/>
      <c r="H196" s="210"/>
      <c r="I196" s="210"/>
      <c r="J196" s="210"/>
      <c r="L196" s="210"/>
      <c r="M196" s="210"/>
      <c r="N196" s="210"/>
      <c r="O196" s="210"/>
      <c r="P196" s="210"/>
      <c r="Q196" s="210"/>
      <c r="R196" s="210"/>
    </row>
    <row r="197" spans="1:18">
      <c r="A197" s="210"/>
      <c r="B197" s="210"/>
      <c r="C197" s="210"/>
      <c r="D197" s="210"/>
      <c r="E197" s="210"/>
      <c r="F197" s="210"/>
      <c r="G197" s="210"/>
      <c r="H197" s="210"/>
      <c r="I197" s="210"/>
      <c r="J197" s="210"/>
      <c r="L197" s="210"/>
      <c r="M197" s="210"/>
      <c r="N197" s="210"/>
      <c r="O197" s="210"/>
      <c r="P197" s="210"/>
      <c r="Q197" s="210"/>
      <c r="R197" s="210"/>
    </row>
    <row r="198" spans="1:18">
      <c r="A198" s="210"/>
      <c r="B198" s="210"/>
      <c r="C198" s="210"/>
      <c r="D198" s="210"/>
      <c r="E198" s="210"/>
      <c r="F198" s="210"/>
      <c r="G198" s="210"/>
      <c r="H198" s="210"/>
      <c r="I198" s="210"/>
      <c r="J198" s="210"/>
      <c r="L198" s="210"/>
      <c r="M198" s="210"/>
      <c r="N198" s="210"/>
      <c r="O198" s="210"/>
      <c r="P198" s="210"/>
      <c r="Q198" s="210"/>
      <c r="R198" s="210"/>
    </row>
    <row r="199" spans="1:18">
      <c r="A199" s="210"/>
      <c r="B199" s="210"/>
      <c r="C199" s="210"/>
      <c r="D199" s="210"/>
      <c r="E199" s="210"/>
      <c r="F199" s="210"/>
      <c r="G199" s="210"/>
      <c r="H199" s="210"/>
      <c r="I199" s="210"/>
      <c r="J199" s="210"/>
      <c r="L199" s="210"/>
      <c r="M199" s="210"/>
      <c r="N199" s="210"/>
      <c r="O199" s="210"/>
      <c r="P199" s="210"/>
      <c r="Q199" s="210"/>
      <c r="R199" s="210"/>
    </row>
    <row r="200" spans="1:18">
      <c r="A200" s="210"/>
      <c r="B200" s="210"/>
      <c r="C200" s="210"/>
      <c r="D200" s="210"/>
      <c r="E200" s="210"/>
      <c r="F200" s="210"/>
      <c r="G200" s="210"/>
      <c r="H200" s="210"/>
      <c r="I200" s="210"/>
      <c r="J200" s="210"/>
      <c r="L200" s="210"/>
      <c r="M200" s="210"/>
      <c r="N200" s="210"/>
      <c r="O200" s="210"/>
      <c r="P200" s="210"/>
      <c r="Q200" s="210"/>
      <c r="R200" s="210"/>
    </row>
    <row r="201" spans="1:18">
      <c r="A201" s="210"/>
      <c r="B201" s="210"/>
      <c r="C201" s="210"/>
      <c r="D201" s="210"/>
      <c r="E201" s="210"/>
      <c r="F201" s="210"/>
      <c r="G201" s="210"/>
      <c r="H201" s="210"/>
      <c r="I201" s="210"/>
      <c r="J201" s="210"/>
      <c r="L201" s="210"/>
      <c r="M201" s="210"/>
      <c r="N201" s="210"/>
      <c r="O201" s="210"/>
      <c r="P201" s="210"/>
      <c r="Q201" s="210"/>
      <c r="R201" s="210"/>
    </row>
    <row r="202" spans="1:18">
      <c r="A202" s="210"/>
      <c r="B202" s="210"/>
      <c r="C202" s="210"/>
      <c r="D202" s="210"/>
      <c r="E202" s="210"/>
      <c r="F202" s="210"/>
      <c r="G202" s="210"/>
      <c r="H202" s="210"/>
      <c r="I202" s="210"/>
      <c r="J202" s="210"/>
      <c r="L202" s="210"/>
      <c r="M202" s="210"/>
      <c r="N202" s="210"/>
      <c r="O202" s="210"/>
      <c r="P202" s="210"/>
      <c r="Q202" s="210"/>
      <c r="R202" s="210"/>
    </row>
    <row r="203" spans="1:18">
      <c r="A203" s="210"/>
      <c r="B203" s="210"/>
      <c r="C203" s="210"/>
      <c r="D203" s="210"/>
      <c r="E203" s="210"/>
      <c r="F203" s="210"/>
      <c r="G203" s="210"/>
      <c r="H203" s="210"/>
      <c r="I203" s="210"/>
      <c r="J203" s="210"/>
      <c r="L203" s="210"/>
      <c r="M203" s="210"/>
      <c r="N203" s="210"/>
      <c r="O203" s="210"/>
      <c r="P203" s="210"/>
      <c r="Q203" s="210"/>
      <c r="R203" s="210"/>
    </row>
    <row r="204" spans="1:18">
      <c r="A204" s="210"/>
      <c r="B204" s="210"/>
      <c r="C204" s="210"/>
      <c r="D204" s="210"/>
      <c r="E204" s="210"/>
      <c r="F204" s="210"/>
      <c r="G204" s="210"/>
      <c r="H204" s="210"/>
      <c r="I204" s="210"/>
      <c r="J204" s="210"/>
      <c r="L204" s="210"/>
      <c r="M204" s="210"/>
      <c r="N204" s="210"/>
      <c r="O204" s="210"/>
      <c r="P204" s="210"/>
      <c r="Q204" s="210"/>
      <c r="R204" s="210"/>
    </row>
    <row r="205" spans="1:18">
      <c r="A205" s="210"/>
      <c r="B205" s="210"/>
      <c r="C205" s="210"/>
      <c r="D205" s="210"/>
      <c r="E205" s="210"/>
      <c r="F205" s="210"/>
      <c r="G205" s="210"/>
      <c r="H205" s="210"/>
      <c r="I205" s="210"/>
      <c r="J205" s="210"/>
      <c r="L205" s="210"/>
      <c r="M205" s="210"/>
      <c r="N205" s="210"/>
      <c r="O205" s="210"/>
      <c r="P205" s="210"/>
      <c r="Q205" s="210"/>
      <c r="R205" s="210"/>
    </row>
    <row r="206" spans="1:18">
      <c r="A206" s="210"/>
      <c r="B206" s="210"/>
      <c r="C206" s="210"/>
      <c r="D206" s="210"/>
      <c r="E206" s="210"/>
      <c r="F206" s="210"/>
      <c r="G206" s="210"/>
      <c r="H206" s="210"/>
      <c r="I206" s="210"/>
      <c r="J206" s="210"/>
      <c r="L206" s="210"/>
      <c r="M206" s="210"/>
      <c r="N206" s="210"/>
      <c r="O206" s="210"/>
      <c r="P206" s="210"/>
      <c r="Q206" s="210"/>
      <c r="R206" s="210"/>
    </row>
    <row r="207" spans="1:18">
      <c r="A207" s="210"/>
      <c r="B207" s="210"/>
      <c r="C207" s="210"/>
      <c r="D207" s="210"/>
      <c r="E207" s="210"/>
      <c r="F207" s="210"/>
      <c r="G207" s="210"/>
      <c r="H207" s="210"/>
      <c r="I207" s="210"/>
      <c r="J207" s="210"/>
      <c r="L207" s="210"/>
      <c r="M207" s="210"/>
      <c r="N207" s="210"/>
      <c r="O207" s="210"/>
      <c r="P207" s="210"/>
      <c r="Q207" s="210"/>
      <c r="R207" s="210"/>
    </row>
    <row r="208" spans="1:18">
      <c r="A208" s="210"/>
      <c r="B208" s="210"/>
      <c r="C208" s="210"/>
      <c r="D208" s="210"/>
      <c r="E208" s="210"/>
      <c r="F208" s="210"/>
      <c r="G208" s="210"/>
      <c r="H208" s="210"/>
      <c r="I208" s="210"/>
      <c r="J208" s="210"/>
      <c r="L208" s="210"/>
      <c r="M208" s="210"/>
      <c r="N208" s="210"/>
      <c r="O208" s="210"/>
      <c r="P208" s="210"/>
      <c r="Q208" s="210"/>
      <c r="R208" s="210"/>
    </row>
    <row r="209" spans="1:18">
      <c r="A209" s="210"/>
      <c r="B209" s="210"/>
      <c r="C209" s="210"/>
      <c r="D209" s="210"/>
      <c r="E209" s="210"/>
      <c r="F209" s="210"/>
      <c r="G209" s="210"/>
      <c r="H209" s="210"/>
      <c r="I209" s="210"/>
      <c r="J209" s="210"/>
      <c r="L209" s="210"/>
      <c r="M209" s="210"/>
      <c r="N209" s="210"/>
      <c r="O209" s="210"/>
      <c r="P209" s="210"/>
      <c r="Q209" s="210"/>
      <c r="R209" s="210"/>
    </row>
    <row r="210" spans="1:18">
      <c r="A210" s="210"/>
      <c r="B210" s="210"/>
      <c r="C210" s="210"/>
      <c r="D210" s="210"/>
      <c r="E210" s="210"/>
      <c r="F210" s="210"/>
      <c r="G210" s="210"/>
      <c r="H210" s="210"/>
      <c r="I210" s="210"/>
      <c r="J210" s="210"/>
      <c r="L210" s="210"/>
      <c r="M210" s="210"/>
      <c r="N210" s="210"/>
      <c r="O210" s="210"/>
      <c r="P210" s="210"/>
      <c r="Q210" s="210"/>
      <c r="R210" s="210"/>
    </row>
    <row r="211" spans="1:18">
      <c r="A211" s="210"/>
      <c r="B211" s="210"/>
      <c r="C211" s="210"/>
      <c r="D211" s="210"/>
      <c r="E211" s="210"/>
      <c r="F211" s="210"/>
      <c r="G211" s="210"/>
      <c r="H211" s="210"/>
      <c r="I211" s="210"/>
      <c r="J211" s="210"/>
      <c r="L211" s="210"/>
      <c r="M211" s="210"/>
      <c r="N211" s="210"/>
      <c r="O211" s="210"/>
      <c r="P211" s="210"/>
      <c r="Q211" s="210"/>
      <c r="R211" s="210"/>
    </row>
    <row r="212" spans="1:18">
      <c r="A212" s="210"/>
      <c r="B212" s="210"/>
      <c r="C212" s="210"/>
      <c r="D212" s="210"/>
      <c r="E212" s="210"/>
      <c r="F212" s="210"/>
      <c r="G212" s="210"/>
      <c r="H212" s="210"/>
      <c r="I212" s="210"/>
      <c r="J212" s="210"/>
      <c r="L212" s="210"/>
      <c r="M212" s="210"/>
      <c r="N212" s="210"/>
      <c r="O212" s="210"/>
      <c r="P212" s="210"/>
      <c r="Q212" s="210"/>
      <c r="R212" s="210"/>
    </row>
    <row r="213" spans="1:18">
      <c r="A213" s="210"/>
      <c r="B213" s="210"/>
      <c r="C213" s="210"/>
      <c r="D213" s="210"/>
      <c r="E213" s="210"/>
      <c r="F213" s="210"/>
      <c r="G213" s="210"/>
      <c r="H213" s="210"/>
      <c r="I213" s="210"/>
      <c r="J213" s="210"/>
      <c r="L213" s="210"/>
      <c r="M213" s="210"/>
      <c r="N213" s="210"/>
      <c r="O213" s="210"/>
      <c r="P213" s="210"/>
      <c r="Q213" s="210"/>
      <c r="R213" s="210"/>
    </row>
    <row r="214" spans="1:18">
      <c r="A214" s="210"/>
      <c r="B214" s="210"/>
      <c r="C214" s="210"/>
      <c r="D214" s="210"/>
      <c r="E214" s="210"/>
      <c r="F214" s="210"/>
      <c r="G214" s="210"/>
      <c r="H214" s="210"/>
      <c r="I214" s="210"/>
      <c r="J214" s="210"/>
      <c r="L214" s="210"/>
      <c r="M214" s="210"/>
      <c r="N214" s="210"/>
      <c r="O214" s="210"/>
      <c r="P214" s="210"/>
      <c r="Q214" s="210"/>
      <c r="R214" s="210"/>
    </row>
    <row r="215" spans="1:18">
      <c r="A215" s="210"/>
      <c r="B215" s="210"/>
      <c r="C215" s="210"/>
      <c r="D215" s="210"/>
      <c r="E215" s="210"/>
      <c r="F215" s="210"/>
      <c r="G215" s="210"/>
      <c r="H215" s="210"/>
      <c r="I215" s="210"/>
      <c r="J215" s="210"/>
      <c r="L215" s="210"/>
      <c r="M215" s="210"/>
      <c r="N215" s="210"/>
      <c r="O215" s="210"/>
      <c r="P215" s="210"/>
      <c r="Q215" s="210"/>
      <c r="R215" s="210"/>
    </row>
    <row r="216" spans="1:18">
      <c r="A216" s="210"/>
      <c r="B216" s="210"/>
      <c r="C216" s="210"/>
      <c r="D216" s="210"/>
      <c r="E216" s="210"/>
      <c r="F216" s="210"/>
      <c r="G216" s="210"/>
      <c r="H216" s="210"/>
      <c r="I216" s="210"/>
      <c r="J216" s="210"/>
      <c r="L216" s="210"/>
      <c r="M216" s="210"/>
      <c r="N216" s="210"/>
      <c r="O216" s="210"/>
      <c r="P216" s="210"/>
      <c r="Q216" s="210"/>
      <c r="R216" s="210"/>
    </row>
    <row r="217" spans="1:18">
      <c r="A217" s="210"/>
      <c r="B217" s="210"/>
      <c r="C217" s="210"/>
      <c r="D217" s="210"/>
      <c r="E217" s="210"/>
      <c r="F217" s="210"/>
      <c r="G217" s="210"/>
      <c r="H217" s="210"/>
      <c r="I217" s="210"/>
      <c r="J217" s="210"/>
      <c r="L217" s="210"/>
      <c r="M217" s="210"/>
      <c r="N217" s="210"/>
      <c r="O217" s="210"/>
      <c r="P217" s="210"/>
      <c r="Q217" s="210"/>
      <c r="R217" s="210"/>
    </row>
    <row r="218" spans="1:18">
      <c r="A218" s="210"/>
      <c r="B218" s="210"/>
      <c r="C218" s="210"/>
      <c r="D218" s="210"/>
      <c r="E218" s="210"/>
      <c r="F218" s="210"/>
      <c r="G218" s="210"/>
      <c r="H218" s="210"/>
      <c r="I218" s="210"/>
      <c r="J218" s="210"/>
      <c r="L218" s="210"/>
      <c r="M218" s="210"/>
      <c r="N218" s="210"/>
      <c r="O218" s="210"/>
      <c r="P218" s="210"/>
      <c r="Q218" s="210"/>
      <c r="R218" s="210"/>
    </row>
    <row r="219" spans="1:18">
      <c r="A219" s="210"/>
      <c r="B219" s="210"/>
      <c r="C219" s="210"/>
      <c r="D219" s="210"/>
      <c r="E219" s="210"/>
      <c r="F219" s="210"/>
      <c r="G219" s="210"/>
      <c r="H219" s="210"/>
      <c r="I219" s="210"/>
      <c r="J219" s="210"/>
      <c r="L219" s="210"/>
      <c r="M219" s="210"/>
      <c r="N219" s="210"/>
      <c r="O219" s="210"/>
      <c r="P219" s="210"/>
      <c r="Q219" s="210"/>
      <c r="R219" s="210"/>
    </row>
    <row r="220" spans="1:18">
      <c r="A220" s="210"/>
      <c r="B220" s="210"/>
      <c r="C220" s="210"/>
      <c r="D220" s="210"/>
      <c r="E220" s="210"/>
      <c r="F220" s="210"/>
      <c r="G220" s="210"/>
      <c r="H220" s="210"/>
      <c r="I220" s="210"/>
      <c r="J220" s="210"/>
      <c r="L220" s="210"/>
      <c r="M220" s="210"/>
      <c r="N220" s="210"/>
      <c r="O220" s="210"/>
      <c r="P220" s="210"/>
      <c r="Q220" s="210"/>
      <c r="R220" s="210"/>
    </row>
    <row r="221" spans="1:18">
      <c r="A221" s="210"/>
      <c r="B221" s="210"/>
      <c r="C221" s="210"/>
      <c r="D221" s="210"/>
      <c r="E221" s="210"/>
      <c r="F221" s="210"/>
      <c r="G221" s="210"/>
      <c r="H221" s="210"/>
      <c r="I221" s="210"/>
      <c r="J221" s="210"/>
      <c r="L221" s="210"/>
      <c r="M221" s="210"/>
      <c r="N221" s="210"/>
      <c r="O221" s="210"/>
      <c r="P221" s="210"/>
      <c r="Q221" s="210"/>
      <c r="R221" s="210"/>
    </row>
    <row r="222" spans="1:18">
      <c r="A222" s="210"/>
      <c r="B222" s="210"/>
      <c r="C222" s="210"/>
      <c r="D222" s="210"/>
      <c r="E222" s="210"/>
      <c r="F222" s="210"/>
      <c r="G222" s="210"/>
      <c r="H222" s="210"/>
      <c r="I222" s="210"/>
      <c r="J222" s="210"/>
      <c r="L222" s="210"/>
      <c r="M222" s="210"/>
      <c r="N222" s="210"/>
      <c r="O222" s="210"/>
      <c r="P222" s="210"/>
      <c r="Q222" s="210"/>
      <c r="R222" s="210"/>
    </row>
  </sheetData>
  <mergeCells count="2">
    <mergeCell ref="C33:D33"/>
    <mergeCell ref="E33:H33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M19:R26"/>
  <sheetViews>
    <sheetView workbookViewId="0">
      <selection activeCell="M19" sqref="M19:R26"/>
    </sheetView>
  </sheetViews>
  <sheetFormatPr defaultRowHeight="15"/>
  <sheetData>
    <row r="19" spans="13:18" ht="21">
      <c r="M19" s="388"/>
      <c r="N19" s="388"/>
      <c r="O19" s="388"/>
      <c r="P19" s="388"/>
      <c r="Q19" s="388"/>
      <c r="R19" s="388"/>
    </row>
    <row r="20" spans="13:18" ht="21">
      <c r="M20" s="387"/>
      <c r="N20" s="387"/>
      <c r="O20" s="387"/>
      <c r="P20" s="387"/>
      <c r="Q20" s="387"/>
      <c r="R20" s="387"/>
    </row>
    <row r="21" spans="13:18" ht="21">
      <c r="M21" s="387"/>
      <c r="N21" s="387"/>
      <c r="O21" s="387"/>
      <c r="P21" s="387"/>
      <c r="Q21" s="387"/>
      <c r="R21" s="387"/>
    </row>
    <row r="22" spans="13:18" ht="21">
      <c r="M22" s="387"/>
      <c r="N22" s="387"/>
      <c r="O22" s="387"/>
      <c r="P22" s="387"/>
      <c r="Q22" s="387"/>
      <c r="R22" s="387"/>
    </row>
    <row r="23" spans="13:18" ht="21">
      <c r="M23" s="387"/>
      <c r="N23" s="387"/>
      <c r="O23" s="387"/>
      <c r="P23" s="387"/>
      <c r="Q23" s="387"/>
      <c r="R23" s="387"/>
    </row>
    <row r="24" spans="13:18" ht="21">
      <c r="M24" s="387"/>
      <c r="N24" s="387"/>
      <c r="O24" s="387"/>
      <c r="P24" s="387"/>
      <c r="Q24" s="387"/>
      <c r="R24" s="387"/>
    </row>
    <row r="25" spans="13:18" ht="21">
      <c r="M25" s="387"/>
      <c r="N25" s="387"/>
      <c r="O25" s="387"/>
      <c r="P25" s="387"/>
      <c r="Q25" s="387"/>
      <c r="R25" s="387"/>
    </row>
    <row r="26" spans="13:18" ht="21">
      <c r="M26" s="387"/>
      <c r="N26" s="387"/>
      <c r="O26" s="387"/>
      <c r="P26" s="387"/>
      <c r="Q26" s="387"/>
      <c r="R26" s="38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Control panel</vt:lpstr>
      <vt:lpstr>Scenarios</vt:lpstr>
      <vt:lpstr>Absolute visies</vt:lpstr>
      <vt:lpstr>Restricties</vt:lpstr>
      <vt:lpstr>Optimalisatie</vt:lpstr>
      <vt:lpstr>Samenvatting mixen</vt:lpstr>
      <vt:lpstr>Samenvatting mixen - return</vt:lpstr>
      <vt:lpstr>output IC</vt:lpstr>
      <vt:lpstr>Sheet1</vt:lpstr>
      <vt:lpstr>aan_uit</vt:lpstr>
      <vt:lpstr>k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SGP</cp:lastModifiedBy>
  <cp:lastPrinted>2012-10-17T06:43:27Z</cp:lastPrinted>
  <dcterms:created xsi:type="dcterms:W3CDTF">2012-01-02T14:02:34Z</dcterms:created>
  <dcterms:modified xsi:type="dcterms:W3CDTF">2013-03-14T12:44:56Z</dcterms:modified>
</cp:coreProperties>
</file>